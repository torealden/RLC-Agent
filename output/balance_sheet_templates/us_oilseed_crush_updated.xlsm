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2565" yWindow="1785" windowWidth="21600" windowHeight="11835" tabRatio="600" firstSheet="4" activeTab="6" autoFilterDateGrouping="1"/>
  </bookViews>
  <sheets>
    <sheet xmlns:r="http://schemas.openxmlformats.org/officeDocument/2006/relationships" name="soy_crush" sheetId="1" state="visible" r:id="rId1"/>
    <sheet xmlns:r="http://schemas.openxmlformats.org/officeDocument/2006/relationships" name="canola_crush" sheetId="2" state="visible" r:id="rId2"/>
    <sheet xmlns:r="http://schemas.openxmlformats.org/officeDocument/2006/relationships" name="sunflower_crush" sheetId="3" state="visible" r:id="rId3"/>
    <sheet xmlns:r="http://schemas.openxmlformats.org/officeDocument/2006/relationships" name="cottonseed_crush" sheetId="4" state="visible" r:id="rId4"/>
    <sheet xmlns:r="http://schemas.openxmlformats.org/officeDocument/2006/relationships" name="peanut_crush" sheetId="5" state="visible" r:id="rId5"/>
    <sheet xmlns:r="http://schemas.openxmlformats.org/officeDocument/2006/relationships" name="NOPA US Crush" sheetId="6" state="visible" r:id="rId6"/>
    <sheet xmlns:r="http://schemas.openxmlformats.org/officeDocument/2006/relationships" name="NASS Low CI" sheetId="7" state="visible" r:id="rId7"/>
    <sheet xmlns:r="http://schemas.openxmlformats.org/officeDocument/2006/relationships" name="NASS Other Veg Oils" sheetId="8" state="visible" r:id="rId8"/>
    <sheet xmlns:r="http://schemas.openxmlformats.org/officeDocument/2006/relationships" name="Census Crush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mmm\-yy;@"/>
    <numFmt numFmtId="165" formatCode="0.0%"/>
    <numFmt numFmtId="166" formatCode="#,##0.0_);[Red]\(#,##0.0\)"/>
    <numFmt numFmtId="167" formatCode="#,##0.000_);[Red]\(#,##0.000\)"/>
    <numFmt numFmtId="168" formatCode="#,##0.0000_);[Red]\(#,##0.0000\)"/>
  </numFmts>
  <fonts count="23">
    <font>
      <name val="Aptos Narrow"/>
      <family val="2"/>
      <color theme="1"/>
      <sz val="11"/>
      <scheme val="minor"/>
    </font>
    <font>
      <name val="Univers"/>
      <family val="2"/>
      <b val="1"/>
      <color theme="9" tint="-0.249977111117893"/>
      <sz val="10"/>
    </font>
    <font>
      <name val="Univers"/>
      <family val="2"/>
      <color theme="1"/>
      <sz val="8"/>
    </font>
    <font>
      <name val="Univers"/>
      <family val="2"/>
      <b val="1"/>
      <color theme="9" tint="-0.249977111117893"/>
      <sz val="9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  <font>
      <name val="Aptos Narrow"/>
      <family val="2"/>
      <b val="1"/>
      <color theme="0"/>
      <sz val="10"/>
      <scheme val="minor"/>
    </font>
    <font>
      <name val="Google Sans"/>
      <b val="1"/>
      <color theme="1"/>
      <sz val="8"/>
    </font>
    <font>
      <name val="Google Sans"/>
      <color theme="1"/>
      <sz val="8"/>
    </font>
    <font>
      <name val="Google Sans"/>
      <b val="1"/>
      <color theme="9" tint="-0.249977111117893"/>
      <sz val="8"/>
    </font>
    <font>
      <name val="Google Sans"/>
      <b val="1"/>
      <color theme="0"/>
      <sz val="8"/>
    </font>
    <font>
      <name val="Google Sans"/>
      <b val="1"/>
      <color theme="9" tint="-0.249977111117893"/>
      <sz val="7"/>
    </font>
    <font>
      <name val="Google Sans"/>
      <color rgb="FF3C7D22"/>
      <sz val="8"/>
    </font>
    <font>
      <name val="Google Sans"/>
      <color theme="6" tint="-0.249977111117893"/>
      <sz val="8"/>
    </font>
    <font>
      <name val="Calibri"/>
      <family val="2"/>
      <b val="1"/>
      <color rgb="FF1F4E79"/>
      <sz val="10"/>
    </font>
    <font>
      <name val="Calibri"/>
      <family val="2"/>
      <b val="1"/>
      <color rgb="FFFFFFFF"/>
      <sz val="9"/>
    </font>
    <font>
      <name val="Calibri"/>
      <family val="2"/>
      <i val="1"/>
      <color rgb="FF808080"/>
      <sz val="8"/>
    </font>
    <font>
      <name val="Calibri"/>
      <family val="2"/>
      <sz val="9"/>
    </font>
    <font>
      <name val="Aptos Narrow"/>
      <family val="2"/>
      <i val="1"/>
      <color theme="1"/>
      <sz val="11"/>
      <scheme val="minor"/>
    </font>
    <font>
      <name val="Calibri"/>
      <family val="2"/>
      <b val="1"/>
      <sz val="10"/>
    </font>
    <font>
      <name val="Calibri"/>
      <family val="2"/>
      <i val="1"/>
      <sz val="9"/>
    </font>
    <font>
      <name val="Aptos Display"/>
      <family val="2"/>
      <color theme="1"/>
      <sz val="10"/>
      <scheme val="major"/>
    </font>
    <font>
      <name val="Aptos Display"/>
      <family val="2"/>
      <color theme="6" tint="-0.249977111117893"/>
      <sz val="10"/>
      <scheme val="major"/>
    </font>
  </fonts>
  <fills count="7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1F4E79"/>
        <bgColor rgb="FF1F4E79"/>
      </patternFill>
    </fill>
  </fills>
  <borders count="1">
    <border>
      <left/>
      <right/>
      <top/>
      <bottom/>
      <diagonal/>
    </border>
  </borders>
  <cellStyleXfs count="2">
    <xf numFmtId="0" fontId="4" fillId="0" borderId="0"/>
    <xf numFmtId="9" fontId="4" fillId="0" borderId="0"/>
  </cellStyleXfs>
  <cellXfs count="69">
    <xf numFmtId="0" fontId="0" fillId="0" borderId="0" pivotButton="0" quotePrefix="0" xfId="0"/>
    <xf numFmtId="164" fontId="2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left" vertical="center" wrapText="1"/>
    </xf>
    <xf numFmtId="164" fontId="3" fillId="2" borderId="0" applyAlignment="1" pivotButton="0" quotePrefix="0" xfId="0">
      <alignment horizontal="left" vertical="center" wrapText="1"/>
    </xf>
    <xf numFmtId="0" fontId="5" fillId="0" borderId="0" pivotButton="0" quotePrefix="0" xfId="0"/>
    <xf numFmtId="164" fontId="5" fillId="0" borderId="0" pivotButton="0" quotePrefix="0" xfId="0"/>
    <xf numFmtId="165" fontId="5" fillId="0" borderId="0" pivotButton="0" quotePrefix="0" xfId="1"/>
    <xf numFmtId="166" fontId="5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 wrapText="1"/>
    </xf>
    <xf numFmtId="40" fontId="5" fillId="0" borderId="0" pivotButton="0" quotePrefix="0" xfId="0"/>
    <xf numFmtId="165" fontId="5" fillId="0" borderId="0" pivotButton="0" quotePrefix="0" xfId="0"/>
    <xf numFmtId="167" fontId="5" fillId="0" borderId="0" applyAlignment="1" pivotButton="0" quotePrefix="0" xfId="0">
      <alignment horizontal="center" vertical="center"/>
    </xf>
    <xf numFmtId="38" fontId="5" fillId="0" borderId="0" pivotButton="0" quotePrefix="0" xfId="0"/>
    <xf numFmtId="0" fontId="7" fillId="4" borderId="0" pivotButton="0" quotePrefix="0" xfId="0"/>
    <xf numFmtId="0" fontId="8" fillId="4" borderId="0" pivotButton="0" quotePrefix="0" xfId="0"/>
    <xf numFmtId="0" fontId="8" fillId="4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8" fillId="0" borderId="0" pivotButton="0" quotePrefix="0" xfId="0"/>
    <xf numFmtId="0" fontId="9" fillId="4" borderId="0" pivotButton="0" quotePrefix="0" xfId="0"/>
    <xf numFmtId="0" fontId="9" fillId="2" borderId="0" applyAlignment="1" pivotButton="0" quotePrefix="0" xfId="0">
      <alignment horizontal="left" vertical="center" wrapText="1"/>
    </xf>
    <xf numFmtId="0" fontId="9" fillId="4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left" vertical="center" wrapText="1"/>
    </xf>
    <xf numFmtId="0" fontId="10" fillId="3" borderId="0" applyAlignment="1" pivotButton="0" quotePrefix="0" xfId="0">
      <alignment horizontal="center"/>
    </xf>
    <xf numFmtId="0" fontId="10" fillId="4" borderId="0" applyAlignment="1" pivotButton="0" quotePrefix="0" xfId="0">
      <alignment horizontal="center"/>
    </xf>
    <xf numFmtId="0" fontId="10" fillId="3" borderId="0" applyAlignment="1" pivotButton="0" quotePrefix="0" xfId="0">
      <alignment horizontal="center" vertical="center"/>
    </xf>
    <xf numFmtId="0" fontId="10" fillId="4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/>
    </xf>
    <xf numFmtId="167" fontId="8" fillId="0" borderId="0" pivotButton="0" quotePrefix="0" xfId="0"/>
    <xf numFmtId="0" fontId="11" fillId="2" borderId="0" applyAlignment="1" pivotButton="0" quotePrefix="0" xfId="0">
      <alignment horizontal="center" vertical="center" wrapText="1"/>
    </xf>
    <xf numFmtId="0" fontId="11" fillId="2" borderId="0" applyAlignment="1" pivotButton="0" quotePrefix="0" xfId="0">
      <alignment horizontal="center" vertical="center" wrapText="1" readingOrder="1"/>
    </xf>
    <xf numFmtId="167" fontId="8" fillId="0" borderId="0" applyAlignment="1" pivotButton="0" quotePrefix="0" xfId="0">
      <alignment horizontal="center" vertical="justify"/>
    </xf>
    <xf numFmtId="166" fontId="8" fillId="0" borderId="0" applyAlignment="1" pivotButton="0" quotePrefix="0" xfId="0">
      <alignment horizontal="center" vertical="justify"/>
    </xf>
    <xf numFmtId="165" fontId="8" fillId="0" borderId="0" applyAlignment="1" pivotButton="0" quotePrefix="0" xfId="0">
      <alignment horizontal="center" vertical="justify"/>
    </xf>
    <xf numFmtId="0" fontId="8" fillId="0" borderId="0" applyAlignment="1" pivotButton="0" quotePrefix="0" xfId="0">
      <alignment horizontal="center" vertical="justify"/>
    </xf>
    <xf numFmtId="40" fontId="8" fillId="0" borderId="0" applyAlignment="1" pivotButton="0" quotePrefix="0" xfId="0">
      <alignment horizontal="center" vertical="justify"/>
    </xf>
    <xf numFmtId="164" fontId="8" fillId="0" borderId="0" applyAlignment="1" pivotButton="0" quotePrefix="0" xfId="0">
      <alignment horizontal="left" vertical="justify"/>
    </xf>
    <xf numFmtId="167" fontId="12" fillId="5" borderId="0" applyAlignment="1" pivotButton="0" quotePrefix="0" xfId="0">
      <alignment horizontal="center" vertical="justify"/>
    </xf>
    <xf numFmtId="0" fontId="9" fillId="2" borderId="0" applyAlignment="1" pivotButton="0" quotePrefix="0" xfId="0">
      <alignment horizontal="center" vertical="center" wrapText="1"/>
    </xf>
    <xf numFmtId="0" fontId="9" fillId="2" borderId="0" applyAlignment="1" pivotButton="0" quotePrefix="0" xfId="0">
      <alignment vertical="center" wrapText="1"/>
    </xf>
    <xf numFmtId="167" fontId="8" fillId="0" borderId="0" applyAlignment="1" pivotButton="0" quotePrefix="0" xfId="0">
      <alignment horizontal="center" vertical="top"/>
    </xf>
    <xf numFmtId="166" fontId="8" fillId="0" borderId="0" applyAlignment="1" pivotButton="0" quotePrefix="0" xfId="0">
      <alignment horizontal="center" vertical="top"/>
    </xf>
    <xf numFmtId="165" fontId="8" fillId="0" borderId="0" applyAlignment="1" pivotButton="0" quotePrefix="0" xfId="0">
      <alignment horizontal="center" vertical="top"/>
    </xf>
    <xf numFmtId="0" fontId="8" fillId="0" borderId="0" applyAlignment="1" pivotButton="0" quotePrefix="0" xfId="0">
      <alignment horizontal="center" vertical="top"/>
    </xf>
    <xf numFmtId="165" fontId="8" fillId="0" borderId="0" applyAlignment="1" pivotButton="0" quotePrefix="0" xfId="1">
      <alignment horizontal="center" vertical="top"/>
    </xf>
    <xf numFmtId="0" fontId="13" fillId="5" borderId="0" applyAlignment="1" pivotButton="0" quotePrefix="0" xfId="0">
      <alignment horizontal="center" vertical="top"/>
    </xf>
    <xf numFmtId="164" fontId="8" fillId="0" borderId="0" applyAlignment="1" pivotButton="0" quotePrefix="0" xfId="0">
      <alignment vertical="top"/>
    </xf>
    <xf numFmtId="0" fontId="8" fillId="0" borderId="0" applyAlignment="1" pivotButton="0" quotePrefix="0" xfId="0">
      <alignment vertical="top"/>
    </xf>
    <xf numFmtId="38" fontId="8" fillId="0" borderId="0" applyAlignment="1" pivotButton="0" quotePrefix="0" xfId="0">
      <alignment horizontal="center" vertical="justify"/>
    </xf>
    <xf numFmtId="38" fontId="12" fillId="5" borderId="0" applyAlignment="1" pivotButton="0" quotePrefix="0" xfId="0">
      <alignment horizontal="center" vertical="justify"/>
    </xf>
    <xf numFmtId="0" fontId="9" fillId="4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 wrapText="1"/>
    </xf>
    <xf numFmtId="165" fontId="4" fillId="0" borderId="0" pivotButton="0" quotePrefix="0" xfId="1"/>
    <xf numFmtId="167" fontId="5" fillId="0" borderId="0" pivotButton="0" quotePrefix="0" xfId="0"/>
    <xf numFmtId="0" fontId="14" fillId="0" borderId="0" pivotButton="0" quotePrefix="0" xfId="0"/>
    <xf numFmtId="0" fontId="15" fillId="6" borderId="0" pivotButton="0" quotePrefix="0" xfId="0"/>
    <xf numFmtId="0" fontId="16" fillId="0" borderId="0" pivotButton="0" quotePrefix="0" xfId="0"/>
    <xf numFmtId="17" fontId="17" fillId="0" borderId="0" pivotButton="0" quotePrefix="0" xfId="0"/>
    <xf numFmtId="0" fontId="18" fillId="0" borderId="0" pivotButton="0" quotePrefix="0" xfId="0"/>
    <xf numFmtId="0" fontId="19" fillId="0" borderId="0" pivotButton="0" quotePrefix="0" xfId="0"/>
    <xf numFmtId="0" fontId="20" fillId="0" borderId="0" pivotButton="0" quotePrefix="0" xfId="0"/>
    <xf numFmtId="0" fontId="11" fillId="2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left" vertical="center" wrapText="1"/>
    </xf>
    <xf numFmtId="38" fontId="21" fillId="0" borderId="0" pivotButton="0" quotePrefix="0" xfId="0"/>
    <xf numFmtId="38" fontId="22" fillId="5" borderId="0" pivotButton="0" quotePrefix="0" xfId="0"/>
    <xf numFmtId="168" fontId="21" fillId="0" borderId="0" pivotButton="0" quotePrefix="0" xfId="0"/>
  </cellXfs>
  <cellStyles count="2">
    <cellStyle name="Normal" xfId="0" builtinId="0"/>
    <cellStyle name="Percent" xfId="1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GG144"/>
  <sheetViews>
    <sheetView zoomScale="115" zoomScaleNormal="115" workbookViewId="0">
      <pane xSplit="1" ySplit="4" topLeftCell="B128" activePane="bottomRight" state="frozen"/>
      <selection pane="topRight" activeCell="B1" sqref="B1"/>
      <selection pane="bottomLeft" activeCell="A5" sqref="A5"/>
      <selection pane="bottomRight" activeCell="E133" sqref="E133"/>
    </sheetView>
  </sheetViews>
  <sheetFormatPr baseColWidth="8" defaultRowHeight="24"/>
  <cols>
    <col width="9.140625" customWidth="1" style="20" min="1" max="1"/>
    <col width="12.140625" customWidth="1" style="31" min="2" max="6"/>
    <col width="12.140625" customWidth="1" style="20" min="7" max="9"/>
    <col width="2.85546875" customWidth="1" style="20" min="10" max="10"/>
    <col width="12.140625" customWidth="1" style="19" min="11" max="20"/>
    <col width="2.85546875" customWidth="1" style="19" min="21" max="21"/>
    <col width="12.140625" customWidth="1" style="19" min="22" max="37"/>
    <col width="2.85546875" customWidth="1" style="19" min="38" max="38"/>
    <col width="12.140625" customWidth="1" style="19" min="39" max="189"/>
    <col width="9.140625" customWidth="1" style="20" min="190" max="195"/>
    <col width="9.140625" customWidth="1" style="20" min="196" max="16384"/>
  </cols>
  <sheetData>
    <row r="1" ht="15.75" customHeight="1">
      <c r="A1" s="16" t="inlineStr">
        <is>
          <t>SOYBEAN COMPLEX</t>
        </is>
      </c>
      <c r="B1" s="17" t="n"/>
      <c r="C1" s="17" t="n"/>
      <c r="D1" s="17" t="n"/>
      <c r="E1" s="17" t="n"/>
      <c r="F1" s="17" t="n"/>
      <c r="G1" s="17" t="n"/>
      <c r="H1" s="17" t="n"/>
      <c r="I1" s="17" t="n"/>
      <c r="J1" s="17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8" t="n"/>
      <c r="X1" s="18" t="n"/>
      <c r="Y1" s="18" t="n"/>
      <c r="Z1" s="18" t="n"/>
      <c r="AA1" s="18" t="n"/>
      <c r="AB1" s="18" t="n"/>
      <c r="AC1" s="18" t="n"/>
      <c r="AD1" s="18" t="n"/>
      <c r="AE1" s="18" t="n"/>
      <c r="AF1" s="18" t="n"/>
      <c r="AG1" s="18" t="n"/>
      <c r="AH1" s="18" t="n"/>
      <c r="AI1" s="18" t="n"/>
      <c r="AJ1" s="18" t="n"/>
      <c r="AK1" s="18" t="n"/>
    </row>
    <row r="2">
      <c r="A2" s="21" t="inlineStr">
        <is>
          <t>MONTHLY US SOYBEAN CRUSHING</t>
        </is>
      </c>
      <c r="B2" s="17" t="n"/>
      <c r="C2" s="17" t="n"/>
      <c r="D2" s="17" t="n"/>
      <c r="E2" s="17" t="n"/>
      <c r="F2" s="17" t="n"/>
      <c r="G2" s="17" t="n"/>
      <c r="H2" s="17" t="n"/>
      <c r="I2" s="17" t="n"/>
      <c r="J2" s="17" t="n"/>
      <c r="K2" s="18" t="n"/>
      <c r="L2" s="18" t="n"/>
      <c r="M2" s="18" t="n"/>
      <c r="N2" s="18" t="n"/>
      <c r="O2" s="18" t="n"/>
      <c r="P2" s="18" t="n"/>
      <c r="Q2" s="18" t="n"/>
      <c r="R2" s="18" t="n"/>
      <c r="S2" s="18" t="n"/>
      <c r="T2" s="18" t="n"/>
      <c r="U2" s="18" t="n"/>
      <c r="V2" s="18" t="n"/>
      <c r="W2" s="18" t="n"/>
      <c r="X2" s="18" t="n"/>
      <c r="Y2" s="18" t="n"/>
      <c r="Z2" s="18" t="n"/>
      <c r="AA2" s="18" t="n"/>
      <c r="AB2" s="18" t="n"/>
      <c r="AC2" s="18" t="n"/>
      <c r="AD2" s="18" t="n"/>
      <c r="AE2" s="18" t="n"/>
      <c r="AF2" s="18" t="n"/>
      <c r="AG2" s="18" t="n"/>
      <c r="AH2" s="18" t="n"/>
      <c r="AI2" s="18" t="n"/>
      <c r="AJ2" s="18" t="n"/>
      <c r="AK2" s="18" t="n"/>
    </row>
    <row r="3" ht="36" customFormat="1" customHeight="1" s="65">
      <c r="A3" s="22" t="n"/>
      <c r="B3" s="64" t="inlineStr">
        <is>
          <t>Capacity</t>
        </is>
      </c>
      <c r="C3" s="64" t="inlineStr">
        <is>
          <t>Soybeans Crushed</t>
        </is>
      </c>
      <c r="E3" s="64" t="inlineStr">
        <is>
          <t>Non-NOPA Crush</t>
        </is>
      </c>
      <c r="F3" s="64" t="inlineStr">
        <is>
          <t>NOPA Crush</t>
        </is>
      </c>
      <c r="G3" s="64" t="inlineStr">
        <is>
          <t>Non-NOPA Crush</t>
        </is>
      </c>
      <c r="H3" s="64" t="inlineStr">
        <is>
          <t>Unused Capacity</t>
        </is>
      </c>
      <c r="I3" s="64" t="inlineStr">
        <is>
          <t>Capacity Utilization</t>
        </is>
      </c>
      <c r="J3" s="23" t="n"/>
      <c r="K3" s="64" t="inlineStr">
        <is>
          <t>Meal Production</t>
        </is>
      </c>
      <c r="L3" s="64" t="inlineStr">
        <is>
          <t>Millfeed Production</t>
        </is>
      </c>
      <c r="M3" s="64" t="inlineStr">
        <is>
          <t>Meal Animal Feed Use</t>
        </is>
      </c>
      <c r="N3" s="64" t="inlineStr">
        <is>
          <t>Meal Edible Protein Use</t>
        </is>
      </c>
      <c r="O3" s="64" t="inlineStr">
        <is>
          <t>Meal Stocks</t>
        </is>
      </c>
      <c r="P3" s="64" t="inlineStr">
        <is>
          <t>Millfeed Stocks</t>
        </is>
      </c>
      <c r="Q3" s="64" t="inlineStr">
        <is>
          <t>Meal Yield</t>
        </is>
      </c>
      <c r="R3" s="64" t="inlineStr">
        <is>
          <t>Meal Yield with Millfeed/Hull</t>
        </is>
      </c>
      <c r="S3" s="64" t="inlineStr">
        <is>
          <t>Meal Yield Delta to NOPA</t>
        </is>
      </c>
      <c r="T3" s="64" t="inlineStr">
        <is>
          <t>US Avg - NOPA Meal Yield</t>
        </is>
      </c>
      <c r="U3" s="23" t="n"/>
      <c r="V3" s="33" t="inlineStr">
        <is>
          <t>Crude Oil Production</t>
        </is>
      </c>
      <c r="W3" s="64" t="inlineStr">
        <is>
          <t>Crude Oil Removed for Inedible Use</t>
        </is>
      </c>
      <c r="X3" s="64" t="inlineStr">
        <is>
          <t>Crude Oil Processed in Refining</t>
        </is>
      </c>
      <c r="Y3" s="64" t="inlineStr">
        <is>
          <t>Once Refined Oil Produced</t>
        </is>
      </c>
      <c r="Z3" s="64" t="inlineStr">
        <is>
          <t>Refining Loss</t>
        </is>
      </c>
      <c r="AA3" s="64" t="inlineStr">
        <is>
          <t>Once Refined Oil Removed for Processing</t>
        </is>
      </c>
      <c r="AB3" s="64" t="inlineStr">
        <is>
          <t>Once Refined Oil Removed for Inedible Use</t>
        </is>
      </c>
      <c r="AC3" s="64" t="inlineStr">
        <is>
          <t>Refined Oil Edible Use</t>
        </is>
      </c>
      <c r="AD3" s="64" t="inlineStr">
        <is>
          <t>Crude Oil Stocks</t>
        </is>
      </c>
      <c r="AE3" s="64" t="inlineStr">
        <is>
          <t>Crude Oil Crusher Stocks</t>
        </is>
      </c>
      <c r="AF3" s="64" t="inlineStr">
        <is>
          <t>Refined Oil Stocks</t>
        </is>
      </c>
      <c r="AG3" s="64" t="inlineStr">
        <is>
          <t>All Oil Offsite Stocks</t>
        </is>
      </c>
      <c r="AH3" s="64" t="inlineStr">
        <is>
          <t>Oil Stocks Delta to NOPA</t>
        </is>
      </c>
      <c r="AI3" s="64" t="inlineStr">
        <is>
          <t>Non-NOPA Oil Stocks</t>
        </is>
      </c>
      <c r="AJ3" s="64" t="inlineStr">
        <is>
          <t>Oil Yield</t>
        </is>
      </c>
      <c r="AK3" s="64" t="inlineStr">
        <is>
          <t>US Avg - NOPA Oil Yield</t>
        </is>
      </c>
      <c r="AL3" s="24" t="n"/>
      <c r="AM3" s="24" t="n"/>
      <c r="AN3" s="24" t="n"/>
      <c r="AO3" s="24" t="n"/>
      <c r="AP3" s="24" t="n"/>
      <c r="AQ3" s="24" t="n"/>
      <c r="AR3" s="24" t="n"/>
      <c r="AS3" s="24" t="n"/>
      <c r="AT3" s="24" t="n"/>
      <c r="AU3" s="24" t="n"/>
      <c r="AV3" s="24" t="n"/>
      <c r="AW3" s="24" t="n"/>
      <c r="AX3" s="24" t="n"/>
      <c r="AY3" s="24" t="n"/>
      <c r="AZ3" s="24" t="n"/>
      <c r="BA3" s="24" t="n"/>
      <c r="BB3" s="24" t="n"/>
      <c r="BC3" s="24" t="n"/>
      <c r="BD3" s="24" t="n"/>
      <c r="BE3" s="24" t="n"/>
      <c r="BF3" s="24" t="n"/>
      <c r="BG3" s="24" t="n"/>
      <c r="BH3" s="24" t="n"/>
      <c r="BI3" s="24" t="n"/>
      <c r="BJ3" s="24" t="n"/>
      <c r="BK3" s="24" t="n"/>
      <c r="BL3" s="24" t="n"/>
      <c r="BM3" s="24" t="n"/>
      <c r="BN3" s="24" t="n"/>
      <c r="BO3" s="24" t="n"/>
      <c r="BP3" s="24" t="n"/>
      <c r="BQ3" s="24" t="n"/>
      <c r="BR3" s="24" t="n"/>
      <c r="BS3" s="24" t="n"/>
      <c r="BT3" s="24" t="n"/>
      <c r="BU3" s="24" t="n"/>
      <c r="BV3" s="24" t="n"/>
      <c r="BW3" s="24" t="n"/>
      <c r="BX3" s="24" t="n"/>
      <c r="BY3" s="24" t="n"/>
      <c r="BZ3" s="24" t="n"/>
      <c r="CA3" s="24" t="n"/>
      <c r="CB3" s="24" t="n"/>
      <c r="CC3" s="24" t="n"/>
      <c r="CD3" s="24" t="n"/>
      <c r="CE3" s="24" t="n"/>
      <c r="CF3" s="24" t="n"/>
      <c r="CG3" s="24" t="n"/>
      <c r="CH3" s="24" t="n"/>
      <c r="CI3" s="24" t="n"/>
      <c r="CJ3" s="24" t="n"/>
      <c r="CK3" s="24" t="n"/>
      <c r="CL3" s="24" t="n"/>
      <c r="CM3" s="24" t="n"/>
      <c r="CN3" s="24" t="n"/>
      <c r="CO3" s="24" t="n"/>
      <c r="CP3" s="24" t="n"/>
      <c r="CQ3" s="24" t="n"/>
      <c r="CR3" s="24" t="n"/>
      <c r="CS3" s="24" t="n"/>
      <c r="CT3" s="24" t="n"/>
      <c r="CU3" s="24" t="n"/>
      <c r="CV3" s="24" t="n"/>
      <c r="CW3" s="24" t="n"/>
      <c r="CX3" s="24" t="n"/>
      <c r="CY3" s="24" t="n"/>
      <c r="CZ3" s="24" t="n"/>
      <c r="DA3" s="24" t="n"/>
      <c r="DB3" s="24" t="n"/>
      <c r="DC3" s="24" t="n"/>
      <c r="DD3" s="24" t="n"/>
      <c r="DE3" s="24" t="n"/>
      <c r="DF3" s="24" t="n"/>
      <c r="DG3" s="24" t="n"/>
      <c r="DH3" s="24" t="n"/>
      <c r="DI3" s="24" t="n"/>
      <c r="DJ3" s="24" t="n"/>
      <c r="DK3" s="24" t="n"/>
      <c r="DL3" s="24" t="n"/>
      <c r="DM3" s="24" t="n"/>
      <c r="DN3" s="24" t="n"/>
      <c r="DO3" s="24" t="n"/>
      <c r="DP3" s="24" t="n"/>
      <c r="DQ3" s="24" t="n"/>
      <c r="DR3" s="24" t="n"/>
      <c r="DS3" s="24" t="n"/>
      <c r="DT3" s="24" t="n"/>
      <c r="DU3" s="24" t="n"/>
      <c r="DV3" s="24" t="n"/>
      <c r="DW3" s="24" t="n"/>
      <c r="DX3" s="24" t="n"/>
      <c r="DY3" s="24" t="n"/>
      <c r="DZ3" s="24" t="n"/>
      <c r="EA3" s="24" t="n"/>
      <c r="EB3" s="24" t="n"/>
      <c r="EC3" s="24" t="n"/>
      <c r="ED3" s="24" t="n"/>
      <c r="EE3" s="24" t="n"/>
      <c r="EF3" s="24" t="n"/>
      <c r="EG3" s="24" t="n"/>
      <c r="EH3" s="24" t="n"/>
      <c r="EI3" s="24" t="n"/>
      <c r="EJ3" s="24" t="n"/>
      <c r="EK3" s="24" t="n"/>
      <c r="EL3" s="24" t="n"/>
      <c r="EM3" s="24" t="n"/>
      <c r="EN3" s="24" t="n"/>
      <c r="EO3" s="24" t="n"/>
      <c r="EP3" s="24" t="n"/>
      <c r="EQ3" s="24" t="n"/>
      <c r="ER3" s="24" t="n"/>
      <c r="ES3" s="24" t="n"/>
      <c r="ET3" s="24" t="n"/>
      <c r="EU3" s="24" t="n"/>
      <c r="EV3" s="24" t="n"/>
      <c r="EW3" s="24" t="n"/>
      <c r="EX3" s="24" t="n"/>
      <c r="EY3" s="24" t="n"/>
      <c r="EZ3" s="24" t="n"/>
      <c r="FA3" s="24" t="n"/>
      <c r="FB3" s="24" t="n"/>
      <c r="FC3" s="24" t="n"/>
      <c r="FD3" s="24" t="n"/>
      <c r="FE3" s="24" t="n"/>
      <c r="FF3" s="24" t="n"/>
      <c r="FG3" s="24" t="n"/>
      <c r="FH3" s="24" t="n"/>
      <c r="FI3" s="24" t="n"/>
      <c r="FJ3" s="24" t="n"/>
      <c r="FK3" s="24" t="n"/>
      <c r="FL3" s="24" t="n"/>
      <c r="FM3" s="24" t="n"/>
      <c r="FN3" s="24" t="n"/>
      <c r="FO3" s="24" t="n"/>
      <c r="FP3" s="24" t="n"/>
      <c r="FQ3" s="24" t="n"/>
      <c r="FR3" s="24" t="n"/>
      <c r="FS3" s="24" t="n"/>
      <c r="FT3" s="24" t="n"/>
      <c r="FU3" s="24" t="n"/>
      <c r="FV3" s="24" t="n"/>
      <c r="FW3" s="24" t="n"/>
      <c r="FX3" s="24" t="n"/>
      <c r="FY3" s="24" t="n"/>
      <c r="FZ3" s="24" t="n"/>
      <c r="GA3" s="24" t="n"/>
      <c r="GB3" s="24" t="n"/>
      <c r="GC3" s="24" t="n"/>
      <c r="GD3" s="24" t="n"/>
      <c r="GE3" s="24" t="n"/>
      <c r="GF3" s="24" t="n"/>
      <c r="GG3" s="24" t="n"/>
    </row>
    <row r="4" customFormat="1" s="30">
      <c r="A4" s="26" t="n"/>
      <c r="B4" s="26" t="inlineStr">
        <is>
          <t>mil bu/day</t>
        </is>
      </c>
      <c r="C4" s="26" t="inlineStr">
        <is>
          <t>000 tons</t>
        </is>
      </c>
      <c r="D4" s="26" t="inlineStr">
        <is>
          <t>mil bu</t>
        </is>
      </c>
      <c r="E4" s="26" t="inlineStr">
        <is>
          <t>mil bu</t>
        </is>
      </c>
      <c r="F4" s="26" t="inlineStr">
        <is>
          <t>%</t>
        </is>
      </c>
      <c r="G4" s="26" t="inlineStr">
        <is>
          <t>%</t>
        </is>
      </c>
      <c r="H4" s="26" t="inlineStr">
        <is>
          <t>mil bu</t>
        </is>
      </c>
      <c r="I4" s="26" t="inlineStr">
        <is>
          <t>%</t>
        </is>
      </c>
      <c r="J4" s="27" t="n"/>
      <c r="K4" s="28" t="inlineStr">
        <is>
          <t>000 tons</t>
        </is>
      </c>
      <c r="L4" s="28" t="inlineStr">
        <is>
          <t>000 tons</t>
        </is>
      </c>
      <c r="M4" s="28" t="inlineStr">
        <is>
          <t>000 tons</t>
        </is>
      </c>
      <c r="N4" s="28" t="inlineStr">
        <is>
          <t>000 tons</t>
        </is>
      </c>
      <c r="O4" s="28" t="inlineStr">
        <is>
          <t>000 tons</t>
        </is>
      </c>
      <c r="P4" s="28" t="inlineStr">
        <is>
          <t>000 tons</t>
        </is>
      </c>
      <c r="Q4" s="28" t="inlineStr">
        <is>
          <t>lbs/bu</t>
        </is>
      </c>
      <c r="R4" s="28" t="inlineStr">
        <is>
          <t>lbs/bu</t>
        </is>
      </c>
      <c r="S4" s="28" t="inlineStr">
        <is>
          <t>lbs/bu</t>
        </is>
      </c>
      <c r="T4" s="28" t="inlineStr">
        <is>
          <t>%</t>
        </is>
      </c>
      <c r="U4" s="29" t="n"/>
      <c r="V4" s="28" t="inlineStr">
        <is>
          <t>mil lbs</t>
        </is>
      </c>
      <c r="W4" s="28" t="inlineStr">
        <is>
          <t>mil lbs</t>
        </is>
      </c>
      <c r="X4" s="28" t="inlineStr">
        <is>
          <t>mil lbs</t>
        </is>
      </c>
      <c r="Y4" s="28" t="inlineStr">
        <is>
          <t>mil lbs</t>
        </is>
      </c>
      <c r="Z4" s="28" t="inlineStr">
        <is>
          <t>%</t>
        </is>
      </c>
      <c r="AA4" s="28" t="inlineStr">
        <is>
          <t>mil lbs</t>
        </is>
      </c>
      <c r="AB4" s="28" t="inlineStr">
        <is>
          <t>mil lbs</t>
        </is>
      </c>
      <c r="AC4" s="28" t="inlineStr">
        <is>
          <t>mil lbs</t>
        </is>
      </c>
      <c r="AD4" s="28" t="inlineStr">
        <is>
          <t>mil lbs</t>
        </is>
      </c>
      <c r="AE4" s="28" t="inlineStr">
        <is>
          <t>mil lbs</t>
        </is>
      </c>
      <c r="AF4" s="28" t="inlineStr">
        <is>
          <t>mil lbs</t>
        </is>
      </c>
      <c r="AG4" s="28" t="inlineStr">
        <is>
          <t>mil lbs</t>
        </is>
      </c>
      <c r="AH4" s="28" t="inlineStr">
        <is>
          <t>mil lbs</t>
        </is>
      </c>
      <c r="AI4" s="28" t="inlineStr">
        <is>
          <t>%</t>
        </is>
      </c>
      <c r="AJ4" s="28" t="inlineStr">
        <is>
          <t>lbs/bu</t>
        </is>
      </c>
      <c r="AK4" s="28" t="inlineStr">
        <is>
          <t>lbs/bu</t>
        </is>
      </c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9" t="n"/>
      <c r="BK4" s="19" t="n"/>
      <c r="BL4" s="19" t="n"/>
      <c r="BM4" s="19" t="n"/>
      <c r="BN4" s="19" t="n"/>
      <c r="BO4" s="19" t="n"/>
      <c r="BP4" s="19" t="n"/>
      <c r="BQ4" s="19" t="n"/>
      <c r="BR4" s="19" t="n"/>
      <c r="BS4" s="19" t="n"/>
      <c r="BT4" s="19" t="n"/>
      <c r="BU4" s="19" t="n"/>
      <c r="BV4" s="19" t="n"/>
      <c r="BW4" s="19" t="n"/>
      <c r="BX4" s="19" t="n"/>
      <c r="BY4" s="19" t="n"/>
      <c r="BZ4" s="19" t="n"/>
      <c r="CA4" s="19" t="n"/>
      <c r="CB4" s="19" t="n"/>
      <c r="CC4" s="19" t="n"/>
      <c r="CD4" s="19" t="n"/>
      <c r="CE4" s="19" t="n"/>
      <c r="CF4" s="19" t="n"/>
      <c r="CG4" s="19" t="n"/>
      <c r="CH4" s="19" t="n"/>
      <c r="CI4" s="19" t="n"/>
      <c r="CJ4" s="19" t="n"/>
      <c r="CK4" s="19" t="n"/>
      <c r="CL4" s="19" t="n"/>
      <c r="CM4" s="19" t="n"/>
      <c r="CN4" s="19" t="n"/>
      <c r="CO4" s="19" t="n"/>
      <c r="CP4" s="19" t="n"/>
      <c r="CQ4" s="19" t="n"/>
      <c r="CR4" s="19" t="n"/>
      <c r="CS4" s="19" t="n"/>
      <c r="CT4" s="19" t="n"/>
      <c r="CU4" s="19" t="n"/>
      <c r="CV4" s="19" t="n"/>
      <c r="CW4" s="19" t="n"/>
      <c r="CX4" s="19" t="n"/>
      <c r="CY4" s="19" t="n"/>
      <c r="CZ4" s="19" t="n"/>
      <c r="DA4" s="19" t="n"/>
      <c r="DB4" s="19" t="n"/>
      <c r="DC4" s="19" t="n"/>
      <c r="DD4" s="19" t="n"/>
      <c r="DE4" s="19" t="n"/>
      <c r="DF4" s="19" t="n"/>
      <c r="DG4" s="19" t="n"/>
      <c r="DH4" s="19" t="n"/>
      <c r="DI4" s="19" t="n"/>
      <c r="DJ4" s="19" t="n"/>
      <c r="DK4" s="19" t="n"/>
      <c r="DL4" s="19" t="n"/>
      <c r="DM4" s="19" t="n"/>
      <c r="DN4" s="19" t="n"/>
      <c r="DO4" s="19" t="n"/>
      <c r="DP4" s="19" t="n"/>
      <c r="DQ4" s="19" t="n"/>
      <c r="DR4" s="19" t="n"/>
      <c r="DS4" s="19" t="n"/>
      <c r="DT4" s="19" t="n"/>
      <c r="DU4" s="19" t="n"/>
      <c r="DV4" s="19" t="n"/>
      <c r="DW4" s="19" t="n"/>
      <c r="DX4" s="19" t="n"/>
      <c r="DY4" s="19" t="n"/>
      <c r="DZ4" s="19" t="n"/>
      <c r="EA4" s="19" t="n"/>
      <c r="EB4" s="19" t="n"/>
      <c r="EC4" s="19" t="n"/>
      <c r="ED4" s="19" t="n"/>
      <c r="EE4" s="19" t="n"/>
      <c r="EF4" s="19" t="n"/>
      <c r="EG4" s="19" t="n"/>
      <c r="EH4" s="19" t="n"/>
      <c r="EI4" s="19" t="n"/>
      <c r="EJ4" s="19" t="n"/>
      <c r="EK4" s="19" t="n"/>
      <c r="EL4" s="19" t="n"/>
      <c r="EM4" s="19" t="n"/>
      <c r="EN4" s="19" t="n"/>
      <c r="EO4" s="19" t="n"/>
      <c r="EP4" s="19" t="n"/>
      <c r="EQ4" s="19" t="n"/>
      <c r="ER4" s="19" t="n"/>
      <c r="ES4" s="19" t="n"/>
      <c r="ET4" s="19" t="n"/>
      <c r="EU4" s="19" t="n"/>
      <c r="EV4" s="19" t="n"/>
      <c r="EW4" s="19" t="n"/>
      <c r="EX4" s="19" t="n"/>
      <c r="EY4" s="19" t="n"/>
      <c r="EZ4" s="19" t="n"/>
      <c r="FA4" s="19" t="n"/>
      <c r="FB4" s="19" t="n"/>
      <c r="FC4" s="19" t="n"/>
      <c r="FD4" s="19" t="n"/>
      <c r="FE4" s="19" t="n"/>
      <c r="FF4" s="19" t="n"/>
      <c r="FG4" s="19" t="n"/>
      <c r="FH4" s="19" t="n"/>
      <c r="FI4" s="19" t="n"/>
      <c r="FJ4" s="19" t="n"/>
      <c r="FK4" s="19" t="n"/>
      <c r="FL4" s="19" t="n"/>
      <c r="FM4" s="19" t="n"/>
      <c r="FN4" s="19" t="n"/>
      <c r="FO4" s="19" t="n"/>
      <c r="FP4" s="19" t="n"/>
      <c r="FQ4" s="19" t="n"/>
      <c r="FR4" s="19" t="n"/>
      <c r="FS4" s="19" t="n"/>
      <c r="FT4" s="19" t="n"/>
      <c r="FU4" s="19" t="n"/>
      <c r="FV4" s="19" t="n"/>
      <c r="FW4" s="19" t="n"/>
      <c r="FX4" s="19" t="n"/>
      <c r="FY4" s="19" t="n"/>
      <c r="FZ4" s="19" t="n"/>
      <c r="GA4" s="19" t="n"/>
      <c r="GB4" s="19" t="n"/>
      <c r="GC4" s="19" t="n"/>
      <c r="GD4" s="19" t="n"/>
      <c r="GE4" s="19" t="n"/>
      <c r="GF4" s="19" t="n"/>
      <c r="GG4" s="19" t="n"/>
    </row>
    <row r="5" ht="15" customFormat="1" customHeight="1" s="37">
      <c r="A5" s="39" t="n">
        <v>42125</v>
      </c>
      <c r="B5" s="34" t="n">
        <v>5.751036215260576</v>
      </c>
      <c r="C5" s="51" t="n">
        <v>4682.322</v>
      </c>
      <c r="D5" s="35">
        <f>C5*33.33/1000</f>
        <v/>
      </c>
      <c r="E5" s="34">
        <f>D5-'NOPA US Crush'!B431</f>
        <v/>
      </c>
      <c r="F5" s="36">
        <f>1-((D5-E5)/D5)</f>
        <v/>
      </c>
      <c r="G5" s="36">
        <f>1-F5</f>
        <v/>
      </c>
      <c r="H5" s="35">
        <f>((A6-A5)*B5)-D5</f>
        <v/>
      </c>
      <c r="I5" s="36">
        <f>1-(H5/((A6-A5)*B5))</f>
        <v/>
      </c>
      <c r="K5" s="51" t="n">
        <v>3472.958</v>
      </c>
      <c r="L5" s="51" t="n">
        <v>235.33</v>
      </c>
      <c r="M5" s="51" t="n">
        <v>3432.552</v>
      </c>
      <c r="N5" s="51" t="n">
        <v>40.406</v>
      </c>
      <c r="O5" s="51" t="n">
        <v>456.016</v>
      </c>
      <c r="P5" s="51" t="n">
        <v>51.724</v>
      </c>
      <c r="Q5" s="38">
        <f>K5/D5*2</f>
        <v/>
      </c>
      <c r="R5" s="38">
        <f>(K5+L5)/D5*2</f>
        <v/>
      </c>
      <c r="S5" s="38">
        <f>soy_crush!R5-'NOPA US Crush'!E431</f>
        <v/>
      </c>
      <c r="T5" s="36">
        <f>S5/R5</f>
        <v/>
      </c>
      <c r="V5" s="51" t="n">
        <v>1754.179</v>
      </c>
      <c r="W5" s="52" t="n"/>
      <c r="X5" s="51" t="n">
        <v>1439.683</v>
      </c>
      <c r="Y5" s="51" t="n">
        <v>1400.207</v>
      </c>
      <c r="Z5" s="36">
        <f>1-(Y5/X5)</f>
        <v/>
      </c>
      <c r="AA5" s="51" t="n">
        <v>1348.234</v>
      </c>
      <c r="AB5" s="51" t="n">
        <v>269.522</v>
      </c>
      <c r="AC5" s="51" t="n">
        <v>1078.712</v>
      </c>
      <c r="AD5" s="51" t="n">
        <v>1812.875</v>
      </c>
      <c r="AE5" s="51" t="n">
        <v>1054.953</v>
      </c>
      <c r="AF5" s="51" t="n">
        <v>376.449</v>
      </c>
      <c r="AG5" s="51" t="n">
        <v>503.198</v>
      </c>
      <c r="AH5" s="51" t="n"/>
      <c r="AI5" s="51" t="n"/>
      <c r="AJ5" s="38">
        <f>V5/D5</f>
        <v/>
      </c>
      <c r="AK5" s="38" t="n"/>
      <c r="AM5" s="35">
        <f>AJ5+R5</f>
        <v/>
      </c>
    </row>
    <row r="6" ht="15" customFormat="1" customHeight="1" s="37">
      <c r="A6" s="39" t="n">
        <v>42156</v>
      </c>
      <c r="B6" s="34" t="n">
        <v>5.829084018307277</v>
      </c>
      <c r="C6" s="51" t="n">
        <v>4549.103</v>
      </c>
      <c r="D6" s="35">
        <f>C6*33.33/1000</f>
        <v/>
      </c>
      <c r="E6" s="34">
        <f>D6-'NOPA US Crush'!B432</f>
        <v/>
      </c>
      <c r="F6" s="36">
        <f>1-((D6-E6)/D6)</f>
        <v/>
      </c>
      <c r="G6" s="36">
        <f>1-F6</f>
        <v/>
      </c>
      <c r="H6" s="35">
        <f>((A7-A6)*B6)-D6</f>
        <v/>
      </c>
      <c r="I6" s="36">
        <f>1-(H6/((A7-A6)*B6))</f>
        <v/>
      </c>
      <c r="K6" s="51" t="n">
        <v>3380.13</v>
      </c>
      <c r="L6" s="51" t="n">
        <v>226.653</v>
      </c>
      <c r="M6" s="51" t="n">
        <v>3332.573</v>
      </c>
      <c r="N6" s="51" t="n">
        <v>47.557</v>
      </c>
      <c r="O6" s="51" t="n">
        <v>300.225</v>
      </c>
      <c r="P6" s="51" t="n">
        <v>34.4</v>
      </c>
      <c r="Q6" s="38">
        <f>K6/D6*2</f>
        <v/>
      </c>
      <c r="R6" s="38">
        <f>(K6+L6)/D6*2</f>
        <v/>
      </c>
      <c r="S6" s="38">
        <f>soy_crush!R6-'NOPA US Crush'!E432</f>
        <v/>
      </c>
      <c r="T6" s="36">
        <f>S6/R6</f>
        <v/>
      </c>
      <c r="V6" s="51" t="n">
        <v>1708.286</v>
      </c>
      <c r="W6" s="52" t="n"/>
      <c r="X6" s="51" t="n">
        <v>1499.818</v>
      </c>
      <c r="Y6" s="51" t="n">
        <v>1458.282</v>
      </c>
      <c r="Z6" s="36">
        <f>1-(Y6/X6)</f>
        <v/>
      </c>
      <c r="AA6" s="51" t="n">
        <v>1448.372</v>
      </c>
      <c r="AB6" s="51" t="n">
        <v>289.447</v>
      </c>
      <c r="AC6" s="51" t="n">
        <v>1158.925</v>
      </c>
      <c r="AD6" s="51" t="n">
        <v>1773.201</v>
      </c>
      <c r="AE6" s="51" t="n">
        <v>1027.209</v>
      </c>
      <c r="AF6" s="51" t="n">
        <v>380.046</v>
      </c>
      <c r="AG6" s="51" t="n">
        <v>479.131</v>
      </c>
      <c r="AH6" s="51" t="n"/>
      <c r="AI6" s="51" t="n"/>
      <c r="AJ6" s="38">
        <f>V6/D6</f>
        <v/>
      </c>
      <c r="AK6" s="38" t="n"/>
      <c r="AM6" s="35">
        <f>AJ6+R6</f>
        <v/>
      </c>
    </row>
    <row r="7" ht="15" customFormat="1" customHeight="1" s="37">
      <c r="A7" s="39" t="n">
        <v>42186</v>
      </c>
      <c r="B7" s="34" t="n">
        <v>5.88084993494698</v>
      </c>
      <c r="C7" s="51" t="n">
        <v>4672.921</v>
      </c>
      <c r="D7" s="35">
        <f>C7*33.33/1000</f>
        <v/>
      </c>
      <c r="E7" s="34">
        <f>D7-'NOPA US Crush'!B433</f>
        <v/>
      </c>
      <c r="F7" s="36">
        <f>1-((D7-E7)/D7)</f>
        <v/>
      </c>
      <c r="G7" s="36">
        <f>1-F7</f>
        <v/>
      </c>
      <c r="H7" s="35">
        <f>((A8-A7)*B7)-D7</f>
        <v/>
      </c>
      <c r="I7" s="36">
        <f>1-(H7/((A8-A7)*B7))</f>
        <v/>
      </c>
      <c r="K7" s="51" t="n">
        <v>3468.95</v>
      </c>
      <c r="L7" s="51" t="n">
        <v>235.788</v>
      </c>
      <c r="M7" s="51" t="n">
        <v>3412.727</v>
      </c>
      <c r="N7" s="51" t="n">
        <v>56.223</v>
      </c>
      <c r="O7" s="51" t="n">
        <v>310.185</v>
      </c>
      <c r="P7" s="51" t="n">
        <v>36.698</v>
      </c>
      <c r="Q7" s="38">
        <f>K7/D7*2</f>
        <v/>
      </c>
      <c r="R7" s="38">
        <f>(K7+L7)/D7*2</f>
        <v/>
      </c>
      <c r="S7" s="38">
        <f>soy_crush!R7-'NOPA US Crush'!E433</f>
        <v/>
      </c>
      <c r="T7" s="36">
        <f>S7/R7</f>
        <v/>
      </c>
      <c r="V7" s="51" t="n">
        <v>1738.053</v>
      </c>
      <c r="W7" s="52" t="n"/>
      <c r="X7" s="51" t="n">
        <v>1462.35</v>
      </c>
      <c r="Y7" s="51" t="n">
        <v>1425.963</v>
      </c>
      <c r="Z7" s="36">
        <f>1-(Y7/X7)</f>
        <v/>
      </c>
      <c r="AA7" s="51" t="n">
        <v>1410.582</v>
      </c>
      <c r="AB7" s="51" t="n">
        <v>321.77</v>
      </c>
      <c r="AC7" s="51" t="n">
        <v>1088.812</v>
      </c>
      <c r="AD7" s="51" t="n">
        <v>1791.738</v>
      </c>
      <c r="AE7" s="51" t="n">
        <v>993.484</v>
      </c>
      <c r="AF7" s="51" t="n">
        <v>354.715</v>
      </c>
      <c r="AG7" s="51" t="n">
        <v>542.328</v>
      </c>
      <c r="AH7" s="51" t="n"/>
      <c r="AI7" s="51" t="n"/>
      <c r="AJ7" s="38">
        <f>V7/D7</f>
        <v/>
      </c>
      <c r="AK7" s="38" t="n"/>
      <c r="AM7" s="35">
        <f>AJ7+R7</f>
        <v/>
      </c>
    </row>
    <row r="8" ht="15" customFormat="1" customHeight="1" s="37">
      <c r="A8" s="39" t="n">
        <v>42217</v>
      </c>
      <c r="B8" s="34" t="n">
        <v>5.855509317034091</v>
      </c>
      <c r="C8" s="51" t="n">
        <v>4337.34</v>
      </c>
      <c r="D8" s="35">
        <f>C8*33.33/1000</f>
        <v/>
      </c>
      <c r="E8" s="34">
        <f>D8-'NOPA US Crush'!B434</f>
        <v/>
      </c>
      <c r="F8" s="36">
        <f>1-((D8-E8)/D8)</f>
        <v/>
      </c>
      <c r="G8" s="36">
        <f>1-F8</f>
        <v/>
      </c>
      <c r="H8" s="35">
        <f>((A9-A8)*B8)-D8</f>
        <v/>
      </c>
      <c r="I8" s="36">
        <f>1-(H8/((A9-A8)*B8))</f>
        <v/>
      </c>
      <c r="K8" s="51" t="n">
        <v>3193.281</v>
      </c>
      <c r="L8" s="51" t="n">
        <v>223.371</v>
      </c>
      <c r="M8" s="51" t="n">
        <v>3133.606</v>
      </c>
      <c r="N8" s="51" t="n">
        <v>59.675</v>
      </c>
      <c r="O8" s="51" t="n">
        <v>306.757</v>
      </c>
      <c r="P8" s="51" t="n">
        <v>32.48</v>
      </c>
      <c r="Q8" s="38">
        <f>K8/D8*2</f>
        <v/>
      </c>
      <c r="R8" s="38">
        <f>(K8+L8)/D8*2</f>
        <v/>
      </c>
      <c r="S8" s="38">
        <f>soy_crush!R8-'NOPA US Crush'!E434</f>
        <v/>
      </c>
      <c r="T8" s="36">
        <f>S8/R8</f>
        <v/>
      </c>
      <c r="V8" s="51" t="n">
        <v>1626.655</v>
      </c>
      <c r="W8" s="51" t="n">
        <v>116.726</v>
      </c>
      <c r="X8" s="51" t="n">
        <v>1437.891</v>
      </c>
      <c r="Y8" s="51" t="n">
        <v>1406.585</v>
      </c>
      <c r="Z8" s="36">
        <f>1-(Y8/X8)</f>
        <v/>
      </c>
      <c r="AA8" s="51" t="n">
        <v>1394.52</v>
      </c>
      <c r="AB8" s="51" t="n">
        <v>276.717</v>
      </c>
      <c r="AC8" s="51" t="n">
        <v>1117.803</v>
      </c>
      <c r="AD8" s="51" t="n">
        <v>1661.276</v>
      </c>
      <c r="AE8" s="51" t="n">
        <v>823.426</v>
      </c>
      <c r="AF8" s="51" t="n">
        <v>338.446</v>
      </c>
      <c r="AG8" s="51" t="n">
        <v>506.114</v>
      </c>
      <c r="AH8" s="51" t="n"/>
      <c r="AI8" s="51" t="n"/>
      <c r="AJ8" s="38">
        <f>V8/D8</f>
        <v/>
      </c>
      <c r="AK8" s="38" t="n"/>
      <c r="AM8" s="35">
        <f>AJ8+R8</f>
        <v/>
      </c>
    </row>
    <row r="9" ht="15" customFormat="1" customHeight="1" s="37">
      <c r="A9" s="39" t="n">
        <v>42248</v>
      </c>
      <c r="B9" s="34" t="n">
        <v>5.814844672455441</v>
      </c>
      <c r="C9" s="51" t="n">
        <v>4036.896</v>
      </c>
      <c r="D9" s="35">
        <f>C9*33.33/1000</f>
        <v/>
      </c>
      <c r="E9" s="34">
        <f>D9-'NOPA US Crush'!B435</f>
        <v/>
      </c>
      <c r="F9" s="36">
        <f>1-((D9-E9)/D9)</f>
        <v/>
      </c>
      <c r="G9" s="36">
        <f>1-F9</f>
        <v/>
      </c>
      <c r="H9" s="35">
        <f>((A10-A9)*B9)-D9</f>
        <v/>
      </c>
      <c r="I9" s="36">
        <f>1-(H9/((A10-A9)*B9))</f>
        <v/>
      </c>
      <c r="K9" s="51" t="n">
        <v>2974.159</v>
      </c>
      <c r="L9" s="51" t="n">
        <v>200.994</v>
      </c>
      <c r="M9" s="51" t="n">
        <v>2934.985</v>
      </c>
      <c r="N9" s="51" t="n">
        <v>39.174</v>
      </c>
      <c r="O9" s="51" t="n">
        <v>240.755</v>
      </c>
      <c r="P9" s="51" t="n">
        <v>19.709</v>
      </c>
      <c r="Q9" s="38">
        <f>K9/D9*2</f>
        <v/>
      </c>
      <c r="R9" s="38">
        <f>(K9+L9)/D9*2</f>
        <v/>
      </c>
      <c r="S9" s="38">
        <f>soy_crush!R9-'NOPA US Crush'!E435</f>
        <v/>
      </c>
      <c r="T9" s="36">
        <f>S9/R9</f>
        <v/>
      </c>
      <c r="V9" s="51" t="n">
        <v>1531.282</v>
      </c>
      <c r="W9" s="52" t="n"/>
      <c r="X9" s="51" t="n">
        <v>1435.64</v>
      </c>
      <c r="Y9" s="51" t="n">
        <v>1396.101</v>
      </c>
      <c r="Z9" s="36">
        <f>1-(Y9/X9)</f>
        <v/>
      </c>
      <c r="AA9" s="51" t="n">
        <v>1344.392</v>
      </c>
      <c r="AB9" s="51" t="n">
        <v>245.642</v>
      </c>
      <c r="AC9" s="51" t="n">
        <v>1098.75</v>
      </c>
      <c r="AD9" s="51" t="n">
        <v>1516.385</v>
      </c>
      <c r="AE9" s="51" t="n">
        <v>736.754</v>
      </c>
      <c r="AF9" s="51" t="n">
        <v>338.433</v>
      </c>
      <c r="AG9" s="51" t="n">
        <v>504.07</v>
      </c>
      <c r="AH9" s="51" t="n"/>
      <c r="AI9" s="51" t="n"/>
      <c r="AJ9" s="38">
        <f>V9/D9</f>
        <v/>
      </c>
      <c r="AK9" s="38" t="n"/>
      <c r="AM9" s="35">
        <f>AJ9+R9</f>
        <v/>
      </c>
    </row>
    <row r="10" ht="15" customFormat="1" customHeight="1" s="37">
      <c r="A10" s="39" t="n">
        <v>42278</v>
      </c>
      <c r="B10" s="34" t="n">
        <v>5.869297568627646</v>
      </c>
      <c r="C10" s="51" t="n">
        <v>5104.01</v>
      </c>
      <c r="D10" s="35">
        <f>C10*33.33/1000</f>
        <v/>
      </c>
      <c r="E10" s="34">
        <f>D10-'NOPA US Crush'!B436</f>
        <v/>
      </c>
      <c r="F10" s="36">
        <f>1-((D10-E10)/D10)</f>
        <v/>
      </c>
      <c r="G10" s="36">
        <f>1-F10</f>
        <v/>
      </c>
      <c r="H10" s="35">
        <f>((A11-A10)*B10)-D10</f>
        <v/>
      </c>
      <c r="I10" s="36">
        <f>1-(H10/((A11-A10)*B10))</f>
        <v/>
      </c>
      <c r="K10" s="51" t="n">
        <v>3742.412</v>
      </c>
      <c r="L10" s="51" t="n">
        <v>258.909</v>
      </c>
      <c r="M10" s="51" t="n">
        <v>3684.955</v>
      </c>
      <c r="N10" s="51" t="n">
        <v>57.457</v>
      </c>
      <c r="O10" s="51" t="n">
        <v>360.253</v>
      </c>
      <c r="P10" s="51" t="n">
        <v>33.515</v>
      </c>
      <c r="Q10" s="38">
        <f>K10/D10*2</f>
        <v/>
      </c>
      <c r="R10" s="38">
        <f>(K10+L10)/D10*2</f>
        <v/>
      </c>
      <c r="S10" s="38">
        <f>soy_crush!R10-'NOPA US Crush'!E436</f>
        <v/>
      </c>
      <c r="T10" s="36">
        <f>S10/R10</f>
        <v/>
      </c>
      <c r="V10" s="51" t="n">
        <v>1962.937</v>
      </c>
      <c r="W10" s="52" t="n"/>
      <c r="X10" s="51" t="n">
        <v>1610.904</v>
      </c>
      <c r="Y10" s="51" t="n">
        <v>1575.91</v>
      </c>
      <c r="Z10" s="36">
        <f>1-(Y10/X10)</f>
        <v/>
      </c>
      <c r="AA10" s="51" t="n">
        <v>1530.33</v>
      </c>
      <c r="AB10" s="51" t="n">
        <v>272.262</v>
      </c>
      <c r="AC10" s="51" t="n">
        <v>1258.068</v>
      </c>
      <c r="AD10" s="51" t="n">
        <v>1569.861</v>
      </c>
      <c r="AE10" s="51" t="n">
        <v>747.77</v>
      </c>
      <c r="AF10" s="51" t="n">
        <v>370.508</v>
      </c>
      <c r="AG10" s="51" t="n">
        <v>552.0890000000001</v>
      </c>
      <c r="AH10" s="51" t="n"/>
      <c r="AI10" s="51" t="n"/>
      <c r="AJ10" s="38">
        <f>V10/D10</f>
        <v/>
      </c>
      <c r="AK10" s="38" t="n"/>
      <c r="AM10" s="35">
        <f>AJ10+R10</f>
        <v/>
      </c>
    </row>
    <row r="11" ht="15" customFormat="1" customHeight="1" s="37">
      <c r="A11" s="39" t="n">
        <v>42309</v>
      </c>
      <c r="B11" s="34" t="n">
        <v>5.813486332046599</v>
      </c>
      <c r="C11" s="51" t="n">
        <v>4973.534</v>
      </c>
      <c r="D11" s="35">
        <f>C11*33.33/1000</f>
        <v/>
      </c>
      <c r="E11" s="34">
        <f>D11-'NOPA US Crush'!B437</f>
        <v/>
      </c>
      <c r="F11" s="36">
        <f>1-((D11-E11)/D11)</f>
        <v/>
      </c>
      <c r="G11" s="36">
        <f>1-F11</f>
        <v/>
      </c>
      <c r="H11" s="35">
        <f>((A12-A11)*B11)-D11</f>
        <v/>
      </c>
      <c r="I11" s="36">
        <f>1-(H11/((A12-A11)*B11))</f>
        <v/>
      </c>
      <c r="K11" s="51" t="n">
        <v>3655.75</v>
      </c>
      <c r="L11" s="51" t="n">
        <v>251.965</v>
      </c>
      <c r="M11" s="51" t="n">
        <v>3600.752</v>
      </c>
      <c r="N11" s="51" t="n">
        <v>54.998</v>
      </c>
      <c r="O11" s="51" t="n">
        <v>342.962</v>
      </c>
      <c r="P11" s="51" t="n">
        <v>38.826</v>
      </c>
      <c r="Q11" s="38">
        <f>K11/D11*2</f>
        <v/>
      </c>
      <c r="R11" s="38">
        <f>(K11+L11)/D11*2</f>
        <v/>
      </c>
      <c r="S11" s="38">
        <f>soy_crush!R11-'NOPA US Crush'!E437</f>
        <v/>
      </c>
      <c r="T11" s="36">
        <f>S11/R11</f>
        <v/>
      </c>
      <c r="V11" s="51" t="n">
        <v>1901.853</v>
      </c>
      <c r="W11" s="51" t="n">
        <v>90.941</v>
      </c>
      <c r="X11" s="51" t="n">
        <v>1461.965</v>
      </c>
      <c r="Y11" s="51" t="n">
        <v>1433.449</v>
      </c>
      <c r="Z11" s="36">
        <f>1-(Y11/X11)</f>
        <v/>
      </c>
      <c r="AA11" s="51" t="n">
        <v>1390.793</v>
      </c>
      <c r="AB11" s="51" t="n">
        <v>269.683</v>
      </c>
      <c r="AC11" s="51" t="n">
        <v>1121.11</v>
      </c>
      <c r="AD11" s="51" t="n">
        <v>1545.181</v>
      </c>
      <c r="AE11" s="51" t="n">
        <v>750.725</v>
      </c>
      <c r="AF11" s="51" t="n">
        <v>420.677</v>
      </c>
      <c r="AG11" s="51" t="n">
        <v>527.407</v>
      </c>
      <c r="AH11" s="51" t="n"/>
      <c r="AI11" s="51" t="n"/>
      <c r="AJ11" s="38">
        <f>V11/D11</f>
        <v/>
      </c>
      <c r="AK11" s="38" t="n"/>
      <c r="AM11" s="35">
        <f>AJ11+R11</f>
        <v/>
      </c>
    </row>
    <row r="12" ht="15" customFormat="1" customHeight="1" s="37">
      <c r="A12" s="39" t="n">
        <v>42339</v>
      </c>
      <c r="B12" s="34" t="n">
        <v>5.797234119765826</v>
      </c>
      <c r="C12" s="51" t="n">
        <v>5011.324</v>
      </c>
      <c r="D12" s="35">
        <f>C12*33.33/1000</f>
        <v/>
      </c>
      <c r="E12" s="34">
        <f>D12-'NOPA US Crush'!B438</f>
        <v/>
      </c>
      <c r="F12" s="36">
        <f>1-((D12-E12)/D12)</f>
        <v/>
      </c>
      <c r="G12" s="36">
        <f>1-F12</f>
        <v/>
      </c>
      <c r="H12" s="35">
        <f>((A13-A12)*B12)-D12</f>
        <v/>
      </c>
      <c r="I12" s="36">
        <f>1-(H12/((A13-A12)*B12))</f>
        <v/>
      </c>
      <c r="K12" s="51" t="n">
        <v>3669.213</v>
      </c>
      <c r="L12" s="51" t="n">
        <v>262.266</v>
      </c>
      <c r="M12" s="51" t="n">
        <v>3610.09</v>
      </c>
      <c r="N12" s="51" t="n">
        <v>59.123</v>
      </c>
      <c r="O12" s="51" t="n">
        <v>270.421</v>
      </c>
      <c r="P12" s="51" t="n">
        <v>31.927</v>
      </c>
      <c r="Q12" s="38">
        <f>K12/D12*2</f>
        <v/>
      </c>
      <c r="R12" s="38">
        <f>(K12+L12)/D12*2</f>
        <v/>
      </c>
      <c r="S12" s="38">
        <f>soy_crush!R12-'NOPA US Crush'!E438</f>
        <v/>
      </c>
      <c r="T12" s="36">
        <f>S12/R12</f>
        <v/>
      </c>
      <c r="V12" s="51" t="n">
        <v>1929.027</v>
      </c>
      <c r="W12" s="51" t="n">
        <v>112.27</v>
      </c>
      <c r="X12" s="51" t="n">
        <v>1445.949</v>
      </c>
      <c r="Y12" s="51" t="n">
        <v>1401.107</v>
      </c>
      <c r="Z12" s="36">
        <f>1-(Y12/X12)</f>
        <v/>
      </c>
      <c r="AA12" s="51" t="n">
        <v>1337.705</v>
      </c>
      <c r="AB12" s="51" t="n">
        <v>283.908</v>
      </c>
      <c r="AC12" s="51" t="n">
        <v>1053.797</v>
      </c>
      <c r="AD12" s="51" t="n">
        <v>1576.849</v>
      </c>
      <c r="AE12" s="51" t="n">
        <v>778.789</v>
      </c>
      <c r="AF12" s="51" t="n">
        <v>395.661</v>
      </c>
      <c r="AG12" s="51" t="n">
        <v>493.868</v>
      </c>
      <c r="AH12" s="51" t="n"/>
      <c r="AI12" s="51" t="n"/>
      <c r="AJ12" s="38">
        <f>V12/D12</f>
        <v/>
      </c>
      <c r="AK12" s="38" t="n"/>
      <c r="AM12" s="35">
        <f>AJ12+R12</f>
        <v/>
      </c>
    </row>
    <row r="13" ht="15" customFormat="1" customHeight="1" s="37">
      <c r="A13" s="39" t="n">
        <v>42370</v>
      </c>
      <c r="B13" s="34" t="n">
        <v>5.843117302262993</v>
      </c>
      <c r="C13" s="51" t="n">
        <v>4814.044</v>
      </c>
      <c r="D13" s="35">
        <f>C13*33.33/1000</f>
        <v/>
      </c>
      <c r="E13" s="34">
        <f>D13-'NOPA US Crush'!B439</f>
        <v/>
      </c>
      <c r="F13" s="36">
        <f>1-((D13-E13)/D13)</f>
        <v/>
      </c>
      <c r="G13" s="36">
        <f>1-F13</f>
        <v/>
      </c>
      <c r="H13" s="35">
        <f>((A14-A13)*B13)-D13</f>
        <v/>
      </c>
      <c r="I13" s="36">
        <f>1-(H13/((A14-A13)*B13))</f>
        <v/>
      </c>
      <c r="K13" s="51" t="n">
        <v>3539.791</v>
      </c>
      <c r="L13" s="51" t="n">
        <v>256.884</v>
      </c>
      <c r="M13" s="51" t="n">
        <v>3476.488</v>
      </c>
      <c r="N13" s="51" t="n">
        <v>63.303</v>
      </c>
      <c r="O13" s="51" t="n">
        <v>368.063</v>
      </c>
      <c r="P13" s="51" t="n">
        <v>42.235</v>
      </c>
      <c r="Q13" s="38">
        <f>K13/D13*2</f>
        <v/>
      </c>
      <c r="R13" s="38">
        <f>(K13+L13)/D13*2</f>
        <v/>
      </c>
      <c r="S13" s="38">
        <f>soy_crush!R13-'NOPA US Crush'!E439</f>
        <v/>
      </c>
      <c r="T13" s="36">
        <f>S13/R13</f>
        <v/>
      </c>
      <c r="V13" s="51" t="n">
        <v>1864.887</v>
      </c>
      <c r="W13" s="52" t="n"/>
      <c r="X13" s="51" t="n">
        <v>1277.782</v>
      </c>
      <c r="Y13" s="51" t="n">
        <v>1236.602</v>
      </c>
      <c r="Z13" s="36">
        <f>1-(Y13/X13)</f>
        <v/>
      </c>
      <c r="AA13" s="51" t="n">
        <v>1283.248</v>
      </c>
      <c r="AB13" s="51" t="n">
        <v>233.637</v>
      </c>
      <c r="AC13" s="51" t="n">
        <v>1049.611</v>
      </c>
      <c r="AD13" s="51" t="n">
        <v>1724.459</v>
      </c>
      <c r="AE13" s="51" t="n">
        <v>890.95</v>
      </c>
      <c r="AF13" s="51" t="n">
        <v>386.338</v>
      </c>
      <c r="AG13" s="51" t="n">
        <v>492.283</v>
      </c>
      <c r="AH13" s="51" t="n"/>
      <c r="AI13" s="51" t="n"/>
      <c r="AJ13" s="38">
        <f>V13/D13</f>
        <v/>
      </c>
      <c r="AK13" s="38" t="n"/>
      <c r="AM13" s="35">
        <f>AJ13+R13</f>
        <v/>
      </c>
    </row>
    <row r="14" ht="15" customFormat="1" customHeight="1" s="37">
      <c r="A14" s="39" t="n">
        <v>42401</v>
      </c>
      <c r="B14" s="34" t="n">
        <v>5.788408090761248</v>
      </c>
      <c r="C14" s="51" t="n">
        <v>4638.663</v>
      </c>
      <c r="D14" s="35">
        <f>C14*33.33/1000</f>
        <v/>
      </c>
      <c r="E14" s="34">
        <f>D14-'NOPA US Crush'!B440</f>
        <v/>
      </c>
      <c r="F14" s="36">
        <f>1-((D14-E14)/D14)</f>
        <v/>
      </c>
      <c r="G14" s="36">
        <f>1-F14</f>
        <v/>
      </c>
      <c r="H14" s="35">
        <f>((A15-A14)*B14)-D14</f>
        <v/>
      </c>
      <c r="I14" s="36">
        <f>1-(H14/((A15-A14)*B14))</f>
        <v/>
      </c>
      <c r="K14" s="51" t="n">
        <v>3425.236</v>
      </c>
      <c r="L14" s="51" t="n">
        <v>241.078</v>
      </c>
      <c r="M14" s="51" t="n">
        <v>3366.159</v>
      </c>
      <c r="N14" s="51" t="n">
        <v>59.077</v>
      </c>
      <c r="O14" s="51" t="n">
        <v>330.057</v>
      </c>
      <c r="P14" s="51" t="n">
        <v>32.295</v>
      </c>
      <c r="Q14" s="38">
        <f>K14/D14*2</f>
        <v/>
      </c>
      <c r="R14" s="38">
        <f>(K14+L14)/D14*2</f>
        <v/>
      </c>
      <c r="S14" s="38">
        <f>soy_crush!R14-'NOPA US Crush'!E440</f>
        <v/>
      </c>
      <c r="T14" s="36">
        <f>S14/R14</f>
        <v/>
      </c>
      <c r="V14" s="51" t="n">
        <v>1795.866</v>
      </c>
      <c r="W14" s="51" t="n">
        <v>107.789</v>
      </c>
      <c r="X14" s="51" t="n">
        <v>1344.388</v>
      </c>
      <c r="Y14" s="51" t="n">
        <v>1306.085</v>
      </c>
      <c r="Z14" s="36">
        <f>1-(Y14/X14)</f>
        <v/>
      </c>
      <c r="AA14" s="51" t="n">
        <v>1336.284</v>
      </c>
      <c r="AB14" s="51" t="n">
        <v>223.637</v>
      </c>
      <c r="AC14" s="51" t="n">
        <v>1112.647</v>
      </c>
      <c r="AD14" s="51" t="n">
        <v>1880.21</v>
      </c>
      <c r="AE14" s="51" t="n">
        <v>976.8</v>
      </c>
      <c r="AF14" s="51" t="n">
        <v>399.967</v>
      </c>
      <c r="AG14" s="51" t="n">
        <v>532.1369999999999</v>
      </c>
      <c r="AH14" s="51" t="n"/>
      <c r="AI14" s="51" t="n"/>
      <c r="AJ14" s="38">
        <f>V14/D14</f>
        <v/>
      </c>
      <c r="AK14" s="38" t="n"/>
      <c r="AM14" s="35">
        <f>AJ14+R14</f>
        <v/>
      </c>
    </row>
    <row r="15" ht="15" customFormat="1" customHeight="1" s="37">
      <c r="A15" s="39" t="n">
        <v>42430</v>
      </c>
      <c r="B15" s="34" t="n">
        <v>5.813988648266183</v>
      </c>
      <c r="C15" s="51" t="n">
        <v>4991.626</v>
      </c>
      <c r="D15" s="35">
        <f>C15*33.33/1000</f>
        <v/>
      </c>
      <c r="E15" s="34">
        <f>D15-'NOPA US Crush'!B441</f>
        <v/>
      </c>
      <c r="F15" s="36">
        <f>1-((D15-E15)/D15)</f>
        <v/>
      </c>
      <c r="G15" s="36">
        <f>1-F15</f>
        <v/>
      </c>
      <c r="H15" s="35">
        <f>((A16-A15)*B15)-D15</f>
        <v/>
      </c>
      <c r="I15" s="36">
        <f>1-(H15/((A16-A15)*B15))</f>
        <v/>
      </c>
      <c r="K15" s="51" t="n">
        <v>3677.248</v>
      </c>
      <c r="L15" s="51" t="n">
        <v>260.298</v>
      </c>
      <c r="M15" s="51" t="n">
        <v>3613.239</v>
      </c>
      <c r="N15" s="51" t="n">
        <v>64.009</v>
      </c>
      <c r="O15" s="51" t="n">
        <v>302.672</v>
      </c>
      <c r="P15" s="51" t="n">
        <v>35.426</v>
      </c>
      <c r="Q15" s="38">
        <f>K15/D15*2</f>
        <v/>
      </c>
      <c r="R15" s="38">
        <f>(K15+L15)/D15*2</f>
        <v/>
      </c>
      <c r="S15" s="38">
        <f>soy_crush!R15-'NOPA US Crush'!E441</f>
        <v/>
      </c>
      <c r="T15" s="36">
        <f>S15/R15</f>
        <v/>
      </c>
      <c r="V15" s="51" t="n">
        <v>1943.537</v>
      </c>
      <c r="W15" s="51" t="n">
        <v>116.869</v>
      </c>
      <c r="X15" s="51" t="n">
        <v>1438.379</v>
      </c>
      <c r="Y15" s="51" t="n">
        <v>1404.133</v>
      </c>
      <c r="Z15" s="36">
        <f>1-(Y15/X15)</f>
        <v/>
      </c>
      <c r="AA15" s="51" t="n">
        <v>1404.906</v>
      </c>
      <c r="AB15" s="51" t="n">
        <v>265.469</v>
      </c>
      <c r="AC15" s="51" t="n">
        <v>1139.437</v>
      </c>
      <c r="AD15" s="51" t="n">
        <v>1956.599</v>
      </c>
      <c r="AE15" s="51" t="n">
        <v>1013.888</v>
      </c>
      <c r="AF15" s="51" t="n">
        <v>368.327</v>
      </c>
      <c r="AG15" s="51" t="n">
        <v>522.128</v>
      </c>
      <c r="AH15" s="51" t="n"/>
      <c r="AI15" s="51" t="n"/>
      <c r="AJ15" s="38">
        <f>V15/D15</f>
        <v/>
      </c>
      <c r="AK15" s="38" t="n"/>
      <c r="AM15" s="35">
        <f>AJ15+R15</f>
        <v/>
      </c>
    </row>
    <row r="16" ht="15" customFormat="1" customHeight="1" s="37">
      <c r="A16" s="39" t="n">
        <v>42461</v>
      </c>
      <c r="B16" s="34" t="n">
        <v>5.874218262610889</v>
      </c>
      <c r="C16" s="51" t="n">
        <v>4745.09</v>
      </c>
      <c r="D16" s="35">
        <f>C16*33.33/1000</f>
        <v/>
      </c>
      <c r="E16" s="34">
        <f>D16-'NOPA US Crush'!B442</f>
        <v/>
      </c>
      <c r="F16" s="36">
        <f>1-((D16-E16)/D16)</f>
        <v/>
      </c>
      <c r="G16" s="36">
        <f>1-F16</f>
        <v/>
      </c>
      <c r="H16" s="35">
        <f>((A17-A16)*B16)-D16</f>
        <v/>
      </c>
      <c r="I16" s="36">
        <f>1-(H16/((A17-A16)*B16))</f>
        <v/>
      </c>
      <c r="K16" s="51" t="n">
        <v>3502.911</v>
      </c>
      <c r="L16" s="51" t="n">
        <v>243.761</v>
      </c>
      <c r="M16" s="51" t="n">
        <v>3445.72</v>
      </c>
      <c r="N16" s="51" t="n">
        <v>57.191</v>
      </c>
      <c r="O16" s="51" t="n">
        <v>365.653</v>
      </c>
      <c r="P16" s="51" t="n">
        <v>46.616</v>
      </c>
      <c r="Q16" s="38">
        <f>K16/D16*2</f>
        <v/>
      </c>
      <c r="R16" s="38">
        <f>(K16+L16)/D16*2</f>
        <v/>
      </c>
      <c r="S16" s="38">
        <f>soy_crush!R16-'NOPA US Crush'!E442</f>
        <v/>
      </c>
      <c r="T16" s="36">
        <f>S16/R16</f>
        <v/>
      </c>
      <c r="V16" s="51" t="n">
        <v>1840.263</v>
      </c>
      <c r="W16" s="51" t="n">
        <v>89.374</v>
      </c>
      <c r="X16" s="51" t="n">
        <v>1385.229</v>
      </c>
      <c r="Y16" s="51" t="n">
        <v>1352.235</v>
      </c>
      <c r="Z16" s="36">
        <f>1-(Y16/X16)</f>
        <v/>
      </c>
      <c r="AA16" s="51" t="n">
        <v>1359.441</v>
      </c>
      <c r="AB16" s="51" t="n">
        <v>259.093</v>
      </c>
      <c r="AC16" s="51" t="n">
        <v>1100.348</v>
      </c>
      <c r="AD16" s="51" t="n">
        <v>2048.554</v>
      </c>
      <c r="AE16" s="51" t="n">
        <v>1033.659</v>
      </c>
      <c r="AF16" s="51" t="n">
        <v>371.464</v>
      </c>
      <c r="AG16" s="51" t="n">
        <v>563.957</v>
      </c>
      <c r="AH16" s="51" t="n"/>
      <c r="AI16" s="51" t="n"/>
      <c r="AJ16" s="38">
        <f>V16/D16</f>
        <v/>
      </c>
      <c r="AK16" s="38" t="n"/>
      <c r="AM16" s="35">
        <f>AJ16+R16</f>
        <v/>
      </c>
    </row>
    <row r="17" ht="15" customFormat="1" customHeight="1" s="37">
      <c r="A17" s="39" t="n">
        <v>42491</v>
      </c>
      <c r="B17" s="34" t="n">
        <v>5.779861093510964</v>
      </c>
      <c r="C17" s="51" t="n">
        <v>4825.833</v>
      </c>
      <c r="D17" s="35">
        <f>C17*33.33/1000</f>
        <v/>
      </c>
      <c r="E17" s="34">
        <f>D17-'NOPA US Crush'!B443</f>
        <v/>
      </c>
      <c r="F17" s="36">
        <f>1-((D17-E17)/D17)</f>
        <v/>
      </c>
      <c r="G17" s="36">
        <f>1-F17</f>
        <v/>
      </c>
      <c r="H17" s="35">
        <f>((A18-A17)*B17)-D17</f>
        <v/>
      </c>
      <c r="I17" s="36">
        <f>1-(H17/((A18-A17)*B17))</f>
        <v/>
      </c>
      <c r="K17" s="51" t="n">
        <v>3561.181</v>
      </c>
      <c r="L17" s="51" t="n">
        <v>246.358</v>
      </c>
      <c r="M17" s="51" t="n">
        <v>3503.877</v>
      </c>
      <c r="N17" s="51" t="n">
        <v>57.304</v>
      </c>
      <c r="O17" s="51" t="n">
        <v>343.411</v>
      </c>
      <c r="P17" s="51" t="n">
        <v>46.011</v>
      </c>
      <c r="Q17" s="38">
        <f>K17/D17*2</f>
        <v/>
      </c>
      <c r="R17" s="38">
        <f>(K17+L17)/D17*2</f>
        <v/>
      </c>
      <c r="S17" s="38">
        <f>soy_crush!R17-'NOPA US Crush'!E443</f>
        <v/>
      </c>
      <c r="T17" s="36">
        <f>S17/R17</f>
        <v/>
      </c>
      <c r="V17" s="51" t="n">
        <v>1876.184</v>
      </c>
      <c r="W17" s="51" t="n">
        <v>123.277</v>
      </c>
      <c r="X17" s="51" t="n">
        <v>1474.278</v>
      </c>
      <c r="Y17" s="51" t="n">
        <v>1439.174</v>
      </c>
      <c r="Z17" s="36">
        <f>1-(Y17/X17)</f>
        <v/>
      </c>
      <c r="AA17" s="51" t="n">
        <v>1418.293</v>
      </c>
      <c r="AB17" s="51" t="n">
        <v>326.931</v>
      </c>
      <c r="AC17" s="51" t="n">
        <v>1091.362</v>
      </c>
      <c r="AD17" s="51" t="n">
        <v>2063.24</v>
      </c>
      <c r="AE17" s="51" t="n">
        <v>1001.7</v>
      </c>
      <c r="AF17" s="51" t="n">
        <v>402.898</v>
      </c>
      <c r="AG17" s="51" t="n">
        <v>609.886</v>
      </c>
      <c r="AH17" s="51" t="n"/>
      <c r="AI17" s="51" t="n"/>
      <c r="AJ17" s="38">
        <f>V17/D17</f>
        <v/>
      </c>
      <c r="AK17" s="38" t="n"/>
      <c r="AM17" s="35">
        <f>AJ17+R17</f>
        <v/>
      </c>
    </row>
    <row r="18" ht="15" customFormat="1" customHeight="1" s="37">
      <c r="A18" s="39" t="n">
        <v>42522</v>
      </c>
      <c r="B18" s="34" t="n">
        <v>5.81817601058791</v>
      </c>
      <c r="C18" s="51" t="n">
        <v>4623.752</v>
      </c>
      <c r="D18" s="35">
        <f>C18*33.33/1000</f>
        <v/>
      </c>
      <c r="E18" s="34">
        <f>D18-'NOPA US Crush'!B444</f>
        <v/>
      </c>
      <c r="F18" s="36">
        <f>1-((D18-E18)/D18)</f>
        <v/>
      </c>
      <c r="G18" s="36">
        <f>1-F18</f>
        <v/>
      </c>
      <c r="H18" s="35">
        <f>((A19-A18)*B18)-D18</f>
        <v/>
      </c>
      <c r="I18" s="36">
        <f>1-(H18/((A19-A18)*B18))</f>
        <v/>
      </c>
      <c r="K18" s="51" t="n">
        <v>3411.099</v>
      </c>
      <c r="L18" s="51" t="n">
        <v>235.294</v>
      </c>
      <c r="M18" s="51" t="n">
        <v>3355.519</v>
      </c>
      <c r="N18" s="51" t="n">
        <v>55.58</v>
      </c>
      <c r="O18" s="51" t="n">
        <v>281.038</v>
      </c>
      <c r="P18" s="51" t="n">
        <v>30.119</v>
      </c>
      <c r="Q18" s="38">
        <f>K18/D18*2</f>
        <v/>
      </c>
      <c r="R18" s="38">
        <f>(K18+L18)/D18*2</f>
        <v/>
      </c>
      <c r="S18" s="38">
        <f>soy_crush!R18-'NOPA US Crush'!E444</f>
        <v/>
      </c>
      <c r="T18" s="36">
        <f>S18/R18</f>
        <v/>
      </c>
      <c r="V18" s="51" t="n">
        <v>1787.234</v>
      </c>
      <c r="W18" s="51" t="n">
        <v>130.024</v>
      </c>
      <c r="X18" s="51" t="n">
        <v>1407.282</v>
      </c>
      <c r="Y18" s="51" t="n">
        <v>1373.898</v>
      </c>
      <c r="Z18" s="36">
        <f>1-(Y18/X18)</f>
        <v/>
      </c>
      <c r="AA18" s="51" t="n">
        <v>1383.757</v>
      </c>
      <c r="AB18" s="51" t="n">
        <v>323.537</v>
      </c>
      <c r="AC18" s="51" t="n">
        <v>1060.22</v>
      </c>
      <c r="AD18" s="51" t="n">
        <v>2042.738</v>
      </c>
      <c r="AE18" s="51" t="n">
        <v>941.373</v>
      </c>
      <c r="AF18" s="51" t="n">
        <v>381.396</v>
      </c>
      <c r="AG18" s="51" t="n">
        <v>675.586</v>
      </c>
      <c r="AH18" s="51" t="n"/>
      <c r="AI18" s="51" t="n"/>
      <c r="AJ18" s="38">
        <f>V18/D18</f>
        <v/>
      </c>
      <c r="AK18" s="38" t="n"/>
      <c r="AM18" s="35">
        <f>AJ18+R18</f>
        <v/>
      </c>
    </row>
    <row r="19" ht="15" customFormat="1" customHeight="1" s="37">
      <c r="A19" s="39" t="n">
        <v>42552</v>
      </c>
      <c r="B19" s="34" t="n">
        <v>5.850523776604389</v>
      </c>
      <c r="C19" s="51" t="n">
        <v>4603.543</v>
      </c>
      <c r="D19" s="35">
        <f>C19*33.33/1000</f>
        <v/>
      </c>
      <c r="E19" s="34">
        <f>D19-'NOPA US Crush'!B445</f>
        <v/>
      </c>
      <c r="F19" s="36">
        <f>1-((D19-E19)/D19)</f>
        <v/>
      </c>
      <c r="G19" s="36">
        <f>1-F19</f>
        <v/>
      </c>
      <c r="H19" s="35">
        <f>((A20-A19)*B19)-D19</f>
        <v/>
      </c>
      <c r="I19" s="36">
        <f>1-(H19/((A20-A19)*B19))</f>
        <v/>
      </c>
      <c r="K19" s="51" t="n">
        <v>3403.386</v>
      </c>
      <c r="L19" s="51" t="n">
        <v>240.805</v>
      </c>
      <c r="M19" s="51" t="n">
        <v>3344.078</v>
      </c>
      <c r="N19" s="51" t="n">
        <v>59.308</v>
      </c>
      <c r="O19" s="51" t="n">
        <v>419.802</v>
      </c>
      <c r="P19" s="51" t="n">
        <v>39.832</v>
      </c>
      <c r="Q19" s="38">
        <f>K19/D19*2</f>
        <v/>
      </c>
      <c r="R19" s="38">
        <f>(K19+L19)/D19*2</f>
        <v/>
      </c>
      <c r="S19" s="38">
        <f>soy_crush!R19-'NOPA US Crush'!E445</f>
        <v/>
      </c>
      <c r="T19" s="36">
        <f>S19/R19</f>
        <v/>
      </c>
      <c r="V19" s="51" t="n">
        <v>1789.356</v>
      </c>
      <c r="W19" s="51" t="n">
        <v>125.305</v>
      </c>
      <c r="X19" s="51" t="n">
        <v>1469.747</v>
      </c>
      <c r="Y19" s="51" t="n">
        <v>1435.608</v>
      </c>
      <c r="Z19" s="36">
        <f>1-(Y19/X19)</f>
        <v/>
      </c>
      <c r="AA19" s="51" t="n">
        <v>1418.803</v>
      </c>
      <c r="AB19" s="51" t="n">
        <v>357.622</v>
      </c>
      <c r="AC19" s="51" t="n">
        <v>1061.181</v>
      </c>
      <c r="AD19" s="51" t="n">
        <v>1865.797</v>
      </c>
      <c r="AE19" s="51" t="n">
        <v>823.753</v>
      </c>
      <c r="AF19" s="51" t="n">
        <v>348.481</v>
      </c>
      <c r="AG19" s="51" t="n">
        <v>662.609</v>
      </c>
      <c r="AH19" s="51" t="n"/>
      <c r="AI19" s="51" t="n"/>
      <c r="AJ19" s="38">
        <f>V19/D19</f>
        <v/>
      </c>
      <c r="AK19" s="38" t="n"/>
      <c r="AM19" s="35">
        <f>AJ19+R19</f>
        <v/>
      </c>
    </row>
    <row r="20" ht="15" customFormat="1" customHeight="1" s="37">
      <c r="A20" s="39" t="n">
        <v>42583</v>
      </c>
      <c r="B20" s="34" t="n">
        <v>5.844512209323562</v>
      </c>
      <c r="C20" s="51" t="n">
        <v>4218.789</v>
      </c>
      <c r="D20" s="35">
        <f>C20*33.33/1000</f>
        <v/>
      </c>
      <c r="E20" s="34">
        <f>D20-'NOPA US Crush'!B446</f>
        <v/>
      </c>
      <c r="F20" s="36">
        <f>1-((D20-E20)/D20)</f>
        <v/>
      </c>
      <c r="G20" s="36">
        <f>1-F20</f>
        <v/>
      </c>
      <c r="H20" s="35">
        <f>((A21-A20)*B20)-D20</f>
        <v/>
      </c>
      <c r="I20" s="36">
        <f>1-(H20/((A21-A20)*B20))</f>
        <v/>
      </c>
      <c r="K20" s="51" t="n">
        <v>3111.301</v>
      </c>
      <c r="L20" s="51" t="n">
        <v>217.058</v>
      </c>
      <c r="M20" s="51" t="n">
        <v>3049.231</v>
      </c>
      <c r="N20" s="51" t="n">
        <v>62.07</v>
      </c>
      <c r="O20" s="51" t="n">
        <v>247.799</v>
      </c>
      <c r="P20" s="51" t="n">
        <v>26.866</v>
      </c>
      <c r="Q20" s="38">
        <f>K20/D20*2</f>
        <v/>
      </c>
      <c r="R20" s="38">
        <f>(K20+L20)/D20*2</f>
        <v/>
      </c>
      <c r="S20" s="38">
        <f>soy_crush!R20-'NOPA US Crush'!E446</f>
        <v/>
      </c>
      <c r="T20" s="36">
        <f>S20/R20</f>
        <v/>
      </c>
      <c r="V20" s="51" t="n">
        <v>1642.478</v>
      </c>
      <c r="W20" s="51" t="n">
        <v>113.176</v>
      </c>
      <c r="X20" s="51" t="n">
        <v>1455.355</v>
      </c>
      <c r="Y20" s="51" t="n">
        <v>1426.954</v>
      </c>
      <c r="Z20" s="36">
        <f>1-(Y20/X20)</f>
        <v/>
      </c>
      <c r="AA20" s="51" t="n">
        <v>1535.765</v>
      </c>
      <c r="AB20" s="51" t="n">
        <v>360.198</v>
      </c>
      <c r="AC20" s="51" t="n">
        <v>1175.567</v>
      </c>
      <c r="AD20" s="51" t="n">
        <v>1666.531</v>
      </c>
      <c r="AE20" s="51" t="n">
        <v>705.836</v>
      </c>
      <c r="AF20" s="51" t="n">
        <v>319.212</v>
      </c>
      <c r="AG20" s="51" t="n">
        <v>681.074</v>
      </c>
      <c r="AH20" s="51" t="n"/>
      <c r="AI20" s="51" t="n"/>
      <c r="AJ20" s="38">
        <f>V20/D20</f>
        <v/>
      </c>
      <c r="AK20" s="38" t="n"/>
      <c r="AM20" s="35">
        <f>AJ20+R20</f>
        <v/>
      </c>
    </row>
    <row r="21" ht="15" customFormat="1" customHeight="1" s="37">
      <c r="A21" s="39" t="n">
        <v>42614</v>
      </c>
      <c r="B21" s="34" t="n">
        <v>5.812642145738524</v>
      </c>
      <c r="C21" s="51" t="n">
        <v>4148.008</v>
      </c>
      <c r="D21" s="35">
        <f>C21*33.33/1000</f>
        <v/>
      </c>
      <c r="E21" s="34">
        <f>D21-'NOPA US Crush'!B447</f>
        <v/>
      </c>
      <c r="F21" s="36">
        <f>1-((D21-E21)/D21)</f>
        <v/>
      </c>
      <c r="G21" s="36">
        <f>1-F21</f>
        <v/>
      </c>
      <c r="H21" s="35">
        <f>((A22-A21)*B21)-D21</f>
        <v/>
      </c>
      <c r="I21" s="36">
        <f>1-(H21/((A22-A21)*B21))</f>
        <v/>
      </c>
      <c r="K21" s="51" t="n">
        <v>3042.315</v>
      </c>
      <c r="L21" s="51" t="n">
        <v>215.143</v>
      </c>
      <c r="M21" s="51" t="n">
        <v>2999.215</v>
      </c>
      <c r="N21" s="51" t="n">
        <v>43.1</v>
      </c>
      <c r="O21" s="51" t="n">
        <v>233.715</v>
      </c>
      <c r="P21" s="51" t="n">
        <v>30.171</v>
      </c>
      <c r="Q21" s="38">
        <f>K21/D21*2</f>
        <v/>
      </c>
      <c r="R21" s="38">
        <f>(K21+L21)/D21*2</f>
        <v/>
      </c>
      <c r="S21" s="38">
        <f>soy_crush!R21-'NOPA US Crush'!E447</f>
        <v/>
      </c>
      <c r="T21" s="36">
        <f>S21/R21</f>
        <v/>
      </c>
      <c r="V21" s="51" t="n">
        <v>1616.609</v>
      </c>
      <c r="W21" s="51" t="n">
        <v>132.793</v>
      </c>
      <c r="X21" s="51" t="n">
        <v>1397.555</v>
      </c>
      <c r="Y21" s="51" t="n">
        <v>1368.461</v>
      </c>
      <c r="Z21" s="36">
        <f>1-(Y21/X21)</f>
        <v/>
      </c>
      <c r="AA21" s="51" t="n">
        <v>1388.248</v>
      </c>
      <c r="AB21" s="51" t="n">
        <v>286.877</v>
      </c>
      <c r="AC21" s="51" t="n">
        <v>1101.371</v>
      </c>
      <c r="AD21" s="51" t="n">
        <v>1417.4</v>
      </c>
      <c r="AE21" s="51" t="n">
        <v>600.477</v>
      </c>
      <c r="AF21" s="51" t="n">
        <v>269.413</v>
      </c>
      <c r="AG21" s="51" t="n">
        <v>556.996</v>
      </c>
      <c r="AH21" s="51" t="n"/>
      <c r="AI21" s="51" t="n"/>
      <c r="AJ21" s="38">
        <f>V21/D21</f>
        <v/>
      </c>
      <c r="AK21" s="38" t="n"/>
      <c r="AM21" s="35">
        <f>AJ21+R21</f>
        <v/>
      </c>
    </row>
    <row r="22" ht="15" customFormat="1" customHeight="1" s="37">
      <c r="A22" s="39" t="n">
        <v>42644</v>
      </c>
      <c r="B22" s="34" t="n">
        <v>5.872347130243186</v>
      </c>
      <c r="C22" s="51" t="n">
        <v>5276.415</v>
      </c>
      <c r="D22" s="35">
        <f>C22*33.33/1000</f>
        <v/>
      </c>
      <c r="E22" s="34">
        <f>D22-'NOPA US Crush'!B448</f>
        <v/>
      </c>
      <c r="F22" s="36">
        <f>1-((D22-E22)/D22)</f>
        <v/>
      </c>
      <c r="G22" s="36">
        <f>1-F22</f>
        <v/>
      </c>
      <c r="H22" s="35">
        <f>((A23-A22)*B22)-D22</f>
        <v/>
      </c>
      <c r="I22" s="36">
        <f>1-(H22/((A23-A22)*B22))</f>
        <v/>
      </c>
      <c r="K22" s="51" t="n">
        <v>3830.125</v>
      </c>
      <c r="L22" s="51" t="n">
        <v>273.917</v>
      </c>
      <c r="M22" s="51" t="n">
        <v>3767.699</v>
      </c>
      <c r="N22" s="51" t="n">
        <v>62.426</v>
      </c>
      <c r="O22" s="51" t="n">
        <v>335.413</v>
      </c>
      <c r="P22" s="51" t="n">
        <v>42.212</v>
      </c>
      <c r="Q22" s="38">
        <f>K22/D22*2</f>
        <v/>
      </c>
      <c r="R22" s="38">
        <f>(K22+L22)/D22*2</f>
        <v/>
      </c>
      <c r="S22" s="38">
        <f>soy_crush!R22-'NOPA US Crush'!E448</f>
        <v/>
      </c>
      <c r="T22" s="36">
        <f>S22/R22</f>
        <v/>
      </c>
      <c r="V22" s="51" t="n">
        <v>2028.518</v>
      </c>
      <c r="W22" s="52" t="n"/>
      <c r="X22" s="51" t="n">
        <v>1580.814</v>
      </c>
      <c r="Y22" s="51" t="n">
        <v>1542.749</v>
      </c>
      <c r="Z22" s="36">
        <f>1-(Y22/X22)</f>
        <v/>
      </c>
      <c r="AA22" s="51" t="n">
        <v>1579.541</v>
      </c>
      <c r="AB22" s="51" t="n">
        <v>341.093</v>
      </c>
      <c r="AC22" s="51" t="n">
        <v>1238.448</v>
      </c>
      <c r="AD22" s="51" t="n">
        <v>1437.483</v>
      </c>
      <c r="AE22" s="51" t="n">
        <v>592.33</v>
      </c>
      <c r="AF22" s="51" t="n">
        <v>357.828</v>
      </c>
      <c r="AG22" s="51" t="n">
        <v>527.704</v>
      </c>
      <c r="AH22" s="51" t="n"/>
      <c r="AI22" s="51" t="n"/>
      <c r="AJ22" s="38">
        <f>V22/D22</f>
        <v/>
      </c>
      <c r="AK22" s="38" t="n"/>
      <c r="AM22" s="35">
        <f>AJ22+R22</f>
        <v/>
      </c>
    </row>
    <row r="23" ht="15" customFormat="1" customHeight="1" s="37">
      <c r="A23" s="39" t="n">
        <v>42675</v>
      </c>
      <c r="B23" s="34" t="n">
        <v>5.833732477160055</v>
      </c>
      <c r="C23" s="51" t="n">
        <v>5122.038</v>
      </c>
      <c r="D23" s="35">
        <f>C23*33.33/1000</f>
        <v/>
      </c>
      <c r="E23" s="34">
        <f>D23-'NOPA US Crush'!B449</f>
        <v/>
      </c>
      <c r="F23" s="36">
        <f>1-((D23-E23)/D23)</f>
        <v/>
      </c>
      <c r="G23" s="36">
        <f>1-F23</f>
        <v/>
      </c>
      <c r="H23" s="35">
        <f>((A24-A23)*B23)-D23</f>
        <v/>
      </c>
      <c r="I23" s="36">
        <f>1-(H23/((A24-A23)*B23))</f>
        <v/>
      </c>
      <c r="K23" s="51" t="n">
        <v>3739.093</v>
      </c>
      <c r="L23" s="51" t="n">
        <v>273.414</v>
      </c>
      <c r="M23" s="51" t="n">
        <v>3671.317</v>
      </c>
      <c r="N23" s="51" t="n">
        <v>67.776</v>
      </c>
      <c r="O23" s="51" t="n">
        <v>361.959</v>
      </c>
      <c r="P23" s="51" t="n">
        <v>46.074</v>
      </c>
      <c r="Q23" s="38">
        <f>K23/D23*2</f>
        <v/>
      </c>
      <c r="R23" s="38">
        <f>(K23+L23)/D23*2</f>
        <v/>
      </c>
      <c r="S23" s="38">
        <f>soy_crush!R23-'NOPA US Crush'!E449</f>
        <v/>
      </c>
      <c r="T23" s="36">
        <f>S23/R23</f>
        <v/>
      </c>
      <c r="V23" s="51" t="n">
        <v>1961.256</v>
      </c>
      <c r="W23" s="51" t="n">
        <v>114.49</v>
      </c>
      <c r="X23" s="51" t="n">
        <v>1471.587</v>
      </c>
      <c r="Y23" s="51" t="n">
        <v>1438.84</v>
      </c>
      <c r="Z23" s="36">
        <f>1-(Y23/X23)</f>
        <v/>
      </c>
      <c r="AA23" s="51" t="n">
        <v>1463.62</v>
      </c>
      <c r="AB23" s="51" t="n">
        <v>316.103</v>
      </c>
      <c r="AC23" s="51" t="n">
        <v>1147.517</v>
      </c>
      <c r="AD23" s="51" t="n">
        <v>1473.201</v>
      </c>
      <c r="AE23" s="51" t="n">
        <v>618.3200000000001</v>
      </c>
      <c r="AF23" s="51" t="n">
        <v>307.51</v>
      </c>
      <c r="AG23" s="51" t="n">
        <v>528.987</v>
      </c>
      <c r="AH23" s="51" t="n"/>
      <c r="AI23" s="51" t="n"/>
      <c r="AJ23" s="38">
        <f>V23/D23</f>
        <v/>
      </c>
      <c r="AK23" s="38" t="n"/>
      <c r="AM23" s="35">
        <f>AJ23+R23</f>
        <v/>
      </c>
    </row>
    <row r="24" ht="15" customFormat="1" customHeight="1" s="37">
      <c r="A24" s="39" t="n">
        <v>42705</v>
      </c>
      <c r="B24" s="34" t="n">
        <v>5.792358541779906</v>
      </c>
      <c r="C24" s="51" t="n">
        <v>5071.493</v>
      </c>
      <c r="D24" s="35">
        <f>C24*33.33/1000</f>
        <v/>
      </c>
      <c r="E24" s="34">
        <f>D24-'NOPA US Crush'!B450</f>
        <v/>
      </c>
      <c r="F24" s="36">
        <f>1-((D24-E24)/D24)</f>
        <v/>
      </c>
      <c r="G24" s="36">
        <f>1-F24</f>
        <v/>
      </c>
      <c r="H24" s="35">
        <f>((A25-A24)*B24)-D24</f>
        <v/>
      </c>
      <c r="I24" s="36">
        <f>1-(H24/((A25-A24)*B24))</f>
        <v/>
      </c>
      <c r="K24" s="51" t="n">
        <v>3690.668</v>
      </c>
      <c r="L24" s="51" t="n">
        <v>273.479</v>
      </c>
      <c r="M24" s="51" t="n">
        <v>3628.323</v>
      </c>
      <c r="N24" s="51" t="n">
        <v>62.345</v>
      </c>
      <c r="O24" s="51" t="n">
        <v>403.901</v>
      </c>
      <c r="P24" s="51" t="n">
        <v>42.509</v>
      </c>
      <c r="Q24" s="38">
        <f>K24/D24*2</f>
        <v/>
      </c>
      <c r="R24" s="38">
        <f>(K24+L24)/D24*2</f>
        <v/>
      </c>
      <c r="S24" s="38">
        <f>soy_crush!R24-'NOPA US Crush'!E450</f>
        <v/>
      </c>
      <c r="T24" s="36">
        <f>S24/R24</f>
        <v/>
      </c>
      <c r="V24" s="51" t="n">
        <v>1950.176</v>
      </c>
      <c r="W24" s="51" t="n">
        <v>120.2</v>
      </c>
      <c r="X24" s="51" t="n">
        <v>1440.556</v>
      </c>
      <c r="Y24" s="51" t="n">
        <v>1406.505</v>
      </c>
      <c r="Z24" s="36">
        <f>1-(Y24/X24)</f>
        <v/>
      </c>
      <c r="AA24" s="51" t="n">
        <v>1376.935</v>
      </c>
      <c r="AB24" s="51" t="n">
        <v>292.938</v>
      </c>
      <c r="AC24" s="51" t="n">
        <v>1083.997</v>
      </c>
      <c r="AD24" s="51" t="n">
        <v>1505.351</v>
      </c>
      <c r="AE24" s="51" t="n">
        <v>632.124</v>
      </c>
      <c r="AF24" s="51" t="n">
        <v>366.919</v>
      </c>
      <c r="AG24" s="51" t="n">
        <v>569.607</v>
      </c>
      <c r="AH24" s="51" t="n"/>
      <c r="AI24" s="51" t="n"/>
      <c r="AJ24" s="38">
        <f>V24/D24</f>
        <v/>
      </c>
      <c r="AK24" s="38" t="n"/>
      <c r="AM24" s="35">
        <f>AJ24+R24</f>
        <v/>
      </c>
    </row>
    <row r="25" ht="15" customFormat="1" customHeight="1" s="37">
      <c r="A25" s="39" t="n">
        <v>42736</v>
      </c>
      <c r="B25" s="34" t="n">
        <v>5.862063583313751</v>
      </c>
      <c r="C25" s="51" t="n">
        <v>5139.706</v>
      </c>
      <c r="D25" s="35">
        <f>C25*33.33/1000</f>
        <v/>
      </c>
      <c r="E25" s="34">
        <f>D25-'NOPA US Crush'!B451</f>
        <v/>
      </c>
      <c r="F25" s="36">
        <f>1-((D25-E25)/D25)</f>
        <v/>
      </c>
      <c r="G25" s="36">
        <f>1-F25</f>
        <v/>
      </c>
      <c r="H25" s="35">
        <f>((A26-A25)*B25)-D25</f>
        <v/>
      </c>
      <c r="I25" s="36">
        <f>1-(H25/((A26-A25)*B25))</f>
        <v/>
      </c>
      <c r="K25" s="51" t="n">
        <v>3763.462</v>
      </c>
      <c r="L25" s="51" t="n">
        <v>261.739</v>
      </c>
      <c r="M25" s="51" t="n">
        <v>3698.782</v>
      </c>
      <c r="N25" s="51" t="n">
        <v>64.68000000000001</v>
      </c>
      <c r="O25" s="51" t="n">
        <v>394.425</v>
      </c>
      <c r="P25" s="51" t="n">
        <v>40.448</v>
      </c>
      <c r="Q25" s="38">
        <f>K25/D25*2</f>
        <v/>
      </c>
      <c r="R25" s="38">
        <f>(K25+L25)/D25*2</f>
        <v/>
      </c>
      <c r="S25" s="38">
        <f>soy_crush!R25-'NOPA US Crush'!E451</f>
        <v/>
      </c>
      <c r="T25" s="36">
        <f>S25/R25</f>
        <v/>
      </c>
      <c r="V25" s="51" t="n">
        <v>1982.893</v>
      </c>
      <c r="W25" s="51" t="n">
        <v>89.685</v>
      </c>
      <c r="X25" s="51" t="n">
        <v>1370.226</v>
      </c>
      <c r="Y25" s="51" t="n">
        <v>1324.754</v>
      </c>
      <c r="Z25" s="36">
        <f>1-(Y25/X25)</f>
        <v/>
      </c>
      <c r="AA25" s="51" t="n">
        <v>1262.052</v>
      </c>
      <c r="AB25" s="51" t="n">
        <v>195.89</v>
      </c>
      <c r="AC25" s="51" t="n">
        <v>1066.162</v>
      </c>
      <c r="AD25" s="51" t="n">
        <v>1731.033</v>
      </c>
      <c r="AE25" s="51" t="n">
        <v>794.2809999999999</v>
      </c>
      <c r="AF25" s="51" t="n">
        <v>394.664</v>
      </c>
      <c r="AG25" s="51" t="n">
        <v>611.951</v>
      </c>
      <c r="AH25" s="51" t="n"/>
      <c r="AI25" s="51" t="n"/>
      <c r="AJ25" s="38">
        <f>V25/D25</f>
        <v/>
      </c>
      <c r="AK25" s="38" t="n"/>
      <c r="AM25" s="35">
        <f>AJ25+R25</f>
        <v/>
      </c>
    </row>
    <row r="26" ht="15" customFormat="1" customHeight="1" s="37">
      <c r="A26" s="39" t="n">
        <v>42767</v>
      </c>
      <c r="B26" s="34" t="n">
        <v>5.822945489456448</v>
      </c>
      <c r="C26" s="51" t="n">
        <v>4542.336</v>
      </c>
      <c r="D26" s="35">
        <f>C26*33.33/1000</f>
        <v/>
      </c>
      <c r="E26" s="34">
        <f>D26-'NOPA US Crush'!B452</f>
        <v/>
      </c>
      <c r="F26" s="36">
        <f>1-((D26-E26)/D26)</f>
        <v/>
      </c>
      <c r="G26" s="36">
        <f>1-F26</f>
        <v/>
      </c>
      <c r="H26" s="35">
        <f>((A27-A26)*B26)-D26</f>
        <v/>
      </c>
      <c r="I26" s="36">
        <f>1-(H26/((A27-A26)*B26))</f>
        <v/>
      </c>
      <c r="K26" s="51" t="n">
        <v>3331.018</v>
      </c>
      <c r="L26" s="51" t="n">
        <v>228.174</v>
      </c>
      <c r="M26" s="51" t="n">
        <v>3274.552</v>
      </c>
      <c r="N26" s="51" t="n">
        <v>56.466</v>
      </c>
      <c r="O26" s="51" t="n">
        <v>372.404</v>
      </c>
      <c r="P26" s="51" t="n">
        <v>32.408</v>
      </c>
      <c r="Q26" s="38">
        <f>K26/D26*2</f>
        <v/>
      </c>
      <c r="R26" s="38">
        <f>(K26+L26)/D26*2</f>
        <v/>
      </c>
      <c r="S26" s="38">
        <f>soy_crush!R26-'NOPA US Crush'!E452</f>
        <v/>
      </c>
      <c r="T26" s="36">
        <f>S26/R26</f>
        <v/>
      </c>
      <c r="V26" s="51" t="n">
        <v>1757.03</v>
      </c>
      <c r="W26" s="51" t="n">
        <v>75.09999999999999</v>
      </c>
      <c r="X26" s="51" t="n">
        <v>1301.503</v>
      </c>
      <c r="Y26" s="51" t="n">
        <v>1263.314</v>
      </c>
      <c r="Z26" s="36">
        <f>1-(Y26/X26)</f>
        <v/>
      </c>
      <c r="AA26" s="51" t="n">
        <v>1214.787</v>
      </c>
      <c r="AB26" s="51" t="n">
        <v>206.253</v>
      </c>
      <c r="AC26" s="51" t="n">
        <v>1008.534</v>
      </c>
      <c r="AD26" s="51" t="n">
        <v>1801.761</v>
      </c>
      <c r="AE26" s="51" t="n">
        <v>861.399</v>
      </c>
      <c r="AF26" s="51" t="n">
        <v>411.556</v>
      </c>
      <c r="AG26" s="51" t="n">
        <v>595.312</v>
      </c>
      <c r="AH26" s="51" t="n"/>
      <c r="AI26" s="51" t="n"/>
      <c r="AJ26" s="38">
        <f>V26/D26</f>
        <v/>
      </c>
      <c r="AK26" s="38" t="n"/>
      <c r="AM26" s="35">
        <f>AJ26+R26</f>
        <v/>
      </c>
    </row>
    <row r="27" ht="15" customFormat="1" customHeight="1" s="37">
      <c r="A27" s="39" t="n">
        <v>42795</v>
      </c>
      <c r="B27" s="34" t="n">
        <v>5.761507878295641</v>
      </c>
      <c r="C27" s="51" t="n">
        <v>4822.961</v>
      </c>
      <c r="D27" s="35">
        <f>C27*33.33/1000</f>
        <v/>
      </c>
      <c r="E27" s="34">
        <f>D27-'NOPA US Crush'!B453</f>
        <v/>
      </c>
      <c r="F27" s="36">
        <f>1-((D27-E27)/D27)</f>
        <v/>
      </c>
      <c r="G27" s="36">
        <f>1-F27</f>
        <v/>
      </c>
      <c r="H27" s="35">
        <f>((A28-A27)*B27)-D27</f>
        <v/>
      </c>
      <c r="I27" s="36">
        <f>1-(H27/((A28-A27)*B27))</f>
        <v/>
      </c>
      <c r="K27" s="51" t="n">
        <v>3528.733</v>
      </c>
      <c r="L27" s="51" t="n">
        <v>244.932</v>
      </c>
      <c r="M27" s="51" t="n">
        <v>3473.584</v>
      </c>
      <c r="N27" s="51" t="n">
        <v>55.149</v>
      </c>
      <c r="O27" s="51" t="n">
        <v>318.123</v>
      </c>
      <c r="P27" s="51" t="n">
        <v>36.356</v>
      </c>
      <c r="Q27" s="38">
        <f>K27/D27*2</f>
        <v/>
      </c>
      <c r="R27" s="38">
        <f>(K27+L27)/D27*2</f>
        <v/>
      </c>
      <c r="S27" s="38">
        <f>soy_crush!R27-'NOPA US Crush'!E453</f>
        <v/>
      </c>
      <c r="T27" s="36">
        <f>S27/R27</f>
        <v/>
      </c>
      <c r="V27" s="51" t="n">
        <v>1865.466</v>
      </c>
      <c r="W27" s="51" t="n">
        <v>69.857</v>
      </c>
      <c r="X27" s="51" t="n">
        <v>1442.235</v>
      </c>
      <c r="Y27" s="51" t="n">
        <v>1408.289</v>
      </c>
      <c r="Z27" s="36">
        <f>1-(Y27/X27)</f>
        <v/>
      </c>
      <c r="AA27" s="51" t="n">
        <v>1374.783</v>
      </c>
      <c r="AB27" s="51" t="n">
        <v>225.847</v>
      </c>
      <c r="AC27" s="51" t="n">
        <v>1148.936</v>
      </c>
      <c r="AD27" s="51" t="n">
        <v>1934.877</v>
      </c>
      <c r="AE27" s="51" t="n">
        <v>908.252</v>
      </c>
      <c r="AF27" s="51" t="n">
        <v>408.959</v>
      </c>
      <c r="AG27" s="51" t="n">
        <v>648.625</v>
      </c>
      <c r="AH27" s="51" t="n"/>
      <c r="AI27" s="51" t="n"/>
      <c r="AJ27" s="38">
        <f>V27/D27</f>
        <v/>
      </c>
      <c r="AK27" s="38" t="n"/>
      <c r="AM27" s="35">
        <f>AJ27+R27</f>
        <v/>
      </c>
    </row>
    <row r="28" ht="15" customFormat="1" customHeight="1" s="37">
      <c r="A28" s="39" t="n">
        <v>42826</v>
      </c>
      <c r="B28" s="34" t="n">
        <v>5.949597690767245</v>
      </c>
      <c r="C28" s="51" t="n">
        <v>4509.463</v>
      </c>
      <c r="D28" s="35">
        <f>C28*33.33/1000</f>
        <v/>
      </c>
      <c r="E28" s="34">
        <f>D28-'NOPA US Crush'!B454</f>
        <v/>
      </c>
      <c r="F28" s="36">
        <f>1-((D28-E28)/D28)</f>
        <v/>
      </c>
      <c r="G28" s="36">
        <f>1-F28</f>
        <v/>
      </c>
      <c r="H28" s="35">
        <f>((A29-A28)*B28)-D28</f>
        <v/>
      </c>
      <c r="I28" s="36">
        <f>1-(H28/((A29-A28)*B28))</f>
        <v/>
      </c>
      <c r="K28" s="51" t="n">
        <v>3300.745</v>
      </c>
      <c r="L28" s="51" t="n">
        <v>222.754</v>
      </c>
      <c r="M28" s="51" t="n">
        <v>3249.314</v>
      </c>
      <c r="N28" s="51" t="n">
        <v>51.431</v>
      </c>
      <c r="O28" s="51" t="n">
        <v>387.207</v>
      </c>
      <c r="P28" s="51" t="n">
        <v>42.923</v>
      </c>
      <c r="Q28" s="38">
        <f>K28/D28*2</f>
        <v/>
      </c>
      <c r="R28" s="38">
        <f>(K28+L28)/D28*2</f>
        <v/>
      </c>
      <c r="S28" s="38">
        <f>soy_crush!R28-'NOPA US Crush'!E454</f>
        <v/>
      </c>
      <c r="T28" s="36">
        <f>S28/R28</f>
        <v/>
      </c>
      <c r="V28" s="51" t="n">
        <v>1737.775</v>
      </c>
      <c r="W28" s="51" t="n">
        <v>73.685</v>
      </c>
      <c r="X28" s="51" t="n">
        <v>1334.313</v>
      </c>
      <c r="Y28" s="51" t="n">
        <v>1306.589</v>
      </c>
      <c r="Z28" s="36">
        <f>1-(Y28/X28)</f>
        <v/>
      </c>
      <c r="AA28" s="51" t="n">
        <v>1445.439</v>
      </c>
      <c r="AB28" s="51" t="n">
        <v>272.229</v>
      </c>
      <c r="AC28" s="51" t="n">
        <v>1173.21</v>
      </c>
      <c r="AD28" s="51" t="n">
        <v>1848.364</v>
      </c>
      <c r="AE28" s="51" t="n">
        <v>897.851</v>
      </c>
      <c r="AF28" s="51" t="n">
        <v>391.625</v>
      </c>
      <c r="AG28" s="51" t="n">
        <v>602.6559999999999</v>
      </c>
      <c r="AH28" s="51" t="n"/>
      <c r="AI28" s="51" t="n"/>
      <c r="AJ28" s="38">
        <f>V28/D28</f>
        <v/>
      </c>
      <c r="AK28" s="38" t="n"/>
      <c r="AM28" s="35">
        <f>AJ28+R28</f>
        <v/>
      </c>
    </row>
    <row r="29" ht="15" customFormat="1" customHeight="1" s="37">
      <c r="A29" s="39" t="n">
        <v>42856</v>
      </c>
      <c r="B29" s="34" t="n">
        <v>5.867834825545573</v>
      </c>
      <c r="C29" s="51" t="n">
        <v>4739.387</v>
      </c>
      <c r="D29" s="35">
        <f>C29*33.33/1000</f>
        <v/>
      </c>
      <c r="E29" s="34">
        <f>D29-'NOPA US Crush'!B455</f>
        <v/>
      </c>
      <c r="F29" s="36">
        <f>1-((D29-E29)/D29)</f>
        <v/>
      </c>
      <c r="G29" s="36">
        <f>1-F29</f>
        <v/>
      </c>
      <c r="H29" s="35">
        <f>((A30-A29)*B29)-D29</f>
        <v/>
      </c>
      <c r="I29" s="36">
        <f>1-(H29/((A30-A29)*B29))</f>
        <v/>
      </c>
      <c r="K29" s="51" t="n">
        <v>3491.318</v>
      </c>
      <c r="L29" s="51" t="n">
        <v>240.712</v>
      </c>
      <c r="M29" s="51" t="n">
        <v>3439.981</v>
      </c>
      <c r="N29" s="51" t="n">
        <v>51.337</v>
      </c>
      <c r="O29" s="51" t="n">
        <v>375.156</v>
      </c>
      <c r="P29" s="51" t="n">
        <v>52.836</v>
      </c>
      <c r="Q29" s="38">
        <f>K29/D29*2</f>
        <v/>
      </c>
      <c r="R29" s="38">
        <f>(K29+L29)/D29*2</f>
        <v/>
      </c>
      <c r="S29" s="38">
        <f>soy_crush!R29-'NOPA US Crush'!E455</f>
        <v/>
      </c>
      <c r="T29" s="36">
        <f>S29/R29</f>
        <v/>
      </c>
      <c r="V29" s="51" t="n">
        <v>1839.342</v>
      </c>
      <c r="W29" s="51" t="n">
        <v>104.473</v>
      </c>
      <c r="X29" s="51" t="n">
        <v>1483.689</v>
      </c>
      <c r="Y29" s="51" t="n">
        <v>1452.877</v>
      </c>
      <c r="Z29" s="36">
        <f>1-(Y29/X29)</f>
        <v/>
      </c>
      <c r="AA29" s="51" t="n">
        <v>1604.898</v>
      </c>
      <c r="AB29" s="51" t="n">
        <v>317.152</v>
      </c>
      <c r="AC29" s="51" t="n">
        <v>1287.746</v>
      </c>
      <c r="AD29" s="51" t="n">
        <v>1888.717</v>
      </c>
      <c r="AE29" s="51" t="n">
        <v>878.587</v>
      </c>
      <c r="AF29" s="51" t="n">
        <v>380.538</v>
      </c>
      <c r="AG29" s="51" t="n">
        <v>609.718</v>
      </c>
      <c r="AH29" s="51" t="n"/>
      <c r="AI29" s="51" t="n"/>
      <c r="AJ29" s="38">
        <f>V29/D29</f>
        <v/>
      </c>
      <c r="AK29" s="38" t="n"/>
      <c r="AM29" s="35">
        <f>AJ29+R29</f>
        <v/>
      </c>
    </row>
    <row r="30" ht="15" customFormat="1" customHeight="1" s="37">
      <c r="A30" s="39" t="n">
        <v>42887</v>
      </c>
      <c r="B30" s="34" t="n">
        <v>5.963016258957149</v>
      </c>
      <c r="C30" s="51" t="n">
        <v>4446.863</v>
      </c>
      <c r="D30" s="35">
        <f>C30*33.33/1000</f>
        <v/>
      </c>
      <c r="E30" s="34">
        <f>D30-'NOPA US Crush'!B456</f>
        <v/>
      </c>
      <c r="F30" s="36">
        <f>1-((D30-E30)/D30)</f>
        <v/>
      </c>
      <c r="G30" s="36">
        <f>1-F30</f>
        <v/>
      </c>
      <c r="H30" s="35">
        <f>((A31-A30)*B30)-D30</f>
        <v/>
      </c>
      <c r="I30" s="36">
        <f>1-(H30/((A31-A30)*B30))</f>
        <v/>
      </c>
      <c r="K30" s="51" t="n">
        <v>3268.397</v>
      </c>
      <c r="L30" s="51" t="n">
        <v>221.13</v>
      </c>
      <c r="M30" s="51" t="n">
        <v>3216.471</v>
      </c>
      <c r="N30" s="51" t="n">
        <v>51.926</v>
      </c>
      <c r="O30" s="51" t="n">
        <v>314.965</v>
      </c>
      <c r="P30" s="51" t="n">
        <v>35.016</v>
      </c>
      <c r="Q30" s="38">
        <f>K30/D30*2</f>
        <v/>
      </c>
      <c r="R30" s="38">
        <f>(K30+L30)/D30*2</f>
        <v/>
      </c>
      <c r="S30" s="38">
        <f>soy_crush!R30-'NOPA US Crush'!E456</f>
        <v/>
      </c>
      <c r="T30" s="36">
        <f>S30/R30</f>
        <v/>
      </c>
      <c r="V30" s="51" t="n">
        <v>1735.608</v>
      </c>
      <c r="W30" s="52" t="n"/>
      <c r="X30" s="51" t="n">
        <v>1399.831</v>
      </c>
      <c r="Y30" s="51" t="n">
        <v>1357.612</v>
      </c>
      <c r="Z30" s="36">
        <f>1-(Y30/X30)</f>
        <v/>
      </c>
      <c r="AA30" s="51" t="n">
        <v>1370.353</v>
      </c>
      <c r="AB30" s="51" t="n">
        <v>259.743</v>
      </c>
      <c r="AC30" s="51" t="n">
        <v>1110.61</v>
      </c>
      <c r="AD30" s="51" t="n">
        <v>1815.157</v>
      </c>
      <c r="AE30" s="51" t="n">
        <v>798.79</v>
      </c>
      <c r="AF30" s="51" t="n">
        <v>327.721</v>
      </c>
      <c r="AG30" s="51" t="n">
        <v>589.797</v>
      </c>
      <c r="AH30" s="51" t="n"/>
      <c r="AI30" s="51" t="n"/>
      <c r="AJ30" s="38">
        <f>V30/D30</f>
        <v/>
      </c>
      <c r="AK30" s="38" t="n"/>
      <c r="AM30" s="35">
        <f>AJ30+R30</f>
        <v/>
      </c>
    </row>
    <row r="31" ht="15" customFormat="1" customHeight="1" s="37">
      <c r="A31" s="39" t="n">
        <v>42917</v>
      </c>
      <c r="B31" s="34" t="n">
        <v>5.974658646469485</v>
      </c>
      <c r="C31" s="51" t="n">
        <v>4668.68</v>
      </c>
      <c r="D31" s="35">
        <f>C31*33.33/1000</f>
        <v/>
      </c>
      <c r="E31" s="34">
        <f>D31-'NOPA US Crush'!B457</f>
        <v/>
      </c>
      <c r="F31" s="36">
        <f>1-((D31-E31)/D31)</f>
        <v/>
      </c>
      <c r="G31" s="36">
        <f>1-F31</f>
        <v/>
      </c>
      <c r="H31" s="35">
        <f>((A32-A31)*B31)-D31</f>
        <v/>
      </c>
      <c r="I31" s="36">
        <f>1-(H31/((A32-A31)*B31))</f>
        <v/>
      </c>
      <c r="K31" s="51" t="n">
        <v>3400.652</v>
      </c>
      <c r="L31" s="51" t="n">
        <v>237.432</v>
      </c>
      <c r="M31" s="51" t="n">
        <v>3351.973</v>
      </c>
      <c r="N31" s="51" t="n">
        <v>48.679</v>
      </c>
      <c r="O31" s="51" t="n">
        <v>385.868</v>
      </c>
      <c r="P31" s="51" t="n">
        <v>37.831</v>
      </c>
      <c r="Q31" s="38">
        <f>K31/D31*2</f>
        <v/>
      </c>
      <c r="R31" s="38">
        <f>(K31+L31)/D31*2</f>
        <v/>
      </c>
      <c r="S31" s="38">
        <f>soy_crush!R31-'NOPA US Crush'!E457</f>
        <v/>
      </c>
      <c r="T31" s="36">
        <f>S31/R31</f>
        <v/>
      </c>
      <c r="V31" s="51" t="n">
        <v>1801.376</v>
      </c>
      <c r="W31" s="51" t="n">
        <v>108.145</v>
      </c>
      <c r="X31" s="51" t="n">
        <v>1543.943</v>
      </c>
      <c r="Y31" s="51" t="n">
        <v>1496.418</v>
      </c>
      <c r="Z31" s="36">
        <f>1-(Y31/X31)</f>
        <v/>
      </c>
      <c r="AA31" s="51" t="n">
        <v>1349.73</v>
      </c>
      <c r="AB31" s="51" t="n">
        <v>365.42</v>
      </c>
      <c r="AC31" s="51" t="n">
        <v>984.3099999999999</v>
      </c>
      <c r="AD31" s="51" t="n">
        <v>1627.909</v>
      </c>
      <c r="AE31" s="51" t="n">
        <v>719.6319999999999</v>
      </c>
      <c r="AF31" s="51" t="n">
        <v>372.589</v>
      </c>
      <c r="AG31" s="51" t="n">
        <v>538.9880000000001</v>
      </c>
      <c r="AH31" s="51" t="n"/>
      <c r="AI31" s="51" t="n"/>
      <c r="AJ31" s="38">
        <f>V31/D31</f>
        <v/>
      </c>
      <c r="AK31" s="38" t="n"/>
      <c r="AM31" s="35">
        <f>AJ31+R31</f>
        <v/>
      </c>
    </row>
    <row r="32" ht="15" customFormat="1" customHeight="1" s="37">
      <c r="A32" s="39" t="n">
        <v>42948</v>
      </c>
      <c r="B32" s="34" t="n">
        <v>5.90577281007111</v>
      </c>
      <c r="C32" s="51" t="n">
        <v>4548.592</v>
      </c>
      <c r="D32" s="35">
        <f>C32*33.33/1000</f>
        <v/>
      </c>
      <c r="E32" s="34">
        <f>D32-'NOPA US Crush'!B458</f>
        <v/>
      </c>
      <c r="F32" s="36">
        <f>1-((D32-E32)/D32)</f>
        <v/>
      </c>
      <c r="G32" s="36">
        <f>1-F32</f>
        <v/>
      </c>
      <c r="H32" s="35">
        <f>((A33-A32)*B32)-D32</f>
        <v/>
      </c>
      <c r="I32" s="36">
        <f>1-(H32/((A33-A32)*B32))</f>
        <v/>
      </c>
      <c r="K32" s="51" t="n">
        <v>3319.155</v>
      </c>
      <c r="L32" s="51" t="n">
        <v>237.324</v>
      </c>
      <c r="M32" s="51" t="n">
        <v>3269.643</v>
      </c>
      <c r="N32" s="51" t="n">
        <v>49.512</v>
      </c>
      <c r="O32" s="51" t="n">
        <v>290.921</v>
      </c>
      <c r="P32" s="51" t="n">
        <v>35.559</v>
      </c>
      <c r="Q32" s="38">
        <f>K32/D32*2</f>
        <v/>
      </c>
      <c r="R32" s="38">
        <f>(K32+L32)/D32*2</f>
        <v/>
      </c>
      <c r="S32" s="38">
        <f>soy_crush!R32-'NOPA US Crush'!E458</f>
        <v/>
      </c>
      <c r="T32" s="36">
        <f>S32/R32</f>
        <v/>
      </c>
      <c r="V32" s="51" t="n">
        <v>1762.207</v>
      </c>
      <c r="W32" s="52" t="n"/>
      <c r="X32" s="51" t="n">
        <v>1550.365</v>
      </c>
      <c r="Y32" s="51" t="n">
        <v>1515.905</v>
      </c>
      <c r="Z32" s="36">
        <f>1-(Y32/X32)</f>
        <v/>
      </c>
      <c r="AA32" s="51" t="n">
        <v>1452.042</v>
      </c>
      <c r="AB32" s="51" t="n">
        <v>316.698</v>
      </c>
      <c r="AC32" s="51" t="n">
        <v>1135.344</v>
      </c>
      <c r="AD32" s="51" t="n">
        <v>1483.031</v>
      </c>
      <c r="AE32" s="51" t="n">
        <v>598.197</v>
      </c>
      <c r="AF32" s="51" t="n">
        <v>327.31</v>
      </c>
      <c r="AG32" s="51" t="n">
        <v>555.442</v>
      </c>
      <c r="AH32" s="51" t="n"/>
      <c r="AI32" s="51" t="n"/>
      <c r="AJ32" s="38">
        <f>V32/D32</f>
        <v/>
      </c>
      <c r="AK32" s="38" t="n"/>
      <c r="AM32" s="35">
        <f>AJ32+R32</f>
        <v/>
      </c>
    </row>
    <row r="33" ht="15" customFormat="1" customHeight="1" s="37">
      <c r="A33" s="39" t="n">
        <v>42979</v>
      </c>
      <c r="B33" s="34" t="n">
        <v>5.912562940547202</v>
      </c>
      <c r="C33" s="51" t="n">
        <v>4361.207</v>
      </c>
      <c r="D33" s="35">
        <f>C33*33.33/1000</f>
        <v/>
      </c>
      <c r="E33" s="34">
        <f>D33-'NOPA US Crush'!B459</f>
        <v/>
      </c>
      <c r="F33" s="36">
        <f>1-((D33-E33)/D33)</f>
        <v/>
      </c>
      <c r="G33" s="36">
        <f>1-F33</f>
        <v/>
      </c>
      <c r="H33" s="35">
        <f>((A34-A33)*B33)-D33</f>
        <v/>
      </c>
      <c r="I33" s="36">
        <f>1-(H33/((A34-A33)*B33))</f>
        <v/>
      </c>
      <c r="K33" s="51" t="n">
        <v>3188.771</v>
      </c>
      <c r="L33" s="51" t="n">
        <v>219.873</v>
      </c>
      <c r="M33" s="51" t="n">
        <v>3153.899</v>
      </c>
      <c r="N33" s="51" t="n">
        <v>34.872</v>
      </c>
      <c r="O33" s="51" t="n">
        <v>353.758</v>
      </c>
      <c r="P33" s="51" t="n">
        <v>46.872</v>
      </c>
      <c r="Q33" s="38">
        <f>K33/D33*2</f>
        <v/>
      </c>
      <c r="R33" s="38">
        <f>(K33+L33)/D33*2</f>
        <v/>
      </c>
      <c r="S33" s="38">
        <f>soy_crush!R33-'NOPA US Crush'!E459</f>
        <v/>
      </c>
      <c r="T33" s="36">
        <f>S33/R33</f>
        <v/>
      </c>
      <c r="V33" s="51" t="n">
        <v>1701.762</v>
      </c>
      <c r="W33" s="51" t="n">
        <v>63.531</v>
      </c>
      <c r="X33" s="51" t="n">
        <v>1418.28</v>
      </c>
      <c r="Y33" s="51" t="n">
        <v>1389.339</v>
      </c>
      <c r="Z33" s="36">
        <f>1-(Y33/X33)</f>
        <v/>
      </c>
      <c r="AA33" s="51" t="n">
        <v>1377.546</v>
      </c>
      <c r="AB33" s="51" t="n">
        <v>346.194</v>
      </c>
      <c r="AC33" s="51" t="n">
        <v>1031.352</v>
      </c>
      <c r="AD33" s="51" t="n">
        <v>1400.918</v>
      </c>
      <c r="AE33" s="51" t="n">
        <v>601.211</v>
      </c>
      <c r="AF33" s="51" t="n">
        <v>310.036</v>
      </c>
      <c r="AG33" s="51" t="n">
        <v>473.557</v>
      </c>
      <c r="AH33" s="51" t="n"/>
      <c r="AI33" s="51" t="n"/>
      <c r="AJ33" s="38">
        <f>V33/D33</f>
        <v/>
      </c>
      <c r="AK33" s="38" t="n"/>
      <c r="AM33" s="35">
        <f>AJ33+R33</f>
        <v/>
      </c>
    </row>
    <row r="34" ht="15" customFormat="1" customHeight="1" s="37">
      <c r="A34" s="39" t="n">
        <v>43009</v>
      </c>
      <c r="B34" s="34" t="n">
        <v>5.947066997621615</v>
      </c>
      <c r="C34" s="51" t="n">
        <v>5277.397</v>
      </c>
      <c r="D34" s="35">
        <f>C34*33.33/1000</f>
        <v/>
      </c>
      <c r="E34" s="34">
        <f>D34-'NOPA US Crush'!B460</f>
        <v/>
      </c>
      <c r="F34" s="36">
        <f>1-((D34-E34)/D34)</f>
        <v/>
      </c>
      <c r="G34" s="36">
        <f>1-F34</f>
        <v/>
      </c>
      <c r="H34" s="35">
        <f>((A35-A34)*B34)-D34</f>
        <v/>
      </c>
      <c r="I34" s="36">
        <f>1-(H34/((A35-A34)*B34))</f>
        <v/>
      </c>
      <c r="K34" s="51" t="n">
        <v>3847.77</v>
      </c>
      <c r="L34" s="51" t="n">
        <v>276.055</v>
      </c>
      <c r="M34" s="51" t="n">
        <v>3804.878</v>
      </c>
      <c r="N34" s="51" t="n">
        <v>42.892</v>
      </c>
      <c r="O34" s="51" t="n">
        <v>350.935</v>
      </c>
      <c r="P34" s="51" t="n">
        <v>42.368</v>
      </c>
      <c r="Q34" s="38">
        <f>K34/D34*2</f>
        <v/>
      </c>
      <c r="R34" s="38">
        <f>(K34+L34)/D34*2</f>
        <v/>
      </c>
      <c r="S34" s="38">
        <f>soy_crush!R34-'NOPA US Crush'!E460</f>
        <v/>
      </c>
      <c r="T34" s="36">
        <f>S34/R34</f>
        <v/>
      </c>
      <c r="V34" s="51" t="n">
        <v>2016.888</v>
      </c>
      <c r="W34" s="51" t="n">
        <v>84.461</v>
      </c>
      <c r="X34" s="51" t="n">
        <v>1644.069</v>
      </c>
      <c r="Y34" s="51" t="n">
        <v>1601.067</v>
      </c>
      <c r="Z34" s="36">
        <f>1-(Y34/X34)</f>
        <v/>
      </c>
      <c r="AA34" s="51" t="n">
        <v>1554.132</v>
      </c>
      <c r="AB34" s="51" t="n">
        <v>342.622</v>
      </c>
      <c r="AC34" s="51" t="n">
        <v>1211.51</v>
      </c>
      <c r="AD34" s="51" t="n">
        <v>1300.36</v>
      </c>
      <c r="AE34" s="51" t="n">
        <v>567.67</v>
      </c>
      <c r="AF34" s="51" t="n">
        <v>325.863</v>
      </c>
      <c r="AG34" s="51" t="n">
        <v>406.966</v>
      </c>
      <c r="AH34" s="51" t="n"/>
      <c r="AI34" s="51" t="n"/>
      <c r="AJ34" s="38">
        <f>V34/D34</f>
        <v/>
      </c>
      <c r="AK34" s="38" t="n"/>
      <c r="AM34" s="35">
        <f>AJ34+R34</f>
        <v/>
      </c>
    </row>
    <row r="35" ht="15" customFormat="1" customHeight="1" s="37">
      <c r="A35" s="39" t="n">
        <v>43040</v>
      </c>
      <c r="B35" s="34" t="n">
        <v>5.876703193421783</v>
      </c>
      <c r="C35" s="51" t="n">
        <v>5200.462</v>
      </c>
      <c r="D35" s="35">
        <f>C35*33.33/1000</f>
        <v/>
      </c>
      <c r="E35" s="34">
        <f>D35-'NOPA US Crush'!B461</f>
        <v/>
      </c>
      <c r="F35" s="36">
        <f>1-((D35-E35)/D35)</f>
        <v/>
      </c>
      <c r="G35" s="36">
        <f>1-F35</f>
        <v/>
      </c>
      <c r="H35" s="35">
        <f>((A36-A35)*B35)-D35</f>
        <v/>
      </c>
      <c r="I35" s="36">
        <f>1-(H35/((A36-A35)*B35))</f>
        <v/>
      </c>
      <c r="K35" s="51" t="n">
        <v>3829.14</v>
      </c>
      <c r="L35" s="51" t="n">
        <v>272.552</v>
      </c>
      <c r="M35" s="51" t="n">
        <v>3779.048</v>
      </c>
      <c r="N35" s="51" t="n">
        <v>50.092</v>
      </c>
      <c r="O35" s="51" t="n">
        <v>354.998</v>
      </c>
      <c r="P35" s="51" t="n">
        <v>34.11</v>
      </c>
      <c r="Q35" s="38">
        <f>K35/D35*2</f>
        <v/>
      </c>
      <c r="R35" s="38">
        <f>(K35+L35)/D35*2</f>
        <v/>
      </c>
      <c r="S35" s="38">
        <f>soy_crush!R35-'NOPA US Crush'!E461</f>
        <v/>
      </c>
      <c r="T35" s="36">
        <f>S35/R35</f>
        <v/>
      </c>
      <c r="V35" s="51" t="n">
        <v>1977.005</v>
      </c>
      <c r="W35" s="52" t="n"/>
      <c r="X35" s="51" t="n">
        <v>1482.83</v>
      </c>
      <c r="Y35" s="51" t="n">
        <v>1455.439</v>
      </c>
      <c r="Z35" s="36">
        <f>1-(Y35/X35)</f>
        <v/>
      </c>
      <c r="AA35" s="51" t="n">
        <v>1485.032</v>
      </c>
      <c r="AB35" s="51" t="n">
        <v>311.513</v>
      </c>
      <c r="AC35" s="51" t="n">
        <v>1173.519</v>
      </c>
      <c r="AD35" s="51" t="n">
        <v>1379.223</v>
      </c>
      <c r="AE35" s="51" t="n">
        <v>651.572</v>
      </c>
      <c r="AF35" s="51" t="n">
        <v>311.358</v>
      </c>
      <c r="AG35" s="51" t="n">
        <v>450.654</v>
      </c>
      <c r="AH35" s="51" t="n"/>
      <c r="AI35" s="51" t="n"/>
      <c r="AJ35" s="38">
        <f>V35/D35</f>
        <v/>
      </c>
      <c r="AK35" s="38" t="n"/>
      <c r="AM35" s="35">
        <f>AJ35+R35</f>
        <v/>
      </c>
    </row>
    <row r="36" ht="15" customFormat="1" customHeight="1" s="37">
      <c r="A36" s="39" t="n">
        <v>43070</v>
      </c>
      <c r="B36" s="34" t="n">
        <v>5.876168979766157</v>
      </c>
      <c r="C36" s="51" t="n">
        <v>5290.215</v>
      </c>
      <c r="D36" s="35">
        <f>C36*33.33/1000</f>
        <v/>
      </c>
      <c r="E36" s="34">
        <f>D36-'NOPA US Crush'!B462</f>
        <v/>
      </c>
      <c r="F36" s="36">
        <f>1-((D36-E36)/D36)</f>
        <v/>
      </c>
      <c r="G36" s="36">
        <f>1-F36</f>
        <v/>
      </c>
      <c r="H36" s="35">
        <f>((A37-A36)*B36)-D36</f>
        <v/>
      </c>
      <c r="I36" s="36">
        <f>1-(H36/((A37-A36)*B36))</f>
        <v/>
      </c>
      <c r="K36" s="51" t="n">
        <v>3904.161</v>
      </c>
      <c r="L36" s="51" t="n">
        <v>268.856</v>
      </c>
      <c r="M36" s="51" t="n">
        <v>3854.973</v>
      </c>
      <c r="N36" s="51" t="n">
        <v>49.188</v>
      </c>
      <c r="O36" s="51" t="n">
        <v>506.203</v>
      </c>
      <c r="P36" s="51" t="n">
        <v>48.679</v>
      </c>
      <c r="Q36" s="38">
        <f>K36/D36*2</f>
        <v/>
      </c>
      <c r="R36" s="38">
        <f>(K36+L36)/D36*2</f>
        <v/>
      </c>
      <c r="S36" s="38">
        <f>soy_crush!R36-'NOPA US Crush'!E462</f>
        <v/>
      </c>
      <c r="T36" s="36">
        <f>S36/R36</f>
        <v/>
      </c>
      <c r="V36" s="51" t="n">
        <v>2015.256</v>
      </c>
      <c r="W36" s="51" t="n">
        <v>75.616</v>
      </c>
      <c r="X36" s="51" t="n">
        <v>1405.035</v>
      </c>
      <c r="Y36" s="51" t="n">
        <v>1371.822</v>
      </c>
      <c r="Z36" s="36">
        <f>1-(Y36/X36)</f>
        <v/>
      </c>
      <c r="AA36" s="51" t="n">
        <v>1303.54</v>
      </c>
      <c r="AB36" s="51" t="n">
        <v>316.947</v>
      </c>
      <c r="AC36" s="51" t="n">
        <v>986.593</v>
      </c>
      <c r="AD36" s="51" t="n">
        <v>1583.544</v>
      </c>
      <c r="AE36" s="51" t="n">
        <v>775.431</v>
      </c>
      <c r="AF36" s="51" t="n">
        <v>367.13</v>
      </c>
      <c r="AG36" s="51" t="n">
        <v>471.531</v>
      </c>
      <c r="AH36" s="51" t="n"/>
      <c r="AI36" s="51" t="n"/>
      <c r="AJ36" s="38">
        <f>V36/D36</f>
        <v/>
      </c>
      <c r="AK36" s="38" t="n"/>
      <c r="AM36" s="35">
        <f>AJ36+R36</f>
        <v/>
      </c>
    </row>
    <row r="37" ht="15" customFormat="1" customHeight="1" s="37">
      <c r="A37" s="39" t="n">
        <v>43101</v>
      </c>
      <c r="B37" s="34" t="n">
        <v>5.94545965637493</v>
      </c>
      <c r="C37" s="51" t="n">
        <v>5239.827</v>
      </c>
      <c r="D37" s="35">
        <f>C37*33.33/1000</f>
        <v/>
      </c>
      <c r="E37" s="34">
        <f>D37-'NOPA US Crush'!B463</f>
        <v/>
      </c>
      <c r="F37" s="36">
        <f>1-((D37-E37)/D37)</f>
        <v/>
      </c>
      <c r="G37" s="36">
        <f>1-F37</f>
        <v/>
      </c>
      <c r="H37" s="35">
        <f>((A38-A37)*B37)-D37</f>
        <v/>
      </c>
      <c r="I37" s="36">
        <f>1-(H37/((A38-A37)*B37))</f>
        <v/>
      </c>
      <c r="K37" s="51" t="n">
        <v>3859.849</v>
      </c>
      <c r="L37" s="51" t="n">
        <v>268.466</v>
      </c>
      <c r="M37" s="51" t="n">
        <v>3812.768</v>
      </c>
      <c r="N37" s="51" t="n">
        <v>47.081</v>
      </c>
      <c r="O37" s="51" t="n">
        <v>379.359</v>
      </c>
      <c r="P37" s="51" t="n">
        <v>30.652</v>
      </c>
      <c r="Q37" s="38">
        <f>K37/D37*2</f>
        <v/>
      </c>
      <c r="R37" s="38">
        <f>(K37+L37)/D37*2</f>
        <v/>
      </c>
      <c r="S37" s="38">
        <f>soy_crush!R37-'NOPA US Crush'!E463</f>
        <v/>
      </c>
      <c r="T37" s="36">
        <f>S37/R37</f>
        <v/>
      </c>
      <c r="V37" s="51" t="n">
        <v>1995.589</v>
      </c>
      <c r="W37" s="52" t="n"/>
      <c r="X37" s="51" t="n">
        <v>1291.424</v>
      </c>
      <c r="Y37" s="51" t="n">
        <v>1267.093</v>
      </c>
      <c r="Z37" s="36">
        <f>1-(Y37/X37)</f>
        <v/>
      </c>
      <c r="AA37" s="51" t="n">
        <v>1330.992</v>
      </c>
      <c r="AB37" s="51" t="n">
        <v>255.495</v>
      </c>
      <c r="AC37" s="51" t="n">
        <v>1075.497</v>
      </c>
      <c r="AD37" s="51" t="n">
        <v>1886.728</v>
      </c>
      <c r="AE37" s="51" t="n">
        <v>886.164</v>
      </c>
      <c r="AF37" s="51" t="n">
        <v>353.056</v>
      </c>
      <c r="AG37" s="51" t="n">
        <v>631.8200000000001</v>
      </c>
      <c r="AH37" s="51" t="n"/>
      <c r="AI37" s="51" t="n"/>
      <c r="AJ37" s="38">
        <f>V37/D37</f>
        <v/>
      </c>
      <c r="AK37" s="38" t="n"/>
      <c r="AM37" s="35">
        <f>AJ37+R37</f>
        <v/>
      </c>
    </row>
    <row r="38" ht="15" customFormat="1" customHeight="1" s="37">
      <c r="A38" s="39" t="n">
        <v>43132</v>
      </c>
      <c r="B38" s="34" t="n">
        <v>5.960282304334326</v>
      </c>
      <c r="C38" s="51" t="n">
        <v>4948.772</v>
      </c>
      <c r="D38" s="35">
        <f>C38*33.33/1000</f>
        <v/>
      </c>
      <c r="E38" s="34">
        <f>D38-'NOPA US Crush'!B464</f>
        <v/>
      </c>
      <c r="F38" s="36">
        <f>1-((D38-E38)/D38)</f>
        <v/>
      </c>
      <c r="G38" s="36">
        <f>1-F38</f>
        <v/>
      </c>
      <c r="H38" s="35">
        <f>((A39-A38)*B38)-D38</f>
        <v/>
      </c>
      <c r="I38" s="36">
        <f>1-(H38/((A39-A38)*B38))</f>
        <v/>
      </c>
      <c r="K38" s="51" t="n">
        <v>3651.786</v>
      </c>
      <c r="L38" s="51" t="n">
        <v>247.786</v>
      </c>
      <c r="M38" s="51" t="n">
        <v>3610.407</v>
      </c>
      <c r="N38" s="51" t="n">
        <v>41.379</v>
      </c>
      <c r="O38" s="51" t="n">
        <v>415.077</v>
      </c>
      <c r="P38" s="51" t="n">
        <v>40.715</v>
      </c>
      <c r="Q38" s="38">
        <f>K38/D38*2</f>
        <v/>
      </c>
      <c r="R38" s="38">
        <f>(K38+L38)/D38*2</f>
        <v/>
      </c>
      <c r="S38" s="38">
        <f>soy_crush!R38-'NOPA US Crush'!E464</f>
        <v/>
      </c>
      <c r="T38" s="36">
        <f>S38/R38</f>
        <v/>
      </c>
      <c r="V38" s="51" t="n">
        <v>1889.841</v>
      </c>
      <c r="W38" s="52" t="n"/>
      <c r="X38" s="51" t="n">
        <v>1288.769</v>
      </c>
      <c r="Y38" s="51" t="n">
        <v>1259.37</v>
      </c>
      <c r="Z38" s="36">
        <f>1-(Y38/X38)</f>
        <v/>
      </c>
      <c r="AA38" s="51" t="n">
        <v>1302.608</v>
      </c>
      <c r="AB38" s="51" t="n">
        <v>278.903</v>
      </c>
      <c r="AC38" s="51" t="n">
        <v>1023.705</v>
      </c>
      <c r="AD38" s="51" t="n">
        <v>2049.644</v>
      </c>
      <c r="AE38" s="51" t="n">
        <v>928.514</v>
      </c>
      <c r="AF38" s="51" t="n">
        <v>375.738</v>
      </c>
      <c r="AG38" s="51" t="n">
        <v>734.34</v>
      </c>
      <c r="AH38" s="51" t="n"/>
      <c r="AI38" s="51" t="n"/>
      <c r="AJ38" s="38">
        <f>V38/D38</f>
        <v/>
      </c>
      <c r="AK38" s="38" t="n"/>
      <c r="AM38" s="35">
        <f>AJ38+R38</f>
        <v/>
      </c>
    </row>
    <row r="39" ht="15" customFormat="1" customHeight="1" s="37">
      <c r="A39" s="39" t="n">
        <v>43160</v>
      </c>
      <c r="B39" s="34" t="n">
        <v>5.87727517683147</v>
      </c>
      <c r="C39" s="51" t="n">
        <v>5465.24</v>
      </c>
      <c r="D39" s="35">
        <f>C39*33.33/1000</f>
        <v/>
      </c>
      <c r="E39" s="34">
        <f>D39-'NOPA US Crush'!B465</f>
        <v/>
      </c>
      <c r="F39" s="36">
        <f>1-((D39-E39)/D39)</f>
        <v/>
      </c>
      <c r="G39" s="36">
        <f>1-F39</f>
        <v/>
      </c>
      <c r="H39" s="35">
        <f>((A40-A39)*B39)-D39</f>
        <v/>
      </c>
      <c r="I39" s="36">
        <f>1-(H39/((A40-A39)*B39))</f>
        <v/>
      </c>
      <c r="K39" s="51" t="n">
        <v>4029.272</v>
      </c>
      <c r="L39" s="51" t="n">
        <v>277.277</v>
      </c>
      <c r="M39" s="51" t="n">
        <v>3976.961</v>
      </c>
      <c r="N39" s="51" t="n">
        <v>52.311</v>
      </c>
      <c r="O39" s="51" t="n">
        <v>492.224</v>
      </c>
      <c r="P39" s="51" t="n">
        <v>51.967</v>
      </c>
      <c r="Q39" s="38">
        <f>K39/D39*2</f>
        <v/>
      </c>
      <c r="R39" s="38">
        <f>(K39+L39)/D39*2</f>
        <v/>
      </c>
      <c r="S39" s="38">
        <f>soy_crush!R39-'NOPA US Crush'!E465</f>
        <v/>
      </c>
      <c r="T39" s="36">
        <f>S39/R39</f>
        <v/>
      </c>
      <c r="V39" s="51" t="n">
        <v>2079.123</v>
      </c>
      <c r="W39" s="52" t="n"/>
      <c r="X39" s="51" t="n">
        <v>1519.782</v>
      </c>
      <c r="Y39" s="51" t="n">
        <v>1459.498</v>
      </c>
      <c r="Z39" s="36">
        <f>1-(Y39/X39)</f>
        <v/>
      </c>
      <c r="AA39" s="51" t="n">
        <v>1427.523</v>
      </c>
      <c r="AB39" s="51" t="n">
        <v>365.124</v>
      </c>
      <c r="AC39" s="51" t="n">
        <v>1062.399</v>
      </c>
      <c r="AD39" s="51" t="n">
        <v>2080.138</v>
      </c>
      <c r="AE39" s="51" t="n">
        <v>915.122</v>
      </c>
      <c r="AF39" s="51" t="n">
        <v>364.344</v>
      </c>
      <c r="AG39" s="51" t="n">
        <v>802.176</v>
      </c>
      <c r="AH39" s="51" t="n"/>
      <c r="AI39" s="51" t="n"/>
      <c r="AJ39" s="38">
        <f>V39/D39</f>
        <v/>
      </c>
      <c r="AK39" s="38" t="n"/>
      <c r="AM39" s="35">
        <f>AJ39+R39</f>
        <v/>
      </c>
    </row>
    <row r="40" ht="15" customFormat="1" customHeight="1" s="37">
      <c r="A40" s="39" t="n">
        <v>43191</v>
      </c>
      <c r="B40" s="34" t="n">
        <v>5.914651111133689</v>
      </c>
      <c r="C40" s="51" t="n">
        <v>5149.147</v>
      </c>
      <c r="D40" s="35">
        <f>C40*33.33/1000</f>
        <v/>
      </c>
      <c r="E40" s="34">
        <f>D40-'NOPA US Crush'!B466</f>
        <v/>
      </c>
      <c r="F40" s="36">
        <f>1-((D40-E40)/D40)</f>
        <v/>
      </c>
      <c r="G40" s="36">
        <f>1-F40</f>
        <v/>
      </c>
      <c r="H40" s="35">
        <f>((A41-A40)*B40)-D40</f>
        <v/>
      </c>
      <c r="I40" s="36">
        <f>1-(H40/((A41-A40)*B40))</f>
        <v/>
      </c>
      <c r="K40" s="51" t="n">
        <v>3822.338</v>
      </c>
      <c r="L40" s="51" t="n">
        <v>257.585</v>
      </c>
      <c r="M40" s="51" t="n">
        <v>3781.356</v>
      </c>
      <c r="N40" s="51" t="n">
        <v>40.982</v>
      </c>
      <c r="O40" s="51" t="n">
        <v>404.468</v>
      </c>
      <c r="P40" s="51" t="n">
        <v>47.658</v>
      </c>
      <c r="Q40" s="38">
        <f>K40/D40*2</f>
        <v/>
      </c>
      <c r="R40" s="38">
        <f>(K40+L40)/D40*2</f>
        <v/>
      </c>
      <c r="S40" s="38">
        <f>soy_crush!R40-'NOPA US Crush'!E466</f>
        <v/>
      </c>
      <c r="T40" s="36">
        <f>S40/R40</f>
        <v/>
      </c>
      <c r="V40" s="51" t="n">
        <v>1964.922</v>
      </c>
      <c r="W40" s="51" t="n">
        <v>85.56999999999999</v>
      </c>
      <c r="X40" s="51" t="n">
        <v>1477.749</v>
      </c>
      <c r="Y40" s="51" t="n">
        <v>1437.977</v>
      </c>
      <c r="Z40" s="36">
        <f>1-(Y40/X40)</f>
        <v/>
      </c>
      <c r="AA40" s="51" t="n">
        <v>1430.438</v>
      </c>
      <c r="AB40" s="51" t="n">
        <v>315.252</v>
      </c>
      <c r="AC40" s="51" t="n">
        <v>1115.186</v>
      </c>
      <c r="AD40" s="51" t="n">
        <v>2316.192</v>
      </c>
      <c r="AE40" s="51" t="n">
        <v>924.045</v>
      </c>
      <c r="AF40" s="51" t="n">
        <v>372.584</v>
      </c>
      <c r="AG40" s="51" t="n">
        <v>939.4930000000001</v>
      </c>
      <c r="AH40" s="51" t="n"/>
      <c r="AI40" s="51" t="n"/>
      <c r="AJ40" s="38">
        <f>V40/D40</f>
        <v/>
      </c>
      <c r="AK40" s="38" t="n"/>
      <c r="AM40" s="35">
        <f>AJ40+R40</f>
        <v/>
      </c>
    </row>
    <row r="41" ht="15" customFormat="1" customHeight="1" s="37">
      <c r="A41" s="39" t="n">
        <v>43221</v>
      </c>
      <c r="B41" s="34" t="n">
        <v>5.842193890329754</v>
      </c>
      <c r="C41" s="51" t="n">
        <v>5174.04</v>
      </c>
      <c r="D41" s="35">
        <f>C41*33.33/1000</f>
        <v/>
      </c>
      <c r="E41" s="34">
        <f>D41-'NOPA US Crush'!B467</f>
        <v/>
      </c>
      <c r="F41" s="36">
        <f>1-((D41-E41)/D41)</f>
        <v/>
      </c>
      <c r="G41" s="36">
        <f>1-F41</f>
        <v/>
      </c>
      <c r="H41" s="35">
        <f>((A42-A41)*B41)-D41</f>
        <v/>
      </c>
      <c r="I41" s="36">
        <f>1-(H41/((A42-A41)*B41))</f>
        <v/>
      </c>
      <c r="K41" s="51" t="n">
        <v>3846.687</v>
      </c>
      <c r="L41" s="51" t="n">
        <v>262.574</v>
      </c>
      <c r="M41" s="51" t="n">
        <v>3802.225</v>
      </c>
      <c r="N41" s="51" t="n">
        <v>44.462</v>
      </c>
      <c r="O41" s="51" t="n">
        <v>391.812</v>
      </c>
      <c r="P41" s="51" t="n">
        <v>41.315</v>
      </c>
      <c r="Q41" s="38">
        <f>K41/D41*2</f>
        <v/>
      </c>
      <c r="R41" s="38">
        <f>(K41+L41)/D41*2</f>
        <v/>
      </c>
      <c r="S41" s="38">
        <f>soy_crush!R41-'NOPA US Crush'!E467</f>
        <v/>
      </c>
      <c r="T41" s="36">
        <f>S41/R41</f>
        <v/>
      </c>
      <c r="V41" s="51" t="n">
        <v>1966.511</v>
      </c>
      <c r="W41" s="51" t="n">
        <v>92.90900000000001</v>
      </c>
      <c r="X41" s="51" t="n">
        <v>1518.13</v>
      </c>
      <c r="Y41" s="51" t="n">
        <v>1460.035</v>
      </c>
      <c r="Z41" s="36">
        <f>1-(Y41/X41)</f>
        <v/>
      </c>
      <c r="AA41" s="51" t="n">
        <v>1531.29</v>
      </c>
      <c r="AB41" s="51" t="n">
        <v>313.062</v>
      </c>
      <c r="AC41" s="51" t="n">
        <v>1218.228</v>
      </c>
      <c r="AD41" s="51" t="n">
        <v>2002.934</v>
      </c>
      <c r="AE41" s="51" t="n">
        <v>834.579</v>
      </c>
      <c r="AF41" s="51" t="n">
        <v>371.127</v>
      </c>
      <c r="AG41" s="51" t="n">
        <v>709.96</v>
      </c>
      <c r="AH41" s="51" t="n"/>
      <c r="AI41" s="51" t="n"/>
      <c r="AJ41" s="38">
        <f>V41/D41</f>
        <v/>
      </c>
      <c r="AK41" s="38" t="n"/>
      <c r="AM41" s="35">
        <f>AJ41+R41</f>
        <v/>
      </c>
    </row>
    <row r="42" ht="15" customFormat="1" customHeight="1" s="37">
      <c r="A42" s="39" t="n">
        <v>43252</v>
      </c>
      <c r="B42" s="34" t="n">
        <v>5.907994102647259</v>
      </c>
      <c r="C42" s="51" t="n">
        <v>5086.941</v>
      </c>
      <c r="D42" s="35">
        <f>C42*33.33/1000</f>
        <v/>
      </c>
      <c r="E42" s="34">
        <f>D42-'NOPA US Crush'!B468</f>
        <v/>
      </c>
      <c r="F42" s="36">
        <f>1-((D42-E42)/D42)</f>
        <v/>
      </c>
      <c r="G42" s="36">
        <f>1-F42</f>
        <v/>
      </c>
      <c r="H42" s="35">
        <f>((A43-A42)*B42)-D42</f>
        <v/>
      </c>
      <c r="I42" s="36">
        <f>1-(H42/((A43-A42)*B42))</f>
        <v/>
      </c>
      <c r="K42" s="51" t="n">
        <v>3778.127</v>
      </c>
      <c r="L42" s="51" t="n">
        <v>254.192</v>
      </c>
      <c r="M42" s="51" t="n">
        <v>3732.021</v>
      </c>
      <c r="N42" s="51" t="n">
        <v>46.106</v>
      </c>
      <c r="O42" s="51" t="n">
        <v>359.823</v>
      </c>
      <c r="P42" s="51" t="n">
        <v>38.706</v>
      </c>
      <c r="Q42" s="38">
        <f>K42/D42*2</f>
        <v/>
      </c>
      <c r="R42" s="38">
        <f>(K42+L42)/D42*2</f>
        <v/>
      </c>
      <c r="S42" s="38">
        <f>soy_crush!R42-'NOPA US Crush'!E468</f>
        <v/>
      </c>
      <c r="T42" s="36">
        <f>S42/R42</f>
        <v/>
      </c>
      <c r="V42" s="51" t="n">
        <v>1936.907</v>
      </c>
      <c r="W42" s="51" t="n">
        <v>140.802</v>
      </c>
      <c r="X42" s="51" t="n">
        <v>1466.7</v>
      </c>
      <c r="Y42" s="51" t="n">
        <v>1437.343</v>
      </c>
      <c r="Z42" s="36">
        <f>1-(Y42/X42)</f>
        <v/>
      </c>
      <c r="AA42" s="51" t="n">
        <v>1485.297</v>
      </c>
      <c r="AB42" s="51" t="n">
        <v>380.627</v>
      </c>
      <c r="AC42" s="51" t="n">
        <v>1104.67</v>
      </c>
      <c r="AD42" s="51" t="n">
        <v>1933.152</v>
      </c>
      <c r="AE42" s="51" t="n">
        <v>833.122</v>
      </c>
      <c r="AF42" s="51" t="n">
        <v>371.656</v>
      </c>
      <c r="AG42" s="51" t="n">
        <v>768.537</v>
      </c>
      <c r="AH42" s="51" t="n"/>
      <c r="AI42" s="51" t="n"/>
      <c r="AJ42" s="38">
        <f>V42/D42</f>
        <v/>
      </c>
      <c r="AK42" s="38" t="n"/>
      <c r="AM42" s="35">
        <f>AJ42+R42</f>
        <v/>
      </c>
    </row>
    <row r="43" ht="15" customFormat="1" customHeight="1" s="37">
      <c r="A43" s="39" t="n">
        <v>43282</v>
      </c>
      <c r="B43" s="34" t="n">
        <v>5.917014598142061</v>
      </c>
      <c r="C43" s="51" t="n">
        <v>5365.828</v>
      </c>
      <c r="D43" s="35">
        <f>C43*33.33/1000</f>
        <v/>
      </c>
      <c r="E43" s="34">
        <f>D43-'NOPA US Crush'!B469</f>
        <v/>
      </c>
      <c r="F43" s="36">
        <f>1-((D43-E43)/D43)</f>
        <v/>
      </c>
      <c r="G43" s="36">
        <f>1-F43</f>
        <v/>
      </c>
      <c r="H43" s="35">
        <f>((A44-A43)*B43)-D43</f>
        <v/>
      </c>
      <c r="I43" s="36">
        <f>1-(H43/((A44-A43)*B43))</f>
        <v/>
      </c>
      <c r="K43" s="51" t="n">
        <v>3979.12</v>
      </c>
      <c r="L43" s="51" t="n">
        <v>265.562</v>
      </c>
      <c r="M43" s="51" t="n">
        <v>3931.552</v>
      </c>
      <c r="N43" s="51" t="n">
        <v>47.568</v>
      </c>
      <c r="O43" s="51" t="n">
        <v>462.35</v>
      </c>
      <c r="P43" s="51" t="n">
        <v>50.079</v>
      </c>
      <c r="Q43" s="38">
        <f>K43/D43*2</f>
        <v/>
      </c>
      <c r="R43" s="38">
        <f>(K43+L43)/D43*2</f>
        <v/>
      </c>
      <c r="S43" s="38">
        <f>soy_crush!R43-'NOPA US Crush'!E469</f>
        <v/>
      </c>
      <c r="T43" s="36">
        <f>S43/R43</f>
        <v/>
      </c>
      <c r="V43" s="51" t="n">
        <v>2043.323</v>
      </c>
      <c r="W43" s="52" t="n"/>
      <c r="X43" s="51" t="n">
        <v>1470.493</v>
      </c>
      <c r="Y43" s="51" t="n">
        <v>1432.655</v>
      </c>
      <c r="Z43" s="36">
        <f>1-(Y43/X43)</f>
        <v/>
      </c>
      <c r="AA43" s="51" t="n">
        <v>1488.138</v>
      </c>
      <c r="AB43" s="51" t="n">
        <v>360.212</v>
      </c>
      <c r="AC43" s="51" t="n">
        <v>1127.926</v>
      </c>
      <c r="AD43" s="51" t="n">
        <v>1983.666</v>
      </c>
      <c r="AE43" s="51" t="n">
        <v>755.8200000000001</v>
      </c>
      <c r="AF43" s="51" t="n">
        <v>399.98</v>
      </c>
      <c r="AG43" s="51" t="n">
        <v>780.899</v>
      </c>
      <c r="AH43" s="51" t="n"/>
      <c r="AI43" s="51" t="n"/>
      <c r="AJ43" s="38">
        <f>V43/D43</f>
        <v/>
      </c>
      <c r="AK43" s="38" t="n"/>
      <c r="AM43" s="35">
        <f>AJ43+R43</f>
        <v/>
      </c>
    </row>
    <row r="44" ht="15" customFormat="1" customHeight="1" s="37">
      <c r="A44" s="39" t="n">
        <v>43313</v>
      </c>
      <c r="B44" s="34" t="n">
        <v>5.925144269177533</v>
      </c>
      <c r="C44" s="51" t="n">
        <v>5088.884</v>
      </c>
      <c r="D44" s="35">
        <f>C44*33.33/1000</f>
        <v/>
      </c>
      <c r="E44" s="34">
        <f>D44-'NOPA US Crush'!B470</f>
        <v/>
      </c>
      <c r="F44" s="36">
        <f>1-((D44-E44)/D44)</f>
        <v/>
      </c>
      <c r="G44" s="36">
        <f>1-F44</f>
        <v/>
      </c>
      <c r="H44" s="35">
        <f>((A45-A44)*B44)-D44</f>
        <v/>
      </c>
      <c r="I44" s="36">
        <f>1-(H44/((A45-A44)*B44))</f>
        <v/>
      </c>
      <c r="K44" s="51" t="n">
        <v>3771.727</v>
      </c>
      <c r="L44" s="51" t="n">
        <v>259.078</v>
      </c>
      <c r="M44" s="51" t="n">
        <v>3724.433</v>
      </c>
      <c r="N44" s="51" t="n">
        <v>47.294</v>
      </c>
      <c r="O44" s="51" t="n">
        <v>359.936</v>
      </c>
      <c r="P44" s="51" t="n">
        <v>41.117</v>
      </c>
      <c r="Q44" s="38">
        <f>K44/D44*2</f>
        <v/>
      </c>
      <c r="R44" s="38">
        <f>(K44+L44)/D44*2</f>
        <v/>
      </c>
      <c r="S44" s="38">
        <f>soy_crush!R44-'NOPA US Crush'!E470</f>
        <v/>
      </c>
      <c r="T44" s="36">
        <f>S44/R44</f>
        <v/>
      </c>
      <c r="V44" s="51" t="n">
        <v>1944.966</v>
      </c>
      <c r="W44" s="51" t="n">
        <v>115.494</v>
      </c>
      <c r="X44" s="51" t="n">
        <v>1481.276</v>
      </c>
      <c r="Y44" s="51" t="n">
        <v>1448.966</v>
      </c>
      <c r="Z44" s="36">
        <f>1-(Y44/X44)</f>
        <v/>
      </c>
      <c r="AA44" s="51" t="n">
        <v>1533.052</v>
      </c>
      <c r="AB44" s="51" t="n">
        <v>355.841</v>
      </c>
      <c r="AC44" s="51" t="n">
        <v>1177.211</v>
      </c>
      <c r="AD44" s="51" t="n">
        <v>1843.912</v>
      </c>
      <c r="AE44" s="51" t="n">
        <v>710.679</v>
      </c>
      <c r="AF44" s="51" t="n">
        <v>370.887</v>
      </c>
      <c r="AG44" s="51" t="n">
        <v>722.747</v>
      </c>
      <c r="AH44" s="51" t="n"/>
      <c r="AI44" s="51" t="n"/>
      <c r="AJ44" s="38">
        <f>V44/D44</f>
        <v/>
      </c>
      <c r="AK44" s="38" t="n"/>
      <c r="AM44" s="35">
        <f>AJ44+R44</f>
        <v/>
      </c>
    </row>
    <row r="45" ht="15" customFormat="1" customHeight="1" s="37">
      <c r="A45" s="39" t="n">
        <v>43344</v>
      </c>
      <c r="B45" s="34" t="n">
        <v>5.847048633148695</v>
      </c>
      <c r="C45" s="51" t="n">
        <v>5089.48</v>
      </c>
      <c r="D45" s="35">
        <f>C45*33.33/1000</f>
        <v/>
      </c>
      <c r="E45" s="34">
        <f>D45-'NOPA US Crush'!B471</f>
        <v/>
      </c>
      <c r="F45" s="36">
        <f>1-((D45-E45)/D45)</f>
        <v/>
      </c>
      <c r="G45" s="36">
        <f>1-F45</f>
        <v/>
      </c>
      <c r="H45" s="35">
        <f>((A46-A45)*B45)-D45</f>
        <v/>
      </c>
      <c r="I45" s="36">
        <f>1-(H45/((A46-A45)*B45))</f>
        <v/>
      </c>
      <c r="K45" s="51" t="n">
        <v>3740.681</v>
      </c>
      <c r="L45" s="51" t="n">
        <v>254.965</v>
      </c>
      <c r="M45" s="51" t="n">
        <v>3701.593</v>
      </c>
      <c r="N45" s="51" t="n">
        <v>39.088</v>
      </c>
      <c r="O45" s="51" t="n">
        <v>501.299</v>
      </c>
      <c r="P45" s="51" t="n">
        <v>54.125</v>
      </c>
      <c r="Q45" s="38">
        <f>K45/D45*2</f>
        <v/>
      </c>
      <c r="R45" s="38">
        <f>(K45+L45)/D45*2</f>
        <v/>
      </c>
      <c r="S45" s="38">
        <f>soy_crush!R45-'NOPA US Crush'!E471</f>
        <v/>
      </c>
      <c r="T45" s="36">
        <f>S45/R45</f>
        <v/>
      </c>
      <c r="V45" s="51" t="n">
        <v>1942.097</v>
      </c>
      <c r="W45" s="51" t="n">
        <v>140.147</v>
      </c>
      <c r="X45" s="51" t="n">
        <v>1494.848</v>
      </c>
      <c r="Y45" s="51" t="n">
        <v>1467.768</v>
      </c>
      <c r="Z45" s="36">
        <f>1-(Y45/X45)</f>
        <v/>
      </c>
      <c r="AA45" s="51" t="n">
        <v>1543.916</v>
      </c>
      <c r="AB45" s="51" t="n">
        <v>414.862</v>
      </c>
      <c r="AC45" s="51" t="n">
        <v>1129.054</v>
      </c>
      <c r="AD45" s="51" t="n">
        <v>1648.347</v>
      </c>
      <c r="AE45" s="51" t="n">
        <v>680.37</v>
      </c>
      <c r="AF45" s="51" t="n">
        <v>347.087</v>
      </c>
      <c r="AG45" s="51" t="n">
        <v>672.34</v>
      </c>
      <c r="AH45" s="51" t="n"/>
      <c r="AI45" s="51" t="n"/>
      <c r="AJ45" s="38">
        <f>V45/D45</f>
        <v/>
      </c>
      <c r="AK45" s="38" t="n"/>
      <c r="AM45" s="35">
        <f>AJ45+R45</f>
        <v/>
      </c>
    </row>
    <row r="46" ht="15" customFormat="1" customHeight="1" s="37">
      <c r="A46" s="39" t="n">
        <v>43374</v>
      </c>
      <c r="B46" s="34" t="n">
        <v>5.908879355420475</v>
      </c>
      <c r="C46" s="51" t="n">
        <v>5506.753</v>
      </c>
      <c r="D46" s="35">
        <f>C46*33.33/1000</f>
        <v/>
      </c>
      <c r="E46" s="34">
        <f>D46-'NOPA US Crush'!B472</f>
        <v/>
      </c>
      <c r="F46" s="36">
        <f>1-((D46-E46)/D46)</f>
        <v/>
      </c>
      <c r="G46" s="36">
        <f>1-F46</f>
        <v/>
      </c>
      <c r="H46" s="35">
        <f>((A47-A46)*B46)-D46</f>
        <v/>
      </c>
      <c r="I46" s="36">
        <f>1-(H46/((A47-A46)*B46))</f>
        <v/>
      </c>
      <c r="K46" s="51" t="n">
        <v>4020.038</v>
      </c>
      <c r="L46" s="51" t="n">
        <v>270.986</v>
      </c>
      <c r="M46" s="51" t="n">
        <v>3988.542</v>
      </c>
      <c r="N46" s="51" t="n">
        <v>31.496</v>
      </c>
      <c r="O46" s="51" t="n">
        <v>399.414</v>
      </c>
      <c r="P46" s="51" t="n">
        <v>45.457</v>
      </c>
      <c r="Q46" s="38">
        <f>K46/D46*2</f>
        <v/>
      </c>
      <c r="R46" s="38">
        <f>(K46+L46)/D46*2</f>
        <v/>
      </c>
      <c r="S46" s="38">
        <f>soy_crush!R46-'NOPA US Crush'!E472</f>
        <v/>
      </c>
      <c r="T46" s="36">
        <f>S46/R46</f>
        <v/>
      </c>
      <c r="V46" s="51" t="n">
        <v>2134.553</v>
      </c>
      <c r="W46" s="51" t="n">
        <v>92.901</v>
      </c>
      <c r="X46" s="51" t="n">
        <v>1601.041</v>
      </c>
      <c r="Y46" s="51" t="n">
        <v>1568.355</v>
      </c>
      <c r="Z46" s="36">
        <f>1-(Y46/X46)</f>
        <v/>
      </c>
      <c r="AA46" s="51" t="n">
        <v>1606.335</v>
      </c>
      <c r="AB46" s="51" t="n">
        <v>435.381</v>
      </c>
      <c r="AC46" s="51" t="n">
        <v>1170.954</v>
      </c>
      <c r="AD46" s="51" t="n">
        <v>1700.684</v>
      </c>
      <c r="AE46" s="51" t="n">
        <v>689.9450000000001</v>
      </c>
      <c r="AF46" s="51" t="n">
        <v>346.867</v>
      </c>
      <c r="AG46" s="51" t="n">
        <v>598.973</v>
      </c>
      <c r="AH46" s="51" t="n"/>
      <c r="AI46" s="51" t="n"/>
      <c r="AJ46" s="38">
        <f>V46/D46</f>
        <v/>
      </c>
      <c r="AK46" s="38" t="n"/>
      <c r="AM46" s="35">
        <f>AJ46+R46</f>
        <v/>
      </c>
    </row>
    <row r="47" ht="15" customFormat="1" customHeight="1" s="37">
      <c r="A47" s="39" t="n">
        <v>43405</v>
      </c>
      <c r="B47" s="34" t="n">
        <v>5.91952784917982</v>
      </c>
      <c r="C47" s="51" t="n">
        <v>5343.053</v>
      </c>
      <c r="D47" s="35">
        <f>C47*33.33/1000</f>
        <v/>
      </c>
      <c r="E47" s="34">
        <f>D47-'NOPA US Crush'!B473</f>
        <v/>
      </c>
      <c r="F47" s="36">
        <f>1-((D47-E47)/D47)</f>
        <v/>
      </c>
      <c r="G47" s="36">
        <f>1-F47</f>
        <v/>
      </c>
      <c r="H47" s="35">
        <f>((A48-A47)*B47)-D47</f>
        <v/>
      </c>
      <c r="I47" s="36">
        <f>1-(H47/((A48-A47)*B47))</f>
        <v/>
      </c>
      <c r="K47" s="51" t="n">
        <v>3889.342</v>
      </c>
      <c r="L47" s="51" t="n">
        <v>265.758</v>
      </c>
      <c r="M47" s="51" t="n">
        <v>3860.368</v>
      </c>
      <c r="N47" s="51" t="n">
        <v>28.974</v>
      </c>
      <c r="O47" s="51" t="n">
        <v>294.996</v>
      </c>
      <c r="P47" s="51" t="n">
        <v>40.459</v>
      </c>
      <c r="Q47" s="38">
        <f>K47/D47*2</f>
        <v/>
      </c>
      <c r="R47" s="38">
        <f>(K47+L47)/D47*2</f>
        <v/>
      </c>
      <c r="S47" s="38">
        <f>soy_crush!R47-'NOPA US Crush'!E473</f>
        <v/>
      </c>
      <c r="T47" s="36">
        <f>S47/R47</f>
        <v/>
      </c>
      <c r="V47" s="51" t="n">
        <v>2060.563</v>
      </c>
      <c r="W47" s="52" t="n"/>
      <c r="X47" s="51" t="n">
        <v>1496.018</v>
      </c>
      <c r="Y47" s="51" t="n">
        <v>1456.902</v>
      </c>
      <c r="Z47" s="36">
        <f>1-(Y47/X47)</f>
        <v/>
      </c>
      <c r="AA47" s="51" t="n">
        <v>1549.491</v>
      </c>
      <c r="AB47" s="51" t="n">
        <v>441.168</v>
      </c>
      <c r="AC47" s="51" t="n">
        <v>1108.323</v>
      </c>
      <c r="AD47" s="51" t="n">
        <v>1582.363</v>
      </c>
      <c r="AE47" s="51" t="n">
        <v>711.421</v>
      </c>
      <c r="AF47" s="51" t="n">
        <v>317.91</v>
      </c>
      <c r="AG47" s="51" t="n"/>
      <c r="AH47" s="51" t="n"/>
      <c r="AI47" s="51" t="n"/>
      <c r="AJ47" s="38">
        <f>V47/D47</f>
        <v/>
      </c>
      <c r="AK47" s="38" t="n"/>
      <c r="AM47" s="35">
        <f>AJ47+R47</f>
        <v/>
      </c>
    </row>
    <row r="48" ht="15" customFormat="1" customHeight="1" s="37">
      <c r="A48" s="39" t="n">
        <v>43435</v>
      </c>
      <c r="B48" s="34" t="n">
        <v>5.940035649659325</v>
      </c>
      <c r="C48" s="51" t="n">
        <v>5513.266</v>
      </c>
      <c r="D48" s="35">
        <f>C48*33.33/1000</f>
        <v/>
      </c>
      <c r="E48" s="34">
        <f>D48-'NOPA US Crush'!B474</f>
        <v/>
      </c>
      <c r="F48" s="36">
        <f>1-((D48-E48)/D48)</f>
        <v/>
      </c>
      <c r="G48" s="36">
        <f>1-F48</f>
        <v/>
      </c>
      <c r="H48" s="35">
        <f>((A49-A48)*B48)-D48</f>
        <v/>
      </c>
      <c r="I48" s="36">
        <f>1-(H48/((A49-A48)*B48))</f>
        <v/>
      </c>
      <c r="K48" s="51" t="n">
        <v>4016.547</v>
      </c>
      <c r="L48" s="51" t="n">
        <v>279.141</v>
      </c>
      <c r="M48" s="51" t="n">
        <v>3971.237</v>
      </c>
      <c r="N48" s="51" t="n">
        <v>45.31</v>
      </c>
      <c r="O48" s="51" t="n">
        <v>394.444</v>
      </c>
      <c r="P48" s="51" t="n">
        <v>40.662</v>
      </c>
      <c r="Q48" s="38">
        <f>K48/D48*2</f>
        <v/>
      </c>
      <c r="R48" s="38">
        <f>(K48+L48)/D48*2</f>
        <v/>
      </c>
      <c r="S48" s="38">
        <f>soy_crush!R48-'NOPA US Crush'!E474</f>
        <v/>
      </c>
      <c r="T48" s="36">
        <f>S48/R48</f>
        <v/>
      </c>
      <c r="V48" s="51" t="n">
        <v>2135.37</v>
      </c>
      <c r="W48" s="51" t="n">
        <v>119.209</v>
      </c>
      <c r="X48" s="51" t="n">
        <v>1479.059</v>
      </c>
      <c r="Y48" s="51" t="n">
        <v>1451.026</v>
      </c>
      <c r="Z48" s="36">
        <f>1-(Y48/X48)</f>
        <v/>
      </c>
      <c r="AA48" s="51" t="n">
        <v>1522.135</v>
      </c>
      <c r="AB48" s="51" t="n">
        <v>464.458</v>
      </c>
      <c r="AC48" s="51" t="n">
        <v>1057.677</v>
      </c>
      <c r="AD48" s="51" t="n">
        <v>1601.77</v>
      </c>
      <c r="AE48" s="51" t="n">
        <v>712.207</v>
      </c>
      <c r="AF48" s="51" t="n">
        <v>344.078</v>
      </c>
      <c r="AG48" s="51" t="n">
        <v>469.959</v>
      </c>
      <c r="AH48" s="51" t="n"/>
      <c r="AI48" s="51" t="n"/>
      <c r="AJ48" s="38">
        <f>V48/D48</f>
        <v/>
      </c>
      <c r="AK48" s="38" t="n"/>
      <c r="AM48" s="35">
        <f>AJ48+R48</f>
        <v/>
      </c>
    </row>
    <row r="49" ht="15" customFormat="1" customHeight="1" s="37">
      <c r="A49" s="39" t="n">
        <v>43466</v>
      </c>
      <c r="B49" s="34" t="n">
        <v>5.919025022664243</v>
      </c>
      <c r="C49" s="51" t="n">
        <v>5492.127</v>
      </c>
      <c r="D49" s="35">
        <f>C49*33.33/1000</f>
        <v/>
      </c>
      <c r="E49" s="34">
        <f>D49-'NOPA US Crush'!B475</f>
        <v/>
      </c>
      <c r="F49" s="36">
        <f>1-((D49-E49)/D49)</f>
        <v/>
      </c>
      <c r="G49" s="36">
        <f>1-F49</f>
        <v/>
      </c>
      <c r="H49" s="35">
        <f>((A50-A49)*B49)-D49</f>
        <v/>
      </c>
      <c r="I49" s="36">
        <f>1-(H49/((A50-A49)*B49))</f>
        <v/>
      </c>
      <c r="K49" s="51" t="n">
        <v>3988.737</v>
      </c>
      <c r="L49" s="51" t="n">
        <v>280.766</v>
      </c>
      <c r="M49" s="51" t="n">
        <v>3946.158</v>
      </c>
      <c r="N49" s="51" t="n">
        <v>42.579</v>
      </c>
      <c r="O49" s="51" t="n">
        <v>380.224</v>
      </c>
      <c r="P49" s="51" t="n">
        <v>39.577</v>
      </c>
      <c r="Q49" s="38">
        <f>K49/D49*2</f>
        <v/>
      </c>
      <c r="R49" s="38">
        <f>(K49+L49)/D49*2</f>
        <v/>
      </c>
      <c r="S49" s="38">
        <f>soy_crush!R49-'NOPA US Crush'!E475</f>
        <v/>
      </c>
      <c r="T49" s="36">
        <f>S49/R49</f>
        <v/>
      </c>
      <c r="V49" s="51" t="n">
        <v>2115.799</v>
      </c>
      <c r="W49" s="51" t="n">
        <v>123.436</v>
      </c>
      <c r="X49" s="51" t="n">
        <v>1425.415</v>
      </c>
      <c r="Y49" s="51" t="n">
        <v>1397.805</v>
      </c>
      <c r="Z49" s="36">
        <f>1-(Y49/X49)</f>
        <v/>
      </c>
      <c r="AA49" s="51" t="n">
        <v>1411.818</v>
      </c>
      <c r="AB49" s="51" t="n">
        <v>375.92</v>
      </c>
      <c r="AC49" s="51" t="n">
        <v>1035.898</v>
      </c>
      <c r="AD49" s="51" t="n">
        <v>1659.501</v>
      </c>
      <c r="AE49" s="51" t="n">
        <v>795.8819999999999</v>
      </c>
      <c r="AF49" s="51" t="n">
        <v>345.227</v>
      </c>
      <c r="AG49" s="51" t="n">
        <v>424.645</v>
      </c>
      <c r="AH49" s="51" t="n"/>
      <c r="AI49" s="51" t="n"/>
      <c r="AJ49" s="38">
        <f>V49/D49</f>
        <v/>
      </c>
      <c r="AK49" s="38" t="n"/>
      <c r="AM49" s="35">
        <f>AJ49+R49</f>
        <v/>
      </c>
    </row>
    <row r="50" ht="15" customFormat="1" customHeight="1" s="37">
      <c r="A50" s="39" t="n">
        <v>43497</v>
      </c>
      <c r="B50" s="34" t="n">
        <v>5.837424332356479</v>
      </c>
      <c r="C50" s="51" t="n">
        <v>4883.434</v>
      </c>
      <c r="D50" s="35">
        <f>C50*33.33/1000</f>
        <v/>
      </c>
      <c r="E50" s="34">
        <f>D50-'NOPA US Crush'!B476</f>
        <v/>
      </c>
      <c r="F50" s="36">
        <f>1-((D50-E50)/D50)</f>
        <v/>
      </c>
      <c r="G50" s="36">
        <f>1-F50</f>
        <v/>
      </c>
      <c r="H50" s="35">
        <f>((A51-A50)*B50)-D50</f>
        <v/>
      </c>
      <c r="I50" s="36">
        <f>1-(H50/((A51-A50)*B50))</f>
        <v/>
      </c>
      <c r="K50" s="51" t="n">
        <v>3583.222</v>
      </c>
      <c r="L50" s="51" t="n">
        <v>253.395</v>
      </c>
      <c r="M50" s="51" t="n">
        <v>3542.305</v>
      </c>
      <c r="N50" s="51" t="n">
        <v>40.917</v>
      </c>
      <c r="O50" s="51" t="n">
        <v>263.515</v>
      </c>
      <c r="P50" s="51" t="n">
        <v>31.364</v>
      </c>
      <c r="Q50" s="38">
        <f>K50/D50*2</f>
        <v/>
      </c>
      <c r="R50" s="38">
        <f>(K50+L50)/D50*2</f>
        <v/>
      </c>
      <c r="S50" s="38">
        <f>soy_crush!R50-'NOPA US Crush'!E476</f>
        <v/>
      </c>
      <c r="T50" s="36">
        <f>S50/R50</f>
        <v/>
      </c>
      <c r="V50" s="51" t="n">
        <v>1899.196</v>
      </c>
      <c r="W50" s="51" t="n">
        <v>112.98</v>
      </c>
      <c r="X50" s="51" t="n">
        <v>1317.633</v>
      </c>
      <c r="Y50" s="51" t="n">
        <v>1287.932</v>
      </c>
      <c r="Z50" s="36">
        <f>1-(Y50/X50)</f>
        <v/>
      </c>
      <c r="AA50" s="51" t="n">
        <v>1296.996</v>
      </c>
      <c r="AB50" s="51" t="n">
        <v>336.52</v>
      </c>
      <c r="AC50" s="51" t="n">
        <v>960.476</v>
      </c>
      <c r="AD50" s="51" t="n">
        <v>1762.965</v>
      </c>
      <c r="AE50" s="51" t="n">
        <v>851.704</v>
      </c>
      <c r="AF50" s="51" t="n">
        <v>386.165</v>
      </c>
      <c r="AG50" s="51" t="n"/>
      <c r="AH50" s="51" t="n"/>
      <c r="AI50" s="51" t="n"/>
      <c r="AJ50" s="38">
        <f>V50/D50</f>
        <v/>
      </c>
      <c r="AK50" s="38" t="n"/>
      <c r="AM50" s="35">
        <f>AJ50+R50</f>
        <v/>
      </c>
    </row>
    <row r="51" ht="15" customFormat="1" customHeight="1" s="37">
      <c r="A51" s="39" t="n">
        <v>43525</v>
      </c>
      <c r="B51" s="34" t="n">
        <v>6.041290594021937</v>
      </c>
      <c r="C51" s="51" t="n">
        <v>5383.008</v>
      </c>
      <c r="D51" s="35">
        <f>C51*33.33/1000</f>
        <v/>
      </c>
      <c r="E51" s="34">
        <f>D51-'NOPA US Crush'!B477</f>
        <v/>
      </c>
      <c r="F51" s="36">
        <f>1-((D51-E51)/D51)</f>
        <v/>
      </c>
      <c r="G51" s="36">
        <f>1-F51</f>
        <v/>
      </c>
      <c r="H51" s="35">
        <f>((A52-A51)*B51)-D51</f>
        <v/>
      </c>
      <c r="I51" s="36">
        <f>1-(H51/((A52-A51)*B51))</f>
        <v/>
      </c>
      <c r="K51" s="51" t="n">
        <v>3926.558</v>
      </c>
      <c r="L51" s="51" t="n">
        <v>274.26</v>
      </c>
      <c r="M51" s="51" t="n">
        <v>3879.565</v>
      </c>
      <c r="N51" s="51" t="n">
        <v>46.993</v>
      </c>
      <c r="O51" s="51" t="n">
        <v>465.159</v>
      </c>
      <c r="P51" s="51" t="n">
        <v>44.934</v>
      </c>
      <c r="Q51" s="38">
        <f>K51/D51*2</f>
        <v/>
      </c>
      <c r="R51" s="38">
        <f>(K51+L51)/D51*2</f>
        <v/>
      </c>
      <c r="S51" s="38">
        <f>soy_crush!R51-'NOPA US Crush'!E477</f>
        <v/>
      </c>
      <c r="T51" s="36">
        <f>S51/R51</f>
        <v/>
      </c>
      <c r="V51" s="51" t="n">
        <v>2094.418</v>
      </c>
      <c r="W51" s="51" t="n">
        <v>99.527</v>
      </c>
      <c r="X51" s="51" t="n">
        <v>1443.099</v>
      </c>
      <c r="Y51" s="51" t="n">
        <v>1413.729</v>
      </c>
      <c r="Z51" s="36">
        <f>1-(Y51/X51)</f>
        <v/>
      </c>
      <c r="AA51" s="51" t="n">
        <v>1466.744</v>
      </c>
      <c r="AB51" s="51" t="n">
        <v>406.124</v>
      </c>
      <c r="AC51" s="51" t="n">
        <v>1060.62</v>
      </c>
      <c r="AD51" s="51" t="n">
        <v>1893.918</v>
      </c>
      <c r="AE51" s="51" t="n">
        <v>942.477</v>
      </c>
      <c r="AF51" s="51" t="n">
        <v>339.011</v>
      </c>
      <c r="AG51" s="51" t="n"/>
      <c r="AH51" s="51" t="n"/>
      <c r="AI51" s="51" t="n"/>
      <c r="AJ51" s="38">
        <f>V51/D51</f>
        <v/>
      </c>
      <c r="AK51" s="38" t="n"/>
      <c r="AM51" s="35">
        <f>AJ51+R51</f>
        <v/>
      </c>
    </row>
    <row r="52" ht="15" customFormat="1" customHeight="1" s="37">
      <c r="A52" s="39" t="n">
        <v>43556</v>
      </c>
      <c r="B52" s="34" t="n">
        <v>6.150756952039557</v>
      </c>
      <c r="C52" s="51" t="n">
        <v>5146.403</v>
      </c>
      <c r="D52" s="35">
        <f>C52*33.33/1000</f>
        <v/>
      </c>
      <c r="E52" s="34">
        <f>D52-'NOPA US Crush'!B478</f>
        <v/>
      </c>
      <c r="F52" s="36">
        <f>1-((D52-E52)/D52)</f>
        <v/>
      </c>
      <c r="G52" s="36">
        <f>1-F52</f>
        <v/>
      </c>
      <c r="H52" s="35">
        <f>((A53-A52)*B52)-D52</f>
        <v/>
      </c>
      <c r="I52" s="36">
        <f>1-(H52/((A53-A52)*B52))</f>
        <v/>
      </c>
      <c r="K52" s="51" t="n">
        <v>3763.527</v>
      </c>
      <c r="L52" s="51" t="n">
        <v>259.021</v>
      </c>
      <c r="M52" s="51" t="n">
        <v>3722.534</v>
      </c>
      <c r="N52" s="51" t="n">
        <v>40.993</v>
      </c>
      <c r="O52" s="51" t="n">
        <v>337.326</v>
      </c>
      <c r="P52" s="51" t="n">
        <v>47.847</v>
      </c>
      <c r="Q52" s="38">
        <f>K52/D52*2</f>
        <v/>
      </c>
      <c r="R52" s="38">
        <f>(K52+L52)/D52*2</f>
        <v/>
      </c>
      <c r="S52" s="38">
        <f>soy_crush!R52-'NOPA US Crush'!E478</f>
        <v/>
      </c>
      <c r="T52" s="36">
        <f>S52/R52</f>
        <v/>
      </c>
      <c r="V52" s="51" t="n">
        <v>1989.101</v>
      </c>
      <c r="W52" s="51" t="n">
        <v>90.051</v>
      </c>
      <c r="X52" s="51" t="n">
        <v>1496.995</v>
      </c>
      <c r="Y52" s="51" t="n">
        <v>1460.651</v>
      </c>
      <c r="Z52" s="36">
        <f>1-(Y52/X52)</f>
        <v/>
      </c>
      <c r="AA52" s="51" t="n">
        <v>1528.83</v>
      </c>
      <c r="AB52" s="51" t="n">
        <v>413.572</v>
      </c>
      <c r="AC52" s="51" t="n">
        <v>1115.258</v>
      </c>
      <c r="AD52" s="51" t="n">
        <v>1893.351</v>
      </c>
      <c r="AE52" s="51" t="n">
        <v>916.266</v>
      </c>
      <c r="AF52" s="51" t="n">
        <v>364.255</v>
      </c>
      <c r="AG52" s="51" t="n"/>
      <c r="AH52" s="51" t="n"/>
      <c r="AI52" s="51" t="n"/>
      <c r="AJ52" s="38">
        <f>V52/D52</f>
        <v/>
      </c>
      <c r="AK52" s="38" t="n"/>
      <c r="AM52" s="35">
        <f>AJ52+R52</f>
        <v/>
      </c>
    </row>
    <row r="53" ht="15" customFormat="1" customHeight="1" s="37">
      <c r="A53" s="39" t="n">
        <v>43586</v>
      </c>
      <c r="B53" s="34" t="n">
        <v>6.257856347166851</v>
      </c>
      <c r="C53" s="51" t="n">
        <v>4963.271</v>
      </c>
      <c r="D53" s="35">
        <f>C53*33.33/1000</f>
        <v/>
      </c>
      <c r="E53" s="34">
        <f>D53-'NOPA US Crush'!B479</f>
        <v/>
      </c>
      <c r="F53" s="36">
        <f>1-((D53-E53)/D53)</f>
        <v/>
      </c>
      <c r="G53" s="36">
        <f>1-F53</f>
        <v/>
      </c>
      <c r="H53" s="35">
        <f>((A54-A53)*B53)-D53</f>
        <v/>
      </c>
      <c r="I53" s="36">
        <f>1-(H53/((A54-A53)*B53))</f>
        <v/>
      </c>
      <c r="K53" s="51" t="n">
        <v>3660.325</v>
      </c>
      <c r="L53" s="51" t="n">
        <v>249.227</v>
      </c>
      <c r="M53" s="51" t="n">
        <v>3619.249</v>
      </c>
      <c r="N53" s="51" t="n">
        <v>41.076</v>
      </c>
      <c r="O53" s="51" t="n">
        <v>276.276</v>
      </c>
      <c r="P53" s="51" t="n">
        <v>35.829</v>
      </c>
      <c r="Q53" s="38">
        <f>K53/D53*2</f>
        <v/>
      </c>
      <c r="R53" s="38">
        <f>(K53+L53)/D53*2</f>
        <v/>
      </c>
      <c r="S53" s="38">
        <f>soy_crush!R53-'NOPA US Crush'!E479</f>
        <v/>
      </c>
      <c r="T53" s="36">
        <f>S53/R53</f>
        <v/>
      </c>
      <c r="V53" s="51" t="n">
        <v>1915.994</v>
      </c>
      <c r="W53" s="51" t="n">
        <v>94.211</v>
      </c>
      <c r="X53" s="51" t="n">
        <v>1531.841</v>
      </c>
      <c r="Y53" s="51" t="n">
        <v>1493.785</v>
      </c>
      <c r="Z53" s="36">
        <f>1-(Y53/X53)</f>
        <v/>
      </c>
      <c r="AA53" s="51" t="n">
        <v>1545.757</v>
      </c>
      <c r="AB53" s="51" t="n">
        <v>424.728</v>
      </c>
      <c r="AC53" s="51" t="n">
        <v>1121.029</v>
      </c>
      <c r="AD53" s="51" t="n">
        <v>1662.782</v>
      </c>
      <c r="AE53" s="51" t="n">
        <v>810.9160000000001</v>
      </c>
      <c r="AF53" s="51" t="n">
        <v>356.085</v>
      </c>
      <c r="AG53" s="51" t="n">
        <v>369.59</v>
      </c>
      <c r="AH53" s="51" t="n"/>
      <c r="AI53" s="51" t="n"/>
      <c r="AJ53" s="38">
        <f>V53/D53</f>
        <v/>
      </c>
      <c r="AK53" s="38" t="n"/>
      <c r="AM53" s="35">
        <f>AJ53+R53</f>
        <v/>
      </c>
    </row>
    <row r="54" ht="15" customFormat="1" customHeight="1" s="37">
      <c r="A54" s="39" t="n">
        <v>43617</v>
      </c>
      <c r="B54" s="34" t="n">
        <v>6.254000388691344</v>
      </c>
      <c r="C54" s="51" t="n">
        <v>4729.137</v>
      </c>
      <c r="D54" s="35">
        <f>C54*33.33/1000</f>
        <v/>
      </c>
      <c r="E54" s="34">
        <f>D54-'NOPA US Crush'!B480</f>
        <v/>
      </c>
      <c r="F54" s="36">
        <f>1-((D54-E54)/D54)</f>
        <v/>
      </c>
      <c r="G54" s="36">
        <f>1-F54</f>
        <v/>
      </c>
      <c r="H54" s="35">
        <f>((A55-A54)*B54)-D54</f>
        <v/>
      </c>
      <c r="I54" s="36">
        <f>1-(H54/((A55-A54)*B54))</f>
        <v/>
      </c>
      <c r="K54" s="51" t="n">
        <v>3453.178</v>
      </c>
      <c r="L54" s="51" t="n">
        <v>243.145</v>
      </c>
      <c r="M54" s="51" t="n">
        <v>3406.447</v>
      </c>
      <c r="N54" s="51" t="n">
        <v>46.731</v>
      </c>
      <c r="O54" s="51" t="n">
        <v>376.025</v>
      </c>
      <c r="P54" s="51" t="n">
        <v>48.431</v>
      </c>
      <c r="Q54" s="38">
        <f>K54/D54*2</f>
        <v/>
      </c>
      <c r="R54" s="38">
        <f>(K54+L54)/D54*2</f>
        <v/>
      </c>
      <c r="S54" s="38">
        <f>soy_crush!R54-'NOPA US Crush'!E480</f>
        <v/>
      </c>
      <c r="T54" s="36">
        <f>S54/R54</f>
        <v/>
      </c>
      <c r="V54" s="51" t="n">
        <v>1811.481</v>
      </c>
      <c r="W54" s="51" t="n">
        <v>91.283</v>
      </c>
      <c r="X54" s="51" t="n">
        <v>1438.233</v>
      </c>
      <c r="Y54" s="51" t="n">
        <v>1411.496</v>
      </c>
      <c r="Z54" s="36">
        <f>1-(Y54/X54)</f>
        <v/>
      </c>
      <c r="AA54" s="51" t="n">
        <v>1455.63</v>
      </c>
      <c r="AB54" s="51" t="n">
        <v>417.452</v>
      </c>
      <c r="AC54" s="51" t="n">
        <v>1038.178</v>
      </c>
      <c r="AD54" s="51" t="n">
        <v>1595.273</v>
      </c>
      <c r="AE54" s="51" t="n">
        <v>802.215</v>
      </c>
      <c r="AF54" s="51" t="n">
        <v>419.147</v>
      </c>
      <c r="AG54" s="51" t="n">
        <v>390.183</v>
      </c>
      <c r="AH54" s="51" t="n"/>
      <c r="AI54" s="51" t="n"/>
      <c r="AJ54" s="38">
        <f>V54/D54</f>
        <v/>
      </c>
      <c r="AK54" s="38" t="n"/>
      <c r="AM54" s="35">
        <f>AJ54+R54</f>
        <v/>
      </c>
    </row>
    <row r="55" ht="15" customFormat="1" customHeight="1" s="37">
      <c r="A55" s="39" t="n">
        <v>43647</v>
      </c>
      <c r="B55" s="34" t="n">
        <v>6.311377487348324</v>
      </c>
      <c r="C55" s="51" t="n">
        <v>5383.896</v>
      </c>
      <c r="D55" s="35">
        <f>C55*33.33/1000</f>
        <v/>
      </c>
      <c r="E55" s="34">
        <f>D55-'NOPA US Crush'!B481</f>
        <v/>
      </c>
      <c r="F55" s="36">
        <f>1-((D55-E55)/D55)</f>
        <v/>
      </c>
      <c r="G55" s="36">
        <f>1-F55</f>
        <v/>
      </c>
      <c r="H55" s="35">
        <f>((A56-A55)*B55)-D55</f>
        <v/>
      </c>
      <c r="I55" s="36">
        <f>1-(H55/((A56-A55)*B55))</f>
        <v/>
      </c>
      <c r="K55" s="51" t="n">
        <v>3918.907</v>
      </c>
      <c r="L55" s="51" t="n">
        <v>267.367</v>
      </c>
      <c r="M55" s="51" t="n">
        <v>3872.856</v>
      </c>
      <c r="N55" s="51" t="n">
        <v>46.051</v>
      </c>
      <c r="O55" s="51" t="n">
        <v>345.45</v>
      </c>
      <c r="P55" s="51" t="n">
        <v>39.762</v>
      </c>
      <c r="Q55" s="38">
        <f>K55/D55*2</f>
        <v/>
      </c>
      <c r="R55" s="38">
        <f>(K55+L55)/D55*2</f>
        <v/>
      </c>
      <c r="S55" s="38">
        <f>soy_crush!R55-'NOPA US Crush'!E481</f>
        <v/>
      </c>
      <c r="T55" s="36">
        <f>S55/R55</f>
        <v/>
      </c>
      <c r="V55" s="51" t="n">
        <v>2090.168</v>
      </c>
      <c r="W55" s="51" t="n">
        <v>97.319</v>
      </c>
      <c r="X55" s="51" t="n">
        <v>1550.144</v>
      </c>
      <c r="Y55" s="51" t="n">
        <v>1514.468</v>
      </c>
      <c r="Z55" s="36">
        <f>1-(Y55/X55)</f>
        <v/>
      </c>
      <c r="AA55" s="51" t="n">
        <v>1602.979</v>
      </c>
      <c r="AB55" s="51" t="n">
        <v>471.807</v>
      </c>
      <c r="AC55" s="51" t="n">
        <v>1131.172</v>
      </c>
      <c r="AD55" s="51" t="n">
        <v>1652.854</v>
      </c>
      <c r="AE55" s="51" t="n">
        <v>790.119</v>
      </c>
      <c r="AF55" s="51" t="n">
        <v>386.647</v>
      </c>
      <c r="AG55" s="51" t="n">
        <v>439.611</v>
      </c>
      <c r="AH55" s="51" t="n"/>
      <c r="AI55" s="51" t="n"/>
      <c r="AJ55" s="38">
        <f>V55/D55</f>
        <v/>
      </c>
      <c r="AK55" s="38" t="n"/>
      <c r="AM55" s="35">
        <f>AJ55+R55</f>
        <v/>
      </c>
    </row>
    <row r="56" ht="15" customFormat="1" customHeight="1" s="37">
      <c r="A56" s="39" t="n">
        <v>43678</v>
      </c>
      <c r="B56" s="34" t="n">
        <v>6.234780127734405</v>
      </c>
      <c r="C56" s="51" t="n">
        <v>5325.88</v>
      </c>
      <c r="D56" s="35">
        <f>C56*33.33/1000</f>
        <v/>
      </c>
      <c r="E56" s="34">
        <f>D56-'NOPA US Crush'!B482</f>
        <v/>
      </c>
      <c r="F56" s="36">
        <f>1-((D56-E56)/D56)</f>
        <v/>
      </c>
      <c r="G56" s="36">
        <f>1-F56</f>
        <v/>
      </c>
      <c r="H56" s="35">
        <f>((A57-A56)*B56)-D56</f>
        <v/>
      </c>
      <c r="I56" s="36">
        <f>1-(H56/((A57-A56)*B56))</f>
        <v/>
      </c>
      <c r="K56" s="51" t="n">
        <v>3880.5</v>
      </c>
      <c r="L56" s="51" t="n">
        <v>270.264</v>
      </c>
      <c r="M56" s="51" t="n">
        <v>3831.182</v>
      </c>
      <c r="N56" s="51" t="n">
        <v>49.318</v>
      </c>
      <c r="O56" s="51" t="n">
        <v>384.976</v>
      </c>
      <c r="P56" s="51" t="n">
        <v>48.338</v>
      </c>
      <c r="Q56" s="38">
        <f>K56/D56*2</f>
        <v/>
      </c>
      <c r="R56" s="38">
        <f>(K56+L56)/D56*2</f>
        <v/>
      </c>
      <c r="S56" s="38">
        <f>soy_crush!R56-'NOPA US Crush'!E482</f>
        <v/>
      </c>
      <c r="T56" s="36">
        <f>S56/R56</f>
        <v/>
      </c>
      <c r="V56" s="51" t="n">
        <v>2049.888</v>
      </c>
      <c r="W56" s="51" t="n">
        <v>90.068</v>
      </c>
      <c r="X56" s="51" t="n">
        <v>1559.724</v>
      </c>
      <c r="Y56" s="51" t="n">
        <v>1516.647</v>
      </c>
      <c r="Z56" s="36">
        <f>1-(Y56/X56)</f>
        <v/>
      </c>
      <c r="AA56" s="51" t="n">
        <v>1569.905</v>
      </c>
      <c r="AB56" s="51" t="n">
        <v>427.05</v>
      </c>
      <c r="AC56" s="51" t="n">
        <v>1142.855</v>
      </c>
      <c r="AD56" s="51" t="n">
        <v>1439.479</v>
      </c>
      <c r="AE56" s="51" t="n">
        <v>731.432</v>
      </c>
      <c r="AF56" s="51" t="n">
        <v>366.668</v>
      </c>
      <c r="AG56" s="51" t="n">
        <v>287.252</v>
      </c>
      <c r="AH56" s="51" t="n"/>
      <c r="AI56" s="51" t="n"/>
      <c r="AJ56" s="38">
        <f>V56/D56</f>
        <v/>
      </c>
      <c r="AK56" s="38" t="n"/>
      <c r="AM56" s="35">
        <f>AJ56+R56</f>
        <v/>
      </c>
    </row>
    <row r="57" ht="15" customFormat="1" customHeight="1" s="37">
      <c r="A57" s="39" t="n">
        <v>43709</v>
      </c>
      <c r="B57" s="34" t="n">
        <v>6.287004405907256</v>
      </c>
      <c r="C57" s="51" t="n">
        <v>4870.034</v>
      </c>
      <c r="D57" s="35">
        <f>C57*33.33/1000</f>
        <v/>
      </c>
      <c r="E57" s="34">
        <f>D57-'NOPA US Crush'!B483</f>
        <v/>
      </c>
      <c r="F57" s="36">
        <f>1-((D57-E57)/D57)</f>
        <v/>
      </c>
      <c r="G57" s="36">
        <f>1-F57</f>
        <v/>
      </c>
      <c r="H57" s="35">
        <f>((A58-A57)*B57)-D57</f>
        <v/>
      </c>
      <c r="I57" s="36">
        <f>1-(H57/((A58-A57)*B57))</f>
        <v/>
      </c>
      <c r="K57" s="51" t="n">
        <v>3553.484</v>
      </c>
      <c r="L57" s="51" t="n">
        <v>246.065</v>
      </c>
      <c r="M57" s="51" t="n">
        <v>3514.472</v>
      </c>
      <c r="N57" s="51" t="n">
        <v>39.012</v>
      </c>
      <c r="O57" s="51" t="n">
        <v>360.387</v>
      </c>
      <c r="P57" s="51" t="n">
        <v>41.628</v>
      </c>
      <c r="Q57" s="38">
        <f>K57/D57*2</f>
        <v/>
      </c>
      <c r="R57" s="38">
        <f>(K57+L57)/D57*2</f>
        <v/>
      </c>
      <c r="S57" s="38">
        <f>soy_crush!R57-'NOPA US Crush'!E483</f>
        <v/>
      </c>
      <c r="T57" s="36">
        <f>S57/R57</f>
        <v/>
      </c>
      <c r="V57" s="51" t="n">
        <v>1900.668</v>
      </c>
      <c r="W57" s="51" t="n">
        <v>82.646</v>
      </c>
      <c r="X57" s="51" t="n">
        <v>1448.211</v>
      </c>
      <c r="Y57" s="51" t="n">
        <v>1412.136</v>
      </c>
      <c r="Z57" s="36">
        <f>1-(Y57/X57)</f>
        <v/>
      </c>
      <c r="AA57" s="51" t="n">
        <v>1493.955</v>
      </c>
      <c r="AB57" s="51" t="n">
        <v>426.505</v>
      </c>
      <c r="AC57" s="51" t="n">
        <v>1067.45</v>
      </c>
      <c r="AD57" s="51" t="n">
        <v>1400.569</v>
      </c>
      <c r="AE57" s="51" t="n">
        <v>697.669</v>
      </c>
      <c r="AF57" s="51" t="n">
        <v>374.747</v>
      </c>
      <c r="AG57" s="51" t="n">
        <v>292.13</v>
      </c>
      <c r="AH57" s="51" t="n"/>
      <c r="AI57" s="51" t="n"/>
      <c r="AJ57" s="38">
        <f>V57/D57</f>
        <v/>
      </c>
      <c r="AK57" s="38" t="n"/>
      <c r="AM57" s="35">
        <f>AJ57+R57</f>
        <v/>
      </c>
    </row>
    <row r="58" ht="15" customFormat="1" customHeight="1" s="37">
      <c r="A58" s="39" t="n">
        <v>43739</v>
      </c>
      <c r="B58" s="34" t="n">
        <v>6.308520531779302</v>
      </c>
      <c r="C58" s="51" t="n">
        <v>5615.616</v>
      </c>
      <c r="D58" s="35">
        <f>C58*33.33/1000</f>
        <v/>
      </c>
      <c r="E58" s="34">
        <f>D58-'NOPA US Crush'!B484</f>
        <v/>
      </c>
      <c r="F58" s="36">
        <f>1-((D58-E58)/D58)</f>
        <v/>
      </c>
      <c r="G58" s="36">
        <f>1-F58</f>
        <v/>
      </c>
      <c r="H58" s="35">
        <f>((A59-A58)*B58)-D58</f>
        <v/>
      </c>
      <c r="I58" s="36">
        <f>1-(H58/((A59-A58)*B58))</f>
        <v/>
      </c>
      <c r="K58" s="51" t="n">
        <v>4105.453</v>
      </c>
      <c r="L58" s="51" t="n">
        <v>276.379</v>
      </c>
      <c r="M58" s="51" t="n">
        <v>4057.404</v>
      </c>
      <c r="N58" s="51" t="n">
        <v>48.049</v>
      </c>
      <c r="O58" s="51" t="n">
        <v>335.183</v>
      </c>
      <c r="P58" s="51" t="n">
        <v>30.176</v>
      </c>
      <c r="Q58" s="38">
        <f>K58/D58*2</f>
        <v/>
      </c>
      <c r="R58" s="38">
        <f>(K58+L58)/D58*2</f>
        <v/>
      </c>
      <c r="S58" s="38">
        <f>soy_crush!R58-'NOPA US Crush'!E484</f>
        <v/>
      </c>
      <c r="T58" s="36">
        <f>S58/R58</f>
        <v/>
      </c>
      <c r="V58" s="51" t="n">
        <v>2149.969</v>
      </c>
      <c r="W58" s="52" t="n"/>
      <c r="X58" s="51" t="n">
        <v>1610.868</v>
      </c>
      <c r="Y58" s="51" t="n">
        <v>1566.003</v>
      </c>
      <c r="Z58" s="36">
        <f>1-(Y58/X58)</f>
        <v/>
      </c>
      <c r="AA58" s="51" t="n">
        <v>1624.992</v>
      </c>
      <c r="AB58" s="51" t="n">
        <v>487.476</v>
      </c>
      <c r="AC58" s="51" t="n">
        <v>1137.516</v>
      </c>
      <c r="AD58" s="51" t="n">
        <v>1471.929</v>
      </c>
      <c r="AE58" s="51" t="n">
        <v>646.004</v>
      </c>
      <c r="AF58" s="51" t="n">
        <v>349.029</v>
      </c>
      <c r="AG58" s="51" t="n">
        <v>413.055</v>
      </c>
      <c r="AH58" s="51" t="n"/>
      <c r="AI58" s="51" t="n"/>
      <c r="AJ58" s="38">
        <f>V58/D58</f>
        <v/>
      </c>
      <c r="AK58" s="38" t="n"/>
      <c r="AM58" s="35">
        <f>AJ58+R58</f>
        <v/>
      </c>
    </row>
    <row r="59" ht="15" customFormat="1" customHeight="1" s="37">
      <c r="A59" s="39" t="n">
        <v>43770</v>
      </c>
      <c r="B59" s="34" t="n">
        <v>6.253806331432231</v>
      </c>
      <c r="C59" s="51" t="n">
        <v>5239.452</v>
      </c>
      <c r="D59" s="35">
        <f>C59*33.33/1000</f>
        <v/>
      </c>
      <c r="E59" s="34">
        <f>D59-'NOPA US Crush'!B485</f>
        <v/>
      </c>
      <c r="F59" s="36">
        <f>1-((D59-E59)/D59)</f>
        <v/>
      </c>
      <c r="G59" s="36">
        <f>1-F59</f>
        <v/>
      </c>
      <c r="H59" s="35">
        <f>((A60-A59)*B59)-D59</f>
        <v/>
      </c>
      <c r="I59" s="36">
        <f>1-(H59/((A60-A59)*B59))</f>
        <v/>
      </c>
      <c r="K59" s="51" t="n">
        <v>3855.827</v>
      </c>
      <c r="L59" s="51" t="n">
        <v>255.945</v>
      </c>
      <c r="M59" s="51" t="n">
        <v>3813.221</v>
      </c>
      <c r="N59" s="51" t="n">
        <v>42.606</v>
      </c>
      <c r="O59" s="51" t="n">
        <v>426.332</v>
      </c>
      <c r="P59" s="51" t="n">
        <v>41.081</v>
      </c>
      <c r="Q59" s="38">
        <f>K59/D59*2</f>
        <v/>
      </c>
      <c r="R59" s="38">
        <f>(K59+L59)/D59*2</f>
        <v/>
      </c>
      <c r="S59" s="38">
        <f>soy_crush!R59-'NOPA US Crush'!E485</f>
        <v/>
      </c>
      <c r="T59" s="36">
        <f>S59/R59</f>
        <v/>
      </c>
      <c r="V59" s="51" t="n">
        <v>1999.648</v>
      </c>
      <c r="W59" s="51" t="n">
        <v>106.331</v>
      </c>
      <c r="X59" s="51" t="n">
        <v>1397.17</v>
      </c>
      <c r="Y59" s="51" t="n">
        <v>1362.343</v>
      </c>
      <c r="Z59" s="36">
        <f>1-(Y59/X59)</f>
        <v/>
      </c>
      <c r="AA59" s="51" t="n">
        <v>1400.401</v>
      </c>
      <c r="AB59" s="51" t="n">
        <v>387.057</v>
      </c>
      <c r="AC59" s="51" t="n">
        <v>1013.344</v>
      </c>
      <c r="AD59" s="51" t="n">
        <v>1522.923</v>
      </c>
      <c r="AE59" s="51" t="n">
        <v>739.832</v>
      </c>
      <c r="AF59" s="51" t="n">
        <v>357.435</v>
      </c>
      <c r="AG59" s="51" t="n">
        <v>390.461</v>
      </c>
      <c r="AH59" s="51" t="n"/>
      <c r="AI59" s="51" t="n"/>
      <c r="AJ59" s="38">
        <f>V59/D59</f>
        <v/>
      </c>
      <c r="AK59" s="38" t="n"/>
      <c r="AM59" s="35">
        <f>AJ59+R59</f>
        <v/>
      </c>
    </row>
    <row r="60" ht="15" customFormat="1" customHeight="1" s="37">
      <c r="A60" s="39" t="n">
        <v>43800</v>
      </c>
      <c r="B60" s="34" t="n">
        <v>6.23886997098849</v>
      </c>
      <c r="C60" s="51" t="n">
        <v>5542.274</v>
      </c>
      <c r="D60" s="35">
        <f>C60*33.33/1000</f>
        <v/>
      </c>
      <c r="E60" s="34">
        <f>D60-'NOPA US Crush'!B486</f>
        <v/>
      </c>
      <c r="F60" s="36">
        <f>1-((D60-E60)/D60)</f>
        <v/>
      </c>
      <c r="G60" s="36">
        <f>1-F60</f>
        <v/>
      </c>
      <c r="H60" s="35">
        <f>((A61-A60)*B60)-D60</f>
        <v/>
      </c>
      <c r="I60" s="36">
        <f>1-(H60/((A61-A60)*B60))</f>
        <v/>
      </c>
      <c r="K60" s="51" t="n">
        <v>4062.929</v>
      </c>
      <c r="L60" s="51" t="n">
        <v>274.643</v>
      </c>
      <c r="M60" s="51" t="n">
        <v>4013.049</v>
      </c>
      <c r="N60" s="51" t="n">
        <v>49.88</v>
      </c>
      <c r="O60" s="51" t="n">
        <v>342.085</v>
      </c>
      <c r="P60" s="51" t="n">
        <v>34.987</v>
      </c>
      <c r="Q60" s="38">
        <f>K60/D60*2</f>
        <v/>
      </c>
      <c r="R60" s="38">
        <f>(K60+L60)/D60*2</f>
        <v/>
      </c>
      <c r="S60" s="38">
        <f>soy_crush!R60-'NOPA US Crush'!E486</f>
        <v/>
      </c>
      <c r="T60" s="36">
        <f>S60/R60</f>
        <v/>
      </c>
      <c r="V60" s="51" t="n">
        <v>2110.936</v>
      </c>
      <c r="W60" s="51" t="n">
        <v>112.132</v>
      </c>
      <c r="X60" s="51" t="n">
        <v>1389.872</v>
      </c>
      <c r="Y60" s="51" t="n">
        <v>1363.403</v>
      </c>
      <c r="Z60" s="36">
        <f>1-(Y60/X60)</f>
        <v/>
      </c>
      <c r="AA60" s="51" t="n">
        <v>1407.06</v>
      </c>
      <c r="AB60" s="51" t="n">
        <v>389.01</v>
      </c>
      <c r="AC60" s="51" t="n">
        <v>1018.05</v>
      </c>
      <c r="AD60" s="51" t="n">
        <v>1749.423</v>
      </c>
      <c r="AE60" s="51" t="n">
        <v>830.2190000000001</v>
      </c>
      <c r="AF60" s="51" t="n">
        <v>384.641</v>
      </c>
      <c r="AG60" s="51" t="n">
        <v>505.779</v>
      </c>
      <c r="AH60" s="51" t="n"/>
      <c r="AI60" s="51" t="n"/>
      <c r="AJ60" s="38">
        <f>V60/D60</f>
        <v/>
      </c>
      <c r="AK60" s="38" t="n"/>
      <c r="AM60" s="35">
        <f>AJ60+R60</f>
        <v/>
      </c>
    </row>
    <row r="61" ht="15" customFormat="1" customHeight="1" s="37">
      <c r="A61" s="39" t="n">
        <v>43831</v>
      </c>
      <c r="B61" s="34" t="n">
        <v>6.306464030018659</v>
      </c>
      <c r="C61" s="51" t="n">
        <v>5663.403</v>
      </c>
      <c r="D61" s="35">
        <f>C61*33.33/1000</f>
        <v/>
      </c>
      <c r="E61" s="34">
        <f>D61-'NOPA US Crush'!B487</f>
        <v/>
      </c>
      <c r="F61" s="36">
        <f>1-((D61-E61)/D61)</f>
        <v/>
      </c>
      <c r="G61" s="36">
        <f>1-F61</f>
        <v/>
      </c>
      <c r="H61" s="35">
        <f>((A62-A61)*B61)-D61</f>
        <v/>
      </c>
      <c r="I61" s="36">
        <f>1-(H61/((A62-A61)*B61))</f>
        <v/>
      </c>
      <c r="K61" s="51" t="n">
        <v>4144.355</v>
      </c>
      <c r="L61" s="51" t="n">
        <v>281.394</v>
      </c>
      <c r="M61" s="51" t="n">
        <v>4089.068</v>
      </c>
      <c r="N61" s="51" t="n">
        <v>55.287</v>
      </c>
      <c r="O61" s="51" t="n">
        <v>302.321</v>
      </c>
      <c r="P61" s="51" t="n">
        <v>42.612</v>
      </c>
      <c r="Q61" s="38">
        <f>K61/D61*2</f>
        <v/>
      </c>
      <c r="R61" s="38">
        <f>(K61+L61)/D61*2</f>
        <v/>
      </c>
      <c r="S61" s="38">
        <f>soy_crush!R61-'NOPA US Crush'!E487</f>
        <v/>
      </c>
      <c r="T61" s="36">
        <f>S61/R61</f>
        <v/>
      </c>
      <c r="V61" s="51" t="n">
        <v>2154.427</v>
      </c>
      <c r="W61" s="51" t="n">
        <v>95.47199999999999</v>
      </c>
      <c r="X61" s="51" t="n">
        <v>1442.642</v>
      </c>
      <c r="Y61" s="51" t="n">
        <v>1408.135</v>
      </c>
      <c r="Z61" s="36">
        <f>1-(Y61/X61)</f>
        <v/>
      </c>
      <c r="AA61" s="51" t="n">
        <v>1428.464</v>
      </c>
      <c r="AB61" s="51" t="n">
        <v>341.896</v>
      </c>
      <c r="AC61" s="51" t="n">
        <v>1086.568</v>
      </c>
      <c r="AD61" s="51" t="n">
        <v>1989.164</v>
      </c>
      <c r="AE61" s="51" t="n">
        <v>862.567</v>
      </c>
      <c r="AF61" s="51" t="n">
        <v>366.733</v>
      </c>
      <c r="AG61" s="51" t="n">
        <v>658.833</v>
      </c>
      <c r="AH61" s="51" t="n"/>
      <c r="AI61" s="51" t="n"/>
      <c r="AJ61" s="38">
        <f>V61/D61</f>
        <v/>
      </c>
      <c r="AK61" s="38" t="n"/>
      <c r="AM61" s="35">
        <f>AJ61+R61</f>
        <v/>
      </c>
    </row>
    <row r="62" ht="15" customFormat="1" customHeight="1" s="37">
      <c r="A62" s="39" t="n">
        <v>43862</v>
      </c>
      <c r="B62" s="34" t="n">
        <v>6.355620893184732</v>
      </c>
      <c r="C62" s="51" t="n">
        <v>5258.777</v>
      </c>
      <c r="D62" s="35">
        <f>C62*33.33/1000</f>
        <v/>
      </c>
      <c r="E62" s="34">
        <f>D62-'NOPA US Crush'!B488</f>
        <v/>
      </c>
      <c r="F62" s="36">
        <f>1-((D62-E62)/D62)</f>
        <v/>
      </c>
      <c r="G62" s="36">
        <f>1-F62</f>
        <v/>
      </c>
      <c r="H62" s="35">
        <f>((A63-A62)*B62)-D62</f>
        <v/>
      </c>
      <c r="I62" s="36">
        <f>1-(H62/((A63-A62)*B62))</f>
        <v/>
      </c>
      <c r="K62" s="51" t="n">
        <v>3863.475</v>
      </c>
      <c r="L62" s="51" t="n">
        <v>259.153</v>
      </c>
      <c r="M62" s="51" t="n">
        <v>3813.559</v>
      </c>
      <c r="N62" s="51" t="n">
        <v>49.916</v>
      </c>
      <c r="O62" s="51" t="n">
        <v>396.511</v>
      </c>
      <c r="P62" s="51" t="n">
        <v>45.837</v>
      </c>
      <c r="Q62" s="38">
        <f>K62/D62*2</f>
        <v/>
      </c>
      <c r="R62" s="38">
        <f>(K62+L62)/D62*2</f>
        <v/>
      </c>
      <c r="S62" s="38">
        <f>soy_crush!R62-'NOPA US Crush'!E488</f>
        <v/>
      </c>
      <c r="T62" s="36">
        <f>S62/R62</f>
        <v/>
      </c>
      <c r="V62" s="51" t="n">
        <v>1999.524</v>
      </c>
      <c r="W62" s="51" t="n">
        <v>86.46599999999999</v>
      </c>
      <c r="X62" s="51" t="n">
        <v>1469.241</v>
      </c>
      <c r="Y62" s="51" t="n">
        <v>1428.523</v>
      </c>
      <c r="Z62" s="36">
        <f>1-(Y62/X62)</f>
        <v/>
      </c>
      <c r="AA62" s="51" t="n">
        <v>1410.035</v>
      </c>
      <c r="AB62" s="51" t="n">
        <v>324.842</v>
      </c>
      <c r="AC62" s="51" t="n">
        <v>1085.193</v>
      </c>
      <c r="AD62" s="51" t="n">
        <v>1996.747</v>
      </c>
      <c r="AE62" s="51" t="n">
        <v>947.485</v>
      </c>
      <c r="AF62" s="51" t="n">
        <v>380.051</v>
      </c>
      <c r="AG62" s="51" t="n">
        <v>586.194</v>
      </c>
      <c r="AH62" s="51" t="n"/>
      <c r="AI62" s="51" t="n"/>
      <c r="AJ62" s="38">
        <f>V62/D62</f>
        <v/>
      </c>
      <c r="AK62" s="38" t="n"/>
      <c r="AM62" s="35">
        <f>AJ62+R62</f>
        <v/>
      </c>
    </row>
    <row r="63" ht="15" customFormat="1" customHeight="1" s="37">
      <c r="A63" s="39" t="n">
        <v>43891</v>
      </c>
      <c r="B63" s="34" t="n">
        <v>6.391639826560176</v>
      </c>
      <c r="C63" s="51" t="n">
        <v>5764.867</v>
      </c>
      <c r="D63" s="35">
        <f>C63*33.33/1000</f>
        <v/>
      </c>
      <c r="E63" s="34">
        <f>D63-'NOPA US Crush'!B489</f>
        <v/>
      </c>
      <c r="F63" s="36">
        <f>1-((D63-E63)/D63)</f>
        <v/>
      </c>
      <c r="G63" s="36">
        <f>1-F63</f>
        <v/>
      </c>
      <c r="H63" s="35">
        <f>((A64-A63)*B63)-D63</f>
        <v/>
      </c>
      <c r="I63" s="36">
        <f>1-(H63/((A64-A63)*B63))</f>
        <v/>
      </c>
      <c r="K63" s="51" t="n">
        <v>4234.605</v>
      </c>
      <c r="L63" s="51" t="n">
        <v>283.308</v>
      </c>
      <c r="M63" s="51" t="n">
        <v>4179.583</v>
      </c>
      <c r="N63" s="51" t="n">
        <v>55.022</v>
      </c>
      <c r="O63" s="51" t="n">
        <v>368.552</v>
      </c>
      <c r="P63" s="51" t="n">
        <v>46.497</v>
      </c>
      <c r="Q63" s="38">
        <f>K63/D63*2</f>
        <v/>
      </c>
      <c r="R63" s="38">
        <f>(K63+L63)/D63*2</f>
        <v/>
      </c>
      <c r="S63" s="38">
        <f>soy_crush!R63-'NOPA US Crush'!E489</f>
        <v/>
      </c>
      <c r="T63" s="36">
        <f>S63/R63</f>
        <v/>
      </c>
      <c r="V63" s="51" t="n">
        <v>2201.068</v>
      </c>
      <c r="W63" s="51" t="n">
        <v>107.897</v>
      </c>
      <c r="X63" s="51" t="n">
        <v>1634.117</v>
      </c>
      <c r="Y63" s="51" t="n">
        <v>1596.738</v>
      </c>
      <c r="Z63" s="36">
        <f>1-(Y63/X63)</f>
        <v/>
      </c>
      <c r="AA63" s="51" t="n">
        <v>1583.459</v>
      </c>
      <c r="AB63" s="51" t="n">
        <v>401.147</v>
      </c>
      <c r="AC63" s="51" t="n">
        <v>1182.312</v>
      </c>
      <c r="AD63" s="51" t="n">
        <v>1933.648</v>
      </c>
      <c r="AE63" s="51" t="n">
        <v>856.124</v>
      </c>
      <c r="AF63" s="51" t="n">
        <v>392.946</v>
      </c>
      <c r="AG63" s="51" t="n">
        <v>670.059</v>
      </c>
      <c r="AH63" s="51" t="n"/>
      <c r="AI63" s="51" t="n"/>
      <c r="AJ63" s="38">
        <f>V63/D63</f>
        <v/>
      </c>
      <c r="AK63" s="38" t="n"/>
      <c r="AM63" s="35">
        <f>AJ63+R63</f>
        <v/>
      </c>
    </row>
    <row r="64" ht="15" customFormat="1" customHeight="1" s="37">
      <c r="A64" s="39" t="n">
        <v>43922</v>
      </c>
      <c r="B64" s="34" t="n">
        <v>6.44849043310685</v>
      </c>
      <c r="C64" s="51" t="n">
        <v>5501.825</v>
      </c>
      <c r="D64" s="35">
        <f>C64*33.33/1000</f>
        <v/>
      </c>
      <c r="E64" s="34">
        <f>D64-'NOPA US Crush'!B490</f>
        <v/>
      </c>
      <c r="F64" s="36">
        <f>1-((D64-E64)/D64)</f>
        <v/>
      </c>
      <c r="G64" s="36">
        <f>1-F64</f>
        <v/>
      </c>
      <c r="H64" s="35">
        <f>((A65-A64)*B64)-D64</f>
        <v/>
      </c>
      <c r="I64" s="36">
        <f>1-(H64/((A65-A64)*B64))</f>
        <v/>
      </c>
      <c r="K64" s="51" t="n">
        <v>4038.22</v>
      </c>
      <c r="L64" s="51" t="n">
        <v>273.957</v>
      </c>
      <c r="M64" s="51" t="n">
        <v>3984.61</v>
      </c>
      <c r="N64" s="51" t="n">
        <v>53.61</v>
      </c>
      <c r="O64" s="51" t="n">
        <v>341.681</v>
      </c>
      <c r="P64" s="51" t="n">
        <v>44.512</v>
      </c>
      <c r="Q64" s="38">
        <f>K64/D64*2</f>
        <v/>
      </c>
      <c r="R64" s="38">
        <f>(K64+L64)/D64*2</f>
        <v/>
      </c>
      <c r="S64" s="38">
        <f>soy_crush!R64-'NOPA US Crush'!E490</f>
        <v/>
      </c>
      <c r="T64" s="36">
        <f>S64/R64</f>
        <v/>
      </c>
      <c r="V64" s="51" t="n">
        <v>2099.465</v>
      </c>
      <c r="W64" s="51" t="n">
        <v>117.421</v>
      </c>
      <c r="X64" s="51" t="n">
        <v>1288.755</v>
      </c>
      <c r="Y64" s="51" t="n">
        <v>1261.415</v>
      </c>
      <c r="Z64" s="36">
        <f>1-(Y64/X64)</f>
        <v/>
      </c>
      <c r="AA64" s="51" t="n">
        <v>1277.068</v>
      </c>
      <c r="AB64" s="51" t="n">
        <v>352.131</v>
      </c>
      <c r="AC64" s="51" t="n">
        <v>924.937</v>
      </c>
      <c r="AD64" s="51" t="n">
        <v>2223.538</v>
      </c>
      <c r="AE64" s="51" t="n">
        <v>939.273</v>
      </c>
      <c r="AF64" s="51" t="n">
        <v>377.063</v>
      </c>
      <c r="AG64" s="51" t="n">
        <v>840.919</v>
      </c>
      <c r="AH64" s="51" t="n"/>
      <c r="AI64" s="51" t="n"/>
      <c r="AJ64" s="38">
        <f>V64/D64</f>
        <v/>
      </c>
      <c r="AK64" s="38" t="n"/>
      <c r="AM64" s="35">
        <f>AJ64+R64</f>
        <v/>
      </c>
    </row>
    <row r="65" ht="15" customFormat="1" customHeight="1" s="37">
      <c r="A65" s="39" t="n">
        <v>43952</v>
      </c>
      <c r="B65" s="34" t="n">
        <v>6.51539738359771</v>
      </c>
      <c r="C65" s="51" t="n">
        <v>5386.534</v>
      </c>
      <c r="D65" s="35">
        <f>C65*33.33/1000</f>
        <v/>
      </c>
      <c r="E65" s="34">
        <f>D65-'NOPA US Crush'!B491</f>
        <v/>
      </c>
      <c r="F65" s="36">
        <f>1-((D65-E65)/D65)</f>
        <v/>
      </c>
      <c r="G65" s="36">
        <f>1-F65</f>
        <v/>
      </c>
      <c r="H65" s="35">
        <f>((A66-A65)*B65)-D65</f>
        <v/>
      </c>
      <c r="I65" s="36">
        <f>1-(H65/((A66-A65)*B65))</f>
        <v/>
      </c>
      <c r="K65" s="51" t="n">
        <v>3970.047</v>
      </c>
      <c r="L65" s="51" t="n">
        <v>270.933</v>
      </c>
      <c r="M65" s="51" t="n">
        <v>3914.54</v>
      </c>
      <c r="N65" s="51" t="n">
        <v>55.507</v>
      </c>
      <c r="O65" s="51" t="n">
        <v>442.173</v>
      </c>
      <c r="P65" s="51" t="n">
        <v>55.674</v>
      </c>
      <c r="Q65" s="38">
        <f>K65/D65*2</f>
        <v/>
      </c>
      <c r="R65" s="38">
        <f>(K65+L65)/D65*2</f>
        <v/>
      </c>
      <c r="S65" s="38">
        <f>soy_crush!R65-'NOPA US Crush'!E491</f>
        <v/>
      </c>
      <c r="T65" s="36">
        <f>S65/R65</f>
        <v/>
      </c>
      <c r="V65" s="51" t="n">
        <v>2057.617</v>
      </c>
      <c r="W65" s="52">
        <f>X65*AVERAGE(W53/X53,W41/X41,W29/X29,W17/X17,W5/X5)</f>
        <v/>
      </c>
      <c r="X65" s="51" t="n">
        <v>1570.271</v>
      </c>
      <c r="Y65" s="51" t="n">
        <v>1532.758</v>
      </c>
      <c r="Z65" s="36">
        <f>1-(Y65/X65)</f>
        <v/>
      </c>
      <c r="AA65" s="51" t="n">
        <v>1513.117</v>
      </c>
      <c r="AB65" s="51" t="n">
        <v>439.245</v>
      </c>
      <c r="AC65" s="51" t="n">
        <v>1073.872</v>
      </c>
      <c r="AD65" s="51" t="n">
        <v>2048.938</v>
      </c>
      <c r="AE65" s="51" t="n">
        <v>875.53</v>
      </c>
      <c r="AF65" s="51" t="n">
        <v>396.477</v>
      </c>
      <c r="AG65" s="51" t="n">
        <v>742.063</v>
      </c>
      <c r="AH65" s="51" t="n"/>
      <c r="AI65" s="51" t="n"/>
      <c r="AJ65" s="38">
        <f>V65/D65</f>
        <v/>
      </c>
      <c r="AK65" s="38" t="n"/>
      <c r="AM65" s="35">
        <f>AJ65+R65</f>
        <v/>
      </c>
    </row>
    <row r="66" ht="15" customFormat="1" customHeight="1" s="37">
      <c r="A66" s="39" t="n">
        <v>43983</v>
      </c>
      <c r="B66" s="34" t="n">
        <v>6.523142109348166</v>
      </c>
      <c r="C66" s="51" t="n">
        <v>5318.419</v>
      </c>
      <c r="D66" s="35">
        <f>C66*33.33/1000</f>
        <v/>
      </c>
      <c r="E66" s="34">
        <f>D66-'NOPA US Crush'!B492</f>
        <v/>
      </c>
      <c r="F66" s="36">
        <f>1-((D66-E66)/D66)</f>
        <v/>
      </c>
      <c r="G66" s="36">
        <f>1-F66</f>
        <v/>
      </c>
      <c r="H66" s="35">
        <f>((A67-A66)*B66)-D66</f>
        <v/>
      </c>
      <c r="I66" s="36">
        <f>1-(H66/((A67-A66)*B66))</f>
        <v/>
      </c>
      <c r="K66" s="51" t="n">
        <v>3904.725</v>
      </c>
      <c r="L66" s="51" t="n">
        <v>262.751</v>
      </c>
      <c r="M66" s="51" t="n">
        <v>3847.451</v>
      </c>
      <c r="N66" s="51" t="n">
        <v>57.274</v>
      </c>
      <c r="O66" s="51" t="n">
        <v>420.426</v>
      </c>
      <c r="P66" s="51" t="n">
        <v>41.877</v>
      </c>
      <c r="Q66" s="38">
        <f>K66/D66*2</f>
        <v/>
      </c>
      <c r="R66" s="38">
        <f>(K66+L66)/D66*2</f>
        <v/>
      </c>
      <c r="S66" s="38">
        <f>soy_crush!R66-'NOPA US Crush'!E492</f>
        <v/>
      </c>
      <c r="T66" s="36">
        <f>S66/R66</f>
        <v/>
      </c>
      <c r="V66" s="51" t="n">
        <v>2035.269</v>
      </c>
      <c r="W66" s="52">
        <f>X66*AVERAGE(W54/X54,W42/X42,W30/X30,W18/X18,W6/X6)</f>
        <v/>
      </c>
      <c r="X66" s="51" t="n">
        <v>1602.012</v>
      </c>
      <c r="Y66" s="51" t="n">
        <v>1567.576</v>
      </c>
      <c r="Z66" s="36">
        <f>1-(Y66/X66)</f>
        <v/>
      </c>
      <c r="AA66" s="51" t="n">
        <v>1622.194</v>
      </c>
      <c r="AB66" s="51" t="n">
        <v>453.019</v>
      </c>
      <c r="AC66" s="51" t="n">
        <v>1169.175</v>
      </c>
      <c r="AD66" s="51" t="n">
        <v>1925.728</v>
      </c>
      <c r="AE66" s="51" t="n">
        <v>773.306</v>
      </c>
      <c r="AF66" s="51" t="n">
        <v>345.083</v>
      </c>
      <c r="AG66" s="51" t="n">
        <v>701.4450000000001</v>
      </c>
      <c r="AH66" s="51" t="n"/>
      <c r="AI66" s="51" t="n"/>
      <c r="AJ66" s="38">
        <f>V66/D66</f>
        <v/>
      </c>
      <c r="AK66" s="38" t="n"/>
      <c r="AM66" s="35">
        <f>AJ66+R66</f>
        <v/>
      </c>
    </row>
    <row r="67" ht="15" customFormat="1" customHeight="1" s="37">
      <c r="A67" s="39" t="n">
        <v>44013</v>
      </c>
      <c r="B67" s="34" t="n">
        <v>6.57836396779766</v>
      </c>
      <c r="C67" s="51" t="n">
        <v>5535.196</v>
      </c>
      <c r="D67" s="35">
        <f>C67*33.33/1000</f>
        <v/>
      </c>
      <c r="E67" s="34">
        <f>D67-'NOPA US Crush'!B493</f>
        <v/>
      </c>
      <c r="F67" s="36">
        <f>1-((D67-E67)/D67)</f>
        <v/>
      </c>
      <c r="G67" s="36">
        <f>1-F67</f>
        <v/>
      </c>
      <c r="H67" s="35">
        <f>((A68-A67)*B67)-D67</f>
        <v/>
      </c>
      <c r="I67" s="36">
        <f>1-(H67/((A68-A67)*B67))</f>
        <v/>
      </c>
      <c r="K67" s="51" t="n">
        <v>4080.746</v>
      </c>
      <c r="L67" s="51" t="n">
        <v>280.424</v>
      </c>
      <c r="M67" s="51" t="n">
        <v>4024.727</v>
      </c>
      <c r="N67" s="51" t="n">
        <v>56.019</v>
      </c>
      <c r="O67" s="51" t="n">
        <v>411.925</v>
      </c>
      <c r="P67" s="51" t="n">
        <v>38.595</v>
      </c>
      <c r="Q67" s="38">
        <f>K67/D67*2</f>
        <v/>
      </c>
      <c r="R67" s="38">
        <f>(K67+L67)/D67*2</f>
        <v/>
      </c>
      <c r="S67" s="38">
        <f>soy_crush!R67-'NOPA US Crush'!E493</f>
        <v/>
      </c>
      <c r="T67" s="36">
        <f>S67/R67</f>
        <v/>
      </c>
      <c r="V67" s="51" t="n">
        <v>2122.758</v>
      </c>
      <c r="W67" s="51" t="n">
        <v>116.577</v>
      </c>
      <c r="X67" s="51" t="n">
        <v>1712.925</v>
      </c>
      <c r="Y67" s="51" t="n">
        <v>1667.551</v>
      </c>
      <c r="Z67" s="36">
        <f>1-(Y67/X67)</f>
        <v/>
      </c>
      <c r="AA67" s="51" t="n">
        <v>1667.696</v>
      </c>
      <c r="AB67" s="51" t="n">
        <v>480.809</v>
      </c>
      <c r="AC67" s="51" t="n">
        <v>1186.887</v>
      </c>
      <c r="AD67" s="51" t="n">
        <v>1776.46</v>
      </c>
      <c r="AE67" s="51" t="n">
        <v>729.374</v>
      </c>
      <c r="AF67" s="51" t="n">
        <v>346.764</v>
      </c>
      <c r="AG67" s="51" t="n">
        <v>666.146</v>
      </c>
      <c r="AH67" s="51" t="n"/>
      <c r="AI67" s="51" t="n"/>
      <c r="AJ67" s="38">
        <f>V67/D67</f>
        <v/>
      </c>
      <c r="AK67" s="38" t="n"/>
      <c r="AM67" s="35">
        <f>AJ67+R67</f>
        <v/>
      </c>
    </row>
    <row r="68" ht="15" customFormat="1" customHeight="1" s="37">
      <c r="A68" s="39" t="n">
        <v>44044</v>
      </c>
      <c r="B68" s="34" t="n">
        <v>6.511976433599711</v>
      </c>
      <c r="C68" s="51" t="n">
        <v>5240.23</v>
      </c>
      <c r="D68" s="35">
        <f>C68*33.33/1000</f>
        <v/>
      </c>
      <c r="E68" s="34">
        <f>D68-'NOPA US Crush'!B494</f>
        <v/>
      </c>
      <c r="F68" s="36">
        <f>1-((D68-E68)/D68)</f>
        <v/>
      </c>
      <c r="G68" s="36">
        <f>1-F68</f>
        <v/>
      </c>
      <c r="H68" s="35">
        <f>((A69-A68)*B68)-D68</f>
        <v/>
      </c>
      <c r="I68" s="36">
        <f>1-(H68/((A69-A68)*B68))</f>
        <v/>
      </c>
      <c r="K68" s="51" t="n">
        <v>3851.205</v>
      </c>
      <c r="L68" s="51" t="n">
        <v>260.54</v>
      </c>
      <c r="M68" s="51" t="n">
        <v>3805.984</v>
      </c>
      <c r="N68" s="51" t="n">
        <v>45.221</v>
      </c>
      <c r="O68" s="51" t="n">
        <v>388.138</v>
      </c>
      <c r="P68" s="51" t="n">
        <v>32.959</v>
      </c>
      <c r="Q68" s="38">
        <f>K68/D68*2</f>
        <v/>
      </c>
      <c r="R68" s="38">
        <f>(K68+L68)/D68*2</f>
        <v/>
      </c>
      <c r="S68" s="38">
        <f>soy_crush!R68-'NOPA US Crush'!E494</f>
        <v/>
      </c>
      <c r="T68" s="36">
        <f>S68/R68</f>
        <v/>
      </c>
      <c r="V68" s="51" t="n">
        <v>2012.823</v>
      </c>
      <c r="W68" s="51" t="n">
        <v>119.84</v>
      </c>
      <c r="X68" s="51" t="n">
        <v>1682.55</v>
      </c>
      <c r="Y68" s="51" t="n">
        <v>1639.547</v>
      </c>
      <c r="Z68" s="36">
        <f>1-(Y68/X68)</f>
        <v/>
      </c>
      <c r="AA68" s="51" t="n">
        <v>1610.021</v>
      </c>
      <c r="AB68" s="51" t="n">
        <v>472.137</v>
      </c>
      <c r="AC68" s="51" t="n">
        <v>1137.884</v>
      </c>
      <c r="AD68" s="51" t="n">
        <v>1575.628</v>
      </c>
      <c r="AE68" s="51" t="n">
        <v>656.302</v>
      </c>
      <c r="AF68" s="51" t="n">
        <v>369.479</v>
      </c>
      <c r="AG68" s="51" t="n">
        <v>596.798</v>
      </c>
      <c r="AH68" s="51" t="n"/>
      <c r="AI68" s="51" t="n"/>
      <c r="AJ68" s="38">
        <f>V68/D68</f>
        <v/>
      </c>
      <c r="AK68" s="38" t="n"/>
      <c r="AM68" s="35">
        <f>AJ68+R68</f>
        <v/>
      </c>
    </row>
    <row r="69" ht="15" customFormat="1" customHeight="1" s="37">
      <c r="A69" s="39" t="n">
        <v>44075</v>
      </c>
      <c r="B69" s="34" t="n">
        <v>6.518529066591305</v>
      </c>
      <c r="C69" s="51" t="n">
        <v>5131.665</v>
      </c>
      <c r="D69" s="35">
        <f>C69*33.33/1000</f>
        <v/>
      </c>
      <c r="E69" s="34">
        <f>D69-'NOPA US Crush'!B495</f>
        <v/>
      </c>
      <c r="F69" s="36">
        <f>1-((D69-E69)/D69)</f>
        <v/>
      </c>
      <c r="G69" s="36">
        <f>1-F69</f>
        <v/>
      </c>
      <c r="H69" s="35">
        <f>((A70-A69)*B69)-D69</f>
        <v/>
      </c>
      <c r="I69" s="36">
        <f>1-(H69/((A70-A69)*B69))</f>
        <v/>
      </c>
      <c r="K69" s="51" t="n">
        <v>3754.168</v>
      </c>
      <c r="L69" s="51" t="n">
        <v>255.248</v>
      </c>
      <c r="M69" s="51" t="n">
        <v>3704.259</v>
      </c>
      <c r="N69" s="51" t="n">
        <v>49.909</v>
      </c>
      <c r="O69" s="51" t="n">
        <v>312.944</v>
      </c>
      <c r="P69" s="51" t="n">
        <v>28.392</v>
      </c>
      <c r="Q69" s="38">
        <f>K69/D69*2</f>
        <v/>
      </c>
      <c r="R69" s="38">
        <f>(K69+L69)/D69*2</f>
        <v/>
      </c>
      <c r="S69" s="38">
        <f>soy_crush!R69-'NOPA US Crush'!E495</f>
        <v/>
      </c>
      <c r="T69" s="36">
        <f>S69/R69</f>
        <v/>
      </c>
      <c r="V69" s="51" t="n">
        <v>1967.621</v>
      </c>
      <c r="W69" s="51" t="n">
        <v>134.972</v>
      </c>
      <c r="X69" s="51" t="n">
        <v>1576.908</v>
      </c>
      <c r="Y69" s="51" t="n">
        <v>1540.809</v>
      </c>
      <c r="Z69" s="36">
        <f>1-(Y69/X69)</f>
        <v/>
      </c>
      <c r="AA69" s="51" t="n">
        <v>1564.674</v>
      </c>
      <c r="AB69" s="51" t="n">
        <v>453.209</v>
      </c>
      <c r="AC69" s="51" t="n">
        <v>1111.465</v>
      </c>
      <c r="AD69" s="51" t="n">
        <v>1507.489</v>
      </c>
      <c r="AE69" s="51" t="n">
        <v>604.951</v>
      </c>
      <c r="AF69" s="51" t="n">
        <v>345.186</v>
      </c>
      <c r="AG69" s="51" t="n">
        <v>574.402</v>
      </c>
      <c r="AH69" s="51" t="n"/>
      <c r="AI69" s="51" t="n"/>
      <c r="AJ69" s="38">
        <f>V69/D69</f>
        <v/>
      </c>
      <c r="AK69" s="38" t="n"/>
      <c r="AM69" s="35">
        <f>AJ69+R69</f>
        <v/>
      </c>
    </row>
    <row r="70" ht="15" customFormat="1" customHeight="1" s="37">
      <c r="A70" s="39" t="n">
        <v>44105</v>
      </c>
      <c r="B70" s="34" t="n">
        <v>6.531757241810817</v>
      </c>
      <c r="C70" s="51" t="n">
        <v>5897.079</v>
      </c>
      <c r="D70" s="35">
        <f>C70*33.33/1000</f>
        <v/>
      </c>
      <c r="E70" s="34">
        <f>D70-'NOPA US Crush'!B496</f>
        <v/>
      </c>
      <c r="F70" s="36">
        <f>1-((D70-E70)/D70)</f>
        <v/>
      </c>
      <c r="G70" s="36">
        <f>1-F70</f>
        <v/>
      </c>
      <c r="H70" s="35">
        <f>((A71-A70)*B70)-D70</f>
        <v/>
      </c>
      <c r="I70" s="36">
        <f>1-(H70/((A71-A70)*B70))</f>
        <v/>
      </c>
      <c r="K70" s="51" t="n">
        <v>4335.054</v>
      </c>
      <c r="L70" s="51" t="n">
        <v>280.538</v>
      </c>
      <c r="M70" s="51" t="n">
        <v>4289.031</v>
      </c>
      <c r="N70" s="51" t="n">
        <v>46.023</v>
      </c>
      <c r="O70" s="51" t="n">
        <v>342.914</v>
      </c>
      <c r="P70" s="51" t="n">
        <v>31.285</v>
      </c>
      <c r="Q70" s="38">
        <f>K70/D70*2</f>
        <v/>
      </c>
      <c r="R70" s="38">
        <f>(K70+L70)/D70*2</f>
        <v/>
      </c>
      <c r="S70" s="38">
        <f>soy_crush!R70-'NOPA US Crush'!E496</f>
        <v/>
      </c>
      <c r="T70" s="36">
        <f>S70/R70</f>
        <v/>
      </c>
      <c r="V70" s="51" t="n">
        <v>2282.471</v>
      </c>
      <c r="W70" s="51" t="n">
        <v>113.41</v>
      </c>
      <c r="X70" s="51" t="n">
        <v>1692.858</v>
      </c>
      <c r="Y70" s="51" t="n">
        <v>1650.706</v>
      </c>
      <c r="Z70" s="36">
        <f>1-(Y70/X70)</f>
        <v/>
      </c>
      <c r="AA70" s="51" t="n">
        <v>1595.129</v>
      </c>
      <c r="AB70" s="51" t="n">
        <v>435.185</v>
      </c>
      <c r="AC70" s="51" t="n">
        <v>1159.944</v>
      </c>
      <c r="AD70" s="51" t="n">
        <v>1568.464</v>
      </c>
      <c r="AE70" s="51" t="n">
        <v>693.17</v>
      </c>
      <c r="AF70" s="51" t="n">
        <v>399.547</v>
      </c>
      <c r="AG70" s="51" t="n">
        <v>586.955</v>
      </c>
      <c r="AH70" s="51" t="n"/>
      <c r="AI70" s="51" t="n"/>
      <c r="AJ70" s="38">
        <f>V70/D70</f>
        <v/>
      </c>
      <c r="AK70" s="38" t="n"/>
      <c r="AM70" s="35">
        <f>AJ70+R70</f>
        <v/>
      </c>
    </row>
    <row r="71" ht="15" customFormat="1" customHeight="1" s="37">
      <c r="A71" s="39" t="n">
        <v>44136</v>
      </c>
      <c r="B71" s="34" t="n">
        <v>6.491890995264091</v>
      </c>
      <c r="C71" s="51" t="n">
        <v>5731.207</v>
      </c>
      <c r="D71" s="35">
        <f>C71*33.33/1000</f>
        <v/>
      </c>
      <c r="E71" s="34">
        <f>D71-'NOPA US Crush'!B497</f>
        <v/>
      </c>
      <c r="F71" s="36">
        <f>1-((D71-E71)/D71)</f>
        <v/>
      </c>
      <c r="G71" s="36">
        <f>1-F71</f>
        <v/>
      </c>
      <c r="H71" s="35">
        <f>((A72-A71)*B71)-D71</f>
        <v/>
      </c>
      <c r="I71" s="36">
        <f>1-(H71/((A72-A71)*B71))</f>
        <v/>
      </c>
      <c r="K71" s="51" t="n">
        <v>4230.274</v>
      </c>
      <c r="L71" s="51" t="n">
        <v>286.02</v>
      </c>
      <c r="M71" s="51" t="n">
        <v>4191.026</v>
      </c>
      <c r="N71" s="51" t="n">
        <v>39.248</v>
      </c>
      <c r="O71" s="51" t="n">
        <v>415.107</v>
      </c>
      <c r="P71" s="51" t="n">
        <v>43.31</v>
      </c>
      <c r="Q71" s="38">
        <f>K71/D71*2</f>
        <v/>
      </c>
      <c r="R71" s="38">
        <f>(K71+L71)/D71*2</f>
        <v/>
      </c>
      <c r="S71" s="38">
        <f>soy_crush!R71-'NOPA US Crush'!E497</f>
        <v/>
      </c>
      <c r="T71" s="36">
        <f>S71/R71</f>
        <v/>
      </c>
      <c r="V71" s="51" t="n">
        <v>2206.792</v>
      </c>
      <c r="W71" s="51" t="n">
        <v>135.477</v>
      </c>
      <c r="X71" s="51" t="n">
        <v>1617.081</v>
      </c>
      <c r="Y71" s="51" t="n">
        <v>1580.598</v>
      </c>
      <c r="Z71" s="36">
        <f>1-(Y71/X71)</f>
        <v/>
      </c>
      <c r="AA71" s="51" t="n">
        <v>1547.094</v>
      </c>
      <c r="AB71" s="51" t="n">
        <v>474.689</v>
      </c>
      <c r="AC71" s="51" t="n">
        <v>1072.405</v>
      </c>
      <c r="AD71" s="51" t="n">
        <v>1684.535</v>
      </c>
      <c r="AE71" s="51" t="n">
        <v>759.569</v>
      </c>
      <c r="AF71" s="51" t="n">
        <v>432.562</v>
      </c>
      <c r="AG71" s="51" t="n">
        <v>657.713</v>
      </c>
      <c r="AH71" s="51" t="n"/>
      <c r="AI71" s="51" t="n"/>
      <c r="AJ71" s="38">
        <f>V71/D71</f>
        <v/>
      </c>
      <c r="AK71" s="38" t="n"/>
      <c r="AM71" s="35">
        <f>AJ71+R71</f>
        <v/>
      </c>
    </row>
    <row r="72" ht="15" customFormat="1" customHeight="1" s="37">
      <c r="A72" s="39" t="n">
        <v>44166</v>
      </c>
      <c r="B72" s="34" t="n">
        <v>6.485942856548383</v>
      </c>
      <c r="C72" s="51" t="n">
        <v>5794.233</v>
      </c>
      <c r="D72" s="35">
        <f>C72*33.33/1000</f>
        <v/>
      </c>
      <c r="E72" s="34">
        <f>D72-'NOPA US Crush'!B498</f>
        <v/>
      </c>
      <c r="F72" s="36">
        <f>1-((D72-E72)/D72)</f>
        <v/>
      </c>
      <c r="G72" s="36">
        <f>1-F72</f>
        <v/>
      </c>
      <c r="H72" s="35">
        <f>((A73-A72)*B72)-D72</f>
        <v/>
      </c>
      <c r="I72" s="36">
        <f>1-(H72/((A73-A72)*B72))</f>
        <v/>
      </c>
      <c r="K72" s="51" t="n">
        <v>4235.822</v>
      </c>
      <c r="L72" s="51" t="n">
        <v>305.109</v>
      </c>
      <c r="M72" s="51" t="n">
        <v>4190.556</v>
      </c>
      <c r="N72" s="51" t="n">
        <v>45.266</v>
      </c>
      <c r="O72" s="51" t="n">
        <v>308.933</v>
      </c>
      <c r="P72" s="51" t="n">
        <v>50.46</v>
      </c>
      <c r="Q72" s="38">
        <f>K72/D72*2</f>
        <v/>
      </c>
      <c r="R72" s="38">
        <f>(K72+L72)/D72*2</f>
        <v/>
      </c>
      <c r="S72" s="38">
        <f>soy_crush!R72-'NOPA US Crush'!E498</f>
        <v/>
      </c>
      <c r="T72" s="36">
        <f>S72/R72</f>
        <v/>
      </c>
      <c r="V72" s="51" t="n">
        <v>2233.486</v>
      </c>
      <c r="W72" s="51" t="n">
        <v>148.651</v>
      </c>
      <c r="X72" s="51" t="n">
        <v>1614.33</v>
      </c>
      <c r="Y72" s="51" t="n">
        <v>1576.008</v>
      </c>
      <c r="Z72" s="36">
        <f>1-(Y72/X72)</f>
        <v/>
      </c>
      <c r="AA72" s="51" t="n">
        <v>1614.446</v>
      </c>
      <c r="AB72" s="51" t="n">
        <v>495.786</v>
      </c>
      <c r="AC72" s="51" t="n">
        <v>1118.66</v>
      </c>
      <c r="AD72" s="51" t="n">
        <v>1717.305</v>
      </c>
      <c r="AE72" s="51" t="n">
        <v>781.381</v>
      </c>
      <c r="AF72" s="51" t="n">
        <v>393.481</v>
      </c>
      <c r="AG72" s="51" t="n">
        <v>658.434</v>
      </c>
      <c r="AH72" s="51" t="n"/>
      <c r="AI72" s="51" t="n"/>
      <c r="AJ72" s="38">
        <f>V72/D72</f>
        <v/>
      </c>
      <c r="AK72" s="38" t="n"/>
      <c r="AM72" s="35">
        <f>AJ72+R72</f>
        <v/>
      </c>
    </row>
    <row r="73" ht="15" customFormat="1" customHeight="1" s="37">
      <c r="A73" s="39" t="n">
        <v>44197</v>
      </c>
      <c r="B73" s="34" t="n">
        <v>6.5532969924259</v>
      </c>
      <c r="C73" s="51" t="n">
        <v>5895.36</v>
      </c>
      <c r="D73" s="35">
        <f>C73*33.33/1000</f>
        <v/>
      </c>
      <c r="E73" s="34">
        <f>D73-'NOPA US Crush'!B499</f>
        <v/>
      </c>
      <c r="F73" s="36">
        <f>1-((D73-E73)/D73)</f>
        <v/>
      </c>
      <c r="G73" s="36">
        <f>1-F73</f>
        <v/>
      </c>
      <c r="H73" s="35">
        <f>((A74-A73)*B73)-D73</f>
        <v/>
      </c>
      <c r="I73" s="36">
        <f>1-(H73/((A74-A73)*B73))</f>
        <v/>
      </c>
      <c r="K73" s="51" t="n">
        <v>4353.068</v>
      </c>
      <c r="L73" s="51" t="n">
        <v>312.586</v>
      </c>
      <c r="M73" s="51" t="n">
        <v>4294.634</v>
      </c>
      <c r="N73" s="51" t="n">
        <v>58.434</v>
      </c>
      <c r="O73" s="51" t="n">
        <v>512.396</v>
      </c>
      <c r="P73" s="51" t="n">
        <v>43.408</v>
      </c>
      <c r="Q73" s="38">
        <f>K73/D73*2</f>
        <v/>
      </c>
      <c r="R73" s="38">
        <f>(K73+L73)/D73*2</f>
        <v/>
      </c>
      <c r="S73" s="38">
        <f>soy_crush!R73-'NOPA US Crush'!E499</f>
        <v/>
      </c>
      <c r="T73" s="36">
        <f>S73/R73</f>
        <v/>
      </c>
      <c r="V73" s="51" t="n">
        <v>2308.752</v>
      </c>
      <c r="W73" s="51" t="n">
        <v>109.089</v>
      </c>
      <c r="X73" s="51" t="n">
        <v>1620.678</v>
      </c>
      <c r="Y73" s="51" t="n">
        <v>1587.925</v>
      </c>
      <c r="Z73" s="36">
        <f>1-(Y73/X73)</f>
        <v/>
      </c>
      <c r="AA73" s="51" t="n">
        <v>1559.029</v>
      </c>
      <c r="AB73" s="51" t="n">
        <v>411.871</v>
      </c>
      <c r="AC73" s="51" t="n">
        <v>1147.158</v>
      </c>
      <c r="AD73" s="51" t="n">
        <v>1882.069</v>
      </c>
      <c r="AE73" s="51" t="n">
        <v>915.444</v>
      </c>
      <c r="AF73" s="51" t="n">
        <v>423.922</v>
      </c>
      <c r="AG73" s="51" t="n">
        <v>678.736</v>
      </c>
      <c r="AH73" s="51" t="n"/>
      <c r="AI73" s="51" t="n"/>
      <c r="AJ73" s="38">
        <f>V73/D73</f>
        <v/>
      </c>
      <c r="AK73" s="38" t="n"/>
      <c r="AM73" s="35">
        <f>AJ73+R73</f>
        <v/>
      </c>
    </row>
    <row r="74" ht="15" customFormat="1" customHeight="1" s="37">
      <c r="A74" s="39" t="n">
        <v>44228</v>
      </c>
      <c r="B74" s="34" t="n">
        <v>6.518642777056153</v>
      </c>
      <c r="C74" s="51" t="n">
        <v>4930.499</v>
      </c>
      <c r="D74" s="35">
        <f>C74*33.33/1000</f>
        <v/>
      </c>
      <c r="E74" s="34">
        <f>D74-'NOPA US Crush'!B500</f>
        <v/>
      </c>
      <c r="F74" s="36">
        <f>1-((D74-E74)/D74)</f>
        <v/>
      </c>
      <c r="G74" s="36">
        <f>1-F74</f>
        <v/>
      </c>
      <c r="H74" s="35">
        <f>((A75-A74)*B74)-D74</f>
        <v/>
      </c>
      <c r="I74" s="36">
        <f>1-(H74/((A75-A74)*B74))</f>
        <v/>
      </c>
      <c r="K74" s="51" t="n">
        <v>3652.574</v>
      </c>
      <c r="L74" s="51" t="n">
        <v>266.097</v>
      </c>
      <c r="M74" s="51" t="n">
        <v>3607.78</v>
      </c>
      <c r="N74" s="51" t="n">
        <v>44.794</v>
      </c>
      <c r="O74" s="51" t="n">
        <v>544.178</v>
      </c>
      <c r="P74" s="51" t="n">
        <v>39.885</v>
      </c>
      <c r="Q74" s="38">
        <f>K74/D74*2</f>
        <v/>
      </c>
      <c r="R74" s="38">
        <f>(K74+L74)/D74*2</f>
        <v/>
      </c>
      <c r="S74" s="38">
        <f>soy_crush!R74-'NOPA US Crush'!E500</f>
        <v/>
      </c>
      <c r="T74" s="36">
        <f>S74/R74</f>
        <v/>
      </c>
      <c r="V74" s="51" t="n">
        <v>1924.749</v>
      </c>
      <c r="W74" s="51" t="n">
        <v>90.729</v>
      </c>
      <c r="X74" s="51" t="n">
        <v>1473.714</v>
      </c>
      <c r="Y74" s="51" t="n">
        <v>1444.542</v>
      </c>
      <c r="Z74" s="36">
        <f>1-(Y74/X74)</f>
        <v/>
      </c>
      <c r="AA74" s="51" t="n">
        <v>1435.783</v>
      </c>
      <c r="AB74" s="51" t="n">
        <v>335.89</v>
      </c>
      <c r="AC74" s="51" t="n">
        <v>1099.893</v>
      </c>
      <c r="AD74" s="51" t="n">
        <v>1870.825</v>
      </c>
      <c r="AE74" s="51" t="n">
        <v>953.4640000000001</v>
      </c>
      <c r="AF74" s="51" t="n">
        <v>435.163</v>
      </c>
      <c r="AG74" s="51" t="n">
        <v>623.705</v>
      </c>
      <c r="AH74" s="51" t="n"/>
      <c r="AI74" s="51" t="n"/>
      <c r="AJ74" s="38">
        <f>V74/D74</f>
        <v/>
      </c>
      <c r="AK74" s="38" t="n"/>
      <c r="AM74" s="35">
        <f>AJ74+R74</f>
        <v/>
      </c>
    </row>
    <row r="75" ht="15" customFormat="1" customHeight="1" s="37">
      <c r="A75" s="39" t="n">
        <v>44256</v>
      </c>
      <c r="B75" s="34" t="n">
        <v>6.609751769942569</v>
      </c>
      <c r="C75" s="51" t="n">
        <v>5646.728</v>
      </c>
      <c r="D75" s="35">
        <f>C75*33.33/1000</f>
        <v/>
      </c>
      <c r="E75" s="34">
        <f>D75-'NOPA US Crush'!B501</f>
        <v/>
      </c>
      <c r="F75" s="36">
        <f>1-((D75-E75)/D75)</f>
        <v/>
      </c>
      <c r="G75" s="36">
        <f>1-F75</f>
        <v/>
      </c>
      <c r="H75" s="35">
        <f>((A76-A75)*B75)-D75</f>
        <v/>
      </c>
      <c r="I75" s="36">
        <f>1-(H75/((A76-A75)*B75))</f>
        <v/>
      </c>
      <c r="K75" s="51" t="n">
        <v>4181.3</v>
      </c>
      <c r="L75" s="51" t="n">
        <v>295.287</v>
      </c>
      <c r="M75" s="51" t="n">
        <v>4128.686</v>
      </c>
      <c r="N75" s="51" t="n">
        <v>52.614</v>
      </c>
      <c r="O75" s="51" t="n">
        <v>415.418</v>
      </c>
      <c r="P75" s="51" t="n">
        <v>32.322</v>
      </c>
      <c r="Q75" s="38">
        <f>K75/D75*2</f>
        <v/>
      </c>
      <c r="R75" s="38">
        <f>(K75+L75)/D75*2</f>
        <v/>
      </c>
      <c r="S75" s="38">
        <f>soy_crush!R75-'NOPA US Crush'!E501</f>
        <v/>
      </c>
      <c r="T75" s="36">
        <f>S75/R75</f>
        <v/>
      </c>
      <c r="V75" s="51" t="n">
        <v>2222.123</v>
      </c>
      <c r="W75" s="51" t="n">
        <v>168.184</v>
      </c>
      <c r="X75" s="51" t="n">
        <v>1799.682</v>
      </c>
      <c r="Y75" s="51" t="n">
        <v>1756.293</v>
      </c>
      <c r="Z75" s="36">
        <f>1-(Y75/X75)</f>
        <v/>
      </c>
      <c r="AA75" s="51" t="n">
        <v>1809.582</v>
      </c>
      <c r="AB75" s="51" t="n">
        <v>546.729</v>
      </c>
      <c r="AC75" s="51" t="n">
        <v>1262.853</v>
      </c>
      <c r="AD75" s="51" t="n">
        <v>1864.1</v>
      </c>
      <c r="AE75" s="51" t="n">
        <v>881.3630000000001</v>
      </c>
      <c r="AF75" s="51" t="n">
        <v>381.178</v>
      </c>
      <c r="AG75" s="51" t="n">
        <v>698.982</v>
      </c>
      <c r="AH75" s="51" t="n"/>
      <c r="AI75" s="51" t="n"/>
      <c r="AJ75" s="38">
        <f>V75/D75</f>
        <v/>
      </c>
      <c r="AK75" s="38" t="n"/>
      <c r="AM75" s="35">
        <f>AJ75+R75</f>
        <v/>
      </c>
    </row>
    <row r="76" ht="15" customFormat="1" customHeight="1" s="37">
      <c r="A76" s="39" t="n">
        <v>44287</v>
      </c>
      <c r="B76" s="34" t="n">
        <v>6.623823462762709</v>
      </c>
      <c r="C76" s="51" t="n">
        <v>5095.631</v>
      </c>
      <c r="D76" s="35">
        <f>C76*33.33/1000</f>
        <v/>
      </c>
      <c r="E76" s="34">
        <f>D76-'NOPA US Crush'!B502</f>
        <v/>
      </c>
      <c r="F76" s="36">
        <f>1-((D76-E76)/D76)</f>
        <v/>
      </c>
      <c r="G76" s="36">
        <f>1-F76</f>
        <v/>
      </c>
      <c r="H76" s="35">
        <f>((A77-A76)*B76)-D76</f>
        <v/>
      </c>
      <c r="I76" s="36">
        <f>1-(H76/((A77-A76)*B76))</f>
        <v/>
      </c>
      <c r="K76" s="51" t="n">
        <v>3773.943</v>
      </c>
      <c r="L76" s="51" t="n">
        <v>270.766</v>
      </c>
      <c r="M76" s="51" t="n">
        <v>3731.721</v>
      </c>
      <c r="N76" s="51" t="n">
        <v>42.222</v>
      </c>
      <c r="O76" s="51" t="n">
        <v>417.603</v>
      </c>
      <c r="P76" s="51" t="n">
        <v>34.403</v>
      </c>
      <c r="Q76" s="38">
        <f>K76/D76*2</f>
        <v/>
      </c>
      <c r="R76" s="38">
        <f>(K76+L76)/D76*2</f>
        <v/>
      </c>
      <c r="S76" s="38">
        <f>soy_crush!R76-'NOPA US Crush'!E502</f>
        <v/>
      </c>
      <c r="T76" s="36">
        <f>S76/R76</f>
        <v/>
      </c>
      <c r="V76" s="51" t="n">
        <v>1991.877</v>
      </c>
      <c r="W76" s="51" t="n">
        <v>107.443</v>
      </c>
      <c r="X76" s="51" t="n">
        <v>1678.886</v>
      </c>
      <c r="Y76" s="51" t="n">
        <v>1642.251</v>
      </c>
      <c r="Z76" s="36">
        <f>1-(Y76/X76)</f>
        <v/>
      </c>
      <c r="AA76" s="51" t="n">
        <v>1664.176</v>
      </c>
      <c r="AB76" s="51" t="n">
        <v>449.035</v>
      </c>
      <c r="AC76" s="51" t="n">
        <v>1215.141</v>
      </c>
      <c r="AD76" s="51" t="n">
        <v>1814.888</v>
      </c>
      <c r="AE76" s="51" t="n">
        <v>945.718</v>
      </c>
      <c r="AF76" s="51" t="n">
        <v>362.7</v>
      </c>
      <c r="AG76" s="51" t="n">
        <v>604.446</v>
      </c>
      <c r="AH76" s="51" t="n"/>
      <c r="AI76" s="51" t="n"/>
      <c r="AJ76" s="38">
        <f>V76/D76</f>
        <v/>
      </c>
      <c r="AK76" s="38" t="n"/>
      <c r="AM76" s="35">
        <f>AJ76+R76</f>
        <v/>
      </c>
    </row>
    <row r="77" ht="15" customFormat="1" customHeight="1" s="37">
      <c r="A77" s="39" t="n">
        <v>44317</v>
      </c>
      <c r="B77" s="34" t="n">
        <v>6.634372460426442</v>
      </c>
      <c r="C77" s="51" t="n">
        <v>5205.032</v>
      </c>
      <c r="D77" s="35">
        <f>C77*33.33/1000</f>
        <v/>
      </c>
      <c r="E77" s="34">
        <f>D77-'NOPA US Crush'!B503</f>
        <v/>
      </c>
      <c r="F77" s="36">
        <f>1-((D77-E77)/D77)</f>
        <v/>
      </c>
      <c r="G77" s="36">
        <f>1-F77</f>
        <v/>
      </c>
      <c r="H77" s="35">
        <f>((A78-A77)*B77)-D77</f>
        <v/>
      </c>
      <c r="I77" s="36">
        <f>1-(H77/((A78-A77)*B77))</f>
        <v/>
      </c>
      <c r="K77" s="51" t="n">
        <v>3849.675</v>
      </c>
      <c r="L77" s="51" t="n">
        <v>273.209</v>
      </c>
      <c r="M77" s="51" t="n">
        <v>3800.161</v>
      </c>
      <c r="N77" s="51" t="n">
        <v>49.514</v>
      </c>
      <c r="O77" s="51" t="n">
        <v>592.86</v>
      </c>
      <c r="P77" s="51" t="n">
        <v>48.594</v>
      </c>
      <c r="Q77" s="38">
        <f>K77/D77*2</f>
        <v/>
      </c>
      <c r="R77" s="38">
        <f>(K77+L77)/D77*2</f>
        <v/>
      </c>
      <c r="S77" s="38">
        <f>soy_crush!R77-'NOPA US Crush'!E503</f>
        <v/>
      </c>
      <c r="T77" s="36">
        <f>S77/R77</f>
        <v/>
      </c>
      <c r="V77" s="51" t="n">
        <v>2043.135</v>
      </c>
      <c r="W77" s="51" t="n">
        <v>102.003</v>
      </c>
      <c r="X77" s="51" t="n">
        <v>1752.28</v>
      </c>
      <c r="Y77" s="51" t="n">
        <v>1711.86</v>
      </c>
      <c r="Z77" s="36">
        <f>1-(Y77/X77)</f>
        <v/>
      </c>
      <c r="AA77" s="51" t="n">
        <v>1649.497</v>
      </c>
      <c r="AB77" s="51" t="n">
        <v>427.409</v>
      </c>
      <c r="AC77" s="51" t="n">
        <v>1222.088</v>
      </c>
      <c r="AD77" s="51" t="n">
        <v>1721.223</v>
      </c>
      <c r="AE77" s="51" t="n">
        <v>893.077</v>
      </c>
      <c r="AF77" s="51" t="n">
        <v>425.765</v>
      </c>
      <c r="AG77" s="51" t="n">
        <v>579.842</v>
      </c>
      <c r="AH77" s="51" t="n"/>
      <c r="AI77" s="51" t="n"/>
      <c r="AJ77" s="38">
        <f>V77/D77</f>
        <v/>
      </c>
      <c r="AK77" s="38" t="n"/>
      <c r="AM77" s="35">
        <f>AJ77+R77</f>
        <v/>
      </c>
    </row>
    <row r="78" ht="15" customFormat="1" customHeight="1" s="37">
      <c r="A78" s="39" t="n">
        <v>44348</v>
      </c>
      <c r="B78" s="34" t="n">
        <v>6.635880874517548</v>
      </c>
      <c r="C78" s="51" t="n">
        <v>4852.334</v>
      </c>
      <c r="D78" s="35">
        <f>C78*33.33/1000</f>
        <v/>
      </c>
      <c r="E78" s="34">
        <f>D78-'NOPA US Crush'!B504</f>
        <v/>
      </c>
      <c r="F78" s="36">
        <f>1-((D78-E78)/D78)</f>
        <v/>
      </c>
      <c r="G78" s="36">
        <f>1-F78</f>
        <v/>
      </c>
      <c r="H78" s="35">
        <f>((A79-A78)*B78)-D78</f>
        <v/>
      </c>
      <c r="I78" s="36">
        <f>1-(H78/((A79-A78)*B78))</f>
        <v/>
      </c>
      <c r="K78" s="51" t="n">
        <v>3579.777</v>
      </c>
      <c r="L78" s="51" t="n">
        <v>254.174</v>
      </c>
      <c r="M78" s="51" t="n">
        <v>3542.326</v>
      </c>
      <c r="N78" s="51" t="n">
        <v>37.451</v>
      </c>
      <c r="O78" s="51" t="n">
        <v>390.755</v>
      </c>
      <c r="P78" s="51" t="n">
        <v>48.245</v>
      </c>
      <c r="Q78" s="38">
        <f>K78/D78*2</f>
        <v/>
      </c>
      <c r="R78" s="38">
        <f>(K78+L78)/D78*2</f>
        <v/>
      </c>
      <c r="S78" s="38">
        <f>soy_crush!R78-'NOPA US Crush'!E504</f>
        <v/>
      </c>
      <c r="T78" s="36">
        <f>S78/R78</f>
        <v/>
      </c>
      <c r="V78" s="51" t="n">
        <v>1908.649</v>
      </c>
      <c r="W78" s="51" t="n">
        <v>144.54</v>
      </c>
      <c r="X78" s="51" t="n">
        <v>1639.231</v>
      </c>
      <c r="Y78" s="51" t="n">
        <v>1599.354</v>
      </c>
      <c r="Z78" s="36">
        <f>1-(Y78/X78)</f>
        <v/>
      </c>
      <c r="AA78" s="51" t="n">
        <v>1608.391</v>
      </c>
      <c r="AB78" s="51" t="n">
        <v>392.336</v>
      </c>
      <c r="AC78" s="51" t="n">
        <v>1216.055</v>
      </c>
      <c r="AD78" s="51" t="n">
        <v>1682.521</v>
      </c>
      <c r="AE78" s="51" t="n">
        <v>831.496</v>
      </c>
      <c r="AF78" s="51" t="n">
        <v>418.133</v>
      </c>
      <c r="AG78" s="51" t="n">
        <v>560.3440000000001</v>
      </c>
      <c r="AH78" s="51" t="n"/>
      <c r="AI78" s="51" t="n"/>
      <c r="AJ78" s="38">
        <f>V78/D78</f>
        <v/>
      </c>
      <c r="AK78" s="38" t="n"/>
      <c r="AM78" s="35">
        <f>AJ78+R78</f>
        <v/>
      </c>
    </row>
    <row r="79" ht="15" customFormat="1" customHeight="1" s="37">
      <c r="A79" s="39" t="n">
        <v>44378</v>
      </c>
      <c r="B79" s="34" t="n">
        <v>6.715610810328587</v>
      </c>
      <c r="C79" s="51" t="n">
        <v>4989.996</v>
      </c>
      <c r="D79" s="35">
        <f>C79*33.33/1000</f>
        <v/>
      </c>
      <c r="E79" s="34">
        <f>D79-'NOPA US Crush'!B505</f>
        <v/>
      </c>
      <c r="F79" s="36">
        <f>1-((D79-E79)/D79)</f>
        <v/>
      </c>
      <c r="G79" s="36">
        <f>1-F79</f>
        <v/>
      </c>
      <c r="H79" s="35">
        <f>((A80-A79)*B79)-D79</f>
        <v/>
      </c>
      <c r="I79" s="36">
        <f>1-(H79/((A80-A79)*B79))</f>
        <v/>
      </c>
      <c r="K79" s="51" t="n">
        <v>3698.749</v>
      </c>
      <c r="L79" s="51" t="n">
        <v>267.75</v>
      </c>
      <c r="M79" s="51" t="n">
        <v>3639.202</v>
      </c>
      <c r="N79" s="51" t="n">
        <v>59.547</v>
      </c>
      <c r="O79" s="51" t="n">
        <v>442.29</v>
      </c>
      <c r="P79" s="51" t="n">
        <v>34.536</v>
      </c>
      <c r="Q79" s="38">
        <f>K79/D79*2</f>
        <v/>
      </c>
      <c r="R79" s="38">
        <f>(K79+L79)/D79*2</f>
        <v/>
      </c>
      <c r="S79" s="38">
        <f>soy_crush!R79-'NOPA US Crush'!E505</f>
        <v/>
      </c>
      <c r="T79" s="36">
        <f>S79/R79</f>
        <v/>
      </c>
      <c r="V79" s="51" t="n">
        <v>1972.688</v>
      </c>
      <c r="W79" s="51" t="n">
        <v>117.57</v>
      </c>
      <c r="X79" s="51" t="n">
        <v>1615.578</v>
      </c>
      <c r="Y79" s="51" t="n">
        <v>1580.058</v>
      </c>
      <c r="Z79" s="36">
        <f>1-(Y79/X79)</f>
        <v/>
      </c>
      <c r="AA79" s="51" t="n">
        <v>1600.617</v>
      </c>
      <c r="AB79" s="51" t="n">
        <v>392.5</v>
      </c>
      <c r="AC79" s="51" t="n">
        <v>1208.117</v>
      </c>
      <c r="AD79" s="51" t="n">
        <v>1671.358</v>
      </c>
      <c r="AE79" s="51" t="n">
        <v>822.597</v>
      </c>
      <c r="AF79" s="51" t="n">
        <v>398.753</v>
      </c>
      <c r="AG79" s="51" t="n">
        <v>585.905</v>
      </c>
      <c r="AH79" s="51" t="n"/>
      <c r="AI79" s="51" t="n"/>
      <c r="AJ79" s="38">
        <f>V79/D79</f>
        <v/>
      </c>
      <c r="AK79" s="38" t="n"/>
      <c r="AM79" s="35">
        <f>AJ79+R79</f>
        <v/>
      </c>
    </row>
    <row r="80" ht="15" customFormat="1" customHeight="1" s="37">
      <c r="A80" s="39" t="n">
        <v>44409</v>
      </c>
      <c r="B80" s="34" t="n">
        <v>6.622013720020169</v>
      </c>
      <c r="C80" s="51" t="n">
        <v>5047.776</v>
      </c>
      <c r="D80" s="35">
        <f>C80*33.33/1000</f>
        <v/>
      </c>
      <c r="E80" s="34">
        <f>D80-'NOPA US Crush'!B506</f>
        <v/>
      </c>
      <c r="F80" s="36">
        <f>1-((D80-E80)/D80)</f>
        <v/>
      </c>
      <c r="G80" s="36">
        <f>1-F80</f>
        <v/>
      </c>
      <c r="H80" s="35">
        <f>((A81-A80)*B80)-D80</f>
        <v/>
      </c>
      <c r="I80" s="36">
        <f>1-(H80/((A81-A80)*B80))</f>
        <v/>
      </c>
      <c r="K80" s="51" t="n">
        <v>3728.116</v>
      </c>
      <c r="L80" s="51" t="n">
        <v>267.178</v>
      </c>
      <c r="M80" s="51" t="n">
        <v>3672.915</v>
      </c>
      <c r="N80" s="51" t="n">
        <v>55.201</v>
      </c>
      <c r="O80" s="51" t="n">
        <v>344.741</v>
      </c>
      <c r="P80" s="51" t="n">
        <v>38.771</v>
      </c>
      <c r="Q80" s="38">
        <f>K80/D80*2</f>
        <v/>
      </c>
      <c r="R80" s="38">
        <f>(K80+L80)/D80*2</f>
        <v/>
      </c>
      <c r="S80" s="38">
        <f>soy_crush!R80-'NOPA US Crush'!E506</f>
        <v/>
      </c>
      <c r="T80" s="36">
        <f>S80/R80</f>
        <v/>
      </c>
      <c r="V80" s="51" t="n">
        <v>1989.733</v>
      </c>
      <c r="W80" s="51" t="n">
        <v>109.209</v>
      </c>
      <c r="X80" s="51" t="n">
        <v>1670.68</v>
      </c>
      <c r="Y80" s="51" t="n">
        <v>1629.162</v>
      </c>
      <c r="Z80" s="36">
        <f>1-(Y80/X80)</f>
        <v/>
      </c>
      <c r="AA80" s="51" t="n">
        <v>1598.981</v>
      </c>
      <c r="AB80" s="51" t="n">
        <v>409.522</v>
      </c>
      <c r="AC80" s="51" t="n">
        <v>1189.459</v>
      </c>
      <c r="AD80" s="51" t="n">
        <v>1753.469</v>
      </c>
      <c r="AE80" s="51" t="n">
        <v>872.12</v>
      </c>
      <c r="AF80" s="51" t="n">
        <v>429.972</v>
      </c>
      <c r="AG80" s="51" t="n">
        <v>598.598</v>
      </c>
      <c r="AH80" s="51" t="n"/>
      <c r="AI80" s="51" t="n"/>
      <c r="AJ80" s="38">
        <f>V80/D80</f>
        <v/>
      </c>
      <c r="AK80" s="38" t="n"/>
      <c r="AM80" s="35">
        <f>AJ80+R80</f>
        <v/>
      </c>
    </row>
    <row r="81" ht="15" customFormat="1" customHeight="1" s="37">
      <c r="A81" s="39" t="n">
        <v>44440</v>
      </c>
      <c r="B81" s="34" t="n">
        <v>6.697262226316519</v>
      </c>
      <c r="C81" s="51" t="n">
        <v>4924.574</v>
      </c>
      <c r="D81" s="35">
        <f>C81*33.33/1000</f>
        <v/>
      </c>
      <c r="E81" s="34">
        <f>D81-'NOPA US Crush'!B507</f>
        <v/>
      </c>
      <c r="F81" s="36">
        <f>1-((D81-E81)/D81)</f>
        <v/>
      </c>
      <c r="G81" s="36">
        <f>1-F81</f>
        <v/>
      </c>
      <c r="H81" s="35">
        <f>((A82-A81)*B81)-D81</f>
        <v/>
      </c>
      <c r="I81" s="36">
        <f>1-(H81/((A82-A81)*B81))</f>
        <v/>
      </c>
      <c r="K81" s="51" t="n">
        <v>3604.266</v>
      </c>
      <c r="L81" s="51" t="n">
        <v>263.385</v>
      </c>
      <c r="M81" s="51" t="n">
        <v>3548.734</v>
      </c>
      <c r="N81" s="51" t="n">
        <v>55.532</v>
      </c>
      <c r="O81" s="51" t="n">
        <v>306.923</v>
      </c>
      <c r="P81" s="51" t="n">
        <v>33.863</v>
      </c>
      <c r="Q81" s="38">
        <f>K81/D81*2</f>
        <v/>
      </c>
      <c r="R81" s="38">
        <f>(K81+L81)/D81*2</f>
        <v/>
      </c>
      <c r="S81" s="38">
        <f>soy_crush!R81-'NOPA US Crush'!E507</f>
        <v/>
      </c>
      <c r="T81" s="36">
        <f>S81/R81</f>
        <v/>
      </c>
      <c r="V81" s="51" t="n">
        <v>1938.212</v>
      </c>
      <c r="W81" s="51" t="n">
        <v>122.583</v>
      </c>
      <c r="X81" s="51" t="n">
        <v>1650.106</v>
      </c>
      <c r="Y81" s="51" t="n">
        <v>1609.23</v>
      </c>
      <c r="Z81" s="36">
        <f>1-(Y81/X81)</f>
        <v/>
      </c>
      <c r="AA81" s="51" t="n">
        <v>1651.189</v>
      </c>
      <c r="AB81" s="51" t="n">
        <v>393.803</v>
      </c>
      <c r="AC81" s="51" t="n">
        <v>1257.386</v>
      </c>
      <c r="AD81" s="51" t="n">
        <v>1741.589</v>
      </c>
      <c r="AE81" s="51" t="n">
        <v>841.384</v>
      </c>
      <c r="AF81" s="51" t="n">
        <v>389.644</v>
      </c>
      <c r="AG81" s="51" t="n">
        <v>632.842</v>
      </c>
      <c r="AH81" s="51" t="n"/>
      <c r="AI81" s="51" t="n"/>
      <c r="AJ81" s="38">
        <f>V81/D81</f>
        <v/>
      </c>
      <c r="AK81" s="38" t="n"/>
      <c r="AM81" s="35">
        <f>AJ81+R81</f>
        <v/>
      </c>
    </row>
    <row r="82" ht="15" customFormat="1" customHeight="1" s="37">
      <c r="A82" s="39" t="n">
        <v>44470</v>
      </c>
      <c r="B82" s="34" t="n">
        <v>6.789138396056939</v>
      </c>
      <c r="C82" s="51" t="n">
        <v>5908.157</v>
      </c>
      <c r="D82" s="35">
        <f>C82*33.33/1000</f>
        <v/>
      </c>
      <c r="E82" s="34">
        <f>D82-'NOPA US Crush'!B508</f>
        <v/>
      </c>
      <c r="F82" s="36">
        <f>1-((D82-E82)/D82)</f>
        <v/>
      </c>
      <c r="G82" s="36">
        <f>1-F82</f>
        <v/>
      </c>
      <c r="H82" s="35">
        <f>((A83-A82)*B82)-D82</f>
        <v/>
      </c>
      <c r="I82" s="36">
        <f>1-(H82/((A83-A82)*B82))</f>
        <v/>
      </c>
      <c r="K82" s="51" t="n">
        <v>4284.256</v>
      </c>
      <c r="L82" s="51" t="n">
        <v>307.383</v>
      </c>
      <c r="M82" s="51" t="n">
        <v>4231.399</v>
      </c>
      <c r="N82" s="51" t="n">
        <v>52.857</v>
      </c>
      <c r="O82" s="51" t="n">
        <v>363.969</v>
      </c>
      <c r="P82" s="51" t="n">
        <v>47.512</v>
      </c>
      <c r="Q82" s="38">
        <f>K82/D82*2</f>
        <v/>
      </c>
      <c r="R82" s="38">
        <f>(K82+L82)/D82*2</f>
        <v/>
      </c>
      <c r="S82" s="38">
        <f>soy_crush!R82-'NOPA US Crush'!E508</f>
        <v/>
      </c>
      <c r="T82" s="36">
        <f>S82/R82</f>
        <v/>
      </c>
      <c r="V82" s="51" t="n">
        <v>2347.58</v>
      </c>
      <c r="W82" s="51" t="n">
        <v>142.927</v>
      </c>
      <c r="X82" s="51" t="n">
        <v>1772.253</v>
      </c>
      <c r="Y82" s="51" t="n">
        <v>1731.222</v>
      </c>
      <c r="Z82" s="36">
        <f>1-(Y82/X82)</f>
        <v/>
      </c>
      <c r="AA82" s="51" t="n">
        <v>1686.717</v>
      </c>
      <c r="AB82" s="51" t="n">
        <v>411.851</v>
      </c>
      <c r="AC82" s="51" t="n">
        <v>1274.866</v>
      </c>
      <c r="AD82" s="51" t="n">
        <v>1960.22</v>
      </c>
      <c r="AE82" s="51" t="n">
        <v>957.162</v>
      </c>
      <c r="AF82" s="51" t="n">
        <v>426.117</v>
      </c>
      <c r="AG82" s="51" t="n">
        <v>710.146</v>
      </c>
      <c r="AH82" s="51" t="n"/>
      <c r="AI82" s="51" t="n"/>
      <c r="AJ82" s="38">
        <f>V82/D82</f>
        <v/>
      </c>
      <c r="AK82" s="38" t="n"/>
      <c r="AM82" s="35">
        <f>AJ82+R82</f>
        <v/>
      </c>
    </row>
    <row r="83" ht="15" customFormat="1" customHeight="1" s="37">
      <c r="A83" s="39" t="n">
        <v>44501</v>
      </c>
      <c r="B83" s="34" t="n">
        <v>6.729014762932331</v>
      </c>
      <c r="C83" s="51" t="n">
        <v>5717.943</v>
      </c>
      <c r="D83" s="35">
        <f>C83*33.33/1000</f>
        <v/>
      </c>
      <c r="E83" s="34">
        <f>D83-'NOPA US Crush'!B509</f>
        <v/>
      </c>
      <c r="F83" s="36">
        <f>1-((D83-E83)/D83)</f>
        <v/>
      </c>
      <c r="G83" s="36">
        <f>1-F83</f>
        <v/>
      </c>
      <c r="H83" s="35">
        <f>((A84-A83)*B83)-D83</f>
        <v/>
      </c>
      <c r="I83" s="36">
        <f>1-(H83/((A84-A83)*B83))</f>
        <v/>
      </c>
      <c r="K83" s="51" t="n">
        <v>4164.959</v>
      </c>
      <c r="L83" s="51" t="n">
        <v>291.811</v>
      </c>
      <c r="M83" s="51" t="n">
        <v>4115.13</v>
      </c>
      <c r="N83" s="51" t="n">
        <v>49.829</v>
      </c>
      <c r="O83" s="51" t="n">
        <v>333.525</v>
      </c>
      <c r="P83" s="51" t="n">
        <v>42.087</v>
      </c>
      <c r="Q83" s="38">
        <f>K83/D83*2</f>
        <v/>
      </c>
      <c r="R83" s="38">
        <f>(K83+L83)/D83*2</f>
        <v/>
      </c>
      <c r="S83" s="38">
        <f>soy_crush!R83-'NOPA US Crush'!E509</f>
        <v/>
      </c>
      <c r="T83" s="36">
        <f>S83/R83</f>
        <v/>
      </c>
      <c r="V83" s="51" t="n">
        <v>2235.37</v>
      </c>
      <c r="W83" s="51" t="n">
        <v>155.107</v>
      </c>
      <c r="X83" s="51" t="n">
        <v>1701.596</v>
      </c>
      <c r="Y83" s="51" t="n">
        <v>1663.486</v>
      </c>
      <c r="Z83" s="36">
        <f>1-(Y83/X83)</f>
        <v/>
      </c>
      <c r="AA83" s="51" t="n">
        <v>1625.636</v>
      </c>
      <c r="AB83" s="51" t="n">
        <v>424.352</v>
      </c>
      <c r="AC83" s="51" t="n">
        <v>1201.284</v>
      </c>
      <c r="AD83" s="51" t="n">
        <v>1940.772</v>
      </c>
      <c r="AE83" s="51" t="n">
        <v>937.3630000000001</v>
      </c>
      <c r="AF83" s="51" t="n">
        <v>465.191</v>
      </c>
      <c r="AG83" s="51" t="n">
        <v>665.34</v>
      </c>
      <c r="AH83" s="51" t="n"/>
      <c r="AI83" s="51" t="n"/>
      <c r="AJ83" s="38">
        <f>V83/D83</f>
        <v/>
      </c>
      <c r="AK83" s="38" t="n"/>
      <c r="AM83" s="35">
        <f>AJ83+R83</f>
        <v/>
      </c>
    </row>
    <row r="84" ht="15" customFormat="1" customHeight="1" s="37">
      <c r="A84" s="39" t="n">
        <v>44531</v>
      </c>
      <c r="B84" s="34" t="n">
        <v>6.738021720957249</v>
      </c>
      <c r="C84" s="51" t="n">
        <v>5947.222</v>
      </c>
      <c r="D84" s="35">
        <f>C84*33.33/1000</f>
        <v/>
      </c>
      <c r="E84" s="34">
        <f>D84-'NOPA US Crush'!B510</f>
        <v/>
      </c>
      <c r="F84" s="36">
        <f>1-((D84-E84)/D84)</f>
        <v/>
      </c>
      <c r="G84" s="36">
        <f>1-F84</f>
        <v/>
      </c>
      <c r="H84" s="35">
        <f>((A85-A84)*B84)-D84</f>
        <v/>
      </c>
      <c r="I84" s="36">
        <f>1-(H84/((A85-A84)*B84))</f>
        <v/>
      </c>
      <c r="K84" s="51" t="n">
        <v>4322.245</v>
      </c>
      <c r="L84" s="51" t="n">
        <v>307.307</v>
      </c>
      <c r="M84" s="51" t="n">
        <v>4268.957</v>
      </c>
      <c r="N84" s="51" t="n">
        <v>53.288</v>
      </c>
      <c r="O84" s="51" t="n">
        <v>372.832</v>
      </c>
      <c r="P84" s="51" t="n">
        <v>38.477</v>
      </c>
      <c r="Q84" s="38">
        <f>K84/D84*2</f>
        <v/>
      </c>
      <c r="R84" s="38">
        <f>(K84+L84)/D84*2</f>
        <v/>
      </c>
      <c r="S84" s="38">
        <f>soy_crush!R84-'NOPA US Crush'!E510</f>
        <v/>
      </c>
      <c r="T84" s="36">
        <f>S84/R84</f>
        <v/>
      </c>
      <c r="V84" s="51" t="n">
        <v>2324.183</v>
      </c>
      <c r="W84" s="51" t="n">
        <v>177.666</v>
      </c>
      <c r="X84" s="51" t="n">
        <v>1673.573</v>
      </c>
      <c r="Y84" s="51" t="n">
        <v>1640.109</v>
      </c>
      <c r="Z84" s="36">
        <f>1-(Y84/X84)</f>
        <v/>
      </c>
      <c r="AA84" s="51" t="n">
        <v>1677.093</v>
      </c>
      <c r="AB84" s="51" t="n">
        <v>450.61</v>
      </c>
      <c r="AC84" s="51" t="n">
        <v>1226.483</v>
      </c>
      <c r="AD84" s="51" t="n">
        <v>2035.694</v>
      </c>
      <c r="AE84" s="51" t="n">
        <v>954.641</v>
      </c>
      <c r="AF84" s="51" t="n">
        <v>430.197</v>
      </c>
      <c r="AG84" s="51" t="n">
        <v>739.181</v>
      </c>
      <c r="AH84" s="51" t="n"/>
      <c r="AI84" s="51" t="n"/>
      <c r="AJ84" s="38">
        <f>V84/D84</f>
        <v/>
      </c>
      <c r="AK84" s="38" t="n"/>
      <c r="AM84" s="35">
        <f>AJ84+R84</f>
        <v/>
      </c>
    </row>
    <row r="85" ht="15" customFormat="1" customHeight="1" s="37">
      <c r="A85" s="39" t="n">
        <v>44562</v>
      </c>
      <c r="B85" s="34" t="n">
        <v>6.759712294336737</v>
      </c>
      <c r="C85" s="51" t="n">
        <v>5828.974</v>
      </c>
      <c r="D85" s="35">
        <f>C85*33.33/1000</f>
        <v/>
      </c>
      <c r="E85" s="34">
        <f>D85-'NOPA US Crush'!B511</f>
        <v/>
      </c>
      <c r="F85" s="36">
        <f>1-((D85-E85)/D85)</f>
        <v/>
      </c>
      <c r="G85" s="36">
        <f>1-F85</f>
        <v/>
      </c>
      <c r="H85" s="35">
        <f>((A86-A85)*B85)-D85</f>
        <v/>
      </c>
      <c r="I85" s="36">
        <f>1-(H85/((A86-A85)*B85))</f>
        <v/>
      </c>
      <c r="K85" s="51" t="n">
        <v>4231.017</v>
      </c>
      <c r="L85" s="51" t="n">
        <v>302.136</v>
      </c>
      <c r="M85" s="51" t="n">
        <v>4171.189</v>
      </c>
      <c r="N85" s="51" t="n">
        <v>59.828</v>
      </c>
      <c r="O85" s="51" t="n">
        <v>396.462</v>
      </c>
      <c r="P85" s="51" t="n">
        <v>34.292</v>
      </c>
      <c r="Q85" s="38">
        <f>K85/D85*2</f>
        <v/>
      </c>
      <c r="R85" s="38">
        <f>(K85+L85)/D85*2</f>
        <v/>
      </c>
      <c r="S85" s="38">
        <f>soy_crush!R85-'NOPA US Crush'!E511</f>
        <v/>
      </c>
      <c r="T85" s="36">
        <f>S85/R85</f>
        <v/>
      </c>
      <c r="V85" s="51" t="n">
        <v>2277.355</v>
      </c>
      <c r="W85" s="51" t="n">
        <v>180.564</v>
      </c>
      <c r="X85" s="51" t="n">
        <v>1628.044</v>
      </c>
      <c r="Y85" s="51" t="n">
        <v>1590.136</v>
      </c>
      <c r="Z85" s="36">
        <f>1-(Y85/X85)</f>
        <v/>
      </c>
      <c r="AA85" s="51" t="n">
        <v>1629.619</v>
      </c>
      <c r="AB85" s="51" t="n">
        <v>421.469</v>
      </c>
      <c r="AC85" s="51" t="n">
        <v>1208.15</v>
      </c>
      <c r="AD85" s="51" t="n">
        <v>2113.724</v>
      </c>
      <c r="AE85" s="51" t="n">
        <v>957.236</v>
      </c>
      <c r="AF85" s="51" t="n">
        <v>386.2</v>
      </c>
      <c r="AG85" s="51" t="n">
        <v>783.657</v>
      </c>
      <c r="AH85" s="51" t="n"/>
      <c r="AI85" s="51" t="n"/>
      <c r="AJ85" s="38">
        <f>V85/D85</f>
        <v/>
      </c>
      <c r="AK85" s="38" t="n"/>
      <c r="AM85" s="35">
        <f>AJ85+R85</f>
        <v/>
      </c>
    </row>
    <row r="86" ht="15" customFormat="1" customHeight="1" s="37">
      <c r="A86" s="39" t="n">
        <v>44593</v>
      </c>
      <c r="B86" s="34" t="n">
        <v>6.690804277979963</v>
      </c>
      <c r="C86" s="51" t="n">
        <v>5232.453</v>
      </c>
      <c r="D86" s="35">
        <f>C86*33.33/1000</f>
        <v/>
      </c>
      <c r="E86" s="34">
        <f>D86-'NOPA US Crush'!B512</f>
        <v/>
      </c>
      <c r="F86" s="36">
        <f>1-((D86-E86)/D86)</f>
        <v/>
      </c>
      <c r="G86" s="36">
        <f>1-F86</f>
        <v/>
      </c>
      <c r="H86" s="35">
        <f>((A87-A86)*B86)-D86</f>
        <v/>
      </c>
      <c r="I86" s="36">
        <f>1-(H86/((A87-A86)*B86))</f>
        <v/>
      </c>
      <c r="K86" s="51" t="n">
        <v>3817.784</v>
      </c>
      <c r="L86" s="51" t="n">
        <v>272.171</v>
      </c>
      <c r="M86" s="51" t="n">
        <v>3763.135</v>
      </c>
      <c r="N86" s="51" t="n">
        <v>54.649</v>
      </c>
      <c r="O86" s="51" t="n">
        <v>347.16</v>
      </c>
      <c r="P86" s="51" t="n">
        <v>38.716</v>
      </c>
      <c r="Q86" s="38">
        <f>K86/D86*2</f>
        <v/>
      </c>
      <c r="R86" s="38">
        <f>(K86+L86)/D86*2</f>
        <v/>
      </c>
      <c r="S86" s="38">
        <f>soy_crush!R86-'NOPA US Crush'!E512</f>
        <v/>
      </c>
      <c r="T86" s="36">
        <f>S86/R86</f>
        <v/>
      </c>
      <c r="V86" s="51" t="n">
        <v>2064.199</v>
      </c>
      <c r="W86" s="51" t="n">
        <v>148.218</v>
      </c>
      <c r="X86" s="51" t="n">
        <v>1574.843</v>
      </c>
      <c r="Y86" s="51" t="n">
        <v>1544.983</v>
      </c>
      <c r="Z86" s="36">
        <f>1-(Y86/X86)</f>
        <v/>
      </c>
      <c r="AA86" s="51" t="n">
        <v>1526.96</v>
      </c>
      <c r="AB86" s="51" t="n">
        <v>373.044</v>
      </c>
      <c r="AC86" s="51" t="n">
        <v>1153.916</v>
      </c>
      <c r="AD86" s="51" t="n">
        <v>2172.311</v>
      </c>
      <c r="AE86" s="51" t="n">
        <v>1019.221</v>
      </c>
      <c r="AF86" s="51" t="n">
        <v>393.796</v>
      </c>
      <c r="AG86" s="51" t="n">
        <v>755.7670000000001</v>
      </c>
      <c r="AH86" s="51" t="n"/>
      <c r="AI86" s="51" t="n"/>
      <c r="AJ86" s="38">
        <f>V86/D86</f>
        <v/>
      </c>
      <c r="AK86" s="38" t="n"/>
      <c r="AM86" s="35">
        <f>AJ86+R86</f>
        <v/>
      </c>
    </row>
    <row r="87" ht="15" customFormat="1" customHeight="1" s="37">
      <c r="A87" s="39" t="n">
        <v>44621</v>
      </c>
      <c r="B87" s="34" t="n">
        <v>6.718132768606813</v>
      </c>
      <c r="C87" s="51" t="n">
        <v>5786.159</v>
      </c>
      <c r="D87" s="35">
        <f>C87*33.33/1000</f>
        <v/>
      </c>
      <c r="E87" s="34">
        <f>D87-'NOPA US Crush'!B513</f>
        <v/>
      </c>
      <c r="F87" s="36">
        <f>1-((D87-E87)/D87)</f>
        <v/>
      </c>
      <c r="G87" s="36">
        <f>1-F87</f>
        <v/>
      </c>
      <c r="H87" s="35">
        <f>((A88-A87)*B87)-D87</f>
        <v/>
      </c>
      <c r="I87" s="36">
        <f>1-(H87/((A88-A87)*B87))</f>
        <v/>
      </c>
      <c r="K87" s="51" t="n">
        <v>4249.054</v>
      </c>
      <c r="L87" s="51" t="n">
        <v>300.577</v>
      </c>
      <c r="M87" s="51" t="n">
        <v>4190.876</v>
      </c>
      <c r="N87" s="51" t="n">
        <v>58.178</v>
      </c>
      <c r="O87" s="51" t="n">
        <v>347.191</v>
      </c>
      <c r="P87" s="51" t="n">
        <v>33.777</v>
      </c>
      <c r="Q87" s="38">
        <f>K87/D87*2</f>
        <v/>
      </c>
      <c r="R87" s="38">
        <f>(K87+L87)/D87*2</f>
        <v/>
      </c>
      <c r="S87" s="38">
        <f>soy_crush!R87-'NOPA US Crush'!E513</f>
        <v/>
      </c>
      <c r="T87" s="36">
        <f>S87/R87</f>
        <v/>
      </c>
      <c r="V87" s="51" t="n">
        <v>2277.541</v>
      </c>
      <c r="W87" s="51" t="n">
        <v>161.282</v>
      </c>
      <c r="X87" s="51" t="n">
        <v>1831.109</v>
      </c>
      <c r="Y87" s="51" t="n">
        <v>1787.939</v>
      </c>
      <c r="Z87" s="36">
        <f>1-(Y87/X87)</f>
        <v/>
      </c>
      <c r="AA87" s="51" t="n">
        <v>1831.9</v>
      </c>
      <c r="AB87" s="51" t="n">
        <v>445.72</v>
      </c>
      <c r="AC87" s="51" t="n">
        <v>1386.18</v>
      </c>
      <c r="AD87" s="51" t="n">
        <v>2084.253</v>
      </c>
      <c r="AE87" s="51" t="n">
        <v>986.203</v>
      </c>
      <c r="AF87" s="51" t="n">
        <v>349.465</v>
      </c>
      <c r="AG87" s="51" t="n">
        <v>707.434</v>
      </c>
      <c r="AH87" s="51" t="n"/>
      <c r="AI87" s="51" t="n"/>
      <c r="AJ87" s="38">
        <f>V87/D87</f>
        <v/>
      </c>
      <c r="AK87" s="38" t="n"/>
      <c r="AM87" s="35">
        <f>AJ87+R87</f>
        <v/>
      </c>
    </row>
    <row r="88" ht="15" customFormat="1" customHeight="1" s="37">
      <c r="A88" s="39" t="n">
        <v>44652</v>
      </c>
      <c r="B88" s="34" t="n">
        <v>6.778185339824727</v>
      </c>
      <c r="C88" s="51" t="n">
        <v>5426.712</v>
      </c>
      <c r="D88" s="35">
        <f>C88*33.33/1000</f>
        <v/>
      </c>
      <c r="E88" s="34">
        <f>D88-'NOPA US Crush'!B514</f>
        <v/>
      </c>
      <c r="F88" s="36">
        <f>1-((D88-E88)/D88)</f>
        <v/>
      </c>
      <c r="G88" s="36">
        <f>1-F88</f>
        <v/>
      </c>
      <c r="H88" s="35">
        <f>((A89-A88)*B88)-D88</f>
        <v/>
      </c>
      <c r="I88" s="36">
        <f>1-(H88/((A89-A88)*B88))</f>
        <v/>
      </c>
      <c r="K88" s="51" t="n">
        <v>3975.098</v>
      </c>
      <c r="L88" s="51" t="n">
        <v>279.447</v>
      </c>
      <c r="M88" s="51" t="n">
        <v>3923.465</v>
      </c>
      <c r="N88" s="51" t="n">
        <v>51.633</v>
      </c>
      <c r="O88" s="51" t="n">
        <v>406.867</v>
      </c>
      <c r="P88" s="51" t="n">
        <v>38.149</v>
      </c>
      <c r="Q88" s="38">
        <f>K88/D88*2</f>
        <v/>
      </c>
      <c r="R88" s="38">
        <f>(K88+L88)/D88*2</f>
        <v/>
      </c>
      <c r="S88" s="38">
        <f>soy_crush!R88-'NOPA US Crush'!E514</f>
        <v/>
      </c>
      <c r="T88" s="36">
        <f>S88/R88</f>
        <v/>
      </c>
      <c r="V88" s="51" t="n">
        <v>2143.118</v>
      </c>
      <c r="W88" s="51" t="n">
        <v>126.614</v>
      </c>
      <c r="X88" s="51" t="n">
        <v>1738.58</v>
      </c>
      <c r="Y88" s="51" t="n">
        <v>1700.054</v>
      </c>
      <c r="Z88" s="36">
        <f>1-(Y88/X88)</f>
        <v/>
      </c>
      <c r="AA88" s="51" t="n">
        <v>1645.056</v>
      </c>
      <c r="AB88" s="51" t="n">
        <v>444.441</v>
      </c>
      <c r="AC88" s="51" t="n">
        <v>1200.615</v>
      </c>
      <c r="AD88" s="51" t="n">
        <v>2018.976</v>
      </c>
      <c r="AE88" s="51" t="n">
        <v>1006.036</v>
      </c>
      <c r="AF88" s="51" t="n">
        <v>405.216</v>
      </c>
      <c r="AG88" s="51" t="n">
        <v>645.171</v>
      </c>
      <c r="AH88" s="51" t="n"/>
      <c r="AI88" s="51" t="n"/>
      <c r="AJ88" s="38">
        <f>V88/D88</f>
        <v/>
      </c>
      <c r="AK88" s="38" t="n"/>
      <c r="AM88" s="35">
        <f>AJ88+R88</f>
        <v/>
      </c>
    </row>
    <row r="89" ht="15" customFormat="1" customHeight="1" s="37">
      <c r="A89" s="39" t="n">
        <v>44682</v>
      </c>
      <c r="B89" s="34" t="n">
        <v>6.721086103024209</v>
      </c>
      <c r="C89" s="51" t="n">
        <v>5427.16</v>
      </c>
      <c r="D89" s="35">
        <f>C89*33.33/1000</f>
        <v/>
      </c>
      <c r="E89" s="34">
        <f>D89-'NOPA US Crush'!B515</f>
        <v/>
      </c>
      <c r="F89" s="36">
        <f>1-((D89-E89)/D89)</f>
        <v/>
      </c>
      <c r="G89" s="36">
        <f>1-F89</f>
        <v/>
      </c>
      <c r="H89" s="35">
        <f>((A90-A89)*B89)-D89</f>
        <v/>
      </c>
      <c r="I89" s="36">
        <f>1-(H89/((A90-A89)*B89))</f>
        <v/>
      </c>
      <c r="K89" s="51" t="n">
        <v>3978.135</v>
      </c>
      <c r="L89" s="51" t="n">
        <v>281.954</v>
      </c>
      <c r="M89" s="51" t="n">
        <v>3925.03</v>
      </c>
      <c r="N89" s="51" t="n">
        <v>53.105</v>
      </c>
      <c r="O89" s="51" t="n">
        <v>414.543</v>
      </c>
      <c r="P89" s="51" t="n">
        <v>49.212</v>
      </c>
      <c r="Q89" s="38">
        <f>K89/D89*2</f>
        <v/>
      </c>
      <c r="R89" s="38">
        <f>(K89+L89)/D89*2</f>
        <v/>
      </c>
      <c r="S89" s="38">
        <f>soy_crush!R89-'NOPA US Crush'!E515</f>
        <v/>
      </c>
      <c r="T89" s="36">
        <f>S89/R89</f>
        <v/>
      </c>
      <c r="V89" s="51" t="n">
        <v>2158.774</v>
      </c>
      <c r="W89" s="51" t="n">
        <v>167.823</v>
      </c>
      <c r="X89" s="51" t="n">
        <v>1795.117</v>
      </c>
      <c r="Y89" s="51" t="n">
        <v>1757.4</v>
      </c>
      <c r="Z89" s="36">
        <f>1-(Y89/X89)</f>
        <v/>
      </c>
      <c r="AA89" s="51" t="n">
        <v>1746.305</v>
      </c>
      <c r="AB89" s="51" t="n">
        <v>525.201</v>
      </c>
      <c r="AC89" s="51" t="n">
        <v>1221.104</v>
      </c>
      <c r="AD89" s="51" t="n">
        <v>1967.553</v>
      </c>
      <c r="AE89" s="51" t="n">
        <v>1010.927</v>
      </c>
      <c r="AF89" s="51" t="n">
        <v>416.82</v>
      </c>
      <c r="AG89" s="51" t="n">
        <v>618.766</v>
      </c>
      <c r="AH89" s="51" t="n"/>
      <c r="AI89" s="51" t="n"/>
      <c r="AJ89" s="38">
        <f>V89/D89</f>
        <v/>
      </c>
      <c r="AK89" s="38" t="n"/>
      <c r="AM89" s="35">
        <f>AJ89+R89</f>
        <v/>
      </c>
    </row>
    <row r="90" ht="15" customFormat="1" customHeight="1" s="37">
      <c r="A90" s="39" t="n">
        <v>44713</v>
      </c>
      <c r="B90" s="34" t="n">
        <v>6.718607802011752</v>
      </c>
      <c r="C90" s="51" t="n">
        <v>5222.412</v>
      </c>
      <c r="D90" s="35">
        <f>C90*33.33/1000</f>
        <v/>
      </c>
      <c r="E90" s="34">
        <f>D90-'NOPA US Crush'!B516</f>
        <v/>
      </c>
      <c r="F90" s="36">
        <f>1-((D90-E90)/D90)</f>
        <v/>
      </c>
      <c r="G90" s="36">
        <f>1-F90</f>
        <v/>
      </c>
      <c r="H90" s="35">
        <f>((A91-A90)*B90)-D90</f>
        <v/>
      </c>
      <c r="I90" s="36">
        <f>1-(H90/((A91-A90)*B90))</f>
        <v/>
      </c>
      <c r="K90" s="51" t="n">
        <v>3837.474</v>
      </c>
      <c r="L90" s="51" t="n">
        <v>269.091</v>
      </c>
      <c r="M90" s="51" t="n">
        <v>3777.123</v>
      </c>
      <c r="N90" s="51" t="n">
        <v>60.351</v>
      </c>
      <c r="O90" s="51" t="n">
        <v>324.073</v>
      </c>
      <c r="P90" s="51" t="n">
        <v>33.231</v>
      </c>
      <c r="Q90" s="38">
        <f>K90/D90*2</f>
        <v/>
      </c>
      <c r="R90" s="38">
        <f>(K90+L90)/D90*2</f>
        <v/>
      </c>
      <c r="S90" s="38">
        <f>soy_crush!R90-'NOPA US Crush'!E516</f>
        <v/>
      </c>
      <c r="T90" s="36">
        <f>S90/R90</f>
        <v/>
      </c>
      <c r="V90" s="51" t="n">
        <v>2068.578</v>
      </c>
      <c r="W90" s="51" t="n">
        <v>159.139</v>
      </c>
      <c r="X90" s="51" t="n">
        <v>1678.171</v>
      </c>
      <c r="Y90" s="51" t="n">
        <v>1639.717</v>
      </c>
      <c r="Z90" s="36">
        <f>1-(Y90/X90)</f>
        <v/>
      </c>
      <c r="AA90" s="51" t="n">
        <v>1653.391</v>
      </c>
      <c r="AB90" s="51" t="n">
        <v>502.098</v>
      </c>
      <c r="AC90" s="51" t="n">
        <v>1151.293</v>
      </c>
      <c r="AD90" s="51" t="n">
        <v>1911.685</v>
      </c>
      <c r="AE90" s="51" t="n">
        <v>961.721</v>
      </c>
      <c r="AF90" s="51" t="n">
        <v>403.819</v>
      </c>
      <c r="AG90" s="51" t="n">
        <v>622.381</v>
      </c>
      <c r="AH90" s="51" t="n"/>
      <c r="AI90" s="51" t="n"/>
      <c r="AJ90" s="38">
        <f>V90/D90</f>
        <v/>
      </c>
      <c r="AK90" s="38" t="n"/>
      <c r="AM90" s="35">
        <f>AJ90+R90</f>
        <v/>
      </c>
    </row>
    <row r="91" ht="15" customFormat="1" customHeight="1" s="37">
      <c r="A91" s="39" t="n">
        <v>44743</v>
      </c>
      <c r="B91" s="34" t="n">
        <v>6.779976050140481</v>
      </c>
      <c r="C91" s="51" t="n">
        <v>5441.78</v>
      </c>
      <c r="D91" s="35">
        <f>C91*33.33/1000</f>
        <v/>
      </c>
      <c r="E91" s="34">
        <f>D91-'NOPA US Crush'!B517</f>
        <v/>
      </c>
      <c r="F91" s="36">
        <f>1-((D91-E91)/D91)</f>
        <v/>
      </c>
      <c r="G91" s="36">
        <f>1-F91</f>
        <v/>
      </c>
      <c r="H91" s="35">
        <f>((A92-A91)*B91)-D91</f>
        <v/>
      </c>
      <c r="I91" s="36">
        <f>1-(H91/((A92-A91)*B91))</f>
        <v/>
      </c>
      <c r="K91" s="51" t="n">
        <v>3988.429</v>
      </c>
      <c r="L91" s="51" t="n">
        <v>281.851</v>
      </c>
      <c r="M91" s="51" t="n">
        <v>3931.407</v>
      </c>
      <c r="N91" s="51" t="n">
        <v>57.022</v>
      </c>
      <c r="O91" s="51" t="n">
        <v>479.121</v>
      </c>
      <c r="P91" s="51" t="n">
        <v>47.602</v>
      </c>
      <c r="Q91" s="38">
        <f>K91/D91*2</f>
        <v/>
      </c>
      <c r="R91" s="38">
        <f>(K91+L91)/D91*2</f>
        <v/>
      </c>
      <c r="S91" s="38">
        <f>soy_crush!R91-'NOPA US Crush'!E517</f>
        <v/>
      </c>
      <c r="T91" s="36">
        <f>S91/R91</f>
        <v/>
      </c>
      <c r="V91" s="51" t="n">
        <v>2169.93</v>
      </c>
      <c r="W91" s="51" t="n">
        <v>141.87</v>
      </c>
      <c r="X91" s="51" t="n">
        <v>1724.576</v>
      </c>
      <c r="Y91" s="51" t="n">
        <v>1691.268</v>
      </c>
      <c r="Z91" s="36">
        <f>1-(Y91/X91)</f>
        <v/>
      </c>
      <c r="AA91" s="51" t="n">
        <v>1692.867</v>
      </c>
      <c r="AB91" s="51" t="n">
        <v>504.534</v>
      </c>
      <c r="AC91" s="51" t="n">
        <v>1188.333</v>
      </c>
      <c r="AD91" s="51" t="n">
        <v>1863.249</v>
      </c>
      <c r="AE91" s="51" t="n">
        <v>911.063</v>
      </c>
      <c r="AF91" s="51" t="n">
        <v>403.545</v>
      </c>
      <c r="AG91" s="51" t="n">
        <v>620.746</v>
      </c>
      <c r="AH91" s="51" t="n"/>
      <c r="AI91" s="51" t="n"/>
      <c r="AJ91" s="38">
        <f>V91/D91</f>
        <v/>
      </c>
      <c r="AK91" s="38" t="n"/>
      <c r="AM91" s="35">
        <f>AJ91+R91</f>
        <v/>
      </c>
    </row>
    <row r="92" ht="15" customFormat="1" customHeight="1" s="37">
      <c r="A92" s="39" t="n">
        <v>44774</v>
      </c>
      <c r="B92" s="34" t="n">
        <v>6.722774291198141</v>
      </c>
      <c r="C92" s="51" t="n">
        <v>5252.619</v>
      </c>
      <c r="D92" s="35">
        <f>C92*33.33/1000</f>
        <v/>
      </c>
      <c r="E92" s="34">
        <f>D92-'NOPA US Crush'!B518</f>
        <v/>
      </c>
      <c r="F92" s="36">
        <f>1-((D92-E92)/D92)</f>
        <v/>
      </c>
      <c r="G92" s="36">
        <f>1-F92</f>
        <v/>
      </c>
      <c r="H92" s="35">
        <f>((A93-A92)*B92)-D92</f>
        <v/>
      </c>
      <c r="I92" s="36">
        <f>1-(H92/((A93-A92)*B92))</f>
        <v/>
      </c>
      <c r="K92" s="51" t="n">
        <v>3870.512</v>
      </c>
      <c r="L92" s="51" t="n">
        <v>276.725</v>
      </c>
      <c r="M92" s="51" t="n">
        <v>3814.195</v>
      </c>
      <c r="N92" s="51" t="n">
        <v>56.317</v>
      </c>
      <c r="O92" s="51" t="n">
        <v>308.67</v>
      </c>
      <c r="P92" s="51" t="n">
        <v>39.262</v>
      </c>
      <c r="Q92" s="38">
        <f>K92/D92*2</f>
        <v/>
      </c>
      <c r="R92" s="38">
        <f>(K92+L92)/D92*2</f>
        <v/>
      </c>
      <c r="S92" s="38">
        <f>soy_crush!R92-'NOPA US Crush'!E518</f>
        <v/>
      </c>
      <c r="T92" s="36">
        <f>S92/R92</f>
        <v/>
      </c>
      <c r="V92" s="51" t="n">
        <v>2095.581</v>
      </c>
      <c r="W92" s="51" t="n">
        <v>160.64</v>
      </c>
      <c r="X92" s="51" t="n">
        <v>1782.045</v>
      </c>
      <c r="Y92" s="51" t="n">
        <v>1739.066</v>
      </c>
      <c r="Z92" s="36">
        <f>1-(Y92/X92)</f>
        <v/>
      </c>
      <c r="AA92" s="51" t="n">
        <v>1729.555</v>
      </c>
      <c r="AB92" s="51" t="n">
        <v>499.488</v>
      </c>
      <c r="AC92" s="51" t="n">
        <v>1230.067</v>
      </c>
      <c r="AD92" s="51" t="n">
        <v>1690.283</v>
      </c>
      <c r="AE92" s="51" t="n">
        <v>824.981</v>
      </c>
      <c r="AF92" s="51" t="n">
        <v>413.43</v>
      </c>
      <c r="AG92" s="51" t="n">
        <v>569.367</v>
      </c>
      <c r="AH92" s="51" t="n"/>
      <c r="AI92" s="51" t="n"/>
      <c r="AJ92" s="38">
        <f>V92/D92</f>
        <v/>
      </c>
      <c r="AK92" s="38" t="n"/>
      <c r="AM92" s="35">
        <f>AJ92+R92</f>
        <v/>
      </c>
    </row>
    <row r="93" ht="15" customFormat="1" customHeight="1" s="37">
      <c r="A93" s="39" t="n">
        <v>44805</v>
      </c>
      <c r="B93" s="34" t="n">
        <v>6.827730865553926</v>
      </c>
      <c r="C93" s="51" t="n">
        <v>5028.287</v>
      </c>
      <c r="D93" s="35">
        <f>C93*33.33/1000</f>
        <v/>
      </c>
      <c r="E93" s="34">
        <f>D93-'NOPA US Crush'!B519</f>
        <v/>
      </c>
      <c r="F93" s="36">
        <f>1-((D93-E93)/D93)</f>
        <v/>
      </c>
      <c r="G93" s="36">
        <f>1-F93</f>
        <v/>
      </c>
      <c r="H93" s="35">
        <f>((A94-A93)*B93)-D93</f>
        <v/>
      </c>
      <c r="I93" s="36">
        <f>1-(H93/((A94-A93)*B93))</f>
        <v/>
      </c>
      <c r="K93" s="51" t="n">
        <v>3666.107</v>
      </c>
      <c r="L93" s="51" t="n">
        <v>258.932</v>
      </c>
      <c r="M93" s="51" t="n">
        <v>3620.872</v>
      </c>
      <c r="N93" s="51" t="n">
        <v>45.235</v>
      </c>
      <c r="O93" s="51" t="n">
        <v>276.973</v>
      </c>
      <c r="P93" s="51" t="n">
        <v>33.954</v>
      </c>
      <c r="Q93" s="38">
        <f>K93/D93*2</f>
        <v/>
      </c>
      <c r="R93" s="38">
        <f>(K93+L93)/D93*2</f>
        <v/>
      </c>
      <c r="S93" s="38">
        <f>soy_crush!R93-'NOPA US Crush'!E519</f>
        <v/>
      </c>
      <c r="T93" s="36">
        <f>S93/R93</f>
        <v/>
      </c>
      <c r="V93" s="51" t="n">
        <v>1992.964</v>
      </c>
      <c r="W93" s="51" t="n">
        <v>164.392</v>
      </c>
      <c r="X93" s="51" t="n">
        <v>1701.254</v>
      </c>
      <c r="Y93" s="51" t="n">
        <v>1658.467</v>
      </c>
      <c r="Z93" s="36">
        <f>1-(Y93/X93)</f>
        <v/>
      </c>
      <c r="AA93" s="51" t="n">
        <v>1671.169</v>
      </c>
      <c r="AB93" s="51" t="n">
        <v>457.501</v>
      </c>
      <c r="AC93" s="51" t="n">
        <v>1213.668</v>
      </c>
      <c r="AD93" s="51" t="n">
        <v>1590.053</v>
      </c>
      <c r="AE93" s="51" t="n">
        <v>747.228</v>
      </c>
      <c r="AF93" s="51" t="n">
        <v>401.095</v>
      </c>
      <c r="AG93" s="51" t="n">
        <v>574.192</v>
      </c>
      <c r="AH93" s="51" t="n"/>
      <c r="AI93" s="51" t="n"/>
      <c r="AJ93" s="38">
        <f>V93/D93</f>
        <v/>
      </c>
      <c r="AK93" s="38" t="n"/>
      <c r="AM93" s="35">
        <f>AJ93+R93</f>
        <v/>
      </c>
    </row>
    <row r="94" ht="15" customFormat="1" customHeight="1" s="37">
      <c r="A94" s="39" t="n">
        <v>44835</v>
      </c>
      <c r="B94" s="34" t="n">
        <v>6.919840071031651</v>
      </c>
      <c r="C94" s="51" t="n">
        <v>5899.694</v>
      </c>
      <c r="D94" s="35">
        <f>C94*33.33/1000</f>
        <v/>
      </c>
      <c r="E94" s="34">
        <f>D94-'NOPA US Crush'!B520</f>
        <v/>
      </c>
      <c r="F94" s="36">
        <f>1-((D94-E94)/D94)</f>
        <v/>
      </c>
      <c r="G94" s="36">
        <f>1-F94</f>
        <v/>
      </c>
      <c r="H94" s="35">
        <f>((A95-A94)*B94)-D94</f>
        <v/>
      </c>
      <c r="I94" s="36">
        <f>1-(H94/((A95-A94)*B94))</f>
        <v/>
      </c>
      <c r="K94" s="51" t="n">
        <v>4325.878</v>
      </c>
      <c r="L94" s="51" t="n">
        <v>277.518</v>
      </c>
      <c r="M94" s="51" t="n">
        <v>4287.358</v>
      </c>
      <c r="N94" s="51" t="n">
        <v>38.52</v>
      </c>
      <c r="O94" s="51" t="n">
        <v>352.206</v>
      </c>
      <c r="P94" s="51" t="n">
        <v>26.008</v>
      </c>
      <c r="Q94" s="38">
        <f>K94/D94*2</f>
        <v/>
      </c>
      <c r="R94" s="38">
        <f>(K94+L94)/D94*2</f>
        <v/>
      </c>
      <c r="S94" s="38">
        <f>soy_crush!R94-'NOPA US Crush'!E520</f>
        <v/>
      </c>
      <c r="T94" s="36">
        <f>S94/R94</f>
        <v/>
      </c>
      <c r="V94" s="51" t="n">
        <v>2338.085</v>
      </c>
      <c r="W94" s="51" t="n">
        <v>176.792</v>
      </c>
      <c r="X94" s="51" t="n">
        <v>1829.75</v>
      </c>
      <c r="Y94" s="51" t="n">
        <v>1787.583</v>
      </c>
      <c r="Z94" s="36">
        <f>1-(Y94/X94)</f>
        <v/>
      </c>
      <c r="AA94" s="51" t="n">
        <v>1736.162</v>
      </c>
      <c r="AB94" s="51" t="n">
        <v>492.475</v>
      </c>
      <c r="AC94" s="51" t="n">
        <v>1243.687</v>
      </c>
      <c r="AD94" s="51" t="n">
        <v>1640.358</v>
      </c>
      <c r="AE94" s="51" t="n">
        <v>825.227</v>
      </c>
      <c r="AF94" s="51" t="n">
        <v>453.265</v>
      </c>
      <c r="AG94" s="51" t="n">
        <v>569.184</v>
      </c>
      <c r="AH94" s="51" t="n"/>
      <c r="AI94" s="51" t="n"/>
      <c r="AJ94" s="38">
        <f>V94/D94</f>
        <v/>
      </c>
      <c r="AK94" s="38" t="n"/>
      <c r="AM94" s="35">
        <f>AJ94+R94</f>
        <v/>
      </c>
    </row>
    <row r="95" ht="15" customFormat="1" customHeight="1" s="37">
      <c r="A95" s="39" t="n">
        <v>44866</v>
      </c>
      <c r="B95" s="34" t="n">
        <v>6.907491397849463</v>
      </c>
      <c r="C95" s="51" t="n">
        <v>5687.098</v>
      </c>
      <c r="D95" s="35">
        <f>C95*33.33/1000</f>
        <v/>
      </c>
      <c r="E95" s="34">
        <f>D95-'NOPA US Crush'!B521</f>
        <v/>
      </c>
      <c r="F95" s="36">
        <f>1-((D95-E95)/D95)</f>
        <v/>
      </c>
      <c r="G95" s="36">
        <f>1-F95</f>
        <v/>
      </c>
      <c r="H95" s="35">
        <f>((A96-A95)*B95)-D95</f>
        <v/>
      </c>
      <c r="I95" s="36">
        <f>1-(H95/((A96-A95)*B95))</f>
        <v/>
      </c>
      <c r="K95" s="51" t="n">
        <v>4190.55</v>
      </c>
      <c r="L95" s="51" t="n">
        <v>279.416</v>
      </c>
      <c r="M95" s="51" t="n">
        <v>4153.232</v>
      </c>
      <c r="N95" s="51" t="n">
        <v>37.318</v>
      </c>
      <c r="O95" s="51" t="n">
        <v>319.983</v>
      </c>
      <c r="P95" s="51" t="n">
        <v>29.122</v>
      </c>
      <c r="Q95" s="38">
        <f>K95/D95*2</f>
        <v/>
      </c>
      <c r="R95" s="38">
        <f>(K95+L95)/D95*2</f>
        <v/>
      </c>
      <c r="S95" s="38">
        <f>soy_crush!R95-'NOPA US Crush'!E521</f>
        <v/>
      </c>
      <c r="T95" s="36">
        <f>S95/R95</f>
        <v/>
      </c>
      <c r="V95" s="51" t="n">
        <v>2199.962</v>
      </c>
      <c r="W95" s="51" t="n">
        <v>185.61</v>
      </c>
      <c r="X95" s="51" t="n">
        <v>1674.784</v>
      </c>
      <c r="Y95" s="51" t="n">
        <v>1633.401</v>
      </c>
      <c r="Z95" s="36">
        <f>1-(Y95/X95)</f>
        <v/>
      </c>
      <c r="AA95" s="51" t="n">
        <v>1661.798</v>
      </c>
      <c r="AB95" s="51" t="n">
        <v>483.547</v>
      </c>
      <c r="AC95" s="51" t="n">
        <v>1178.251</v>
      </c>
      <c r="AD95" s="51" t="n">
        <v>1677.22</v>
      </c>
      <c r="AE95" s="51" t="n">
        <v>900.6799999999999</v>
      </c>
      <c r="AF95" s="51" t="n">
        <v>435.061</v>
      </c>
      <c r="AG95" s="51" t="n">
        <v>529.224</v>
      </c>
      <c r="AH95" s="51" t="n"/>
      <c r="AI95" s="51" t="n"/>
      <c r="AJ95" s="38">
        <f>V95/D95</f>
        <v/>
      </c>
      <c r="AK95" s="38" t="n"/>
      <c r="AM95" s="35">
        <f>AJ95+R95</f>
        <v/>
      </c>
    </row>
    <row r="96" ht="15" customFormat="1" customHeight="1" s="37">
      <c r="A96" s="39" t="n">
        <v>44896</v>
      </c>
      <c r="B96" s="34" t="n">
        <v>6.902917956989248</v>
      </c>
      <c r="C96" s="51" t="n">
        <v>5622.561</v>
      </c>
      <c r="D96" s="35">
        <f>C96*33.33/1000</f>
        <v/>
      </c>
      <c r="E96" s="34">
        <f>D96-'NOPA US Crush'!B522</f>
        <v/>
      </c>
      <c r="F96" s="36">
        <f>1-((D96-E96)/D96)</f>
        <v/>
      </c>
      <c r="G96" s="36">
        <f>1-F96</f>
        <v/>
      </c>
      <c r="H96" s="35">
        <f>((A97-A96)*B96)-D96</f>
        <v/>
      </c>
      <c r="I96" s="36">
        <f>1-(H96/((A97-A96)*B96))</f>
        <v/>
      </c>
      <c r="K96" s="51" t="n">
        <v>4154.614</v>
      </c>
      <c r="L96" s="51" t="n">
        <v>282.795</v>
      </c>
      <c r="M96" s="51" t="n">
        <v>4124.285</v>
      </c>
      <c r="N96" s="51" t="n">
        <v>30.329</v>
      </c>
      <c r="O96" s="51" t="n">
        <v>415.593</v>
      </c>
      <c r="P96" s="51" t="n">
        <v>40.284</v>
      </c>
      <c r="Q96" s="38">
        <f>K96/D96*2</f>
        <v/>
      </c>
      <c r="R96" s="38">
        <f>(K96+L96)/D96*2</f>
        <v/>
      </c>
      <c r="S96" s="38">
        <f>soy_crush!R96-'NOPA US Crush'!E522</f>
        <v/>
      </c>
      <c r="T96" s="36">
        <f>S96/R96</f>
        <v/>
      </c>
      <c r="V96" s="51" t="n">
        <v>2195.358</v>
      </c>
      <c r="W96" s="52">
        <f>X96*AVERAGE(W84/X84,W72/X72,W60/X60,W48/X48,W36/X36)</f>
        <v/>
      </c>
      <c r="X96" s="51" t="n">
        <v>1615.612</v>
      </c>
      <c r="Y96" s="51" t="n">
        <v>1582.664</v>
      </c>
      <c r="Z96" s="36">
        <f>1-(Y96/X96)</f>
        <v/>
      </c>
      <c r="AA96" s="51" t="n">
        <v>1611.482</v>
      </c>
      <c r="AB96" s="51" t="n">
        <v>528.228</v>
      </c>
      <c r="AC96" s="51" t="n">
        <v>1083.254</v>
      </c>
      <c r="AD96" s="51" t="n">
        <v>1902.38</v>
      </c>
      <c r="AE96" s="51" t="n">
        <v>1014.514</v>
      </c>
      <c r="AF96" s="51" t="n">
        <v>403.767</v>
      </c>
      <c r="AG96" s="51" t="n">
        <v>532.601</v>
      </c>
      <c r="AH96" s="51" t="n"/>
      <c r="AI96" s="51" t="n"/>
      <c r="AJ96" s="38">
        <f>V96/D96</f>
        <v/>
      </c>
      <c r="AK96" s="38" t="n"/>
      <c r="AM96" s="35">
        <f>AJ96+R96</f>
        <v/>
      </c>
    </row>
    <row r="97" ht="15" customFormat="1" customHeight="1" s="37">
      <c r="A97" s="39" t="n">
        <v>44927</v>
      </c>
      <c r="B97" s="34" t="n">
        <v>6.964061290322582</v>
      </c>
      <c r="C97" s="51" t="n">
        <v>5734.398</v>
      </c>
      <c r="D97" s="35">
        <f>C97*33.33/1000</f>
        <v/>
      </c>
      <c r="E97" s="34">
        <f>D97-'NOPA US Crush'!B523</f>
        <v/>
      </c>
      <c r="F97" s="36">
        <f>1-((D97-E97)/D97)</f>
        <v/>
      </c>
      <c r="G97" s="36">
        <f>1-F97</f>
        <v/>
      </c>
      <c r="H97" s="35">
        <f>((A98-A97)*B97)-D97</f>
        <v/>
      </c>
      <c r="I97" s="36">
        <f>1-(H97/((A98-A97)*B97))</f>
        <v/>
      </c>
      <c r="K97" s="51" t="n">
        <v>4254.599</v>
      </c>
      <c r="L97" s="51" t="n">
        <v>286.31</v>
      </c>
      <c r="M97" s="51" t="n">
        <v>4208.783</v>
      </c>
      <c r="N97" s="51" t="n">
        <v>45.816</v>
      </c>
      <c r="O97" s="51" t="n">
        <v>397.638</v>
      </c>
      <c r="P97" s="51" t="n">
        <v>45.228</v>
      </c>
      <c r="Q97" s="38">
        <f>K97/D97*2</f>
        <v/>
      </c>
      <c r="R97" s="38">
        <f>(K97+L97)/D97*2</f>
        <v/>
      </c>
      <c r="S97" s="38">
        <f>soy_crush!R97-'NOPA US Crush'!E523</f>
        <v/>
      </c>
      <c r="T97" s="36">
        <f>S97/R97</f>
        <v/>
      </c>
      <c r="V97" s="51" t="n">
        <v>2252.312</v>
      </c>
      <c r="W97" s="52">
        <f>X97*AVERAGE(W85/X85,W73/X73,W61/X61,W49/X49,W37/X37)</f>
        <v/>
      </c>
      <c r="X97" s="51" t="n">
        <v>1753.308</v>
      </c>
      <c r="Y97" s="51" t="n">
        <v>1719.215</v>
      </c>
      <c r="Z97" s="36">
        <f>1-(Y97/X97)</f>
        <v/>
      </c>
      <c r="AA97" s="51" t="n">
        <v>1667.217</v>
      </c>
      <c r="AB97" s="51" t="n">
        <v>491.633</v>
      </c>
      <c r="AC97" s="51" t="n">
        <v>1175.584</v>
      </c>
      <c r="AD97" s="51" t="n">
        <v>1898.892</v>
      </c>
      <c r="AE97" s="51" t="n">
        <v>1015.648</v>
      </c>
      <c r="AF97" s="51" t="n">
        <v>457.509</v>
      </c>
      <c r="AG97" s="51" t="n">
        <v>574.397</v>
      </c>
      <c r="AH97" s="51" t="n"/>
      <c r="AI97" s="51" t="n"/>
      <c r="AJ97" s="38">
        <f>V97/D97</f>
        <v/>
      </c>
      <c r="AK97" s="38" t="n"/>
      <c r="AM97" s="35">
        <f>AJ97+R97</f>
        <v/>
      </c>
    </row>
    <row r="98" ht="15" customFormat="1" customHeight="1" s="37">
      <c r="A98" s="39" t="n">
        <v>44958</v>
      </c>
      <c r="B98" s="34" t="n">
        <v>6.942972043010754</v>
      </c>
      <c r="C98" s="51" t="n">
        <v>5306.995</v>
      </c>
      <c r="D98" s="35">
        <f>C98*33.33/1000</f>
        <v/>
      </c>
      <c r="E98" s="34">
        <f>D98-'NOPA US Crush'!B524</f>
        <v/>
      </c>
      <c r="F98" s="36">
        <f>1-((D98-E98)/D98)</f>
        <v/>
      </c>
      <c r="G98" s="36">
        <f>1-F98</f>
        <v/>
      </c>
      <c r="H98" s="35">
        <f>((A99-A98)*B98)-D98</f>
        <v/>
      </c>
      <c r="I98" s="36">
        <f>1-(H98/((A99-A98)*B98))</f>
        <v/>
      </c>
      <c r="K98" s="51" t="n">
        <v>3934.588</v>
      </c>
      <c r="L98" s="51" t="n">
        <v>262.996</v>
      </c>
      <c r="M98" s="51" t="n">
        <v>3897.622</v>
      </c>
      <c r="N98" s="51" t="n">
        <v>36.966</v>
      </c>
      <c r="O98" s="51" t="n">
        <v>430.341</v>
      </c>
      <c r="P98" s="51" t="n">
        <v>45.318</v>
      </c>
      <c r="Q98" s="38">
        <f>K98/D98*2</f>
        <v/>
      </c>
      <c r="R98" s="38">
        <f>(K98+L98)/D98*2</f>
        <v/>
      </c>
      <c r="S98" s="38">
        <f>soy_crush!R98-'NOPA US Crush'!E524</f>
        <v/>
      </c>
      <c r="T98" s="36">
        <f>S98/R98</f>
        <v/>
      </c>
      <c r="V98" s="51" t="n">
        <v>2091.218</v>
      </c>
      <c r="W98" s="52">
        <f>X98*AVERAGE(W86/X86,W74/X74,W62/X62,W50/X50,W38/X38)</f>
        <v/>
      </c>
      <c r="X98" s="51" t="n">
        <v>1696.242</v>
      </c>
      <c r="Y98" s="51" t="n">
        <v>1662.072</v>
      </c>
      <c r="Z98" s="36">
        <f>1-(Y98/X98)</f>
        <v/>
      </c>
      <c r="AA98" s="51" t="n">
        <v>1653.129</v>
      </c>
      <c r="AB98" s="51" t="n">
        <v>487.627</v>
      </c>
      <c r="AC98" s="51" t="n">
        <v>1165.502</v>
      </c>
      <c r="AD98" s="51" t="n">
        <v>1902.382</v>
      </c>
      <c r="AE98" s="51" t="n">
        <v>1004.199</v>
      </c>
      <c r="AF98" s="51" t="n">
        <v>461.415</v>
      </c>
      <c r="AG98" s="51" t="n">
        <v>610.9450000000001</v>
      </c>
      <c r="AH98" s="51" t="n"/>
      <c r="AI98" s="51" t="n"/>
      <c r="AJ98" s="38">
        <f>V98/D98</f>
        <v/>
      </c>
      <c r="AK98" s="38" t="n"/>
      <c r="AM98" s="35">
        <f>AJ98+R98</f>
        <v/>
      </c>
    </row>
    <row r="99" ht="15" customFormat="1" customHeight="1" s="37">
      <c r="A99" s="39" t="n">
        <v>44986</v>
      </c>
      <c r="B99" s="34" t="n">
        <v>7.006642242703533</v>
      </c>
      <c r="C99" s="51" t="n">
        <v>5939.012</v>
      </c>
      <c r="D99" s="35">
        <f>C99*33.33/1000</f>
        <v/>
      </c>
      <c r="E99" s="34">
        <f>D99-'NOPA US Crush'!B525</f>
        <v/>
      </c>
      <c r="F99" s="36">
        <f>1-((D99-E99)/D99)</f>
        <v/>
      </c>
      <c r="G99" s="36">
        <f>1-F99</f>
        <v/>
      </c>
      <c r="H99" s="35">
        <f>((A100-A99)*B99)-D99</f>
        <v/>
      </c>
      <c r="I99" s="36">
        <f>1-(H99/((A100-A99)*B99))</f>
        <v/>
      </c>
      <c r="K99" s="51" t="n">
        <v>4402.548</v>
      </c>
      <c r="L99" s="51" t="n">
        <v>295.613</v>
      </c>
      <c r="M99" s="51" t="n">
        <v>4358.712</v>
      </c>
      <c r="N99" s="51" t="n">
        <v>43.836</v>
      </c>
      <c r="O99" s="51" t="n">
        <v>324.292</v>
      </c>
      <c r="P99" s="51" t="n">
        <v>54.758</v>
      </c>
      <c r="Q99" s="38">
        <f>K99/D99*2</f>
        <v/>
      </c>
      <c r="R99" s="38">
        <f>(K99+L99)/D99*2</f>
        <v/>
      </c>
      <c r="S99" s="38">
        <f>soy_crush!R99-'NOPA US Crush'!E525</f>
        <v/>
      </c>
      <c r="T99" s="36">
        <f>S99/R99</f>
        <v/>
      </c>
      <c r="V99" s="51" t="n">
        <v>2339.581</v>
      </c>
      <c r="W99" s="52">
        <f>X99*AVERAGE(W87/X87,W75/X75,W63/X63,W51/X51,W39/X39)</f>
        <v/>
      </c>
      <c r="X99" s="51" t="n">
        <v>1853.676</v>
      </c>
      <c r="Y99" s="51" t="n">
        <v>1811.949</v>
      </c>
      <c r="Z99" s="36">
        <f>1-(Y99/X99)</f>
        <v/>
      </c>
      <c r="AA99" s="51" t="n">
        <v>1833.386</v>
      </c>
      <c r="AB99" s="51" t="n">
        <v>527.086</v>
      </c>
      <c r="AC99" s="51" t="n">
        <v>1306.3</v>
      </c>
      <c r="AD99" s="51" t="n">
        <v>1946.997</v>
      </c>
      <c r="AE99" s="51" t="n">
        <v>1010.089</v>
      </c>
      <c r="AF99" s="51" t="n">
        <v>440.516</v>
      </c>
      <c r="AG99" s="51" t="n">
        <v>628.1130000000001</v>
      </c>
      <c r="AH99" s="51" t="n"/>
      <c r="AI99" s="51" t="n"/>
      <c r="AJ99" s="38">
        <f>V99/D99</f>
        <v/>
      </c>
      <c r="AK99" s="38" t="n"/>
      <c r="AM99" s="35">
        <f>AJ99+R99</f>
        <v/>
      </c>
    </row>
    <row r="100" ht="15" customFormat="1" customHeight="1" s="37">
      <c r="A100" s="39" t="n">
        <v>45017</v>
      </c>
      <c r="B100" s="34" t="n">
        <v>7.016167741935485</v>
      </c>
      <c r="C100" s="51" t="n">
        <v>5609.607</v>
      </c>
      <c r="D100" s="35">
        <f>C100*33.33/1000</f>
        <v/>
      </c>
      <c r="E100" s="34">
        <f>D100-'NOPA US Crush'!B526</f>
        <v/>
      </c>
      <c r="F100" s="36">
        <f>1-((D100-E100)/D100)</f>
        <v/>
      </c>
      <c r="G100" s="36">
        <f>1-F100</f>
        <v/>
      </c>
      <c r="H100" s="35">
        <f>((A101-A100)*B100)-D100</f>
        <v/>
      </c>
      <c r="I100" s="36">
        <f>1-(H100/((A101-A100)*B100))</f>
        <v/>
      </c>
      <c r="K100" s="51" t="n">
        <v>4162.406</v>
      </c>
      <c r="L100" s="51" t="n">
        <v>271.229</v>
      </c>
      <c r="M100" s="51" t="n">
        <v>4119.418</v>
      </c>
      <c r="N100" s="51" t="n">
        <v>42.988</v>
      </c>
      <c r="O100" s="51" t="n">
        <v>521.814</v>
      </c>
      <c r="P100" s="51" t="n">
        <v>56.021</v>
      </c>
      <c r="Q100" s="38">
        <f>K100/D100*2</f>
        <v/>
      </c>
      <c r="R100" s="38">
        <f>(K100+L100)/D100*2</f>
        <v/>
      </c>
      <c r="S100" s="38">
        <f>soy_crush!R100-'NOPA US Crush'!E526</f>
        <v/>
      </c>
      <c r="T100" s="36">
        <f>S100/R100</f>
        <v/>
      </c>
      <c r="V100" s="51" t="n">
        <v>2236.301</v>
      </c>
      <c r="W100" s="52">
        <f>X100*AVERAGE(W88/X88,W76/X76,W64/X64,W52/X52,W40/X40)</f>
        <v/>
      </c>
      <c r="X100" s="51" t="n">
        <v>1716.391</v>
      </c>
      <c r="Y100" s="51" t="n">
        <v>1676.007</v>
      </c>
      <c r="Z100" s="36">
        <f>1-(Y100/X100)</f>
        <v/>
      </c>
      <c r="AA100" s="51" t="n">
        <v>1655.547</v>
      </c>
      <c r="AB100" s="51" t="n">
        <v>504.508</v>
      </c>
      <c r="AC100" s="51" t="n">
        <v>1151.039</v>
      </c>
      <c r="AD100" s="51" t="n">
        <v>2078.543</v>
      </c>
      <c r="AE100" s="51" t="n">
        <v>1092.562</v>
      </c>
      <c r="AF100" s="51" t="n">
        <v>461.136</v>
      </c>
      <c r="AG100" s="51" t="n">
        <v>664.946</v>
      </c>
      <c r="AH100" s="51" t="n"/>
      <c r="AI100" s="51" t="n"/>
      <c r="AJ100" s="38">
        <f>V100/D100</f>
        <v/>
      </c>
      <c r="AK100" s="38" t="n"/>
      <c r="AM100" s="35">
        <f>AJ100+R100</f>
        <v/>
      </c>
    </row>
    <row r="101" ht="15" customFormat="1" customHeight="1" s="37">
      <c r="A101" s="39" t="n">
        <v>45047</v>
      </c>
      <c r="B101" s="34" t="n">
        <v>6.952067956989247</v>
      </c>
      <c r="C101" s="51" t="n">
        <v>5679.096</v>
      </c>
      <c r="D101" s="35">
        <f>C101*33.33/1000</f>
        <v/>
      </c>
      <c r="E101" s="34">
        <f>D101-'NOPA US Crush'!B527</f>
        <v/>
      </c>
      <c r="F101" s="36">
        <f>1-((D101-E101)/D101)</f>
        <v/>
      </c>
      <c r="G101" s="36">
        <f>1-F101</f>
        <v/>
      </c>
      <c r="H101" s="35">
        <f>((A102-A101)*B101)-D101</f>
        <v/>
      </c>
      <c r="I101" s="36">
        <f>1-(H101/((A102-A101)*B101))</f>
        <v/>
      </c>
      <c r="K101" s="51" t="n">
        <v>4182.704</v>
      </c>
      <c r="L101" s="51" t="n">
        <v>278.564</v>
      </c>
      <c r="M101" s="51" t="n">
        <v>4145.458</v>
      </c>
      <c r="N101" s="51" t="n">
        <v>37.246</v>
      </c>
      <c r="O101" s="51" t="n">
        <v>388.763</v>
      </c>
      <c r="P101" s="51" t="n">
        <v>39.776</v>
      </c>
      <c r="Q101" s="38">
        <f>K101/D101*2</f>
        <v/>
      </c>
      <c r="R101" s="38">
        <f>(K101+L101)/D101*2</f>
        <v/>
      </c>
      <c r="S101" s="38">
        <f>soy_crush!R101-'NOPA US Crush'!E527</f>
        <v/>
      </c>
      <c r="T101" s="36">
        <f>S101/R101</f>
        <v/>
      </c>
      <c r="V101" s="51" t="n">
        <v>2228.372</v>
      </c>
      <c r="W101" s="52">
        <f>X101*AVERAGE(W89/X89,W77/X77,W65/X65,W53/X53,W41/X41)</f>
        <v/>
      </c>
      <c r="X101" s="51" t="n">
        <v>1887.942</v>
      </c>
      <c r="Y101" s="51" t="n">
        <v>1841.848</v>
      </c>
      <c r="Z101" s="36">
        <f>1-(Y101/X101)</f>
        <v/>
      </c>
      <c r="AA101" s="51" t="n">
        <v>1850.213</v>
      </c>
      <c r="AB101" s="51" t="n">
        <v>595.487</v>
      </c>
      <c r="AC101" s="51" t="n">
        <v>1254.726</v>
      </c>
      <c r="AD101" s="51" t="n">
        <v>1924.95</v>
      </c>
      <c r="AE101" s="51" t="n">
        <v>941.244</v>
      </c>
      <c r="AF101" s="51" t="n">
        <v>461.272</v>
      </c>
      <c r="AG101" s="51" t="n">
        <v>665.814</v>
      </c>
      <c r="AH101" s="51" t="n"/>
      <c r="AI101" s="51" t="n"/>
      <c r="AJ101" s="38">
        <f>V101/D101</f>
        <v/>
      </c>
      <c r="AK101" s="38" t="n"/>
      <c r="AM101" s="35">
        <f>AJ101+R101</f>
        <v/>
      </c>
    </row>
    <row r="102" ht="15" customFormat="1" customHeight="1" s="37">
      <c r="A102" s="39" t="n">
        <v>45078</v>
      </c>
      <c r="B102" s="34" t="n">
        <v>6.879801075268818</v>
      </c>
      <c r="C102" s="51" t="n">
        <v>5236.516</v>
      </c>
      <c r="D102" s="35">
        <f>C102*33.33/1000</f>
        <v/>
      </c>
      <c r="E102" s="34">
        <f>D102-'NOPA US Crush'!B528</f>
        <v/>
      </c>
      <c r="F102" s="36">
        <f>1-((D102-E102)/D102)</f>
        <v/>
      </c>
      <c r="G102" s="36">
        <f>1-F102</f>
        <v/>
      </c>
      <c r="H102" s="35">
        <f>((A103-A102)*B102)-D102</f>
        <v/>
      </c>
      <c r="I102" s="36">
        <f>1-(H102/((A103-A102)*B102))</f>
        <v/>
      </c>
      <c r="K102" s="51" t="n">
        <v>3886.684</v>
      </c>
      <c r="L102" s="51" t="n">
        <v>265.644</v>
      </c>
      <c r="M102" s="51" t="n">
        <v>3843.555</v>
      </c>
      <c r="N102" s="51" t="n">
        <v>43.129</v>
      </c>
      <c r="O102" s="51" t="n">
        <v>331.209</v>
      </c>
      <c r="P102" s="51" t="n">
        <v>34.355</v>
      </c>
      <c r="Q102" s="38">
        <f>K102/D102*2</f>
        <v/>
      </c>
      <c r="R102" s="38">
        <f>(K102+L102)/D102*2</f>
        <v/>
      </c>
      <c r="S102" s="38">
        <f>soy_crush!R102-'NOPA US Crush'!E528</f>
        <v/>
      </c>
      <c r="T102" s="36">
        <f>S102/R102</f>
        <v/>
      </c>
      <c r="V102" s="51" t="n">
        <v>2074.857</v>
      </c>
      <c r="W102" s="52">
        <f>X102*AVERAGE(W90/X90,W78/X78,W66/X66,W54/X54,W42/X42)</f>
        <v/>
      </c>
      <c r="X102" s="51" t="n">
        <v>1761.023</v>
      </c>
      <c r="Y102" s="51" t="n">
        <v>1726.022</v>
      </c>
      <c r="Z102" s="36">
        <f>1-(Y102/X102)</f>
        <v/>
      </c>
      <c r="AA102" s="51" t="n">
        <v>1757.969</v>
      </c>
      <c r="AB102" s="51" t="n">
        <v>589.471</v>
      </c>
      <c r="AC102" s="51" t="n">
        <v>1168.498</v>
      </c>
      <c r="AD102" s="51" t="n">
        <v>1770.166</v>
      </c>
      <c r="AE102" s="51" t="n">
        <v>889.944</v>
      </c>
      <c r="AF102" s="51" t="n">
        <v>432.869</v>
      </c>
      <c r="AG102" s="51" t="n">
        <v>600.4109999999999</v>
      </c>
      <c r="AH102" s="51" t="n"/>
      <c r="AI102" s="51" t="n"/>
      <c r="AJ102" s="38">
        <f>V102/D102</f>
        <v/>
      </c>
      <c r="AK102" s="38" t="n"/>
      <c r="AM102" s="35">
        <f>AJ102+R102</f>
        <v/>
      </c>
    </row>
    <row r="103" ht="15" customFormat="1" customHeight="1" s="37">
      <c r="A103" s="39" t="n">
        <v>45108</v>
      </c>
      <c r="B103" s="34" t="n">
        <v>6.956806845878138</v>
      </c>
      <c r="C103" s="51" t="n">
        <v>5545.001</v>
      </c>
      <c r="D103" s="35">
        <f>C103*33.33/1000</f>
        <v/>
      </c>
      <c r="E103" s="34">
        <f>D103-'NOPA US Crush'!B529</f>
        <v/>
      </c>
      <c r="F103" s="36">
        <f>1-((D103-E103)/D103)</f>
        <v/>
      </c>
      <c r="G103" s="36">
        <f>1-F103</f>
        <v/>
      </c>
      <c r="H103" s="35">
        <f>((A104-A103)*B103)-D103</f>
        <v/>
      </c>
      <c r="I103" s="36">
        <f>1-(H103/((A104-A103)*B103))</f>
        <v/>
      </c>
      <c r="K103" s="51" t="n">
        <v>4088.89</v>
      </c>
      <c r="L103" s="51" t="n">
        <v>274.04</v>
      </c>
      <c r="M103" s="51" t="n">
        <v>4057.304</v>
      </c>
      <c r="N103" s="51" t="n">
        <v>31.586</v>
      </c>
      <c r="O103" s="51" t="n">
        <v>425.415</v>
      </c>
      <c r="P103" s="51" t="n">
        <v>44.133</v>
      </c>
      <c r="Q103" s="38">
        <f>K103/D103*2</f>
        <v/>
      </c>
      <c r="R103" s="38">
        <f>(K103+L103)/D103*2</f>
        <v/>
      </c>
      <c r="S103" s="38">
        <f>soy_crush!R103-'NOPA US Crush'!E529</f>
        <v/>
      </c>
      <c r="T103" s="36">
        <f>S103/R103</f>
        <v/>
      </c>
      <c r="V103" s="51" t="n">
        <v>2180.036</v>
      </c>
      <c r="W103" s="52">
        <f>X103*AVERAGE(W91/X91,W79/X79,W67/X67,W55/X55,W43/X43)</f>
        <v/>
      </c>
      <c r="X103" s="51" t="n">
        <v>1791.151</v>
      </c>
      <c r="Y103" s="51" t="n">
        <v>1753.057</v>
      </c>
      <c r="Z103" s="36">
        <f>1-(Y103/X103)</f>
        <v/>
      </c>
      <c r="AA103" s="51" t="n">
        <v>1756.571</v>
      </c>
      <c r="AB103" s="51" t="n">
        <v>553.889</v>
      </c>
      <c r="AC103" s="51" t="n">
        <v>1202.682</v>
      </c>
      <c r="AD103" s="51" t="n">
        <v>1704.235</v>
      </c>
      <c r="AE103" s="51" t="n">
        <v>870.177</v>
      </c>
      <c r="AF103" s="51" t="n">
        <v>431.967</v>
      </c>
      <c r="AG103" s="51" t="n">
        <v>582.986</v>
      </c>
      <c r="AH103" s="51" t="n"/>
      <c r="AI103" s="51" t="n"/>
      <c r="AJ103" s="38">
        <f>V103/D103</f>
        <v/>
      </c>
      <c r="AK103" s="38" t="n"/>
      <c r="AM103" s="35">
        <f>AJ103+R103</f>
        <v/>
      </c>
    </row>
    <row r="104" ht="15" customFormat="1" customHeight="1" s="37">
      <c r="A104" s="39" t="n">
        <v>45139</v>
      </c>
      <c r="B104" s="34" t="n">
        <v>6.815773118279571</v>
      </c>
      <c r="C104" s="51" t="n">
        <v>5069.87</v>
      </c>
      <c r="D104" s="35">
        <f>C104*33.33/1000</f>
        <v/>
      </c>
      <c r="E104" s="34">
        <f>D104-'NOPA US Crush'!B530</f>
        <v/>
      </c>
      <c r="F104" s="36">
        <f>1-((D104-E104)/D104)</f>
        <v/>
      </c>
      <c r="G104" s="36">
        <f>1-F104</f>
        <v/>
      </c>
      <c r="H104" s="35">
        <f>((A105-A104)*B104)-D104</f>
        <v/>
      </c>
      <c r="I104" s="36">
        <f>1-(H104/((A105-A104)*B104))</f>
        <v/>
      </c>
      <c r="K104" s="51" t="n">
        <v>3767.064</v>
      </c>
      <c r="L104" s="51" t="n">
        <v>262.828</v>
      </c>
      <c r="M104" s="51" t="n">
        <v>3725.124</v>
      </c>
      <c r="N104" s="51" t="n">
        <v>41.94</v>
      </c>
      <c r="O104" s="51" t="n">
        <v>280.335</v>
      </c>
      <c r="P104" s="51" t="n">
        <v>36.506</v>
      </c>
      <c r="Q104" s="38">
        <f>K104/D104*2</f>
        <v/>
      </c>
      <c r="R104" s="38">
        <f>(K104+L104)/D104*2</f>
        <v/>
      </c>
      <c r="S104" s="38">
        <f>soy_crush!R104-'NOPA US Crush'!E530</f>
        <v/>
      </c>
      <c r="T104" s="36">
        <f>S104/R104</f>
        <v/>
      </c>
      <c r="V104" s="51" t="n">
        <v>2014.153</v>
      </c>
      <c r="W104" s="51" t="n">
        <v>187.12</v>
      </c>
      <c r="X104" s="51" t="n">
        <v>1740.71</v>
      </c>
      <c r="Y104" s="51" t="n">
        <v>1709.814</v>
      </c>
      <c r="Z104" s="36">
        <f>1-(Y104/X104)</f>
        <v/>
      </c>
      <c r="AA104" s="51" t="n">
        <v>1723.766</v>
      </c>
      <c r="AB104" s="51" t="n">
        <v>485.852</v>
      </c>
      <c r="AC104" s="51" t="n">
        <v>1237.914</v>
      </c>
      <c r="AD104" s="51" t="n">
        <v>1353.202</v>
      </c>
      <c r="AE104" s="51" t="n">
        <v>759.927</v>
      </c>
      <c r="AF104" s="51" t="n">
        <v>419.181</v>
      </c>
      <c r="AG104" s="51" t="n">
        <v>366.938</v>
      </c>
      <c r="AH104" s="51" t="n"/>
      <c r="AI104" s="51" t="n"/>
      <c r="AJ104" s="38">
        <f>V104/D104</f>
        <v/>
      </c>
      <c r="AK104" s="38" t="n"/>
      <c r="AM104" s="35">
        <f>AJ104+R104</f>
        <v/>
      </c>
    </row>
    <row r="105" ht="15" customFormat="1" customHeight="1" s="37">
      <c r="A105" s="39" t="n">
        <v>45170</v>
      </c>
      <c r="B105" s="34" t="n">
        <v>7.022731182795701</v>
      </c>
      <c r="C105" s="51" t="n">
        <v>5242.931</v>
      </c>
      <c r="D105" s="35">
        <f>C105*33.33/1000</f>
        <v/>
      </c>
      <c r="E105" s="34">
        <f>D105-'NOPA US Crush'!B531</f>
        <v/>
      </c>
      <c r="F105" s="36">
        <f>1-((D105-E105)/D105)</f>
        <v/>
      </c>
      <c r="G105" s="36">
        <f>1-F105</f>
        <v/>
      </c>
      <c r="H105" s="35">
        <f>((A106-A105)*B105)-D105</f>
        <v/>
      </c>
      <c r="I105" s="36">
        <f>1-(H105/((A106-A105)*B105))</f>
        <v/>
      </c>
      <c r="K105" s="51" t="n">
        <v>3843.681</v>
      </c>
      <c r="L105" s="51" t="n">
        <v>261.939</v>
      </c>
      <c r="M105" s="51" t="n">
        <v>3799.238</v>
      </c>
      <c r="N105" s="51" t="n">
        <v>44.443</v>
      </c>
      <c r="O105" s="51" t="n">
        <v>327.574</v>
      </c>
      <c r="P105" s="51" t="n">
        <v>43.317</v>
      </c>
      <c r="Q105" s="38">
        <f>K105/D105*2</f>
        <v/>
      </c>
      <c r="R105" s="38">
        <f>(K105+L105)/D105*2</f>
        <v/>
      </c>
      <c r="S105" s="38">
        <f>soy_crush!R105-'NOPA US Crush'!E531</f>
        <v/>
      </c>
      <c r="T105" s="36">
        <f>S105/R105</f>
        <v/>
      </c>
      <c r="V105" s="51" t="n">
        <v>2077.074</v>
      </c>
      <c r="W105" s="51" t="n">
        <v>207.193</v>
      </c>
      <c r="X105" s="51" t="n">
        <v>1724.748</v>
      </c>
      <c r="Y105" s="51" t="n">
        <v>1689.532</v>
      </c>
      <c r="Z105" s="36">
        <f>1-(Y105/X105)</f>
        <v/>
      </c>
      <c r="AA105" s="51" t="n">
        <v>1699.54</v>
      </c>
      <c r="AB105" s="51" t="n">
        <v>502.648</v>
      </c>
      <c r="AC105" s="51" t="n">
        <v>1196.892</v>
      </c>
      <c r="AD105" s="51" t="n">
        <v>1196.674</v>
      </c>
      <c r="AE105" s="51" t="n">
        <v>716.347</v>
      </c>
      <c r="AF105" s="51" t="n">
        <v>410.398</v>
      </c>
      <c r="AG105" s="51" t="n">
        <v>279.055</v>
      </c>
      <c r="AH105" s="51" t="n"/>
      <c r="AI105" s="51" t="n"/>
      <c r="AJ105" s="38">
        <f>V105/D105</f>
        <v/>
      </c>
      <c r="AK105" s="38" t="n"/>
      <c r="AM105" s="35">
        <f>AJ105+R105</f>
        <v/>
      </c>
    </row>
    <row r="106" ht="15" customFormat="1" customHeight="1" s="37">
      <c r="A106" s="39" t="n">
        <v>45200</v>
      </c>
      <c r="B106" s="34" t="n">
        <v>7.132644623655916</v>
      </c>
      <c r="C106" s="51" t="n">
        <v>6041.685</v>
      </c>
      <c r="D106" s="35">
        <f>C106*33.33/1000</f>
        <v/>
      </c>
      <c r="E106" s="34">
        <f>D106-'NOPA US Crush'!B532</f>
        <v/>
      </c>
      <c r="F106" s="36">
        <f>1-((D106-E106)/D106)</f>
        <v/>
      </c>
      <c r="G106" s="36">
        <f>1-F106</f>
        <v/>
      </c>
      <c r="H106" s="35">
        <f>((A107-A106)*B106)-D106</f>
        <v/>
      </c>
      <c r="I106" s="36">
        <f>1-(H106/((A107-A106)*B106))</f>
        <v/>
      </c>
      <c r="K106" s="51" t="n">
        <v>4442.466</v>
      </c>
      <c r="L106" s="51" t="n">
        <v>296.017</v>
      </c>
      <c r="M106" s="51" t="n">
        <v>4393.671</v>
      </c>
      <c r="N106" s="51" t="n">
        <v>48.795</v>
      </c>
      <c r="O106" s="51" t="n">
        <v>291.071</v>
      </c>
      <c r="P106" s="51" t="n">
        <v>43.568</v>
      </c>
      <c r="Q106" s="38">
        <f>K106/D106*2</f>
        <v/>
      </c>
      <c r="R106" s="38">
        <f>(K106+L106)/D106*2</f>
        <v/>
      </c>
      <c r="S106" s="38">
        <f>soy_crush!R106-'NOPA US Crush'!E532</f>
        <v/>
      </c>
      <c r="T106" s="36">
        <f>S106/R106</f>
        <v/>
      </c>
      <c r="V106" s="51" t="n">
        <v>2375.654</v>
      </c>
      <c r="W106" s="52">
        <f>X106*AVERAGE(W94/X94,W82/X82,W70/X70,W58/X58,W46/X46)</f>
        <v/>
      </c>
      <c r="X106" s="51" t="n">
        <v>1869.391</v>
      </c>
      <c r="Y106" s="51" t="n">
        <v>1833.531</v>
      </c>
      <c r="Z106" s="36">
        <f>1-(Y106/X106)</f>
        <v/>
      </c>
      <c r="AA106" s="51" t="n">
        <v>1831.556</v>
      </c>
      <c r="AB106" s="51" t="n">
        <v>561.9829999999999</v>
      </c>
      <c r="AC106" s="51" t="n">
        <v>1269.573</v>
      </c>
      <c r="AD106" s="51" t="n">
        <v>1088.612</v>
      </c>
      <c r="AE106" s="51" t="n">
        <v>660.533</v>
      </c>
      <c r="AF106" s="51" t="n">
        <v>412.988</v>
      </c>
      <c r="AG106" s="51" t="n">
        <v>244.08</v>
      </c>
      <c r="AH106" s="51" t="n"/>
      <c r="AI106" s="51" t="n"/>
      <c r="AJ106" s="38">
        <f>V106/D106</f>
        <v/>
      </c>
      <c r="AK106" s="38" t="n"/>
      <c r="AM106" s="35">
        <f>AJ106+R106</f>
        <v/>
      </c>
    </row>
    <row r="107" ht="15" customFormat="1" customHeight="1" s="37">
      <c r="A107" s="39" t="n">
        <v>45231</v>
      </c>
      <c r="B107" s="34" t="n">
        <v>7.101986021505376</v>
      </c>
      <c r="C107" s="51" t="n">
        <v>6002.708</v>
      </c>
      <c r="D107" s="35">
        <f>C107*33.33/1000</f>
        <v/>
      </c>
      <c r="E107" s="34">
        <f>D107-'NOPA US Crush'!B533</f>
        <v/>
      </c>
      <c r="F107" s="36">
        <f>1-((D107-E107)/D107)</f>
        <v/>
      </c>
      <c r="G107" s="36">
        <f>1-F107</f>
        <v/>
      </c>
      <c r="H107" s="35">
        <f>((A108-A107)*B107)-D107</f>
        <v/>
      </c>
      <c r="I107" s="36">
        <f>1-(H107/((A108-A107)*B107))</f>
        <v/>
      </c>
      <c r="K107" s="51" t="n">
        <v>4399.878</v>
      </c>
      <c r="L107" s="51" t="n">
        <v>306.33</v>
      </c>
      <c r="M107" s="51" t="n">
        <v>4349.599</v>
      </c>
      <c r="N107" s="51" t="n">
        <v>50.279</v>
      </c>
      <c r="O107" s="51" t="n">
        <v>260.052</v>
      </c>
      <c r="P107" s="51" t="n">
        <v>44.385</v>
      </c>
      <c r="Q107" s="38">
        <f>K107/D107*2</f>
        <v/>
      </c>
      <c r="R107" s="38">
        <f>(K107+L107)/D107*2</f>
        <v/>
      </c>
      <c r="S107" s="38">
        <f>soy_crush!R107-'NOPA US Crush'!E533</f>
        <v/>
      </c>
      <c r="T107" s="36">
        <f>S107/R107</f>
        <v/>
      </c>
      <c r="V107" s="51" t="n">
        <v>2324.668</v>
      </c>
      <c r="W107" s="51" t="n">
        <v>189.542</v>
      </c>
      <c r="X107" s="51" t="n">
        <v>1737.002</v>
      </c>
      <c r="Y107" s="51" t="n">
        <v>1692.886</v>
      </c>
      <c r="Z107" s="36">
        <f>1-(Y107/X107)</f>
        <v/>
      </c>
      <c r="AA107" s="51" t="n">
        <v>1682.018</v>
      </c>
      <c r="AB107" s="51" t="n">
        <v>500.066</v>
      </c>
      <c r="AC107" s="51" t="n">
        <v>1181.952</v>
      </c>
      <c r="AD107" s="51" t="n">
        <v>1175.567</v>
      </c>
      <c r="AE107" s="51" t="n">
        <v>728.717</v>
      </c>
      <c r="AF107" s="51" t="n">
        <v>423.529</v>
      </c>
      <c r="AG107" s="51" t="n">
        <v>246.309</v>
      </c>
      <c r="AH107" s="51" t="n"/>
      <c r="AI107" s="51" t="n"/>
      <c r="AJ107" s="38">
        <f>V107/D107</f>
        <v/>
      </c>
      <c r="AK107" s="38" t="n"/>
      <c r="AM107" s="35">
        <f>AJ107+R107</f>
        <v/>
      </c>
    </row>
    <row r="108" ht="15" customFormat="1" customHeight="1" s="37">
      <c r="A108" s="39" t="n">
        <v>45261</v>
      </c>
      <c r="B108" s="34" t="n">
        <v>7.044036845878137</v>
      </c>
      <c r="C108" s="51" t="n">
        <v>6128.558</v>
      </c>
      <c r="D108" s="35">
        <f>C108*33.33/1000</f>
        <v/>
      </c>
      <c r="E108" s="34">
        <f>D108-'NOPA US Crush'!B534</f>
        <v/>
      </c>
      <c r="F108" s="36">
        <f>1-((D108-E108)/D108)</f>
        <v/>
      </c>
      <c r="G108" s="36">
        <f>1-F108</f>
        <v/>
      </c>
      <c r="H108" s="35">
        <f>((A109-A108)*B108)-D108</f>
        <v/>
      </c>
      <c r="I108" s="36">
        <f>1-(H108/((A109-A108)*B108))</f>
        <v/>
      </c>
      <c r="K108" s="51" t="n">
        <v>4503.856</v>
      </c>
      <c r="L108" s="51" t="n">
        <v>314.486</v>
      </c>
      <c r="M108" s="51" t="n">
        <v>4447.916</v>
      </c>
      <c r="N108" s="51" t="n">
        <v>55.94</v>
      </c>
      <c r="O108" s="51" t="n">
        <v>451.979</v>
      </c>
      <c r="P108" s="51" t="n">
        <v>48.781</v>
      </c>
      <c r="Q108" s="38">
        <f>K108/D108*2</f>
        <v/>
      </c>
      <c r="R108" s="38">
        <f>(K108+L108)/D108*2</f>
        <v/>
      </c>
      <c r="S108" s="38">
        <f>soy_crush!R108-'NOPA US Crush'!E534</f>
        <v/>
      </c>
      <c r="T108" s="36">
        <f>S108/R108</f>
        <v/>
      </c>
      <c r="V108" s="51" t="n">
        <v>2376.237</v>
      </c>
      <c r="W108" s="52">
        <f>X108*AVERAGE(W96/X96,W84/X84,W72/X72,W60/X60,W48/X48)</f>
        <v/>
      </c>
      <c r="X108" s="51" t="n">
        <v>1755.288</v>
      </c>
      <c r="Y108" s="51" t="n">
        <v>1711.129</v>
      </c>
      <c r="Z108" s="36">
        <f>1-(Y108/X108)</f>
        <v/>
      </c>
      <c r="AA108" s="51" t="n">
        <v>1670.436</v>
      </c>
      <c r="AB108" s="51" t="n">
        <v>526.112</v>
      </c>
      <c r="AC108" s="51" t="n">
        <v>1144.324</v>
      </c>
      <c r="AD108" s="51" t="n">
        <v>1356.41</v>
      </c>
      <c r="AE108" s="51" t="n">
        <v>869.075</v>
      </c>
      <c r="AF108" s="51" t="n">
        <v>467.424</v>
      </c>
      <c r="AG108" s="51" t="n">
        <v>255.431</v>
      </c>
      <c r="AH108" s="51" t="n"/>
      <c r="AI108" s="51" t="n"/>
      <c r="AJ108" s="38">
        <f>V108/D108</f>
        <v/>
      </c>
      <c r="AK108" s="38" t="n"/>
      <c r="AM108" s="35">
        <f>AJ108+R108</f>
        <v/>
      </c>
    </row>
    <row r="109" ht="15" customFormat="1" customHeight="1" s="37">
      <c r="A109" s="39" t="n">
        <v>45292</v>
      </c>
      <c r="B109" s="34" t="n">
        <v>7.019644086021507</v>
      </c>
      <c r="C109" s="51" t="n">
        <v>5828.39</v>
      </c>
      <c r="D109" s="35">
        <f>C109*33.33/1000</f>
        <v/>
      </c>
      <c r="E109" s="34">
        <f>D109-'NOPA US Crush'!B535</f>
        <v/>
      </c>
      <c r="F109" s="36">
        <f>1-((D109-E109)/D109)</f>
        <v/>
      </c>
      <c r="G109" s="36">
        <f>1-F109</f>
        <v/>
      </c>
      <c r="H109" s="35">
        <f>((A110-A109)*B109)-D109</f>
        <v/>
      </c>
      <c r="I109" s="36">
        <f>1-(H109/((A110-A109)*B109))</f>
        <v/>
      </c>
      <c r="K109" s="51" t="n">
        <v>4290.41</v>
      </c>
      <c r="L109" s="51" t="n">
        <v>293.148</v>
      </c>
      <c r="M109" s="51" t="n">
        <v>4238.267</v>
      </c>
      <c r="N109" s="51" t="n">
        <v>52.143</v>
      </c>
      <c r="O109" s="51" t="n">
        <v>293.148</v>
      </c>
      <c r="P109" s="51" t="n">
        <v>42.487</v>
      </c>
      <c r="Q109" s="38">
        <f>K109/D109*2</f>
        <v/>
      </c>
      <c r="R109" s="38">
        <f>(K109+L109)/D109*2</f>
        <v/>
      </c>
      <c r="S109" s="38">
        <f>soy_crush!R109-'NOPA US Crush'!E535</f>
        <v/>
      </c>
      <c r="T109" s="36">
        <f>S109/R109</f>
        <v/>
      </c>
      <c r="V109" s="51" t="n">
        <v>2282.324</v>
      </c>
      <c r="W109" s="52">
        <f>X109*AVERAGE(W97/X97,W85/X85,W73/X73,W61/X61,W49/X49)</f>
        <v/>
      </c>
      <c r="X109" s="51" t="n">
        <v>1617.254</v>
      </c>
      <c r="Y109" s="51" t="n">
        <v>1586.853</v>
      </c>
      <c r="Z109" s="36">
        <f>1-(Y109/X109)</f>
        <v/>
      </c>
      <c r="AA109" s="51" t="n">
        <v>1570.579</v>
      </c>
      <c r="AB109" s="51" t="n">
        <v>438.451</v>
      </c>
      <c r="AC109" s="51" t="n">
        <v>1132.128</v>
      </c>
      <c r="AD109" s="51" t="n">
        <v>1543.136</v>
      </c>
      <c r="AE109" s="51" t="n">
        <v>985.501</v>
      </c>
      <c r="AF109" s="51" t="n">
        <v>484.913</v>
      </c>
      <c r="AG109" s="51" t="n">
        <v>280.604</v>
      </c>
      <c r="AH109" s="51" t="n"/>
      <c r="AI109" s="51" t="n"/>
      <c r="AJ109" s="38">
        <f>V109/D109</f>
        <v/>
      </c>
      <c r="AK109" s="38" t="n"/>
      <c r="AM109" s="35">
        <f>AJ109+R109</f>
        <v/>
      </c>
    </row>
    <row r="110" ht="15" customFormat="1" customHeight="1" s="37">
      <c r="A110" s="39" t="n">
        <v>45323</v>
      </c>
      <c r="B110" s="34" t="n">
        <v>6.979260215053765</v>
      </c>
      <c r="C110" s="51" t="n">
        <v>5803.253</v>
      </c>
      <c r="D110" s="35">
        <f>C110*33.33/1000</f>
        <v/>
      </c>
      <c r="E110" s="34">
        <f>D110-'NOPA US Crush'!B536</f>
        <v/>
      </c>
      <c r="F110" s="36">
        <f>1-((D110-E110)/D110)</f>
        <v/>
      </c>
      <c r="G110" s="36">
        <f>1-F110</f>
        <v/>
      </c>
      <c r="H110" s="35">
        <f>((A111-A110)*B110)-D110</f>
        <v/>
      </c>
      <c r="I110" s="36">
        <f>1-(H110/((A111-A110)*B110))</f>
        <v/>
      </c>
      <c r="K110" s="51" t="n">
        <v>4257.7</v>
      </c>
      <c r="L110" s="51" t="n">
        <v>288.857</v>
      </c>
      <c r="M110" s="51" t="n">
        <v>4208.963</v>
      </c>
      <c r="N110" s="51" t="n">
        <v>48.737</v>
      </c>
      <c r="O110" s="51" t="n">
        <v>288.857</v>
      </c>
      <c r="P110" s="51" t="n">
        <v>48.248</v>
      </c>
      <c r="Q110" s="38">
        <f>K110/D110*2</f>
        <v/>
      </c>
      <c r="R110" s="38">
        <f>(K110+L110)/D110*2</f>
        <v/>
      </c>
      <c r="S110" s="38">
        <f>soy_crush!R110-'NOPA US Crush'!E536</f>
        <v/>
      </c>
      <c r="T110" s="36">
        <f>S110/R110</f>
        <v/>
      </c>
      <c r="V110" s="51" t="n">
        <v>2288.218</v>
      </c>
      <c r="W110" s="52">
        <f>X110*AVERAGE(W98/X98,W86/X86,W74/X74,W62/X62,W50/X50)</f>
        <v/>
      </c>
      <c r="X110" s="51" t="n">
        <v>1650.719</v>
      </c>
      <c r="Y110" s="51" t="n">
        <v>1625.678</v>
      </c>
      <c r="Z110" s="36">
        <f>1-(Y110/X110)</f>
        <v/>
      </c>
      <c r="AA110" s="51" t="n">
        <v>1653.901</v>
      </c>
      <c r="AB110" s="51" t="n">
        <v>478.548</v>
      </c>
      <c r="AC110" s="51" t="n">
        <v>1175.353</v>
      </c>
      <c r="AD110" s="51" t="n">
        <v>1686.631</v>
      </c>
      <c r="AE110" s="51" t="n">
        <v>1019.238</v>
      </c>
      <c r="AF110" s="51" t="n">
        <v>460.178</v>
      </c>
      <c r="AG110" s="51" t="n">
        <v>404.098</v>
      </c>
      <c r="AH110" s="51" t="n"/>
      <c r="AI110" s="51" t="n"/>
      <c r="AJ110" s="38">
        <f>V110/D110</f>
        <v/>
      </c>
      <c r="AK110" s="38" t="n"/>
      <c r="AM110" s="35">
        <f>AJ110+R110</f>
        <v/>
      </c>
    </row>
    <row r="111" ht="15" customFormat="1" customHeight="1" s="37">
      <c r="A111" s="39" t="n">
        <v>45352</v>
      </c>
      <c r="B111" s="34" t="n">
        <v>7.007295773081201</v>
      </c>
      <c r="C111" s="51" t="n">
        <v>6106.056</v>
      </c>
      <c r="D111" s="35">
        <f>C111*33.33/1000</f>
        <v/>
      </c>
      <c r="E111" s="34">
        <f>D111-'NOPA US Crush'!B537</f>
        <v/>
      </c>
      <c r="F111" s="36">
        <f>1-((D111-E111)/D111)</f>
        <v/>
      </c>
      <c r="G111" s="36">
        <f>1-F111</f>
        <v/>
      </c>
      <c r="H111" s="35">
        <f>((A112-A111)*B111)-D111</f>
        <v/>
      </c>
      <c r="I111" s="36">
        <f>1-(H111/((A112-A111)*B111))</f>
        <v/>
      </c>
      <c r="K111" s="51" t="n">
        <v>4485.471</v>
      </c>
      <c r="L111" s="51" t="n">
        <v>307.564</v>
      </c>
      <c r="M111" s="51" t="n">
        <v>4426.59</v>
      </c>
      <c r="N111" s="51" t="n">
        <v>58.881</v>
      </c>
      <c r="O111" s="51" t="n">
        <v>307.564</v>
      </c>
      <c r="P111" s="51" t="n">
        <v>64.51300000000001</v>
      </c>
      <c r="Q111" s="38">
        <f>K111/D111*2</f>
        <v/>
      </c>
      <c r="R111" s="38">
        <f>(K111+L111)/D111*2</f>
        <v/>
      </c>
      <c r="S111" s="38">
        <f>soy_crush!R111-'NOPA US Crush'!E537</f>
        <v/>
      </c>
      <c r="T111" s="36">
        <f>S111/R111</f>
        <v/>
      </c>
      <c r="V111" s="51" t="n">
        <v>2403.796</v>
      </c>
      <c r="W111" s="51" t="n">
        <v>163.074</v>
      </c>
      <c r="X111" s="51" t="n">
        <v>1827.03</v>
      </c>
      <c r="Y111" s="51" t="n">
        <v>1791.949</v>
      </c>
      <c r="Z111" s="36">
        <f>1-(Y111/X111)</f>
        <v/>
      </c>
      <c r="AA111" s="51" t="n">
        <v>1756.125</v>
      </c>
      <c r="AB111" s="51" t="n">
        <v>522.582</v>
      </c>
      <c r="AC111" s="51" t="n">
        <v>1233.543</v>
      </c>
      <c r="AD111" s="51" t="n">
        <v>1871.857</v>
      </c>
      <c r="AE111" s="51" t="n">
        <v>1098.42</v>
      </c>
      <c r="AF111" s="51" t="n">
        <v>496.71</v>
      </c>
      <c r="AG111" s="51" t="n">
        <v>485.729</v>
      </c>
      <c r="AH111" s="51" t="n"/>
      <c r="AI111" s="51" t="n"/>
      <c r="AJ111" s="38">
        <f>V111/D111</f>
        <v/>
      </c>
      <c r="AK111" s="38" t="n"/>
      <c r="AM111" s="35">
        <f>AJ111+R111</f>
        <v/>
      </c>
    </row>
    <row r="112" ht="15" customFormat="1" customHeight="1" s="37">
      <c r="A112" s="39" t="n">
        <v>45383</v>
      </c>
      <c r="B112" s="34" t="n">
        <v>7.133564516129034</v>
      </c>
      <c r="C112" s="51" t="n">
        <v>5327.076</v>
      </c>
      <c r="D112" s="35">
        <f>C112*33.33/1000</f>
        <v/>
      </c>
      <c r="E112" s="34">
        <f>D112-'NOPA US Crush'!B538</f>
        <v/>
      </c>
      <c r="F112" s="36">
        <f>1-((D112-E112)/D112)</f>
        <v/>
      </c>
      <c r="G112" s="36">
        <f>1-F112</f>
        <v/>
      </c>
      <c r="H112" s="35">
        <f>((A113-A112)*B112)-D112</f>
        <v/>
      </c>
      <c r="I112" s="36">
        <f>1-(H112/((A113-A112)*B112))</f>
        <v/>
      </c>
      <c r="K112" s="51" t="n">
        <v>3931.95</v>
      </c>
      <c r="L112" s="51" t="n">
        <v>269.827</v>
      </c>
      <c r="M112" s="51" t="n">
        <v>3885.341</v>
      </c>
      <c r="N112" s="51" t="n">
        <v>46.609</v>
      </c>
      <c r="O112" s="51" t="n">
        <v>269.827</v>
      </c>
      <c r="P112" s="51" t="n">
        <v>48.367</v>
      </c>
      <c r="Q112" s="38">
        <f>K112/D112*2</f>
        <v/>
      </c>
      <c r="R112" s="38">
        <f>(K112+L112)/D112*2</f>
        <v/>
      </c>
      <c r="S112" s="38">
        <f>soy_crush!R112-'NOPA US Crush'!E538</f>
        <v/>
      </c>
      <c r="T112" s="36">
        <f>S112/R112</f>
        <v/>
      </c>
      <c r="V112" s="51" t="n">
        <v>2096.208</v>
      </c>
      <c r="W112" s="52">
        <f>X112*AVERAGE(W100/X100,W88/X88,W76/X76,W64/X64,W52/X52)</f>
        <v/>
      </c>
      <c r="X112" s="51" t="n">
        <v>1761.41</v>
      </c>
      <c r="Y112" s="51" t="n">
        <v>1716.904</v>
      </c>
      <c r="Z112" s="36">
        <f>1-(Y112/X112)</f>
        <v/>
      </c>
      <c r="AA112" s="51" t="n">
        <v>1760.312</v>
      </c>
      <c r="AB112" s="51" t="n">
        <v>507.096</v>
      </c>
      <c r="AC112" s="51" t="n">
        <v>1253.216</v>
      </c>
      <c r="AD112" s="51" t="n">
        <v>1856.137</v>
      </c>
      <c r="AE112" s="51" t="n">
        <v>1047.499</v>
      </c>
      <c r="AF112" s="51" t="n">
        <v>454.709</v>
      </c>
      <c r="AG112" s="51" t="n">
        <v>525.7430000000001</v>
      </c>
      <c r="AH112" s="51" t="n"/>
      <c r="AI112" s="51" t="n"/>
      <c r="AJ112" s="38">
        <f>V112/D112</f>
        <v/>
      </c>
      <c r="AK112" s="38" t="n"/>
      <c r="AM112" s="35">
        <f>AJ112+R112</f>
        <v/>
      </c>
    </row>
    <row r="113" ht="15" customFormat="1" customHeight="1" s="37">
      <c r="A113" s="39" t="n">
        <v>45413</v>
      </c>
      <c r="B113" s="34" t="n">
        <v>7.08316017921147</v>
      </c>
      <c r="C113" s="51" t="n">
        <v>5748.779</v>
      </c>
      <c r="D113" s="35">
        <f>C113*33.33/1000</f>
        <v/>
      </c>
      <c r="E113" s="34">
        <f>D113-'NOPA US Crush'!B539</f>
        <v/>
      </c>
      <c r="F113" s="36">
        <f>1-((D113-E113)/D113)</f>
        <v/>
      </c>
      <c r="G113" s="36">
        <f>1-F113</f>
        <v/>
      </c>
      <c r="H113" s="35">
        <f>((A114-A113)*B113)-D113</f>
        <v/>
      </c>
      <c r="I113" s="36">
        <f>1-(H113/((A114-A113)*B113))</f>
        <v/>
      </c>
      <c r="K113" s="51" t="n">
        <v>4222.387</v>
      </c>
      <c r="L113" s="51" t="n">
        <v>284.506</v>
      </c>
      <c r="M113" s="51" t="n">
        <v>4164.017</v>
      </c>
      <c r="N113" s="51" t="n">
        <v>58.37</v>
      </c>
      <c r="O113" s="51" t="n">
        <v>298.378</v>
      </c>
      <c r="P113" s="51" t="n">
        <v>44.983</v>
      </c>
      <c r="Q113" s="38">
        <f>K113/D113*2</f>
        <v/>
      </c>
      <c r="R113" s="38">
        <f>(K113+L113)/D113*2</f>
        <v/>
      </c>
      <c r="S113" s="38">
        <f>soy_crush!R113-'NOPA US Crush'!E539</f>
        <v/>
      </c>
      <c r="T113" s="36">
        <f>S113/R113</f>
        <v/>
      </c>
      <c r="V113" s="51" t="n">
        <v>2267.166</v>
      </c>
      <c r="W113" s="52">
        <f>X113*AVERAGE(W101/X101,W89/X89,W77/X77,W65/X65,W53/X53)</f>
        <v/>
      </c>
      <c r="X113" s="51" t="n">
        <v>1825.2</v>
      </c>
      <c r="Y113" s="51" t="n">
        <v>1788.504</v>
      </c>
      <c r="Z113" s="36">
        <f>1-(Y113/X113)</f>
        <v/>
      </c>
      <c r="AA113" s="51" t="n">
        <v>1789.951</v>
      </c>
      <c r="AB113" s="51" t="n">
        <v>541.1</v>
      </c>
      <c r="AC113" s="51" t="n">
        <v>1248.851</v>
      </c>
      <c r="AD113" s="51" t="n">
        <v>1733.813</v>
      </c>
      <c r="AE113" s="51" t="n">
        <v>957.625</v>
      </c>
      <c r="AF113" s="51" t="n">
        <v>454.069</v>
      </c>
      <c r="AG113" s="51" t="n">
        <v>519.21</v>
      </c>
      <c r="AH113" s="51" t="n"/>
      <c r="AI113" s="51" t="n"/>
      <c r="AJ113" s="38">
        <f>V113/D113</f>
        <v/>
      </c>
      <c r="AK113" s="38" t="n"/>
      <c r="AM113" s="35">
        <f>AJ113+R113</f>
        <v/>
      </c>
    </row>
    <row r="114" ht="15" customFormat="1" customHeight="1" s="37">
      <c r="A114" s="39" t="n">
        <v>45444</v>
      </c>
      <c r="B114" s="34" t="n">
        <v>7.181092473118281</v>
      </c>
      <c r="C114" s="51" t="n">
        <v>5504.777</v>
      </c>
      <c r="D114" s="35">
        <f>C114*33.33/1000</f>
        <v/>
      </c>
      <c r="E114" s="34">
        <f>D114-'NOPA US Crush'!B540</f>
        <v/>
      </c>
      <c r="F114" s="36">
        <f>1-((D114-E114)/D114)</f>
        <v/>
      </c>
      <c r="G114" s="36">
        <f>1-F114</f>
        <v/>
      </c>
      <c r="H114" s="35">
        <f>((A115-A114)*B114)-D114</f>
        <v/>
      </c>
      <c r="I114" s="36">
        <f>1-(H114/((A115-A114)*B114))</f>
        <v/>
      </c>
      <c r="K114" s="51" t="n">
        <v>4050.911</v>
      </c>
      <c r="L114" s="51" t="n">
        <v>279.769</v>
      </c>
      <c r="M114" s="51" t="n">
        <v>3991.242</v>
      </c>
      <c r="N114" s="51" t="n">
        <v>59.669</v>
      </c>
      <c r="O114" s="51" t="n">
        <v>432.534</v>
      </c>
      <c r="P114" s="51" t="n">
        <v>60.281</v>
      </c>
      <c r="Q114" s="38">
        <f>K114/D114*2</f>
        <v/>
      </c>
      <c r="R114" s="38">
        <f>(K114+L114)/D114*2</f>
        <v/>
      </c>
      <c r="S114" s="38">
        <f>soy_crush!R114-'NOPA US Crush'!E540</f>
        <v/>
      </c>
      <c r="T114" s="36">
        <f>S114/R114</f>
        <v/>
      </c>
      <c r="V114" s="51" t="n">
        <v>2182.25</v>
      </c>
      <c r="W114" s="52">
        <f>X114*AVERAGE(W102/X102,W90/X90,W78/X78,W66/X66,W54/X54)</f>
        <v/>
      </c>
      <c r="X114" s="51" t="n">
        <v>1767.309</v>
      </c>
      <c r="Y114" s="51" t="n">
        <v>1725.486</v>
      </c>
      <c r="Z114" s="36">
        <f>1-(Y114/X114)</f>
        <v/>
      </c>
      <c r="AA114" s="51" t="n">
        <v>1737.476</v>
      </c>
      <c r="AB114" s="51" t="n">
        <v>546.042</v>
      </c>
      <c r="AC114" s="51" t="n">
        <v>1191.434</v>
      </c>
      <c r="AD114" s="51" t="n">
        <v>1680.784</v>
      </c>
      <c r="AE114" s="51" t="n">
        <v>955.7569999999999</v>
      </c>
      <c r="AF114" s="51" t="n">
        <v>444.207</v>
      </c>
      <c r="AG114" s="51" t="n">
        <v>483.228</v>
      </c>
      <c r="AH114" s="51" t="n"/>
      <c r="AI114" s="51" t="n"/>
      <c r="AJ114" s="38">
        <f>V114/D114</f>
        <v/>
      </c>
      <c r="AK114" s="38" t="n"/>
      <c r="AM114" s="35">
        <f>AJ114+R114</f>
        <v/>
      </c>
    </row>
    <row r="115" ht="15" customFormat="1" customHeight="1" s="37">
      <c r="A115" s="39" t="n">
        <v>45474</v>
      </c>
      <c r="B115" s="34" t="n">
        <v>7.260718541882918</v>
      </c>
      <c r="C115" s="51" t="n">
        <v>5798.234</v>
      </c>
      <c r="D115" s="35">
        <f>C115*33.33/1000</f>
        <v/>
      </c>
      <c r="E115" s="34">
        <f>D115-'NOPA US Crush'!B541</f>
        <v/>
      </c>
      <c r="F115" s="36">
        <f>1-((D115-E115)/D115)</f>
        <v/>
      </c>
      <c r="G115" s="36">
        <f>1-F115</f>
        <v/>
      </c>
      <c r="H115" s="35">
        <f>((A116-A115)*B115)-D115</f>
        <v/>
      </c>
      <c r="I115" s="36">
        <f>1-(H115/((A116-A115)*B115))</f>
        <v/>
      </c>
      <c r="K115" s="51" t="n">
        <v>4266.548</v>
      </c>
      <c r="L115" s="51" t="n">
        <v>282.107</v>
      </c>
      <c r="M115" s="51" t="n">
        <v>4214.722</v>
      </c>
      <c r="N115" s="51" t="n">
        <v>51.826</v>
      </c>
      <c r="O115" s="51" t="n">
        <v>508.746</v>
      </c>
      <c r="P115" s="51" t="n">
        <v>33.709</v>
      </c>
      <c r="Q115" s="38">
        <f>K115/D115*2</f>
        <v/>
      </c>
      <c r="R115" s="38">
        <f>(K115+L115)/D115*2</f>
        <v/>
      </c>
      <c r="S115" s="38">
        <f>soy_crush!R115-'NOPA US Crush'!E541</f>
        <v/>
      </c>
      <c r="T115" s="36">
        <f>S115/R115</f>
        <v/>
      </c>
      <c r="V115" s="51" t="n">
        <v>2303.082</v>
      </c>
      <c r="W115" s="52">
        <f>X115*AVERAGE(W103/X103,W91/X91,W79/X79,W67/X67,W55/X55)</f>
        <v/>
      </c>
      <c r="X115" s="51" t="n">
        <v>1915.183</v>
      </c>
      <c r="Y115" s="51" t="n">
        <v>1881.513</v>
      </c>
      <c r="Z115" s="36">
        <f>1-(Y115/X115)</f>
        <v/>
      </c>
      <c r="AA115" s="51" t="n">
        <v>1818.02</v>
      </c>
      <c r="AB115" s="51" t="n">
        <v>558.123</v>
      </c>
      <c r="AC115" s="51" t="n">
        <v>1259.897</v>
      </c>
      <c r="AD115" s="51" t="n">
        <v>1499.789</v>
      </c>
      <c r="AE115" s="51" t="n">
        <v>807.051</v>
      </c>
      <c r="AF115" s="51" t="n">
        <v>508.746</v>
      </c>
      <c r="AG115" s="51" t="n">
        <v>413.066</v>
      </c>
      <c r="AH115" s="51" t="n"/>
      <c r="AI115" s="51" t="n"/>
      <c r="AJ115" s="38">
        <f>V115/D115</f>
        <v/>
      </c>
      <c r="AK115" s="38" t="n"/>
      <c r="AM115" s="35">
        <f>AJ115+R115</f>
        <v/>
      </c>
    </row>
    <row r="116" ht="15" customFormat="1" customHeight="1" s="37">
      <c r="A116" s="39" t="n">
        <v>45505</v>
      </c>
      <c r="B116" s="34" t="n">
        <v>7.280016949941202</v>
      </c>
      <c r="C116" s="51" t="n">
        <v>5026.648</v>
      </c>
      <c r="D116" s="35">
        <f>C116*33.33/1000</f>
        <v/>
      </c>
      <c r="E116" s="34">
        <f>D116-'NOPA US Crush'!B542</f>
        <v/>
      </c>
      <c r="F116" s="36">
        <f>1-((D116-E116)/D116)</f>
        <v/>
      </c>
      <c r="G116" s="36">
        <f>1-F116</f>
        <v/>
      </c>
      <c r="H116" s="35">
        <f>((A117-A116)*B116)-D116</f>
        <v/>
      </c>
      <c r="I116" s="36">
        <f>1-(H116/((A117-A116)*B116))</f>
        <v/>
      </c>
      <c r="K116" s="51" t="n">
        <v>3705.121</v>
      </c>
      <c r="L116" s="51" t="n">
        <v>257.96</v>
      </c>
      <c r="M116" s="51" t="n">
        <v>3647.409</v>
      </c>
      <c r="N116" s="51" t="n">
        <v>57.712</v>
      </c>
      <c r="O116" s="51" t="n">
        <v>318.493</v>
      </c>
      <c r="P116" s="51" t="n">
        <v>35.049</v>
      </c>
      <c r="Q116" s="38">
        <f>K116/D116*2</f>
        <v/>
      </c>
      <c r="R116" s="38">
        <f>(K116+L116)/D116*2</f>
        <v/>
      </c>
      <c r="S116" s="38">
        <f>soy_crush!R116-'NOPA US Crush'!E542</f>
        <v/>
      </c>
      <c r="T116" s="36">
        <f>S116/R116</f>
        <v/>
      </c>
      <c r="V116" s="51" t="n">
        <v>1991.846</v>
      </c>
      <c r="W116" s="52">
        <f>X116*AVERAGE(W104/X104,W92/X92,W80/X80,W68/X68,W56/X56)</f>
        <v/>
      </c>
      <c r="X116" s="51" t="n">
        <v>1750.277</v>
      </c>
      <c r="Y116" s="51" t="n">
        <v>1713.666</v>
      </c>
      <c r="Z116" s="36">
        <f>1-(Y116/X116)</f>
        <v/>
      </c>
      <c r="AA116" s="51" t="n">
        <v>1799.003</v>
      </c>
      <c r="AB116" s="51" t="n">
        <v>570.133</v>
      </c>
      <c r="AC116" s="51" t="n">
        <v>1228.87</v>
      </c>
      <c r="AD116" s="51" t="n">
        <v>1207.718</v>
      </c>
      <c r="AE116" s="51" t="n">
        <v>677.583</v>
      </c>
      <c r="AF116" s="51" t="n">
        <v>421.713</v>
      </c>
      <c r="AG116" s="51" t="n">
        <v>323.353</v>
      </c>
      <c r="AH116" s="51" t="n"/>
      <c r="AI116" s="51" t="n"/>
      <c r="AJ116" s="38">
        <f>V116/D116</f>
        <v/>
      </c>
      <c r="AK116" s="38" t="n"/>
      <c r="AM116" s="35">
        <f>AJ116+R116</f>
        <v/>
      </c>
    </row>
    <row r="117" ht="15" customFormat="1" customHeight="1" s="37">
      <c r="A117" s="39" t="n">
        <v>45536</v>
      </c>
      <c r="B117" s="34" t="n">
        <v>7.436583521260054</v>
      </c>
      <c r="C117" s="51" t="n">
        <v>5595.095</v>
      </c>
      <c r="D117" s="35">
        <f>C117*33.33/1000</f>
        <v/>
      </c>
      <c r="E117" s="34">
        <f>D117-'NOPA US Crush'!B543</f>
        <v/>
      </c>
      <c r="F117" s="36">
        <f>1-((D117-E117)/D117)</f>
        <v/>
      </c>
      <c r="G117" s="36">
        <f>1-F117</f>
        <v/>
      </c>
      <c r="H117" s="35">
        <f>((A118-A117)*B117)-D117</f>
        <v/>
      </c>
      <c r="I117" s="36">
        <f>1-(H117/((A118-A117)*B117))</f>
        <v/>
      </c>
      <c r="K117" s="51" t="n">
        <v>4092.457</v>
      </c>
      <c r="L117" s="51" t="n">
        <v>276.426</v>
      </c>
      <c r="M117" s="51" t="n">
        <v>4024.677</v>
      </c>
      <c r="N117" s="51" t="n">
        <v>67.78</v>
      </c>
      <c r="O117" s="51" t="n">
        <v>276.426</v>
      </c>
      <c r="P117" s="51" t="n">
        <v>39.876</v>
      </c>
      <c r="Q117" s="38">
        <f>K117/D117*2</f>
        <v/>
      </c>
      <c r="R117" s="38">
        <f>(K117+L117)/D117*2</f>
        <v/>
      </c>
      <c r="S117" s="38">
        <f>soy_crush!R117-'NOPA US Crush'!E543</f>
        <v/>
      </c>
      <c r="T117" s="36">
        <f>S117/R117</f>
        <v/>
      </c>
      <c r="V117" s="51" t="n">
        <v>2201.349</v>
      </c>
      <c r="W117" s="51" t="n">
        <v>189.688</v>
      </c>
      <c r="X117" s="51" t="n">
        <v>1852.027</v>
      </c>
      <c r="Y117" s="51" t="n">
        <v>1807.233</v>
      </c>
      <c r="Z117" s="36">
        <f>1-(Y117/X117)</f>
        <v/>
      </c>
      <c r="AA117" s="51" t="n">
        <v>1819.592</v>
      </c>
      <c r="AB117" s="51" t="n">
        <v>553.649</v>
      </c>
      <c r="AC117" s="51" t="n">
        <v>1265.943</v>
      </c>
      <c r="AD117" s="51" t="n">
        <v>1120.102</v>
      </c>
      <c r="AE117" s="51" t="n">
        <v>697.58</v>
      </c>
      <c r="AF117" s="51" t="n">
        <v>430.756</v>
      </c>
      <c r="AG117" s="51" t="n">
        <v>232.557</v>
      </c>
      <c r="AH117" s="51" t="n"/>
      <c r="AI117" s="51" t="n"/>
      <c r="AJ117" s="38">
        <f>V117/D117</f>
        <v/>
      </c>
      <c r="AK117" s="38" t="n"/>
      <c r="AM117" s="35">
        <f>AJ117+R117</f>
        <v/>
      </c>
    </row>
    <row r="118" ht="15" customFormat="1" customHeight="1" s="37">
      <c r="A118" s="39" t="n">
        <v>45566</v>
      </c>
      <c r="B118" s="34" t="n">
        <v>7.706155004163746</v>
      </c>
      <c r="C118" s="51" t="n">
        <v>6473.504</v>
      </c>
      <c r="D118" s="35">
        <f>C118*33.33/1000</f>
        <v/>
      </c>
      <c r="E118" s="34">
        <f>D118-'NOPA US Crush'!B544</f>
        <v/>
      </c>
      <c r="F118" s="36">
        <f>1-((D118-E118)/D118)</f>
        <v/>
      </c>
      <c r="G118" s="36">
        <f>1-F118</f>
        <v/>
      </c>
      <c r="H118" s="35">
        <f>((A119-A118)*B118)-D118</f>
        <v/>
      </c>
      <c r="I118" s="36">
        <f>1-(H118/((A119-A118)*B118))</f>
        <v/>
      </c>
      <c r="K118" s="51" t="n">
        <v>4771.514</v>
      </c>
      <c r="L118" s="51" t="n">
        <v>317.235</v>
      </c>
      <c r="M118" s="51" t="n">
        <v>4702.505</v>
      </c>
      <c r="N118" s="51" t="n">
        <v>69.009</v>
      </c>
      <c r="O118" s="51" t="n">
        <v>317.235</v>
      </c>
      <c r="P118" s="51" t="n">
        <v>37.78</v>
      </c>
      <c r="Q118" s="38">
        <f>K118/D118*2</f>
        <v/>
      </c>
      <c r="R118" s="38">
        <f>(K118+L118)/D118*2</f>
        <v/>
      </c>
      <c r="S118" s="38">
        <f>soy_crush!R118-'NOPA US Crush'!E544</f>
        <v/>
      </c>
      <c r="T118" s="36">
        <f>S118/R118</f>
        <v/>
      </c>
      <c r="V118" s="51" t="n">
        <v>2543.453</v>
      </c>
      <c r="W118" s="51" t="n">
        <v>201.928</v>
      </c>
      <c r="X118" s="51" t="n">
        <v>2049.414</v>
      </c>
      <c r="Y118" s="51" t="n">
        <v>2005.831</v>
      </c>
      <c r="Z118" s="36">
        <f>1-(Y118/X118)</f>
        <v/>
      </c>
      <c r="AA118" s="51" t="n">
        <v>1964.207</v>
      </c>
      <c r="AB118" s="51" t="n">
        <v>634.926</v>
      </c>
      <c r="AC118" s="51" t="n">
        <v>1329.281</v>
      </c>
      <c r="AD118" s="51" t="n">
        <v>1118.317</v>
      </c>
      <c r="AE118" s="51" t="n">
        <v>698.752</v>
      </c>
      <c r="AF118" s="51" t="n">
        <v>473.806</v>
      </c>
      <c r="AG118" s="51" t="n"/>
      <c r="AH118" s="51" t="n"/>
      <c r="AI118" s="51" t="n"/>
      <c r="AJ118" s="38">
        <f>V118/D118</f>
        <v/>
      </c>
      <c r="AK118" s="38" t="n"/>
      <c r="AM118" s="35">
        <f>AJ118+R118</f>
        <v/>
      </c>
    </row>
    <row r="119" ht="15" customFormat="1" customHeight="1" s="37">
      <c r="A119" s="39" t="n">
        <v>45597</v>
      </c>
      <c r="B119" s="34" t="n">
        <v>7.637559652025755</v>
      </c>
      <c r="C119" s="51" t="n">
        <v>6301.225</v>
      </c>
      <c r="D119" s="35">
        <f>C119*33.33/1000</f>
        <v/>
      </c>
      <c r="E119" s="34">
        <f>D119-'NOPA US Crush'!B545</f>
        <v/>
      </c>
      <c r="F119" s="36">
        <f>1-((D119-E119)/D119)</f>
        <v/>
      </c>
      <c r="G119" s="36">
        <f>1-F119</f>
        <v/>
      </c>
      <c r="H119" s="35">
        <f>((A120-A119)*B119)-D119</f>
        <v/>
      </c>
      <c r="I119" s="36">
        <f>1-(H119/((A120-A119)*B119))</f>
        <v/>
      </c>
      <c r="K119" s="51" t="n">
        <v>4662.626</v>
      </c>
      <c r="L119" s="51" t="n">
        <v>312.185</v>
      </c>
      <c r="M119" s="51" t="n">
        <v>4588.028</v>
      </c>
      <c r="N119" s="51" t="n">
        <v>74.598</v>
      </c>
      <c r="O119" s="51" t="n">
        <v>312.185</v>
      </c>
      <c r="P119" s="51" t="n">
        <v>50.742</v>
      </c>
      <c r="Q119" s="38">
        <f>K119/D119*2</f>
        <v/>
      </c>
      <c r="R119" s="38">
        <f>(K119+L119)/D119*2</f>
        <v/>
      </c>
      <c r="S119" s="38">
        <f>soy_crush!R119-'NOPA US Crush'!E545</f>
        <v/>
      </c>
      <c r="T119" s="36">
        <f>S119/R119</f>
        <v/>
      </c>
      <c r="V119" s="51" t="n">
        <v>2489.941</v>
      </c>
      <c r="W119" s="52">
        <f>X119*AVERAGE(W107/X107,W95/X95,W83/X83,W71/X71,W59/X59)</f>
        <v/>
      </c>
      <c r="X119" s="51" t="n">
        <v>1860.306</v>
      </c>
      <c r="Y119" s="51" t="n">
        <v>1820.151</v>
      </c>
      <c r="Z119" s="36">
        <f>1-(Y119/X119)</f>
        <v/>
      </c>
      <c r="AA119" s="51" t="n">
        <v>1808.472</v>
      </c>
      <c r="AB119" s="51" t="n">
        <v>628.652</v>
      </c>
      <c r="AC119" s="51" t="n">
        <v>1179.82</v>
      </c>
      <c r="AD119" s="51" t="n">
        <v>1137.797</v>
      </c>
      <c r="AE119" s="51" t="n">
        <v>691.721</v>
      </c>
      <c r="AF119" s="51" t="n">
        <v>480.352</v>
      </c>
      <c r="AG119" s="51" t="n">
        <v>256.202</v>
      </c>
      <c r="AH119" s="51" t="n"/>
      <c r="AI119" s="51" t="n"/>
      <c r="AJ119" s="38">
        <f>V119/D119</f>
        <v/>
      </c>
      <c r="AK119" s="38" t="n"/>
      <c r="AM119" s="35">
        <f>AJ119+R119</f>
        <v/>
      </c>
    </row>
    <row r="120" ht="15" customFormat="1" customHeight="1" s="37">
      <c r="A120" s="39" t="n">
        <v>45627</v>
      </c>
      <c r="B120" s="34" t="n">
        <v>7.680599342624352</v>
      </c>
      <c r="C120" s="51" t="n">
        <v>6531.043</v>
      </c>
      <c r="D120" s="35">
        <f>C120*33.33/1000</f>
        <v/>
      </c>
      <c r="E120" s="34">
        <f>D120-'NOPA US Crush'!B546</f>
        <v/>
      </c>
      <c r="F120" s="36">
        <f>1-((D120-E120)/D120)</f>
        <v/>
      </c>
      <c r="G120" s="36">
        <f>1-F120</f>
        <v/>
      </c>
      <c r="H120" s="35">
        <f>((A121-A120)*B120)-D120</f>
        <v/>
      </c>
      <c r="I120" s="36">
        <f>1-(H120/((A121-A120)*B120))</f>
        <v/>
      </c>
      <c r="K120" s="51" t="n">
        <v>4826.261</v>
      </c>
      <c r="L120" s="51" t="n">
        <v>335.883</v>
      </c>
      <c r="M120" s="51" t="n">
        <v>4744.322</v>
      </c>
      <c r="N120" s="51" t="n">
        <v>81.93899999999999</v>
      </c>
      <c r="O120" s="51" t="n">
        <v>335.883</v>
      </c>
      <c r="P120" s="51" t="n">
        <v>41.143</v>
      </c>
      <c r="Q120" s="38">
        <f>K120/D120*2</f>
        <v/>
      </c>
      <c r="R120" s="38">
        <f>(K120+L120)/D120*2</f>
        <v/>
      </c>
      <c r="S120" s="38">
        <f>soy_crush!R120-'NOPA US Crush'!E546</f>
        <v/>
      </c>
      <c r="T120" s="36">
        <f>S120/R120</f>
        <v/>
      </c>
      <c r="V120" s="51" t="n">
        <v>2572.622</v>
      </c>
      <c r="W120" s="52">
        <f>X120*AVERAGE(W108/X108,W96/X96,W84/X84,W72/X72,W60/X60)</f>
        <v/>
      </c>
      <c r="X120" s="51" t="n">
        <v>1970.041</v>
      </c>
      <c r="Y120" s="51" t="n">
        <v>1918.139</v>
      </c>
      <c r="Z120" s="36">
        <f>1-(Y120/X120)</f>
        <v/>
      </c>
      <c r="AA120" s="51" t="n">
        <v>1905.518</v>
      </c>
      <c r="AB120" s="51" t="n">
        <v>679.066</v>
      </c>
      <c r="AC120" s="51" t="n">
        <v>1226.452</v>
      </c>
      <c r="AD120" s="51" t="n">
        <v>1191.559</v>
      </c>
      <c r="AE120" s="51" t="n">
        <v>651.979</v>
      </c>
      <c r="AF120" s="51" t="n">
        <v>495.637</v>
      </c>
      <c r="AG120" s="51" t="n">
        <v>284.446</v>
      </c>
      <c r="AH120" s="51" t="n"/>
      <c r="AI120" s="51" t="n"/>
      <c r="AJ120" s="38">
        <f>V120/D120</f>
        <v/>
      </c>
      <c r="AK120" s="38" t="n"/>
      <c r="AM120" s="35">
        <f>AJ120+R120</f>
        <v/>
      </c>
    </row>
    <row r="121" ht="15" customFormat="1" customHeight="1" s="37">
      <c r="A121" s="39" t="n">
        <v>45658</v>
      </c>
      <c r="B121" s="34" t="n">
        <v>7.612710322865419</v>
      </c>
      <c r="C121" s="51" t="n">
        <v>6376.635</v>
      </c>
      <c r="D121" s="35">
        <f>C121*33.33/1000</f>
        <v/>
      </c>
      <c r="E121" s="34">
        <f>D121-'NOPA US Crush'!B547</f>
        <v/>
      </c>
      <c r="F121" s="36">
        <f>1-((D121-E121)/D121)</f>
        <v/>
      </c>
      <c r="G121" s="36">
        <f>1-F121</f>
        <v/>
      </c>
      <c r="H121" s="35">
        <f>((A122-A121)*B121)-D121</f>
        <v/>
      </c>
      <c r="I121" s="36">
        <f>1-(H121/((A122-A121)*B121))</f>
        <v/>
      </c>
      <c r="K121" s="51" t="n">
        <v>4712.365</v>
      </c>
      <c r="L121" s="51" t="n">
        <v>333.649</v>
      </c>
      <c r="M121" s="51" t="n">
        <v>4634.422</v>
      </c>
      <c r="N121" s="51" t="n">
        <v>77.943</v>
      </c>
      <c r="O121" s="51" t="n">
        <v>426.33</v>
      </c>
      <c r="P121" s="51" t="n">
        <v>35.651</v>
      </c>
      <c r="Q121" s="38">
        <f>K121/D121*2</f>
        <v/>
      </c>
      <c r="R121" s="38">
        <f>(K121+L121)/D121*2</f>
        <v/>
      </c>
      <c r="S121" s="38">
        <f>soy_crush!R121-'NOPA US Crush'!E547</f>
        <v/>
      </c>
      <c r="T121" s="36">
        <f>S121/R121</f>
        <v/>
      </c>
      <c r="V121" s="51" t="n">
        <v>2526.657</v>
      </c>
      <c r="W121" s="51" t="n">
        <v>178.09</v>
      </c>
      <c r="X121" s="51" t="n">
        <v>1766.344</v>
      </c>
      <c r="Y121" s="51" t="n">
        <v>1717.621</v>
      </c>
      <c r="Z121" s="36">
        <f>1-(Y121/X121)</f>
        <v/>
      </c>
      <c r="AA121" s="51" t="n">
        <v>1753.515</v>
      </c>
      <c r="AB121" s="51" t="n">
        <v>544.537</v>
      </c>
      <c r="AC121" s="51" t="n">
        <v>1208.978</v>
      </c>
      <c r="AD121" s="51" t="n">
        <v>1338.07</v>
      </c>
      <c r="AE121" s="51" t="n">
        <v>779.928</v>
      </c>
      <c r="AF121" s="51" t="n">
        <v>478.487</v>
      </c>
      <c r="AG121" s="51" t="n">
        <v>226.108</v>
      </c>
      <c r="AH121" s="51" t="n"/>
      <c r="AI121" s="51" t="n"/>
      <c r="AJ121" s="38">
        <f>V121/D121</f>
        <v/>
      </c>
      <c r="AK121" s="38" t="n"/>
      <c r="AM121" s="35">
        <f>AJ121+R121</f>
        <v/>
      </c>
    </row>
    <row r="122" ht="15" customFormat="1" customHeight="1" s="37">
      <c r="A122" s="39" t="n">
        <v>45689</v>
      </c>
      <c r="B122" s="34" t="n">
        <v>7.541018787051024</v>
      </c>
      <c r="C122" s="51" t="n">
        <v>5687.304</v>
      </c>
      <c r="D122" s="35">
        <f>C122*33.33/1000</f>
        <v/>
      </c>
      <c r="E122" s="34">
        <f>D122-'NOPA US Crush'!B548</f>
        <v/>
      </c>
      <c r="F122" s="36">
        <f>1-((D122-E122)/D122)</f>
        <v/>
      </c>
      <c r="G122" s="36">
        <f>1-F122</f>
        <v/>
      </c>
      <c r="H122" s="35">
        <f>((A123-A122)*B122)-D122</f>
        <v/>
      </c>
      <c r="I122" s="36">
        <f>1-(H122/((A123-A122)*B122))</f>
        <v/>
      </c>
      <c r="K122" s="51" t="n">
        <v>4206.736</v>
      </c>
      <c r="L122" s="51" t="n">
        <v>297.779</v>
      </c>
      <c r="M122" s="51" t="n">
        <v>4131.976</v>
      </c>
      <c r="N122" s="51" t="n">
        <v>74.76000000000001</v>
      </c>
      <c r="O122" s="51" t="n">
        <v>435.851</v>
      </c>
      <c r="P122" s="51" t="n">
        <v>35.88</v>
      </c>
      <c r="Q122" s="38">
        <f>K122/D122*2</f>
        <v/>
      </c>
      <c r="R122" s="38">
        <f>(K122+L122)/D122*2</f>
        <v/>
      </c>
      <c r="S122" s="38">
        <f>soy_crush!R122-'NOPA US Crush'!E548</f>
        <v/>
      </c>
      <c r="T122" s="36">
        <f>S122/R122</f>
        <v/>
      </c>
      <c r="V122" s="51" t="n">
        <v>2245.19</v>
      </c>
      <c r="W122" s="51" t="n">
        <v>173.505</v>
      </c>
      <c r="X122" s="51" t="n">
        <v>1657.516</v>
      </c>
      <c r="Y122" s="51" t="n">
        <v>1612.586</v>
      </c>
      <c r="Z122" s="36">
        <f>1-(Y122/X122)</f>
        <v/>
      </c>
      <c r="AA122" s="51" t="n">
        <v>1635.522</v>
      </c>
      <c r="AB122" s="51" t="n">
        <v>552.333</v>
      </c>
      <c r="AC122" s="51" t="n">
        <v>1083.189</v>
      </c>
      <c r="AD122" s="51" t="n">
        <v>1476.917</v>
      </c>
      <c r="AE122" s="51" t="n">
        <v>833.304</v>
      </c>
      <c r="AF122" s="51" t="n">
        <v>446.699</v>
      </c>
      <c r="AG122" s="51" t="n">
        <v>295.744</v>
      </c>
      <c r="AH122" s="51" t="n"/>
      <c r="AI122" s="51" t="n"/>
      <c r="AJ122" s="38">
        <f>V122/D122</f>
        <v/>
      </c>
      <c r="AK122" s="38" t="n"/>
      <c r="AM122" s="35">
        <f>AJ122+R122</f>
        <v/>
      </c>
    </row>
    <row r="123" ht="15" customFormat="1" customHeight="1" s="37">
      <c r="A123" s="39" t="n">
        <v>45717</v>
      </c>
      <c r="B123" s="34" t="n">
        <v>7.588511845424716</v>
      </c>
      <c r="C123" s="51" t="n">
        <v>6202.642</v>
      </c>
      <c r="D123" s="35">
        <f>C123*33.33/1000</f>
        <v/>
      </c>
      <c r="E123" s="34">
        <f>D123-'NOPA US Crush'!B549</f>
        <v/>
      </c>
      <c r="F123" s="36">
        <f>1-((D123-E123)/D123)</f>
        <v/>
      </c>
      <c r="G123" s="36">
        <f>1-F123</f>
        <v/>
      </c>
      <c r="H123" s="35">
        <f>((A124-A123)*B123)-D123</f>
        <v/>
      </c>
      <c r="I123" s="36">
        <f>1-(H123/((A124-A123)*B123))</f>
        <v/>
      </c>
      <c r="K123" s="51" t="n">
        <v>4608.761</v>
      </c>
      <c r="L123" s="51" t="n">
        <v>312.457</v>
      </c>
      <c r="M123" s="51" t="n">
        <v>4523.852</v>
      </c>
      <c r="N123" s="51" t="n">
        <v>84.90900000000001</v>
      </c>
      <c r="O123" s="51" t="n">
        <v>312.457</v>
      </c>
      <c r="P123" s="51" t="n">
        <v>44.318</v>
      </c>
      <c r="Q123" s="38">
        <f>K123/D123*2</f>
        <v/>
      </c>
      <c r="R123" s="38">
        <f>(K123+L123)/D123*2</f>
        <v/>
      </c>
      <c r="S123" s="38">
        <f>soy_crush!R123-'NOPA US Crush'!E549</f>
        <v/>
      </c>
      <c r="T123" s="36">
        <f>S123/R123</f>
        <v/>
      </c>
      <c r="V123" s="51" t="n">
        <v>2475.207</v>
      </c>
      <c r="W123" s="52">
        <f>X123*AVERAGE(W111/X111,W99/X99,W87/X87,W75/X75,W63/X63)</f>
        <v/>
      </c>
      <c r="X123" s="51" t="n">
        <v>1929.858</v>
      </c>
      <c r="Y123" s="51" t="n">
        <v>1876.913</v>
      </c>
      <c r="Z123" s="36">
        <f>1-(Y123/X123)</f>
        <v/>
      </c>
      <c r="AA123" s="51" t="n">
        <v>1793.221</v>
      </c>
      <c r="AB123" s="51" t="n">
        <v>581.735</v>
      </c>
      <c r="AC123" s="51" t="n">
        <v>1211.486</v>
      </c>
      <c r="AD123" s="51" t="n">
        <v>1551.689</v>
      </c>
      <c r="AE123" s="51" t="n">
        <v>831.814</v>
      </c>
      <c r="AF123" s="51" t="n">
        <v>527.98</v>
      </c>
      <c r="AG123" s="51" t="n"/>
      <c r="AH123" s="51" t="n"/>
      <c r="AI123" s="51" t="n"/>
      <c r="AJ123" s="38">
        <f>V123/D123</f>
        <v/>
      </c>
      <c r="AK123" s="38" t="n"/>
      <c r="AM123" s="35">
        <f>AJ123+R123</f>
        <v/>
      </c>
    </row>
    <row r="124" ht="15" customFormat="1" customHeight="1" s="37">
      <c r="A124" s="39" t="n">
        <v>45748</v>
      </c>
      <c r="B124" s="34" t="n">
        <v>7.591316724211773</v>
      </c>
      <c r="C124" s="51" t="n">
        <v>6071.54</v>
      </c>
      <c r="D124" s="35">
        <f>C124*33.33/1000</f>
        <v/>
      </c>
      <c r="E124" s="34">
        <f>D124-'NOPA US Crush'!B550</f>
        <v/>
      </c>
      <c r="F124" s="36">
        <f>1-((D124-E124)/D124)</f>
        <v/>
      </c>
      <c r="G124" s="36">
        <f>1-F124</f>
        <v/>
      </c>
      <c r="H124" s="35">
        <f>((A125-A124)*B124)-D124</f>
        <v/>
      </c>
      <c r="I124" s="36">
        <f>1-(H124/((A125-A124)*B124))</f>
        <v/>
      </c>
      <c r="K124" s="51" t="n">
        <v>4508.938</v>
      </c>
      <c r="L124" s="51" t="n">
        <v>304.903</v>
      </c>
      <c r="M124" s="51" t="n">
        <v>4433.335</v>
      </c>
      <c r="N124" s="51" t="n">
        <v>75.60299999999999</v>
      </c>
      <c r="O124" s="51" t="n">
        <v>390.343</v>
      </c>
      <c r="P124" s="51" t="n">
        <v>38.58</v>
      </c>
      <c r="Q124" s="38">
        <f>K124/D124*2</f>
        <v/>
      </c>
      <c r="R124" s="38">
        <f>(K124+L124)/D124*2</f>
        <v/>
      </c>
      <c r="S124" s="38">
        <f>soy_crush!R124-'NOPA US Crush'!E550</f>
        <v/>
      </c>
      <c r="T124" s="36">
        <f>S124/R124</f>
        <v/>
      </c>
      <c r="V124" s="51" t="n">
        <v>2402.879</v>
      </c>
      <c r="W124" s="52">
        <f>X124*AVERAGE(W112/X112,W100/X100,W88/X88,W76/X76,W64/X64)</f>
        <v/>
      </c>
      <c r="X124" s="51" t="n">
        <v>1793.564</v>
      </c>
      <c r="Y124" s="51" t="n">
        <v>1745.629</v>
      </c>
      <c r="Z124" s="36">
        <f>1-(Y124/X124)</f>
        <v/>
      </c>
      <c r="AA124" s="51" t="n">
        <v>1816.163</v>
      </c>
      <c r="AB124" s="51" t="n">
        <v>664.5700000000001</v>
      </c>
      <c r="AC124" s="51" t="n">
        <v>1151.593</v>
      </c>
      <c r="AD124" s="51" t="n">
        <v>1527.39</v>
      </c>
      <c r="AE124" s="51" t="n">
        <v>869.563</v>
      </c>
      <c r="AF124" s="51" t="n">
        <v>448.45</v>
      </c>
      <c r="AG124" s="51" t="n">
        <v>289.188</v>
      </c>
      <c r="AH124" s="51" t="n"/>
      <c r="AI124" s="51" t="n"/>
      <c r="AJ124" s="38">
        <f>V124/D124</f>
        <v/>
      </c>
      <c r="AK124" s="38" t="n"/>
      <c r="AM124" s="35">
        <f>AJ124+R124</f>
        <v/>
      </c>
    </row>
    <row r="125" ht="15" customFormat="1" customHeight="1" s="37">
      <c r="A125" s="39" t="n">
        <v>45778</v>
      </c>
      <c r="B125" s="34" t="n">
        <v>7.577804336075644</v>
      </c>
      <c r="C125" s="51" t="n">
        <v>6111.115</v>
      </c>
      <c r="D125" s="35">
        <f>C125*33.33/1000</f>
        <v/>
      </c>
      <c r="E125" s="34">
        <f>D125-'NOPA US Crush'!B551</f>
        <v/>
      </c>
      <c r="F125" s="36">
        <f>1-((D125-E125)/D125)</f>
        <v/>
      </c>
      <c r="G125" s="36">
        <f>1-F125</f>
        <v/>
      </c>
      <c r="H125" s="35">
        <f>((A126-A125)*B125)-D125</f>
        <v/>
      </c>
      <c r="I125" s="36">
        <f>1-(H125/((A126-A125)*B125))</f>
        <v/>
      </c>
      <c r="K125" s="51" t="n">
        <v>4522.401</v>
      </c>
      <c r="L125" s="51" t="n">
        <v>310.209</v>
      </c>
      <c r="M125" s="51" t="n">
        <v>4447.752</v>
      </c>
      <c r="N125" s="51" t="n">
        <v>74.649</v>
      </c>
      <c r="O125" s="51" t="n">
        <v>406.557</v>
      </c>
      <c r="P125" s="51" t="n">
        <v>48.117</v>
      </c>
      <c r="Q125" s="38">
        <f>K125/D125*2</f>
        <v/>
      </c>
      <c r="R125" s="38">
        <f>(K125+L125)/D125*2</f>
        <v/>
      </c>
      <c r="S125" s="38">
        <f>soy_crush!R125-'NOPA US Crush'!E551</f>
        <v/>
      </c>
      <c r="T125" s="36">
        <f>S125/R125</f>
        <v/>
      </c>
      <c r="V125" s="51" t="n">
        <v>2415.507</v>
      </c>
      <c r="W125" s="52">
        <f>X125*AVERAGE(W113/X113,W101/X101,W89/X89,W77/X77,W65/X65)</f>
        <v/>
      </c>
      <c r="X125" s="51" t="n">
        <v>1970.542</v>
      </c>
      <c r="Y125" s="51" t="n">
        <v>1916.602</v>
      </c>
      <c r="Z125" s="36">
        <f>1-(Y125/X125)</f>
        <v/>
      </c>
      <c r="AA125" s="51" t="n">
        <v>1892.949</v>
      </c>
      <c r="AB125" s="51" t="n">
        <v>700.9829999999999</v>
      </c>
      <c r="AC125" s="51" t="n">
        <v>1191.966</v>
      </c>
      <c r="AD125" s="51" t="n">
        <v>1406.376</v>
      </c>
      <c r="AE125" s="51" t="n">
        <v>834.978</v>
      </c>
      <c r="AF125" s="51" t="n">
        <v>469.55</v>
      </c>
      <c r="AG125" s="51" t="n">
        <v>234.966</v>
      </c>
      <c r="AH125" s="51" t="n"/>
      <c r="AI125" s="51" t="n"/>
      <c r="AJ125" s="38">
        <f>V125/D125</f>
        <v/>
      </c>
      <c r="AK125" s="38" t="n"/>
      <c r="AM125" s="35">
        <f>AJ125+R125</f>
        <v/>
      </c>
    </row>
    <row r="126" ht="15" customFormat="1" customHeight="1" s="37">
      <c r="A126" s="39" t="n">
        <v>45809</v>
      </c>
      <c r="B126" s="40" t="n">
        <v>7.57641819220008</v>
      </c>
      <c r="C126" s="51" t="n">
        <v>5907.743</v>
      </c>
      <c r="D126" s="35">
        <f>C126*33.33/1000</f>
        <v/>
      </c>
      <c r="E126" s="34">
        <f>D126-'NOPA US Crush'!B552</f>
        <v/>
      </c>
      <c r="F126" s="36">
        <f>1-((D126-E126)/D126)</f>
        <v/>
      </c>
      <c r="G126" s="36">
        <f>1-F126</f>
        <v/>
      </c>
      <c r="H126" s="35">
        <f>((A127-A126)*B126)-D126</f>
        <v/>
      </c>
      <c r="I126" s="36">
        <f>1-(H126/((A127-A126)*B126))</f>
        <v/>
      </c>
      <c r="K126" s="51" t="n">
        <v>4387.06</v>
      </c>
      <c r="L126" s="51" t="n">
        <v>296.55</v>
      </c>
      <c r="M126" s="51" t="n">
        <v>4314.951</v>
      </c>
      <c r="N126" s="51" t="n">
        <v>72.10899999999999</v>
      </c>
      <c r="O126" s="51" t="n">
        <v>411.601</v>
      </c>
      <c r="P126" s="51" t="n">
        <v>53.172</v>
      </c>
      <c r="Q126" s="38">
        <f>K126/D126*2</f>
        <v/>
      </c>
      <c r="R126" s="38">
        <f>(K126+L126)/D126*2</f>
        <v/>
      </c>
      <c r="S126" s="38">
        <f>soy_crush!R126-'NOPA US Crush'!E552</f>
        <v/>
      </c>
      <c r="T126" s="36">
        <f>S126/R126</f>
        <v/>
      </c>
      <c r="V126" s="51" t="n">
        <v>2349.133</v>
      </c>
      <c r="W126" s="52">
        <f>X126*AVERAGE(W114/X114,W102/X102,W90/X90,W78/X78,W66/X66)</f>
        <v/>
      </c>
      <c r="X126" s="51" t="n">
        <v>1854.788</v>
      </c>
      <c r="Y126" s="51" t="n">
        <v>1803.236</v>
      </c>
      <c r="Z126" s="36">
        <f>1-(Y126/X126)</f>
        <v/>
      </c>
      <c r="AA126" s="51" t="n">
        <v>1780.254</v>
      </c>
      <c r="AB126" s="51" t="n">
        <v>620.486</v>
      </c>
      <c r="AC126" s="51" t="n">
        <v>1159.768</v>
      </c>
      <c r="AD126" s="51" t="n">
        <v>1442.914</v>
      </c>
      <c r="AE126" s="51" t="n">
        <v>849.327</v>
      </c>
      <c r="AF126" s="51" t="n">
        <v>450.988</v>
      </c>
      <c r="AG126" s="51" t="n">
        <v>205.628</v>
      </c>
      <c r="AH126" s="51" t="n"/>
      <c r="AI126" s="51" t="n"/>
      <c r="AJ126" s="38">
        <f>V126/D126</f>
        <v/>
      </c>
      <c r="AK126" s="38" t="n"/>
      <c r="AM126" s="35">
        <f>AJ126+R126</f>
        <v/>
      </c>
    </row>
    <row r="127" ht="15" customFormat="1" customHeight="1" s="37">
      <c r="A127" s="39" t="n">
        <v>45839</v>
      </c>
      <c r="B127" s="40" t="n">
        <v>7.5744667885582</v>
      </c>
      <c r="C127" s="51" t="n">
        <v>6155.209</v>
      </c>
      <c r="D127" s="35">
        <f>C127*33.33/1000</f>
        <v/>
      </c>
      <c r="E127" s="34">
        <f>D127-'NOPA US Crush'!B553</f>
        <v/>
      </c>
      <c r="F127" s="36">
        <f>1-((D127-E127)/D127)</f>
        <v/>
      </c>
      <c r="G127" s="36">
        <f>1-F127</f>
        <v/>
      </c>
      <c r="H127" s="35">
        <f>((A128-A127)*B127)-D127</f>
        <v/>
      </c>
      <c r="I127" s="36">
        <f>1-(H127/((A128-A127)*B127))</f>
        <v/>
      </c>
      <c r="K127" s="51" t="n">
        <v>4556.455</v>
      </c>
      <c r="L127" s="51" t="n">
        <v>306.341</v>
      </c>
      <c r="M127" s="51" t="n">
        <v>4488.655</v>
      </c>
      <c r="N127" s="51" t="n">
        <v>67.8</v>
      </c>
      <c r="O127" s="51" t="n">
        <v>358.523</v>
      </c>
      <c r="P127" s="51" t="n">
        <v>51.704</v>
      </c>
      <c r="Q127" s="38">
        <f>K127/D127*2</f>
        <v/>
      </c>
      <c r="R127" s="38">
        <f>(K127+L127)/D127*2</f>
        <v/>
      </c>
      <c r="S127" s="38">
        <f>soy_crush!R127-'NOPA US Crush'!E553</f>
        <v/>
      </c>
      <c r="T127" s="36">
        <f>S127/R127</f>
        <v/>
      </c>
      <c r="V127" s="51" t="n">
        <v>2436.725</v>
      </c>
      <c r="W127" s="52">
        <f>X127*AVERAGE(W115/X115,W103/X103,W91/X91,W79/X79,W67/X67)</f>
        <v/>
      </c>
      <c r="X127" s="51" t="n">
        <v>1884.846</v>
      </c>
      <c r="Y127" s="51" t="n">
        <v>1833.871</v>
      </c>
      <c r="Z127" s="36">
        <f>1-(Y127/X127)</f>
        <v/>
      </c>
      <c r="AA127" s="51" t="n">
        <v>1868.558</v>
      </c>
      <c r="AB127" s="51" t="n">
        <v>608.532</v>
      </c>
      <c r="AC127" s="51" t="n">
        <v>1260.026</v>
      </c>
      <c r="AD127" s="51" t="n">
        <v>1456.377</v>
      </c>
      <c r="AE127" s="51" t="n">
        <v>870.147</v>
      </c>
      <c r="AF127" s="51" t="n">
        <v>417.821</v>
      </c>
      <c r="AG127" s="51" t="n">
        <v>201.016</v>
      </c>
      <c r="AH127" s="51" t="n"/>
      <c r="AI127" s="51" t="n"/>
      <c r="AJ127" s="38">
        <f>V127/D127</f>
        <v/>
      </c>
      <c r="AK127" s="38" t="n"/>
      <c r="AM127" s="35">
        <f>AJ127+R127</f>
        <v/>
      </c>
    </row>
    <row r="128" ht="15" customFormat="1" customHeight="1" s="37">
      <c r="A128" s="39" t="n">
        <v>45870</v>
      </c>
      <c r="B128" s="40" t="n">
        <v>7.57251538491632</v>
      </c>
      <c r="C128" s="51" t="n">
        <v>5941.05</v>
      </c>
      <c r="D128" s="35">
        <f>C128*33.33/1000</f>
        <v/>
      </c>
      <c r="E128" s="34">
        <f>D128-'NOPA US Crush'!B554</f>
        <v/>
      </c>
      <c r="F128" s="36">
        <f>1-((D128-E128)/D128)</f>
        <v/>
      </c>
      <c r="G128" s="36">
        <f>1-F128</f>
        <v/>
      </c>
      <c r="H128" s="35">
        <f>((A129-A128)*B128)-D128</f>
        <v/>
      </c>
      <c r="I128" s="36">
        <f>1-(H128/((A129-A128)*B128))</f>
        <v/>
      </c>
      <c r="K128" s="51" t="n">
        <v>4411.202</v>
      </c>
      <c r="L128" s="51" t="n">
        <v>301.773</v>
      </c>
      <c r="M128" s="51" t="n">
        <v>4343.587</v>
      </c>
      <c r="N128" s="51" t="n">
        <v>67.61499999999999</v>
      </c>
      <c r="O128" s="51" t="n">
        <v>416.986</v>
      </c>
      <c r="P128" s="51" t="n">
        <v>50.905</v>
      </c>
      <c r="Q128" s="38">
        <f>K128/D128*2</f>
        <v/>
      </c>
      <c r="R128" s="38">
        <f>(K128+L128)/D128*2</f>
        <v/>
      </c>
      <c r="S128" s="38">
        <f>soy_crush!R128-'NOPA US Crush'!E554</f>
        <v/>
      </c>
      <c r="T128" s="36">
        <f>S128/R128</f>
        <v/>
      </c>
      <c r="V128" s="51" t="n">
        <v>2354.546</v>
      </c>
      <c r="W128" s="52">
        <f>X128*AVERAGE(W116/X116,W104/X104,W92/X92,W80/X80,W68/X68)</f>
        <v/>
      </c>
      <c r="X128" s="51" t="n">
        <v>1932.31</v>
      </c>
      <c r="Y128" s="51" t="n">
        <v>1880.368</v>
      </c>
      <c r="Z128" s="36">
        <f>1-(Y128/X128)</f>
        <v/>
      </c>
      <c r="AA128" s="51" t="n">
        <v>1848.062</v>
      </c>
      <c r="AB128" s="51" t="n">
        <v>574.88</v>
      </c>
      <c r="AC128" s="51" t="n">
        <v>1273.182</v>
      </c>
      <c r="AD128" s="51" t="n">
        <v>1336.997</v>
      </c>
      <c r="AE128" s="51" t="n">
        <v>775.782</v>
      </c>
      <c r="AF128" s="51" t="n">
        <v>451.233</v>
      </c>
      <c r="AG128" s="51" t="n">
        <v>202.638</v>
      </c>
      <c r="AH128" s="51" t="n"/>
      <c r="AI128" s="51" t="n"/>
      <c r="AJ128" s="38">
        <f>V128/D128</f>
        <v/>
      </c>
      <c r="AK128" s="38" t="n"/>
      <c r="AM128" s="35">
        <f>AJ128+R128</f>
        <v/>
      </c>
    </row>
    <row r="129" ht="15" customFormat="1" customHeight="1" s="37">
      <c r="A129" s="39" t="n">
        <v>45901</v>
      </c>
      <c r="B129" s="40" t="n">
        <v>7.57056398127444</v>
      </c>
      <c r="C129" s="51" t="n">
        <v>6148.544</v>
      </c>
      <c r="D129" s="35">
        <f>C129*33.33/1000</f>
        <v/>
      </c>
      <c r="E129" s="34">
        <f>D129-'NOPA US Crush'!B555</f>
        <v/>
      </c>
      <c r="F129" s="36">
        <f>1-((D129-E129)/D129)</f>
        <v/>
      </c>
      <c r="G129" s="36">
        <f>1-F129</f>
        <v/>
      </c>
      <c r="H129" s="35">
        <f>((A130-A129)*B129)-D129</f>
        <v/>
      </c>
      <c r="I129" s="36">
        <f>1-(H129/((A130-A129)*B129))</f>
        <v/>
      </c>
      <c r="K129" s="51" t="n">
        <v>4528.163</v>
      </c>
      <c r="L129" s="51" t="n">
        <v>311.811</v>
      </c>
      <c r="M129" s="51" t="n">
        <v>4478.807</v>
      </c>
      <c r="N129" s="51" t="n">
        <v>49.356</v>
      </c>
      <c r="O129" s="51" t="n">
        <v>341.07</v>
      </c>
      <c r="P129" s="51" t="n">
        <v>57.003</v>
      </c>
      <c r="Q129" s="38">
        <f>K129/D129*2</f>
        <v/>
      </c>
      <c r="R129" s="38">
        <f>(K129+L129)/D129*2</f>
        <v/>
      </c>
      <c r="S129" s="38">
        <f>soy_crush!R129-'NOPA US Crush'!E555</f>
        <v/>
      </c>
      <c r="T129" s="36">
        <f>S129/R129</f>
        <v/>
      </c>
      <c r="V129" s="51" t="n">
        <v>2406.039</v>
      </c>
      <c r="W129" s="52">
        <f>X129*AVERAGE(W117/X117,W105/X105,W93/X93,W81/X81,W69/X69)</f>
        <v/>
      </c>
      <c r="X129" s="51" t="n">
        <v>1994.659</v>
      </c>
      <c r="Y129" s="51" t="n">
        <v>1944.785</v>
      </c>
      <c r="Z129" s="36">
        <f>1-(Y129/X129)</f>
        <v/>
      </c>
      <c r="AA129" s="51" t="n">
        <v>1955.715</v>
      </c>
      <c r="AB129" s="51" t="n">
        <v>615.0069999999999</v>
      </c>
      <c r="AC129" s="51" t="n">
        <v>1340.708</v>
      </c>
      <c r="AD129" s="51" t="n">
        <v>1310.116</v>
      </c>
      <c r="AE129" s="51" t="n">
        <v>743.708</v>
      </c>
      <c r="AF129" s="51" t="n">
        <v>436.885</v>
      </c>
      <c r="AG129" s="51" t="n">
        <v>237.698</v>
      </c>
      <c r="AH129" s="51" t="n"/>
      <c r="AI129" s="51" t="n"/>
      <c r="AJ129" s="38">
        <f>V129/D129</f>
        <v/>
      </c>
      <c r="AK129" s="38" t="n"/>
      <c r="AM129" s="35">
        <f>AJ129+R129</f>
        <v/>
      </c>
    </row>
    <row r="130" ht="15" customFormat="1" customHeight="1" s="37">
      <c r="A130" s="39" t="n">
        <v>45931</v>
      </c>
      <c r="B130" s="40" t="n">
        <v>8.25</v>
      </c>
      <c r="C130" s="51" t="n">
        <v>7090.382</v>
      </c>
      <c r="D130" s="35">
        <f>C130*33.33/1000</f>
        <v/>
      </c>
      <c r="E130" s="34">
        <f>D130-'NOPA US Crush'!B556</f>
        <v/>
      </c>
      <c r="F130" s="36">
        <f>1-((D130-E130)/D130)</f>
        <v/>
      </c>
      <c r="G130" s="36">
        <f>1-F130</f>
        <v/>
      </c>
      <c r="H130" s="35">
        <f>((A131-A130)*B130)-D130</f>
        <v/>
      </c>
      <c r="I130" s="36">
        <f>1-(H130/((A131-A130)*B130))</f>
        <v/>
      </c>
      <c r="K130" s="51" t="n">
        <v>5218.441</v>
      </c>
      <c r="L130" s="51" t="n">
        <v>351.959</v>
      </c>
      <c r="M130" s="51" t="n">
        <v>5148.922</v>
      </c>
      <c r="N130" s="51" t="n">
        <v>69.51900000000001</v>
      </c>
      <c r="O130" s="51" t="n">
        <v>345.312</v>
      </c>
      <c r="P130" s="51" t="n">
        <v>48.199</v>
      </c>
      <c r="Q130" s="38">
        <f>K130/D130*2</f>
        <v/>
      </c>
      <c r="R130" s="38">
        <f>(K130+L130)/D130*2</f>
        <v/>
      </c>
      <c r="S130" s="38">
        <f>soy_crush!R130-'NOPA US Crush'!E556</f>
        <v/>
      </c>
      <c r="T130" s="36">
        <f>S130/R130</f>
        <v/>
      </c>
      <c r="V130" s="51" t="n">
        <v>2740.993</v>
      </c>
      <c r="W130" s="52">
        <f>X130*AVERAGE(W118/X118,W106/X106,W94/X94,W82/X82,W70/X70)</f>
        <v/>
      </c>
      <c r="X130" s="51" t="n">
        <v>2135.105</v>
      </c>
      <c r="Y130" s="51" t="n">
        <v>2079.68</v>
      </c>
      <c r="Z130" s="36">
        <f>1-(Y130/X130)</f>
        <v/>
      </c>
      <c r="AA130" s="51" t="n">
        <v>2072.316</v>
      </c>
      <c r="AB130" s="51" t="n">
        <v>686.043</v>
      </c>
      <c r="AC130" s="51" t="n">
        <v>1386.273</v>
      </c>
      <c r="AD130" s="51" t="n">
        <v>1357.635</v>
      </c>
      <c r="AE130" s="51" t="n">
        <v>764.046</v>
      </c>
      <c r="AF130" s="51" t="n">
        <v>428.832</v>
      </c>
      <c r="AG130" s="51" t="n">
        <v>261.997</v>
      </c>
      <c r="AH130" s="51" t="n"/>
      <c r="AI130" s="51" t="n"/>
      <c r="AJ130" s="38">
        <f>V130/D130</f>
        <v/>
      </c>
      <c r="AK130" s="38" t="n"/>
      <c r="AM130" s="35">
        <f>AJ130+R130</f>
        <v/>
      </c>
    </row>
    <row r="131" ht="15" customFormat="1" customHeight="1" s="37">
      <c r="A131" s="39" t="n">
        <v>45962</v>
      </c>
      <c r="B131" s="40" t="n">
        <v>8.1</v>
      </c>
      <c r="C131" s="51" t="n">
        <v>6615.176</v>
      </c>
      <c r="D131" s="35">
        <f>C131*33.33/1000</f>
        <v/>
      </c>
      <c r="E131" s="34">
        <f>D131-'NOPA US Crush'!B557</f>
        <v/>
      </c>
      <c r="F131" s="36">
        <f>1-((D131-E131)/D131)</f>
        <v/>
      </c>
      <c r="G131" s="36">
        <f>1-F131</f>
        <v/>
      </c>
      <c r="H131" s="35">
        <f>((A132-A131)*B131)-D131</f>
        <v/>
      </c>
      <c r="I131" s="36">
        <f>1-(H131/((A132-A131)*B131))</f>
        <v/>
      </c>
      <c r="K131" s="51" t="n">
        <v>4880.779</v>
      </c>
      <c r="L131" s="51" t="n">
        <v>335.622</v>
      </c>
      <c r="M131" s="51" t="n">
        <v>4819.149</v>
      </c>
      <c r="N131" s="51" t="n">
        <v>61.63</v>
      </c>
      <c r="O131" s="51" t="n">
        <v>462.916</v>
      </c>
      <c r="P131" s="51" t="n">
        <v>62.493</v>
      </c>
      <c r="Q131" s="38">
        <f>K131/D131*2</f>
        <v/>
      </c>
      <c r="R131" s="38">
        <f>(K131+L131)/D131*2</f>
        <v/>
      </c>
      <c r="S131" s="38">
        <f>soy_crush!R131-'NOPA US Crush'!E557</f>
        <v/>
      </c>
      <c r="T131" s="36">
        <f>S131/R131</f>
        <v/>
      </c>
      <c r="V131" s="51" t="n">
        <v>2532.284</v>
      </c>
      <c r="W131" s="52">
        <f>X131*AVERAGE(W119/X119,W107/X107,W95/X95,W83/X83,W71/X71)</f>
        <v/>
      </c>
      <c r="X131" s="51" t="n">
        <v>1864.574</v>
      </c>
      <c r="Y131" s="51" t="n">
        <v>1815.204</v>
      </c>
      <c r="Z131" s="36">
        <f>1-(Y131/X131)</f>
        <v/>
      </c>
      <c r="AA131" s="51" t="n">
        <v>1779.33</v>
      </c>
      <c r="AB131" s="51" t="n">
        <v>574.811</v>
      </c>
      <c r="AC131" s="51" t="n">
        <v>1204.519</v>
      </c>
      <c r="AD131" s="51" t="n">
        <v>1487.461</v>
      </c>
      <c r="AE131" s="51" t="n">
        <v>879.067</v>
      </c>
      <c r="AF131" s="51" t="n">
        <v>467.125</v>
      </c>
      <c r="AG131" s="51" t="n">
        <v>281.462</v>
      </c>
      <c r="AH131" s="51" t="n"/>
      <c r="AI131" s="51" t="n"/>
      <c r="AJ131" s="38">
        <f>V131/D131</f>
        <v/>
      </c>
      <c r="AK131" s="38" t="n"/>
      <c r="AM131" s="35">
        <f>AJ131+R131</f>
        <v/>
      </c>
    </row>
    <row r="132" ht="15" customFormat="1" customHeight="1" s="37">
      <c r="A132" s="39" t="n">
        <v>45992</v>
      </c>
      <c r="B132" s="40" t="n">
        <v>8.1</v>
      </c>
      <c r="C132" s="51" t="n">
        <v>6895.963</v>
      </c>
      <c r="D132" s="35">
        <f>C132*33.33/1000</f>
        <v/>
      </c>
      <c r="E132" s="34">
        <f>D132-'NOPA US Crush'!B558</f>
        <v/>
      </c>
      <c r="F132" s="36">
        <f>1-((D132-E132)/D132)</f>
        <v/>
      </c>
      <c r="G132" s="36">
        <f>1-F132</f>
        <v/>
      </c>
      <c r="H132" s="35">
        <f>((A133-A132)*B132)-D132</f>
        <v/>
      </c>
      <c r="I132" s="36">
        <f>1-(H132/((A133-A132)*B132))</f>
        <v/>
      </c>
      <c r="K132" s="51" t="n">
        <v>5107.259</v>
      </c>
      <c r="L132" s="51" t="n">
        <v>355.944</v>
      </c>
      <c r="M132" s="51" t="n">
        <v>5042.555</v>
      </c>
      <c r="N132" s="51" t="n">
        <v>64.70399999999999</v>
      </c>
      <c r="O132" s="51" t="n">
        <v>350.839</v>
      </c>
      <c r="P132" s="51" t="n">
        <v>60.683</v>
      </c>
      <c r="Q132" s="38">
        <f>K132/D132*2</f>
        <v/>
      </c>
      <c r="R132" s="38">
        <f>(K132+L132)/D132*2</f>
        <v/>
      </c>
      <c r="S132" s="38">
        <f>soy_crush!R132-'NOPA US Crush'!E558</f>
        <v/>
      </c>
      <c r="T132" s="36">
        <f>S132/R132</f>
        <v/>
      </c>
      <c r="V132" s="51" t="n">
        <v>2657.399</v>
      </c>
      <c r="W132" s="52">
        <f>X132*AVERAGE(W120/X120,W108/X108,W96/X96,W84/X84,W72/X72)</f>
        <v/>
      </c>
      <c r="X132" s="51" t="n">
        <v>1958.007</v>
      </c>
      <c r="Y132" s="51" t="n">
        <v>1909.997</v>
      </c>
      <c r="Z132" s="36">
        <f>1-(Y132/X132)</f>
        <v/>
      </c>
      <c r="AA132" s="51" t="n">
        <v>1913.712</v>
      </c>
      <c r="AB132" s="51" t="n">
        <v>536.002</v>
      </c>
      <c r="AC132" s="51" t="n">
        <v>1377.71</v>
      </c>
      <c r="AD132" s="51" t="n">
        <v>1714.072</v>
      </c>
      <c r="AE132" s="51" t="n">
        <v>994.386</v>
      </c>
      <c r="AF132" s="51" t="n">
        <v>463.332</v>
      </c>
      <c r="AG132" s="51" t="n">
        <v>317.939</v>
      </c>
      <c r="AH132" s="51" t="n"/>
      <c r="AI132" s="51" t="n"/>
      <c r="AJ132" s="38">
        <f>V132/D132</f>
        <v/>
      </c>
      <c r="AK132" s="38" t="n"/>
      <c r="AM132" s="35">
        <f>AJ132+R132</f>
        <v/>
      </c>
    </row>
    <row r="133" ht="15" customFormat="1" customHeight="1" s="37">
      <c r="A133" s="39" t="n">
        <v>46023</v>
      </c>
      <c r="B133" s="40" t="n">
        <v>8.1</v>
      </c>
      <c r="C133" s="51" t="n">
        <v>6835.755</v>
      </c>
      <c r="D133" s="35">
        <f>C133*33.33/1000</f>
        <v/>
      </c>
      <c r="E133" s="34">
        <f>D133-'NOPA US Crush'!B559</f>
        <v/>
      </c>
      <c r="F133" s="36">
        <f>1-((D133-E133)/D133)</f>
        <v/>
      </c>
      <c r="G133" s="36">
        <f>1-F133</f>
        <v/>
      </c>
      <c r="H133" s="35">
        <f>((A134-A133)*B133)-D133</f>
        <v/>
      </c>
      <c r="I133" s="36">
        <f>1-(H133/((A134-A133)*B133))</f>
        <v/>
      </c>
      <c r="K133" s="51" t="n">
        <v>5059.684</v>
      </c>
      <c r="L133" s="51" t="n">
        <v>359.777</v>
      </c>
      <c r="M133" s="51" t="n">
        <v>4995.283</v>
      </c>
      <c r="N133" s="51" t="n">
        <v>64.401</v>
      </c>
      <c r="O133" s="51" t="n">
        <v>404.769</v>
      </c>
      <c r="P133" s="51" t="n">
        <v>71.623</v>
      </c>
      <c r="Q133" s="38">
        <f>K133/D133*2</f>
        <v/>
      </c>
      <c r="R133" s="38">
        <f>(K133+L133)/D133*2</f>
        <v/>
      </c>
      <c r="S133" s="38">
        <f>soy_crush!R133-'NOPA US Crush'!E559</f>
        <v/>
      </c>
      <c r="T133" s="36">
        <f>S133/R133</f>
        <v/>
      </c>
      <c r="V133" s="51" t="n">
        <v>2625.882</v>
      </c>
      <c r="W133" s="52">
        <f>X133*AVERAGE(W121/X121,W109/X109,W97/X97,W85/X85,W73/X73)</f>
        <v/>
      </c>
      <c r="X133" s="51" t="n">
        <v>1864.656</v>
      </c>
      <c r="Y133" s="51" t="n">
        <v>1817.476</v>
      </c>
      <c r="Z133" s="36">
        <f>1-(Y133/X133)</f>
        <v/>
      </c>
      <c r="AA133" s="51" t="n">
        <v>1778.732</v>
      </c>
      <c r="AB133" s="51" t="n">
        <v>596.905</v>
      </c>
      <c r="AC133" s="51" t="n">
        <v>1181.827</v>
      </c>
      <c r="AD133" s="51" t="n">
        <v>1921.431</v>
      </c>
      <c r="AE133" s="51" t="n">
        <v>1172.396</v>
      </c>
      <c r="AF133" s="51" t="n">
        <v>511.244</v>
      </c>
      <c r="AG133" s="51" t="n">
        <v>318.367</v>
      </c>
      <c r="AH133" s="51" t="n"/>
      <c r="AI133" s="51" t="n"/>
      <c r="AJ133" s="38">
        <f>V133/D133</f>
        <v/>
      </c>
      <c r="AK133" s="38" t="n"/>
      <c r="AM133" s="35">
        <f>AJ133+R133</f>
        <v/>
      </c>
    </row>
    <row r="134" ht="15" customFormat="1" customHeight="1" s="37">
      <c r="A134" s="39" t="n">
        <v>46054</v>
      </c>
      <c r="B134" s="34" t="n"/>
      <c r="C134" s="34" t="n"/>
      <c r="D134" s="34" t="n"/>
      <c r="E134" s="34" t="n"/>
      <c r="F134" s="34" t="n"/>
    </row>
    <row r="135" ht="15" customFormat="1" customHeight="1" s="37">
      <c r="A135" s="39" t="n">
        <v>46082</v>
      </c>
      <c r="B135" s="34" t="n"/>
      <c r="C135" s="34" t="n"/>
      <c r="D135" s="34" t="n"/>
      <c r="E135" s="34" t="n"/>
      <c r="F135" s="34" t="n"/>
    </row>
    <row r="136" ht="15" customFormat="1" customHeight="1" s="37">
      <c r="A136" s="39" t="n">
        <v>46113</v>
      </c>
      <c r="B136" s="34" t="n"/>
      <c r="C136" s="34" t="n"/>
      <c r="D136" s="34" t="n"/>
      <c r="E136" s="34" t="n"/>
      <c r="F136" s="34" t="n"/>
    </row>
    <row r="137" ht="15" customFormat="1" customHeight="1" s="37">
      <c r="A137" s="39" t="n">
        <v>46143</v>
      </c>
      <c r="B137" s="34" t="n"/>
      <c r="C137" s="34" t="n"/>
      <c r="D137" s="34" t="n"/>
      <c r="E137" s="34" t="n"/>
      <c r="F137" s="34" t="n"/>
    </row>
    <row r="138" ht="15" customFormat="1" customHeight="1" s="37">
      <c r="A138" s="39" t="n">
        <v>46174</v>
      </c>
      <c r="B138" s="34" t="n"/>
      <c r="C138" s="34" t="n"/>
      <c r="D138" s="34" t="n"/>
      <c r="E138" s="34" t="n"/>
      <c r="F138" s="34" t="n"/>
    </row>
    <row r="139" ht="15" customFormat="1" customHeight="1" s="37">
      <c r="A139" s="39" t="n">
        <v>46204</v>
      </c>
      <c r="B139" s="34" t="n"/>
      <c r="C139" s="34" t="n"/>
      <c r="D139" s="34" t="n"/>
      <c r="E139" s="34" t="n"/>
      <c r="F139" s="34" t="n"/>
    </row>
    <row r="140" ht="15" customFormat="1" customHeight="1" s="37">
      <c r="A140" s="39" t="n">
        <v>46235</v>
      </c>
      <c r="B140" s="34" t="n"/>
      <c r="C140" s="34" t="n"/>
      <c r="D140" s="34" t="n"/>
      <c r="E140" s="34" t="n"/>
      <c r="F140" s="34" t="n"/>
    </row>
    <row r="141" ht="15" customFormat="1" customHeight="1" s="37">
      <c r="A141" s="39" t="n">
        <v>46266</v>
      </c>
      <c r="B141" s="34" t="n"/>
      <c r="C141" s="34" t="n"/>
      <c r="D141" s="34" t="n"/>
      <c r="E141" s="34" t="n"/>
      <c r="F141" s="34" t="n"/>
    </row>
    <row r="142" ht="15" customFormat="1" customHeight="1" s="37">
      <c r="A142" s="39" t="n">
        <v>46296</v>
      </c>
      <c r="B142" s="34" t="n"/>
      <c r="C142" s="34" t="n"/>
      <c r="D142" s="34" t="n"/>
      <c r="E142" s="34" t="n"/>
      <c r="F142" s="34" t="n"/>
    </row>
    <row r="143" ht="15" customFormat="1" customHeight="1" s="37">
      <c r="A143" s="39" t="n">
        <v>46327</v>
      </c>
      <c r="B143" s="34" t="n"/>
      <c r="C143" s="34" t="n"/>
      <c r="D143" s="34" t="n"/>
      <c r="E143" s="34" t="n"/>
      <c r="F143" s="34" t="n"/>
    </row>
    <row r="144" ht="15" customFormat="1" customHeight="1" s="37">
      <c r="A144" s="39" t="n">
        <v>46357</v>
      </c>
      <c r="B144" s="34" t="n"/>
      <c r="C144" s="34" t="n"/>
      <c r="D144" s="34" t="n"/>
      <c r="E144" s="34" t="n"/>
      <c r="F144" s="34" t="n"/>
    </row>
  </sheetData>
  <mergeCells count="1">
    <mergeCell ref="C3:D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FN144"/>
  <sheetViews>
    <sheetView zoomScaleNormal="100" workbookViewId="0">
      <pane xSplit="1" ySplit="4" topLeftCell="B125" activePane="bottomRight" state="frozen"/>
      <selection pane="topRight" activeCell="B1" sqref="B1"/>
      <selection pane="bottomLeft" activeCell="A5" sqref="A5"/>
      <selection pane="bottomRight" activeCell="A3" sqref="A3:XFD4"/>
    </sheetView>
  </sheetViews>
  <sheetFormatPr baseColWidth="8" defaultRowHeight="24"/>
  <cols>
    <col width="9.140625" customWidth="1" style="20" min="1" max="1"/>
    <col width="12.140625" customWidth="1" style="31" min="2" max="3"/>
    <col width="12.140625" customWidth="1" style="20" min="4" max="5"/>
    <col width="2.85546875" customWidth="1" style="20" min="6" max="6"/>
    <col width="12.140625" customWidth="1" style="19" min="7" max="9"/>
    <col width="2.85546875" customWidth="1" style="19" min="10" max="10"/>
    <col width="12.140625" customWidth="1" style="19" min="11" max="18"/>
    <col width="2.85546875" customWidth="1" style="19" min="19" max="19"/>
    <col width="12.140625" customWidth="1" style="19" min="20" max="170"/>
    <col width="9.140625" customWidth="1" style="20" min="171" max="176"/>
    <col width="9.140625" customWidth="1" style="20" min="177" max="16384"/>
  </cols>
  <sheetData>
    <row r="1" ht="15.75" customHeight="1">
      <c r="A1" s="16" t="inlineStr">
        <is>
          <t>CANOLA/RAPESEED COMPLEX</t>
        </is>
      </c>
      <c r="B1" s="17" t="n"/>
      <c r="C1" s="17" t="n"/>
      <c r="D1" s="17" t="n"/>
      <c r="E1" s="17" t="n"/>
      <c r="F1" s="17" t="n"/>
      <c r="G1" s="18" t="n"/>
      <c r="H1" s="18" t="n"/>
      <c r="I1" s="18" t="n"/>
      <c r="J1" s="18" t="n"/>
      <c r="K1" s="18" t="n"/>
      <c r="L1" s="18" t="n"/>
      <c r="M1" s="18" t="n"/>
      <c r="N1" s="18" t="n"/>
      <c r="O1" s="18" t="n"/>
      <c r="P1" s="18" t="n"/>
      <c r="Q1" s="18" t="n"/>
      <c r="R1" s="18" t="n"/>
    </row>
    <row r="2">
      <c r="A2" s="21" t="inlineStr">
        <is>
          <t>MONTHLY US CANOLA CRUSHING</t>
        </is>
      </c>
      <c r="B2" s="17" t="n"/>
      <c r="C2" s="17" t="n"/>
      <c r="D2" s="17" t="n"/>
      <c r="E2" s="17" t="n"/>
      <c r="F2" s="17" t="n"/>
      <c r="G2" s="18" t="n"/>
      <c r="H2" s="18" t="n"/>
      <c r="I2" s="18" t="n"/>
      <c r="J2" s="18" t="n"/>
      <c r="K2" s="18" t="n"/>
      <c r="L2" s="18" t="n"/>
      <c r="M2" s="18" t="n"/>
      <c r="N2" s="18" t="n"/>
      <c r="O2" s="18" t="n"/>
      <c r="P2" s="18" t="n"/>
      <c r="Q2" s="18" t="n"/>
      <c r="R2" s="18" t="n"/>
    </row>
    <row r="3" ht="67.5" customFormat="1" customHeight="1" s="65">
      <c r="A3" s="22" t="n"/>
      <c r="B3" s="41" t="inlineStr">
        <is>
          <t>Capacity</t>
        </is>
      </c>
      <c r="C3" s="42" t="inlineStr">
        <is>
          <t>Seeds Crushed</t>
        </is>
      </c>
      <c r="D3" s="41" t="inlineStr">
        <is>
          <t>Unused Capacity</t>
        </is>
      </c>
      <c r="E3" s="41" t="inlineStr">
        <is>
          <t>Capacity Utilization</t>
        </is>
      </c>
      <c r="F3" s="23" t="n"/>
      <c r="G3" s="41" t="inlineStr">
        <is>
          <t>Cake and Meal Produced</t>
        </is>
      </c>
      <c r="H3" s="41" t="inlineStr">
        <is>
          <t>Cake and Meal on Hand (End of Month)</t>
        </is>
      </c>
      <c r="I3" s="41" t="inlineStr">
        <is>
          <t>Meal Yield</t>
        </is>
      </c>
      <c r="J3" s="23" t="n"/>
      <c r="K3" s="41" t="inlineStr">
        <is>
          <t>Crude Oil Produced</t>
        </is>
      </c>
      <c r="L3" s="41" t="inlineStr">
        <is>
          <t>Crude Processed in Refining</t>
        </is>
      </c>
      <c r="M3" s="41" t="inlineStr">
        <is>
          <t>Once Refined Oil Produced</t>
        </is>
      </c>
      <c r="N3" s="41" t="inlineStr">
        <is>
          <t>Refining Loss</t>
        </is>
      </c>
      <c r="O3" s="41" t="inlineStr">
        <is>
          <t>Once Refined Oil Removed for Use in Processing</t>
        </is>
      </c>
      <c r="P3" s="41" t="inlineStr">
        <is>
          <t>Crude Oil on Hand (End of Month)</t>
        </is>
      </c>
      <c r="Q3" s="41" t="inlineStr">
        <is>
          <t>Refined Oil on Hand (End of Month)</t>
        </is>
      </c>
      <c r="R3" s="41" t="inlineStr">
        <is>
          <t>Oil Yield</t>
        </is>
      </c>
      <c r="S3" s="24" t="n"/>
      <c r="T3" s="24" t="n"/>
      <c r="U3" s="24" t="n"/>
      <c r="V3" s="24" t="n"/>
      <c r="W3" s="24" t="n"/>
      <c r="X3" s="24" t="n"/>
      <c r="Y3" s="24" t="n"/>
      <c r="Z3" s="24" t="n"/>
      <c r="AA3" s="24" t="n"/>
      <c r="AB3" s="24" t="n"/>
      <c r="AC3" s="24" t="n"/>
      <c r="AD3" s="24" t="n"/>
      <c r="AE3" s="24" t="n"/>
      <c r="AF3" s="24" t="n"/>
      <c r="AG3" s="24" t="n"/>
      <c r="AH3" s="24" t="n"/>
      <c r="AI3" s="24" t="n"/>
      <c r="AJ3" s="24" t="n"/>
      <c r="AK3" s="24" t="n"/>
      <c r="AL3" s="24" t="n"/>
      <c r="AM3" s="24" t="n"/>
      <c r="AN3" s="24" t="n"/>
      <c r="AO3" s="24" t="n"/>
      <c r="AP3" s="24" t="n"/>
      <c r="AQ3" s="24" t="n"/>
      <c r="AR3" s="24" t="n"/>
      <c r="AS3" s="24" t="n"/>
      <c r="AT3" s="24" t="n"/>
      <c r="AU3" s="24" t="n"/>
      <c r="AV3" s="24" t="n"/>
      <c r="AW3" s="24" t="n"/>
      <c r="AX3" s="24" t="n"/>
      <c r="AY3" s="24" t="n"/>
      <c r="AZ3" s="24" t="n"/>
      <c r="BA3" s="24" t="n"/>
      <c r="BB3" s="24" t="n"/>
      <c r="BC3" s="24" t="n"/>
      <c r="BD3" s="24" t="n"/>
      <c r="BE3" s="24" t="n"/>
      <c r="BF3" s="24" t="n"/>
      <c r="BG3" s="24" t="n"/>
      <c r="BH3" s="24" t="n"/>
      <c r="BI3" s="24" t="n"/>
      <c r="BJ3" s="24" t="n"/>
      <c r="BK3" s="24" t="n"/>
      <c r="BL3" s="24" t="n"/>
      <c r="BM3" s="24" t="n"/>
      <c r="BN3" s="24" t="n"/>
      <c r="BO3" s="24" t="n"/>
      <c r="BP3" s="24" t="n"/>
      <c r="BQ3" s="24" t="n"/>
      <c r="BR3" s="24" t="n"/>
      <c r="BS3" s="24" t="n"/>
      <c r="BT3" s="24" t="n"/>
      <c r="BU3" s="24" t="n"/>
      <c r="BV3" s="24" t="n"/>
      <c r="BW3" s="24" t="n"/>
      <c r="BX3" s="24" t="n"/>
      <c r="BY3" s="24" t="n"/>
      <c r="BZ3" s="24" t="n"/>
      <c r="CA3" s="24" t="n"/>
      <c r="CB3" s="24" t="n"/>
      <c r="CC3" s="24" t="n"/>
      <c r="CD3" s="24" t="n"/>
      <c r="CE3" s="24" t="n"/>
      <c r="CF3" s="24" t="n"/>
      <c r="CG3" s="24" t="n"/>
      <c r="CH3" s="24" t="n"/>
      <c r="CI3" s="24" t="n"/>
      <c r="CJ3" s="24" t="n"/>
      <c r="CK3" s="24" t="n"/>
      <c r="CL3" s="24" t="n"/>
      <c r="CM3" s="24" t="n"/>
      <c r="CN3" s="24" t="n"/>
      <c r="CO3" s="24" t="n"/>
      <c r="CP3" s="24" t="n"/>
      <c r="CQ3" s="24" t="n"/>
      <c r="CR3" s="24" t="n"/>
      <c r="CS3" s="24" t="n"/>
      <c r="CT3" s="24" t="n"/>
      <c r="CU3" s="24" t="n"/>
      <c r="CV3" s="24" t="n"/>
      <c r="CW3" s="24" t="n"/>
      <c r="CX3" s="24" t="n"/>
      <c r="CY3" s="24" t="n"/>
      <c r="CZ3" s="24" t="n"/>
      <c r="DA3" s="24" t="n"/>
      <c r="DB3" s="24" t="n"/>
      <c r="DC3" s="24" t="n"/>
      <c r="DD3" s="24" t="n"/>
      <c r="DE3" s="24" t="n"/>
      <c r="DF3" s="24" t="n"/>
      <c r="DG3" s="24" t="n"/>
      <c r="DH3" s="24" t="n"/>
      <c r="DI3" s="24" t="n"/>
      <c r="DJ3" s="24" t="n"/>
      <c r="DK3" s="24" t="n"/>
      <c r="DL3" s="24" t="n"/>
      <c r="DM3" s="24" t="n"/>
      <c r="DN3" s="24" t="n"/>
      <c r="DO3" s="24" t="n"/>
      <c r="DP3" s="24" t="n"/>
      <c r="DQ3" s="24" t="n"/>
      <c r="DR3" s="24" t="n"/>
      <c r="DS3" s="24" t="n"/>
      <c r="DT3" s="24" t="n"/>
      <c r="DU3" s="24" t="n"/>
      <c r="DV3" s="24" t="n"/>
      <c r="DW3" s="24" t="n"/>
      <c r="DX3" s="24" t="n"/>
      <c r="DY3" s="24" t="n"/>
      <c r="DZ3" s="24" t="n"/>
      <c r="EA3" s="24" t="n"/>
      <c r="EB3" s="24" t="n"/>
      <c r="EC3" s="24" t="n"/>
      <c r="ED3" s="24" t="n"/>
      <c r="EE3" s="24" t="n"/>
      <c r="EF3" s="24" t="n"/>
      <c r="EG3" s="24" t="n"/>
      <c r="EH3" s="24" t="n"/>
      <c r="EI3" s="24" t="n"/>
      <c r="EJ3" s="24" t="n"/>
      <c r="EK3" s="24" t="n"/>
      <c r="EL3" s="24" t="n"/>
      <c r="EM3" s="24" t="n"/>
      <c r="EN3" s="24" t="n"/>
      <c r="EO3" s="24" t="n"/>
      <c r="EP3" s="24" t="n"/>
      <c r="EQ3" s="24" t="n"/>
      <c r="ER3" s="24" t="n"/>
      <c r="ES3" s="24" t="n"/>
      <c r="ET3" s="24" t="n"/>
      <c r="EU3" s="24" t="n"/>
      <c r="EV3" s="24" t="n"/>
      <c r="EW3" s="24" t="n"/>
      <c r="EX3" s="24" t="n"/>
      <c r="EY3" s="24" t="n"/>
      <c r="EZ3" s="24" t="n"/>
      <c r="FA3" s="24" t="n"/>
      <c r="FB3" s="24" t="n"/>
      <c r="FC3" s="24" t="n"/>
      <c r="FD3" s="24" t="n"/>
      <c r="FE3" s="24" t="n"/>
      <c r="FF3" s="24" t="n"/>
      <c r="FG3" s="24" t="n"/>
      <c r="FH3" s="24" t="n"/>
      <c r="FI3" s="24" t="n"/>
      <c r="FJ3" s="24" t="n"/>
      <c r="FK3" s="24" t="n"/>
      <c r="FL3" s="24" t="n"/>
      <c r="FM3" s="24" t="n"/>
      <c r="FN3" s="24" t="n"/>
    </row>
    <row r="4" customFormat="1" s="30">
      <c r="A4" s="26" t="n"/>
      <c r="B4" s="26" t="inlineStr">
        <is>
          <t>tons/day</t>
        </is>
      </c>
      <c r="C4" s="26" t="inlineStr">
        <is>
          <t>mil lbs</t>
        </is>
      </c>
      <c r="D4" s="26" t="inlineStr">
        <is>
          <t>000 tons</t>
        </is>
      </c>
      <c r="E4" s="26" t="inlineStr">
        <is>
          <t>%</t>
        </is>
      </c>
      <c r="F4" s="27" t="n"/>
      <c r="G4" s="28" t="inlineStr">
        <is>
          <t>000 tons</t>
        </is>
      </c>
      <c r="H4" s="28" t="inlineStr">
        <is>
          <t>000 tons</t>
        </is>
      </c>
      <c r="I4" s="28" t="inlineStr">
        <is>
          <t>%</t>
        </is>
      </c>
      <c r="J4" s="29" t="n"/>
      <c r="K4" s="28" t="inlineStr">
        <is>
          <t>mil lbs</t>
        </is>
      </c>
      <c r="L4" s="28" t="inlineStr">
        <is>
          <t>mil lbs</t>
        </is>
      </c>
      <c r="M4" s="28" t="inlineStr">
        <is>
          <t>mil lbs</t>
        </is>
      </c>
      <c r="N4" s="28" t="inlineStr">
        <is>
          <t>%</t>
        </is>
      </c>
      <c r="O4" s="28" t="inlineStr">
        <is>
          <t>mil lbs</t>
        </is>
      </c>
      <c r="P4" s="28" t="inlineStr">
        <is>
          <t>mil lbs</t>
        </is>
      </c>
      <c r="Q4" s="28" t="inlineStr">
        <is>
          <t>mil lbs</t>
        </is>
      </c>
      <c r="R4" s="28" t="inlineStr">
        <is>
          <t>%</t>
        </is>
      </c>
      <c r="S4" s="19" t="n"/>
      <c r="T4" s="19" t="n"/>
      <c r="U4" s="19" t="n"/>
      <c r="V4" s="19" t="n"/>
      <c r="W4" s="19" t="n"/>
      <c r="X4" s="19" t="n"/>
      <c r="Y4" s="19" t="n"/>
      <c r="Z4" s="19" t="n"/>
      <c r="AA4" s="19" t="n"/>
      <c r="AB4" s="19" t="n"/>
      <c r="AC4" s="19" t="n"/>
      <c r="AD4" s="19" t="n"/>
      <c r="AE4" s="19" t="n"/>
      <c r="AF4" s="19" t="n"/>
      <c r="AG4" s="19" t="n"/>
      <c r="AH4" s="19" t="n"/>
      <c r="AI4" s="19" t="n"/>
      <c r="AJ4" s="19" t="n"/>
      <c r="AK4" s="19" t="n"/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9" t="n"/>
      <c r="BK4" s="19" t="n"/>
      <c r="BL4" s="19" t="n"/>
      <c r="BM4" s="19" t="n"/>
      <c r="BN4" s="19" t="n"/>
      <c r="BO4" s="19" t="n"/>
      <c r="BP4" s="19" t="n"/>
      <c r="BQ4" s="19" t="n"/>
      <c r="BR4" s="19" t="n"/>
      <c r="BS4" s="19" t="n"/>
      <c r="BT4" s="19" t="n"/>
      <c r="BU4" s="19" t="n"/>
      <c r="BV4" s="19" t="n"/>
      <c r="BW4" s="19" t="n"/>
      <c r="BX4" s="19" t="n"/>
      <c r="BY4" s="19" t="n"/>
      <c r="BZ4" s="19" t="n"/>
      <c r="CA4" s="19" t="n"/>
      <c r="CB4" s="19" t="n"/>
      <c r="CC4" s="19" t="n"/>
      <c r="CD4" s="19" t="n"/>
      <c r="CE4" s="19" t="n"/>
      <c r="CF4" s="19" t="n"/>
      <c r="CG4" s="19" t="n"/>
      <c r="CH4" s="19" t="n"/>
      <c r="CI4" s="19" t="n"/>
      <c r="CJ4" s="19" t="n"/>
      <c r="CK4" s="19" t="n"/>
      <c r="CL4" s="19" t="n"/>
      <c r="CM4" s="19" t="n"/>
      <c r="CN4" s="19" t="n"/>
      <c r="CO4" s="19" t="n"/>
      <c r="CP4" s="19" t="n"/>
      <c r="CQ4" s="19" t="n"/>
      <c r="CR4" s="19" t="n"/>
      <c r="CS4" s="19" t="n"/>
      <c r="CT4" s="19" t="n"/>
      <c r="CU4" s="19" t="n"/>
      <c r="CV4" s="19" t="n"/>
      <c r="CW4" s="19" t="n"/>
      <c r="CX4" s="19" t="n"/>
      <c r="CY4" s="19" t="n"/>
      <c r="CZ4" s="19" t="n"/>
      <c r="DA4" s="19" t="n"/>
      <c r="DB4" s="19" t="n"/>
      <c r="DC4" s="19" t="n"/>
      <c r="DD4" s="19" t="n"/>
      <c r="DE4" s="19" t="n"/>
      <c r="DF4" s="19" t="n"/>
      <c r="DG4" s="19" t="n"/>
      <c r="DH4" s="19" t="n"/>
      <c r="DI4" s="19" t="n"/>
      <c r="DJ4" s="19" t="n"/>
      <c r="DK4" s="19" t="n"/>
      <c r="DL4" s="19" t="n"/>
      <c r="DM4" s="19" t="n"/>
      <c r="DN4" s="19" t="n"/>
      <c r="DO4" s="19" t="n"/>
      <c r="DP4" s="19" t="n"/>
      <c r="DQ4" s="19" t="n"/>
      <c r="DR4" s="19" t="n"/>
      <c r="DS4" s="19" t="n"/>
      <c r="DT4" s="19" t="n"/>
      <c r="DU4" s="19" t="n"/>
      <c r="DV4" s="19" t="n"/>
      <c r="DW4" s="19" t="n"/>
      <c r="DX4" s="19" t="n"/>
      <c r="DY4" s="19" t="n"/>
      <c r="DZ4" s="19" t="n"/>
      <c r="EA4" s="19" t="n"/>
      <c r="EB4" s="19" t="n"/>
      <c r="EC4" s="19" t="n"/>
      <c r="ED4" s="19" t="n"/>
      <c r="EE4" s="19" t="n"/>
      <c r="EF4" s="19" t="n"/>
      <c r="EG4" s="19" t="n"/>
      <c r="EH4" s="19" t="n"/>
      <c r="EI4" s="19" t="n"/>
      <c r="EJ4" s="19" t="n"/>
      <c r="EK4" s="19" t="n"/>
      <c r="EL4" s="19" t="n"/>
      <c r="EM4" s="19" t="n"/>
      <c r="EN4" s="19" t="n"/>
      <c r="EO4" s="19" t="n"/>
      <c r="EP4" s="19" t="n"/>
      <c r="EQ4" s="19" t="n"/>
      <c r="ER4" s="19" t="n"/>
      <c r="ES4" s="19" t="n"/>
      <c r="ET4" s="19" t="n"/>
      <c r="EU4" s="19" t="n"/>
      <c r="EV4" s="19" t="n"/>
      <c r="EW4" s="19" t="n"/>
      <c r="EX4" s="19" t="n"/>
      <c r="EY4" s="19" t="n"/>
      <c r="EZ4" s="19" t="n"/>
      <c r="FA4" s="19" t="n"/>
      <c r="FB4" s="19" t="n"/>
      <c r="FC4" s="19" t="n"/>
      <c r="FD4" s="19" t="n"/>
      <c r="FE4" s="19" t="n"/>
      <c r="FF4" s="19" t="n"/>
      <c r="FG4" s="19" t="n"/>
      <c r="FH4" s="19" t="n"/>
      <c r="FI4" s="19" t="n"/>
      <c r="FJ4" s="19" t="n"/>
      <c r="FK4" s="19" t="n"/>
      <c r="FL4" s="19" t="n"/>
      <c r="FM4" s="19" t="n"/>
      <c r="FN4" s="19" t="n"/>
    </row>
    <row r="5" ht="15" customFormat="1" customHeight="1" s="50">
      <c r="A5" s="49" t="n">
        <v>42125</v>
      </c>
      <c r="B5" s="43" t="n"/>
      <c r="C5" s="43" t="n">
        <v>114.135</v>
      </c>
      <c r="D5" s="44" t="n"/>
      <c r="E5" s="45" t="n"/>
      <c r="F5" s="46" t="n"/>
      <c r="G5" s="43" t="n">
        <v>65.60599999999999</v>
      </c>
      <c r="H5" s="43" t="n">
        <v>36</v>
      </c>
      <c r="I5" s="47">
        <f>G5/C5</f>
        <v/>
      </c>
      <c r="J5" s="46" t="n"/>
      <c r="K5" s="46" t="n">
        <v>96.026</v>
      </c>
      <c r="L5" s="46" t="n">
        <v>141.22</v>
      </c>
      <c r="M5" s="46" t="n">
        <v>137.706</v>
      </c>
      <c r="N5" s="45">
        <f>1-(M5/L5)</f>
        <v/>
      </c>
      <c r="O5" s="46" t="n">
        <v>133.378</v>
      </c>
      <c r="P5" s="46" t="n">
        <v>70.155</v>
      </c>
      <c r="Q5" s="46" t="n">
        <v>66.066</v>
      </c>
      <c r="R5" s="47">
        <f>K5/2/C5</f>
        <v/>
      </c>
      <c r="S5" s="46" t="n"/>
      <c r="T5" s="45">
        <f>R5+I5</f>
        <v/>
      </c>
      <c r="U5" s="46" t="n"/>
      <c r="V5" s="46" t="n"/>
      <c r="W5" s="46" t="n"/>
      <c r="X5" s="46" t="n"/>
      <c r="Y5" s="46" t="n"/>
      <c r="Z5" s="46" t="n"/>
      <c r="AA5" s="46" t="n"/>
      <c r="AB5" s="46" t="n"/>
      <c r="AC5" s="46" t="n"/>
      <c r="AD5" s="46" t="n"/>
      <c r="AE5" s="46" t="n"/>
      <c r="AF5" s="46" t="n"/>
      <c r="AG5" s="46" t="n"/>
      <c r="AH5" s="46" t="n"/>
      <c r="AI5" s="46" t="n"/>
      <c r="AJ5" s="46" t="n"/>
      <c r="AK5" s="46" t="n"/>
      <c r="AL5" s="46" t="n"/>
      <c r="AM5" s="46" t="n"/>
      <c r="AN5" s="46" t="n"/>
      <c r="AO5" s="46" t="n"/>
      <c r="AP5" s="46" t="n"/>
      <c r="AQ5" s="46" t="n"/>
      <c r="AR5" s="46" t="n"/>
      <c r="AS5" s="46" t="n"/>
      <c r="AT5" s="46" t="n"/>
      <c r="AU5" s="46" t="n"/>
      <c r="AV5" s="46" t="n"/>
      <c r="AW5" s="46" t="n"/>
      <c r="AX5" s="46" t="n"/>
      <c r="AY5" s="46" t="n"/>
      <c r="AZ5" s="46" t="n"/>
      <c r="BA5" s="46" t="n"/>
      <c r="BB5" s="46" t="n"/>
      <c r="BC5" s="46" t="n"/>
      <c r="BD5" s="46" t="n"/>
      <c r="BE5" s="46" t="n"/>
      <c r="BF5" s="46" t="n"/>
      <c r="BG5" s="46" t="n"/>
      <c r="BH5" s="46" t="n"/>
      <c r="BI5" s="46" t="n"/>
      <c r="BJ5" s="46" t="n"/>
      <c r="BK5" s="46" t="n"/>
      <c r="BL5" s="46" t="n"/>
      <c r="BM5" s="46" t="n"/>
      <c r="BN5" s="46" t="n"/>
      <c r="BO5" s="46" t="n"/>
      <c r="BP5" s="46" t="n"/>
      <c r="BQ5" s="46" t="n"/>
      <c r="BR5" s="46" t="n"/>
      <c r="BS5" s="46" t="n"/>
      <c r="BT5" s="46" t="n"/>
      <c r="BU5" s="46" t="n"/>
      <c r="BV5" s="46" t="n"/>
      <c r="BW5" s="46" t="n"/>
      <c r="BX5" s="46" t="n"/>
      <c r="BY5" s="46" t="n"/>
      <c r="BZ5" s="46" t="n"/>
      <c r="CA5" s="46" t="n"/>
      <c r="CB5" s="46" t="n"/>
      <c r="CC5" s="46" t="n"/>
      <c r="CD5" s="46" t="n"/>
      <c r="CE5" s="46" t="n"/>
      <c r="CF5" s="46" t="n"/>
      <c r="CG5" s="46" t="n"/>
      <c r="CH5" s="46" t="n"/>
      <c r="CI5" s="46" t="n"/>
      <c r="CJ5" s="46" t="n"/>
      <c r="CK5" s="46" t="n"/>
      <c r="CL5" s="46" t="n"/>
      <c r="CM5" s="46" t="n"/>
      <c r="CN5" s="46" t="n"/>
      <c r="CO5" s="46" t="n"/>
      <c r="CP5" s="46" t="n"/>
      <c r="CQ5" s="46" t="n"/>
      <c r="CR5" s="46" t="n"/>
      <c r="CS5" s="46" t="n"/>
      <c r="CT5" s="46" t="n"/>
      <c r="CU5" s="46" t="n"/>
      <c r="CV5" s="46" t="n"/>
      <c r="CW5" s="46" t="n"/>
      <c r="CX5" s="46" t="n"/>
      <c r="CY5" s="46" t="n"/>
      <c r="CZ5" s="46" t="n"/>
      <c r="DA5" s="46" t="n"/>
      <c r="DB5" s="46" t="n"/>
      <c r="DC5" s="46" t="n"/>
      <c r="DD5" s="46" t="n"/>
      <c r="DE5" s="46" t="n"/>
      <c r="DF5" s="46" t="n"/>
      <c r="DG5" s="46" t="n"/>
      <c r="DH5" s="46" t="n"/>
      <c r="DI5" s="46" t="n"/>
      <c r="DJ5" s="46" t="n"/>
      <c r="DK5" s="46" t="n"/>
      <c r="DL5" s="46" t="n"/>
      <c r="DM5" s="46" t="n"/>
      <c r="DN5" s="46" t="n"/>
      <c r="DO5" s="46" t="n"/>
      <c r="DP5" s="46" t="n"/>
      <c r="DQ5" s="46" t="n"/>
      <c r="DR5" s="46" t="n"/>
      <c r="DS5" s="46" t="n"/>
      <c r="DT5" s="46" t="n"/>
      <c r="DU5" s="46" t="n"/>
      <c r="DV5" s="46" t="n"/>
      <c r="DW5" s="46" t="n"/>
      <c r="DX5" s="46" t="n"/>
      <c r="DY5" s="46" t="n"/>
      <c r="DZ5" s="46" t="n"/>
      <c r="EA5" s="46" t="n"/>
      <c r="EB5" s="46" t="n"/>
      <c r="EC5" s="46" t="n"/>
      <c r="ED5" s="46" t="n"/>
      <c r="EE5" s="46" t="n"/>
      <c r="EF5" s="46" t="n"/>
      <c r="EG5" s="46" t="n"/>
      <c r="EH5" s="46" t="n"/>
      <c r="EI5" s="46" t="n"/>
      <c r="EJ5" s="46" t="n"/>
      <c r="EK5" s="46" t="n"/>
      <c r="EL5" s="46" t="n"/>
      <c r="EM5" s="46" t="n"/>
      <c r="EN5" s="46" t="n"/>
      <c r="EO5" s="46" t="n"/>
      <c r="EP5" s="46" t="n"/>
      <c r="EQ5" s="46" t="n"/>
      <c r="ER5" s="46" t="n"/>
      <c r="ES5" s="46" t="n"/>
      <c r="ET5" s="46" t="n"/>
      <c r="EU5" s="46" t="n"/>
      <c r="EV5" s="46" t="n"/>
      <c r="EW5" s="46" t="n"/>
      <c r="EX5" s="46" t="n"/>
      <c r="EY5" s="46" t="n"/>
      <c r="EZ5" s="46" t="n"/>
      <c r="FA5" s="46" t="n"/>
      <c r="FB5" s="46" t="n"/>
      <c r="FC5" s="46" t="n"/>
      <c r="FD5" s="46" t="n"/>
      <c r="FE5" s="46" t="n"/>
      <c r="FF5" s="46" t="n"/>
      <c r="FG5" s="46" t="n"/>
      <c r="FH5" s="46" t="n"/>
      <c r="FI5" s="46" t="n"/>
      <c r="FJ5" s="46" t="n"/>
      <c r="FK5" s="46" t="n"/>
      <c r="FL5" s="46" t="n"/>
      <c r="FM5" s="46" t="n"/>
      <c r="FN5" s="46" t="n"/>
    </row>
    <row r="6" ht="15" customFormat="1" customHeight="1" s="50">
      <c r="A6" s="49" t="n">
        <v>42156</v>
      </c>
      <c r="B6" s="43" t="n"/>
      <c r="C6" s="43" t="n">
        <v>104.149</v>
      </c>
      <c r="D6" s="44" t="n"/>
      <c r="E6" s="45" t="n"/>
      <c r="F6" s="46" t="n"/>
      <c r="G6" s="43" t="n">
        <v>60.068</v>
      </c>
      <c r="H6" s="43" t="n">
        <v>35</v>
      </c>
      <c r="I6" s="47">
        <f>G6/C6</f>
        <v/>
      </c>
      <c r="J6" s="46" t="n"/>
      <c r="K6" s="46" t="n">
        <v>88.70399999999999</v>
      </c>
      <c r="L6" s="46" t="n">
        <v>110.561</v>
      </c>
      <c r="M6" s="46" t="n">
        <v>107.139</v>
      </c>
      <c r="N6" s="45">
        <f>1-(M6/L6)</f>
        <v/>
      </c>
      <c r="O6" s="46" t="n">
        <v>121.328</v>
      </c>
      <c r="P6" s="46" t="n">
        <v>52.991</v>
      </c>
      <c r="Q6" s="46" t="n">
        <v>73.80200000000001</v>
      </c>
      <c r="R6" s="47">
        <f>K6/2/C6</f>
        <v/>
      </c>
      <c r="S6" s="46" t="n"/>
      <c r="T6" s="45">
        <f>R6+I6</f>
        <v/>
      </c>
      <c r="U6" s="46" t="n"/>
      <c r="V6" s="46" t="n"/>
      <c r="W6" s="46" t="n"/>
      <c r="X6" s="46" t="n"/>
      <c r="Y6" s="46" t="n"/>
      <c r="Z6" s="46" t="n"/>
      <c r="AA6" s="46" t="n"/>
      <c r="AB6" s="46" t="n"/>
      <c r="AC6" s="46" t="n"/>
      <c r="AD6" s="46" t="n"/>
      <c r="AE6" s="46" t="n"/>
      <c r="AF6" s="46" t="n"/>
      <c r="AG6" s="46" t="n"/>
      <c r="AH6" s="46" t="n"/>
      <c r="AI6" s="46" t="n"/>
      <c r="AJ6" s="46" t="n"/>
      <c r="AK6" s="46" t="n"/>
      <c r="AL6" s="46" t="n"/>
      <c r="AM6" s="46" t="n"/>
      <c r="AN6" s="46" t="n"/>
      <c r="AO6" s="46" t="n"/>
      <c r="AP6" s="46" t="n"/>
      <c r="AQ6" s="46" t="n"/>
      <c r="AR6" s="46" t="n"/>
      <c r="AS6" s="46" t="n"/>
      <c r="AT6" s="46" t="n"/>
      <c r="AU6" s="46" t="n"/>
      <c r="AV6" s="46" t="n"/>
      <c r="AW6" s="46" t="n"/>
      <c r="AX6" s="46" t="n"/>
      <c r="AY6" s="46" t="n"/>
      <c r="AZ6" s="46" t="n"/>
      <c r="BA6" s="46" t="n"/>
      <c r="BB6" s="46" t="n"/>
      <c r="BC6" s="46" t="n"/>
      <c r="BD6" s="46" t="n"/>
      <c r="BE6" s="46" t="n"/>
      <c r="BF6" s="46" t="n"/>
      <c r="BG6" s="46" t="n"/>
      <c r="BH6" s="46" t="n"/>
      <c r="BI6" s="46" t="n"/>
      <c r="BJ6" s="46" t="n"/>
      <c r="BK6" s="46" t="n"/>
      <c r="BL6" s="46" t="n"/>
      <c r="BM6" s="46" t="n"/>
      <c r="BN6" s="46" t="n"/>
      <c r="BO6" s="46" t="n"/>
      <c r="BP6" s="46" t="n"/>
      <c r="BQ6" s="46" t="n"/>
      <c r="BR6" s="46" t="n"/>
      <c r="BS6" s="46" t="n"/>
      <c r="BT6" s="46" t="n"/>
      <c r="BU6" s="46" t="n"/>
      <c r="BV6" s="46" t="n"/>
      <c r="BW6" s="46" t="n"/>
      <c r="BX6" s="46" t="n"/>
      <c r="BY6" s="46" t="n"/>
      <c r="BZ6" s="46" t="n"/>
      <c r="CA6" s="46" t="n"/>
      <c r="CB6" s="46" t="n"/>
      <c r="CC6" s="46" t="n"/>
      <c r="CD6" s="46" t="n"/>
      <c r="CE6" s="46" t="n"/>
      <c r="CF6" s="46" t="n"/>
      <c r="CG6" s="46" t="n"/>
      <c r="CH6" s="46" t="n"/>
      <c r="CI6" s="46" t="n"/>
      <c r="CJ6" s="46" t="n"/>
      <c r="CK6" s="46" t="n"/>
      <c r="CL6" s="46" t="n"/>
      <c r="CM6" s="46" t="n"/>
      <c r="CN6" s="46" t="n"/>
      <c r="CO6" s="46" t="n"/>
      <c r="CP6" s="46" t="n"/>
      <c r="CQ6" s="46" t="n"/>
      <c r="CR6" s="46" t="n"/>
      <c r="CS6" s="46" t="n"/>
      <c r="CT6" s="46" t="n"/>
      <c r="CU6" s="46" t="n"/>
      <c r="CV6" s="46" t="n"/>
      <c r="CW6" s="46" t="n"/>
      <c r="CX6" s="46" t="n"/>
      <c r="CY6" s="46" t="n"/>
      <c r="CZ6" s="46" t="n"/>
      <c r="DA6" s="46" t="n"/>
      <c r="DB6" s="46" t="n"/>
      <c r="DC6" s="46" t="n"/>
      <c r="DD6" s="46" t="n"/>
      <c r="DE6" s="46" t="n"/>
      <c r="DF6" s="46" t="n"/>
      <c r="DG6" s="46" t="n"/>
      <c r="DH6" s="46" t="n"/>
      <c r="DI6" s="46" t="n"/>
      <c r="DJ6" s="46" t="n"/>
      <c r="DK6" s="46" t="n"/>
      <c r="DL6" s="46" t="n"/>
      <c r="DM6" s="46" t="n"/>
      <c r="DN6" s="46" t="n"/>
      <c r="DO6" s="46" t="n"/>
      <c r="DP6" s="46" t="n"/>
      <c r="DQ6" s="46" t="n"/>
      <c r="DR6" s="46" t="n"/>
      <c r="DS6" s="46" t="n"/>
      <c r="DT6" s="46" t="n"/>
      <c r="DU6" s="46" t="n"/>
      <c r="DV6" s="46" t="n"/>
      <c r="DW6" s="46" t="n"/>
      <c r="DX6" s="46" t="n"/>
      <c r="DY6" s="46" t="n"/>
      <c r="DZ6" s="46" t="n"/>
      <c r="EA6" s="46" t="n"/>
      <c r="EB6" s="46" t="n"/>
      <c r="EC6" s="46" t="n"/>
      <c r="ED6" s="46" t="n"/>
      <c r="EE6" s="46" t="n"/>
      <c r="EF6" s="46" t="n"/>
      <c r="EG6" s="46" t="n"/>
      <c r="EH6" s="46" t="n"/>
      <c r="EI6" s="46" t="n"/>
      <c r="EJ6" s="46" t="n"/>
      <c r="EK6" s="46" t="n"/>
      <c r="EL6" s="46" t="n"/>
      <c r="EM6" s="46" t="n"/>
      <c r="EN6" s="46" t="n"/>
      <c r="EO6" s="46" t="n"/>
      <c r="EP6" s="46" t="n"/>
      <c r="EQ6" s="46" t="n"/>
      <c r="ER6" s="46" t="n"/>
      <c r="ES6" s="46" t="n"/>
      <c r="ET6" s="46" t="n"/>
      <c r="EU6" s="46" t="n"/>
      <c r="EV6" s="46" t="n"/>
      <c r="EW6" s="46" t="n"/>
      <c r="EX6" s="46" t="n"/>
      <c r="EY6" s="46" t="n"/>
      <c r="EZ6" s="46" t="n"/>
      <c r="FA6" s="46" t="n"/>
      <c r="FB6" s="46" t="n"/>
      <c r="FC6" s="46" t="n"/>
      <c r="FD6" s="46" t="n"/>
      <c r="FE6" s="46" t="n"/>
      <c r="FF6" s="46" t="n"/>
      <c r="FG6" s="46" t="n"/>
      <c r="FH6" s="46" t="n"/>
      <c r="FI6" s="46" t="n"/>
      <c r="FJ6" s="46" t="n"/>
      <c r="FK6" s="46" t="n"/>
      <c r="FL6" s="46" t="n"/>
      <c r="FM6" s="46" t="n"/>
      <c r="FN6" s="46" t="n"/>
    </row>
    <row r="7" ht="15" customFormat="1" customHeight="1" s="50">
      <c r="A7" s="49" t="n">
        <v>42186</v>
      </c>
      <c r="B7" s="43" t="n"/>
      <c r="C7" s="43" t="n">
        <v>161.341</v>
      </c>
      <c r="D7" s="44" t="n"/>
      <c r="E7" s="45" t="n"/>
      <c r="F7" s="46" t="n"/>
      <c r="G7" s="43" t="n">
        <v>92.24299999999999</v>
      </c>
      <c r="H7" s="43" t="n">
        <v>37.336</v>
      </c>
      <c r="I7" s="47">
        <f>G7/C7</f>
        <v/>
      </c>
      <c r="J7" s="46" t="n"/>
      <c r="K7" s="46" t="n">
        <v>134.932</v>
      </c>
      <c r="L7" s="46" t="n">
        <v>145.288</v>
      </c>
      <c r="M7" s="46" t="n">
        <v>133.466</v>
      </c>
      <c r="N7" s="45">
        <f>1-(M7/L7)</f>
        <v/>
      </c>
      <c r="O7" s="46" t="n">
        <v>140.035</v>
      </c>
      <c r="P7" s="46" t="n">
        <v>71.721</v>
      </c>
      <c r="Q7" s="46" t="n">
        <v>74.395</v>
      </c>
      <c r="R7" s="47">
        <f>K7/2/C7</f>
        <v/>
      </c>
      <c r="S7" s="46" t="n"/>
      <c r="T7" s="45">
        <f>R7+I7</f>
        <v/>
      </c>
      <c r="U7" s="46" t="n"/>
      <c r="V7" s="46" t="n"/>
      <c r="W7" s="46" t="n"/>
      <c r="X7" s="46" t="n"/>
      <c r="Y7" s="46" t="n"/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46" t="n"/>
      <c r="BF7" s="46" t="n"/>
      <c r="BG7" s="46" t="n"/>
      <c r="BH7" s="46" t="n"/>
      <c r="BI7" s="46" t="n"/>
      <c r="BJ7" s="46" t="n"/>
      <c r="BK7" s="46" t="n"/>
      <c r="BL7" s="46" t="n"/>
      <c r="BM7" s="46" t="n"/>
      <c r="BN7" s="46" t="n"/>
      <c r="BO7" s="46" t="n"/>
      <c r="BP7" s="46" t="n"/>
      <c r="BQ7" s="46" t="n"/>
      <c r="BR7" s="46" t="n"/>
      <c r="BS7" s="46" t="n"/>
      <c r="BT7" s="46" t="n"/>
      <c r="BU7" s="46" t="n"/>
      <c r="BV7" s="46" t="n"/>
      <c r="BW7" s="46" t="n"/>
      <c r="BX7" s="46" t="n"/>
      <c r="BY7" s="46" t="n"/>
      <c r="BZ7" s="46" t="n"/>
      <c r="CA7" s="46" t="n"/>
      <c r="CB7" s="46" t="n"/>
      <c r="CC7" s="46" t="n"/>
      <c r="CD7" s="46" t="n"/>
      <c r="CE7" s="46" t="n"/>
      <c r="CF7" s="46" t="n"/>
      <c r="CG7" s="46" t="n"/>
      <c r="CH7" s="46" t="n"/>
      <c r="CI7" s="46" t="n"/>
      <c r="CJ7" s="46" t="n"/>
      <c r="CK7" s="46" t="n"/>
      <c r="CL7" s="46" t="n"/>
      <c r="CM7" s="46" t="n"/>
      <c r="CN7" s="46" t="n"/>
      <c r="CO7" s="46" t="n"/>
      <c r="CP7" s="46" t="n"/>
      <c r="CQ7" s="46" t="n"/>
      <c r="CR7" s="46" t="n"/>
      <c r="CS7" s="46" t="n"/>
      <c r="CT7" s="46" t="n"/>
      <c r="CU7" s="46" t="n"/>
      <c r="CV7" s="46" t="n"/>
      <c r="CW7" s="46" t="n"/>
      <c r="CX7" s="46" t="n"/>
      <c r="CY7" s="46" t="n"/>
      <c r="CZ7" s="46" t="n"/>
      <c r="DA7" s="46" t="n"/>
      <c r="DB7" s="46" t="n"/>
      <c r="DC7" s="46" t="n"/>
      <c r="DD7" s="46" t="n"/>
      <c r="DE7" s="46" t="n"/>
      <c r="DF7" s="46" t="n"/>
      <c r="DG7" s="46" t="n"/>
      <c r="DH7" s="46" t="n"/>
      <c r="DI7" s="46" t="n"/>
      <c r="DJ7" s="46" t="n"/>
      <c r="DK7" s="46" t="n"/>
      <c r="DL7" s="46" t="n"/>
      <c r="DM7" s="46" t="n"/>
      <c r="DN7" s="46" t="n"/>
      <c r="DO7" s="46" t="n"/>
      <c r="DP7" s="46" t="n"/>
      <c r="DQ7" s="46" t="n"/>
      <c r="DR7" s="46" t="n"/>
      <c r="DS7" s="46" t="n"/>
      <c r="DT7" s="46" t="n"/>
      <c r="DU7" s="46" t="n"/>
      <c r="DV7" s="46" t="n"/>
      <c r="DW7" s="46" t="n"/>
      <c r="DX7" s="46" t="n"/>
      <c r="DY7" s="46" t="n"/>
      <c r="DZ7" s="46" t="n"/>
      <c r="EA7" s="46" t="n"/>
      <c r="EB7" s="46" t="n"/>
      <c r="EC7" s="46" t="n"/>
      <c r="ED7" s="46" t="n"/>
      <c r="EE7" s="46" t="n"/>
      <c r="EF7" s="46" t="n"/>
      <c r="EG7" s="46" t="n"/>
      <c r="EH7" s="46" t="n"/>
      <c r="EI7" s="46" t="n"/>
      <c r="EJ7" s="46" t="n"/>
      <c r="EK7" s="46" t="n"/>
      <c r="EL7" s="46" t="n"/>
      <c r="EM7" s="46" t="n"/>
      <c r="EN7" s="46" t="n"/>
      <c r="EO7" s="46" t="n"/>
      <c r="EP7" s="46" t="n"/>
      <c r="EQ7" s="46" t="n"/>
      <c r="ER7" s="46" t="n"/>
      <c r="ES7" s="46" t="n"/>
      <c r="ET7" s="46" t="n"/>
      <c r="EU7" s="46" t="n"/>
      <c r="EV7" s="46" t="n"/>
      <c r="EW7" s="46" t="n"/>
      <c r="EX7" s="46" t="n"/>
      <c r="EY7" s="46" t="n"/>
      <c r="EZ7" s="46" t="n"/>
      <c r="FA7" s="46" t="n"/>
      <c r="FB7" s="46" t="n"/>
      <c r="FC7" s="46" t="n"/>
      <c r="FD7" s="46" t="n"/>
      <c r="FE7" s="46" t="n"/>
      <c r="FF7" s="46" t="n"/>
      <c r="FG7" s="46" t="n"/>
      <c r="FH7" s="46" t="n"/>
      <c r="FI7" s="46" t="n"/>
      <c r="FJ7" s="46" t="n"/>
      <c r="FK7" s="46" t="n"/>
      <c r="FL7" s="46" t="n"/>
      <c r="FM7" s="46" t="n"/>
      <c r="FN7" s="46" t="n"/>
    </row>
    <row r="8" ht="15" customFormat="1" customHeight="1" s="50">
      <c r="A8" s="49" t="n">
        <v>42217</v>
      </c>
      <c r="B8" s="43" t="n"/>
      <c r="C8" s="43" t="n">
        <v>147.512</v>
      </c>
      <c r="D8" s="44" t="n"/>
      <c r="E8" s="45" t="n"/>
      <c r="F8" s="46" t="n"/>
      <c r="G8" s="43" t="n">
        <v>82.07599999999999</v>
      </c>
      <c r="H8" s="43" t="n">
        <v>36.7300978673988</v>
      </c>
      <c r="I8" s="47">
        <f>G8/C8</f>
        <v/>
      </c>
      <c r="J8" s="46" t="n"/>
      <c r="K8" s="46" t="n">
        <v>120.026</v>
      </c>
      <c r="L8" s="46" t="n">
        <v>132.503</v>
      </c>
      <c r="M8" s="46" t="n">
        <v>128.794</v>
      </c>
      <c r="N8" s="45">
        <f>1-(M8/L8)</f>
        <v/>
      </c>
      <c r="O8" s="46" t="n">
        <v>132.656</v>
      </c>
      <c r="P8" s="46" t="n">
        <v>69.098</v>
      </c>
      <c r="Q8" s="46" t="n">
        <v>83.7</v>
      </c>
      <c r="R8" s="47">
        <f>K8/2/C8</f>
        <v/>
      </c>
      <c r="S8" s="46" t="n"/>
      <c r="T8" s="45">
        <f>R8+I8</f>
        <v/>
      </c>
      <c r="U8" s="46" t="n"/>
      <c r="V8" s="46" t="n"/>
      <c r="W8" s="46" t="n"/>
      <c r="X8" s="46" t="n"/>
      <c r="Y8" s="46" t="n"/>
      <c r="Z8" s="46" t="n"/>
      <c r="AA8" s="46" t="n"/>
      <c r="AB8" s="46" t="n"/>
      <c r="AC8" s="46" t="n"/>
      <c r="AD8" s="46" t="n"/>
      <c r="AE8" s="46" t="n"/>
      <c r="AF8" s="46" t="n"/>
      <c r="AG8" s="46" t="n"/>
      <c r="AH8" s="46" t="n"/>
      <c r="AI8" s="46" t="n"/>
      <c r="AJ8" s="46" t="n"/>
      <c r="AK8" s="46" t="n"/>
      <c r="AL8" s="46" t="n"/>
      <c r="AM8" s="46" t="n"/>
      <c r="AN8" s="46" t="n"/>
      <c r="AO8" s="46" t="n"/>
      <c r="AP8" s="46" t="n"/>
      <c r="AQ8" s="46" t="n"/>
      <c r="AR8" s="46" t="n"/>
      <c r="AS8" s="46" t="n"/>
      <c r="AT8" s="46" t="n"/>
      <c r="AU8" s="46" t="n"/>
      <c r="AV8" s="46" t="n"/>
      <c r="AW8" s="46" t="n"/>
      <c r="AX8" s="46" t="n"/>
      <c r="AY8" s="46" t="n"/>
      <c r="AZ8" s="46" t="n"/>
      <c r="BA8" s="46" t="n"/>
      <c r="BB8" s="46" t="n"/>
      <c r="BC8" s="46" t="n"/>
      <c r="BD8" s="46" t="n"/>
      <c r="BE8" s="46" t="n"/>
      <c r="BF8" s="46" t="n"/>
      <c r="BG8" s="46" t="n"/>
      <c r="BH8" s="46" t="n"/>
      <c r="BI8" s="46" t="n"/>
      <c r="BJ8" s="46" t="n"/>
      <c r="BK8" s="46" t="n"/>
      <c r="BL8" s="46" t="n"/>
      <c r="BM8" s="46" t="n"/>
      <c r="BN8" s="46" t="n"/>
      <c r="BO8" s="46" t="n"/>
      <c r="BP8" s="46" t="n"/>
      <c r="BQ8" s="46" t="n"/>
      <c r="BR8" s="46" t="n"/>
      <c r="BS8" s="46" t="n"/>
      <c r="BT8" s="46" t="n"/>
      <c r="BU8" s="46" t="n"/>
      <c r="BV8" s="46" t="n"/>
      <c r="BW8" s="46" t="n"/>
      <c r="BX8" s="46" t="n"/>
      <c r="BY8" s="46" t="n"/>
      <c r="BZ8" s="46" t="n"/>
      <c r="CA8" s="46" t="n"/>
      <c r="CB8" s="46" t="n"/>
      <c r="CC8" s="46" t="n"/>
      <c r="CD8" s="46" t="n"/>
      <c r="CE8" s="46" t="n"/>
      <c r="CF8" s="46" t="n"/>
      <c r="CG8" s="46" t="n"/>
      <c r="CH8" s="46" t="n"/>
      <c r="CI8" s="46" t="n"/>
      <c r="CJ8" s="46" t="n"/>
      <c r="CK8" s="46" t="n"/>
      <c r="CL8" s="46" t="n"/>
      <c r="CM8" s="46" t="n"/>
      <c r="CN8" s="46" t="n"/>
      <c r="CO8" s="46" t="n"/>
      <c r="CP8" s="46" t="n"/>
      <c r="CQ8" s="46" t="n"/>
      <c r="CR8" s="46" t="n"/>
      <c r="CS8" s="46" t="n"/>
      <c r="CT8" s="46" t="n"/>
      <c r="CU8" s="46" t="n"/>
      <c r="CV8" s="46" t="n"/>
      <c r="CW8" s="46" t="n"/>
      <c r="CX8" s="46" t="n"/>
      <c r="CY8" s="46" t="n"/>
      <c r="CZ8" s="46" t="n"/>
      <c r="DA8" s="46" t="n"/>
      <c r="DB8" s="46" t="n"/>
      <c r="DC8" s="46" t="n"/>
      <c r="DD8" s="46" t="n"/>
      <c r="DE8" s="46" t="n"/>
      <c r="DF8" s="46" t="n"/>
      <c r="DG8" s="46" t="n"/>
      <c r="DH8" s="46" t="n"/>
      <c r="DI8" s="46" t="n"/>
      <c r="DJ8" s="46" t="n"/>
      <c r="DK8" s="46" t="n"/>
      <c r="DL8" s="46" t="n"/>
      <c r="DM8" s="46" t="n"/>
      <c r="DN8" s="46" t="n"/>
      <c r="DO8" s="46" t="n"/>
      <c r="DP8" s="46" t="n"/>
      <c r="DQ8" s="46" t="n"/>
      <c r="DR8" s="46" t="n"/>
      <c r="DS8" s="46" t="n"/>
      <c r="DT8" s="46" t="n"/>
      <c r="DU8" s="46" t="n"/>
      <c r="DV8" s="46" t="n"/>
      <c r="DW8" s="46" t="n"/>
      <c r="DX8" s="46" t="n"/>
      <c r="DY8" s="46" t="n"/>
      <c r="DZ8" s="46" t="n"/>
      <c r="EA8" s="46" t="n"/>
      <c r="EB8" s="46" t="n"/>
      <c r="EC8" s="46" t="n"/>
      <c r="ED8" s="46" t="n"/>
      <c r="EE8" s="46" t="n"/>
      <c r="EF8" s="46" t="n"/>
      <c r="EG8" s="46" t="n"/>
      <c r="EH8" s="46" t="n"/>
      <c r="EI8" s="46" t="n"/>
      <c r="EJ8" s="46" t="n"/>
      <c r="EK8" s="46" t="n"/>
      <c r="EL8" s="46" t="n"/>
      <c r="EM8" s="46" t="n"/>
      <c r="EN8" s="46" t="n"/>
      <c r="EO8" s="46" t="n"/>
      <c r="EP8" s="46" t="n"/>
      <c r="EQ8" s="46" t="n"/>
      <c r="ER8" s="46" t="n"/>
      <c r="ES8" s="46" t="n"/>
      <c r="ET8" s="46" t="n"/>
      <c r="EU8" s="46" t="n"/>
      <c r="EV8" s="46" t="n"/>
      <c r="EW8" s="46" t="n"/>
      <c r="EX8" s="46" t="n"/>
      <c r="EY8" s="46" t="n"/>
      <c r="EZ8" s="46" t="n"/>
      <c r="FA8" s="46" t="n"/>
      <c r="FB8" s="46" t="n"/>
      <c r="FC8" s="46" t="n"/>
      <c r="FD8" s="46" t="n"/>
      <c r="FE8" s="46" t="n"/>
      <c r="FF8" s="46" t="n"/>
      <c r="FG8" s="46" t="n"/>
      <c r="FH8" s="46" t="n"/>
      <c r="FI8" s="46" t="n"/>
      <c r="FJ8" s="46" t="n"/>
      <c r="FK8" s="46" t="n"/>
      <c r="FL8" s="46" t="n"/>
      <c r="FM8" s="46" t="n"/>
      <c r="FN8" s="46" t="n"/>
    </row>
    <row r="9" ht="15" customFormat="1" customHeight="1" s="50">
      <c r="A9" s="49" t="n">
        <v>42248</v>
      </c>
      <c r="B9" s="43" t="n"/>
      <c r="C9" s="43" t="n">
        <v>187.362</v>
      </c>
      <c r="D9" s="44" t="n"/>
      <c r="E9" s="45" t="n"/>
      <c r="F9" s="46" t="n"/>
      <c r="G9" s="43" t="n">
        <v>103.385</v>
      </c>
      <c r="H9" s="43" t="n">
        <v>38.12577948829539</v>
      </c>
      <c r="I9" s="47">
        <f>G9/C9</f>
        <v/>
      </c>
      <c r="J9" s="46" t="n"/>
      <c r="K9" s="46" t="n">
        <v>157.247</v>
      </c>
      <c r="L9" s="46" t="n">
        <v>141.649</v>
      </c>
      <c r="M9" s="46" t="n">
        <v>134.121</v>
      </c>
      <c r="N9" s="45">
        <f>1-(M9/L9)</f>
        <v/>
      </c>
      <c r="O9" s="46" t="n">
        <v>157.011</v>
      </c>
      <c r="P9" s="48" t="n">
        <v>105</v>
      </c>
      <c r="Q9" s="46" t="n">
        <v>67.337</v>
      </c>
      <c r="R9" s="47">
        <f>K9/2/C9</f>
        <v/>
      </c>
      <c r="S9" s="46" t="n"/>
      <c r="T9" s="45">
        <f>R9+I9</f>
        <v/>
      </c>
      <c r="U9" s="46" t="n"/>
      <c r="V9" s="46" t="n"/>
      <c r="W9" s="46" t="n"/>
      <c r="X9" s="46" t="n"/>
      <c r="Y9" s="46" t="n"/>
      <c r="Z9" s="46" t="n"/>
      <c r="AA9" s="46" t="n"/>
      <c r="AB9" s="46" t="n"/>
      <c r="AC9" s="46" t="n"/>
      <c r="AD9" s="46" t="n"/>
      <c r="AE9" s="46" t="n"/>
      <c r="AF9" s="46" t="n"/>
      <c r="AG9" s="46" t="n"/>
      <c r="AH9" s="46" t="n"/>
      <c r="AI9" s="46" t="n"/>
      <c r="AJ9" s="46" t="n"/>
      <c r="AK9" s="46" t="n"/>
      <c r="AL9" s="46" t="n"/>
      <c r="AM9" s="46" t="n"/>
      <c r="AN9" s="46" t="n"/>
      <c r="AO9" s="46" t="n"/>
      <c r="AP9" s="46" t="n"/>
      <c r="AQ9" s="46" t="n"/>
      <c r="AR9" s="46" t="n"/>
      <c r="AS9" s="46" t="n"/>
      <c r="AT9" s="46" t="n"/>
      <c r="AU9" s="46" t="n"/>
      <c r="AV9" s="46" t="n"/>
      <c r="AW9" s="46" t="n"/>
      <c r="AX9" s="46" t="n"/>
      <c r="AY9" s="46" t="n"/>
      <c r="AZ9" s="46" t="n"/>
      <c r="BA9" s="46" t="n"/>
      <c r="BB9" s="46" t="n"/>
      <c r="BC9" s="46" t="n"/>
      <c r="BD9" s="46" t="n"/>
      <c r="BE9" s="46" t="n"/>
      <c r="BF9" s="46" t="n"/>
      <c r="BG9" s="46" t="n"/>
      <c r="BH9" s="46" t="n"/>
      <c r="BI9" s="46" t="n"/>
      <c r="BJ9" s="46" t="n"/>
      <c r="BK9" s="46" t="n"/>
      <c r="BL9" s="46" t="n"/>
      <c r="BM9" s="46" t="n"/>
      <c r="BN9" s="46" t="n"/>
      <c r="BO9" s="46" t="n"/>
      <c r="BP9" s="46" t="n"/>
      <c r="BQ9" s="46" t="n"/>
      <c r="BR9" s="46" t="n"/>
      <c r="BS9" s="46" t="n"/>
      <c r="BT9" s="46" t="n"/>
      <c r="BU9" s="46" t="n"/>
      <c r="BV9" s="46" t="n"/>
      <c r="BW9" s="46" t="n"/>
      <c r="BX9" s="46" t="n"/>
      <c r="BY9" s="46" t="n"/>
      <c r="BZ9" s="46" t="n"/>
      <c r="CA9" s="46" t="n"/>
      <c r="CB9" s="46" t="n"/>
      <c r="CC9" s="46" t="n"/>
      <c r="CD9" s="46" t="n"/>
      <c r="CE9" s="46" t="n"/>
      <c r="CF9" s="46" t="n"/>
      <c r="CG9" s="46" t="n"/>
      <c r="CH9" s="46" t="n"/>
      <c r="CI9" s="46" t="n"/>
      <c r="CJ9" s="46" t="n"/>
      <c r="CK9" s="46" t="n"/>
      <c r="CL9" s="46" t="n"/>
      <c r="CM9" s="46" t="n"/>
      <c r="CN9" s="46" t="n"/>
      <c r="CO9" s="46" t="n"/>
      <c r="CP9" s="46" t="n"/>
      <c r="CQ9" s="46" t="n"/>
      <c r="CR9" s="46" t="n"/>
      <c r="CS9" s="46" t="n"/>
      <c r="CT9" s="46" t="n"/>
      <c r="CU9" s="46" t="n"/>
      <c r="CV9" s="46" t="n"/>
      <c r="CW9" s="46" t="n"/>
      <c r="CX9" s="46" t="n"/>
      <c r="CY9" s="46" t="n"/>
      <c r="CZ9" s="46" t="n"/>
      <c r="DA9" s="46" t="n"/>
      <c r="DB9" s="46" t="n"/>
      <c r="DC9" s="46" t="n"/>
      <c r="DD9" s="46" t="n"/>
      <c r="DE9" s="46" t="n"/>
      <c r="DF9" s="46" t="n"/>
      <c r="DG9" s="46" t="n"/>
      <c r="DH9" s="46" t="n"/>
      <c r="DI9" s="46" t="n"/>
      <c r="DJ9" s="46" t="n"/>
      <c r="DK9" s="46" t="n"/>
      <c r="DL9" s="46" t="n"/>
      <c r="DM9" s="46" t="n"/>
      <c r="DN9" s="46" t="n"/>
      <c r="DO9" s="46" t="n"/>
      <c r="DP9" s="46" t="n"/>
      <c r="DQ9" s="46" t="n"/>
      <c r="DR9" s="46" t="n"/>
      <c r="DS9" s="46" t="n"/>
      <c r="DT9" s="46" t="n"/>
      <c r="DU9" s="46" t="n"/>
      <c r="DV9" s="46" t="n"/>
      <c r="DW9" s="46" t="n"/>
      <c r="DX9" s="46" t="n"/>
      <c r="DY9" s="46" t="n"/>
      <c r="DZ9" s="46" t="n"/>
      <c r="EA9" s="46" t="n"/>
      <c r="EB9" s="46" t="n"/>
      <c r="EC9" s="46" t="n"/>
      <c r="ED9" s="46" t="n"/>
      <c r="EE9" s="46" t="n"/>
      <c r="EF9" s="46" t="n"/>
      <c r="EG9" s="46" t="n"/>
      <c r="EH9" s="46" t="n"/>
      <c r="EI9" s="46" t="n"/>
      <c r="EJ9" s="46" t="n"/>
      <c r="EK9" s="46" t="n"/>
      <c r="EL9" s="46" t="n"/>
      <c r="EM9" s="46" t="n"/>
      <c r="EN9" s="46" t="n"/>
      <c r="EO9" s="46" t="n"/>
      <c r="EP9" s="46" t="n"/>
      <c r="EQ9" s="46" t="n"/>
      <c r="ER9" s="46" t="n"/>
      <c r="ES9" s="46" t="n"/>
      <c r="ET9" s="46" t="n"/>
      <c r="EU9" s="46" t="n"/>
      <c r="EV9" s="46" t="n"/>
      <c r="EW9" s="46" t="n"/>
      <c r="EX9" s="46" t="n"/>
      <c r="EY9" s="46" t="n"/>
      <c r="EZ9" s="46" t="n"/>
      <c r="FA9" s="46" t="n"/>
      <c r="FB9" s="46" t="n"/>
      <c r="FC9" s="46" t="n"/>
      <c r="FD9" s="46" t="n"/>
      <c r="FE9" s="46" t="n"/>
      <c r="FF9" s="46" t="n"/>
      <c r="FG9" s="46" t="n"/>
      <c r="FH9" s="46" t="n"/>
      <c r="FI9" s="46" t="n"/>
      <c r="FJ9" s="46" t="n"/>
      <c r="FK9" s="46" t="n"/>
      <c r="FL9" s="46" t="n"/>
      <c r="FM9" s="46" t="n"/>
      <c r="FN9" s="46" t="n"/>
    </row>
    <row r="10" ht="15" customFormat="1" customHeight="1" s="50">
      <c r="A10" s="49" t="n">
        <v>42278</v>
      </c>
      <c r="B10" s="43" t="n"/>
      <c r="C10" s="43" t="n">
        <v>99.117</v>
      </c>
      <c r="D10" s="44" t="n"/>
      <c r="E10" s="45" t="n"/>
      <c r="F10" s="46" t="n"/>
      <c r="G10" s="43" t="n">
        <v>55.587</v>
      </c>
      <c r="H10" s="43" t="n">
        <v>34.99514031632041</v>
      </c>
      <c r="I10" s="47">
        <f>G10/C10</f>
        <v/>
      </c>
      <c r="J10" s="46" t="n"/>
      <c r="K10" s="46" t="n">
        <v>81.60599999999999</v>
      </c>
      <c r="L10" s="46" t="n">
        <v>85.389</v>
      </c>
      <c r="M10" s="46" t="n">
        <v>82.822</v>
      </c>
      <c r="N10" s="45">
        <f>1-(M10/L10)</f>
        <v/>
      </c>
      <c r="O10" s="46" t="n">
        <v>86.736</v>
      </c>
      <c r="P10" s="48" t="n">
        <v>126</v>
      </c>
      <c r="Q10" s="46" t="n">
        <v>57.349</v>
      </c>
      <c r="R10" s="47">
        <f>K10/2/C10</f>
        <v/>
      </c>
      <c r="S10" s="46" t="n"/>
      <c r="T10" s="45">
        <f>R10+I10</f>
        <v/>
      </c>
      <c r="U10" s="46" t="n"/>
      <c r="V10" s="46" t="n"/>
      <c r="W10" s="46" t="n"/>
      <c r="X10" s="46" t="n"/>
      <c r="Y10" s="46" t="n"/>
      <c r="Z10" s="46" t="n"/>
      <c r="AA10" s="46" t="n"/>
      <c r="AB10" s="46" t="n"/>
      <c r="AC10" s="46" t="n"/>
      <c r="AD10" s="46" t="n"/>
      <c r="AE10" s="46" t="n"/>
      <c r="AF10" s="46" t="n"/>
      <c r="AG10" s="46" t="n"/>
      <c r="AH10" s="46" t="n"/>
      <c r="AI10" s="46" t="n"/>
      <c r="AJ10" s="46" t="n"/>
      <c r="AK10" s="46" t="n"/>
      <c r="AL10" s="46" t="n"/>
      <c r="AM10" s="46" t="n"/>
      <c r="AN10" s="46" t="n"/>
      <c r="AO10" s="46" t="n"/>
      <c r="AP10" s="46" t="n"/>
      <c r="AQ10" s="46" t="n"/>
      <c r="AR10" s="46" t="n"/>
      <c r="AS10" s="46" t="n"/>
      <c r="AT10" s="46" t="n"/>
      <c r="AU10" s="46" t="n"/>
      <c r="AV10" s="46" t="n"/>
      <c r="AW10" s="46" t="n"/>
      <c r="AX10" s="46" t="n"/>
      <c r="AY10" s="46" t="n"/>
      <c r="AZ10" s="46" t="n"/>
      <c r="BA10" s="46" t="n"/>
      <c r="BB10" s="46" t="n"/>
      <c r="BC10" s="46" t="n"/>
      <c r="BD10" s="46" t="n"/>
      <c r="BE10" s="46" t="n"/>
      <c r="BF10" s="46" t="n"/>
      <c r="BG10" s="46" t="n"/>
      <c r="BH10" s="46" t="n"/>
      <c r="BI10" s="46" t="n"/>
      <c r="BJ10" s="46" t="n"/>
      <c r="BK10" s="46" t="n"/>
      <c r="BL10" s="46" t="n"/>
      <c r="BM10" s="46" t="n"/>
      <c r="BN10" s="46" t="n"/>
      <c r="BO10" s="46" t="n"/>
      <c r="BP10" s="46" t="n"/>
      <c r="BQ10" s="46" t="n"/>
      <c r="BR10" s="46" t="n"/>
      <c r="BS10" s="46" t="n"/>
      <c r="BT10" s="46" t="n"/>
      <c r="BU10" s="46" t="n"/>
      <c r="BV10" s="46" t="n"/>
      <c r="BW10" s="46" t="n"/>
      <c r="BX10" s="46" t="n"/>
      <c r="BY10" s="46" t="n"/>
      <c r="BZ10" s="46" t="n"/>
      <c r="CA10" s="46" t="n"/>
      <c r="CB10" s="46" t="n"/>
      <c r="CC10" s="46" t="n"/>
      <c r="CD10" s="46" t="n"/>
      <c r="CE10" s="46" t="n"/>
      <c r="CF10" s="46" t="n"/>
      <c r="CG10" s="46" t="n"/>
      <c r="CH10" s="46" t="n"/>
      <c r="CI10" s="46" t="n"/>
      <c r="CJ10" s="46" t="n"/>
      <c r="CK10" s="46" t="n"/>
      <c r="CL10" s="46" t="n"/>
      <c r="CM10" s="46" t="n"/>
      <c r="CN10" s="46" t="n"/>
      <c r="CO10" s="46" t="n"/>
      <c r="CP10" s="46" t="n"/>
      <c r="CQ10" s="46" t="n"/>
      <c r="CR10" s="46" t="n"/>
      <c r="CS10" s="46" t="n"/>
      <c r="CT10" s="46" t="n"/>
      <c r="CU10" s="46" t="n"/>
      <c r="CV10" s="46" t="n"/>
      <c r="CW10" s="46" t="n"/>
      <c r="CX10" s="46" t="n"/>
      <c r="CY10" s="46" t="n"/>
      <c r="CZ10" s="46" t="n"/>
      <c r="DA10" s="46" t="n"/>
      <c r="DB10" s="46" t="n"/>
      <c r="DC10" s="46" t="n"/>
      <c r="DD10" s="46" t="n"/>
      <c r="DE10" s="46" t="n"/>
      <c r="DF10" s="46" t="n"/>
      <c r="DG10" s="46" t="n"/>
      <c r="DH10" s="46" t="n"/>
      <c r="DI10" s="46" t="n"/>
      <c r="DJ10" s="46" t="n"/>
      <c r="DK10" s="46" t="n"/>
      <c r="DL10" s="46" t="n"/>
      <c r="DM10" s="46" t="n"/>
      <c r="DN10" s="46" t="n"/>
      <c r="DO10" s="46" t="n"/>
      <c r="DP10" s="46" t="n"/>
      <c r="DQ10" s="46" t="n"/>
      <c r="DR10" s="46" t="n"/>
      <c r="DS10" s="46" t="n"/>
      <c r="DT10" s="46" t="n"/>
      <c r="DU10" s="46" t="n"/>
      <c r="DV10" s="46" t="n"/>
      <c r="DW10" s="46" t="n"/>
      <c r="DX10" s="46" t="n"/>
      <c r="DY10" s="46" t="n"/>
      <c r="DZ10" s="46" t="n"/>
      <c r="EA10" s="46" t="n"/>
      <c r="EB10" s="46" t="n"/>
      <c r="EC10" s="46" t="n"/>
      <c r="ED10" s="46" t="n"/>
      <c r="EE10" s="46" t="n"/>
      <c r="EF10" s="46" t="n"/>
      <c r="EG10" s="46" t="n"/>
      <c r="EH10" s="46" t="n"/>
      <c r="EI10" s="46" t="n"/>
      <c r="EJ10" s="46" t="n"/>
      <c r="EK10" s="46" t="n"/>
      <c r="EL10" s="46" t="n"/>
      <c r="EM10" s="46" t="n"/>
      <c r="EN10" s="46" t="n"/>
      <c r="EO10" s="46" t="n"/>
      <c r="EP10" s="46" t="n"/>
      <c r="EQ10" s="46" t="n"/>
      <c r="ER10" s="46" t="n"/>
      <c r="ES10" s="46" t="n"/>
      <c r="ET10" s="46" t="n"/>
      <c r="EU10" s="46" t="n"/>
      <c r="EV10" s="46" t="n"/>
      <c r="EW10" s="46" t="n"/>
      <c r="EX10" s="46" t="n"/>
      <c r="EY10" s="46" t="n"/>
      <c r="EZ10" s="46" t="n"/>
      <c r="FA10" s="46" t="n"/>
      <c r="FB10" s="46" t="n"/>
      <c r="FC10" s="46" t="n"/>
      <c r="FD10" s="46" t="n"/>
      <c r="FE10" s="46" t="n"/>
      <c r="FF10" s="46" t="n"/>
      <c r="FG10" s="46" t="n"/>
      <c r="FH10" s="46" t="n"/>
      <c r="FI10" s="46" t="n"/>
      <c r="FJ10" s="46" t="n"/>
      <c r="FK10" s="46" t="n"/>
      <c r="FL10" s="46" t="n"/>
      <c r="FM10" s="46" t="n"/>
      <c r="FN10" s="46" t="n"/>
    </row>
    <row r="11" ht="15" customFormat="1" customHeight="1" s="50">
      <c r="A11" s="49" t="n">
        <v>42309</v>
      </c>
      <c r="B11" s="43" t="n"/>
      <c r="C11" s="43" t="n">
        <v>128.925</v>
      </c>
      <c r="D11" s="44" t="n"/>
      <c r="E11" s="45" t="n"/>
      <c r="F11" s="46" t="n"/>
      <c r="G11" s="43" t="n">
        <v>71.958</v>
      </c>
      <c r="H11" s="43" t="n">
        <v>36.06739634971935</v>
      </c>
      <c r="I11" s="47">
        <f>G11/C11</f>
        <v/>
      </c>
      <c r="J11" s="46" t="n"/>
      <c r="K11" s="46" t="n">
        <v>108.222</v>
      </c>
      <c r="L11" s="46" t="n">
        <v>99.48099999999999</v>
      </c>
      <c r="M11" s="46" t="n">
        <v>98.09399999999999</v>
      </c>
      <c r="N11" s="45">
        <f>1-(M11/L11)</f>
        <v/>
      </c>
      <c r="O11" s="46" t="n">
        <v>91.462</v>
      </c>
      <c r="P11" s="48" t="n">
        <v>157</v>
      </c>
      <c r="Q11" s="46" t="n">
        <v>55.944</v>
      </c>
      <c r="R11" s="47">
        <f>K11/2/C11</f>
        <v/>
      </c>
      <c r="S11" s="46" t="n"/>
      <c r="T11" s="45">
        <f>R11+I11</f>
        <v/>
      </c>
      <c r="U11" s="46" t="n"/>
      <c r="V11" s="46" t="n"/>
      <c r="W11" s="46" t="n"/>
      <c r="X11" s="46" t="n"/>
      <c r="Y11" s="46" t="n"/>
      <c r="Z11" s="46" t="n"/>
      <c r="AA11" s="46" t="n"/>
      <c r="AB11" s="46" t="n"/>
      <c r="AC11" s="46" t="n"/>
      <c r="AD11" s="46" t="n"/>
      <c r="AE11" s="46" t="n"/>
      <c r="AF11" s="46" t="n"/>
      <c r="AG11" s="46" t="n"/>
      <c r="AH11" s="46" t="n"/>
      <c r="AI11" s="46" t="n"/>
      <c r="AJ11" s="46" t="n"/>
      <c r="AK11" s="46" t="n"/>
      <c r="AL11" s="46" t="n"/>
      <c r="AM11" s="46" t="n"/>
      <c r="AN11" s="46" t="n"/>
      <c r="AO11" s="46" t="n"/>
      <c r="AP11" s="46" t="n"/>
      <c r="AQ11" s="46" t="n"/>
      <c r="AR11" s="46" t="n"/>
      <c r="AS11" s="46" t="n"/>
      <c r="AT11" s="46" t="n"/>
      <c r="AU11" s="46" t="n"/>
      <c r="AV11" s="46" t="n"/>
      <c r="AW11" s="46" t="n"/>
      <c r="AX11" s="46" t="n"/>
      <c r="AY11" s="46" t="n"/>
      <c r="AZ11" s="46" t="n"/>
      <c r="BA11" s="46" t="n"/>
      <c r="BB11" s="46" t="n"/>
      <c r="BC11" s="46" t="n"/>
      <c r="BD11" s="46" t="n"/>
      <c r="BE11" s="46" t="n"/>
      <c r="BF11" s="46" t="n"/>
      <c r="BG11" s="46" t="n"/>
      <c r="BH11" s="46" t="n"/>
      <c r="BI11" s="46" t="n"/>
      <c r="BJ11" s="46" t="n"/>
      <c r="BK11" s="46" t="n"/>
      <c r="BL11" s="46" t="n"/>
      <c r="BM11" s="46" t="n"/>
      <c r="BN11" s="46" t="n"/>
      <c r="BO11" s="46" t="n"/>
      <c r="BP11" s="46" t="n"/>
      <c r="BQ11" s="46" t="n"/>
      <c r="BR11" s="46" t="n"/>
      <c r="BS11" s="46" t="n"/>
      <c r="BT11" s="46" t="n"/>
      <c r="BU11" s="46" t="n"/>
      <c r="BV11" s="46" t="n"/>
      <c r="BW11" s="46" t="n"/>
      <c r="BX11" s="46" t="n"/>
      <c r="BY11" s="46" t="n"/>
      <c r="BZ11" s="46" t="n"/>
      <c r="CA11" s="46" t="n"/>
      <c r="CB11" s="46" t="n"/>
      <c r="CC11" s="46" t="n"/>
      <c r="CD11" s="46" t="n"/>
      <c r="CE11" s="46" t="n"/>
      <c r="CF11" s="46" t="n"/>
      <c r="CG11" s="46" t="n"/>
      <c r="CH11" s="46" t="n"/>
      <c r="CI11" s="46" t="n"/>
      <c r="CJ11" s="46" t="n"/>
      <c r="CK11" s="46" t="n"/>
      <c r="CL11" s="46" t="n"/>
      <c r="CM11" s="46" t="n"/>
      <c r="CN11" s="46" t="n"/>
      <c r="CO11" s="46" t="n"/>
      <c r="CP11" s="46" t="n"/>
      <c r="CQ11" s="46" t="n"/>
      <c r="CR11" s="46" t="n"/>
      <c r="CS11" s="46" t="n"/>
      <c r="CT11" s="46" t="n"/>
      <c r="CU11" s="46" t="n"/>
      <c r="CV11" s="46" t="n"/>
      <c r="CW11" s="46" t="n"/>
      <c r="CX11" s="46" t="n"/>
      <c r="CY11" s="46" t="n"/>
      <c r="CZ11" s="46" t="n"/>
      <c r="DA11" s="46" t="n"/>
      <c r="DB11" s="46" t="n"/>
      <c r="DC11" s="46" t="n"/>
      <c r="DD11" s="46" t="n"/>
      <c r="DE11" s="46" t="n"/>
      <c r="DF11" s="46" t="n"/>
      <c r="DG11" s="46" t="n"/>
      <c r="DH11" s="46" t="n"/>
      <c r="DI11" s="46" t="n"/>
      <c r="DJ11" s="46" t="n"/>
      <c r="DK11" s="46" t="n"/>
      <c r="DL11" s="46" t="n"/>
      <c r="DM11" s="46" t="n"/>
      <c r="DN11" s="46" t="n"/>
      <c r="DO11" s="46" t="n"/>
      <c r="DP11" s="46" t="n"/>
      <c r="DQ11" s="46" t="n"/>
      <c r="DR11" s="46" t="n"/>
      <c r="DS11" s="46" t="n"/>
      <c r="DT11" s="46" t="n"/>
      <c r="DU11" s="46" t="n"/>
      <c r="DV11" s="46" t="n"/>
      <c r="DW11" s="46" t="n"/>
      <c r="DX11" s="46" t="n"/>
      <c r="DY11" s="46" t="n"/>
      <c r="DZ11" s="46" t="n"/>
      <c r="EA11" s="46" t="n"/>
      <c r="EB11" s="46" t="n"/>
      <c r="EC11" s="46" t="n"/>
      <c r="ED11" s="46" t="n"/>
      <c r="EE11" s="46" t="n"/>
      <c r="EF11" s="46" t="n"/>
      <c r="EG11" s="46" t="n"/>
      <c r="EH11" s="46" t="n"/>
      <c r="EI11" s="46" t="n"/>
      <c r="EJ11" s="46" t="n"/>
      <c r="EK11" s="46" t="n"/>
      <c r="EL11" s="46" t="n"/>
      <c r="EM11" s="46" t="n"/>
      <c r="EN11" s="46" t="n"/>
      <c r="EO11" s="46" t="n"/>
      <c r="EP11" s="46" t="n"/>
      <c r="EQ11" s="46" t="n"/>
      <c r="ER11" s="46" t="n"/>
      <c r="ES11" s="46" t="n"/>
      <c r="ET11" s="46" t="n"/>
      <c r="EU11" s="46" t="n"/>
      <c r="EV11" s="46" t="n"/>
      <c r="EW11" s="46" t="n"/>
      <c r="EX11" s="46" t="n"/>
      <c r="EY11" s="46" t="n"/>
      <c r="EZ11" s="46" t="n"/>
      <c r="FA11" s="46" t="n"/>
      <c r="FB11" s="46" t="n"/>
      <c r="FC11" s="46" t="n"/>
      <c r="FD11" s="46" t="n"/>
      <c r="FE11" s="46" t="n"/>
      <c r="FF11" s="46" t="n"/>
      <c r="FG11" s="46" t="n"/>
      <c r="FH11" s="46" t="n"/>
      <c r="FI11" s="46" t="n"/>
      <c r="FJ11" s="46" t="n"/>
      <c r="FK11" s="46" t="n"/>
      <c r="FL11" s="46" t="n"/>
      <c r="FM11" s="46" t="n"/>
      <c r="FN11" s="46" t="n"/>
    </row>
    <row r="12" ht="15" customFormat="1" customHeight="1" s="50">
      <c r="A12" s="49" t="n">
        <v>42339</v>
      </c>
      <c r="B12" s="43" t="n"/>
      <c r="C12" s="43" t="n">
        <v>165.762</v>
      </c>
      <c r="D12" s="44" t="n"/>
      <c r="E12" s="45" t="n"/>
      <c r="F12" s="46" t="n"/>
      <c r="G12" s="43" t="n">
        <v>91.746</v>
      </c>
      <c r="H12" s="43" t="n">
        <v>37.36345660192741</v>
      </c>
      <c r="I12" s="47">
        <f>G12/C12</f>
        <v/>
      </c>
      <c r="J12" s="46" t="n"/>
      <c r="K12" s="46" t="n">
        <v>135.689</v>
      </c>
      <c r="L12" s="46" t="n">
        <v>102.98</v>
      </c>
      <c r="M12" s="46" t="n">
        <v>96.54000000000001</v>
      </c>
      <c r="N12" s="45">
        <f>1-(M12/L12)</f>
        <v/>
      </c>
      <c r="O12" s="46" t="n">
        <v>98.205</v>
      </c>
      <c r="P12" s="48" t="n">
        <v>168</v>
      </c>
      <c r="Q12" s="46" t="n">
        <v>72.843</v>
      </c>
      <c r="R12" s="47">
        <f>K12/2/C12</f>
        <v/>
      </c>
      <c r="S12" s="46" t="n"/>
      <c r="T12" s="45">
        <f>R12+I12</f>
        <v/>
      </c>
      <c r="U12" s="46" t="n"/>
      <c r="V12" s="46" t="n"/>
      <c r="W12" s="46" t="n"/>
      <c r="X12" s="46" t="n"/>
      <c r="Y12" s="46" t="n"/>
      <c r="Z12" s="46" t="n"/>
      <c r="AA12" s="46" t="n"/>
      <c r="AB12" s="46" t="n"/>
      <c r="AC12" s="46" t="n"/>
      <c r="AD12" s="46" t="n"/>
      <c r="AE12" s="46" t="n"/>
      <c r="AF12" s="46" t="n"/>
      <c r="AG12" s="46" t="n"/>
      <c r="AH12" s="46" t="n"/>
      <c r="AI12" s="46" t="n"/>
      <c r="AJ12" s="46" t="n"/>
      <c r="AK12" s="46" t="n"/>
      <c r="AL12" s="46" t="n"/>
      <c r="AM12" s="46" t="n"/>
      <c r="AN12" s="46" t="n"/>
      <c r="AO12" s="46" t="n"/>
      <c r="AP12" s="46" t="n"/>
      <c r="AQ12" s="46" t="n"/>
      <c r="AR12" s="46" t="n"/>
      <c r="AS12" s="46" t="n"/>
      <c r="AT12" s="46" t="n"/>
      <c r="AU12" s="46" t="n"/>
      <c r="AV12" s="46" t="n"/>
      <c r="AW12" s="46" t="n"/>
      <c r="AX12" s="46" t="n"/>
      <c r="AY12" s="46" t="n"/>
      <c r="AZ12" s="46" t="n"/>
      <c r="BA12" s="46" t="n"/>
      <c r="BB12" s="46" t="n"/>
      <c r="BC12" s="46" t="n"/>
      <c r="BD12" s="46" t="n"/>
      <c r="BE12" s="46" t="n"/>
      <c r="BF12" s="46" t="n"/>
      <c r="BG12" s="46" t="n"/>
      <c r="BH12" s="46" t="n"/>
      <c r="BI12" s="46" t="n"/>
      <c r="BJ12" s="46" t="n"/>
      <c r="BK12" s="46" t="n"/>
      <c r="BL12" s="46" t="n"/>
      <c r="BM12" s="46" t="n"/>
      <c r="BN12" s="46" t="n"/>
      <c r="BO12" s="46" t="n"/>
      <c r="BP12" s="46" t="n"/>
      <c r="BQ12" s="46" t="n"/>
      <c r="BR12" s="46" t="n"/>
      <c r="BS12" s="46" t="n"/>
      <c r="BT12" s="46" t="n"/>
      <c r="BU12" s="46" t="n"/>
      <c r="BV12" s="46" t="n"/>
      <c r="BW12" s="46" t="n"/>
      <c r="BX12" s="46" t="n"/>
      <c r="BY12" s="46" t="n"/>
      <c r="BZ12" s="46" t="n"/>
      <c r="CA12" s="46" t="n"/>
      <c r="CB12" s="46" t="n"/>
      <c r="CC12" s="46" t="n"/>
      <c r="CD12" s="46" t="n"/>
      <c r="CE12" s="46" t="n"/>
      <c r="CF12" s="46" t="n"/>
      <c r="CG12" s="46" t="n"/>
      <c r="CH12" s="46" t="n"/>
      <c r="CI12" s="46" t="n"/>
      <c r="CJ12" s="46" t="n"/>
      <c r="CK12" s="46" t="n"/>
      <c r="CL12" s="46" t="n"/>
      <c r="CM12" s="46" t="n"/>
      <c r="CN12" s="46" t="n"/>
      <c r="CO12" s="46" t="n"/>
      <c r="CP12" s="46" t="n"/>
      <c r="CQ12" s="46" t="n"/>
      <c r="CR12" s="46" t="n"/>
      <c r="CS12" s="46" t="n"/>
      <c r="CT12" s="46" t="n"/>
      <c r="CU12" s="46" t="n"/>
      <c r="CV12" s="46" t="n"/>
      <c r="CW12" s="46" t="n"/>
      <c r="CX12" s="46" t="n"/>
      <c r="CY12" s="46" t="n"/>
      <c r="CZ12" s="46" t="n"/>
      <c r="DA12" s="46" t="n"/>
      <c r="DB12" s="46" t="n"/>
      <c r="DC12" s="46" t="n"/>
      <c r="DD12" s="46" t="n"/>
      <c r="DE12" s="46" t="n"/>
      <c r="DF12" s="46" t="n"/>
      <c r="DG12" s="46" t="n"/>
      <c r="DH12" s="46" t="n"/>
      <c r="DI12" s="46" t="n"/>
      <c r="DJ12" s="46" t="n"/>
      <c r="DK12" s="46" t="n"/>
      <c r="DL12" s="46" t="n"/>
      <c r="DM12" s="46" t="n"/>
      <c r="DN12" s="46" t="n"/>
      <c r="DO12" s="46" t="n"/>
      <c r="DP12" s="46" t="n"/>
      <c r="DQ12" s="46" t="n"/>
      <c r="DR12" s="46" t="n"/>
      <c r="DS12" s="46" t="n"/>
      <c r="DT12" s="46" t="n"/>
      <c r="DU12" s="46" t="n"/>
      <c r="DV12" s="46" t="n"/>
      <c r="DW12" s="46" t="n"/>
      <c r="DX12" s="46" t="n"/>
      <c r="DY12" s="46" t="n"/>
      <c r="DZ12" s="46" t="n"/>
      <c r="EA12" s="46" t="n"/>
      <c r="EB12" s="46" t="n"/>
      <c r="EC12" s="46" t="n"/>
      <c r="ED12" s="46" t="n"/>
      <c r="EE12" s="46" t="n"/>
      <c r="EF12" s="46" t="n"/>
      <c r="EG12" s="46" t="n"/>
      <c r="EH12" s="46" t="n"/>
      <c r="EI12" s="46" t="n"/>
      <c r="EJ12" s="46" t="n"/>
      <c r="EK12" s="46" t="n"/>
      <c r="EL12" s="46" t="n"/>
      <c r="EM12" s="46" t="n"/>
      <c r="EN12" s="46" t="n"/>
      <c r="EO12" s="46" t="n"/>
      <c r="EP12" s="46" t="n"/>
      <c r="EQ12" s="46" t="n"/>
      <c r="ER12" s="46" t="n"/>
      <c r="ES12" s="46" t="n"/>
      <c r="ET12" s="46" t="n"/>
      <c r="EU12" s="46" t="n"/>
      <c r="EV12" s="46" t="n"/>
      <c r="EW12" s="46" t="n"/>
      <c r="EX12" s="46" t="n"/>
      <c r="EY12" s="46" t="n"/>
      <c r="EZ12" s="46" t="n"/>
      <c r="FA12" s="46" t="n"/>
      <c r="FB12" s="46" t="n"/>
      <c r="FC12" s="46" t="n"/>
      <c r="FD12" s="46" t="n"/>
      <c r="FE12" s="46" t="n"/>
      <c r="FF12" s="46" t="n"/>
      <c r="FG12" s="46" t="n"/>
      <c r="FH12" s="46" t="n"/>
      <c r="FI12" s="46" t="n"/>
      <c r="FJ12" s="46" t="n"/>
      <c r="FK12" s="46" t="n"/>
      <c r="FL12" s="46" t="n"/>
      <c r="FM12" s="46" t="n"/>
      <c r="FN12" s="46" t="n"/>
    </row>
    <row r="13" ht="15" customFormat="1" customHeight="1" s="50">
      <c r="A13" s="49" t="n">
        <v>42370</v>
      </c>
      <c r="B13" s="43" t="n"/>
      <c r="C13" s="43" t="n">
        <v>148.424</v>
      </c>
      <c r="D13" s="44" t="n"/>
      <c r="E13" s="45" t="n"/>
      <c r="F13" s="46" t="n"/>
      <c r="G13" s="43" t="n">
        <v>82.05</v>
      </c>
      <c r="H13" s="43" t="n">
        <v>36.72839493801951</v>
      </c>
      <c r="I13" s="47">
        <f>G13/C13</f>
        <v/>
      </c>
      <c r="J13" s="46" t="n"/>
      <c r="K13" s="46" t="n">
        <v>126.109</v>
      </c>
      <c r="L13" s="46" t="n">
        <v>130.855</v>
      </c>
      <c r="M13" s="46" t="n">
        <v>123.76</v>
      </c>
      <c r="N13" s="45">
        <f>1-(M13/L13)</f>
        <v/>
      </c>
      <c r="O13" s="46" t="n">
        <v>117.275</v>
      </c>
      <c r="P13" s="48" t="n">
        <v>181</v>
      </c>
      <c r="Q13" s="46" t="n">
        <v>78.205</v>
      </c>
      <c r="R13" s="47">
        <f>K13/2/C13</f>
        <v/>
      </c>
      <c r="S13" s="46" t="n"/>
      <c r="T13" s="45">
        <f>R13+I13</f>
        <v/>
      </c>
      <c r="U13" s="46" t="n"/>
      <c r="V13" s="46" t="n"/>
      <c r="W13" s="46" t="n"/>
      <c r="X13" s="46" t="n"/>
      <c r="Y13" s="46" t="n"/>
      <c r="Z13" s="46" t="n"/>
      <c r="AA13" s="46" t="n"/>
      <c r="AB13" s="46" t="n"/>
      <c r="AC13" s="46" t="n"/>
      <c r="AD13" s="46" t="n"/>
      <c r="AE13" s="46" t="n"/>
      <c r="AF13" s="46" t="n"/>
      <c r="AG13" s="46" t="n"/>
      <c r="AH13" s="46" t="n"/>
      <c r="AI13" s="46" t="n"/>
      <c r="AJ13" s="46" t="n"/>
      <c r="AK13" s="46" t="n"/>
      <c r="AL13" s="46" t="n"/>
      <c r="AM13" s="46" t="n"/>
      <c r="AN13" s="46" t="n"/>
      <c r="AO13" s="46" t="n"/>
      <c r="AP13" s="46" t="n"/>
      <c r="AQ13" s="46" t="n"/>
      <c r="AR13" s="46" t="n"/>
      <c r="AS13" s="46" t="n"/>
      <c r="AT13" s="46" t="n"/>
      <c r="AU13" s="46" t="n"/>
      <c r="AV13" s="46" t="n"/>
      <c r="AW13" s="46" t="n"/>
      <c r="AX13" s="46" t="n"/>
      <c r="AY13" s="46" t="n"/>
      <c r="AZ13" s="46" t="n"/>
      <c r="BA13" s="46" t="n"/>
      <c r="BB13" s="46" t="n"/>
      <c r="BC13" s="46" t="n"/>
      <c r="BD13" s="46" t="n"/>
      <c r="BE13" s="46" t="n"/>
      <c r="BF13" s="46" t="n"/>
      <c r="BG13" s="46" t="n"/>
      <c r="BH13" s="46" t="n"/>
      <c r="BI13" s="46" t="n"/>
      <c r="BJ13" s="46" t="n"/>
      <c r="BK13" s="46" t="n"/>
      <c r="BL13" s="46" t="n"/>
      <c r="BM13" s="46" t="n"/>
      <c r="BN13" s="46" t="n"/>
      <c r="BO13" s="46" t="n"/>
      <c r="BP13" s="46" t="n"/>
      <c r="BQ13" s="46" t="n"/>
      <c r="BR13" s="46" t="n"/>
      <c r="BS13" s="46" t="n"/>
      <c r="BT13" s="46" t="n"/>
      <c r="BU13" s="46" t="n"/>
      <c r="BV13" s="46" t="n"/>
      <c r="BW13" s="46" t="n"/>
      <c r="BX13" s="46" t="n"/>
      <c r="BY13" s="46" t="n"/>
      <c r="BZ13" s="46" t="n"/>
      <c r="CA13" s="46" t="n"/>
      <c r="CB13" s="46" t="n"/>
      <c r="CC13" s="46" t="n"/>
      <c r="CD13" s="46" t="n"/>
      <c r="CE13" s="46" t="n"/>
      <c r="CF13" s="46" t="n"/>
      <c r="CG13" s="46" t="n"/>
      <c r="CH13" s="46" t="n"/>
      <c r="CI13" s="46" t="n"/>
      <c r="CJ13" s="46" t="n"/>
      <c r="CK13" s="46" t="n"/>
      <c r="CL13" s="46" t="n"/>
      <c r="CM13" s="46" t="n"/>
      <c r="CN13" s="46" t="n"/>
      <c r="CO13" s="46" t="n"/>
      <c r="CP13" s="46" t="n"/>
      <c r="CQ13" s="46" t="n"/>
      <c r="CR13" s="46" t="n"/>
      <c r="CS13" s="46" t="n"/>
      <c r="CT13" s="46" t="n"/>
      <c r="CU13" s="46" t="n"/>
      <c r="CV13" s="46" t="n"/>
      <c r="CW13" s="46" t="n"/>
      <c r="CX13" s="46" t="n"/>
      <c r="CY13" s="46" t="n"/>
      <c r="CZ13" s="46" t="n"/>
      <c r="DA13" s="46" t="n"/>
      <c r="DB13" s="46" t="n"/>
      <c r="DC13" s="46" t="n"/>
      <c r="DD13" s="46" t="n"/>
      <c r="DE13" s="46" t="n"/>
      <c r="DF13" s="46" t="n"/>
      <c r="DG13" s="46" t="n"/>
      <c r="DH13" s="46" t="n"/>
      <c r="DI13" s="46" t="n"/>
      <c r="DJ13" s="46" t="n"/>
      <c r="DK13" s="46" t="n"/>
      <c r="DL13" s="46" t="n"/>
      <c r="DM13" s="46" t="n"/>
      <c r="DN13" s="46" t="n"/>
      <c r="DO13" s="46" t="n"/>
      <c r="DP13" s="46" t="n"/>
      <c r="DQ13" s="46" t="n"/>
      <c r="DR13" s="46" t="n"/>
      <c r="DS13" s="46" t="n"/>
      <c r="DT13" s="46" t="n"/>
      <c r="DU13" s="46" t="n"/>
      <c r="DV13" s="46" t="n"/>
      <c r="DW13" s="46" t="n"/>
      <c r="DX13" s="46" t="n"/>
      <c r="DY13" s="46" t="n"/>
      <c r="DZ13" s="46" t="n"/>
      <c r="EA13" s="46" t="n"/>
      <c r="EB13" s="46" t="n"/>
      <c r="EC13" s="46" t="n"/>
      <c r="ED13" s="46" t="n"/>
      <c r="EE13" s="46" t="n"/>
      <c r="EF13" s="46" t="n"/>
      <c r="EG13" s="46" t="n"/>
      <c r="EH13" s="46" t="n"/>
      <c r="EI13" s="46" t="n"/>
      <c r="EJ13" s="46" t="n"/>
      <c r="EK13" s="46" t="n"/>
      <c r="EL13" s="46" t="n"/>
      <c r="EM13" s="46" t="n"/>
      <c r="EN13" s="46" t="n"/>
      <c r="EO13" s="46" t="n"/>
      <c r="EP13" s="46" t="n"/>
      <c r="EQ13" s="46" t="n"/>
      <c r="ER13" s="46" t="n"/>
      <c r="ES13" s="46" t="n"/>
      <c r="ET13" s="46" t="n"/>
      <c r="EU13" s="46" t="n"/>
      <c r="EV13" s="46" t="n"/>
      <c r="EW13" s="46" t="n"/>
      <c r="EX13" s="46" t="n"/>
      <c r="EY13" s="46" t="n"/>
      <c r="EZ13" s="46" t="n"/>
      <c r="FA13" s="46" t="n"/>
      <c r="FB13" s="46" t="n"/>
      <c r="FC13" s="46" t="n"/>
      <c r="FD13" s="46" t="n"/>
      <c r="FE13" s="46" t="n"/>
      <c r="FF13" s="46" t="n"/>
      <c r="FG13" s="46" t="n"/>
      <c r="FH13" s="46" t="n"/>
      <c r="FI13" s="46" t="n"/>
      <c r="FJ13" s="46" t="n"/>
      <c r="FK13" s="46" t="n"/>
      <c r="FL13" s="46" t="n"/>
      <c r="FM13" s="46" t="n"/>
      <c r="FN13" s="46" t="n"/>
    </row>
    <row r="14" ht="15" customFormat="1" customHeight="1" s="50">
      <c r="A14" s="49" t="n">
        <v>42401</v>
      </c>
      <c r="B14" s="43" t="n"/>
      <c r="C14" s="43" t="n">
        <v>137.631</v>
      </c>
      <c r="D14" s="44" t="n"/>
      <c r="E14" s="45" t="n"/>
      <c r="F14" s="46" t="n"/>
      <c r="G14" s="43" t="n">
        <v>76.44799999999999</v>
      </c>
      <c r="H14" s="43" t="n">
        <v>36.36147915406613</v>
      </c>
      <c r="I14" s="47">
        <f>G14/C14</f>
        <v/>
      </c>
      <c r="J14" s="46" t="n"/>
      <c r="K14" s="46" t="n">
        <v>114.443</v>
      </c>
      <c r="L14" s="46" t="n">
        <v>117.491</v>
      </c>
      <c r="M14" s="46" t="n">
        <v>116.149</v>
      </c>
      <c r="N14" s="45">
        <f>1-(M14/L14)</f>
        <v/>
      </c>
      <c r="O14" s="46" t="n">
        <v>125.7</v>
      </c>
      <c r="P14" s="48" t="n">
        <v>185</v>
      </c>
      <c r="Q14" s="46" t="n">
        <v>80.16200000000001</v>
      </c>
      <c r="R14" s="47">
        <f>K14/2/C14</f>
        <v/>
      </c>
      <c r="S14" s="46" t="n"/>
      <c r="T14" s="45">
        <f>R14+I14</f>
        <v/>
      </c>
      <c r="U14" s="46" t="n"/>
      <c r="V14" s="46" t="n"/>
      <c r="W14" s="46" t="n"/>
      <c r="X14" s="46" t="n"/>
      <c r="Y14" s="46" t="n"/>
      <c r="Z14" s="46" t="n"/>
      <c r="AA14" s="46" t="n"/>
      <c r="AB14" s="46" t="n"/>
      <c r="AC14" s="46" t="n"/>
      <c r="AD14" s="46" t="n"/>
      <c r="AE14" s="46" t="n"/>
      <c r="AF14" s="46" t="n"/>
      <c r="AG14" s="46" t="n"/>
      <c r="AH14" s="46" t="n"/>
      <c r="AI14" s="46" t="n"/>
      <c r="AJ14" s="46" t="n"/>
      <c r="AK14" s="46" t="n"/>
      <c r="AL14" s="46" t="n"/>
      <c r="AM14" s="46" t="n"/>
      <c r="AN14" s="46" t="n"/>
      <c r="AO14" s="46" t="n"/>
      <c r="AP14" s="46" t="n"/>
      <c r="AQ14" s="46" t="n"/>
      <c r="AR14" s="46" t="n"/>
      <c r="AS14" s="46" t="n"/>
      <c r="AT14" s="46" t="n"/>
      <c r="AU14" s="46" t="n"/>
      <c r="AV14" s="46" t="n"/>
      <c r="AW14" s="46" t="n"/>
      <c r="AX14" s="46" t="n"/>
      <c r="AY14" s="46" t="n"/>
      <c r="AZ14" s="46" t="n"/>
      <c r="BA14" s="46" t="n"/>
      <c r="BB14" s="46" t="n"/>
      <c r="BC14" s="46" t="n"/>
      <c r="BD14" s="46" t="n"/>
      <c r="BE14" s="46" t="n"/>
      <c r="BF14" s="46" t="n"/>
      <c r="BG14" s="46" t="n"/>
      <c r="BH14" s="46" t="n"/>
      <c r="BI14" s="46" t="n"/>
      <c r="BJ14" s="46" t="n"/>
      <c r="BK14" s="46" t="n"/>
      <c r="BL14" s="46" t="n"/>
      <c r="BM14" s="46" t="n"/>
      <c r="BN14" s="46" t="n"/>
      <c r="BO14" s="46" t="n"/>
      <c r="BP14" s="46" t="n"/>
      <c r="BQ14" s="46" t="n"/>
      <c r="BR14" s="46" t="n"/>
      <c r="BS14" s="46" t="n"/>
      <c r="BT14" s="46" t="n"/>
      <c r="BU14" s="46" t="n"/>
      <c r="BV14" s="46" t="n"/>
      <c r="BW14" s="46" t="n"/>
      <c r="BX14" s="46" t="n"/>
      <c r="BY14" s="46" t="n"/>
      <c r="BZ14" s="46" t="n"/>
      <c r="CA14" s="46" t="n"/>
      <c r="CB14" s="46" t="n"/>
      <c r="CC14" s="46" t="n"/>
      <c r="CD14" s="46" t="n"/>
      <c r="CE14" s="46" t="n"/>
      <c r="CF14" s="46" t="n"/>
      <c r="CG14" s="46" t="n"/>
      <c r="CH14" s="46" t="n"/>
      <c r="CI14" s="46" t="n"/>
      <c r="CJ14" s="46" t="n"/>
      <c r="CK14" s="46" t="n"/>
      <c r="CL14" s="46" t="n"/>
      <c r="CM14" s="46" t="n"/>
      <c r="CN14" s="46" t="n"/>
      <c r="CO14" s="46" t="n"/>
      <c r="CP14" s="46" t="n"/>
      <c r="CQ14" s="46" t="n"/>
      <c r="CR14" s="46" t="n"/>
      <c r="CS14" s="46" t="n"/>
      <c r="CT14" s="46" t="n"/>
      <c r="CU14" s="46" t="n"/>
      <c r="CV14" s="46" t="n"/>
      <c r="CW14" s="46" t="n"/>
      <c r="CX14" s="46" t="n"/>
      <c r="CY14" s="46" t="n"/>
      <c r="CZ14" s="46" t="n"/>
      <c r="DA14" s="46" t="n"/>
      <c r="DB14" s="46" t="n"/>
      <c r="DC14" s="46" t="n"/>
      <c r="DD14" s="46" t="n"/>
      <c r="DE14" s="46" t="n"/>
      <c r="DF14" s="46" t="n"/>
      <c r="DG14" s="46" t="n"/>
      <c r="DH14" s="46" t="n"/>
      <c r="DI14" s="46" t="n"/>
      <c r="DJ14" s="46" t="n"/>
      <c r="DK14" s="46" t="n"/>
      <c r="DL14" s="46" t="n"/>
      <c r="DM14" s="46" t="n"/>
      <c r="DN14" s="46" t="n"/>
      <c r="DO14" s="46" t="n"/>
      <c r="DP14" s="46" t="n"/>
      <c r="DQ14" s="46" t="n"/>
      <c r="DR14" s="46" t="n"/>
      <c r="DS14" s="46" t="n"/>
      <c r="DT14" s="46" t="n"/>
      <c r="DU14" s="46" t="n"/>
      <c r="DV14" s="46" t="n"/>
      <c r="DW14" s="46" t="n"/>
      <c r="DX14" s="46" t="n"/>
      <c r="DY14" s="46" t="n"/>
      <c r="DZ14" s="46" t="n"/>
      <c r="EA14" s="46" t="n"/>
      <c r="EB14" s="46" t="n"/>
      <c r="EC14" s="46" t="n"/>
      <c r="ED14" s="46" t="n"/>
      <c r="EE14" s="46" t="n"/>
      <c r="EF14" s="46" t="n"/>
      <c r="EG14" s="46" t="n"/>
      <c r="EH14" s="46" t="n"/>
      <c r="EI14" s="46" t="n"/>
      <c r="EJ14" s="46" t="n"/>
      <c r="EK14" s="46" t="n"/>
      <c r="EL14" s="46" t="n"/>
      <c r="EM14" s="46" t="n"/>
      <c r="EN14" s="46" t="n"/>
      <c r="EO14" s="46" t="n"/>
      <c r="EP14" s="46" t="n"/>
      <c r="EQ14" s="46" t="n"/>
      <c r="ER14" s="46" t="n"/>
      <c r="ES14" s="46" t="n"/>
      <c r="ET14" s="46" t="n"/>
      <c r="EU14" s="46" t="n"/>
      <c r="EV14" s="46" t="n"/>
      <c r="EW14" s="46" t="n"/>
      <c r="EX14" s="46" t="n"/>
      <c r="EY14" s="46" t="n"/>
      <c r="EZ14" s="46" t="n"/>
      <c r="FA14" s="46" t="n"/>
      <c r="FB14" s="46" t="n"/>
      <c r="FC14" s="46" t="n"/>
      <c r="FD14" s="46" t="n"/>
      <c r="FE14" s="46" t="n"/>
      <c r="FF14" s="46" t="n"/>
      <c r="FG14" s="46" t="n"/>
      <c r="FH14" s="46" t="n"/>
      <c r="FI14" s="46" t="n"/>
      <c r="FJ14" s="46" t="n"/>
      <c r="FK14" s="46" t="n"/>
      <c r="FL14" s="46" t="n"/>
      <c r="FM14" s="46" t="n"/>
      <c r="FN14" s="46" t="n"/>
    </row>
    <row r="15" ht="15" customFormat="1" customHeight="1" s="50">
      <c r="A15" s="49" t="n">
        <v>42430</v>
      </c>
      <c r="B15" s="43" t="n"/>
      <c r="C15" s="43" t="n">
        <v>149.882</v>
      </c>
      <c r="D15" s="44" t="n"/>
      <c r="E15" s="45" t="n"/>
      <c r="F15" s="46" t="n"/>
      <c r="G15" s="43" t="n">
        <v>84.758</v>
      </c>
      <c r="H15" s="43" t="n">
        <v>36.90576158260104</v>
      </c>
      <c r="I15" s="47">
        <f>G15/C15</f>
        <v/>
      </c>
      <c r="J15" s="46" t="n"/>
      <c r="K15" s="46" t="n">
        <v>123.498</v>
      </c>
      <c r="L15" s="46" t="n">
        <v>125.623</v>
      </c>
      <c r="M15" s="46" t="n">
        <v>122.722</v>
      </c>
      <c r="N15" s="45">
        <f>1-(M15/L15)</f>
        <v/>
      </c>
      <c r="O15" s="46" t="n">
        <v>142.659</v>
      </c>
      <c r="P15" s="48" t="n">
        <v>197</v>
      </c>
      <c r="Q15" s="46" t="n">
        <v>79.337</v>
      </c>
      <c r="R15" s="47">
        <f>K15/2/C15</f>
        <v/>
      </c>
      <c r="S15" s="46" t="n"/>
      <c r="T15" s="45">
        <f>R15+I15</f>
        <v/>
      </c>
      <c r="U15" s="46" t="n"/>
      <c r="V15" s="46" t="n"/>
      <c r="W15" s="46" t="n"/>
      <c r="X15" s="46" t="n"/>
      <c r="Y15" s="46" t="n"/>
      <c r="Z15" s="46" t="n"/>
      <c r="AA15" s="46" t="n"/>
      <c r="AB15" s="46" t="n"/>
      <c r="AC15" s="46" t="n"/>
      <c r="AD15" s="46" t="n"/>
      <c r="AE15" s="46" t="n"/>
      <c r="AF15" s="46" t="n"/>
      <c r="AG15" s="46" t="n"/>
      <c r="AH15" s="46" t="n"/>
      <c r="AI15" s="46" t="n"/>
      <c r="AJ15" s="46" t="n"/>
      <c r="AK15" s="46" t="n"/>
      <c r="AL15" s="46" t="n"/>
      <c r="AM15" s="46" t="n"/>
      <c r="AN15" s="46" t="n"/>
      <c r="AO15" s="46" t="n"/>
      <c r="AP15" s="46" t="n"/>
      <c r="AQ15" s="46" t="n"/>
      <c r="AR15" s="46" t="n"/>
      <c r="AS15" s="46" t="n"/>
      <c r="AT15" s="46" t="n"/>
      <c r="AU15" s="46" t="n"/>
      <c r="AV15" s="46" t="n"/>
      <c r="AW15" s="46" t="n"/>
      <c r="AX15" s="46" t="n"/>
      <c r="AY15" s="46" t="n"/>
      <c r="AZ15" s="46" t="n"/>
      <c r="BA15" s="46" t="n"/>
      <c r="BB15" s="46" t="n"/>
      <c r="BC15" s="46" t="n"/>
      <c r="BD15" s="46" t="n"/>
      <c r="BE15" s="46" t="n"/>
      <c r="BF15" s="46" t="n"/>
      <c r="BG15" s="46" t="n"/>
      <c r="BH15" s="46" t="n"/>
      <c r="BI15" s="46" t="n"/>
      <c r="BJ15" s="46" t="n"/>
      <c r="BK15" s="46" t="n"/>
      <c r="BL15" s="46" t="n"/>
      <c r="BM15" s="46" t="n"/>
      <c r="BN15" s="46" t="n"/>
      <c r="BO15" s="46" t="n"/>
      <c r="BP15" s="46" t="n"/>
      <c r="BQ15" s="46" t="n"/>
      <c r="BR15" s="46" t="n"/>
      <c r="BS15" s="46" t="n"/>
      <c r="BT15" s="46" t="n"/>
      <c r="BU15" s="46" t="n"/>
      <c r="BV15" s="46" t="n"/>
      <c r="BW15" s="46" t="n"/>
      <c r="BX15" s="46" t="n"/>
      <c r="BY15" s="46" t="n"/>
      <c r="BZ15" s="46" t="n"/>
      <c r="CA15" s="46" t="n"/>
      <c r="CB15" s="46" t="n"/>
      <c r="CC15" s="46" t="n"/>
      <c r="CD15" s="46" t="n"/>
      <c r="CE15" s="46" t="n"/>
      <c r="CF15" s="46" t="n"/>
      <c r="CG15" s="46" t="n"/>
      <c r="CH15" s="46" t="n"/>
      <c r="CI15" s="46" t="n"/>
      <c r="CJ15" s="46" t="n"/>
      <c r="CK15" s="46" t="n"/>
      <c r="CL15" s="46" t="n"/>
      <c r="CM15" s="46" t="n"/>
      <c r="CN15" s="46" t="n"/>
      <c r="CO15" s="46" t="n"/>
      <c r="CP15" s="46" t="n"/>
      <c r="CQ15" s="46" t="n"/>
      <c r="CR15" s="46" t="n"/>
      <c r="CS15" s="46" t="n"/>
      <c r="CT15" s="46" t="n"/>
      <c r="CU15" s="46" t="n"/>
      <c r="CV15" s="46" t="n"/>
      <c r="CW15" s="46" t="n"/>
      <c r="CX15" s="46" t="n"/>
      <c r="CY15" s="46" t="n"/>
      <c r="CZ15" s="46" t="n"/>
      <c r="DA15" s="46" t="n"/>
      <c r="DB15" s="46" t="n"/>
      <c r="DC15" s="46" t="n"/>
      <c r="DD15" s="46" t="n"/>
      <c r="DE15" s="46" t="n"/>
      <c r="DF15" s="46" t="n"/>
      <c r="DG15" s="46" t="n"/>
      <c r="DH15" s="46" t="n"/>
      <c r="DI15" s="46" t="n"/>
      <c r="DJ15" s="46" t="n"/>
      <c r="DK15" s="46" t="n"/>
      <c r="DL15" s="46" t="n"/>
      <c r="DM15" s="46" t="n"/>
      <c r="DN15" s="46" t="n"/>
      <c r="DO15" s="46" t="n"/>
      <c r="DP15" s="46" t="n"/>
      <c r="DQ15" s="46" t="n"/>
      <c r="DR15" s="46" t="n"/>
      <c r="DS15" s="46" t="n"/>
      <c r="DT15" s="46" t="n"/>
      <c r="DU15" s="46" t="n"/>
      <c r="DV15" s="46" t="n"/>
      <c r="DW15" s="46" t="n"/>
      <c r="DX15" s="46" t="n"/>
      <c r="DY15" s="46" t="n"/>
      <c r="DZ15" s="46" t="n"/>
      <c r="EA15" s="46" t="n"/>
      <c r="EB15" s="46" t="n"/>
      <c r="EC15" s="46" t="n"/>
      <c r="ED15" s="46" t="n"/>
      <c r="EE15" s="46" t="n"/>
      <c r="EF15" s="46" t="n"/>
      <c r="EG15" s="46" t="n"/>
      <c r="EH15" s="46" t="n"/>
      <c r="EI15" s="46" t="n"/>
      <c r="EJ15" s="46" t="n"/>
      <c r="EK15" s="46" t="n"/>
      <c r="EL15" s="46" t="n"/>
      <c r="EM15" s="46" t="n"/>
      <c r="EN15" s="46" t="n"/>
      <c r="EO15" s="46" t="n"/>
      <c r="EP15" s="46" t="n"/>
      <c r="EQ15" s="46" t="n"/>
      <c r="ER15" s="46" t="n"/>
      <c r="ES15" s="46" t="n"/>
      <c r="ET15" s="46" t="n"/>
      <c r="EU15" s="46" t="n"/>
      <c r="EV15" s="46" t="n"/>
      <c r="EW15" s="46" t="n"/>
      <c r="EX15" s="46" t="n"/>
      <c r="EY15" s="46" t="n"/>
      <c r="EZ15" s="46" t="n"/>
      <c r="FA15" s="46" t="n"/>
      <c r="FB15" s="46" t="n"/>
      <c r="FC15" s="46" t="n"/>
      <c r="FD15" s="46" t="n"/>
      <c r="FE15" s="46" t="n"/>
      <c r="FF15" s="46" t="n"/>
      <c r="FG15" s="46" t="n"/>
      <c r="FH15" s="46" t="n"/>
      <c r="FI15" s="46" t="n"/>
      <c r="FJ15" s="46" t="n"/>
      <c r="FK15" s="46" t="n"/>
      <c r="FL15" s="46" t="n"/>
      <c r="FM15" s="46" t="n"/>
      <c r="FN15" s="46" t="n"/>
    </row>
    <row r="16" ht="15" customFormat="1" customHeight="1" s="50">
      <c r="A16" s="49" t="n">
        <v>42461</v>
      </c>
      <c r="B16" s="43" t="n"/>
      <c r="C16" s="43" t="n">
        <v>137.12</v>
      </c>
      <c r="D16" s="44" t="n"/>
      <c r="E16" s="45" t="n"/>
      <c r="F16" s="46" t="n"/>
      <c r="G16" s="43" t="n">
        <v>79.349</v>
      </c>
      <c r="H16" s="43" t="n">
        <v>53.73</v>
      </c>
      <c r="I16" s="47">
        <f>G16/C16</f>
        <v/>
      </c>
      <c r="J16" s="46" t="n"/>
      <c r="K16" s="46" t="n">
        <v>119.826</v>
      </c>
      <c r="L16" s="46" t="n">
        <v>119.36</v>
      </c>
      <c r="M16" s="46" t="n">
        <v>115.695</v>
      </c>
      <c r="N16" s="45">
        <f>1-(M16/L16)</f>
        <v/>
      </c>
      <c r="O16" s="46" t="n">
        <v>129.004</v>
      </c>
      <c r="P16" s="48" t="n">
        <v>202</v>
      </c>
      <c r="Q16" s="46" t="n">
        <v>75.58799999999999</v>
      </c>
      <c r="R16" s="47">
        <f>K16/2/C16</f>
        <v/>
      </c>
      <c r="S16" s="46" t="n"/>
      <c r="T16" s="45">
        <f>R16+I16</f>
        <v/>
      </c>
      <c r="U16" s="46" t="n"/>
      <c r="V16" s="46" t="n"/>
      <c r="W16" s="46" t="n"/>
      <c r="X16" s="46" t="n"/>
      <c r="Y16" s="46" t="n"/>
      <c r="Z16" s="46" t="n"/>
      <c r="AA16" s="46" t="n"/>
      <c r="AB16" s="46" t="n"/>
      <c r="AC16" s="46" t="n"/>
      <c r="AD16" s="46" t="n"/>
      <c r="AE16" s="46" t="n"/>
      <c r="AF16" s="46" t="n"/>
      <c r="AG16" s="46" t="n"/>
      <c r="AH16" s="46" t="n"/>
      <c r="AI16" s="46" t="n"/>
      <c r="AJ16" s="46" t="n"/>
      <c r="AK16" s="46" t="n"/>
      <c r="AL16" s="46" t="n"/>
      <c r="AM16" s="46" t="n"/>
      <c r="AN16" s="46" t="n"/>
      <c r="AO16" s="46" t="n"/>
      <c r="AP16" s="46" t="n"/>
      <c r="AQ16" s="46" t="n"/>
      <c r="AR16" s="46" t="n"/>
      <c r="AS16" s="46" t="n"/>
      <c r="AT16" s="46" t="n"/>
      <c r="AU16" s="46" t="n"/>
      <c r="AV16" s="46" t="n"/>
      <c r="AW16" s="46" t="n"/>
      <c r="AX16" s="46" t="n"/>
      <c r="AY16" s="46" t="n"/>
      <c r="AZ16" s="46" t="n"/>
      <c r="BA16" s="46" t="n"/>
      <c r="BB16" s="46" t="n"/>
      <c r="BC16" s="46" t="n"/>
      <c r="BD16" s="46" t="n"/>
      <c r="BE16" s="46" t="n"/>
      <c r="BF16" s="46" t="n"/>
      <c r="BG16" s="46" t="n"/>
      <c r="BH16" s="46" t="n"/>
      <c r="BI16" s="46" t="n"/>
      <c r="BJ16" s="46" t="n"/>
      <c r="BK16" s="46" t="n"/>
      <c r="BL16" s="46" t="n"/>
      <c r="BM16" s="46" t="n"/>
      <c r="BN16" s="46" t="n"/>
      <c r="BO16" s="46" t="n"/>
      <c r="BP16" s="46" t="n"/>
      <c r="BQ16" s="46" t="n"/>
      <c r="BR16" s="46" t="n"/>
      <c r="BS16" s="46" t="n"/>
      <c r="BT16" s="46" t="n"/>
      <c r="BU16" s="46" t="n"/>
      <c r="BV16" s="46" t="n"/>
      <c r="BW16" s="46" t="n"/>
      <c r="BX16" s="46" t="n"/>
      <c r="BY16" s="46" t="n"/>
      <c r="BZ16" s="46" t="n"/>
      <c r="CA16" s="46" t="n"/>
      <c r="CB16" s="46" t="n"/>
      <c r="CC16" s="46" t="n"/>
      <c r="CD16" s="46" t="n"/>
      <c r="CE16" s="46" t="n"/>
      <c r="CF16" s="46" t="n"/>
      <c r="CG16" s="46" t="n"/>
      <c r="CH16" s="46" t="n"/>
      <c r="CI16" s="46" t="n"/>
      <c r="CJ16" s="46" t="n"/>
      <c r="CK16" s="46" t="n"/>
      <c r="CL16" s="46" t="n"/>
      <c r="CM16" s="46" t="n"/>
      <c r="CN16" s="46" t="n"/>
      <c r="CO16" s="46" t="n"/>
      <c r="CP16" s="46" t="n"/>
      <c r="CQ16" s="46" t="n"/>
      <c r="CR16" s="46" t="n"/>
      <c r="CS16" s="46" t="n"/>
      <c r="CT16" s="46" t="n"/>
      <c r="CU16" s="46" t="n"/>
      <c r="CV16" s="46" t="n"/>
      <c r="CW16" s="46" t="n"/>
      <c r="CX16" s="46" t="n"/>
      <c r="CY16" s="46" t="n"/>
      <c r="CZ16" s="46" t="n"/>
      <c r="DA16" s="46" t="n"/>
      <c r="DB16" s="46" t="n"/>
      <c r="DC16" s="46" t="n"/>
      <c r="DD16" s="46" t="n"/>
      <c r="DE16" s="46" t="n"/>
      <c r="DF16" s="46" t="n"/>
      <c r="DG16" s="46" t="n"/>
      <c r="DH16" s="46" t="n"/>
      <c r="DI16" s="46" t="n"/>
      <c r="DJ16" s="46" t="n"/>
      <c r="DK16" s="46" t="n"/>
      <c r="DL16" s="46" t="n"/>
      <c r="DM16" s="46" t="n"/>
      <c r="DN16" s="46" t="n"/>
      <c r="DO16" s="46" t="n"/>
      <c r="DP16" s="46" t="n"/>
      <c r="DQ16" s="46" t="n"/>
      <c r="DR16" s="46" t="n"/>
      <c r="DS16" s="46" t="n"/>
      <c r="DT16" s="46" t="n"/>
      <c r="DU16" s="46" t="n"/>
      <c r="DV16" s="46" t="n"/>
      <c r="DW16" s="46" t="n"/>
      <c r="DX16" s="46" t="n"/>
      <c r="DY16" s="46" t="n"/>
      <c r="DZ16" s="46" t="n"/>
      <c r="EA16" s="46" t="n"/>
      <c r="EB16" s="46" t="n"/>
      <c r="EC16" s="46" t="n"/>
      <c r="ED16" s="46" t="n"/>
      <c r="EE16" s="46" t="n"/>
      <c r="EF16" s="46" t="n"/>
      <c r="EG16" s="46" t="n"/>
      <c r="EH16" s="46" t="n"/>
      <c r="EI16" s="46" t="n"/>
      <c r="EJ16" s="46" t="n"/>
      <c r="EK16" s="46" t="n"/>
      <c r="EL16" s="46" t="n"/>
      <c r="EM16" s="46" t="n"/>
      <c r="EN16" s="46" t="n"/>
      <c r="EO16" s="46" t="n"/>
      <c r="EP16" s="46" t="n"/>
      <c r="EQ16" s="46" t="n"/>
      <c r="ER16" s="46" t="n"/>
      <c r="ES16" s="46" t="n"/>
      <c r="ET16" s="46" t="n"/>
      <c r="EU16" s="46" t="n"/>
      <c r="EV16" s="46" t="n"/>
      <c r="EW16" s="46" t="n"/>
      <c r="EX16" s="46" t="n"/>
      <c r="EY16" s="46" t="n"/>
      <c r="EZ16" s="46" t="n"/>
      <c r="FA16" s="46" t="n"/>
      <c r="FB16" s="46" t="n"/>
      <c r="FC16" s="46" t="n"/>
      <c r="FD16" s="46" t="n"/>
      <c r="FE16" s="46" t="n"/>
      <c r="FF16" s="46" t="n"/>
      <c r="FG16" s="46" t="n"/>
      <c r="FH16" s="46" t="n"/>
      <c r="FI16" s="46" t="n"/>
      <c r="FJ16" s="46" t="n"/>
      <c r="FK16" s="46" t="n"/>
      <c r="FL16" s="46" t="n"/>
      <c r="FM16" s="46" t="n"/>
      <c r="FN16" s="46" t="n"/>
    </row>
    <row r="17" ht="15" customFormat="1" customHeight="1" s="50">
      <c r="A17" s="49" t="n">
        <v>42491</v>
      </c>
      <c r="B17" s="43" t="n"/>
      <c r="C17" s="43" t="n">
        <v>131.688</v>
      </c>
      <c r="D17" s="44" t="n"/>
      <c r="E17" s="45" t="n"/>
      <c r="F17" s="46" t="n"/>
      <c r="G17" s="43" t="n">
        <v>76.30800000000001</v>
      </c>
      <c r="H17" s="43" t="n">
        <v>53.785</v>
      </c>
      <c r="I17" s="47">
        <f>G17/C17</f>
        <v/>
      </c>
      <c r="J17" s="46" t="n"/>
      <c r="K17" s="46" t="n">
        <v>112.422</v>
      </c>
      <c r="L17" s="46" t="n">
        <v>140.461</v>
      </c>
      <c r="M17" s="46" t="n">
        <v>136.502</v>
      </c>
      <c r="N17" s="45">
        <f>1-(M17/L17)</f>
        <v/>
      </c>
      <c r="O17" s="46" t="n">
        <v>148.301</v>
      </c>
      <c r="P17" s="48" t="n">
        <v>204</v>
      </c>
      <c r="Q17" s="46" t="n">
        <v>66.343</v>
      </c>
      <c r="R17" s="47">
        <f>K17/2/C17</f>
        <v/>
      </c>
      <c r="S17" s="46" t="n"/>
      <c r="T17" s="45">
        <f>R17+I17</f>
        <v/>
      </c>
      <c r="U17" s="46" t="n"/>
      <c r="V17" s="46" t="n"/>
      <c r="W17" s="46" t="n"/>
      <c r="X17" s="46" t="n"/>
      <c r="Y17" s="46" t="n"/>
      <c r="Z17" s="46" t="n"/>
      <c r="AA17" s="46" t="n"/>
      <c r="AB17" s="46" t="n"/>
      <c r="AC17" s="46" t="n"/>
      <c r="AD17" s="46" t="n"/>
      <c r="AE17" s="46" t="n"/>
      <c r="AF17" s="46" t="n"/>
      <c r="AG17" s="46" t="n"/>
      <c r="AH17" s="46" t="n"/>
      <c r="AI17" s="46" t="n"/>
      <c r="AJ17" s="46" t="n"/>
      <c r="AK17" s="46" t="n"/>
      <c r="AL17" s="46" t="n"/>
      <c r="AM17" s="46" t="n"/>
      <c r="AN17" s="46" t="n"/>
      <c r="AO17" s="46" t="n"/>
      <c r="AP17" s="46" t="n"/>
      <c r="AQ17" s="46" t="n"/>
      <c r="AR17" s="46" t="n"/>
      <c r="AS17" s="46" t="n"/>
      <c r="AT17" s="46" t="n"/>
      <c r="AU17" s="46" t="n"/>
      <c r="AV17" s="46" t="n"/>
      <c r="AW17" s="46" t="n"/>
      <c r="AX17" s="46" t="n"/>
      <c r="AY17" s="46" t="n"/>
      <c r="AZ17" s="46" t="n"/>
      <c r="BA17" s="46" t="n"/>
      <c r="BB17" s="46" t="n"/>
      <c r="BC17" s="46" t="n"/>
      <c r="BD17" s="46" t="n"/>
      <c r="BE17" s="46" t="n"/>
      <c r="BF17" s="46" t="n"/>
      <c r="BG17" s="46" t="n"/>
      <c r="BH17" s="46" t="n"/>
      <c r="BI17" s="46" t="n"/>
      <c r="BJ17" s="46" t="n"/>
      <c r="BK17" s="46" t="n"/>
      <c r="BL17" s="46" t="n"/>
      <c r="BM17" s="46" t="n"/>
      <c r="BN17" s="46" t="n"/>
      <c r="BO17" s="46" t="n"/>
      <c r="BP17" s="46" t="n"/>
      <c r="BQ17" s="46" t="n"/>
      <c r="BR17" s="46" t="n"/>
      <c r="BS17" s="46" t="n"/>
      <c r="BT17" s="46" t="n"/>
      <c r="BU17" s="46" t="n"/>
      <c r="BV17" s="46" t="n"/>
      <c r="BW17" s="46" t="n"/>
      <c r="BX17" s="46" t="n"/>
      <c r="BY17" s="46" t="n"/>
      <c r="BZ17" s="46" t="n"/>
      <c r="CA17" s="46" t="n"/>
      <c r="CB17" s="46" t="n"/>
      <c r="CC17" s="46" t="n"/>
      <c r="CD17" s="46" t="n"/>
      <c r="CE17" s="46" t="n"/>
      <c r="CF17" s="46" t="n"/>
      <c r="CG17" s="46" t="n"/>
      <c r="CH17" s="46" t="n"/>
      <c r="CI17" s="46" t="n"/>
      <c r="CJ17" s="46" t="n"/>
      <c r="CK17" s="46" t="n"/>
      <c r="CL17" s="46" t="n"/>
      <c r="CM17" s="46" t="n"/>
      <c r="CN17" s="46" t="n"/>
      <c r="CO17" s="46" t="n"/>
      <c r="CP17" s="46" t="n"/>
      <c r="CQ17" s="46" t="n"/>
      <c r="CR17" s="46" t="n"/>
      <c r="CS17" s="46" t="n"/>
      <c r="CT17" s="46" t="n"/>
      <c r="CU17" s="46" t="n"/>
      <c r="CV17" s="46" t="n"/>
      <c r="CW17" s="46" t="n"/>
      <c r="CX17" s="46" t="n"/>
      <c r="CY17" s="46" t="n"/>
      <c r="CZ17" s="46" t="n"/>
      <c r="DA17" s="46" t="n"/>
      <c r="DB17" s="46" t="n"/>
      <c r="DC17" s="46" t="n"/>
      <c r="DD17" s="46" t="n"/>
      <c r="DE17" s="46" t="n"/>
      <c r="DF17" s="46" t="n"/>
      <c r="DG17" s="46" t="n"/>
      <c r="DH17" s="46" t="n"/>
      <c r="DI17" s="46" t="n"/>
      <c r="DJ17" s="46" t="n"/>
      <c r="DK17" s="46" t="n"/>
      <c r="DL17" s="46" t="n"/>
      <c r="DM17" s="46" t="n"/>
      <c r="DN17" s="46" t="n"/>
      <c r="DO17" s="46" t="n"/>
      <c r="DP17" s="46" t="n"/>
      <c r="DQ17" s="46" t="n"/>
      <c r="DR17" s="46" t="n"/>
      <c r="DS17" s="46" t="n"/>
      <c r="DT17" s="46" t="n"/>
      <c r="DU17" s="46" t="n"/>
      <c r="DV17" s="46" t="n"/>
      <c r="DW17" s="46" t="n"/>
      <c r="DX17" s="46" t="n"/>
      <c r="DY17" s="46" t="n"/>
      <c r="DZ17" s="46" t="n"/>
      <c r="EA17" s="46" t="n"/>
      <c r="EB17" s="46" t="n"/>
      <c r="EC17" s="46" t="n"/>
      <c r="ED17" s="46" t="n"/>
      <c r="EE17" s="46" t="n"/>
      <c r="EF17" s="46" t="n"/>
      <c r="EG17" s="46" t="n"/>
      <c r="EH17" s="46" t="n"/>
      <c r="EI17" s="46" t="n"/>
      <c r="EJ17" s="46" t="n"/>
      <c r="EK17" s="46" t="n"/>
      <c r="EL17" s="46" t="n"/>
      <c r="EM17" s="46" t="n"/>
      <c r="EN17" s="46" t="n"/>
      <c r="EO17" s="46" t="n"/>
      <c r="EP17" s="46" t="n"/>
      <c r="EQ17" s="46" t="n"/>
      <c r="ER17" s="46" t="n"/>
      <c r="ES17" s="46" t="n"/>
      <c r="ET17" s="46" t="n"/>
      <c r="EU17" s="46" t="n"/>
      <c r="EV17" s="46" t="n"/>
      <c r="EW17" s="46" t="n"/>
      <c r="EX17" s="46" t="n"/>
      <c r="EY17" s="46" t="n"/>
      <c r="EZ17" s="46" t="n"/>
      <c r="FA17" s="46" t="n"/>
      <c r="FB17" s="46" t="n"/>
      <c r="FC17" s="46" t="n"/>
      <c r="FD17" s="46" t="n"/>
      <c r="FE17" s="46" t="n"/>
      <c r="FF17" s="46" t="n"/>
      <c r="FG17" s="46" t="n"/>
      <c r="FH17" s="46" t="n"/>
      <c r="FI17" s="46" t="n"/>
      <c r="FJ17" s="46" t="n"/>
      <c r="FK17" s="46" t="n"/>
      <c r="FL17" s="46" t="n"/>
      <c r="FM17" s="46" t="n"/>
      <c r="FN17" s="46" t="n"/>
    </row>
    <row r="18" ht="15" customFormat="1" customHeight="1" s="50">
      <c r="A18" s="49" t="n">
        <v>42522</v>
      </c>
      <c r="B18" s="43" t="n"/>
      <c r="C18" s="43" t="n">
        <v>202.415</v>
      </c>
      <c r="D18" s="44" t="n"/>
      <c r="E18" s="45" t="n"/>
      <c r="F18" s="46" t="n"/>
      <c r="G18" s="43" t="n">
        <v>116.628</v>
      </c>
      <c r="H18" s="43" t="n">
        <v>41.18243177346161</v>
      </c>
      <c r="I18" s="47">
        <f>G18/C18</f>
        <v/>
      </c>
      <c r="J18" s="46" t="n"/>
      <c r="K18" s="46" t="n">
        <v>174.761</v>
      </c>
      <c r="L18" s="46" t="n">
        <v>164.125</v>
      </c>
      <c r="M18" s="46" t="n">
        <v>159.596</v>
      </c>
      <c r="N18" s="45">
        <f>1-(M18/L18)</f>
        <v/>
      </c>
      <c r="O18" s="46" t="n">
        <v>168.648</v>
      </c>
      <c r="P18" s="48" t="n">
        <v>241</v>
      </c>
      <c r="Q18" s="46" t="n">
        <v>53.773</v>
      </c>
      <c r="R18" s="47">
        <f>K18/2/C18</f>
        <v/>
      </c>
      <c r="S18" s="46" t="n"/>
      <c r="T18" s="45">
        <f>R18+I18</f>
        <v/>
      </c>
      <c r="U18" s="46" t="n"/>
      <c r="V18" s="46" t="n"/>
      <c r="W18" s="46" t="n"/>
      <c r="X18" s="46" t="n"/>
      <c r="Y18" s="46" t="n"/>
      <c r="Z18" s="46" t="n"/>
      <c r="AA18" s="46" t="n"/>
      <c r="AB18" s="46" t="n"/>
      <c r="AC18" s="46" t="n"/>
      <c r="AD18" s="46" t="n"/>
      <c r="AE18" s="46" t="n"/>
      <c r="AF18" s="46" t="n"/>
      <c r="AG18" s="46" t="n"/>
      <c r="AH18" s="46" t="n"/>
      <c r="AI18" s="46" t="n"/>
      <c r="AJ18" s="46" t="n"/>
      <c r="AK18" s="46" t="n"/>
      <c r="AL18" s="46" t="n"/>
      <c r="AM18" s="46" t="n"/>
      <c r="AN18" s="46" t="n"/>
      <c r="AO18" s="46" t="n"/>
      <c r="AP18" s="46" t="n"/>
      <c r="AQ18" s="46" t="n"/>
      <c r="AR18" s="46" t="n"/>
      <c r="AS18" s="46" t="n"/>
      <c r="AT18" s="46" t="n"/>
      <c r="AU18" s="46" t="n"/>
      <c r="AV18" s="46" t="n"/>
      <c r="AW18" s="46" t="n"/>
      <c r="AX18" s="46" t="n"/>
      <c r="AY18" s="46" t="n"/>
      <c r="AZ18" s="46" t="n"/>
      <c r="BA18" s="46" t="n"/>
      <c r="BB18" s="46" t="n"/>
      <c r="BC18" s="46" t="n"/>
      <c r="BD18" s="46" t="n"/>
      <c r="BE18" s="46" t="n"/>
      <c r="BF18" s="46" t="n"/>
      <c r="BG18" s="46" t="n"/>
      <c r="BH18" s="46" t="n"/>
      <c r="BI18" s="46" t="n"/>
      <c r="BJ18" s="46" t="n"/>
      <c r="BK18" s="46" t="n"/>
      <c r="BL18" s="46" t="n"/>
      <c r="BM18" s="46" t="n"/>
      <c r="BN18" s="46" t="n"/>
      <c r="BO18" s="46" t="n"/>
      <c r="BP18" s="46" t="n"/>
      <c r="BQ18" s="46" t="n"/>
      <c r="BR18" s="46" t="n"/>
      <c r="BS18" s="46" t="n"/>
      <c r="BT18" s="46" t="n"/>
      <c r="BU18" s="46" t="n"/>
      <c r="BV18" s="46" t="n"/>
      <c r="BW18" s="46" t="n"/>
      <c r="BX18" s="46" t="n"/>
      <c r="BY18" s="46" t="n"/>
      <c r="BZ18" s="46" t="n"/>
      <c r="CA18" s="46" t="n"/>
      <c r="CB18" s="46" t="n"/>
      <c r="CC18" s="46" t="n"/>
      <c r="CD18" s="46" t="n"/>
      <c r="CE18" s="46" t="n"/>
      <c r="CF18" s="46" t="n"/>
      <c r="CG18" s="46" t="n"/>
      <c r="CH18" s="46" t="n"/>
      <c r="CI18" s="46" t="n"/>
      <c r="CJ18" s="46" t="n"/>
      <c r="CK18" s="46" t="n"/>
      <c r="CL18" s="46" t="n"/>
      <c r="CM18" s="46" t="n"/>
      <c r="CN18" s="46" t="n"/>
      <c r="CO18" s="46" t="n"/>
      <c r="CP18" s="46" t="n"/>
      <c r="CQ18" s="46" t="n"/>
      <c r="CR18" s="46" t="n"/>
      <c r="CS18" s="46" t="n"/>
      <c r="CT18" s="46" t="n"/>
      <c r="CU18" s="46" t="n"/>
      <c r="CV18" s="46" t="n"/>
      <c r="CW18" s="46" t="n"/>
      <c r="CX18" s="46" t="n"/>
      <c r="CY18" s="46" t="n"/>
      <c r="CZ18" s="46" t="n"/>
      <c r="DA18" s="46" t="n"/>
      <c r="DB18" s="46" t="n"/>
      <c r="DC18" s="46" t="n"/>
      <c r="DD18" s="46" t="n"/>
      <c r="DE18" s="46" t="n"/>
      <c r="DF18" s="46" t="n"/>
      <c r="DG18" s="46" t="n"/>
      <c r="DH18" s="46" t="n"/>
      <c r="DI18" s="46" t="n"/>
      <c r="DJ18" s="46" t="n"/>
      <c r="DK18" s="46" t="n"/>
      <c r="DL18" s="46" t="n"/>
      <c r="DM18" s="46" t="n"/>
      <c r="DN18" s="46" t="n"/>
      <c r="DO18" s="46" t="n"/>
      <c r="DP18" s="46" t="n"/>
      <c r="DQ18" s="46" t="n"/>
      <c r="DR18" s="46" t="n"/>
      <c r="DS18" s="46" t="n"/>
      <c r="DT18" s="46" t="n"/>
      <c r="DU18" s="46" t="n"/>
      <c r="DV18" s="46" t="n"/>
      <c r="DW18" s="46" t="n"/>
      <c r="DX18" s="46" t="n"/>
      <c r="DY18" s="46" t="n"/>
      <c r="DZ18" s="46" t="n"/>
      <c r="EA18" s="46" t="n"/>
      <c r="EB18" s="46" t="n"/>
      <c r="EC18" s="46" t="n"/>
      <c r="ED18" s="46" t="n"/>
      <c r="EE18" s="46" t="n"/>
      <c r="EF18" s="46" t="n"/>
      <c r="EG18" s="46" t="n"/>
      <c r="EH18" s="46" t="n"/>
      <c r="EI18" s="46" t="n"/>
      <c r="EJ18" s="46" t="n"/>
      <c r="EK18" s="46" t="n"/>
      <c r="EL18" s="46" t="n"/>
      <c r="EM18" s="46" t="n"/>
      <c r="EN18" s="46" t="n"/>
      <c r="EO18" s="46" t="n"/>
      <c r="EP18" s="46" t="n"/>
      <c r="EQ18" s="46" t="n"/>
      <c r="ER18" s="46" t="n"/>
      <c r="ES18" s="46" t="n"/>
      <c r="ET18" s="46" t="n"/>
      <c r="EU18" s="46" t="n"/>
      <c r="EV18" s="46" t="n"/>
      <c r="EW18" s="46" t="n"/>
      <c r="EX18" s="46" t="n"/>
      <c r="EY18" s="46" t="n"/>
      <c r="EZ18" s="46" t="n"/>
      <c r="FA18" s="46" t="n"/>
      <c r="FB18" s="46" t="n"/>
      <c r="FC18" s="46" t="n"/>
      <c r="FD18" s="46" t="n"/>
      <c r="FE18" s="46" t="n"/>
      <c r="FF18" s="46" t="n"/>
      <c r="FG18" s="46" t="n"/>
      <c r="FH18" s="46" t="n"/>
      <c r="FI18" s="46" t="n"/>
      <c r="FJ18" s="46" t="n"/>
      <c r="FK18" s="46" t="n"/>
      <c r="FL18" s="46" t="n"/>
      <c r="FM18" s="46" t="n"/>
      <c r="FN18" s="46" t="n"/>
    </row>
    <row r="19" ht="15" customFormat="1" customHeight="1" s="50">
      <c r="A19" s="49" t="n">
        <v>42552</v>
      </c>
      <c r="B19" s="43" t="n"/>
      <c r="C19" s="43" t="n">
        <v>201.506</v>
      </c>
      <c r="D19" s="44" t="n"/>
      <c r="E19" s="45" t="n"/>
      <c r="F19" s="46" t="n"/>
      <c r="G19" s="43" t="n">
        <v>110.072</v>
      </c>
      <c r="H19" s="43" t="n">
        <v>40.83456264782296</v>
      </c>
      <c r="I19" s="47">
        <f>G19/C19</f>
        <v/>
      </c>
      <c r="J19" s="46" t="n"/>
      <c r="K19" s="46" t="n">
        <v>162.239</v>
      </c>
      <c r="L19" s="46" t="n">
        <v>142.799</v>
      </c>
      <c r="M19" s="46" t="n">
        <v>137.673</v>
      </c>
      <c r="N19" s="45">
        <f>1-(M19/L19)</f>
        <v/>
      </c>
      <c r="O19" s="46" t="n">
        <v>153.088</v>
      </c>
      <c r="P19" s="48" t="n">
        <v>261</v>
      </c>
      <c r="Q19" s="46" t="n">
        <v>54.754</v>
      </c>
      <c r="R19" s="47">
        <f>K19/2/C19</f>
        <v/>
      </c>
      <c r="S19" s="46" t="n"/>
      <c r="T19" s="45">
        <f>R19+I19</f>
        <v/>
      </c>
      <c r="U19" s="46" t="n"/>
      <c r="V19" s="46" t="n"/>
      <c r="W19" s="46" t="n"/>
      <c r="X19" s="46" t="n"/>
      <c r="Y19" s="46" t="n"/>
      <c r="Z19" s="46" t="n"/>
      <c r="AA19" s="46" t="n"/>
      <c r="AB19" s="46" t="n"/>
      <c r="AC19" s="46" t="n"/>
      <c r="AD19" s="46" t="n"/>
      <c r="AE19" s="46" t="n"/>
      <c r="AF19" s="46" t="n"/>
      <c r="AG19" s="46" t="n"/>
      <c r="AH19" s="46" t="n"/>
      <c r="AI19" s="46" t="n"/>
      <c r="AJ19" s="46" t="n"/>
      <c r="AK19" s="46" t="n"/>
      <c r="AL19" s="46" t="n"/>
      <c r="AM19" s="46" t="n"/>
      <c r="AN19" s="46" t="n"/>
      <c r="AO19" s="46" t="n"/>
      <c r="AP19" s="46" t="n"/>
      <c r="AQ19" s="46" t="n"/>
      <c r="AR19" s="46" t="n"/>
      <c r="AS19" s="46" t="n"/>
      <c r="AT19" s="46" t="n"/>
      <c r="AU19" s="46" t="n"/>
      <c r="AV19" s="46" t="n"/>
      <c r="AW19" s="46" t="n"/>
      <c r="AX19" s="46" t="n"/>
      <c r="AY19" s="46" t="n"/>
      <c r="AZ19" s="46" t="n"/>
      <c r="BA19" s="46" t="n"/>
      <c r="BB19" s="46" t="n"/>
      <c r="BC19" s="46" t="n"/>
      <c r="BD19" s="46" t="n"/>
      <c r="BE19" s="46" t="n"/>
      <c r="BF19" s="46" t="n"/>
      <c r="BG19" s="46" t="n"/>
      <c r="BH19" s="46" t="n"/>
      <c r="BI19" s="46" t="n"/>
      <c r="BJ19" s="46" t="n"/>
      <c r="BK19" s="46" t="n"/>
      <c r="BL19" s="46" t="n"/>
      <c r="BM19" s="46" t="n"/>
      <c r="BN19" s="46" t="n"/>
      <c r="BO19" s="46" t="n"/>
      <c r="BP19" s="46" t="n"/>
      <c r="BQ19" s="46" t="n"/>
      <c r="BR19" s="46" t="n"/>
      <c r="BS19" s="46" t="n"/>
      <c r="BT19" s="46" t="n"/>
      <c r="BU19" s="46" t="n"/>
      <c r="BV19" s="46" t="n"/>
      <c r="BW19" s="46" t="n"/>
      <c r="BX19" s="46" t="n"/>
      <c r="BY19" s="46" t="n"/>
      <c r="BZ19" s="46" t="n"/>
      <c r="CA19" s="46" t="n"/>
      <c r="CB19" s="46" t="n"/>
      <c r="CC19" s="46" t="n"/>
      <c r="CD19" s="46" t="n"/>
      <c r="CE19" s="46" t="n"/>
      <c r="CF19" s="46" t="n"/>
      <c r="CG19" s="46" t="n"/>
      <c r="CH19" s="46" t="n"/>
      <c r="CI19" s="46" t="n"/>
      <c r="CJ19" s="46" t="n"/>
      <c r="CK19" s="46" t="n"/>
      <c r="CL19" s="46" t="n"/>
      <c r="CM19" s="46" t="n"/>
      <c r="CN19" s="46" t="n"/>
      <c r="CO19" s="46" t="n"/>
      <c r="CP19" s="46" t="n"/>
      <c r="CQ19" s="46" t="n"/>
      <c r="CR19" s="46" t="n"/>
      <c r="CS19" s="46" t="n"/>
      <c r="CT19" s="46" t="n"/>
      <c r="CU19" s="46" t="n"/>
      <c r="CV19" s="46" t="n"/>
      <c r="CW19" s="46" t="n"/>
      <c r="CX19" s="46" t="n"/>
      <c r="CY19" s="46" t="n"/>
      <c r="CZ19" s="46" t="n"/>
      <c r="DA19" s="46" t="n"/>
      <c r="DB19" s="46" t="n"/>
      <c r="DC19" s="46" t="n"/>
      <c r="DD19" s="46" t="n"/>
      <c r="DE19" s="46" t="n"/>
      <c r="DF19" s="46" t="n"/>
      <c r="DG19" s="46" t="n"/>
      <c r="DH19" s="46" t="n"/>
      <c r="DI19" s="46" t="n"/>
      <c r="DJ19" s="46" t="n"/>
      <c r="DK19" s="46" t="n"/>
      <c r="DL19" s="46" t="n"/>
      <c r="DM19" s="46" t="n"/>
      <c r="DN19" s="46" t="n"/>
      <c r="DO19" s="46" t="n"/>
      <c r="DP19" s="46" t="n"/>
      <c r="DQ19" s="46" t="n"/>
      <c r="DR19" s="46" t="n"/>
      <c r="DS19" s="46" t="n"/>
      <c r="DT19" s="46" t="n"/>
      <c r="DU19" s="46" t="n"/>
      <c r="DV19" s="46" t="n"/>
      <c r="DW19" s="46" t="n"/>
      <c r="DX19" s="46" t="n"/>
      <c r="DY19" s="46" t="n"/>
      <c r="DZ19" s="46" t="n"/>
      <c r="EA19" s="46" t="n"/>
      <c r="EB19" s="46" t="n"/>
      <c r="EC19" s="46" t="n"/>
      <c r="ED19" s="46" t="n"/>
      <c r="EE19" s="46" t="n"/>
      <c r="EF19" s="46" t="n"/>
      <c r="EG19" s="46" t="n"/>
      <c r="EH19" s="46" t="n"/>
      <c r="EI19" s="46" t="n"/>
      <c r="EJ19" s="46" t="n"/>
      <c r="EK19" s="46" t="n"/>
      <c r="EL19" s="46" t="n"/>
      <c r="EM19" s="46" t="n"/>
      <c r="EN19" s="46" t="n"/>
      <c r="EO19" s="46" t="n"/>
      <c r="EP19" s="46" t="n"/>
      <c r="EQ19" s="46" t="n"/>
      <c r="ER19" s="46" t="n"/>
      <c r="ES19" s="46" t="n"/>
      <c r="ET19" s="46" t="n"/>
      <c r="EU19" s="46" t="n"/>
      <c r="EV19" s="46" t="n"/>
      <c r="EW19" s="46" t="n"/>
      <c r="EX19" s="46" t="n"/>
      <c r="EY19" s="46" t="n"/>
      <c r="EZ19" s="46" t="n"/>
      <c r="FA19" s="46" t="n"/>
      <c r="FB19" s="46" t="n"/>
      <c r="FC19" s="46" t="n"/>
      <c r="FD19" s="46" t="n"/>
      <c r="FE19" s="46" t="n"/>
      <c r="FF19" s="46" t="n"/>
      <c r="FG19" s="46" t="n"/>
      <c r="FH19" s="46" t="n"/>
      <c r="FI19" s="46" t="n"/>
      <c r="FJ19" s="46" t="n"/>
      <c r="FK19" s="46" t="n"/>
      <c r="FL19" s="46" t="n"/>
      <c r="FM19" s="46" t="n"/>
      <c r="FN19" s="46" t="n"/>
    </row>
    <row r="20" ht="15" customFormat="1" customHeight="1" s="50">
      <c r="A20" s="49" t="n">
        <v>42583</v>
      </c>
      <c r="B20" s="43" t="n"/>
      <c r="C20" s="43" t="n">
        <v>174.164</v>
      </c>
      <c r="D20" s="44" t="n"/>
      <c r="E20" s="45" t="n"/>
      <c r="F20" s="46" t="n"/>
      <c r="G20" s="43" t="n">
        <v>101.353</v>
      </c>
      <c r="H20" s="43" t="n">
        <v>40.37192218009212</v>
      </c>
      <c r="I20" s="47">
        <f>G20/C20</f>
        <v/>
      </c>
      <c r="J20" s="46" t="n"/>
      <c r="K20" s="46" t="n">
        <v>146.06</v>
      </c>
      <c r="L20" s="46" t="n">
        <v>118.238</v>
      </c>
      <c r="M20" s="46" t="n">
        <v>114.497</v>
      </c>
      <c r="N20" s="45">
        <f>1-(M20/L20)</f>
        <v/>
      </c>
      <c r="O20" s="46" t="n">
        <v>144.025</v>
      </c>
      <c r="P20" s="46" t="n">
        <v>252.305</v>
      </c>
      <c r="Q20" s="46" t="n">
        <v>48.571</v>
      </c>
      <c r="R20" s="47">
        <f>K20/2/C20</f>
        <v/>
      </c>
      <c r="S20" s="46" t="n"/>
      <c r="T20" s="45">
        <f>R20+I20</f>
        <v/>
      </c>
      <c r="U20" s="46" t="n"/>
      <c r="V20" s="46" t="n"/>
      <c r="W20" s="46" t="n"/>
      <c r="X20" s="46" t="n"/>
      <c r="Y20" s="46" t="n"/>
      <c r="Z20" s="46" t="n"/>
      <c r="AA20" s="46" t="n"/>
      <c r="AB20" s="46" t="n"/>
      <c r="AC20" s="46" t="n"/>
      <c r="AD20" s="46" t="n"/>
      <c r="AE20" s="46" t="n"/>
      <c r="AF20" s="46" t="n"/>
      <c r="AG20" s="46" t="n"/>
      <c r="AH20" s="46" t="n"/>
      <c r="AI20" s="46" t="n"/>
      <c r="AJ20" s="46" t="n"/>
      <c r="AK20" s="46" t="n"/>
      <c r="AL20" s="46" t="n"/>
      <c r="AM20" s="46" t="n"/>
      <c r="AN20" s="46" t="n"/>
      <c r="AO20" s="46" t="n"/>
      <c r="AP20" s="46" t="n"/>
      <c r="AQ20" s="46" t="n"/>
      <c r="AR20" s="46" t="n"/>
      <c r="AS20" s="46" t="n"/>
      <c r="AT20" s="46" t="n"/>
      <c r="AU20" s="46" t="n"/>
      <c r="AV20" s="46" t="n"/>
      <c r="AW20" s="46" t="n"/>
      <c r="AX20" s="46" t="n"/>
      <c r="AY20" s="46" t="n"/>
      <c r="AZ20" s="46" t="n"/>
      <c r="BA20" s="46" t="n"/>
      <c r="BB20" s="46" t="n"/>
      <c r="BC20" s="46" t="n"/>
      <c r="BD20" s="46" t="n"/>
      <c r="BE20" s="46" t="n"/>
      <c r="BF20" s="46" t="n"/>
      <c r="BG20" s="46" t="n"/>
      <c r="BH20" s="46" t="n"/>
      <c r="BI20" s="46" t="n"/>
      <c r="BJ20" s="46" t="n"/>
      <c r="BK20" s="46" t="n"/>
      <c r="BL20" s="46" t="n"/>
      <c r="BM20" s="46" t="n"/>
      <c r="BN20" s="46" t="n"/>
      <c r="BO20" s="46" t="n"/>
      <c r="BP20" s="46" t="n"/>
      <c r="BQ20" s="46" t="n"/>
      <c r="BR20" s="46" t="n"/>
      <c r="BS20" s="46" t="n"/>
      <c r="BT20" s="46" t="n"/>
      <c r="BU20" s="46" t="n"/>
      <c r="BV20" s="46" t="n"/>
      <c r="BW20" s="46" t="n"/>
      <c r="BX20" s="46" t="n"/>
      <c r="BY20" s="46" t="n"/>
      <c r="BZ20" s="46" t="n"/>
      <c r="CA20" s="46" t="n"/>
      <c r="CB20" s="46" t="n"/>
      <c r="CC20" s="46" t="n"/>
      <c r="CD20" s="46" t="n"/>
      <c r="CE20" s="46" t="n"/>
      <c r="CF20" s="46" t="n"/>
      <c r="CG20" s="46" t="n"/>
      <c r="CH20" s="46" t="n"/>
      <c r="CI20" s="46" t="n"/>
      <c r="CJ20" s="46" t="n"/>
      <c r="CK20" s="46" t="n"/>
      <c r="CL20" s="46" t="n"/>
      <c r="CM20" s="46" t="n"/>
      <c r="CN20" s="46" t="n"/>
      <c r="CO20" s="46" t="n"/>
      <c r="CP20" s="46" t="n"/>
      <c r="CQ20" s="46" t="n"/>
      <c r="CR20" s="46" t="n"/>
      <c r="CS20" s="46" t="n"/>
      <c r="CT20" s="46" t="n"/>
      <c r="CU20" s="46" t="n"/>
      <c r="CV20" s="46" t="n"/>
      <c r="CW20" s="46" t="n"/>
      <c r="CX20" s="46" t="n"/>
      <c r="CY20" s="46" t="n"/>
      <c r="CZ20" s="46" t="n"/>
      <c r="DA20" s="46" t="n"/>
      <c r="DB20" s="46" t="n"/>
      <c r="DC20" s="46" t="n"/>
      <c r="DD20" s="46" t="n"/>
      <c r="DE20" s="46" t="n"/>
      <c r="DF20" s="46" t="n"/>
      <c r="DG20" s="46" t="n"/>
      <c r="DH20" s="46" t="n"/>
      <c r="DI20" s="46" t="n"/>
      <c r="DJ20" s="46" t="n"/>
      <c r="DK20" s="46" t="n"/>
      <c r="DL20" s="46" t="n"/>
      <c r="DM20" s="46" t="n"/>
      <c r="DN20" s="46" t="n"/>
      <c r="DO20" s="46" t="n"/>
      <c r="DP20" s="46" t="n"/>
      <c r="DQ20" s="46" t="n"/>
      <c r="DR20" s="46" t="n"/>
      <c r="DS20" s="46" t="n"/>
      <c r="DT20" s="46" t="n"/>
      <c r="DU20" s="46" t="n"/>
      <c r="DV20" s="46" t="n"/>
      <c r="DW20" s="46" t="n"/>
      <c r="DX20" s="46" t="n"/>
      <c r="DY20" s="46" t="n"/>
      <c r="DZ20" s="46" t="n"/>
      <c r="EA20" s="46" t="n"/>
      <c r="EB20" s="46" t="n"/>
      <c r="EC20" s="46" t="n"/>
      <c r="ED20" s="46" t="n"/>
      <c r="EE20" s="46" t="n"/>
      <c r="EF20" s="46" t="n"/>
      <c r="EG20" s="46" t="n"/>
      <c r="EH20" s="46" t="n"/>
      <c r="EI20" s="46" t="n"/>
      <c r="EJ20" s="46" t="n"/>
      <c r="EK20" s="46" t="n"/>
      <c r="EL20" s="46" t="n"/>
      <c r="EM20" s="46" t="n"/>
      <c r="EN20" s="46" t="n"/>
      <c r="EO20" s="46" t="n"/>
      <c r="EP20" s="46" t="n"/>
      <c r="EQ20" s="46" t="n"/>
      <c r="ER20" s="46" t="n"/>
      <c r="ES20" s="46" t="n"/>
      <c r="ET20" s="46" t="n"/>
      <c r="EU20" s="46" t="n"/>
      <c r="EV20" s="46" t="n"/>
      <c r="EW20" s="46" t="n"/>
      <c r="EX20" s="46" t="n"/>
      <c r="EY20" s="46" t="n"/>
      <c r="EZ20" s="46" t="n"/>
      <c r="FA20" s="46" t="n"/>
      <c r="FB20" s="46" t="n"/>
      <c r="FC20" s="46" t="n"/>
      <c r="FD20" s="46" t="n"/>
      <c r="FE20" s="46" t="n"/>
      <c r="FF20" s="46" t="n"/>
      <c r="FG20" s="46" t="n"/>
      <c r="FH20" s="46" t="n"/>
      <c r="FI20" s="46" t="n"/>
      <c r="FJ20" s="46" t="n"/>
      <c r="FK20" s="46" t="n"/>
      <c r="FL20" s="46" t="n"/>
      <c r="FM20" s="46" t="n"/>
      <c r="FN20" s="46" t="n"/>
    </row>
    <row r="21" ht="15" customFormat="1" customHeight="1" s="50">
      <c r="A21" s="49" t="n">
        <v>42614</v>
      </c>
      <c r="B21" s="43" t="n"/>
      <c r="C21" s="43" t="n">
        <v>213.176</v>
      </c>
      <c r="D21" s="44" t="n"/>
      <c r="E21" s="45" t="n"/>
      <c r="F21" s="46" t="n"/>
      <c r="G21" s="43" t="n">
        <v>120.435</v>
      </c>
      <c r="H21" s="43" t="n">
        <v>41.38443570288602</v>
      </c>
      <c r="I21" s="47">
        <f>G21/C21</f>
        <v/>
      </c>
      <c r="J21" s="46" t="n"/>
      <c r="K21" s="46" t="n">
        <v>183.019</v>
      </c>
      <c r="L21" s="46" t="n">
        <v>176.68</v>
      </c>
      <c r="M21" s="46" t="n">
        <v>173.184</v>
      </c>
      <c r="N21" s="45">
        <f>1-(M21/L21)</f>
        <v/>
      </c>
      <c r="O21" s="46" t="n">
        <v>160.876</v>
      </c>
      <c r="P21" s="48" t="n">
        <v>242</v>
      </c>
      <c r="Q21" s="46" t="n">
        <v>52.783</v>
      </c>
      <c r="R21" s="47">
        <f>K21/2/C21</f>
        <v/>
      </c>
      <c r="S21" s="46" t="n"/>
      <c r="T21" s="45">
        <f>R21+I21</f>
        <v/>
      </c>
      <c r="U21" s="46" t="n"/>
      <c r="V21" s="46" t="n"/>
      <c r="W21" s="46" t="n"/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46" t="n"/>
      <c r="AH21" s="46" t="n"/>
      <c r="AI21" s="46" t="n"/>
      <c r="AJ21" s="46" t="n"/>
      <c r="AK21" s="46" t="n"/>
      <c r="AL21" s="46" t="n"/>
      <c r="AM21" s="46" t="n"/>
      <c r="AN21" s="46" t="n"/>
      <c r="AO21" s="46" t="n"/>
      <c r="AP21" s="46" t="n"/>
      <c r="AQ21" s="46" t="n"/>
      <c r="AR21" s="46" t="n"/>
      <c r="AS21" s="46" t="n"/>
      <c r="AT21" s="46" t="n"/>
      <c r="AU21" s="46" t="n"/>
      <c r="AV21" s="46" t="n"/>
      <c r="AW21" s="46" t="n"/>
      <c r="AX21" s="46" t="n"/>
      <c r="AY21" s="46" t="n"/>
      <c r="AZ21" s="46" t="n"/>
      <c r="BA21" s="46" t="n"/>
      <c r="BB21" s="46" t="n"/>
      <c r="BC21" s="46" t="n"/>
      <c r="BD21" s="46" t="n"/>
      <c r="BE21" s="46" t="n"/>
      <c r="BF21" s="46" t="n"/>
      <c r="BG21" s="46" t="n"/>
      <c r="BH21" s="46" t="n"/>
      <c r="BI21" s="46" t="n"/>
      <c r="BJ21" s="46" t="n"/>
      <c r="BK21" s="46" t="n"/>
      <c r="BL21" s="46" t="n"/>
      <c r="BM21" s="46" t="n"/>
      <c r="BN21" s="46" t="n"/>
      <c r="BO21" s="46" t="n"/>
      <c r="BP21" s="46" t="n"/>
      <c r="BQ21" s="46" t="n"/>
      <c r="BR21" s="46" t="n"/>
      <c r="BS21" s="46" t="n"/>
      <c r="BT21" s="46" t="n"/>
      <c r="BU21" s="46" t="n"/>
      <c r="BV21" s="46" t="n"/>
      <c r="BW21" s="46" t="n"/>
      <c r="BX21" s="46" t="n"/>
      <c r="BY21" s="46" t="n"/>
      <c r="BZ21" s="46" t="n"/>
      <c r="CA21" s="46" t="n"/>
      <c r="CB21" s="46" t="n"/>
      <c r="CC21" s="46" t="n"/>
      <c r="CD21" s="46" t="n"/>
      <c r="CE21" s="46" t="n"/>
      <c r="CF21" s="46" t="n"/>
      <c r="CG21" s="46" t="n"/>
      <c r="CH21" s="46" t="n"/>
      <c r="CI21" s="46" t="n"/>
      <c r="CJ21" s="46" t="n"/>
      <c r="CK21" s="46" t="n"/>
      <c r="CL21" s="46" t="n"/>
      <c r="CM21" s="46" t="n"/>
      <c r="CN21" s="46" t="n"/>
      <c r="CO21" s="46" t="n"/>
      <c r="CP21" s="46" t="n"/>
      <c r="CQ21" s="46" t="n"/>
      <c r="CR21" s="46" t="n"/>
      <c r="CS21" s="46" t="n"/>
      <c r="CT21" s="46" t="n"/>
      <c r="CU21" s="46" t="n"/>
      <c r="CV21" s="46" t="n"/>
      <c r="CW21" s="46" t="n"/>
      <c r="CX21" s="46" t="n"/>
      <c r="CY21" s="46" t="n"/>
      <c r="CZ21" s="46" t="n"/>
      <c r="DA21" s="46" t="n"/>
      <c r="DB21" s="46" t="n"/>
      <c r="DC21" s="46" t="n"/>
      <c r="DD21" s="46" t="n"/>
      <c r="DE21" s="46" t="n"/>
      <c r="DF21" s="46" t="n"/>
      <c r="DG21" s="46" t="n"/>
      <c r="DH21" s="46" t="n"/>
      <c r="DI21" s="46" t="n"/>
      <c r="DJ21" s="46" t="n"/>
      <c r="DK21" s="46" t="n"/>
      <c r="DL21" s="46" t="n"/>
      <c r="DM21" s="46" t="n"/>
      <c r="DN21" s="46" t="n"/>
      <c r="DO21" s="46" t="n"/>
      <c r="DP21" s="46" t="n"/>
      <c r="DQ21" s="46" t="n"/>
      <c r="DR21" s="46" t="n"/>
      <c r="DS21" s="46" t="n"/>
      <c r="DT21" s="46" t="n"/>
      <c r="DU21" s="46" t="n"/>
      <c r="DV21" s="46" t="n"/>
      <c r="DW21" s="46" t="n"/>
      <c r="DX21" s="46" t="n"/>
      <c r="DY21" s="46" t="n"/>
      <c r="DZ21" s="46" t="n"/>
      <c r="EA21" s="46" t="n"/>
      <c r="EB21" s="46" t="n"/>
      <c r="EC21" s="46" t="n"/>
      <c r="ED21" s="46" t="n"/>
      <c r="EE21" s="46" t="n"/>
      <c r="EF21" s="46" t="n"/>
      <c r="EG21" s="46" t="n"/>
      <c r="EH21" s="46" t="n"/>
      <c r="EI21" s="46" t="n"/>
      <c r="EJ21" s="46" t="n"/>
      <c r="EK21" s="46" t="n"/>
      <c r="EL21" s="46" t="n"/>
      <c r="EM21" s="46" t="n"/>
      <c r="EN21" s="46" t="n"/>
      <c r="EO21" s="46" t="n"/>
      <c r="EP21" s="46" t="n"/>
      <c r="EQ21" s="46" t="n"/>
      <c r="ER21" s="46" t="n"/>
      <c r="ES21" s="46" t="n"/>
      <c r="ET21" s="46" t="n"/>
      <c r="EU21" s="46" t="n"/>
      <c r="EV21" s="46" t="n"/>
      <c r="EW21" s="46" t="n"/>
      <c r="EX21" s="46" t="n"/>
      <c r="EY21" s="46" t="n"/>
      <c r="EZ21" s="46" t="n"/>
      <c r="FA21" s="46" t="n"/>
      <c r="FB21" s="46" t="n"/>
      <c r="FC21" s="46" t="n"/>
      <c r="FD21" s="46" t="n"/>
      <c r="FE21" s="46" t="n"/>
      <c r="FF21" s="46" t="n"/>
      <c r="FG21" s="46" t="n"/>
      <c r="FH21" s="46" t="n"/>
      <c r="FI21" s="46" t="n"/>
      <c r="FJ21" s="46" t="n"/>
      <c r="FK21" s="46" t="n"/>
      <c r="FL21" s="46" t="n"/>
      <c r="FM21" s="46" t="n"/>
      <c r="FN21" s="46" t="n"/>
    </row>
    <row r="22" ht="15" customFormat="1" customHeight="1" s="50">
      <c r="A22" s="49" t="n">
        <v>42644</v>
      </c>
      <c r="B22" s="43" t="n"/>
      <c r="C22" s="43" t="n">
        <v>213.23</v>
      </c>
      <c r="D22" s="44" t="n"/>
      <c r="E22" s="45" t="n"/>
      <c r="F22" s="46" t="n"/>
      <c r="G22" s="43" t="n">
        <v>121.184</v>
      </c>
      <c r="H22" s="43" t="n">
        <v>41.424178530083</v>
      </c>
      <c r="I22" s="47">
        <f>G22/C22</f>
        <v/>
      </c>
      <c r="J22" s="46" t="n"/>
      <c r="K22" s="46" t="n">
        <v>177.076</v>
      </c>
      <c r="L22" s="46" t="n">
        <v>171.639</v>
      </c>
      <c r="M22" s="46" t="n">
        <v>166.881</v>
      </c>
      <c r="N22" s="45">
        <f>1-(M22/L22)</f>
        <v/>
      </c>
      <c r="O22" s="46" t="n">
        <v>170.979</v>
      </c>
      <c r="P22" s="48" t="n">
        <v>233</v>
      </c>
      <c r="Q22" s="46" t="n">
        <v>52.157</v>
      </c>
      <c r="R22" s="47">
        <f>K22/2/C22</f>
        <v/>
      </c>
      <c r="S22" s="46" t="n"/>
      <c r="T22" s="45">
        <f>R22+I22</f>
        <v/>
      </c>
      <c r="U22" s="46" t="n"/>
      <c r="V22" s="46" t="n"/>
      <c r="W22" s="46" t="n"/>
      <c r="X22" s="46" t="n"/>
      <c r="Y22" s="46" t="n"/>
      <c r="Z22" s="46" t="n"/>
      <c r="AA22" s="46" t="n"/>
      <c r="AB22" s="46" t="n"/>
      <c r="AC22" s="46" t="n"/>
      <c r="AD22" s="46" t="n"/>
      <c r="AE22" s="46" t="n"/>
      <c r="AF22" s="46" t="n"/>
      <c r="AG22" s="46" t="n"/>
      <c r="AH22" s="46" t="n"/>
      <c r="AI22" s="46" t="n"/>
      <c r="AJ22" s="46" t="n"/>
      <c r="AK22" s="46" t="n"/>
      <c r="AL22" s="46" t="n"/>
      <c r="AM22" s="46" t="n"/>
      <c r="AN22" s="46" t="n"/>
      <c r="AO22" s="46" t="n"/>
      <c r="AP22" s="46" t="n"/>
      <c r="AQ22" s="46" t="n"/>
      <c r="AR22" s="46" t="n"/>
      <c r="AS22" s="46" t="n"/>
      <c r="AT22" s="46" t="n"/>
      <c r="AU22" s="46" t="n"/>
      <c r="AV22" s="46" t="n"/>
      <c r="AW22" s="46" t="n"/>
      <c r="AX22" s="46" t="n"/>
      <c r="AY22" s="46" t="n"/>
      <c r="AZ22" s="46" t="n"/>
      <c r="BA22" s="46" t="n"/>
      <c r="BB22" s="46" t="n"/>
      <c r="BC22" s="46" t="n"/>
      <c r="BD22" s="46" t="n"/>
      <c r="BE22" s="46" t="n"/>
      <c r="BF22" s="46" t="n"/>
      <c r="BG22" s="46" t="n"/>
      <c r="BH22" s="46" t="n"/>
      <c r="BI22" s="46" t="n"/>
      <c r="BJ22" s="46" t="n"/>
      <c r="BK22" s="46" t="n"/>
      <c r="BL22" s="46" t="n"/>
      <c r="BM22" s="46" t="n"/>
      <c r="BN22" s="46" t="n"/>
      <c r="BO22" s="46" t="n"/>
      <c r="BP22" s="46" t="n"/>
      <c r="BQ22" s="46" t="n"/>
      <c r="BR22" s="46" t="n"/>
      <c r="BS22" s="46" t="n"/>
      <c r="BT22" s="46" t="n"/>
      <c r="BU22" s="46" t="n"/>
      <c r="BV22" s="46" t="n"/>
      <c r="BW22" s="46" t="n"/>
      <c r="BX22" s="46" t="n"/>
      <c r="BY22" s="46" t="n"/>
      <c r="BZ22" s="46" t="n"/>
      <c r="CA22" s="46" t="n"/>
      <c r="CB22" s="46" t="n"/>
      <c r="CC22" s="46" t="n"/>
      <c r="CD22" s="46" t="n"/>
      <c r="CE22" s="46" t="n"/>
      <c r="CF22" s="46" t="n"/>
      <c r="CG22" s="46" t="n"/>
      <c r="CH22" s="46" t="n"/>
      <c r="CI22" s="46" t="n"/>
      <c r="CJ22" s="46" t="n"/>
      <c r="CK22" s="46" t="n"/>
      <c r="CL22" s="46" t="n"/>
      <c r="CM22" s="46" t="n"/>
      <c r="CN22" s="46" t="n"/>
      <c r="CO22" s="46" t="n"/>
      <c r="CP22" s="46" t="n"/>
      <c r="CQ22" s="46" t="n"/>
      <c r="CR22" s="46" t="n"/>
      <c r="CS22" s="46" t="n"/>
      <c r="CT22" s="46" t="n"/>
      <c r="CU22" s="46" t="n"/>
      <c r="CV22" s="46" t="n"/>
      <c r="CW22" s="46" t="n"/>
      <c r="CX22" s="46" t="n"/>
      <c r="CY22" s="46" t="n"/>
      <c r="CZ22" s="46" t="n"/>
      <c r="DA22" s="46" t="n"/>
      <c r="DB22" s="46" t="n"/>
      <c r="DC22" s="46" t="n"/>
      <c r="DD22" s="46" t="n"/>
      <c r="DE22" s="46" t="n"/>
      <c r="DF22" s="46" t="n"/>
      <c r="DG22" s="46" t="n"/>
      <c r="DH22" s="46" t="n"/>
      <c r="DI22" s="46" t="n"/>
      <c r="DJ22" s="46" t="n"/>
      <c r="DK22" s="46" t="n"/>
      <c r="DL22" s="46" t="n"/>
      <c r="DM22" s="46" t="n"/>
      <c r="DN22" s="46" t="n"/>
      <c r="DO22" s="46" t="n"/>
      <c r="DP22" s="46" t="n"/>
      <c r="DQ22" s="46" t="n"/>
      <c r="DR22" s="46" t="n"/>
      <c r="DS22" s="46" t="n"/>
      <c r="DT22" s="46" t="n"/>
      <c r="DU22" s="46" t="n"/>
      <c r="DV22" s="46" t="n"/>
      <c r="DW22" s="46" t="n"/>
      <c r="DX22" s="46" t="n"/>
      <c r="DY22" s="46" t="n"/>
      <c r="DZ22" s="46" t="n"/>
      <c r="EA22" s="46" t="n"/>
      <c r="EB22" s="46" t="n"/>
      <c r="EC22" s="46" t="n"/>
      <c r="ED22" s="46" t="n"/>
      <c r="EE22" s="46" t="n"/>
      <c r="EF22" s="46" t="n"/>
      <c r="EG22" s="46" t="n"/>
      <c r="EH22" s="46" t="n"/>
      <c r="EI22" s="46" t="n"/>
      <c r="EJ22" s="46" t="n"/>
      <c r="EK22" s="46" t="n"/>
      <c r="EL22" s="46" t="n"/>
      <c r="EM22" s="46" t="n"/>
      <c r="EN22" s="46" t="n"/>
      <c r="EO22" s="46" t="n"/>
      <c r="EP22" s="46" t="n"/>
      <c r="EQ22" s="46" t="n"/>
      <c r="ER22" s="46" t="n"/>
      <c r="ES22" s="46" t="n"/>
      <c r="ET22" s="46" t="n"/>
      <c r="EU22" s="46" t="n"/>
      <c r="EV22" s="46" t="n"/>
      <c r="EW22" s="46" t="n"/>
      <c r="EX22" s="46" t="n"/>
      <c r="EY22" s="46" t="n"/>
      <c r="EZ22" s="46" t="n"/>
      <c r="FA22" s="46" t="n"/>
      <c r="FB22" s="46" t="n"/>
      <c r="FC22" s="46" t="n"/>
      <c r="FD22" s="46" t="n"/>
      <c r="FE22" s="46" t="n"/>
      <c r="FF22" s="46" t="n"/>
      <c r="FG22" s="46" t="n"/>
      <c r="FH22" s="46" t="n"/>
      <c r="FI22" s="46" t="n"/>
      <c r="FJ22" s="46" t="n"/>
      <c r="FK22" s="46" t="n"/>
      <c r="FL22" s="46" t="n"/>
      <c r="FM22" s="46" t="n"/>
      <c r="FN22" s="46" t="n"/>
    </row>
    <row r="23" ht="15" customFormat="1" customHeight="1" s="50">
      <c r="A23" s="49" t="n">
        <v>42675</v>
      </c>
      <c r="B23" s="43" t="n"/>
      <c r="C23" s="43" t="n">
        <v>209.432</v>
      </c>
      <c r="D23" s="44" t="n"/>
      <c r="E23" s="45" t="n"/>
      <c r="F23" s="46" t="n"/>
      <c r="G23" s="43" t="n">
        <v>117.056</v>
      </c>
      <c r="H23" s="43" t="n">
        <v>41.20514196043132</v>
      </c>
      <c r="I23" s="47">
        <f>G23/C23</f>
        <v/>
      </c>
      <c r="J23" s="46" t="n"/>
      <c r="K23" s="46" t="n">
        <v>178.189</v>
      </c>
      <c r="L23" s="46" t="n">
        <v>167.222</v>
      </c>
      <c r="M23" s="46" t="n">
        <v>161.95</v>
      </c>
      <c r="N23" s="45">
        <f>1-(M23/L23)</f>
        <v/>
      </c>
      <c r="O23" s="46" t="n">
        <v>160.326</v>
      </c>
      <c r="P23" s="46" t="n">
        <v>239.673</v>
      </c>
      <c r="Q23" s="46" t="n">
        <v>66.46599999999999</v>
      </c>
      <c r="R23" s="47">
        <f>K23/2/C23</f>
        <v/>
      </c>
      <c r="S23" s="46" t="n"/>
      <c r="T23" s="45">
        <f>R23+I23</f>
        <v/>
      </c>
      <c r="U23" s="46" t="n"/>
      <c r="V23" s="46" t="n"/>
      <c r="W23" s="46" t="n"/>
      <c r="X23" s="46" t="n"/>
      <c r="Y23" s="46" t="n"/>
      <c r="Z23" s="46" t="n"/>
      <c r="AA23" s="46" t="n"/>
      <c r="AB23" s="46" t="n"/>
      <c r="AC23" s="46" t="n"/>
      <c r="AD23" s="46" t="n"/>
      <c r="AE23" s="46" t="n"/>
      <c r="AF23" s="46" t="n"/>
      <c r="AG23" s="46" t="n"/>
      <c r="AH23" s="46" t="n"/>
      <c r="AI23" s="46" t="n"/>
      <c r="AJ23" s="46" t="n"/>
      <c r="AK23" s="46" t="n"/>
      <c r="AL23" s="46" t="n"/>
      <c r="AM23" s="46" t="n"/>
      <c r="AN23" s="46" t="n"/>
      <c r="AO23" s="46" t="n"/>
      <c r="AP23" s="46" t="n"/>
      <c r="AQ23" s="46" t="n"/>
      <c r="AR23" s="46" t="n"/>
      <c r="AS23" s="46" t="n"/>
      <c r="AT23" s="46" t="n"/>
      <c r="AU23" s="46" t="n"/>
      <c r="AV23" s="46" t="n"/>
      <c r="AW23" s="46" t="n"/>
      <c r="AX23" s="46" t="n"/>
      <c r="AY23" s="46" t="n"/>
      <c r="AZ23" s="46" t="n"/>
      <c r="BA23" s="46" t="n"/>
      <c r="BB23" s="46" t="n"/>
      <c r="BC23" s="46" t="n"/>
      <c r="BD23" s="46" t="n"/>
      <c r="BE23" s="46" t="n"/>
      <c r="BF23" s="46" t="n"/>
      <c r="BG23" s="46" t="n"/>
      <c r="BH23" s="46" t="n"/>
      <c r="BI23" s="46" t="n"/>
      <c r="BJ23" s="46" t="n"/>
      <c r="BK23" s="46" t="n"/>
      <c r="BL23" s="46" t="n"/>
      <c r="BM23" s="46" t="n"/>
      <c r="BN23" s="46" t="n"/>
      <c r="BO23" s="46" t="n"/>
      <c r="BP23" s="46" t="n"/>
      <c r="BQ23" s="46" t="n"/>
      <c r="BR23" s="46" t="n"/>
      <c r="BS23" s="46" t="n"/>
      <c r="BT23" s="46" t="n"/>
      <c r="BU23" s="46" t="n"/>
      <c r="BV23" s="46" t="n"/>
      <c r="BW23" s="46" t="n"/>
      <c r="BX23" s="46" t="n"/>
      <c r="BY23" s="46" t="n"/>
      <c r="BZ23" s="46" t="n"/>
      <c r="CA23" s="46" t="n"/>
      <c r="CB23" s="46" t="n"/>
      <c r="CC23" s="46" t="n"/>
      <c r="CD23" s="46" t="n"/>
      <c r="CE23" s="46" t="n"/>
      <c r="CF23" s="46" t="n"/>
      <c r="CG23" s="46" t="n"/>
      <c r="CH23" s="46" t="n"/>
      <c r="CI23" s="46" t="n"/>
      <c r="CJ23" s="46" t="n"/>
      <c r="CK23" s="46" t="n"/>
      <c r="CL23" s="46" t="n"/>
      <c r="CM23" s="46" t="n"/>
      <c r="CN23" s="46" t="n"/>
      <c r="CO23" s="46" t="n"/>
      <c r="CP23" s="46" t="n"/>
      <c r="CQ23" s="46" t="n"/>
      <c r="CR23" s="46" t="n"/>
      <c r="CS23" s="46" t="n"/>
      <c r="CT23" s="46" t="n"/>
      <c r="CU23" s="46" t="n"/>
      <c r="CV23" s="46" t="n"/>
      <c r="CW23" s="46" t="n"/>
      <c r="CX23" s="46" t="n"/>
      <c r="CY23" s="46" t="n"/>
      <c r="CZ23" s="46" t="n"/>
      <c r="DA23" s="46" t="n"/>
      <c r="DB23" s="46" t="n"/>
      <c r="DC23" s="46" t="n"/>
      <c r="DD23" s="46" t="n"/>
      <c r="DE23" s="46" t="n"/>
      <c r="DF23" s="46" t="n"/>
      <c r="DG23" s="46" t="n"/>
      <c r="DH23" s="46" t="n"/>
      <c r="DI23" s="46" t="n"/>
      <c r="DJ23" s="46" t="n"/>
      <c r="DK23" s="46" t="n"/>
      <c r="DL23" s="46" t="n"/>
      <c r="DM23" s="46" t="n"/>
      <c r="DN23" s="46" t="n"/>
      <c r="DO23" s="46" t="n"/>
      <c r="DP23" s="46" t="n"/>
      <c r="DQ23" s="46" t="n"/>
      <c r="DR23" s="46" t="n"/>
      <c r="DS23" s="46" t="n"/>
      <c r="DT23" s="46" t="n"/>
      <c r="DU23" s="46" t="n"/>
      <c r="DV23" s="46" t="n"/>
      <c r="DW23" s="46" t="n"/>
      <c r="DX23" s="46" t="n"/>
      <c r="DY23" s="46" t="n"/>
      <c r="DZ23" s="46" t="n"/>
      <c r="EA23" s="46" t="n"/>
      <c r="EB23" s="46" t="n"/>
      <c r="EC23" s="46" t="n"/>
      <c r="ED23" s="46" t="n"/>
      <c r="EE23" s="46" t="n"/>
      <c r="EF23" s="46" t="n"/>
      <c r="EG23" s="46" t="n"/>
      <c r="EH23" s="46" t="n"/>
      <c r="EI23" s="46" t="n"/>
      <c r="EJ23" s="46" t="n"/>
      <c r="EK23" s="46" t="n"/>
      <c r="EL23" s="46" t="n"/>
      <c r="EM23" s="46" t="n"/>
      <c r="EN23" s="46" t="n"/>
      <c r="EO23" s="46" t="n"/>
      <c r="EP23" s="46" t="n"/>
      <c r="EQ23" s="46" t="n"/>
      <c r="ER23" s="46" t="n"/>
      <c r="ES23" s="46" t="n"/>
      <c r="ET23" s="46" t="n"/>
      <c r="EU23" s="46" t="n"/>
      <c r="EV23" s="46" t="n"/>
      <c r="EW23" s="46" t="n"/>
      <c r="EX23" s="46" t="n"/>
      <c r="EY23" s="46" t="n"/>
      <c r="EZ23" s="46" t="n"/>
      <c r="FA23" s="46" t="n"/>
      <c r="FB23" s="46" t="n"/>
      <c r="FC23" s="46" t="n"/>
      <c r="FD23" s="46" t="n"/>
      <c r="FE23" s="46" t="n"/>
      <c r="FF23" s="46" t="n"/>
      <c r="FG23" s="46" t="n"/>
      <c r="FH23" s="46" t="n"/>
      <c r="FI23" s="46" t="n"/>
      <c r="FJ23" s="46" t="n"/>
      <c r="FK23" s="46" t="n"/>
      <c r="FL23" s="46" t="n"/>
      <c r="FM23" s="46" t="n"/>
      <c r="FN23" s="46" t="n"/>
    </row>
    <row r="24" ht="15" customFormat="1" customHeight="1" s="50">
      <c r="A24" s="49" t="n">
        <v>42705</v>
      </c>
      <c r="B24" s="43" t="n"/>
      <c r="C24" s="43" t="n">
        <v>178.637</v>
      </c>
      <c r="D24" s="44" t="n"/>
      <c r="E24" s="45" t="n"/>
      <c r="F24" s="46" t="n"/>
      <c r="G24" s="43" t="n">
        <v>103.139</v>
      </c>
      <c r="H24" s="43" t="n">
        <v>40.46668945562455</v>
      </c>
      <c r="I24" s="47">
        <f>G24/C24</f>
        <v/>
      </c>
      <c r="J24" s="46" t="n"/>
      <c r="K24" s="46" t="n">
        <v>149.916</v>
      </c>
      <c r="L24" s="46" t="n">
        <v>120.438</v>
      </c>
      <c r="M24" s="46" t="n">
        <v>117.307</v>
      </c>
      <c r="N24" s="45">
        <f>1-(M24/L24)</f>
        <v/>
      </c>
      <c r="O24" s="46" t="n">
        <v>138.866</v>
      </c>
      <c r="P24" s="46" t="n">
        <v>237.622</v>
      </c>
      <c r="Q24" s="46" t="n">
        <v>68.91200000000001</v>
      </c>
      <c r="R24" s="47">
        <f>K24/2/C24</f>
        <v/>
      </c>
      <c r="S24" s="46" t="n"/>
      <c r="T24" s="45">
        <f>R24+I24</f>
        <v/>
      </c>
      <c r="U24" s="46" t="n"/>
      <c r="V24" s="46" t="n"/>
      <c r="W24" s="46" t="n"/>
      <c r="X24" s="46" t="n"/>
      <c r="Y24" s="46" t="n"/>
      <c r="Z24" s="46" t="n"/>
      <c r="AA24" s="46" t="n"/>
      <c r="AB24" s="46" t="n"/>
      <c r="AC24" s="46" t="n"/>
      <c r="AD24" s="46" t="n"/>
      <c r="AE24" s="46" t="n"/>
      <c r="AF24" s="46" t="n"/>
      <c r="AG24" s="46" t="n"/>
      <c r="AH24" s="46" t="n"/>
      <c r="AI24" s="46" t="n"/>
      <c r="AJ24" s="46" t="n"/>
      <c r="AK24" s="46" t="n"/>
      <c r="AL24" s="46" t="n"/>
      <c r="AM24" s="46" t="n"/>
      <c r="AN24" s="46" t="n"/>
      <c r="AO24" s="46" t="n"/>
      <c r="AP24" s="46" t="n"/>
      <c r="AQ24" s="46" t="n"/>
      <c r="AR24" s="46" t="n"/>
      <c r="AS24" s="46" t="n"/>
      <c r="AT24" s="46" t="n"/>
      <c r="AU24" s="46" t="n"/>
      <c r="AV24" s="46" t="n"/>
      <c r="AW24" s="46" t="n"/>
      <c r="AX24" s="46" t="n"/>
      <c r="AY24" s="46" t="n"/>
      <c r="AZ24" s="46" t="n"/>
      <c r="BA24" s="46" t="n"/>
      <c r="BB24" s="46" t="n"/>
      <c r="BC24" s="46" t="n"/>
      <c r="BD24" s="46" t="n"/>
      <c r="BE24" s="46" t="n"/>
      <c r="BF24" s="46" t="n"/>
      <c r="BG24" s="46" t="n"/>
      <c r="BH24" s="46" t="n"/>
      <c r="BI24" s="46" t="n"/>
      <c r="BJ24" s="46" t="n"/>
      <c r="BK24" s="46" t="n"/>
      <c r="BL24" s="46" t="n"/>
      <c r="BM24" s="46" t="n"/>
      <c r="BN24" s="46" t="n"/>
      <c r="BO24" s="46" t="n"/>
      <c r="BP24" s="46" t="n"/>
      <c r="BQ24" s="46" t="n"/>
      <c r="BR24" s="46" t="n"/>
      <c r="BS24" s="46" t="n"/>
      <c r="BT24" s="46" t="n"/>
      <c r="BU24" s="46" t="n"/>
      <c r="BV24" s="46" t="n"/>
      <c r="BW24" s="46" t="n"/>
      <c r="BX24" s="46" t="n"/>
      <c r="BY24" s="46" t="n"/>
      <c r="BZ24" s="46" t="n"/>
      <c r="CA24" s="46" t="n"/>
      <c r="CB24" s="46" t="n"/>
      <c r="CC24" s="46" t="n"/>
      <c r="CD24" s="46" t="n"/>
      <c r="CE24" s="46" t="n"/>
      <c r="CF24" s="46" t="n"/>
      <c r="CG24" s="46" t="n"/>
      <c r="CH24" s="46" t="n"/>
      <c r="CI24" s="46" t="n"/>
      <c r="CJ24" s="46" t="n"/>
      <c r="CK24" s="46" t="n"/>
      <c r="CL24" s="46" t="n"/>
      <c r="CM24" s="46" t="n"/>
      <c r="CN24" s="46" t="n"/>
      <c r="CO24" s="46" t="n"/>
      <c r="CP24" s="46" t="n"/>
      <c r="CQ24" s="46" t="n"/>
      <c r="CR24" s="46" t="n"/>
      <c r="CS24" s="46" t="n"/>
      <c r="CT24" s="46" t="n"/>
      <c r="CU24" s="46" t="n"/>
      <c r="CV24" s="46" t="n"/>
      <c r="CW24" s="46" t="n"/>
      <c r="CX24" s="46" t="n"/>
      <c r="CY24" s="46" t="n"/>
      <c r="CZ24" s="46" t="n"/>
      <c r="DA24" s="46" t="n"/>
      <c r="DB24" s="46" t="n"/>
      <c r="DC24" s="46" t="n"/>
      <c r="DD24" s="46" t="n"/>
      <c r="DE24" s="46" t="n"/>
      <c r="DF24" s="46" t="n"/>
      <c r="DG24" s="46" t="n"/>
      <c r="DH24" s="46" t="n"/>
      <c r="DI24" s="46" t="n"/>
      <c r="DJ24" s="46" t="n"/>
      <c r="DK24" s="46" t="n"/>
      <c r="DL24" s="46" t="n"/>
      <c r="DM24" s="46" t="n"/>
      <c r="DN24" s="46" t="n"/>
      <c r="DO24" s="46" t="n"/>
      <c r="DP24" s="46" t="n"/>
      <c r="DQ24" s="46" t="n"/>
      <c r="DR24" s="46" t="n"/>
      <c r="DS24" s="46" t="n"/>
      <c r="DT24" s="46" t="n"/>
      <c r="DU24" s="46" t="n"/>
      <c r="DV24" s="46" t="n"/>
      <c r="DW24" s="46" t="n"/>
      <c r="DX24" s="46" t="n"/>
      <c r="DY24" s="46" t="n"/>
      <c r="DZ24" s="46" t="n"/>
      <c r="EA24" s="46" t="n"/>
      <c r="EB24" s="46" t="n"/>
      <c r="EC24" s="46" t="n"/>
      <c r="ED24" s="46" t="n"/>
      <c r="EE24" s="46" t="n"/>
      <c r="EF24" s="46" t="n"/>
      <c r="EG24" s="46" t="n"/>
      <c r="EH24" s="46" t="n"/>
      <c r="EI24" s="46" t="n"/>
      <c r="EJ24" s="46" t="n"/>
      <c r="EK24" s="46" t="n"/>
      <c r="EL24" s="46" t="n"/>
      <c r="EM24" s="46" t="n"/>
      <c r="EN24" s="46" t="n"/>
      <c r="EO24" s="46" t="n"/>
      <c r="EP24" s="46" t="n"/>
      <c r="EQ24" s="46" t="n"/>
      <c r="ER24" s="46" t="n"/>
      <c r="ES24" s="46" t="n"/>
      <c r="ET24" s="46" t="n"/>
      <c r="EU24" s="46" t="n"/>
      <c r="EV24" s="46" t="n"/>
      <c r="EW24" s="46" t="n"/>
      <c r="EX24" s="46" t="n"/>
      <c r="EY24" s="46" t="n"/>
      <c r="EZ24" s="46" t="n"/>
      <c r="FA24" s="46" t="n"/>
      <c r="FB24" s="46" t="n"/>
      <c r="FC24" s="46" t="n"/>
      <c r="FD24" s="46" t="n"/>
      <c r="FE24" s="46" t="n"/>
      <c r="FF24" s="46" t="n"/>
      <c r="FG24" s="46" t="n"/>
      <c r="FH24" s="46" t="n"/>
      <c r="FI24" s="46" t="n"/>
      <c r="FJ24" s="46" t="n"/>
      <c r="FK24" s="46" t="n"/>
      <c r="FL24" s="46" t="n"/>
      <c r="FM24" s="46" t="n"/>
      <c r="FN24" s="46" t="n"/>
    </row>
    <row r="25" ht="15" customFormat="1" customHeight="1" s="50">
      <c r="A25" s="49" t="n">
        <v>42736</v>
      </c>
      <c r="B25" s="43" t="n"/>
      <c r="C25" s="43" t="n">
        <v>177.362</v>
      </c>
      <c r="D25" s="44" t="n"/>
      <c r="E25" s="45" t="n"/>
      <c r="F25" s="46" t="n"/>
      <c r="G25" s="43" t="n">
        <v>98.758</v>
      </c>
      <c r="H25" s="43" t="n">
        <v>40.30248399685897</v>
      </c>
      <c r="I25" s="47">
        <f>G25/C25</f>
        <v/>
      </c>
      <c r="J25" s="46" t="n"/>
      <c r="K25" s="46" t="n">
        <v>150.873</v>
      </c>
      <c r="L25" s="46" t="n">
        <v>117.494</v>
      </c>
      <c r="M25" s="46" t="n">
        <v>114.721</v>
      </c>
      <c r="N25" s="45">
        <f>1-(M25/L25)</f>
        <v/>
      </c>
      <c r="O25" s="46" t="n">
        <v>132.805</v>
      </c>
      <c r="P25" s="48" t="n">
        <v>199</v>
      </c>
      <c r="Q25" s="46" t="n">
        <v>82.693</v>
      </c>
      <c r="R25" s="47">
        <f>K25/2/C25</f>
        <v/>
      </c>
      <c r="S25" s="46" t="n"/>
      <c r="T25" s="45">
        <f>R25+I25</f>
        <v/>
      </c>
      <c r="U25" s="46" t="n"/>
      <c r="V25" s="46" t="n"/>
      <c r="W25" s="46" t="n"/>
      <c r="X25" s="46" t="n"/>
      <c r="Y25" s="46" t="n"/>
      <c r="Z25" s="46" t="n"/>
      <c r="AA25" s="46" t="n"/>
      <c r="AB25" s="46" t="n"/>
      <c r="AC25" s="46" t="n"/>
      <c r="AD25" s="46" t="n"/>
      <c r="AE25" s="46" t="n"/>
      <c r="AF25" s="46" t="n"/>
      <c r="AG25" s="46" t="n"/>
      <c r="AH25" s="46" t="n"/>
      <c r="AI25" s="46" t="n"/>
      <c r="AJ25" s="46" t="n"/>
      <c r="AK25" s="46" t="n"/>
      <c r="AL25" s="46" t="n"/>
      <c r="AM25" s="46" t="n"/>
      <c r="AN25" s="46" t="n"/>
      <c r="AO25" s="46" t="n"/>
      <c r="AP25" s="46" t="n"/>
      <c r="AQ25" s="46" t="n"/>
      <c r="AR25" s="46" t="n"/>
      <c r="AS25" s="46" t="n"/>
      <c r="AT25" s="46" t="n"/>
      <c r="AU25" s="46" t="n"/>
      <c r="AV25" s="46" t="n"/>
      <c r="AW25" s="46" t="n"/>
      <c r="AX25" s="46" t="n"/>
      <c r="AY25" s="46" t="n"/>
      <c r="AZ25" s="46" t="n"/>
      <c r="BA25" s="46" t="n"/>
      <c r="BB25" s="46" t="n"/>
      <c r="BC25" s="46" t="n"/>
      <c r="BD25" s="46" t="n"/>
      <c r="BE25" s="46" t="n"/>
      <c r="BF25" s="46" t="n"/>
      <c r="BG25" s="46" t="n"/>
      <c r="BH25" s="46" t="n"/>
      <c r="BI25" s="46" t="n"/>
      <c r="BJ25" s="46" t="n"/>
      <c r="BK25" s="46" t="n"/>
      <c r="BL25" s="46" t="n"/>
      <c r="BM25" s="46" t="n"/>
      <c r="BN25" s="46" t="n"/>
      <c r="BO25" s="46" t="n"/>
      <c r="BP25" s="46" t="n"/>
      <c r="BQ25" s="46" t="n"/>
      <c r="BR25" s="46" t="n"/>
      <c r="BS25" s="46" t="n"/>
      <c r="BT25" s="46" t="n"/>
      <c r="BU25" s="46" t="n"/>
      <c r="BV25" s="46" t="n"/>
      <c r="BW25" s="46" t="n"/>
      <c r="BX25" s="46" t="n"/>
      <c r="BY25" s="46" t="n"/>
      <c r="BZ25" s="46" t="n"/>
      <c r="CA25" s="46" t="n"/>
      <c r="CB25" s="46" t="n"/>
      <c r="CC25" s="46" t="n"/>
      <c r="CD25" s="46" t="n"/>
      <c r="CE25" s="46" t="n"/>
      <c r="CF25" s="46" t="n"/>
      <c r="CG25" s="46" t="n"/>
      <c r="CH25" s="46" t="n"/>
      <c r="CI25" s="46" t="n"/>
      <c r="CJ25" s="46" t="n"/>
      <c r="CK25" s="46" t="n"/>
      <c r="CL25" s="46" t="n"/>
      <c r="CM25" s="46" t="n"/>
      <c r="CN25" s="46" t="n"/>
      <c r="CO25" s="46" t="n"/>
      <c r="CP25" s="46" t="n"/>
      <c r="CQ25" s="46" t="n"/>
      <c r="CR25" s="46" t="n"/>
      <c r="CS25" s="46" t="n"/>
      <c r="CT25" s="46" t="n"/>
      <c r="CU25" s="46" t="n"/>
      <c r="CV25" s="46" t="n"/>
      <c r="CW25" s="46" t="n"/>
      <c r="CX25" s="46" t="n"/>
      <c r="CY25" s="46" t="n"/>
      <c r="CZ25" s="46" t="n"/>
      <c r="DA25" s="46" t="n"/>
      <c r="DB25" s="46" t="n"/>
      <c r="DC25" s="46" t="n"/>
      <c r="DD25" s="46" t="n"/>
      <c r="DE25" s="46" t="n"/>
      <c r="DF25" s="46" t="n"/>
      <c r="DG25" s="46" t="n"/>
      <c r="DH25" s="46" t="n"/>
      <c r="DI25" s="46" t="n"/>
      <c r="DJ25" s="46" t="n"/>
      <c r="DK25" s="46" t="n"/>
      <c r="DL25" s="46" t="n"/>
      <c r="DM25" s="46" t="n"/>
      <c r="DN25" s="46" t="n"/>
      <c r="DO25" s="46" t="n"/>
      <c r="DP25" s="46" t="n"/>
      <c r="DQ25" s="46" t="n"/>
      <c r="DR25" s="46" t="n"/>
      <c r="DS25" s="46" t="n"/>
      <c r="DT25" s="46" t="n"/>
      <c r="DU25" s="46" t="n"/>
      <c r="DV25" s="46" t="n"/>
      <c r="DW25" s="46" t="n"/>
      <c r="DX25" s="46" t="n"/>
      <c r="DY25" s="46" t="n"/>
      <c r="DZ25" s="46" t="n"/>
      <c r="EA25" s="46" t="n"/>
      <c r="EB25" s="46" t="n"/>
      <c r="EC25" s="46" t="n"/>
      <c r="ED25" s="46" t="n"/>
      <c r="EE25" s="46" t="n"/>
      <c r="EF25" s="46" t="n"/>
      <c r="EG25" s="46" t="n"/>
      <c r="EH25" s="46" t="n"/>
      <c r="EI25" s="46" t="n"/>
      <c r="EJ25" s="46" t="n"/>
      <c r="EK25" s="46" t="n"/>
      <c r="EL25" s="46" t="n"/>
      <c r="EM25" s="46" t="n"/>
      <c r="EN25" s="46" t="n"/>
      <c r="EO25" s="46" t="n"/>
      <c r="EP25" s="46" t="n"/>
      <c r="EQ25" s="46" t="n"/>
      <c r="ER25" s="46" t="n"/>
      <c r="ES25" s="46" t="n"/>
      <c r="ET25" s="46" t="n"/>
      <c r="EU25" s="46" t="n"/>
      <c r="EV25" s="46" t="n"/>
      <c r="EW25" s="46" t="n"/>
      <c r="EX25" s="46" t="n"/>
      <c r="EY25" s="46" t="n"/>
      <c r="EZ25" s="46" t="n"/>
      <c r="FA25" s="46" t="n"/>
      <c r="FB25" s="46" t="n"/>
      <c r="FC25" s="46" t="n"/>
      <c r="FD25" s="46" t="n"/>
      <c r="FE25" s="46" t="n"/>
      <c r="FF25" s="46" t="n"/>
      <c r="FG25" s="46" t="n"/>
      <c r="FH25" s="46" t="n"/>
      <c r="FI25" s="46" t="n"/>
      <c r="FJ25" s="46" t="n"/>
      <c r="FK25" s="46" t="n"/>
      <c r="FL25" s="46" t="n"/>
      <c r="FM25" s="46" t="n"/>
      <c r="FN25" s="46" t="n"/>
    </row>
    <row r="26" ht="15" customFormat="1" customHeight="1" s="50">
      <c r="A26" s="49" t="n">
        <v>42767</v>
      </c>
      <c r="B26" s="43" t="n"/>
      <c r="C26" s="43" t="n">
        <v>166.774</v>
      </c>
      <c r="D26" s="44" t="n"/>
      <c r="E26" s="45" t="n"/>
      <c r="F26" s="46" t="n"/>
      <c r="G26" s="43" t="n">
        <v>90.511</v>
      </c>
      <c r="H26" s="43" t="n">
        <v>40.19616342552796</v>
      </c>
      <c r="I26" s="47">
        <f>G26/C26</f>
        <v/>
      </c>
      <c r="J26" s="46" t="n"/>
      <c r="K26" s="46" t="n">
        <v>139.943</v>
      </c>
      <c r="L26" s="46" t="n">
        <v>120.579</v>
      </c>
      <c r="M26" s="46" t="n">
        <v>117.142</v>
      </c>
      <c r="N26" s="45">
        <f>1-(M26/L26)</f>
        <v/>
      </c>
      <c r="O26" s="46" t="n">
        <v>130.698</v>
      </c>
      <c r="P26" s="48" t="n">
        <v>183</v>
      </c>
      <c r="Q26" s="46" t="n">
        <v>80.974</v>
      </c>
      <c r="R26" s="47">
        <f>K26/2/C26</f>
        <v/>
      </c>
      <c r="S26" s="46" t="n"/>
      <c r="T26" s="45">
        <f>R26+I26</f>
        <v/>
      </c>
      <c r="U26" s="46" t="n"/>
      <c r="V26" s="46" t="n"/>
      <c r="W26" s="46" t="n"/>
      <c r="X26" s="46" t="n"/>
      <c r="Y26" s="46" t="n"/>
      <c r="Z26" s="46" t="n"/>
      <c r="AA26" s="46" t="n"/>
      <c r="AB26" s="46" t="n"/>
      <c r="AC26" s="46" t="n"/>
      <c r="AD26" s="46" t="n"/>
      <c r="AE26" s="46" t="n"/>
      <c r="AF26" s="46" t="n"/>
      <c r="AG26" s="46" t="n"/>
      <c r="AH26" s="46" t="n"/>
      <c r="AI26" s="46" t="n"/>
      <c r="AJ26" s="46" t="n"/>
      <c r="AK26" s="46" t="n"/>
      <c r="AL26" s="46" t="n"/>
      <c r="AM26" s="46" t="n"/>
      <c r="AN26" s="46" t="n"/>
      <c r="AO26" s="46" t="n"/>
      <c r="AP26" s="46" t="n"/>
      <c r="AQ26" s="46" t="n"/>
      <c r="AR26" s="46" t="n"/>
      <c r="AS26" s="46" t="n"/>
      <c r="AT26" s="46" t="n"/>
      <c r="AU26" s="46" t="n"/>
      <c r="AV26" s="46" t="n"/>
      <c r="AW26" s="46" t="n"/>
      <c r="AX26" s="46" t="n"/>
      <c r="AY26" s="46" t="n"/>
      <c r="AZ26" s="46" t="n"/>
      <c r="BA26" s="46" t="n"/>
      <c r="BB26" s="46" t="n"/>
      <c r="BC26" s="46" t="n"/>
      <c r="BD26" s="46" t="n"/>
      <c r="BE26" s="46" t="n"/>
      <c r="BF26" s="46" t="n"/>
      <c r="BG26" s="46" t="n"/>
      <c r="BH26" s="46" t="n"/>
      <c r="BI26" s="46" t="n"/>
      <c r="BJ26" s="46" t="n"/>
      <c r="BK26" s="46" t="n"/>
      <c r="BL26" s="46" t="n"/>
      <c r="BM26" s="46" t="n"/>
      <c r="BN26" s="46" t="n"/>
      <c r="BO26" s="46" t="n"/>
      <c r="BP26" s="46" t="n"/>
      <c r="BQ26" s="46" t="n"/>
      <c r="BR26" s="46" t="n"/>
      <c r="BS26" s="46" t="n"/>
      <c r="BT26" s="46" t="n"/>
      <c r="BU26" s="46" t="n"/>
      <c r="BV26" s="46" t="n"/>
      <c r="BW26" s="46" t="n"/>
      <c r="BX26" s="46" t="n"/>
      <c r="BY26" s="46" t="n"/>
      <c r="BZ26" s="46" t="n"/>
      <c r="CA26" s="46" t="n"/>
      <c r="CB26" s="46" t="n"/>
      <c r="CC26" s="46" t="n"/>
      <c r="CD26" s="46" t="n"/>
      <c r="CE26" s="46" t="n"/>
      <c r="CF26" s="46" t="n"/>
      <c r="CG26" s="46" t="n"/>
      <c r="CH26" s="46" t="n"/>
      <c r="CI26" s="46" t="n"/>
      <c r="CJ26" s="46" t="n"/>
      <c r="CK26" s="46" t="n"/>
      <c r="CL26" s="46" t="n"/>
      <c r="CM26" s="46" t="n"/>
      <c r="CN26" s="46" t="n"/>
      <c r="CO26" s="46" t="n"/>
      <c r="CP26" s="46" t="n"/>
      <c r="CQ26" s="46" t="n"/>
      <c r="CR26" s="46" t="n"/>
      <c r="CS26" s="46" t="n"/>
      <c r="CT26" s="46" t="n"/>
      <c r="CU26" s="46" t="n"/>
      <c r="CV26" s="46" t="n"/>
      <c r="CW26" s="46" t="n"/>
      <c r="CX26" s="46" t="n"/>
      <c r="CY26" s="46" t="n"/>
      <c r="CZ26" s="46" t="n"/>
      <c r="DA26" s="46" t="n"/>
      <c r="DB26" s="46" t="n"/>
      <c r="DC26" s="46" t="n"/>
      <c r="DD26" s="46" t="n"/>
      <c r="DE26" s="46" t="n"/>
      <c r="DF26" s="46" t="n"/>
      <c r="DG26" s="46" t="n"/>
      <c r="DH26" s="46" t="n"/>
      <c r="DI26" s="46" t="n"/>
      <c r="DJ26" s="46" t="n"/>
      <c r="DK26" s="46" t="n"/>
      <c r="DL26" s="46" t="n"/>
      <c r="DM26" s="46" t="n"/>
      <c r="DN26" s="46" t="n"/>
      <c r="DO26" s="46" t="n"/>
      <c r="DP26" s="46" t="n"/>
      <c r="DQ26" s="46" t="n"/>
      <c r="DR26" s="46" t="n"/>
      <c r="DS26" s="46" t="n"/>
      <c r="DT26" s="46" t="n"/>
      <c r="DU26" s="46" t="n"/>
      <c r="DV26" s="46" t="n"/>
      <c r="DW26" s="46" t="n"/>
      <c r="DX26" s="46" t="n"/>
      <c r="DY26" s="46" t="n"/>
      <c r="DZ26" s="46" t="n"/>
      <c r="EA26" s="46" t="n"/>
      <c r="EB26" s="46" t="n"/>
      <c r="EC26" s="46" t="n"/>
      <c r="ED26" s="46" t="n"/>
      <c r="EE26" s="46" t="n"/>
      <c r="EF26" s="46" t="n"/>
      <c r="EG26" s="46" t="n"/>
      <c r="EH26" s="46" t="n"/>
      <c r="EI26" s="46" t="n"/>
      <c r="EJ26" s="46" t="n"/>
      <c r="EK26" s="46" t="n"/>
      <c r="EL26" s="46" t="n"/>
      <c r="EM26" s="46" t="n"/>
      <c r="EN26" s="46" t="n"/>
      <c r="EO26" s="46" t="n"/>
      <c r="EP26" s="46" t="n"/>
      <c r="EQ26" s="46" t="n"/>
      <c r="ER26" s="46" t="n"/>
      <c r="ES26" s="46" t="n"/>
      <c r="ET26" s="46" t="n"/>
      <c r="EU26" s="46" t="n"/>
      <c r="EV26" s="46" t="n"/>
      <c r="EW26" s="46" t="n"/>
      <c r="EX26" s="46" t="n"/>
      <c r="EY26" s="46" t="n"/>
      <c r="EZ26" s="46" t="n"/>
      <c r="FA26" s="46" t="n"/>
      <c r="FB26" s="46" t="n"/>
      <c r="FC26" s="46" t="n"/>
      <c r="FD26" s="46" t="n"/>
      <c r="FE26" s="46" t="n"/>
      <c r="FF26" s="46" t="n"/>
      <c r="FG26" s="46" t="n"/>
      <c r="FH26" s="46" t="n"/>
      <c r="FI26" s="46" t="n"/>
      <c r="FJ26" s="46" t="n"/>
      <c r="FK26" s="46" t="n"/>
      <c r="FL26" s="46" t="n"/>
      <c r="FM26" s="46" t="n"/>
      <c r="FN26" s="46" t="n"/>
    </row>
    <row r="27" ht="15" customFormat="1" customHeight="1" s="50">
      <c r="A27" s="49" t="n">
        <v>42795</v>
      </c>
      <c r="B27" s="43" t="n"/>
      <c r="C27" s="43" t="n">
        <v>184.516</v>
      </c>
      <c r="D27" s="44" t="n"/>
      <c r="E27" s="45" t="n"/>
      <c r="F27" s="46" t="n"/>
      <c r="G27" s="43" t="n">
        <v>101.917</v>
      </c>
      <c r="H27" s="43" t="n">
        <v>40.61968928753238</v>
      </c>
      <c r="I27" s="47">
        <f>G27/C27</f>
        <v/>
      </c>
      <c r="J27" s="46" t="n"/>
      <c r="K27" s="46" t="n">
        <v>156.376</v>
      </c>
      <c r="L27" s="46" t="n">
        <v>128.357</v>
      </c>
      <c r="M27" s="46" t="n">
        <v>124.956</v>
      </c>
      <c r="N27" s="45">
        <f>1-(M27/L27)</f>
        <v/>
      </c>
      <c r="O27" s="46" t="n">
        <v>150.601</v>
      </c>
      <c r="P27" s="46" t="n">
        <v>254.348</v>
      </c>
      <c r="Q27" s="46" t="n">
        <v>83.95</v>
      </c>
      <c r="R27" s="47">
        <f>K27/2/C27</f>
        <v/>
      </c>
      <c r="S27" s="46" t="n"/>
      <c r="T27" s="45">
        <f>R27+I27</f>
        <v/>
      </c>
      <c r="U27" s="46" t="n"/>
      <c r="V27" s="46" t="n"/>
      <c r="W27" s="46" t="n"/>
      <c r="X27" s="46" t="n"/>
      <c r="Y27" s="46" t="n"/>
      <c r="Z27" s="46" t="n"/>
      <c r="AA27" s="46" t="n"/>
      <c r="AB27" s="46" t="n"/>
      <c r="AC27" s="46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46" t="n"/>
      <c r="BX27" s="46" t="n"/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  <c r="CK27" s="46" t="n"/>
      <c r="CL27" s="46" t="n"/>
      <c r="CM27" s="46" t="n"/>
      <c r="CN27" s="46" t="n"/>
      <c r="CO27" s="46" t="n"/>
      <c r="CP27" s="46" t="n"/>
      <c r="CQ27" s="46" t="n"/>
      <c r="CR27" s="46" t="n"/>
      <c r="CS27" s="46" t="n"/>
      <c r="CT27" s="46" t="n"/>
      <c r="CU27" s="46" t="n"/>
      <c r="CV27" s="46" t="n"/>
      <c r="CW27" s="46" t="n"/>
      <c r="CX27" s="46" t="n"/>
      <c r="CY27" s="46" t="n"/>
      <c r="CZ27" s="46" t="n"/>
      <c r="DA27" s="46" t="n"/>
      <c r="DB27" s="46" t="n"/>
      <c r="DC27" s="46" t="n"/>
      <c r="DD27" s="46" t="n"/>
      <c r="DE27" s="46" t="n"/>
      <c r="DF27" s="46" t="n"/>
      <c r="DG27" s="46" t="n"/>
      <c r="DH27" s="46" t="n"/>
      <c r="DI27" s="46" t="n"/>
      <c r="DJ27" s="46" t="n"/>
      <c r="DK27" s="46" t="n"/>
      <c r="DL27" s="46" t="n"/>
      <c r="DM27" s="46" t="n"/>
      <c r="DN27" s="46" t="n"/>
      <c r="DO27" s="46" t="n"/>
      <c r="DP27" s="46" t="n"/>
      <c r="DQ27" s="46" t="n"/>
      <c r="DR27" s="46" t="n"/>
      <c r="DS27" s="46" t="n"/>
      <c r="DT27" s="46" t="n"/>
      <c r="DU27" s="46" t="n"/>
      <c r="DV27" s="46" t="n"/>
      <c r="DW27" s="46" t="n"/>
      <c r="DX27" s="46" t="n"/>
      <c r="DY27" s="46" t="n"/>
      <c r="DZ27" s="46" t="n"/>
      <c r="EA27" s="46" t="n"/>
      <c r="EB27" s="46" t="n"/>
      <c r="EC27" s="46" t="n"/>
      <c r="ED27" s="46" t="n"/>
      <c r="EE27" s="46" t="n"/>
      <c r="EF27" s="46" t="n"/>
      <c r="EG27" s="46" t="n"/>
      <c r="EH27" s="46" t="n"/>
      <c r="EI27" s="46" t="n"/>
      <c r="EJ27" s="46" t="n"/>
      <c r="EK27" s="46" t="n"/>
      <c r="EL27" s="46" t="n"/>
      <c r="EM27" s="46" t="n"/>
      <c r="EN27" s="46" t="n"/>
      <c r="EO27" s="46" t="n"/>
      <c r="EP27" s="46" t="n"/>
      <c r="EQ27" s="46" t="n"/>
      <c r="ER27" s="46" t="n"/>
      <c r="ES27" s="46" t="n"/>
      <c r="ET27" s="46" t="n"/>
      <c r="EU27" s="46" t="n"/>
      <c r="EV27" s="46" t="n"/>
      <c r="EW27" s="46" t="n"/>
      <c r="EX27" s="46" t="n"/>
      <c r="EY27" s="46" t="n"/>
      <c r="EZ27" s="46" t="n"/>
      <c r="FA27" s="46" t="n"/>
      <c r="FB27" s="46" t="n"/>
      <c r="FC27" s="46" t="n"/>
      <c r="FD27" s="46" t="n"/>
      <c r="FE27" s="46" t="n"/>
      <c r="FF27" s="46" t="n"/>
      <c r="FG27" s="46" t="n"/>
      <c r="FH27" s="46" t="n"/>
      <c r="FI27" s="46" t="n"/>
      <c r="FJ27" s="46" t="n"/>
      <c r="FK27" s="46" t="n"/>
      <c r="FL27" s="46" t="n"/>
      <c r="FM27" s="46" t="n"/>
      <c r="FN27" s="46" t="n"/>
    </row>
    <row r="28" ht="15" customFormat="1" customHeight="1" s="50">
      <c r="A28" s="49" t="n">
        <v>42826</v>
      </c>
      <c r="B28" s="43" t="n"/>
      <c r="C28" s="43" t="n">
        <v>164.103</v>
      </c>
      <c r="D28" s="44" t="n"/>
      <c r="E28" s="45" t="n"/>
      <c r="F28" s="46" t="n"/>
      <c r="G28" s="43" t="n">
        <v>92.81100000000001</v>
      </c>
      <c r="H28" s="43" t="n">
        <v>47.695</v>
      </c>
      <c r="I28" s="47">
        <f>G28/C28</f>
        <v/>
      </c>
      <c r="J28" s="46" t="n"/>
      <c r="K28" s="46" t="n">
        <v>141.282</v>
      </c>
      <c r="L28" s="46" t="n">
        <v>129.821</v>
      </c>
      <c r="M28" s="46" t="n">
        <v>126.667</v>
      </c>
      <c r="N28" s="45">
        <f>1-(M28/L28)</f>
        <v/>
      </c>
      <c r="O28" s="46" t="n">
        <v>148.682</v>
      </c>
      <c r="P28" s="46" t="n">
        <v>252.57</v>
      </c>
      <c r="Q28" s="46" t="n">
        <v>70.452</v>
      </c>
      <c r="R28" s="47">
        <f>K28/2/C28</f>
        <v/>
      </c>
      <c r="S28" s="46" t="n"/>
      <c r="T28" s="45">
        <f>R28+I28</f>
        <v/>
      </c>
      <c r="U28" s="46" t="n"/>
      <c r="V28" s="46" t="n"/>
      <c r="W28" s="46" t="n"/>
      <c r="X28" s="46" t="n"/>
      <c r="Y28" s="46" t="n"/>
      <c r="Z28" s="46" t="n"/>
      <c r="AA28" s="46" t="n"/>
      <c r="AB28" s="46" t="n"/>
      <c r="AC28" s="46" t="n"/>
      <c r="AD28" s="46" t="n"/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46" t="n"/>
      <c r="BX28" s="46" t="n"/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  <c r="CK28" s="46" t="n"/>
      <c r="CL28" s="46" t="n"/>
      <c r="CM28" s="46" t="n"/>
      <c r="CN28" s="46" t="n"/>
      <c r="CO28" s="46" t="n"/>
      <c r="CP28" s="46" t="n"/>
      <c r="CQ28" s="46" t="n"/>
      <c r="CR28" s="46" t="n"/>
      <c r="CS28" s="46" t="n"/>
      <c r="CT28" s="46" t="n"/>
      <c r="CU28" s="46" t="n"/>
      <c r="CV28" s="46" t="n"/>
      <c r="CW28" s="46" t="n"/>
      <c r="CX28" s="46" t="n"/>
      <c r="CY28" s="46" t="n"/>
      <c r="CZ28" s="46" t="n"/>
      <c r="DA28" s="46" t="n"/>
      <c r="DB28" s="46" t="n"/>
      <c r="DC28" s="46" t="n"/>
      <c r="DD28" s="46" t="n"/>
      <c r="DE28" s="46" t="n"/>
      <c r="DF28" s="46" t="n"/>
      <c r="DG28" s="46" t="n"/>
      <c r="DH28" s="46" t="n"/>
      <c r="DI28" s="46" t="n"/>
      <c r="DJ28" s="46" t="n"/>
      <c r="DK28" s="46" t="n"/>
      <c r="DL28" s="46" t="n"/>
      <c r="DM28" s="46" t="n"/>
      <c r="DN28" s="46" t="n"/>
      <c r="DO28" s="46" t="n"/>
      <c r="DP28" s="46" t="n"/>
      <c r="DQ28" s="46" t="n"/>
      <c r="DR28" s="46" t="n"/>
      <c r="DS28" s="46" t="n"/>
      <c r="DT28" s="46" t="n"/>
      <c r="DU28" s="46" t="n"/>
      <c r="DV28" s="46" t="n"/>
      <c r="DW28" s="46" t="n"/>
      <c r="DX28" s="46" t="n"/>
      <c r="DY28" s="46" t="n"/>
      <c r="DZ28" s="46" t="n"/>
      <c r="EA28" s="46" t="n"/>
      <c r="EB28" s="46" t="n"/>
      <c r="EC28" s="46" t="n"/>
      <c r="ED28" s="46" t="n"/>
      <c r="EE28" s="46" t="n"/>
      <c r="EF28" s="46" t="n"/>
      <c r="EG28" s="46" t="n"/>
      <c r="EH28" s="46" t="n"/>
      <c r="EI28" s="46" t="n"/>
      <c r="EJ28" s="46" t="n"/>
      <c r="EK28" s="46" t="n"/>
      <c r="EL28" s="46" t="n"/>
      <c r="EM28" s="46" t="n"/>
      <c r="EN28" s="46" t="n"/>
      <c r="EO28" s="46" t="n"/>
      <c r="EP28" s="46" t="n"/>
      <c r="EQ28" s="46" t="n"/>
      <c r="ER28" s="46" t="n"/>
      <c r="ES28" s="46" t="n"/>
      <c r="ET28" s="46" t="n"/>
      <c r="EU28" s="46" t="n"/>
      <c r="EV28" s="46" t="n"/>
      <c r="EW28" s="46" t="n"/>
      <c r="EX28" s="46" t="n"/>
      <c r="EY28" s="46" t="n"/>
      <c r="EZ28" s="46" t="n"/>
      <c r="FA28" s="46" t="n"/>
      <c r="FB28" s="46" t="n"/>
      <c r="FC28" s="46" t="n"/>
      <c r="FD28" s="46" t="n"/>
      <c r="FE28" s="46" t="n"/>
      <c r="FF28" s="46" t="n"/>
      <c r="FG28" s="46" t="n"/>
      <c r="FH28" s="46" t="n"/>
      <c r="FI28" s="46" t="n"/>
      <c r="FJ28" s="46" t="n"/>
      <c r="FK28" s="46" t="n"/>
      <c r="FL28" s="46" t="n"/>
      <c r="FM28" s="46" t="n"/>
      <c r="FN28" s="46" t="n"/>
    </row>
    <row r="29" ht="15" customFormat="1" customHeight="1" s="50">
      <c r="A29" s="49" t="n">
        <v>42856</v>
      </c>
      <c r="B29" s="43" t="n"/>
      <c r="C29" s="43" t="n">
        <v>113.599</v>
      </c>
      <c r="D29" s="44" t="n"/>
      <c r="E29" s="45" t="n"/>
      <c r="F29" s="46" t="n"/>
      <c r="G29" s="43" t="n">
        <v>69.499</v>
      </c>
      <c r="H29" s="43" t="n">
        <v>43.789</v>
      </c>
      <c r="I29" s="47">
        <f>G29/C29</f>
        <v/>
      </c>
      <c r="J29" s="46" t="n"/>
      <c r="K29" s="46" t="n">
        <v>93.072</v>
      </c>
      <c r="L29" s="46" t="n">
        <v>102.291</v>
      </c>
      <c r="M29" s="46" t="n">
        <v>99.453</v>
      </c>
      <c r="N29" s="45">
        <f>1-(M29/L29)</f>
        <v/>
      </c>
      <c r="O29" s="46" t="n">
        <v>132.287</v>
      </c>
      <c r="P29" s="46" t="n">
        <v>218.989</v>
      </c>
      <c r="Q29" s="46" t="n">
        <v>75.31999999999999</v>
      </c>
      <c r="R29" s="47">
        <f>K29/2/C29</f>
        <v/>
      </c>
      <c r="S29" s="46" t="n"/>
      <c r="T29" s="45">
        <f>R29+I29</f>
        <v/>
      </c>
      <c r="U29" s="46" t="n"/>
      <c r="V29" s="46" t="n"/>
      <c r="W29" s="46" t="n"/>
      <c r="X29" s="46" t="n"/>
      <c r="Y29" s="46" t="n"/>
      <c r="Z29" s="46" t="n"/>
      <c r="AA29" s="46" t="n"/>
      <c r="AB29" s="46" t="n"/>
      <c r="AC29" s="46" t="n"/>
      <c r="AD29" s="46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46" t="n"/>
      <c r="BX29" s="46" t="n"/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  <c r="CK29" s="46" t="n"/>
      <c r="CL29" s="46" t="n"/>
      <c r="CM29" s="46" t="n"/>
      <c r="CN29" s="46" t="n"/>
      <c r="CO29" s="46" t="n"/>
      <c r="CP29" s="46" t="n"/>
      <c r="CQ29" s="46" t="n"/>
      <c r="CR29" s="46" t="n"/>
      <c r="CS29" s="46" t="n"/>
      <c r="CT29" s="46" t="n"/>
      <c r="CU29" s="46" t="n"/>
      <c r="CV29" s="46" t="n"/>
      <c r="CW29" s="46" t="n"/>
      <c r="CX29" s="46" t="n"/>
      <c r="CY29" s="46" t="n"/>
      <c r="CZ29" s="46" t="n"/>
      <c r="DA29" s="46" t="n"/>
      <c r="DB29" s="46" t="n"/>
      <c r="DC29" s="46" t="n"/>
      <c r="DD29" s="46" t="n"/>
      <c r="DE29" s="46" t="n"/>
      <c r="DF29" s="46" t="n"/>
      <c r="DG29" s="46" t="n"/>
      <c r="DH29" s="46" t="n"/>
      <c r="DI29" s="46" t="n"/>
      <c r="DJ29" s="46" t="n"/>
      <c r="DK29" s="46" t="n"/>
      <c r="DL29" s="46" t="n"/>
      <c r="DM29" s="46" t="n"/>
      <c r="DN29" s="46" t="n"/>
      <c r="DO29" s="46" t="n"/>
      <c r="DP29" s="46" t="n"/>
      <c r="DQ29" s="46" t="n"/>
      <c r="DR29" s="46" t="n"/>
      <c r="DS29" s="46" t="n"/>
      <c r="DT29" s="46" t="n"/>
      <c r="DU29" s="46" t="n"/>
      <c r="DV29" s="46" t="n"/>
      <c r="DW29" s="46" t="n"/>
      <c r="DX29" s="46" t="n"/>
      <c r="DY29" s="46" t="n"/>
      <c r="DZ29" s="46" t="n"/>
      <c r="EA29" s="46" t="n"/>
      <c r="EB29" s="46" t="n"/>
      <c r="EC29" s="46" t="n"/>
      <c r="ED29" s="46" t="n"/>
      <c r="EE29" s="46" t="n"/>
      <c r="EF29" s="46" t="n"/>
      <c r="EG29" s="46" t="n"/>
      <c r="EH29" s="46" t="n"/>
      <c r="EI29" s="46" t="n"/>
      <c r="EJ29" s="46" t="n"/>
      <c r="EK29" s="46" t="n"/>
      <c r="EL29" s="46" t="n"/>
      <c r="EM29" s="46" t="n"/>
      <c r="EN29" s="46" t="n"/>
      <c r="EO29" s="46" t="n"/>
      <c r="EP29" s="46" t="n"/>
      <c r="EQ29" s="46" t="n"/>
      <c r="ER29" s="46" t="n"/>
      <c r="ES29" s="46" t="n"/>
      <c r="ET29" s="46" t="n"/>
      <c r="EU29" s="46" t="n"/>
      <c r="EV29" s="46" t="n"/>
      <c r="EW29" s="46" t="n"/>
      <c r="EX29" s="46" t="n"/>
      <c r="EY29" s="46" t="n"/>
      <c r="EZ29" s="46" t="n"/>
      <c r="FA29" s="46" t="n"/>
      <c r="FB29" s="46" t="n"/>
      <c r="FC29" s="46" t="n"/>
      <c r="FD29" s="46" t="n"/>
      <c r="FE29" s="46" t="n"/>
      <c r="FF29" s="46" t="n"/>
      <c r="FG29" s="46" t="n"/>
      <c r="FH29" s="46" t="n"/>
      <c r="FI29" s="46" t="n"/>
      <c r="FJ29" s="46" t="n"/>
      <c r="FK29" s="46" t="n"/>
      <c r="FL29" s="46" t="n"/>
      <c r="FM29" s="46" t="n"/>
      <c r="FN29" s="46" t="n"/>
    </row>
    <row r="30" ht="15" customFormat="1" customHeight="1" s="50">
      <c r="A30" s="49" t="n">
        <v>42887</v>
      </c>
      <c r="B30" s="43" t="n"/>
      <c r="C30" s="43" t="n">
        <v>167.442</v>
      </c>
      <c r="D30" s="44" t="n"/>
      <c r="E30" s="45" t="n"/>
      <c r="F30" s="46" t="n"/>
      <c r="G30" s="43" t="n">
        <v>97.232</v>
      </c>
      <c r="H30" s="43" t="n">
        <v>41.51583047168458</v>
      </c>
      <c r="I30" s="47">
        <f>G30/C30</f>
        <v/>
      </c>
      <c r="J30" s="46" t="n"/>
      <c r="K30" s="46" t="n">
        <v>137.528</v>
      </c>
      <c r="L30" s="46" t="n">
        <v>126.836</v>
      </c>
      <c r="M30" s="46" t="n">
        <v>123.762</v>
      </c>
      <c r="N30" s="45">
        <f>1-(M30/L30)</f>
        <v/>
      </c>
      <c r="O30" s="46" t="n">
        <v>131.335</v>
      </c>
      <c r="P30" s="46" t="n">
        <v>228.934</v>
      </c>
      <c r="Q30" s="46" t="n">
        <v>77.373</v>
      </c>
      <c r="R30" s="47">
        <f>K30/2/C30</f>
        <v/>
      </c>
      <c r="S30" s="46" t="n"/>
      <c r="T30" s="45">
        <f>R30+I30</f>
        <v/>
      </c>
      <c r="U30" s="46" t="n"/>
      <c r="V30" s="46" t="n"/>
      <c r="W30" s="46" t="n"/>
      <c r="X30" s="46" t="n"/>
      <c r="Y30" s="46" t="n"/>
      <c r="Z30" s="46" t="n"/>
      <c r="AA30" s="46" t="n"/>
      <c r="AB30" s="46" t="n"/>
      <c r="AC30" s="46" t="n"/>
      <c r="AD30" s="46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46" t="n"/>
      <c r="BX30" s="46" t="n"/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  <c r="CK30" s="46" t="n"/>
      <c r="CL30" s="46" t="n"/>
      <c r="CM30" s="46" t="n"/>
      <c r="CN30" s="46" t="n"/>
      <c r="CO30" s="46" t="n"/>
      <c r="CP30" s="46" t="n"/>
      <c r="CQ30" s="46" t="n"/>
      <c r="CR30" s="46" t="n"/>
      <c r="CS30" s="46" t="n"/>
      <c r="CT30" s="46" t="n"/>
      <c r="CU30" s="46" t="n"/>
      <c r="CV30" s="46" t="n"/>
      <c r="CW30" s="46" t="n"/>
      <c r="CX30" s="46" t="n"/>
      <c r="CY30" s="46" t="n"/>
      <c r="CZ30" s="46" t="n"/>
      <c r="DA30" s="46" t="n"/>
      <c r="DB30" s="46" t="n"/>
      <c r="DC30" s="46" t="n"/>
      <c r="DD30" s="46" t="n"/>
      <c r="DE30" s="46" t="n"/>
      <c r="DF30" s="46" t="n"/>
      <c r="DG30" s="46" t="n"/>
      <c r="DH30" s="46" t="n"/>
      <c r="DI30" s="46" t="n"/>
      <c r="DJ30" s="46" t="n"/>
      <c r="DK30" s="46" t="n"/>
      <c r="DL30" s="46" t="n"/>
      <c r="DM30" s="46" t="n"/>
      <c r="DN30" s="46" t="n"/>
      <c r="DO30" s="46" t="n"/>
      <c r="DP30" s="46" t="n"/>
      <c r="DQ30" s="46" t="n"/>
      <c r="DR30" s="46" t="n"/>
      <c r="DS30" s="46" t="n"/>
      <c r="DT30" s="46" t="n"/>
      <c r="DU30" s="46" t="n"/>
      <c r="DV30" s="46" t="n"/>
      <c r="DW30" s="46" t="n"/>
      <c r="DX30" s="46" t="n"/>
      <c r="DY30" s="46" t="n"/>
      <c r="DZ30" s="46" t="n"/>
      <c r="EA30" s="46" t="n"/>
      <c r="EB30" s="46" t="n"/>
      <c r="EC30" s="46" t="n"/>
      <c r="ED30" s="46" t="n"/>
      <c r="EE30" s="46" t="n"/>
      <c r="EF30" s="46" t="n"/>
      <c r="EG30" s="46" t="n"/>
      <c r="EH30" s="46" t="n"/>
      <c r="EI30" s="46" t="n"/>
      <c r="EJ30" s="46" t="n"/>
      <c r="EK30" s="46" t="n"/>
      <c r="EL30" s="46" t="n"/>
      <c r="EM30" s="46" t="n"/>
      <c r="EN30" s="46" t="n"/>
      <c r="EO30" s="46" t="n"/>
      <c r="EP30" s="46" t="n"/>
      <c r="EQ30" s="46" t="n"/>
      <c r="ER30" s="46" t="n"/>
      <c r="ES30" s="46" t="n"/>
      <c r="ET30" s="46" t="n"/>
      <c r="EU30" s="46" t="n"/>
      <c r="EV30" s="46" t="n"/>
      <c r="EW30" s="46" t="n"/>
      <c r="EX30" s="46" t="n"/>
      <c r="EY30" s="46" t="n"/>
      <c r="EZ30" s="46" t="n"/>
      <c r="FA30" s="46" t="n"/>
      <c r="FB30" s="46" t="n"/>
      <c r="FC30" s="46" t="n"/>
      <c r="FD30" s="46" t="n"/>
      <c r="FE30" s="46" t="n"/>
      <c r="FF30" s="46" t="n"/>
      <c r="FG30" s="46" t="n"/>
      <c r="FH30" s="46" t="n"/>
      <c r="FI30" s="46" t="n"/>
      <c r="FJ30" s="46" t="n"/>
      <c r="FK30" s="46" t="n"/>
      <c r="FL30" s="46" t="n"/>
      <c r="FM30" s="46" t="n"/>
      <c r="FN30" s="46" t="n"/>
    </row>
    <row r="31" ht="15" customFormat="1" customHeight="1" s="50">
      <c r="A31" s="49" t="n">
        <v>42917</v>
      </c>
      <c r="B31" s="43" t="n"/>
      <c r="C31" s="43" t="n">
        <v>160.717</v>
      </c>
      <c r="D31" s="44" t="n"/>
      <c r="E31" s="45" t="n"/>
      <c r="F31" s="46" t="n"/>
      <c r="G31" s="43" t="n">
        <v>91.111</v>
      </c>
      <c r="H31" s="43" t="n">
        <v>51.336</v>
      </c>
      <c r="I31" s="47">
        <f>G31/C31</f>
        <v/>
      </c>
      <c r="J31" s="46" t="n"/>
      <c r="K31" s="46" t="n">
        <v>135.463</v>
      </c>
      <c r="L31" s="46" t="n">
        <v>118.48</v>
      </c>
      <c r="M31" s="46" t="n">
        <v>115.452</v>
      </c>
      <c r="N31" s="45">
        <f>1-(M31/L31)</f>
        <v/>
      </c>
      <c r="O31" s="46" t="n">
        <v>144.772</v>
      </c>
      <c r="P31" s="46" t="n">
        <v>224.794</v>
      </c>
      <c r="Q31" s="46" t="n">
        <v>82.26900000000001</v>
      </c>
      <c r="R31" s="47">
        <f>K31/2/C31</f>
        <v/>
      </c>
      <c r="S31" s="46" t="n"/>
      <c r="T31" s="45">
        <f>R31+I31</f>
        <v/>
      </c>
      <c r="U31" s="46" t="n"/>
      <c r="V31" s="46" t="n"/>
      <c r="W31" s="46" t="n"/>
      <c r="X31" s="46" t="n"/>
      <c r="Y31" s="46" t="n"/>
      <c r="Z31" s="46" t="n"/>
      <c r="AA31" s="46" t="n"/>
      <c r="AB31" s="46" t="n"/>
      <c r="AC31" s="46" t="n"/>
      <c r="AD31" s="46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46" t="n"/>
      <c r="BX31" s="46" t="n"/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  <c r="CK31" s="46" t="n"/>
      <c r="CL31" s="46" t="n"/>
      <c r="CM31" s="46" t="n"/>
      <c r="CN31" s="46" t="n"/>
      <c r="CO31" s="46" t="n"/>
      <c r="CP31" s="46" t="n"/>
      <c r="CQ31" s="46" t="n"/>
      <c r="CR31" s="46" t="n"/>
      <c r="CS31" s="46" t="n"/>
      <c r="CT31" s="46" t="n"/>
      <c r="CU31" s="46" t="n"/>
      <c r="CV31" s="46" t="n"/>
      <c r="CW31" s="46" t="n"/>
      <c r="CX31" s="46" t="n"/>
      <c r="CY31" s="46" t="n"/>
      <c r="CZ31" s="46" t="n"/>
      <c r="DA31" s="46" t="n"/>
      <c r="DB31" s="46" t="n"/>
      <c r="DC31" s="46" t="n"/>
      <c r="DD31" s="46" t="n"/>
      <c r="DE31" s="46" t="n"/>
      <c r="DF31" s="46" t="n"/>
      <c r="DG31" s="46" t="n"/>
      <c r="DH31" s="46" t="n"/>
      <c r="DI31" s="46" t="n"/>
      <c r="DJ31" s="46" t="n"/>
      <c r="DK31" s="46" t="n"/>
      <c r="DL31" s="46" t="n"/>
      <c r="DM31" s="46" t="n"/>
      <c r="DN31" s="46" t="n"/>
      <c r="DO31" s="46" t="n"/>
      <c r="DP31" s="46" t="n"/>
      <c r="DQ31" s="46" t="n"/>
      <c r="DR31" s="46" t="n"/>
      <c r="DS31" s="46" t="n"/>
      <c r="DT31" s="46" t="n"/>
      <c r="DU31" s="46" t="n"/>
      <c r="DV31" s="46" t="n"/>
      <c r="DW31" s="46" t="n"/>
      <c r="DX31" s="46" t="n"/>
      <c r="DY31" s="46" t="n"/>
      <c r="DZ31" s="46" t="n"/>
      <c r="EA31" s="46" t="n"/>
      <c r="EB31" s="46" t="n"/>
      <c r="EC31" s="46" t="n"/>
      <c r="ED31" s="46" t="n"/>
      <c r="EE31" s="46" t="n"/>
      <c r="EF31" s="46" t="n"/>
      <c r="EG31" s="46" t="n"/>
      <c r="EH31" s="46" t="n"/>
      <c r="EI31" s="46" t="n"/>
      <c r="EJ31" s="46" t="n"/>
      <c r="EK31" s="46" t="n"/>
      <c r="EL31" s="46" t="n"/>
      <c r="EM31" s="46" t="n"/>
      <c r="EN31" s="46" t="n"/>
      <c r="EO31" s="46" t="n"/>
      <c r="EP31" s="46" t="n"/>
      <c r="EQ31" s="46" t="n"/>
      <c r="ER31" s="46" t="n"/>
      <c r="ES31" s="46" t="n"/>
      <c r="ET31" s="46" t="n"/>
      <c r="EU31" s="46" t="n"/>
      <c r="EV31" s="46" t="n"/>
      <c r="EW31" s="46" t="n"/>
      <c r="EX31" s="46" t="n"/>
      <c r="EY31" s="46" t="n"/>
      <c r="EZ31" s="46" t="n"/>
      <c r="FA31" s="46" t="n"/>
      <c r="FB31" s="46" t="n"/>
      <c r="FC31" s="46" t="n"/>
      <c r="FD31" s="46" t="n"/>
      <c r="FE31" s="46" t="n"/>
      <c r="FF31" s="46" t="n"/>
      <c r="FG31" s="46" t="n"/>
      <c r="FH31" s="46" t="n"/>
      <c r="FI31" s="46" t="n"/>
      <c r="FJ31" s="46" t="n"/>
      <c r="FK31" s="46" t="n"/>
      <c r="FL31" s="46" t="n"/>
      <c r="FM31" s="46" t="n"/>
      <c r="FN31" s="46" t="n"/>
    </row>
    <row r="32" ht="15" customFormat="1" customHeight="1" s="50">
      <c r="A32" s="49" t="n">
        <v>42948</v>
      </c>
      <c r="B32" s="43" t="n"/>
      <c r="C32" s="43" t="n">
        <v>151.958</v>
      </c>
      <c r="D32" s="44" t="n"/>
      <c r="E32" s="45" t="n"/>
      <c r="F32" s="46" t="n"/>
      <c r="G32" s="43" t="n">
        <v>86.309</v>
      </c>
      <c r="H32" s="43" t="n">
        <v>43.51431809728858</v>
      </c>
      <c r="I32" s="47">
        <f>G32/C32</f>
        <v/>
      </c>
      <c r="J32" s="46" t="n"/>
      <c r="K32" s="46" t="n">
        <v>126.81</v>
      </c>
      <c r="L32" s="46" t="n">
        <v>140.437</v>
      </c>
      <c r="M32" s="46" t="n">
        <v>136.389</v>
      </c>
      <c r="N32" s="45">
        <f>1-(M32/L32)</f>
        <v/>
      </c>
      <c r="O32" s="46" t="n">
        <v>141.797</v>
      </c>
      <c r="P32" s="46" t="n">
        <v>211.524</v>
      </c>
      <c r="Q32" s="46" t="n">
        <v>71.97199999999999</v>
      </c>
      <c r="R32" s="47">
        <f>K32/2/C32</f>
        <v/>
      </c>
      <c r="S32" s="46" t="n"/>
      <c r="T32" s="45">
        <f>R32+I32</f>
        <v/>
      </c>
      <c r="U32" s="46" t="n"/>
      <c r="V32" s="46" t="n"/>
      <c r="W32" s="46" t="n"/>
      <c r="X32" s="46" t="n"/>
      <c r="Y32" s="46" t="n"/>
      <c r="Z32" s="46" t="n"/>
      <c r="AA32" s="46" t="n"/>
      <c r="AB32" s="46" t="n"/>
      <c r="AC32" s="46" t="n"/>
      <c r="AD32" s="46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46" t="n"/>
      <c r="BX32" s="46" t="n"/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  <c r="CK32" s="46" t="n"/>
      <c r="CL32" s="46" t="n"/>
      <c r="CM32" s="46" t="n"/>
      <c r="CN32" s="46" t="n"/>
      <c r="CO32" s="46" t="n"/>
      <c r="CP32" s="46" t="n"/>
      <c r="CQ32" s="46" t="n"/>
      <c r="CR32" s="46" t="n"/>
      <c r="CS32" s="46" t="n"/>
      <c r="CT32" s="46" t="n"/>
      <c r="CU32" s="46" t="n"/>
      <c r="CV32" s="46" t="n"/>
      <c r="CW32" s="46" t="n"/>
      <c r="CX32" s="46" t="n"/>
      <c r="CY32" s="46" t="n"/>
      <c r="CZ32" s="46" t="n"/>
      <c r="DA32" s="46" t="n"/>
      <c r="DB32" s="46" t="n"/>
      <c r="DC32" s="46" t="n"/>
      <c r="DD32" s="46" t="n"/>
      <c r="DE32" s="46" t="n"/>
      <c r="DF32" s="46" t="n"/>
      <c r="DG32" s="46" t="n"/>
      <c r="DH32" s="46" t="n"/>
      <c r="DI32" s="46" t="n"/>
      <c r="DJ32" s="46" t="n"/>
      <c r="DK32" s="46" t="n"/>
      <c r="DL32" s="46" t="n"/>
      <c r="DM32" s="46" t="n"/>
      <c r="DN32" s="46" t="n"/>
      <c r="DO32" s="46" t="n"/>
      <c r="DP32" s="46" t="n"/>
      <c r="DQ32" s="46" t="n"/>
      <c r="DR32" s="46" t="n"/>
      <c r="DS32" s="46" t="n"/>
      <c r="DT32" s="46" t="n"/>
      <c r="DU32" s="46" t="n"/>
      <c r="DV32" s="46" t="n"/>
      <c r="DW32" s="46" t="n"/>
      <c r="DX32" s="46" t="n"/>
      <c r="DY32" s="46" t="n"/>
      <c r="DZ32" s="46" t="n"/>
      <c r="EA32" s="46" t="n"/>
      <c r="EB32" s="46" t="n"/>
      <c r="EC32" s="46" t="n"/>
      <c r="ED32" s="46" t="n"/>
      <c r="EE32" s="46" t="n"/>
      <c r="EF32" s="46" t="n"/>
      <c r="EG32" s="46" t="n"/>
      <c r="EH32" s="46" t="n"/>
      <c r="EI32" s="46" t="n"/>
      <c r="EJ32" s="46" t="n"/>
      <c r="EK32" s="46" t="n"/>
      <c r="EL32" s="46" t="n"/>
      <c r="EM32" s="46" t="n"/>
      <c r="EN32" s="46" t="n"/>
      <c r="EO32" s="46" t="n"/>
      <c r="EP32" s="46" t="n"/>
      <c r="EQ32" s="46" t="n"/>
      <c r="ER32" s="46" t="n"/>
      <c r="ES32" s="46" t="n"/>
      <c r="ET32" s="46" t="n"/>
      <c r="EU32" s="46" t="n"/>
      <c r="EV32" s="46" t="n"/>
      <c r="EW32" s="46" t="n"/>
      <c r="EX32" s="46" t="n"/>
      <c r="EY32" s="46" t="n"/>
      <c r="EZ32" s="46" t="n"/>
      <c r="FA32" s="46" t="n"/>
      <c r="FB32" s="46" t="n"/>
      <c r="FC32" s="46" t="n"/>
      <c r="FD32" s="46" t="n"/>
      <c r="FE32" s="46" t="n"/>
      <c r="FF32" s="46" t="n"/>
      <c r="FG32" s="46" t="n"/>
      <c r="FH32" s="46" t="n"/>
      <c r="FI32" s="46" t="n"/>
      <c r="FJ32" s="46" t="n"/>
      <c r="FK32" s="46" t="n"/>
      <c r="FL32" s="46" t="n"/>
      <c r="FM32" s="46" t="n"/>
      <c r="FN32" s="46" t="n"/>
    </row>
    <row r="33" ht="15" customFormat="1" customHeight="1" s="50">
      <c r="A33" s="49" t="n">
        <v>42979</v>
      </c>
      <c r="B33" s="43" t="n"/>
      <c r="C33" s="43" t="n">
        <v>193.523</v>
      </c>
      <c r="D33" s="44" t="n"/>
      <c r="E33" s="45" t="n"/>
      <c r="F33" s="46" t="n"/>
      <c r="G33" s="43" t="n">
        <v>111.734</v>
      </c>
      <c r="H33" s="43" t="n">
        <v>41.27922063729978</v>
      </c>
      <c r="I33" s="47">
        <f>G33/C33</f>
        <v/>
      </c>
      <c r="J33" s="46" t="n"/>
      <c r="K33" s="46" t="n">
        <v>165.119</v>
      </c>
      <c r="L33" s="46" t="n">
        <v>154.565</v>
      </c>
      <c r="M33" s="46" t="n">
        <v>149.992</v>
      </c>
      <c r="N33" s="45">
        <f>1-(M33/L33)</f>
        <v/>
      </c>
      <c r="O33" s="46" t="n">
        <v>176.13</v>
      </c>
      <c r="P33" s="48" t="n">
        <v>229</v>
      </c>
      <c r="Q33" s="46" t="n">
        <v>94.807</v>
      </c>
      <c r="R33" s="47">
        <f>K33/2/C33</f>
        <v/>
      </c>
      <c r="S33" s="46" t="n"/>
      <c r="T33" s="45">
        <f>R33+I33</f>
        <v/>
      </c>
      <c r="U33" s="46" t="n"/>
      <c r="V33" s="46" t="n"/>
      <c r="W33" s="46" t="n"/>
      <c r="X33" s="46" t="n"/>
      <c r="Y33" s="46" t="n"/>
      <c r="Z33" s="46" t="n"/>
      <c r="AA33" s="46" t="n"/>
      <c r="AB33" s="46" t="n"/>
      <c r="AC33" s="46" t="n"/>
      <c r="AD33" s="46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46" t="n"/>
      <c r="BX33" s="46" t="n"/>
      <c r="BY33" s="46" t="n"/>
      <c r="BZ33" s="46" t="n"/>
      <c r="CA33" s="46" t="n"/>
      <c r="CB33" s="46" t="n"/>
      <c r="CC33" s="46" t="n"/>
      <c r="CD33" s="46" t="n"/>
      <c r="CE33" s="46" t="n"/>
      <c r="CF33" s="46" t="n"/>
      <c r="CG33" s="46" t="n"/>
      <c r="CH33" s="46" t="n"/>
      <c r="CI33" s="46" t="n"/>
      <c r="CJ33" s="46" t="n"/>
      <c r="CK33" s="46" t="n"/>
      <c r="CL33" s="46" t="n"/>
      <c r="CM33" s="46" t="n"/>
      <c r="CN33" s="46" t="n"/>
      <c r="CO33" s="46" t="n"/>
      <c r="CP33" s="46" t="n"/>
      <c r="CQ33" s="46" t="n"/>
      <c r="CR33" s="46" t="n"/>
      <c r="CS33" s="46" t="n"/>
      <c r="CT33" s="46" t="n"/>
      <c r="CU33" s="46" t="n"/>
      <c r="CV33" s="46" t="n"/>
      <c r="CW33" s="46" t="n"/>
      <c r="CX33" s="46" t="n"/>
      <c r="CY33" s="46" t="n"/>
      <c r="CZ33" s="46" t="n"/>
      <c r="DA33" s="46" t="n"/>
      <c r="DB33" s="46" t="n"/>
      <c r="DC33" s="46" t="n"/>
      <c r="DD33" s="46" t="n"/>
      <c r="DE33" s="46" t="n"/>
      <c r="DF33" s="46" t="n"/>
      <c r="DG33" s="46" t="n"/>
      <c r="DH33" s="46" t="n"/>
      <c r="DI33" s="46" t="n"/>
      <c r="DJ33" s="46" t="n"/>
      <c r="DK33" s="46" t="n"/>
      <c r="DL33" s="46" t="n"/>
      <c r="DM33" s="46" t="n"/>
      <c r="DN33" s="46" t="n"/>
      <c r="DO33" s="46" t="n"/>
      <c r="DP33" s="46" t="n"/>
      <c r="DQ33" s="46" t="n"/>
      <c r="DR33" s="46" t="n"/>
      <c r="DS33" s="46" t="n"/>
      <c r="DT33" s="46" t="n"/>
      <c r="DU33" s="46" t="n"/>
      <c r="DV33" s="46" t="n"/>
      <c r="DW33" s="46" t="n"/>
      <c r="DX33" s="46" t="n"/>
      <c r="DY33" s="46" t="n"/>
      <c r="DZ33" s="46" t="n"/>
      <c r="EA33" s="46" t="n"/>
      <c r="EB33" s="46" t="n"/>
      <c r="EC33" s="46" t="n"/>
      <c r="ED33" s="46" t="n"/>
      <c r="EE33" s="46" t="n"/>
      <c r="EF33" s="46" t="n"/>
      <c r="EG33" s="46" t="n"/>
      <c r="EH33" s="46" t="n"/>
      <c r="EI33" s="46" t="n"/>
      <c r="EJ33" s="46" t="n"/>
      <c r="EK33" s="46" t="n"/>
      <c r="EL33" s="46" t="n"/>
      <c r="EM33" s="46" t="n"/>
      <c r="EN33" s="46" t="n"/>
      <c r="EO33" s="46" t="n"/>
      <c r="EP33" s="46" t="n"/>
      <c r="EQ33" s="46" t="n"/>
      <c r="ER33" s="46" t="n"/>
      <c r="ES33" s="46" t="n"/>
      <c r="ET33" s="46" t="n"/>
      <c r="EU33" s="46" t="n"/>
      <c r="EV33" s="46" t="n"/>
      <c r="EW33" s="46" t="n"/>
      <c r="EX33" s="46" t="n"/>
      <c r="EY33" s="46" t="n"/>
      <c r="EZ33" s="46" t="n"/>
      <c r="FA33" s="46" t="n"/>
      <c r="FB33" s="46" t="n"/>
      <c r="FC33" s="46" t="n"/>
      <c r="FD33" s="46" t="n"/>
      <c r="FE33" s="46" t="n"/>
      <c r="FF33" s="46" t="n"/>
      <c r="FG33" s="46" t="n"/>
      <c r="FH33" s="46" t="n"/>
      <c r="FI33" s="46" t="n"/>
      <c r="FJ33" s="46" t="n"/>
      <c r="FK33" s="46" t="n"/>
      <c r="FL33" s="46" t="n"/>
      <c r="FM33" s="46" t="n"/>
      <c r="FN33" s="46" t="n"/>
    </row>
    <row r="34" ht="15" customFormat="1" customHeight="1" s="50">
      <c r="A34" s="49" t="n">
        <v>43009</v>
      </c>
      <c r="B34" s="43" t="n"/>
      <c r="C34" s="43" t="n">
        <v>184.463</v>
      </c>
      <c r="D34" s="44" t="n"/>
      <c r="E34" s="45" t="n"/>
      <c r="F34" s="46" t="n"/>
      <c r="G34" s="43" t="n">
        <v>102.579</v>
      </c>
      <c r="H34" s="43" t="n">
        <v>42.5810352739222</v>
      </c>
      <c r="I34" s="47">
        <f>G34/C34</f>
        <v/>
      </c>
      <c r="J34" s="46" t="n"/>
      <c r="K34" s="46" t="n">
        <v>155.984</v>
      </c>
      <c r="L34" s="46" t="n">
        <v>149.511</v>
      </c>
      <c r="M34" s="46" t="n">
        <v>146.037</v>
      </c>
      <c r="N34" s="45">
        <f>1-(M34/L34)</f>
        <v/>
      </c>
      <c r="O34" s="46" t="n">
        <v>162.986</v>
      </c>
      <c r="P34" s="46" t="n">
        <v>166.734</v>
      </c>
      <c r="Q34" s="46" t="n">
        <v>88.706</v>
      </c>
      <c r="R34" s="47">
        <f>K34/2/C34</f>
        <v/>
      </c>
      <c r="S34" s="46" t="n"/>
      <c r="T34" s="45">
        <f>R34+I34</f>
        <v/>
      </c>
      <c r="U34" s="46" t="n"/>
      <c r="V34" s="46" t="n"/>
      <c r="W34" s="46" t="n"/>
      <c r="X34" s="46" t="n"/>
      <c r="Y34" s="46" t="n"/>
      <c r="Z34" s="46" t="n"/>
      <c r="AA34" s="46" t="n"/>
      <c r="AB34" s="46" t="n"/>
      <c r="AC34" s="46" t="n"/>
      <c r="AD34" s="46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46" t="n"/>
      <c r="BX34" s="46" t="n"/>
      <c r="BY34" s="46" t="n"/>
      <c r="BZ34" s="46" t="n"/>
      <c r="CA34" s="46" t="n"/>
      <c r="CB34" s="46" t="n"/>
      <c r="CC34" s="46" t="n"/>
      <c r="CD34" s="46" t="n"/>
      <c r="CE34" s="46" t="n"/>
      <c r="CF34" s="46" t="n"/>
      <c r="CG34" s="46" t="n"/>
      <c r="CH34" s="46" t="n"/>
      <c r="CI34" s="46" t="n"/>
      <c r="CJ34" s="46" t="n"/>
      <c r="CK34" s="46" t="n"/>
      <c r="CL34" s="46" t="n"/>
      <c r="CM34" s="46" t="n"/>
      <c r="CN34" s="46" t="n"/>
      <c r="CO34" s="46" t="n"/>
      <c r="CP34" s="46" t="n"/>
      <c r="CQ34" s="46" t="n"/>
      <c r="CR34" s="46" t="n"/>
      <c r="CS34" s="46" t="n"/>
      <c r="CT34" s="46" t="n"/>
      <c r="CU34" s="46" t="n"/>
      <c r="CV34" s="46" t="n"/>
      <c r="CW34" s="46" t="n"/>
      <c r="CX34" s="46" t="n"/>
      <c r="CY34" s="46" t="n"/>
      <c r="CZ34" s="46" t="n"/>
      <c r="DA34" s="46" t="n"/>
      <c r="DB34" s="46" t="n"/>
      <c r="DC34" s="46" t="n"/>
      <c r="DD34" s="46" t="n"/>
      <c r="DE34" s="46" t="n"/>
      <c r="DF34" s="46" t="n"/>
      <c r="DG34" s="46" t="n"/>
      <c r="DH34" s="46" t="n"/>
      <c r="DI34" s="46" t="n"/>
      <c r="DJ34" s="46" t="n"/>
      <c r="DK34" s="46" t="n"/>
      <c r="DL34" s="46" t="n"/>
      <c r="DM34" s="46" t="n"/>
      <c r="DN34" s="46" t="n"/>
      <c r="DO34" s="46" t="n"/>
      <c r="DP34" s="46" t="n"/>
      <c r="DQ34" s="46" t="n"/>
      <c r="DR34" s="46" t="n"/>
      <c r="DS34" s="46" t="n"/>
      <c r="DT34" s="46" t="n"/>
      <c r="DU34" s="46" t="n"/>
      <c r="DV34" s="46" t="n"/>
      <c r="DW34" s="46" t="n"/>
      <c r="DX34" s="46" t="n"/>
      <c r="DY34" s="46" t="n"/>
      <c r="DZ34" s="46" t="n"/>
      <c r="EA34" s="46" t="n"/>
      <c r="EB34" s="46" t="n"/>
      <c r="EC34" s="46" t="n"/>
      <c r="ED34" s="46" t="n"/>
      <c r="EE34" s="46" t="n"/>
      <c r="EF34" s="46" t="n"/>
      <c r="EG34" s="46" t="n"/>
      <c r="EH34" s="46" t="n"/>
      <c r="EI34" s="46" t="n"/>
      <c r="EJ34" s="46" t="n"/>
      <c r="EK34" s="46" t="n"/>
      <c r="EL34" s="46" t="n"/>
      <c r="EM34" s="46" t="n"/>
      <c r="EN34" s="46" t="n"/>
      <c r="EO34" s="46" t="n"/>
      <c r="EP34" s="46" t="n"/>
      <c r="EQ34" s="46" t="n"/>
      <c r="ER34" s="46" t="n"/>
      <c r="ES34" s="46" t="n"/>
      <c r="ET34" s="46" t="n"/>
      <c r="EU34" s="46" t="n"/>
      <c r="EV34" s="46" t="n"/>
      <c r="EW34" s="46" t="n"/>
      <c r="EX34" s="46" t="n"/>
      <c r="EY34" s="46" t="n"/>
      <c r="EZ34" s="46" t="n"/>
      <c r="FA34" s="46" t="n"/>
      <c r="FB34" s="46" t="n"/>
      <c r="FC34" s="46" t="n"/>
      <c r="FD34" s="46" t="n"/>
      <c r="FE34" s="46" t="n"/>
      <c r="FF34" s="46" t="n"/>
      <c r="FG34" s="46" t="n"/>
      <c r="FH34" s="46" t="n"/>
      <c r="FI34" s="46" t="n"/>
      <c r="FJ34" s="46" t="n"/>
      <c r="FK34" s="46" t="n"/>
      <c r="FL34" s="46" t="n"/>
      <c r="FM34" s="46" t="n"/>
      <c r="FN34" s="46" t="n"/>
    </row>
    <row r="35" ht="15" customFormat="1" customHeight="1" s="50">
      <c r="A35" s="49" t="n">
        <v>43040</v>
      </c>
      <c r="B35" s="43" t="n"/>
      <c r="C35" s="43" t="n">
        <v>151.301</v>
      </c>
      <c r="D35" s="44" t="n"/>
      <c r="E35" s="45" t="n"/>
      <c r="F35" s="46" t="n"/>
      <c r="G35" s="43" t="n">
        <v>84.801</v>
      </c>
      <c r="H35" s="43" t="n">
        <v>46.29649741897418</v>
      </c>
      <c r="I35" s="47">
        <f>G35/C35</f>
        <v/>
      </c>
      <c r="J35" s="46" t="n"/>
      <c r="K35" s="46" t="n">
        <v>129.766</v>
      </c>
      <c r="L35" s="46" t="n">
        <v>129.749</v>
      </c>
      <c r="M35" s="46" t="n">
        <v>126.549</v>
      </c>
      <c r="N35" s="45">
        <f>1-(M35/L35)</f>
        <v/>
      </c>
      <c r="O35" s="46" t="n">
        <v>155.3</v>
      </c>
      <c r="P35" s="46" t="n">
        <v>179.148</v>
      </c>
      <c r="Q35" s="46" t="n">
        <v>81.801</v>
      </c>
      <c r="R35" s="47">
        <f>K35/2/C35</f>
        <v/>
      </c>
      <c r="S35" s="46" t="n"/>
      <c r="T35" s="45">
        <f>R35+I35</f>
        <v/>
      </c>
      <c r="U35" s="46" t="n"/>
      <c r="V35" s="46" t="n"/>
      <c r="W35" s="46" t="n"/>
      <c r="X35" s="46" t="n"/>
      <c r="Y35" s="46" t="n"/>
      <c r="Z35" s="46" t="n"/>
      <c r="AA35" s="46" t="n"/>
      <c r="AB35" s="46" t="n"/>
      <c r="AC35" s="46" t="n"/>
      <c r="AD35" s="46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46" t="n"/>
      <c r="BX35" s="46" t="n"/>
      <c r="BY35" s="46" t="n"/>
      <c r="BZ35" s="46" t="n"/>
      <c r="CA35" s="46" t="n"/>
      <c r="CB35" s="46" t="n"/>
      <c r="CC35" s="46" t="n"/>
      <c r="CD35" s="46" t="n"/>
      <c r="CE35" s="46" t="n"/>
      <c r="CF35" s="46" t="n"/>
      <c r="CG35" s="46" t="n"/>
      <c r="CH35" s="46" t="n"/>
      <c r="CI35" s="46" t="n"/>
      <c r="CJ35" s="46" t="n"/>
      <c r="CK35" s="46" t="n"/>
      <c r="CL35" s="46" t="n"/>
      <c r="CM35" s="46" t="n"/>
      <c r="CN35" s="46" t="n"/>
      <c r="CO35" s="46" t="n"/>
      <c r="CP35" s="46" t="n"/>
      <c r="CQ35" s="46" t="n"/>
      <c r="CR35" s="46" t="n"/>
      <c r="CS35" s="46" t="n"/>
      <c r="CT35" s="46" t="n"/>
      <c r="CU35" s="46" t="n"/>
      <c r="CV35" s="46" t="n"/>
      <c r="CW35" s="46" t="n"/>
      <c r="CX35" s="46" t="n"/>
      <c r="CY35" s="46" t="n"/>
      <c r="CZ35" s="46" t="n"/>
      <c r="DA35" s="46" t="n"/>
      <c r="DB35" s="46" t="n"/>
      <c r="DC35" s="46" t="n"/>
      <c r="DD35" s="46" t="n"/>
      <c r="DE35" s="46" t="n"/>
      <c r="DF35" s="46" t="n"/>
      <c r="DG35" s="46" t="n"/>
      <c r="DH35" s="46" t="n"/>
      <c r="DI35" s="46" t="n"/>
      <c r="DJ35" s="46" t="n"/>
      <c r="DK35" s="46" t="n"/>
      <c r="DL35" s="46" t="n"/>
      <c r="DM35" s="46" t="n"/>
      <c r="DN35" s="46" t="n"/>
      <c r="DO35" s="46" t="n"/>
      <c r="DP35" s="46" t="n"/>
      <c r="DQ35" s="46" t="n"/>
      <c r="DR35" s="46" t="n"/>
      <c r="DS35" s="46" t="n"/>
      <c r="DT35" s="46" t="n"/>
      <c r="DU35" s="46" t="n"/>
      <c r="DV35" s="46" t="n"/>
      <c r="DW35" s="46" t="n"/>
      <c r="DX35" s="46" t="n"/>
      <c r="DY35" s="46" t="n"/>
      <c r="DZ35" s="46" t="n"/>
      <c r="EA35" s="46" t="n"/>
      <c r="EB35" s="46" t="n"/>
      <c r="EC35" s="46" t="n"/>
      <c r="ED35" s="46" t="n"/>
      <c r="EE35" s="46" t="n"/>
      <c r="EF35" s="46" t="n"/>
      <c r="EG35" s="46" t="n"/>
      <c r="EH35" s="46" t="n"/>
      <c r="EI35" s="46" t="n"/>
      <c r="EJ35" s="46" t="n"/>
      <c r="EK35" s="46" t="n"/>
      <c r="EL35" s="46" t="n"/>
      <c r="EM35" s="46" t="n"/>
      <c r="EN35" s="46" t="n"/>
      <c r="EO35" s="46" t="n"/>
      <c r="EP35" s="46" t="n"/>
      <c r="EQ35" s="46" t="n"/>
      <c r="ER35" s="46" t="n"/>
      <c r="ES35" s="46" t="n"/>
      <c r="ET35" s="46" t="n"/>
      <c r="EU35" s="46" t="n"/>
      <c r="EV35" s="46" t="n"/>
      <c r="EW35" s="46" t="n"/>
      <c r="EX35" s="46" t="n"/>
      <c r="EY35" s="46" t="n"/>
      <c r="EZ35" s="46" t="n"/>
      <c r="FA35" s="46" t="n"/>
      <c r="FB35" s="46" t="n"/>
      <c r="FC35" s="46" t="n"/>
      <c r="FD35" s="46" t="n"/>
      <c r="FE35" s="46" t="n"/>
      <c r="FF35" s="46" t="n"/>
      <c r="FG35" s="46" t="n"/>
      <c r="FH35" s="46" t="n"/>
      <c r="FI35" s="46" t="n"/>
      <c r="FJ35" s="46" t="n"/>
      <c r="FK35" s="46" t="n"/>
      <c r="FL35" s="46" t="n"/>
      <c r="FM35" s="46" t="n"/>
      <c r="FN35" s="46" t="n"/>
    </row>
    <row r="36" ht="15" customFormat="1" customHeight="1" s="50">
      <c r="A36" s="49" t="n">
        <v>43070</v>
      </c>
      <c r="B36" s="43" t="n"/>
      <c r="C36" s="43" t="n">
        <v>172.013</v>
      </c>
      <c r="D36" s="44" t="n"/>
      <c r="E36" s="45" t="n"/>
      <c r="F36" s="46" t="n"/>
      <c r="G36" s="43" t="n">
        <v>95.613</v>
      </c>
      <c r="H36" s="43" t="n">
        <v>63.175</v>
      </c>
      <c r="I36" s="47">
        <f>G36/C36</f>
        <v/>
      </c>
      <c r="J36" s="46" t="n"/>
      <c r="K36" s="46" t="n">
        <v>147.697</v>
      </c>
      <c r="L36" s="46" t="n">
        <v>122.898</v>
      </c>
      <c r="M36" s="46" t="n">
        <v>119.336</v>
      </c>
      <c r="N36" s="45">
        <f>1-(M36/L36)</f>
        <v/>
      </c>
      <c r="O36" s="46" t="n">
        <v>144.051</v>
      </c>
      <c r="P36" s="46" t="n">
        <v>158.512</v>
      </c>
      <c r="Q36" s="46" t="n">
        <v>94.774</v>
      </c>
      <c r="R36" s="47">
        <f>K36/2/C36</f>
        <v/>
      </c>
      <c r="S36" s="46" t="n"/>
      <c r="T36" s="45">
        <f>R36+I36</f>
        <v/>
      </c>
      <c r="U36" s="46" t="n"/>
      <c r="V36" s="46" t="n"/>
      <c r="W36" s="46" t="n"/>
      <c r="X36" s="46" t="n"/>
      <c r="Y36" s="46" t="n"/>
      <c r="Z36" s="46" t="n"/>
      <c r="AA36" s="46" t="n"/>
      <c r="AB36" s="46" t="n"/>
      <c r="AC36" s="46" t="n"/>
      <c r="AD36" s="46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46" t="n"/>
      <c r="BX36" s="46" t="n"/>
      <c r="BY36" s="46" t="n"/>
      <c r="BZ36" s="46" t="n"/>
      <c r="CA36" s="46" t="n"/>
      <c r="CB36" s="46" t="n"/>
      <c r="CC36" s="46" t="n"/>
      <c r="CD36" s="46" t="n"/>
      <c r="CE36" s="46" t="n"/>
      <c r="CF36" s="46" t="n"/>
      <c r="CG36" s="46" t="n"/>
      <c r="CH36" s="46" t="n"/>
      <c r="CI36" s="46" t="n"/>
      <c r="CJ36" s="46" t="n"/>
      <c r="CK36" s="46" t="n"/>
      <c r="CL36" s="46" t="n"/>
      <c r="CM36" s="46" t="n"/>
      <c r="CN36" s="46" t="n"/>
      <c r="CO36" s="46" t="n"/>
      <c r="CP36" s="46" t="n"/>
      <c r="CQ36" s="46" t="n"/>
      <c r="CR36" s="46" t="n"/>
      <c r="CS36" s="46" t="n"/>
      <c r="CT36" s="46" t="n"/>
      <c r="CU36" s="46" t="n"/>
      <c r="CV36" s="46" t="n"/>
      <c r="CW36" s="46" t="n"/>
      <c r="CX36" s="46" t="n"/>
      <c r="CY36" s="46" t="n"/>
      <c r="CZ36" s="46" t="n"/>
      <c r="DA36" s="46" t="n"/>
      <c r="DB36" s="46" t="n"/>
      <c r="DC36" s="46" t="n"/>
      <c r="DD36" s="46" t="n"/>
      <c r="DE36" s="46" t="n"/>
      <c r="DF36" s="46" t="n"/>
      <c r="DG36" s="46" t="n"/>
      <c r="DH36" s="46" t="n"/>
      <c r="DI36" s="46" t="n"/>
      <c r="DJ36" s="46" t="n"/>
      <c r="DK36" s="46" t="n"/>
      <c r="DL36" s="46" t="n"/>
      <c r="DM36" s="46" t="n"/>
      <c r="DN36" s="46" t="n"/>
      <c r="DO36" s="46" t="n"/>
      <c r="DP36" s="46" t="n"/>
      <c r="DQ36" s="46" t="n"/>
      <c r="DR36" s="46" t="n"/>
      <c r="DS36" s="46" t="n"/>
      <c r="DT36" s="46" t="n"/>
      <c r="DU36" s="46" t="n"/>
      <c r="DV36" s="46" t="n"/>
      <c r="DW36" s="46" t="n"/>
      <c r="DX36" s="46" t="n"/>
      <c r="DY36" s="46" t="n"/>
      <c r="DZ36" s="46" t="n"/>
      <c r="EA36" s="46" t="n"/>
      <c r="EB36" s="46" t="n"/>
      <c r="EC36" s="46" t="n"/>
      <c r="ED36" s="46" t="n"/>
      <c r="EE36" s="46" t="n"/>
      <c r="EF36" s="46" t="n"/>
      <c r="EG36" s="46" t="n"/>
      <c r="EH36" s="46" t="n"/>
      <c r="EI36" s="46" t="n"/>
      <c r="EJ36" s="46" t="n"/>
      <c r="EK36" s="46" t="n"/>
      <c r="EL36" s="46" t="n"/>
      <c r="EM36" s="46" t="n"/>
      <c r="EN36" s="46" t="n"/>
      <c r="EO36" s="46" t="n"/>
      <c r="EP36" s="46" t="n"/>
      <c r="EQ36" s="46" t="n"/>
      <c r="ER36" s="46" t="n"/>
      <c r="ES36" s="46" t="n"/>
      <c r="ET36" s="46" t="n"/>
      <c r="EU36" s="46" t="n"/>
      <c r="EV36" s="46" t="n"/>
      <c r="EW36" s="46" t="n"/>
      <c r="EX36" s="46" t="n"/>
      <c r="EY36" s="46" t="n"/>
      <c r="EZ36" s="46" t="n"/>
      <c r="FA36" s="46" t="n"/>
      <c r="FB36" s="46" t="n"/>
      <c r="FC36" s="46" t="n"/>
      <c r="FD36" s="46" t="n"/>
      <c r="FE36" s="46" t="n"/>
      <c r="FF36" s="46" t="n"/>
      <c r="FG36" s="46" t="n"/>
      <c r="FH36" s="46" t="n"/>
      <c r="FI36" s="46" t="n"/>
      <c r="FJ36" s="46" t="n"/>
      <c r="FK36" s="46" t="n"/>
      <c r="FL36" s="46" t="n"/>
      <c r="FM36" s="46" t="n"/>
      <c r="FN36" s="46" t="n"/>
    </row>
    <row r="37" ht="15" customFormat="1" customHeight="1" s="50">
      <c r="A37" s="49" t="n">
        <v>43101</v>
      </c>
      <c r="B37" s="43" t="n"/>
      <c r="C37" s="43" t="n">
        <v>156.705</v>
      </c>
      <c r="D37" s="44" t="n"/>
      <c r="E37" s="45" t="n"/>
      <c r="F37" s="46" t="n"/>
      <c r="G37" s="43" t="n">
        <v>86.774</v>
      </c>
      <c r="H37" s="43" t="n">
        <v>45.49400410510832</v>
      </c>
      <c r="I37" s="47">
        <f>G37/C37</f>
        <v/>
      </c>
      <c r="J37" s="46" t="n"/>
      <c r="K37" s="46" t="n">
        <v>136.161</v>
      </c>
      <c r="L37" s="46" t="n">
        <v>103.151</v>
      </c>
      <c r="M37" s="46" t="n">
        <v>100.65</v>
      </c>
      <c r="N37" s="45">
        <f>1-(M37/L37)</f>
        <v/>
      </c>
      <c r="O37" s="46" t="n">
        <v>127.564</v>
      </c>
      <c r="P37" s="46" t="n">
        <v>168.87</v>
      </c>
      <c r="Q37" s="46" t="n">
        <v>107.267</v>
      </c>
      <c r="R37" s="47">
        <f>K37/2/C37</f>
        <v/>
      </c>
      <c r="S37" s="46" t="n"/>
      <c r="T37" s="45">
        <f>R37+I37</f>
        <v/>
      </c>
      <c r="U37" s="46" t="n"/>
      <c r="V37" s="46" t="n"/>
      <c r="W37" s="46" t="n"/>
      <c r="X37" s="46" t="n"/>
      <c r="Y37" s="46" t="n"/>
      <c r="Z37" s="46" t="n"/>
      <c r="AA37" s="46" t="n"/>
      <c r="AB37" s="46" t="n"/>
      <c r="AC37" s="46" t="n"/>
      <c r="AD37" s="46" t="n"/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46" t="n"/>
      <c r="BX37" s="46" t="n"/>
      <c r="BY37" s="46" t="n"/>
      <c r="BZ37" s="46" t="n"/>
      <c r="CA37" s="46" t="n"/>
      <c r="CB37" s="46" t="n"/>
      <c r="CC37" s="46" t="n"/>
      <c r="CD37" s="46" t="n"/>
      <c r="CE37" s="46" t="n"/>
      <c r="CF37" s="46" t="n"/>
      <c r="CG37" s="46" t="n"/>
      <c r="CH37" s="46" t="n"/>
      <c r="CI37" s="46" t="n"/>
      <c r="CJ37" s="46" t="n"/>
      <c r="CK37" s="46" t="n"/>
      <c r="CL37" s="46" t="n"/>
      <c r="CM37" s="46" t="n"/>
      <c r="CN37" s="46" t="n"/>
      <c r="CO37" s="46" t="n"/>
      <c r="CP37" s="46" t="n"/>
      <c r="CQ37" s="46" t="n"/>
      <c r="CR37" s="46" t="n"/>
      <c r="CS37" s="46" t="n"/>
      <c r="CT37" s="46" t="n"/>
      <c r="CU37" s="46" t="n"/>
      <c r="CV37" s="46" t="n"/>
      <c r="CW37" s="46" t="n"/>
      <c r="CX37" s="46" t="n"/>
      <c r="CY37" s="46" t="n"/>
      <c r="CZ37" s="46" t="n"/>
      <c r="DA37" s="46" t="n"/>
      <c r="DB37" s="46" t="n"/>
      <c r="DC37" s="46" t="n"/>
      <c r="DD37" s="46" t="n"/>
      <c r="DE37" s="46" t="n"/>
      <c r="DF37" s="46" t="n"/>
      <c r="DG37" s="46" t="n"/>
      <c r="DH37" s="46" t="n"/>
      <c r="DI37" s="46" t="n"/>
      <c r="DJ37" s="46" t="n"/>
      <c r="DK37" s="46" t="n"/>
      <c r="DL37" s="46" t="n"/>
      <c r="DM37" s="46" t="n"/>
      <c r="DN37" s="46" t="n"/>
      <c r="DO37" s="46" t="n"/>
      <c r="DP37" s="46" t="n"/>
      <c r="DQ37" s="46" t="n"/>
      <c r="DR37" s="46" t="n"/>
      <c r="DS37" s="46" t="n"/>
      <c r="DT37" s="46" t="n"/>
      <c r="DU37" s="46" t="n"/>
      <c r="DV37" s="46" t="n"/>
      <c r="DW37" s="46" t="n"/>
      <c r="DX37" s="46" t="n"/>
      <c r="DY37" s="46" t="n"/>
      <c r="DZ37" s="46" t="n"/>
      <c r="EA37" s="46" t="n"/>
      <c r="EB37" s="46" t="n"/>
      <c r="EC37" s="46" t="n"/>
      <c r="ED37" s="46" t="n"/>
      <c r="EE37" s="46" t="n"/>
      <c r="EF37" s="46" t="n"/>
      <c r="EG37" s="46" t="n"/>
      <c r="EH37" s="46" t="n"/>
      <c r="EI37" s="46" t="n"/>
      <c r="EJ37" s="46" t="n"/>
      <c r="EK37" s="46" t="n"/>
      <c r="EL37" s="46" t="n"/>
      <c r="EM37" s="46" t="n"/>
      <c r="EN37" s="46" t="n"/>
      <c r="EO37" s="46" t="n"/>
      <c r="EP37" s="46" t="n"/>
      <c r="EQ37" s="46" t="n"/>
      <c r="ER37" s="46" t="n"/>
      <c r="ES37" s="46" t="n"/>
      <c r="ET37" s="46" t="n"/>
      <c r="EU37" s="46" t="n"/>
      <c r="EV37" s="46" t="n"/>
      <c r="EW37" s="46" t="n"/>
      <c r="EX37" s="46" t="n"/>
      <c r="EY37" s="46" t="n"/>
      <c r="EZ37" s="46" t="n"/>
      <c r="FA37" s="46" t="n"/>
      <c r="FB37" s="46" t="n"/>
      <c r="FC37" s="46" t="n"/>
      <c r="FD37" s="46" t="n"/>
      <c r="FE37" s="46" t="n"/>
      <c r="FF37" s="46" t="n"/>
      <c r="FG37" s="46" t="n"/>
      <c r="FH37" s="46" t="n"/>
      <c r="FI37" s="46" t="n"/>
      <c r="FJ37" s="46" t="n"/>
      <c r="FK37" s="46" t="n"/>
      <c r="FL37" s="46" t="n"/>
      <c r="FM37" s="46" t="n"/>
      <c r="FN37" s="46" t="n"/>
    </row>
    <row r="38" ht="15" customFormat="1" customHeight="1" s="50">
      <c r="A38" s="49" t="n">
        <v>43132</v>
      </c>
      <c r="B38" s="43" t="n"/>
      <c r="C38" s="43" t="n">
        <v>151.591</v>
      </c>
      <c r="D38" s="44" t="n"/>
      <c r="E38" s="45" t="n"/>
      <c r="F38" s="46" t="n"/>
      <c r="G38" s="43" t="n">
        <v>84.67100000000001</v>
      </c>
      <c r="H38" s="43" t="n">
        <v>45.76559364335967</v>
      </c>
      <c r="I38" s="47">
        <f>G38/C38</f>
        <v/>
      </c>
      <c r="J38" s="46" t="n"/>
      <c r="K38" s="46" t="n">
        <v>128.363</v>
      </c>
      <c r="L38" s="46" t="n">
        <v>115.194</v>
      </c>
      <c r="M38" s="46" t="n">
        <v>112.078</v>
      </c>
      <c r="N38" s="45">
        <f>1-(M38/L38)</f>
        <v/>
      </c>
      <c r="O38" s="46" t="n">
        <v>133.776</v>
      </c>
      <c r="P38" s="48" t="n">
        <v>177</v>
      </c>
      <c r="Q38" s="46" t="n">
        <v>92.84</v>
      </c>
      <c r="R38" s="47">
        <f>K38/2/C38</f>
        <v/>
      </c>
      <c r="S38" s="46" t="n"/>
      <c r="T38" s="45">
        <f>R38+I38</f>
        <v/>
      </c>
      <c r="U38" s="46" t="n"/>
      <c r="V38" s="46" t="n"/>
      <c r="W38" s="46" t="n"/>
      <c r="X38" s="46" t="n"/>
      <c r="Y38" s="46" t="n"/>
      <c r="Z38" s="46" t="n"/>
      <c r="AA38" s="46" t="n"/>
      <c r="AB38" s="46" t="n"/>
      <c r="AC38" s="46" t="n"/>
      <c r="AD38" s="46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46" t="n"/>
      <c r="BX38" s="46" t="n"/>
      <c r="BY38" s="46" t="n"/>
      <c r="BZ38" s="46" t="n"/>
      <c r="CA38" s="46" t="n"/>
      <c r="CB38" s="46" t="n"/>
      <c r="CC38" s="46" t="n"/>
      <c r="CD38" s="46" t="n"/>
      <c r="CE38" s="46" t="n"/>
      <c r="CF38" s="46" t="n"/>
      <c r="CG38" s="46" t="n"/>
      <c r="CH38" s="46" t="n"/>
      <c r="CI38" s="46" t="n"/>
      <c r="CJ38" s="46" t="n"/>
      <c r="CK38" s="46" t="n"/>
      <c r="CL38" s="46" t="n"/>
      <c r="CM38" s="46" t="n"/>
      <c r="CN38" s="46" t="n"/>
      <c r="CO38" s="46" t="n"/>
      <c r="CP38" s="46" t="n"/>
      <c r="CQ38" s="46" t="n"/>
      <c r="CR38" s="46" t="n"/>
      <c r="CS38" s="46" t="n"/>
      <c r="CT38" s="46" t="n"/>
      <c r="CU38" s="46" t="n"/>
      <c r="CV38" s="46" t="n"/>
      <c r="CW38" s="46" t="n"/>
      <c r="CX38" s="46" t="n"/>
      <c r="CY38" s="46" t="n"/>
      <c r="CZ38" s="46" t="n"/>
      <c r="DA38" s="46" t="n"/>
      <c r="DB38" s="46" t="n"/>
      <c r="DC38" s="46" t="n"/>
      <c r="DD38" s="46" t="n"/>
      <c r="DE38" s="46" t="n"/>
      <c r="DF38" s="46" t="n"/>
      <c r="DG38" s="46" t="n"/>
      <c r="DH38" s="46" t="n"/>
      <c r="DI38" s="46" t="n"/>
      <c r="DJ38" s="46" t="n"/>
      <c r="DK38" s="46" t="n"/>
      <c r="DL38" s="46" t="n"/>
      <c r="DM38" s="46" t="n"/>
      <c r="DN38" s="46" t="n"/>
      <c r="DO38" s="46" t="n"/>
      <c r="DP38" s="46" t="n"/>
      <c r="DQ38" s="46" t="n"/>
      <c r="DR38" s="46" t="n"/>
      <c r="DS38" s="46" t="n"/>
      <c r="DT38" s="46" t="n"/>
      <c r="DU38" s="46" t="n"/>
      <c r="DV38" s="46" t="n"/>
      <c r="DW38" s="46" t="n"/>
      <c r="DX38" s="46" t="n"/>
      <c r="DY38" s="46" t="n"/>
      <c r="DZ38" s="46" t="n"/>
      <c r="EA38" s="46" t="n"/>
      <c r="EB38" s="46" t="n"/>
      <c r="EC38" s="46" t="n"/>
      <c r="ED38" s="46" t="n"/>
      <c r="EE38" s="46" t="n"/>
      <c r="EF38" s="46" t="n"/>
      <c r="EG38" s="46" t="n"/>
      <c r="EH38" s="46" t="n"/>
      <c r="EI38" s="46" t="n"/>
      <c r="EJ38" s="46" t="n"/>
      <c r="EK38" s="46" t="n"/>
      <c r="EL38" s="46" t="n"/>
      <c r="EM38" s="46" t="n"/>
      <c r="EN38" s="46" t="n"/>
      <c r="EO38" s="46" t="n"/>
      <c r="EP38" s="46" t="n"/>
      <c r="EQ38" s="46" t="n"/>
      <c r="ER38" s="46" t="n"/>
      <c r="ES38" s="46" t="n"/>
      <c r="ET38" s="46" t="n"/>
      <c r="EU38" s="46" t="n"/>
      <c r="EV38" s="46" t="n"/>
      <c r="EW38" s="46" t="n"/>
      <c r="EX38" s="46" t="n"/>
      <c r="EY38" s="46" t="n"/>
      <c r="EZ38" s="46" t="n"/>
      <c r="FA38" s="46" t="n"/>
      <c r="FB38" s="46" t="n"/>
      <c r="FC38" s="46" t="n"/>
      <c r="FD38" s="46" t="n"/>
      <c r="FE38" s="46" t="n"/>
      <c r="FF38" s="46" t="n"/>
      <c r="FG38" s="46" t="n"/>
      <c r="FH38" s="46" t="n"/>
      <c r="FI38" s="46" t="n"/>
      <c r="FJ38" s="46" t="n"/>
      <c r="FK38" s="46" t="n"/>
      <c r="FL38" s="46" t="n"/>
      <c r="FM38" s="46" t="n"/>
      <c r="FN38" s="46" t="n"/>
    </row>
    <row r="39" ht="15" customFormat="1" customHeight="1" s="50">
      <c r="A39" s="49" t="n">
        <v>43160</v>
      </c>
      <c r="B39" s="43" t="n"/>
      <c r="C39" s="43" t="n">
        <v>164.1</v>
      </c>
      <c r="D39" s="44" t="n"/>
      <c r="E39" s="45" t="n"/>
      <c r="F39" s="46" t="n"/>
      <c r="G39" s="43" t="n">
        <v>90.65600000000001</v>
      </c>
      <c r="H39" s="43" t="n">
        <v>45.01882201099721</v>
      </c>
      <c r="I39" s="47">
        <f>G39/C39</f>
        <v/>
      </c>
      <c r="J39" s="46" t="n"/>
      <c r="K39" s="46" t="n">
        <v>139.998</v>
      </c>
      <c r="L39" s="46" t="n">
        <v>123.888</v>
      </c>
      <c r="M39" s="46" t="n">
        <v>121.234</v>
      </c>
      <c r="N39" s="45">
        <f>1-(M39/L39)</f>
        <v/>
      </c>
      <c r="O39" s="46" t="n">
        <v>145.358</v>
      </c>
      <c r="P39" s="48" t="n">
        <v>191</v>
      </c>
      <c r="Q39" s="46" t="n">
        <v>82.562</v>
      </c>
      <c r="R39" s="47">
        <f>K39/2/C39</f>
        <v/>
      </c>
      <c r="S39" s="46" t="n"/>
      <c r="T39" s="45">
        <f>R39+I39</f>
        <v/>
      </c>
      <c r="U39" s="46" t="n"/>
      <c r="V39" s="46" t="n"/>
      <c r="W39" s="46" t="n"/>
      <c r="X39" s="46" t="n"/>
      <c r="Y39" s="46" t="n"/>
      <c r="Z39" s="46" t="n"/>
      <c r="AA39" s="46" t="n"/>
      <c r="AB39" s="46" t="n"/>
      <c r="AC39" s="46" t="n"/>
      <c r="AD39" s="46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46" t="n"/>
      <c r="BX39" s="46" t="n"/>
      <c r="BY39" s="46" t="n"/>
      <c r="BZ39" s="46" t="n"/>
      <c r="CA39" s="46" t="n"/>
      <c r="CB39" s="46" t="n"/>
      <c r="CC39" s="46" t="n"/>
      <c r="CD39" s="46" t="n"/>
      <c r="CE39" s="46" t="n"/>
      <c r="CF39" s="46" t="n"/>
      <c r="CG39" s="46" t="n"/>
      <c r="CH39" s="46" t="n"/>
      <c r="CI39" s="46" t="n"/>
      <c r="CJ39" s="46" t="n"/>
      <c r="CK39" s="46" t="n"/>
      <c r="CL39" s="46" t="n"/>
      <c r="CM39" s="46" t="n"/>
      <c r="CN39" s="46" t="n"/>
      <c r="CO39" s="46" t="n"/>
      <c r="CP39" s="46" t="n"/>
      <c r="CQ39" s="46" t="n"/>
      <c r="CR39" s="46" t="n"/>
      <c r="CS39" s="46" t="n"/>
      <c r="CT39" s="46" t="n"/>
      <c r="CU39" s="46" t="n"/>
      <c r="CV39" s="46" t="n"/>
      <c r="CW39" s="46" t="n"/>
      <c r="CX39" s="46" t="n"/>
      <c r="CY39" s="46" t="n"/>
      <c r="CZ39" s="46" t="n"/>
      <c r="DA39" s="46" t="n"/>
      <c r="DB39" s="46" t="n"/>
      <c r="DC39" s="46" t="n"/>
      <c r="DD39" s="46" t="n"/>
      <c r="DE39" s="46" t="n"/>
      <c r="DF39" s="46" t="n"/>
      <c r="DG39" s="46" t="n"/>
      <c r="DH39" s="46" t="n"/>
      <c r="DI39" s="46" t="n"/>
      <c r="DJ39" s="46" t="n"/>
      <c r="DK39" s="46" t="n"/>
      <c r="DL39" s="46" t="n"/>
      <c r="DM39" s="46" t="n"/>
      <c r="DN39" s="46" t="n"/>
      <c r="DO39" s="46" t="n"/>
      <c r="DP39" s="46" t="n"/>
      <c r="DQ39" s="46" t="n"/>
      <c r="DR39" s="46" t="n"/>
      <c r="DS39" s="46" t="n"/>
      <c r="DT39" s="46" t="n"/>
      <c r="DU39" s="46" t="n"/>
      <c r="DV39" s="46" t="n"/>
      <c r="DW39" s="46" t="n"/>
      <c r="DX39" s="46" t="n"/>
      <c r="DY39" s="46" t="n"/>
      <c r="DZ39" s="46" t="n"/>
      <c r="EA39" s="46" t="n"/>
      <c r="EB39" s="46" t="n"/>
      <c r="EC39" s="46" t="n"/>
      <c r="ED39" s="46" t="n"/>
      <c r="EE39" s="46" t="n"/>
      <c r="EF39" s="46" t="n"/>
      <c r="EG39" s="46" t="n"/>
      <c r="EH39" s="46" t="n"/>
      <c r="EI39" s="46" t="n"/>
      <c r="EJ39" s="46" t="n"/>
      <c r="EK39" s="46" t="n"/>
      <c r="EL39" s="46" t="n"/>
      <c r="EM39" s="46" t="n"/>
      <c r="EN39" s="46" t="n"/>
      <c r="EO39" s="46" t="n"/>
      <c r="EP39" s="46" t="n"/>
      <c r="EQ39" s="46" t="n"/>
      <c r="ER39" s="46" t="n"/>
      <c r="ES39" s="46" t="n"/>
      <c r="ET39" s="46" t="n"/>
      <c r="EU39" s="46" t="n"/>
      <c r="EV39" s="46" t="n"/>
      <c r="EW39" s="46" t="n"/>
      <c r="EX39" s="46" t="n"/>
      <c r="EY39" s="46" t="n"/>
      <c r="EZ39" s="46" t="n"/>
      <c r="FA39" s="46" t="n"/>
      <c r="FB39" s="46" t="n"/>
      <c r="FC39" s="46" t="n"/>
      <c r="FD39" s="46" t="n"/>
      <c r="FE39" s="46" t="n"/>
      <c r="FF39" s="46" t="n"/>
      <c r="FG39" s="46" t="n"/>
      <c r="FH39" s="46" t="n"/>
      <c r="FI39" s="46" t="n"/>
      <c r="FJ39" s="46" t="n"/>
      <c r="FK39" s="46" t="n"/>
      <c r="FL39" s="46" t="n"/>
      <c r="FM39" s="46" t="n"/>
      <c r="FN39" s="46" t="n"/>
    </row>
    <row r="40" ht="15" customFormat="1" customHeight="1" s="50">
      <c r="A40" s="49" t="n">
        <v>43191</v>
      </c>
      <c r="B40" s="43" t="n"/>
      <c r="C40" s="43" t="n">
        <v>152.358</v>
      </c>
      <c r="D40" s="44" t="n"/>
      <c r="E40" s="45" t="n"/>
      <c r="F40" s="46" t="n"/>
      <c r="G40" s="43" t="n">
        <v>85.399</v>
      </c>
      <c r="H40" s="43" t="n">
        <v>45.8028315854054</v>
      </c>
      <c r="I40" s="47">
        <f>G40/C40</f>
        <v/>
      </c>
      <c r="J40" s="46" t="n"/>
      <c r="K40" s="46" t="n">
        <v>131.216</v>
      </c>
      <c r="L40" s="46" t="n">
        <v>112.715</v>
      </c>
      <c r="M40" s="46" t="n">
        <v>108.678</v>
      </c>
      <c r="N40" s="45">
        <f>1-(M40/L40)</f>
        <v/>
      </c>
      <c r="O40" s="46" t="n">
        <v>150.506</v>
      </c>
      <c r="P40" s="46" t="n">
        <v>175.88</v>
      </c>
      <c r="Q40" s="46" t="n">
        <v>79.596</v>
      </c>
      <c r="R40" s="47">
        <f>K40/2/C40</f>
        <v/>
      </c>
      <c r="S40" s="46" t="n"/>
      <c r="T40" s="45">
        <f>R40+I40</f>
        <v/>
      </c>
      <c r="U40" s="46" t="n"/>
      <c r="V40" s="46" t="n"/>
      <c r="W40" s="46" t="n"/>
      <c r="X40" s="46" t="n"/>
      <c r="Y40" s="46" t="n"/>
      <c r="Z40" s="46" t="n"/>
      <c r="AA40" s="46" t="n"/>
      <c r="AB40" s="46" t="n"/>
      <c r="AC40" s="46" t="n"/>
      <c r="AD40" s="46" t="n"/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46" t="n"/>
      <c r="BX40" s="46" t="n"/>
      <c r="BY40" s="46" t="n"/>
      <c r="BZ40" s="46" t="n"/>
      <c r="CA40" s="46" t="n"/>
      <c r="CB40" s="46" t="n"/>
      <c r="CC40" s="46" t="n"/>
      <c r="CD40" s="46" t="n"/>
      <c r="CE40" s="46" t="n"/>
      <c r="CF40" s="46" t="n"/>
      <c r="CG40" s="46" t="n"/>
      <c r="CH40" s="46" t="n"/>
      <c r="CI40" s="46" t="n"/>
      <c r="CJ40" s="46" t="n"/>
      <c r="CK40" s="46" t="n"/>
      <c r="CL40" s="46" t="n"/>
      <c r="CM40" s="46" t="n"/>
      <c r="CN40" s="46" t="n"/>
      <c r="CO40" s="46" t="n"/>
      <c r="CP40" s="46" t="n"/>
      <c r="CQ40" s="46" t="n"/>
      <c r="CR40" s="46" t="n"/>
      <c r="CS40" s="46" t="n"/>
      <c r="CT40" s="46" t="n"/>
      <c r="CU40" s="46" t="n"/>
      <c r="CV40" s="46" t="n"/>
      <c r="CW40" s="46" t="n"/>
      <c r="CX40" s="46" t="n"/>
      <c r="CY40" s="46" t="n"/>
      <c r="CZ40" s="46" t="n"/>
      <c r="DA40" s="46" t="n"/>
      <c r="DB40" s="46" t="n"/>
      <c r="DC40" s="46" t="n"/>
      <c r="DD40" s="46" t="n"/>
      <c r="DE40" s="46" t="n"/>
      <c r="DF40" s="46" t="n"/>
      <c r="DG40" s="46" t="n"/>
      <c r="DH40" s="46" t="n"/>
      <c r="DI40" s="46" t="n"/>
      <c r="DJ40" s="46" t="n"/>
      <c r="DK40" s="46" t="n"/>
      <c r="DL40" s="46" t="n"/>
      <c r="DM40" s="46" t="n"/>
      <c r="DN40" s="46" t="n"/>
      <c r="DO40" s="46" t="n"/>
      <c r="DP40" s="46" t="n"/>
      <c r="DQ40" s="46" t="n"/>
      <c r="DR40" s="46" t="n"/>
      <c r="DS40" s="46" t="n"/>
      <c r="DT40" s="46" t="n"/>
      <c r="DU40" s="46" t="n"/>
      <c r="DV40" s="46" t="n"/>
      <c r="DW40" s="46" t="n"/>
      <c r="DX40" s="46" t="n"/>
      <c r="DY40" s="46" t="n"/>
      <c r="DZ40" s="46" t="n"/>
      <c r="EA40" s="46" t="n"/>
      <c r="EB40" s="46" t="n"/>
      <c r="EC40" s="46" t="n"/>
      <c r="ED40" s="46" t="n"/>
      <c r="EE40" s="46" t="n"/>
      <c r="EF40" s="46" t="n"/>
      <c r="EG40" s="46" t="n"/>
      <c r="EH40" s="46" t="n"/>
      <c r="EI40" s="46" t="n"/>
      <c r="EJ40" s="46" t="n"/>
      <c r="EK40" s="46" t="n"/>
      <c r="EL40" s="46" t="n"/>
      <c r="EM40" s="46" t="n"/>
      <c r="EN40" s="46" t="n"/>
      <c r="EO40" s="46" t="n"/>
      <c r="EP40" s="46" t="n"/>
      <c r="EQ40" s="46" t="n"/>
      <c r="ER40" s="46" t="n"/>
      <c r="ES40" s="46" t="n"/>
      <c r="ET40" s="46" t="n"/>
      <c r="EU40" s="46" t="n"/>
      <c r="EV40" s="46" t="n"/>
      <c r="EW40" s="46" t="n"/>
      <c r="EX40" s="46" t="n"/>
      <c r="EY40" s="46" t="n"/>
      <c r="EZ40" s="46" t="n"/>
      <c r="FA40" s="46" t="n"/>
      <c r="FB40" s="46" t="n"/>
      <c r="FC40" s="46" t="n"/>
      <c r="FD40" s="46" t="n"/>
      <c r="FE40" s="46" t="n"/>
      <c r="FF40" s="46" t="n"/>
      <c r="FG40" s="46" t="n"/>
      <c r="FH40" s="46" t="n"/>
      <c r="FI40" s="46" t="n"/>
      <c r="FJ40" s="46" t="n"/>
      <c r="FK40" s="46" t="n"/>
      <c r="FL40" s="46" t="n"/>
      <c r="FM40" s="46" t="n"/>
      <c r="FN40" s="46" t="n"/>
    </row>
    <row r="41" ht="15" customFormat="1" customHeight="1" s="50">
      <c r="A41" s="49" t="n">
        <v>43221</v>
      </c>
      <c r="B41" s="43" t="n"/>
      <c r="C41" s="43" t="n">
        <v>130.921</v>
      </c>
      <c r="D41" s="44" t="n"/>
      <c r="E41" s="45" t="n"/>
      <c r="F41" s="46" t="n"/>
      <c r="G41" s="43" t="n">
        <v>73.35299999999999</v>
      </c>
      <c r="H41" s="43" t="n">
        <v>47.23947956003277</v>
      </c>
      <c r="I41" s="47">
        <f>G41/C41</f>
        <v/>
      </c>
      <c r="J41" s="46" t="n"/>
      <c r="K41" s="46" t="n">
        <v>115.066</v>
      </c>
      <c r="L41" s="46" t="n">
        <v>86.73</v>
      </c>
      <c r="M41" s="46" t="n">
        <v>84.077</v>
      </c>
      <c r="N41" s="45">
        <f>1-(M41/L41)</f>
        <v/>
      </c>
      <c r="O41" s="46" t="n">
        <v>137.145</v>
      </c>
      <c r="P41" s="46" t="n">
        <v>181.168</v>
      </c>
      <c r="Q41" s="46" t="n">
        <v>81.122</v>
      </c>
      <c r="R41" s="47">
        <f>K41/2/C41</f>
        <v/>
      </c>
      <c r="S41" s="46" t="n"/>
      <c r="T41" s="45">
        <f>R41+I41</f>
        <v/>
      </c>
      <c r="U41" s="46" t="n"/>
      <c r="V41" s="46" t="n"/>
      <c r="W41" s="46" t="n"/>
      <c r="X41" s="46" t="n"/>
      <c r="Y41" s="46" t="n"/>
      <c r="Z41" s="46" t="n"/>
      <c r="AA41" s="46" t="n"/>
      <c r="AB41" s="46" t="n"/>
      <c r="AC41" s="46" t="n"/>
      <c r="AD41" s="46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46" t="n"/>
      <c r="BX41" s="46" t="n"/>
      <c r="BY41" s="46" t="n"/>
      <c r="BZ41" s="46" t="n"/>
      <c r="CA41" s="46" t="n"/>
      <c r="CB41" s="46" t="n"/>
      <c r="CC41" s="46" t="n"/>
      <c r="CD41" s="46" t="n"/>
      <c r="CE41" s="46" t="n"/>
      <c r="CF41" s="46" t="n"/>
      <c r="CG41" s="46" t="n"/>
      <c r="CH41" s="46" t="n"/>
      <c r="CI41" s="46" t="n"/>
      <c r="CJ41" s="46" t="n"/>
      <c r="CK41" s="46" t="n"/>
      <c r="CL41" s="46" t="n"/>
      <c r="CM41" s="46" t="n"/>
      <c r="CN41" s="46" t="n"/>
      <c r="CO41" s="46" t="n"/>
      <c r="CP41" s="46" t="n"/>
      <c r="CQ41" s="46" t="n"/>
      <c r="CR41" s="46" t="n"/>
      <c r="CS41" s="46" t="n"/>
      <c r="CT41" s="46" t="n"/>
      <c r="CU41" s="46" t="n"/>
      <c r="CV41" s="46" t="n"/>
      <c r="CW41" s="46" t="n"/>
      <c r="CX41" s="46" t="n"/>
      <c r="CY41" s="46" t="n"/>
      <c r="CZ41" s="46" t="n"/>
      <c r="DA41" s="46" t="n"/>
      <c r="DB41" s="46" t="n"/>
      <c r="DC41" s="46" t="n"/>
      <c r="DD41" s="46" t="n"/>
      <c r="DE41" s="46" t="n"/>
      <c r="DF41" s="46" t="n"/>
      <c r="DG41" s="46" t="n"/>
      <c r="DH41" s="46" t="n"/>
      <c r="DI41" s="46" t="n"/>
      <c r="DJ41" s="46" t="n"/>
      <c r="DK41" s="46" t="n"/>
      <c r="DL41" s="46" t="n"/>
      <c r="DM41" s="46" t="n"/>
      <c r="DN41" s="46" t="n"/>
      <c r="DO41" s="46" t="n"/>
      <c r="DP41" s="46" t="n"/>
      <c r="DQ41" s="46" t="n"/>
      <c r="DR41" s="46" t="n"/>
      <c r="DS41" s="46" t="n"/>
      <c r="DT41" s="46" t="n"/>
      <c r="DU41" s="46" t="n"/>
      <c r="DV41" s="46" t="n"/>
      <c r="DW41" s="46" t="n"/>
      <c r="DX41" s="46" t="n"/>
      <c r="DY41" s="46" t="n"/>
      <c r="DZ41" s="46" t="n"/>
      <c r="EA41" s="46" t="n"/>
      <c r="EB41" s="46" t="n"/>
      <c r="EC41" s="46" t="n"/>
      <c r="ED41" s="46" t="n"/>
      <c r="EE41" s="46" t="n"/>
      <c r="EF41" s="46" t="n"/>
      <c r="EG41" s="46" t="n"/>
      <c r="EH41" s="46" t="n"/>
      <c r="EI41" s="46" t="n"/>
      <c r="EJ41" s="46" t="n"/>
      <c r="EK41" s="46" t="n"/>
      <c r="EL41" s="46" t="n"/>
      <c r="EM41" s="46" t="n"/>
      <c r="EN41" s="46" t="n"/>
      <c r="EO41" s="46" t="n"/>
      <c r="EP41" s="46" t="n"/>
      <c r="EQ41" s="46" t="n"/>
      <c r="ER41" s="46" t="n"/>
      <c r="ES41" s="46" t="n"/>
      <c r="ET41" s="46" t="n"/>
      <c r="EU41" s="46" t="n"/>
      <c r="EV41" s="46" t="n"/>
      <c r="EW41" s="46" t="n"/>
      <c r="EX41" s="46" t="n"/>
      <c r="EY41" s="46" t="n"/>
      <c r="EZ41" s="46" t="n"/>
      <c r="FA41" s="46" t="n"/>
      <c r="FB41" s="46" t="n"/>
      <c r="FC41" s="46" t="n"/>
      <c r="FD41" s="46" t="n"/>
      <c r="FE41" s="46" t="n"/>
      <c r="FF41" s="46" t="n"/>
      <c r="FG41" s="46" t="n"/>
      <c r="FH41" s="46" t="n"/>
      <c r="FI41" s="46" t="n"/>
      <c r="FJ41" s="46" t="n"/>
      <c r="FK41" s="46" t="n"/>
      <c r="FL41" s="46" t="n"/>
      <c r="FM41" s="46" t="n"/>
      <c r="FN41" s="46" t="n"/>
    </row>
    <row r="42" ht="15" customFormat="1" customHeight="1" s="50">
      <c r="A42" s="49" t="n">
        <v>43252</v>
      </c>
      <c r="B42" s="43" t="n"/>
      <c r="C42" s="43" t="n">
        <v>147.432</v>
      </c>
      <c r="D42" s="44" t="n"/>
      <c r="E42" s="45" t="n"/>
      <c r="F42" s="46" t="n"/>
      <c r="G42" s="43" t="n">
        <v>82.78700000000001</v>
      </c>
      <c r="H42" s="43" t="n">
        <v>46.10418153981005</v>
      </c>
      <c r="I42" s="47">
        <f>G42/C42</f>
        <v/>
      </c>
      <c r="J42" s="46" t="n"/>
      <c r="K42" s="46" t="n">
        <v>129.663</v>
      </c>
      <c r="L42" s="46" t="n">
        <v>128.341</v>
      </c>
      <c r="M42" s="46" t="n">
        <v>124.48</v>
      </c>
      <c r="N42" s="45">
        <f>1-(M42/L42)</f>
        <v/>
      </c>
      <c r="O42" s="46" t="n">
        <v>152.352</v>
      </c>
      <c r="P42" s="46" t="n">
        <v>149.258</v>
      </c>
      <c r="Q42" s="46" t="n">
        <v>77.254</v>
      </c>
      <c r="R42" s="47">
        <f>K42/2/C42</f>
        <v/>
      </c>
      <c r="S42" s="46" t="n"/>
      <c r="T42" s="45">
        <f>R42+I42</f>
        <v/>
      </c>
      <c r="U42" s="46" t="n"/>
      <c r="V42" s="46" t="n"/>
      <c r="W42" s="46" t="n"/>
      <c r="X42" s="46" t="n"/>
      <c r="Y42" s="46" t="n"/>
      <c r="Z42" s="46" t="n"/>
      <c r="AA42" s="46" t="n"/>
      <c r="AB42" s="46" t="n"/>
      <c r="AC42" s="46" t="n"/>
      <c r="AD42" s="46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46" t="n"/>
      <c r="BX42" s="46" t="n"/>
      <c r="BY42" s="46" t="n"/>
      <c r="BZ42" s="46" t="n"/>
      <c r="CA42" s="46" t="n"/>
      <c r="CB42" s="46" t="n"/>
      <c r="CC42" s="46" t="n"/>
      <c r="CD42" s="46" t="n"/>
      <c r="CE42" s="46" t="n"/>
      <c r="CF42" s="46" t="n"/>
      <c r="CG42" s="46" t="n"/>
      <c r="CH42" s="46" t="n"/>
      <c r="CI42" s="46" t="n"/>
      <c r="CJ42" s="46" t="n"/>
      <c r="CK42" s="46" t="n"/>
      <c r="CL42" s="46" t="n"/>
      <c r="CM42" s="46" t="n"/>
      <c r="CN42" s="46" t="n"/>
      <c r="CO42" s="46" t="n"/>
      <c r="CP42" s="46" t="n"/>
      <c r="CQ42" s="46" t="n"/>
      <c r="CR42" s="46" t="n"/>
      <c r="CS42" s="46" t="n"/>
      <c r="CT42" s="46" t="n"/>
      <c r="CU42" s="46" t="n"/>
      <c r="CV42" s="46" t="n"/>
      <c r="CW42" s="46" t="n"/>
      <c r="CX42" s="46" t="n"/>
      <c r="CY42" s="46" t="n"/>
      <c r="CZ42" s="46" t="n"/>
      <c r="DA42" s="46" t="n"/>
      <c r="DB42" s="46" t="n"/>
      <c r="DC42" s="46" t="n"/>
      <c r="DD42" s="46" t="n"/>
      <c r="DE42" s="46" t="n"/>
      <c r="DF42" s="46" t="n"/>
      <c r="DG42" s="46" t="n"/>
      <c r="DH42" s="46" t="n"/>
      <c r="DI42" s="46" t="n"/>
      <c r="DJ42" s="46" t="n"/>
      <c r="DK42" s="46" t="n"/>
      <c r="DL42" s="46" t="n"/>
      <c r="DM42" s="46" t="n"/>
      <c r="DN42" s="46" t="n"/>
      <c r="DO42" s="46" t="n"/>
      <c r="DP42" s="46" t="n"/>
      <c r="DQ42" s="46" t="n"/>
      <c r="DR42" s="46" t="n"/>
      <c r="DS42" s="46" t="n"/>
      <c r="DT42" s="46" t="n"/>
      <c r="DU42" s="46" t="n"/>
      <c r="DV42" s="46" t="n"/>
      <c r="DW42" s="46" t="n"/>
      <c r="DX42" s="46" t="n"/>
      <c r="DY42" s="46" t="n"/>
      <c r="DZ42" s="46" t="n"/>
      <c r="EA42" s="46" t="n"/>
      <c r="EB42" s="46" t="n"/>
      <c r="EC42" s="46" t="n"/>
      <c r="ED42" s="46" t="n"/>
      <c r="EE42" s="46" t="n"/>
      <c r="EF42" s="46" t="n"/>
      <c r="EG42" s="46" t="n"/>
      <c r="EH42" s="46" t="n"/>
      <c r="EI42" s="46" t="n"/>
      <c r="EJ42" s="46" t="n"/>
      <c r="EK42" s="46" t="n"/>
      <c r="EL42" s="46" t="n"/>
      <c r="EM42" s="46" t="n"/>
      <c r="EN42" s="46" t="n"/>
      <c r="EO42" s="46" t="n"/>
      <c r="EP42" s="46" t="n"/>
      <c r="EQ42" s="46" t="n"/>
      <c r="ER42" s="46" t="n"/>
      <c r="ES42" s="46" t="n"/>
      <c r="ET42" s="46" t="n"/>
      <c r="EU42" s="46" t="n"/>
      <c r="EV42" s="46" t="n"/>
      <c r="EW42" s="46" t="n"/>
      <c r="EX42" s="46" t="n"/>
      <c r="EY42" s="46" t="n"/>
      <c r="EZ42" s="46" t="n"/>
      <c r="FA42" s="46" t="n"/>
      <c r="FB42" s="46" t="n"/>
      <c r="FC42" s="46" t="n"/>
      <c r="FD42" s="46" t="n"/>
      <c r="FE42" s="46" t="n"/>
      <c r="FF42" s="46" t="n"/>
      <c r="FG42" s="46" t="n"/>
      <c r="FH42" s="46" t="n"/>
      <c r="FI42" s="46" t="n"/>
      <c r="FJ42" s="46" t="n"/>
      <c r="FK42" s="46" t="n"/>
      <c r="FL42" s="46" t="n"/>
      <c r="FM42" s="46" t="n"/>
      <c r="FN42" s="46" t="n"/>
    </row>
    <row r="43" ht="15" customFormat="1" customHeight="1" s="50">
      <c r="A43" s="49" t="n">
        <v>43282</v>
      </c>
      <c r="B43" s="43" t="n"/>
      <c r="C43" s="43" t="n">
        <v>165.007</v>
      </c>
      <c r="D43" s="44" t="n"/>
      <c r="E43" s="45" t="n"/>
      <c r="F43" s="46" t="n"/>
      <c r="G43" s="43" t="n">
        <v>97.758</v>
      </c>
      <c r="H43" s="43" t="n">
        <v>44.44371859221543</v>
      </c>
      <c r="I43" s="47">
        <f>G43/C43</f>
        <v/>
      </c>
      <c r="J43" s="46" t="n"/>
      <c r="K43" s="46" t="n">
        <v>149.716</v>
      </c>
      <c r="L43" s="46" t="n">
        <v>140.859</v>
      </c>
      <c r="M43" s="46" t="n">
        <v>136.781</v>
      </c>
      <c r="N43" s="45">
        <f>1-(M43/L43)</f>
        <v/>
      </c>
      <c r="O43" s="46" t="n">
        <v>155.33</v>
      </c>
      <c r="P43" s="46" t="n">
        <v>121.647</v>
      </c>
      <c r="Q43" s="46" t="n">
        <v>83.321</v>
      </c>
      <c r="R43" s="47">
        <f>K43/2/C43</f>
        <v/>
      </c>
      <c r="S43" s="46" t="n"/>
      <c r="T43" s="45">
        <f>R43+I43</f>
        <v/>
      </c>
      <c r="U43" s="46" t="n"/>
      <c r="V43" s="46" t="n"/>
      <c r="W43" s="46" t="n"/>
      <c r="X43" s="46" t="n"/>
      <c r="Y43" s="46" t="n"/>
      <c r="Z43" s="46" t="n"/>
      <c r="AA43" s="46" t="n"/>
      <c r="AB43" s="46" t="n"/>
      <c r="AC43" s="46" t="n"/>
      <c r="AD43" s="46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46" t="n"/>
      <c r="BX43" s="46" t="n"/>
      <c r="BY43" s="46" t="n"/>
      <c r="BZ43" s="46" t="n"/>
      <c r="CA43" s="46" t="n"/>
      <c r="CB43" s="46" t="n"/>
      <c r="CC43" s="46" t="n"/>
      <c r="CD43" s="46" t="n"/>
      <c r="CE43" s="46" t="n"/>
      <c r="CF43" s="46" t="n"/>
      <c r="CG43" s="46" t="n"/>
      <c r="CH43" s="46" t="n"/>
      <c r="CI43" s="46" t="n"/>
      <c r="CJ43" s="46" t="n"/>
      <c r="CK43" s="46" t="n"/>
      <c r="CL43" s="46" t="n"/>
      <c r="CM43" s="46" t="n"/>
      <c r="CN43" s="46" t="n"/>
      <c r="CO43" s="46" t="n"/>
      <c r="CP43" s="46" t="n"/>
      <c r="CQ43" s="46" t="n"/>
      <c r="CR43" s="46" t="n"/>
      <c r="CS43" s="46" t="n"/>
      <c r="CT43" s="46" t="n"/>
      <c r="CU43" s="46" t="n"/>
      <c r="CV43" s="46" t="n"/>
      <c r="CW43" s="46" t="n"/>
      <c r="CX43" s="46" t="n"/>
      <c r="CY43" s="46" t="n"/>
      <c r="CZ43" s="46" t="n"/>
      <c r="DA43" s="46" t="n"/>
      <c r="DB43" s="46" t="n"/>
      <c r="DC43" s="46" t="n"/>
      <c r="DD43" s="46" t="n"/>
      <c r="DE43" s="46" t="n"/>
      <c r="DF43" s="46" t="n"/>
      <c r="DG43" s="46" t="n"/>
      <c r="DH43" s="46" t="n"/>
      <c r="DI43" s="46" t="n"/>
      <c r="DJ43" s="46" t="n"/>
      <c r="DK43" s="46" t="n"/>
      <c r="DL43" s="46" t="n"/>
      <c r="DM43" s="46" t="n"/>
      <c r="DN43" s="46" t="n"/>
      <c r="DO43" s="46" t="n"/>
      <c r="DP43" s="46" t="n"/>
      <c r="DQ43" s="46" t="n"/>
      <c r="DR43" s="46" t="n"/>
      <c r="DS43" s="46" t="n"/>
      <c r="DT43" s="46" t="n"/>
      <c r="DU43" s="46" t="n"/>
      <c r="DV43" s="46" t="n"/>
      <c r="DW43" s="46" t="n"/>
      <c r="DX43" s="46" t="n"/>
      <c r="DY43" s="46" t="n"/>
      <c r="DZ43" s="46" t="n"/>
      <c r="EA43" s="46" t="n"/>
      <c r="EB43" s="46" t="n"/>
      <c r="EC43" s="46" t="n"/>
      <c r="ED43" s="46" t="n"/>
      <c r="EE43" s="46" t="n"/>
      <c r="EF43" s="46" t="n"/>
      <c r="EG43" s="46" t="n"/>
      <c r="EH43" s="46" t="n"/>
      <c r="EI43" s="46" t="n"/>
      <c r="EJ43" s="46" t="n"/>
      <c r="EK43" s="46" t="n"/>
      <c r="EL43" s="46" t="n"/>
      <c r="EM43" s="46" t="n"/>
      <c r="EN43" s="46" t="n"/>
      <c r="EO43" s="46" t="n"/>
      <c r="EP43" s="46" t="n"/>
      <c r="EQ43" s="46" t="n"/>
      <c r="ER43" s="46" t="n"/>
      <c r="ES43" s="46" t="n"/>
      <c r="ET43" s="46" t="n"/>
      <c r="EU43" s="46" t="n"/>
      <c r="EV43" s="46" t="n"/>
      <c r="EW43" s="46" t="n"/>
      <c r="EX43" s="46" t="n"/>
      <c r="EY43" s="46" t="n"/>
      <c r="EZ43" s="46" t="n"/>
      <c r="FA43" s="46" t="n"/>
      <c r="FB43" s="46" t="n"/>
      <c r="FC43" s="46" t="n"/>
      <c r="FD43" s="46" t="n"/>
      <c r="FE43" s="46" t="n"/>
      <c r="FF43" s="46" t="n"/>
      <c r="FG43" s="46" t="n"/>
      <c r="FH43" s="46" t="n"/>
      <c r="FI43" s="46" t="n"/>
      <c r="FJ43" s="46" t="n"/>
      <c r="FK43" s="46" t="n"/>
      <c r="FL43" s="46" t="n"/>
      <c r="FM43" s="46" t="n"/>
      <c r="FN43" s="46" t="n"/>
    </row>
    <row r="44" ht="15" customFormat="1" customHeight="1" s="50">
      <c r="A44" s="49" t="n">
        <v>43313</v>
      </c>
      <c r="B44" s="43" t="n"/>
      <c r="C44" s="43" t="n">
        <v>170.472</v>
      </c>
      <c r="D44" s="44" t="n"/>
      <c r="E44" s="45" t="n"/>
      <c r="F44" s="46" t="n"/>
      <c r="G44" s="43" t="n">
        <v>93.949</v>
      </c>
      <c r="H44" s="43" t="n">
        <v>45.10588267113315</v>
      </c>
      <c r="I44" s="47">
        <f>G44/C44</f>
        <v/>
      </c>
      <c r="J44" s="46" t="n"/>
      <c r="K44" s="46" t="n">
        <v>139.345</v>
      </c>
      <c r="L44" s="46" t="n">
        <v>116.348</v>
      </c>
      <c r="M44" s="46" t="n">
        <v>110.749</v>
      </c>
      <c r="N44" s="45">
        <f>1-(M44/L44)</f>
        <v/>
      </c>
      <c r="O44" s="46" t="n">
        <v>153.134</v>
      </c>
      <c r="P44" s="48" t="n">
        <v>188</v>
      </c>
      <c r="Q44" s="46" t="n">
        <v>110.219</v>
      </c>
      <c r="R44" s="47">
        <f>K44/2/C44</f>
        <v/>
      </c>
      <c r="S44" s="46" t="n"/>
      <c r="T44" s="45">
        <f>R44+I44</f>
        <v/>
      </c>
      <c r="U44" s="46" t="n"/>
      <c r="V44" s="46" t="n"/>
      <c r="W44" s="46" t="n"/>
      <c r="X44" s="46" t="n"/>
      <c r="Y44" s="46" t="n"/>
      <c r="Z44" s="46" t="n"/>
      <c r="AA44" s="46" t="n"/>
      <c r="AB44" s="46" t="n"/>
      <c r="AC44" s="46" t="n"/>
      <c r="AD44" s="46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46" t="n"/>
      <c r="BX44" s="46" t="n"/>
      <c r="BY44" s="46" t="n"/>
      <c r="BZ44" s="46" t="n"/>
      <c r="CA44" s="46" t="n"/>
      <c r="CB44" s="46" t="n"/>
      <c r="CC44" s="46" t="n"/>
      <c r="CD44" s="46" t="n"/>
      <c r="CE44" s="46" t="n"/>
      <c r="CF44" s="46" t="n"/>
      <c r="CG44" s="46" t="n"/>
      <c r="CH44" s="46" t="n"/>
      <c r="CI44" s="46" t="n"/>
      <c r="CJ44" s="46" t="n"/>
      <c r="CK44" s="46" t="n"/>
      <c r="CL44" s="46" t="n"/>
      <c r="CM44" s="46" t="n"/>
      <c r="CN44" s="46" t="n"/>
      <c r="CO44" s="46" t="n"/>
      <c r="CP44" s="46" t="n"/>
      <c r="CQ44" s="46" t="n"/>
      <c r="CR44" s="46" t="n"/>
      <c r="CS44" s="46" t="n"/>
      <c r="CT44" s="46" t="n"/>
      <c r="CU44" s="46" t="n"/>
      <c r="CV44" s="46" t="n"/>
      <c r="CW44" s="46" t="n"/>
      <c r="CX44" s="46" t="n"/>
      <c r="CY44" s="46" t="n"/>
      <c r="CZ44" s="46" t="n"/>
      <c r="DA44" s="46" t="n"/>
      <c r="DB44" s="46" t="n"/>
      <c r="DC44" s="46" t="n"/>
      <c r="DD44" s="46" t="n"/>
      <c r="DE44" s="46" t="n"/>
      <c r="DF44" s="46" t="n"/>
      <c r="DG44" s="46" t="n"/>
      <c r="DH44" s="46" t="n"/>
      <c r="DI44" s="46" t="n"/>
      <c r="DJ44" s="46" t="n"/>
      <c r="DK44" s="46" t="n"/>
      <c r="DL44" s="46" t="n"/>
      <c r="DM44" s="46" t="n"/>
      <c r="DN44" s="46" t="n"/>
      <c r="DO44" s="46" t="n"/>
      <c r="DP44" s="46" t="n"/>
      <c r="DQ44" s="46" t="n"/>
      <c r="DR44" s="46" t="n"/>
      <c r="DS44" s="46" t="n"/>
      <c r="DT44" s="46" t="n"/>
      <c r="DU44" s="46" t="n"/>
      <c r="DV44" s="46" t="n"/>
      <c r="DW44" s="46" t="n"/>
      <c r="DX44" s="46" t="n"/>
      <c r="DY44" s="46" t="n"/>
      <c r="DZ44" s="46" t="n"/>
      <c r="EA44" s="46" t="n"/>
      <c r="EB44" s="46" t="n"/>
      <c r="EC44" s="46" t="n"/>
      <c r="ED44" s="46" t="n"/>
      <c r="EE44" s="46" t="n"/>
      <c r="EF44" s="46" t="n"/>
      <c r="EG44" s="46" t="n"/>
      <c r="EH44" s="46" t="n"/>
      <c r="EI44" s="46" t="n"/>
      <c r="EJ44" s="46" t="n"/>
      <c r="EK44" s="46" t="n"/>
      <c r="EL44" s="46" t="n"/>
      <c r="EM44" s="46" t="n"/>
      <c r="EN44" s="46" t="n"/>
      <c r="EO44" s="46" t="n"/>
      <c r="EP44" s="46" t="n"/>
      <c r="EQ44" s="46" t="n"/>
      <c r="ER44" s="46" t="n"/>
      <c r="ES44" s="46" t="n"/>
      <c r="ET44" s="46" t="n"/>
      <c r="EU44" s="46" t="n"/>
      <c r="EV44" s="46" t="n"/>
      <c r="EW44" s="46" t="n"/>
      <c r="EX44" s="46" t="n"/>
      <c r="EY44" s="46" t="n"/>
      <c r="EZ44" s="46" t="n"/>
      <c r="FA44" s="46" t="n"/>
      <c r="FB44" s="46" t="n"/>
      <c r="FC44" s="46" t="n"/>
      <c r="FD44" s="46" t="n"/>
      <c r="FE44" s="46" t="n"/>
      <c r="FF44" s="46" t="n"/>
      <c r="FG44" s="46" t="n"/>
      <c r="FH44" s="46" t="n"/>
      <c r="FI44" s="46" t="n"/>
      <c r="FJ44" s="46" t="n"/>
      <c r="FK44" s="46" t="n"/>
      <c r="FL44" s="46" t="n"/>
      <c r="FM44" s="46" t="n"/>
      <c r="FN44" s="46" t="n"/>
    </row>
    <row r="45" ht="15" customFormat="1" customHeight="1" s="50">
      <c r="A45" s="49" t="n">
        <v>43344</v>
      </c>
      <c r="B45" s="43" t="n"/>
      <c r="C45" s="43" t="n">
        <v>178.162</v>
      </c>
      <c r="D45" s="44" t="n"/>
      <c r="E45" s="45" t="n"/>
      <c r="F45" s="46" t="n"/>
      <c r="G45" s="43" t="n">
        <v>101.75</v>
      </c>
      <c r="H45" s="43" t="n">
        <v>44.90360609313906</v>
      </c>
      <c r="I45" s="47">
        <f>G45/C45</f>
        <v/>
      </c>
      <c r="J45" s="46" t="n"/>
      <c r="K45" s="46" t="n">
        <v>151.517</v>
      </c>
      <c r="L45" s="46" t="n">
        <v>166.792</v>
      </c>
      <c r="M45" s="46" t="n">
        <v>161.314</v>
      </c>
      <c r="N45" s="45">
        <f>1-(M45/L45)</f>
        <v/>
      </c>
      <c r="O45" s="46" t="n">
        <v>154.209</v>
      </c>
      <c r="P45" s="46" t="n">
        <v>115.128</v>
      </c>
      <c r="Q45" s="46" t="n">
        <v>79.44</v>
      </c>
      <c r="R45" s="47">
        <f>K45/2/C45</f>
        <v/>
      </c>
      <c r="S45" s="46" t="n"/>
      <c r="T45" s="45">
        <f>R45+I45</f>
        <v/>
      </c>
      <c r="U45" s="46" t="n"/>
      <c r="V45" s="46" t="n"/>
      <c r="W45" s="46" t="n"/>
      <c r="X45" s="46" t="n"/>
      <c r="Y45" s="46" t="n"/>
      <c r="Z45" s="46" t="n"/>
      <c r="AA45" s="46" t="n"/>
      <c r="AB45" s="46" t="n"/>
      <c r="AC45" s="46" t="n"/>
      <c r="AD45" s="46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46" t="n"/>
      <c r="BX45" s="46" t="n"/>
      <c r="BY45" s="46" t="n"/>
      <c r="BZ45" s="46" t="n"/>
      <c r="CA45" s="46" t="n"/>
      <c r="CB45" s="46" t="n"/>
      <c r="CC45" s="46" t="n"/>
      <c r="CD45" s="46" t="n"/>
      <c r="CE45" s="46" t="n"/>
      <c r="CF45" s="46" t="n"/>
      <c r="CG45" s="46" t="n"/>
      <c r="CH45" s="46" t="n"/>
      <c r="CI45" s="46" t="n"/>
      <c r="CJ45" s="46" t="n"/>
      <c r="CK45" s="46" t="n"/>
      <c r="CL45" s="46" t="n"/>
      <c r="CM45" s="46" t="n"/>
      <c r="CN45" s="46" t="n"/>
      <c r="CO45" s="46" t="n"/>
      <c r="CP45" s="46" t="n"/>
      <c r="CQ45" s="46" t="n"/>
      <c r="CR45" s="46" t="n"/>
      <c r="CS45" s="46" t="n"/>
      <c r="CT45" s="46" t="n"/>
      <c r="CU45" s="46" t="n"/>
      <c r="CV45" s="46" t="n"/>
      <c r="CW45" s="46" t="n"/>
      <c r="CX45" s="46" t="n"/>
      <c r="CY45" s="46" t="n"/>
      <c r="CZ45" s="46" t="n"/>
      <c r="DA45" s="46" t="n"/>
      <c r="DB45" s="46" t="n"/>
      <c r="DC45" s="46" t="n"/>
      <c r="DD45" s="46" t="n"/>
      <c r="DE45" s="46" t="n"/>
      <c r="DF45" s="46" t="n"/>
      <c r="DG45" s="46" t="n"/>
      <c r="DH45" s="46" t="n"/>
      <c r="DI45" s="46" t="n"/>
      <c r="DJ45" s="46" t="n"/>
      <c r="DK45" s="46" t="n"/>
      <c r="DL45" s="46" t="n"/>
      <c r="DM45" s="46" t="n"/>
      <c r="DN45" s="46" t="n"/>
      <c r="DO45" s="46" t="n"/>
      <c r="DP45" s="46" t="n"/>
      <c r="DQ45" s="46" t="n"/>
      <c r="DR45" s="46" t="n"/>
      <c r="DS45" s="46" t="n"/>
      <c r="DT45" s="46" t="n"/>
      <c r="DU45" s="46" t="n"/>
      <c r="DV45" s="46" t="n"/>
      <c r="DW45" s="46" t="n"/>
      <c r="DX45" s="46" t="n"/>
      <c r="DY45" s="46" t="n"/>
      <c r="DZ45" s="46" t="n"/>
      <c r="EA45" s="46" t="n"/>
      <c r="EB45" s="46" t="n"/>
      <c r="EC45" s="46" t="n"/>
      <c r="ED45" s="46" t="n"/>
      <c r="EE45" s="46" t="n"/>
      <c r="EF45" s="46" t="n"/>
      <c r="EG45" s="46" t="n"/>
      <c r="EH45" s="46" t="n"/>
      <c r="EI45" s="46" t="n"/>
      <c r="EJ45" s="46" t="n"/>
      <c r="EK45" s="46" t="n"/>
      <c r="EL45" s="46" t="n"/>
      <c r="EM45" s="46" t="n"/>
      <c r="EN45" s="46" t="n"/>
      <c r="EO45" s="46" t="n"/>
      <c r="EP45" s="46" t="n"/>
      <c r="EQ45" s="46" t="n"/>
      <c r="ER45" s="46" t="n"/>
      <c r="ES45" s="46" t="n"/>
      <c r="ET45" s="46" t="n"/>
      <c r="EU45" s="46" t="n"/>
      <c r="EV45" s="46" t="n"/>
      <c r="EW45" s="46" t="n"/>
      <c r="EX45" s="46" t="n"/>
      <c r="EY45" s="46" t="n"/>
      <c r="EZ45" s="46" t="n"/>
      <c r="FA45" s="46" t="n"/>
      <c r="FB45" s="46" t="n"/>
      <c r="FC45" s="46" t="n"/>
      <c r="FD45" s="46" t="n"/>
      <c r="FE45" s="46" t="n"/>
      <c r="FF45" s="46" t="n"/>
      <c r="FG45" s="46" t="n"/>
      <c r="FH45" s="46" t="n"/>
      <c r="FI45" s="46" t="n"/>
      <c r="FJ45" s="46" t="n"/>
      <c r="FK45" s="46" t="n"/>
      <c r="FL45" s="46" t="n"/>
      <c r="FM45" s="46" t="n"/>
      <c r="FN45" s="46" t="n"/>
    </row>
    <row r="46" ht="15" customFormat="1" customHeight="1" s="50">
      <c r="A46" s="49" t="n">
        <v>43374</v>
      </c>
      <c r="B46" s="43" t="n"/>
      <c r="C46" s="43" t="n">
        <v>175.96</v>
      </c>
      <c r="D46" s="44" t="n"/>
      <c r="E46" s="45" t="n"/>
      <c r="F46" s="46" t="n"/>
      <c r="G46" s="43" t="n">
        <v>100.529</v>
      </c>
      <c r="H46" s="43" t="n">
        <v>45.2528391330993</v>
      </c>
      <c r="I46" s="47">
        <f>G46/C46</f>
        <v/>
      </c>
      <c r="J46" s="46" t="n"/>
      <c r="K46" s="46" t="n">
        <v>146.189</v>
      </c>
      <c r="L46" s="46" t="n">
        <v>136.809</v>
      </c>
      <c r="M46" s="46" t="n">
        <v>132.411</v>
      </c>
      <c r="N46" s="45">
        <f>1-(M46/L46)</f>
        <v/>
      </c>
      <c r="O46" s="46" t="n">
        <v>162.544</v>
      </c>
      <c r="P46" s="46" t="n">
        <v>105.828</v>
      </c>
      <c r="Q46" s="46" t="n">
        <v>84.79300000000001</v>
      </c>
      <c r="R46" s="47">
        <f>K46/2/C46</f>
        <v/>
      </c>
      <c r="S46" s="46" t="n"/>
      <c r="T46" s="45">
        <f>R46+I46</f>
        <v/>
      </c>
      <c r="U46" s="46" t="n"/>
      <c r="V46" s="46" t="n"/>
      <c r="W46" s="46" t="n"/>
      <c r="X46" s="46" t="n"/>
      <c r="Y46" s="46" t="n"/>
      <c r="Z46" s="46" t="n"/>
      <c r="AA46" s="46" t="n"/>
      <c r="AB46" s="46" t="n"/>
      <c r="AC46" s="46" t="n"/>
      <c r="AD46" s="46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46" t="n"/>
      <c r="BX46" s="46" t="n"/>
      <c r="BY46" s="46" t="n"/>
      <c r="BZ46" s="46" t="n"/>
      <c r="CA46" s="46" t="n"/>
      <c r="CB46" s="46" t="n"/>
      <c r="CC46" s="46" t="n"/>
      <c r="CD46" s="46" t="n"/>
      <c r="CE46" s="46" t="n"/>
      <c r="CF46" s="46" t="n"/>
      <c r="CG46" s="46" t="n"/>
      <c r="CH46" s="46" t="n"/>
      <c r="CI46" s="46" t="n"/>
      <c r="CJ46" s="46" t="n"/>
      <c r="CK46" s="46" t="n"/>
      <c r="CL46" s="46" t="n"/>
      <c r="CM46" s="46" t="n"/>
      <c r="CN46" s="46" t="n"/>
      <c r="CO46" s="46" t="n"/>
      <c r="CP46" s="46" t="n"/>
      <c r="CQ46" s="46" t="n"/>
      <c r="CR46" s="46" t="n"/>
      <c r="CS46" s="46" t="n"/>
      <c r="CT46" s="46" t="n"/>
      <c r="CU46" s="46" t="n"/>
      <c r="CV46" s="46" t="n"/>
      <c r="CW46" s="46" t="n"/>
      <c r="CX46" s="46" t="n"/>
      <c r="CY46" s="46" t="n"/>
      <c r="CZ46" s="46" t="n"/>
      <c r="DA46" s="46" t="n"/>
      <c r="DB46" s="46" t="n"/>
      <c r="DC46" s="46" t="n"/>
      <c r="DD46" s="46" t="n"/>
      <c r="DE46" s="46" t="n"/>
      <c r="DF46" s="46" t="n"/>
      <c r="DG46" s="46" t="n"/>
      <c r="DH46" s="46" t="n"/>
      <c r="DI46" s="46" t="n"/>
      <c r="DJ46" s="46" t="n"/>
      <c r="DK46" s="46" t="n"/>
      <c r="DL46" s="46" t="n"/>
      <c r="DM46" s="46" t="n"/>
      <c r="DN46" s="46" t="n"/>
      <c r="DO46" s="46" t="n"/>
      <c r="DP46" s="46" t="n"/>
      <c r="DQ46" s="46" t="n"/>
      <c r="DR46" s="46" t="n"/>
      <c r="DS46" s="46" t="n"/>
      <c r="DT46" s="46" t="n"/>
      <c r="DU46" s="46" t="n"/>
      <c r="DV46" s="46" t="n"/>
      <c r="DW46" s="46" t="n"/>
      <c r="DX46" s="46" t="n"/>
      <c r="DY46" s="46" t="n"/>
      <c r="DZ46" s="46" t="n"/>
      <c r="EA46" s="46" t="n"/>
      <c r="EB46" s="46" t="n"/>
      <c r="EC46" s="46" t="n"/>
      <c r="ED46" s="46" t="n"/>
      <c r="EE46" s="46" t="n"/>
      <c r="EF46" s="46" t="n"/>
      <c r="EG46" s="46" t="n"/>
      <c r="EH46" s="46" t="n"/>
      <c r="EI46" s="46" t="n"/>
      <c r="EJ46" s="46" t="n"/>
      <c r="EK46" s="46" t="n"/>
      <c r="EL46" s="46" t="n"/>
      <c r="EM46" s="46" t="n"/>
      <c r="EN46" s="46" t="n"/>
      <c r="EO46" s="46" t="n"/>
      <c r="EP46" s="46" t="n"/>
      <c r="EQ46" s="46" t="n"/>
      <c r="ER46" s="46" t="n"/>
      <c r="ES46" s="46" t="n"/>
      <c r="ET46" s="46" t="n"/>
      <c r="EU46" s="46" t="n"/>
      <c r="EV46" s="46" t="n"/>
      <c r="EW46" s="46" t="n"/>
      <c r="EX46" s="46" t="n"/>
      <c r="EY46" s="46" t="n"/>
      <c r="EZ46" s="46" t="n"/>
      <c r="FA46" s="46" t="n"/>
      <c r="FB46" s="46" t="n"/>
      <c r="FC46" s="46" t="n"/>
      <c r="FD46" s="46" t="n"/>
      <c r="FE46" s="46" t="n"/>
      <c r="FF46" s="46" t="n"/>
      <c r="FG46" s="46" t="n"/>
      <c r="FH46" s="46" t="n"/>
      <c r="FI46" s="46" t="n"/>
      <c r="FJ46" s="46" t="n"/>
      <c r="FK46" s="46" t="n"/>
      <c r="FL46" s="46" t="n"/>
      <c r="FM46" s="46" t="n"/>
      <c r="FN46" s="46" t="n"/>
    </row>
    <row r="47" ht="15" customFormat="1" customHeight="1" s="50">
      <c r="A47" s="49" t="n">
        <v>43405</v>
      </c>
      <c r="B47" s="43" t="n"/>
      <c r="C47" s="43" t="n">
        <v>161.507</v>
      </c>
      <c r="D47" s="44" t="n"/>
      <c r="E47" s="45" t="n"/>
      <c r="F47" s="46" t="n"/>
      <c r="G47" s="43" t="n">
        <v>92.91500000000001</v>
      </c>
      <c r="H47" s="43" t="n">
        <v>46.04603321886697</v>
      </c>
      <c r="I47" s="47">
        <f>G47/C47</f>
        <v/>
      </c>
      <c r="J47" s="46" t="n"/>
      <c r="K47" s="46" t="n">
        <v>133.969</v>
      </c>
      <c r="L47" s="46" t="n">
        <v>157.653</v>
      </c>
      <c r="M47" s="46" t="n">
        <v>153.103</v>
      </c>
      <c r="N47" s="45">
        <f>1-(M47/L47)</f>
        <v/>
      </c>
      <c r="O47" s="46" t="n">
        <v>151.342</v>
      </c>
      <c r="P47" s="46" t="n">
        <v>96.08</v>
      </c>
      <c r="Q47" s="46" t="n">
        <v>70.748</v>
      </c>
      <c r="R47" s="47">
        <f>K47/2/C47</f>
        <v/>
      </c>
      <c r="S47" s="46" t="n"/>
      <c r="T47" s="45">
        <f>R47+I47</f>
        <v/>
      </c>
      <c r="U47" s="46" t="n"/>
      <c r="V47" s="46" t="n"/>
      <c r="W47" s="46" t="n"/>
      <c r="X47" s="46" t="n"/>
      <c r="Y47" s="46" t="n"/>
      <c r="Z47" s="46" t="n"/>
      <c r="AA47" s="46" t="n"/>
      <c r="AB47" s="46" t="n"/>
      <c r="AC47" s="46" t="n"/>
      <c r="AD47" s="46" t="n"/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46" t="n"/>
      <c r="BX47" s="46" t="n"/>
      <c r="BY47" s="46" t="n"/>
      <c r="BZ47" s="46" t="n"/>
      <c r="CA47" s="46" t="n"/>
      <c r="CB47" s="46" t="n"/>
      <c r="CC47" s="46" t="n"/>
      <c r="CD47" s="46" t="n"/>
      <c r="CE47" s="46" t="n"/>
      <c r="CF47" s="46" t="n"/>
      <c r="CG47" s="46" t="n"/>
      <c r="CH47" s="46" t="n"/>
      <c r="CI47" s="46" t="n"/>
      <c r="CJ47" s="46" t="n"/>
      <c r="CK47" s="46" t="n"/>
      <c r="CL47" s="46" t="n"/>
      <c r="CM47" s="46" t="n"/>
      <c r="CN47" s="46" t="n"/>
      <c r="CO47" s="46" t="n"/>
      <c r="CP47" s="46" t="n"/>
      <c r="CQ47" s="46" t="n"/>
      <c r="CR47" s="46" t="n"/>
      <c r="CS47" s="46" t="n"/>
      <c r="CT47" s="46" t="n"/>
      <c r="CU47" s="46" t="n"/>
      <c r="CV47" s="46" t="n"/>
      <c r="CW47" s="46" t="n"/>
      <c r="CX47" s="46" t="n"/>
      <c r="CY47" s="46" t="n"/>
      <c r="CZ47" s="46" t="n"/>
      <c r="DA47" s="46" t="n"/>
      <c r="DB47" s="46" t="n"/>
      <c r="DC47" s="46" t="n"/>
      <c r="DD47" s="46" t="n"/>
      <c r="DE47" s="46" t="n"/>
      <c r="DF47" s="46" t="n"/>
      <c r="DG47" s="46" t="n"/>
      <c r="DH47" s="46" t="n"/>
      <c r="DI47" s="46" t="n"/>
      <c r="DJ47" s="46" t="n"/>
      <c r="DK47" s="46" t="n"/>
      <c r="DL47" s="46" t="n"/>
      <c r="DM47" s="46" t="n"/>
      <c r="DN47" s="46" t="n"/>
      <c r="DO47" s="46" t="n"/>
      <c r="DP47" s="46" t="n"/>
      <c r="DQ47" s="46" t="n"/>
      <c r="DR47" s="46" t="n"/>
      <c r="DS47" s="46" t="n"/>
      <c r="DT47" s="46" t="n"/>
      <c r="DU47" s="46" t="n"/>
      <c r="DV47" s="46" t="n"/>
      <c r="DW47" s="46" t="n"/>
      <c r="DX47" s="46" t="n"/>
      <c r="DY47" s="46" t="n"/>
      <c r="DZ47" s="46" t="n"/>
      <c r="EA47" s="46" t="n"/>
      <c r="EB47" s="46" t="n"/>
      <c r="EC47" s="46" t="n"/>
      <c r="ED47" s="46" t="n"/>
      <c r="EE47" s="46" t="n"/>
      <c r="EF47" s="46" t="n"/>
      <c r="EG47" s="46" t="n"/>
      <c r="EH47" s="46" t="n"/>
      <c r="EI47" s="46" t="n"/>
      <c r="EJ47" s="46" t="n"/>
      <c r="EK47" s="46" t="n"/>
      <c r="EL47" s="46" t="n"/>
      <c r="EM47" s="46" t="n"/>
      <c r="EN47" s="46" t="n"/>
      <c r="EO47" s="46" t="n"/>
      <c r="EP47" s="46" t="n"/>
      <c r="EQ47" s="46" t="n"/>
      <c r="ER47" s="46" t="n"/>
      <c r="ES47" s="46" t="n"/>
      <c r="ET47" s="46" t="n"/>
      <c r="EU47" s="46" t="n"/>
      <c r="EV47" s="46" t="n"/>
      <c r="EW47" s="46" t="n"/>
      <c r="EX47" s="46" t="n"/>
      <c r="EY47" s="46" t="n"/>
      <c r="EZ47" s="46" t="n"/>
      <c r="FA47" s="46" t="n"/>
      <c r="FB47" s="46" t="n"/>
      <c r="FC47" s="46" t="n"/>
      <c r="FD47" s="46" t="n"/>
      <c r="FE47" s="46" t="n"/>
      <c r="FF47" s="46" t="n"/>
      <c r="FG47" s="46" t="n"/>
      <c r="FH47" s="46" t="n"/>
      <c r="FI47" s="46" t="n"/>
      <c r="FJ47" s="46" t="n"/>
      <c r="FK47" s="46" t="n"/>
      <c r="FL47" s="46" t="n"/>
      <c r="FM47" s="46" t="n"/>
      <c r="FN47" s="46" t="n"/>
    </row>
    <row r="48" ht="15" customFormat="1" customHeight="1" s="50">
      <c r="A48" s="49" t="n">
        <v>43435</v>
      </c>
      <c r="B48" s="43" t="n"/>
      <c r="C48" s="43" t="n">
        <v>156.703</v>
      </c>
      <c r="D48" s="44" t="n"/>
      <c r="E48" s="45" t="n"/>
      <c r="F48" s="46" t="n"/>
      <c r="G48" s="43" t="n">
        <v>90.25700000000001</v>
      </c>
      <c r="H48" s="43" t="n">
        <v>46.0666447112994</v>
      </c>
      <c r="I48" s="47">
        <f>G48/C48</f>
        <v/>
      </c>
      <c r="J48" s="46" t="n"/>
      <c r="K48" s="46" t="n">
        <v>134.385</v>
      </c>
      <c r="L48" s="46" t="n">
        <v>130.359</v>
      </c>
      <c r="M48" s="46" t="n">
        <v>127.271</v>
      </c>
      <c r="N48" s="45">
        <f>1-(M48/L48)</f>
        <v/>
      </c>
      <c r="O48" s="46" t="n">
        <v>145.845</v>
      </c>
      <c r="P48" s="46" t="n">
        <v>107.716</v>
      </c>
      <c r="Q48" s="46" t="n">
        <v>100.815</v>
      </c>
      <c r="R48" s="47">
        <f>K48/2/C48</f>
        <v/>
      </c>
      <c r="S48" s="46" t="n"/>
      <c r="T48" s="45">
        <f>R48+I48</f>
        <v/>
      </c>
      <c r="U48" s="46" t="n"/>
      <c r="V48" s="46" t="n"/>
      <c r="W48" s="46" t="n"/>
      <c r="X48" s="46" t="n"/>
      <c r="Y48" s="46" t="n"/>
      <c r="Z48" s="46" t="n"/>
      <c r="AA48" s="46" t="n"/>
      <c r="AB48" s="46" t="n"/>
      <c r="AC48" s="46" t="n"/>
      <c r="AD48" s="46" t="n"/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46" t="n"/>
      <c r="BX48" s="46" t="n"/>
      <c r="BY48" s="46" t="n"/>
      <c r="BZ48" s="46" t="n"/>
      <c r="CA48" s="46" t="n"/>
      <c r="CB48" s="46" t="n"/>
      <c r="CC48" s="46" t="n"/>
      <c r="CD48" s="46" t="n"/>
      <c r="CE48" s="46" t="n"/>
      <c r="CF48" s="46" t="n"/>
      <c r="CG48" s="46" t="n"/>
      <c r="CH48" s="46" t="n"/>
      <c r="CI48" s="46" t="n"/>
      <c r="CJ48" s="46" t="n"/>
      <c r="CK48" s="46" t="n"/>
      <c r="CL48" s="46" t="n"/>
      <c r="CM48" s="46" t="n"/>
      <c r="CN48" s="46" t="n"/>
      <c r="CO48" s="46" t="n"/>
      <c r="CP48" s="46" t="n"/>
      <c r="CQ48" s="46" t="n"/>
      <c r="CR48" s="46" t="n"/>
      <c r="CS48" s="46" t="n"/>
      <c r="CT48" s="46" t="n"/>
      <c r="CU48" s="46" t="n"/>
      <c r="CV48" s="46" t="n"/>
      <c r="CW48" s="46" t="n"/>
      <c r="CX48" s="46" t="n"/>
      <c r="CY48" s="46" t="n"/>
      <c r="CZ48" s="46" t="n"/>
      <c r="DA48" s="46" t="n"/>
      <c r="DB48" s="46" t="n"/>
      <c r="DC48" s="46" t="n"/>
      <c r="DD48" s="46" t="n"/>
      <c r="DE48" s="46" t="n"/>
      <c r="DF48" s="46" t="n"/>
      <c r="DG48" s="46" t="n"/>
      <c r="DH48" s="46" t="n"/>
      <c r="DI48" s="46" t="n"/>
      <c r="DJ48" s="46" t="n"/>
      <c r="DK48" s="46" t="n"/>
      <c r="DL48" s="46" t="n"/>
      <c r="DM48" s="46" t="n"/>
      <c r="DN48" s="46" t="n"/>
      <c r="DO48" s="46" t="n"/>
      <c r="DP48" s="46" t="n"/>
      <c r="DQ48" s="46" t="n"/>
      <c r="DR48" s="46" t="n"/>
      <c r="DS48" s="46" t="n"/>
      <c r="DT48" s="46" t="n"/>
      <c r="DU48" s="46" t="n"/>
      <c r="DV48" s="46" t="n"/>
      <c r="DW48" s="46" t="n"/>
      <c r="DX48" s="46" t="n"/>
      <c r="DY48" s="46" t="n"/>
      <c r="DZ48" s="46" t="n"/>
      <c r="EA48" s="46" t="n"/>
      <c r="EB48" s="46" t="n"/>
      <c r="EC48" s="46" t="n"/>
      <c r="ED48" s="46" t="n"/>
      <c r="EE48" s="46" t="n"/>
      <c r="EF48" s="46" t="n"/>
      <c r="EG48" s="46" t="n"/>
      <c r="EH48" s="46" t="n"/>
      <c r="EI48" s="46" t="n"/>
      <c r="EJ48" s="46" t="n"/>
      <c r="EK48" s="46" t="n"/>
      <c r="EL48" s="46" t="n"/>
      <c r="EM48" s="46" t="n"/>
      <c r="EN48" s="46" t="n"/>
      <c r="EO48" s="46" t="n"/>
      <c r="EP48" s="46" t="n"/>
      <c r="EQ48" s="46" t="n"/>
      <c r="ER48" s="46" t="n"/>
      <c r="ES48" s="46" t="n"/>
      <c r="ET48" s="46" t="n"/>
      <c r="EU48" s="46" t="n"/>
      <c r="EV48" s="46" t="n"/>
      <c r="EW48" s="46" t="n"/>
      <c r="EX48" s="46" t="n"/>
      <c r="EY48" s="46" t="n"/>
      <c r="EZ48" s="46" t="n"/>
      <c r="FA48" s="46" t="n"/>
      <c r="FB48" s="46" t="n"/>
      <c r="FC48" s="46" t="n"/>
      <c r="FD48" s="46" t="n"/>
      <c r="FE48" s="46" t="n"/>
      <c r="FF48" s="46" t="n"/>
      <c r="FG48" s="46" t="n"/>
      <c r="FH48" s="46" t="n"/>
      <c r="FI48" s="46" t="n"/>
      <c r="FJ48" s="46" t="n"/>
      <c r="FK48" s="46" t="n"/>
      <c r="FL48" s="46" t="n"/>
      <c r="FM48" s="46" t="n"/>
      <c r="FN48" s="46" t="n"/>
    </row>
    <row r="49" ht="15" customFormat="1" customHeight="1" s="50">
      <c r="A49" s="49" t="n">
        <v>43466</v>
      </c>
      <c r="B49" s="43" t="n"/>
      <c r="C49" s="43" t="n">
        <v>162.631</v>
      </c>
      <c r="D49" s="44" t="n"/>
      <c r="E49" s="45" t="n"/>
      <c r="F49" s="46" t="n"/>
      <c r="G49" s="43" t="n">
        <v>91.447</v>
      </c>
      <c r="H49" s="43" t="n">
        <v>46.216461943165</v>
      </c>
      <c r="I49" s="47">
        <f>G49/C49</f>
        <v/>
      </c>
      <c r="J49" s="46" t="n"/>
      <c r="K49" s="46" t="n">
        <v>135.572</v>
      </c>
      <c r="L49" s="46" t="n">
        <v>128.949</v>
      </c>
      <c r="M49" s="46" t="n">
        <v>124.273</v>
      </c>
      <c r="N49" s="45">
        <f>1-(M49/L49)</f>
        <v/>
      </c>
      <c r="O49" s="46" t="n">
        <v>138.584</v>
      </c>
      <c r="P49" s="46" t="n">
        <v>100.172</v>
      </c>
      <c r="Q49" s="46" t="n">
        <v>96.91</v>
      </c>
      <c r="R49" s="47">
        <f>K49/2/C49</f>
        <v/>
      </c>
      <c r="S49" s="46" t="n"/>
      <c r="T49" s="45">
        <f>R49+I49</f>
        <v/>
      </c>
      <c r="U49" s="46" t="n"/>
      <c r="V49" s="46" t="n"/>
      <c r="W49" s="46" t="n"/>
      <c r="X49" s="46" t="n"/>
      <c r="Y49" s="46" t="n"/>
      <c r="Z49" s="46" t="n"/>
      <c r="AA49" s="46" t="n"/>
      <c r="AB49" s="46" t="n"/>
      <c r="AC49" s="46" t="n"/>
      <c r="AD49" s="46" t="n"/>
      <c r="AE49" s="46" t="n"/>
      <c r="AF49" s="46" t="n"/>
      <c r="AG49" s="46" t="n"/>
      <c r="AH49" s="46" t="n"/>
      <c r="AI49" s="46" t="n"/>
      <c r="AJ49" s="46" t="n"/>
      <c r="AK49" s="46" t="n"/>
      <c r="AL49" s="46" t="n"/>
      <c r="AM49" s="46" t="n"/>
      <c r="AN49" s="46" t="n"/>
      <c r="AO49" s="46" t="n"/>
      <c r="AP49" s="46" t="n"/>
      <c r="AQ49" s="46" t="n"/>
      <c r="AR49" s="46" t="n"/>
      <c r="AS49" s="46" t="n"/>
      <c r="AT49" s="46" t="n"/>
      <c r="AU49" s="46" t="n"/>
      <c r="AV49" s="46" t="n"/>
      <c r="AW49" s="46" t="n"/>
      <c r="AX49" s="46" t="n"/>
      <c r="AY49" s="46" t="n"/>
      <c r="AZ49" s="46" t="n"/>
      <c r="BA49" s="46" t="n"/>
      <c r="BB49" s="46" t="n"/>
      <c r="BC49" s="46" t="n"/>
      <c r="BD49" s="46" t="n"/>
      <c r="BE49" s="46" t="n"/>
      <c r="BF49" s="46" t="n"/>
      <c r="BG49" s="46" t="n"/>
      <c r="BH49" s="46" t="n"/>
      <c r="BI49" s="46" t="n"/>
      <c r="BJ49" s="46" t="n"/>
      <c r="BK49" s="46" t="n"/>
      <c r="BL49" s="46" t="n"/>
      <c r="BM49" s="46" t="n"/>
      <c r="BN49" s="46" t="n"/>
      <c r="BO49" s="46" t="n"/>
      <c r="BP49" s="46" t="n"/>
      <c r="BQ49" s="46" t="n"/>
      <c r="BR49" s="46" t="n"/>
      <c r="BS49" s="46" t="n"/>
      <c r="BT49" s="46" t="n"/>
      <c r="BU49" s="46" t="n"/>
      <c r="BV49" s="46" t="n"/>
      <c r="BW49" s="46" t="n"/>
      <c r="BX49" s="46" t="n"/>
      <c r="BY49" s="46" t="n"/>
      <c r="BZ49" s="46" t="n"/>
      <c r="CA49" s="46" t="n"/>
      <c r="CB49" s="46" t="n"/>
      <c r="CC49" s="46" t="n"/>
      <c r="CD49" s="46" t="n"/>
      <c r="CE49" s="46" t="n"/>
      <c r="CF49" s="46" t="n"/>
      <c r="CG49" s="46" t="n"/>
      <c r="CH49" s="46" t="n"/>
      <c r="CI49" s="46" t="n"/>
      <c r="CJ49" s="46" t="n"/>
      <c r="CK49" s="46" t="n"/>
      <c r="CL49" s="46" t="n"/>
      <c r="CM49" s="46" t="n"/>
      <c r="CN49" s="46" t="n"/>
      <c r="CO49" s="46" t="n"/>
      <c r="CP49" s="46" t="n"/>
      <c r="CQ49" s="46" t="n"/>
      <c r="CR49" s="46" t="n"/>
      <c r="CS49" s="46" t="n"/>
      <c r="CT49" s="46" t="n"/>
      <c r="CU49" s="46" t="n"/>
      <c r="CV49" s="46" t="n"/>
      <c r="CW49" s="46" t="n"/>
      <c r="CX49" s="46" t="n"/>
      <c r="CY49" s="46" t="n"/>
      <c r="CZ49" s="46" t="n"/>
      <c r="DA49" s="46" t="n"/>
      <c r="DB49" s="46" t="n"/>
      <c r="DC49" s="46" t="n"/>
      <c r="DD49" s="46" t="n"/>
      <c r="DE49" s="46" t="n"/>
      <c r="DF49" s="46" t="n"/>
      <c r="DG49" s="46" t="n"/>
      <c r="DH49" s="46" t="n"/>
      <c r="DI49" s="46" t="n"/>
      <c r="DJ49" s="46" t="n"/>
      <c r="DK49" s="46" t="n"/>
      <c r="DL49" s="46" t="n"/>
      <c r="DM49" s="46" t="n"/>
      <c r="DN49" s="46" t="n"/>
      <c r="DO49" s="46" t="n"/>
      <c r="DP49" s="46" t="n"/>
      <c r="DQ49" s="46" t="n"/>
      <c r="DR49" s="46" t="n"/>
      <c r="DS49" s="46" t="n"/>
      <c r="DT49" s="46" t="n"/>
      <c r="DU49" s="46" t="n"/>
      <c r="DV49" s="46" t="n"/>
      <c r="DW49" s="46" t="n"/>
      <c r="DX49" s="46" t="n"/>
      <c r="DY49" s="46" t="n"/>
      <c r="DZ49" s="46" t="n"/>
      <c r="EA49" s="46" t="n"/>
      <c r="EB49" s="46" t="n"/>
      <c r="EC49" s="46" t="n"/>
      <c r="ED49" s="46" t="n"/>
      <c r="EE49" s="46" t="n"/>
      <c r="EF49" s="46" t="n"/>
      <c r="EG49" s="46" t="n"/>
      <c r="EH49" s="46" t="n"/>
      <c r="EI49" s="46" t="n"/>
      <c r="EJ49" s="46" t="n"/>
      <c r="EK49" s="46" t="n"/>
      <c r="EL49" s="46" t="n"/>
      <c r="EM49" s="46" t="n"/>
      <c r="EN49" s="46" t="n"/>
      <c r="EO49" s="46" t="n"/>
      <c r="EP49" s="46" t="n"/>
      <c r="EQ49" s="46" t="n"/>
      <c r="ER49" s="46" t="n"/>
      <c r="ES49" s="46" t="n"/>
      <c r="ET49" s="46" t="n"/>
      <c r="EU49" s="46" t="n"/>
      <c r="EV49" s="46" t="n"/>
      <c r="EW49" s="46" t="n"/>
      <c r="EX49" s="46" t="n"/>
      <c r="EY49" s="46" t="n"/>
      <c r="EZ49" s="46" t="n"/>
      <c r="FA49" s="46" t="n"/>
      <c r="FB49" s="46" t="n"/>
      <c r="FC49" s="46" t="n"/>
      <c r="FD49" s="46" t="n"/>
      <c r="FE49" s="46" t="n"/>
      <c r="FF49" s="46" t="n"/>
      <c r="FG49" s="46" t="n"/>
      <c r="FH49" s="46" t="n"/>
      <c r="FI49" s="46" t="n"/>
      <c r="FJ49" s="46" t="n"/>
      <c r="FK49" s="46" t="n"/>
      <c r="FL49" s="46" t="n"/>
      <c r="FM49" s="46" t="n"/>
      <c r="FN49" s="46" t="n"/>
    </row>
    <row r="50" ht="15" customFormat="1" customHeight="1" s="50">
      <c r="A50" s="49" t="n">
        <v>43497</v>
      </c>
      <c r="B50" s="43" t="n"/>
      <c r="C50" s="43" t="n">
        <v>136.421</v>
      </c>
      <c r="D50" s="44" t="n"/>
      <c r="E50" s="45" t="n"/>
      <c r="F50" s="46" t="n"/>
      <c r="G50" s="43" t="n">
        <v>78.565</v>
      </c>
      <c r="H50" s="43" t="n">
        <v>47.40633569131906</v>
      </c>
      <c r="I50" s="47">
        <f>G50/C50</f>
        <v/>
      </c>
      <c r="J50" s="46" t="n"/>
      <c r="K50" s="46" t="n">
        <v>115.595</v>
      </c>
      <c r="L50" s="46" t="n">
        <v>105.717</v>
      </c>
      <c r="M50" s="46" t="n">
        <v>102.151</v>
      </c>
      <c r="N50" s="45">
        <f>1-(M50/L50)</f>
        <v/>
      </c>
      <c r="O50" s="46" t="n">
        <v>138.636</v>
      </c>
      <c r="P50" s="46" t="n">
        <v>97.983</v>
      </c>
      <c r="Q50" s="46" t="n">
        <v>99.97499999999999</v>
      </c>
      <c r="R50" s="47">
        <f>K50/2/C50</f>
        <v/>
      </c>
      <c r="S50" s="46" t="n"/>
      <c r="T50" s="45">
        <f>R50+I50</f>
        <v/>
      </c>
      <c r="U50" s="46" t="n"/>
      <c r="V50" s="46" t="n"/>
      <c r="W50" s="46" t="n"/>
      <c r="X50" s="46" t="n"/>
      <c r="Y50" s="46" t="n"/>
      <c r="Z50" s="46" t="n"/>
      <c r="AA50" s="46" t="n"/>
      <c r="AB50" s="46" t="n"/>
      <c r="AC50" s="46" t="n"/>
      <c r="AD50" s="46" t="n"/>
      <c r="AE50" s="46" t="n"/>
      <c r="AF50" s="46" t="n"/>
      <c r="AG50" s="46" t="n"/>
      <c r="AH50" s="46" t="n"/>
      <c r="AI50" s="46" t="n"/>
      <c r="AJ50" s="46" t="n"/>
      <c r="AK50" s="46" t="n"/>
      <c r="AL50" s="46" t="n"/>
      <c r="AM50" s="46" t="n"/>
      <c r="AN50" s="46" t="n"/>
      <c r="AO50" s="46" t="n"/>
      <c r="AP50" s="46" t="n"/>
      <c r="AQ50" s="46" t="n"/>
      <c r="AR50" s="46" t="n"/>
      <c r="AS50" s="46" t="n"/>
      <c r="AT50" s="46" t="n"/>
      <c r="AU50" s="46" t="n"/>
      <c r="AV50" s="46" t="n"/>
      <c r="AW50" s="46" t="n"/>
      <c r="AX50" s="46" t="n"/>
      <c r="AY50" s="46" t="n"/>
      <c r="AZ50" s="46" t="n"/>
      <c r="BA50" s="46" t="n"/>
      <c r="BB50" s="46" t="n"/>
      <c r="BC50" s="46" t="n"/>
      <c r="BD50" s="46" t="n"/>
      <c r="BE50" s="46" t="n"/>
      <c r="BF50" s="46" t="n"/>
      <c r="BG50" s="46" t="n"/>
      <c r="BH50" s="46" t="n"/>
      <c r="BI50" s="46" t="n"/>
      <c r="BJ50" s="46" t="n"/>
      <c r="BK50" s="46" t="n"/>
      <c r="BL50" s="46" t="n"/>
      <c r="BM50" s="46" t="n"/>
      <c r="BN50" s="46" t="n"/>
      <c r="BO50" s="46" t="n"/>
      <c r="BP50" s="46" t="n"/>
      <c r="BQ50" s="46" t="n"/>
      <c r="BR50" s="46" t="n"/>
      <c r="BS50" s="46" t="n"/>
      <c r="BT50" s="46" t="n"/>
      <c r="BU50" s="46" t="n"/>
      <c r="BV50" s="46" t="n"/>
      <c r="BW50" s="46" t="n"/>
      <c r="BX50" s="46" t="n"/>
      <c r="BY50" s="46" t="n"/>
      <c r="BZ50" s="46" t="n"/>
      <c r="CA50" s="46" t="n"/>
      <c r="CB50" s="46" t="n"/>
      <c r="CC50" s="46" t="n"/>
      <c r="CD50" s="46" t="n"/>
      <c r="CE50" s="46" t="n"/>
      <c r="CF50" s="46" t="n"/>
      <c r="CG50" s="46" t="n"/>
      <c r="CH50" s="46" t="n"/>
      <c r="CI50" s="46" t="n"/>
      <c r="CJ50" s="46" t="n"/>
      <c r="CK50" s="46" t="n"/>
      <c r="CL50" s="46" t="n"/>
      <c r="CM50" s="46" t="n"/>
      <c r="CN50" s="46" t="n"/>
      <c r="CO50" s="46" t="n"/>
      <c r="CP50" s="46" t="n"/>
      <c r="CQ50" s="46" t="n"/>
      <c r="CR50" s="46" t="n"/>
      <c r="CS50" s="46" t="n"/>
      <c r="CT50" s="46" t="n"/>
      <c r="CU50" s="46" t="n"/>
      <c r="CV50" s="46" t="n"/>
      <c r="CW50" s="46" t="n"/>
      <c r="CX50" s="46" t="n"/>
      <c r="CY50" s="46" t="n"/>
      <c r="CZ50" s="46" t="n"/>
      <c r="DA50" s="46" t="n"/>
      <c r="DB50" s="46" t="n"/>
      <c r="DC50" s="46" t="n"/>
      <c r="DD50" s="46" t="n"/>
      <c r="DE50" s="46" t="n"/>
      <c r="DF50" s="46" t="n"/>
      <c r="DG50" s="46" t="n"/>
      <c r="DH50" s="46" t="n"/>
      <c r="DI50" s="46" t="n"/>
      <c r="DJ50" s="46" t="n"/>
      <c r="DK50" s="46" t="n"/>
      <c r="DL50" s="46" t="n"/>
      <c r="DM50" s="46" t="n"/>
      <c r="DN50" s="46" t="n"/>
      <c r="DO50" s="46" t="n"/>
      <c r="DP50" s="46" t="n"/>
      <c r="DQ50" s="46" t="n"/>
      <c r="DR50" s="46" t="n"/>
      <c r="DS50" s="46" t="n"/>
      <c r="DT50" s="46" t="n"/>
      <c r="DU50" s="46" t="n"/>
      <c r="DV50" s="46" t="n"/>
      <c r="DW50" s="46" t="n"/>
      <c r="DX50" s="46" t="n"/>
      <c r="DY50" s="46" t="n"/>
      <c r="DZ50" s="46" t="n"/>
      <c r="EA50" s="46" t="n"/>
      <c r="EB50" s="46" t="n"/>
      <c r="EC50" s="46" t="n"/>
      <c r="ED50" s="46" t="n"/>
      <c r="EE50" s="46" t="n"/>
      <c r="EF50" s="46" t="n"/>
      <c r="EG50" s="46" t="n"/>
      <c r="EH50" s="46" t="n"/>
      <c r="EI50" s="46" t="n"/>
      <c r="EJ50" s="46" t="n"/>
      <c r="EK50" s="46" t="n"/>
      <c r="EL50" s="46" t="n"/>
      <c r="EM50" s="46" t="n"/>
      <c r="EN50" s="46" t="n"/>
      <c r="EO50" s="46" t="n"/>
      <c r="EP50" s="46" t="n"/>
      <c r="EQ50" s="46" t="n"/>
      <c r="ER50" s="46" t="n"/>
      <c r="ES50" s="46" t="n"/>
      <c r="ET50" s="46" t="n"/>
      <c r="EU50" s="46" t="n"/>
      <c r="EV50" s="46" t="n"/>
      <c r="EW50" s="46" t="n"/>
      <c r="EX50" s="46" t="n"/>
      <c r="EY50" s="46" t="n"/>
      <c r="EZ50" s="46" t="n"/>
      <c r="FA50" s="46" t="n"/>
      <c r="FB50" s="46" t="n"/>
      <c r="FC50" s="46" t="n"/>
      <c r="FD50" s="46" t="n"/>
      <c r="FE50" s="46" t="n"/>
      <c r="FF50" s="46" t="n"/>
      <c r="FG50" s="46" t="n"/>
      <c r="FH50" s="46" t="n"/>
      <c r="FI50" s="46" t="n"/>
      <c r="FJ50" s="46" t="n"/>
      <c r="FK50" s="46" t="n"/>
      <c r="FL50" s="46" t="n"/>
      <c r="FM50" s="46" t="n"/>
      <c r="FN50" s="46" t="n"/>
    </row>
    <row r="51" ht="15" customFormat="1" customHeight="1" s="50">
      <c r="A51" s="49" t="n">
        <v>43525</v>
      </c>
      <c r="B51" s="43" t="n"/>
      <c r="C51" s="43" t="n">
        <v>142.921</v>
      </c>
      <c r="D51" s="44" t="n"/>
      <c r="E51" s="45" t="n"/>
      <c r="F51" s="46" t="n"/>
      <c r="G51" s="43" t="n">
        <v>81.313</v>
      </c>
      <c r="H51" s="43" t="n">
        <v>46.93991102635147</v>
      </c>
      <c r="I51" s="47">
        <f>G51/C51</f>
        <v/>
      </c>
      <c r="J51" s="46" t="n"/>
      <c r="K51" s="46" t="n">
        <v>122.641</v>
      </c>
      <c r="L51" s="46" t="n">
        <v>126.726</v>
      </c>
      <c r="M51" s="46" t="n">
        <v>122.862</v>
      </c>
      <c r="N51" s="45">
        <f>1-(M51/L51)</f>
        <v/>
      </c>
      <c r="O51" s="46" t="n">
        <v>141.149</v>
      </c>
      <c r="P51" s="46" t="n">
        <v>84.03700000000001</v>
      </c>
      <c r="Q51" s="46" t="n">
        <v>110.446</v>
      </c>
      <c r="R51" s="47">
        <f>K51/2/C51</f>
        <v/>
      </c>
      <c r="S51" s="46" t="n"/>
      <c r="T51" s="45">
        <f>R51+I51</f>
        <v/>
      </c>
      <c r="U51" s="46" t="n"/>
      <c r="V51" s="46" t="n"/>
      <c r="W51" s="46" t="n"/>
      <c r="X51" s="46" t="n"/>
      <c r="Y51" s="46" t="n"/>
      <c r="Z51" s="46" t="n"/>
      <c r="AA51" s="46" t="n"/>
      <c r="AB51" s="46" t="n"/>
      <c r="AC51" s="46" t="n"/>
      <c r="AD51" s="46" t="n"/>
      <c r="AE51" s="46" t="n"/>
      <c r="AF51" s="46" t="n"/>
      <c r="AG51" s="46" t="n"/>
      <c r="AH51" s="46" t="n"/>
      <c r="AI51" s="46" t="n"/>
      <c r="AJ51" s="46" t="n"/>
      <c r="AK51" s="46" t="n"/>
      <c r="AL51" s="46" t="n"/>
      <c r="AM51" s="46" t="n"/>
      <c r="AN51" s="46" t="n"/>
      <c r="AO51" s="46" t="n"/>
      <c r="AP51" s="46" t="n"/>
      <c r="AQ51" s="46" t="n"/>
      <c r="AR51" s="46" t="n"/>
      <c r="AS51" s="46" t="n"/>
      <c r="AT51" s="46" t="n"/>
      <c r="AU51" s="46" t="n"/>
      <c r="AV51" s="46" t="n"/>
      <c r="AW51" s="46" t="n"/>
      <c r="AX51" s="46" t="n"/>
      <c r="AY51" s="46" t="n"/>
      <c r="AZ51" s="46" t="n"/>
      <c r="BA51" s="46" t="n"/>
      <c r="BB51" s="46" t="n"/>
      <c r="BC51" s="46" t="n"/>
      <c r="BD51" s="46" t="n"/>
      <c r="BE51" s="46" t="n"/>
      <c r="BF51" s="46" t="n"/>
      <c r="BG51" s="46" t="n"/>
      <c r="BH51" s="46" t="n"/>
      <c r="BI51" s="46" t="n"/>
      <c r="BJ51" s="46" t="n"/>
      <c r="BK51" s="46" t="n"/>
      <c r="BL51" s="46" t="n"/>
      <c r="BM51" s="46" t="n"/>
      <c r="BN51" s="46" t="n"/>
      <c r="BO51" s="46" t="n"/>
      <c r="BP51" s="46" t="n"/>
      <c r="BQ51" s="46" t="n"/>
      <c r="BR51" s="46" t="n"/>
      <c r="BS51" s="46" t="n"/>
      <c r="BT51" s="46" t="n"/>
      <c r="BU51" s="46" t="n"/>
      <c r="BV51" s="46" t="n"/>
      <c r="BW51" s="46" t="n"/>
      <c r="BX51" s="46" t="n"/>
      <c r="BY51" s="46" t="n"/>
      <c r="BZ51" s="46" t="n"/>
      <c r="CA51" s="46" t="n"/>
      <c r="CB51" s="46" t="n"/>
      <c r="CC51" s="46" t="n"/>
      <c r="CD51" s="46" t="n"/>
      <c r="CE51" s="46" t="n"/>
      <c r="CF51" s="46" t="n"/>
      <c r="CG51" s="46" t="n"/>
      <c r="CH51" s="46" t="n"/>
      <c r="CI51" s="46" t="n"/>
      <c r="CJ51" s="46" t="n"/>
      <c r="CK51" s="46" t="n"/>
      <c r="CL51" s="46" t="n"/>
      <c r="CM51" s="46" t="n"/>
      <c r="CN51" s="46" t="n"/>
      <c r="CO51" s="46" t="n"/>
      <c r="CP51" s="46" t="n"/>
      <c r="CQ51" s="46" t="n"/>
      <c r="CR51" s="46" t="n"/>
      <c r="CS51" s="46" t="n"/>
      <c r="CT51" s="46" t="n"/>
      <c r="CU51" s="46" t="n"/>
      <c r="CV51" s="46" t="n"/>
      <c r="CW51" s="46" t="n"/>
      <c r="CX51" s="46" t="n"/>
      <c r="CY51" s="46" t="n"/>
      <c r="CZ51" s="46" t="n"/>
      <c r="DA51" s="46" t="n"/>
      <c r="DB51" s="46" t="n"/>
      <c r="DC51" s="46" t="n"/>
      <c r="DD51" s="46" t="n"/>
      <c r="DE51" s="46" t="n"/>
      <c r="DF51" s="46" t="n"/>
      <c r="DG51" s="46" t="n"/>
      <c r="DH51" s="46" t="n"/>
      <c r="DI51" s="46" t="n"/>
      <c r="DJ51" s="46" t="n"/>
      <c r="DK51" s="46" t="n"/>
      <c r="DL51" s="46" t="n"/>
      <c r="DM51" s="46" t="n"/>
      <c r="DN51" s="46" t="n"/>
      <c r="DO51" s="46" t="n"/>
      <c r="DP51" s="46" t="n"/>
      <c r="DQ51" s="46" t="n"/>
      <c r="DR51" s="46" t="n"/>
      <c r="DS51" s="46" t="n"/>
      <c r="DT51" s="46" t="n"/>
      <c r="DU51" s="46" t="n"/>
      <c r="DV51" s="46" t="n"/>
      <c r="DW51" s="46" t="n"/>
      <c r="DX51" s="46" t="n"/>
      <c r="DY51" s="46" t="n"/>
      <c r="DZ51" s="46" t="n"/>
      <c r="EA51" s="46" t="n"/>
      <c r="EB51" s="46" t="n"/>
      <c r="EC51" s="46" t="n"/>
      <c r="ED51" s="46" t="n"/>
      <c r="EE51" s="46" t="n"/>
      <c r="EF51" s="46" t="n"/>
      <c r="EG51" s="46" t="n"/>
      <c r="EH51" s="46" t="n"/>
      <c r="EI51" s="46" t="n"/>
      <c r="EJ51" s="46" t="n"/>
      <c r="EK51" s="46" t="n"/>
      <c r="EL51" s="46" t="n"/>
      <c r="EM51" s="46" t="n"/>
      <c r="EN51" s="46" t="n"/>
      <c r="EO51" s="46" t="n"/>
      <c r="EP51" s="46" t="n"/>
      <c r="EQ51" s="46" t="n"/>
      <c r="ER51" s="46" t="n"/>
      <c r="ES51" s="46" t="n"/>
      <c r="ET51" s="46" t="n"/>
      <c r="EU51" s="46" t="n"/>
      <c r="EV51" s="46" t="n"/>
      <c r="EW51" s="46" t="n"/>
      <c r="EX51" s="46" t="n"/>
      <c r="EY51" s="46" t="n"/>
      <c r="EZ51" s="46" t="n"/>
      <c r="FA51" s="46" t="n"/>
      <c r="FB51" s="46" t="n"/>
      <c r="FC51" s="46" t="n"/>
      <c r="FD51" s="46" t="n"/>
      <c r="FE51" s="46" t="n"/>
      <c r="FF51" s="46" t="n"/>
      <c r="FG51" s="46" t="n"/>
      <c r="FH51" s="46" t="n"/>
      <c r="FI51" s="46" t="n"/>
      <c r="FJ51" s="46" t="n"/>
      <c r="FK51" s="46" t="n"/>
      <c r="FL51" s="46" t="n"/>
      <c r="FM51" s="46" t="n"/>
      <c r="FN51" s="46" t="n"/>
    </row>
    <row r="52" ht="15" customFormat="1" customHeight="1" s="50">
      <c r="A52" s="49" t="n">
        <v>43556</v>
      </c>
      <c r="B52" s="43" t="n"/>
      <c r="C52" s="43" t="n">
        <v>162.467</v>
      </c>
      <c r="D52" s="44" t="n"/>
      <c r="E52" s="45" t="n"/>
      <c r="F52" s="46" t="n"/>
      <c r="G52" s="43" t="n">
        <v>91.629</v>
      </c>
      <c r="H52" s="43" t="n">
        <v>46.31306821375696</v>
      </c>
      <c r="I52" s="47">
        <f>G52/C52</f>
        <v/>
      </c>
      <c r="J52" s="46" t="n"/>
      <c r="K52" s="46" t="n">
        <v>138.933</v>
      </c>
      <c r="L52" s="46" t="n">
        <v>106.34</v>
      </c>
      <c r="M52" s="46" t="n">
        <v>103.515</v>
      </c>
      <c r="N52" s="45">
        <f>1-(M52/L52)</f>
        <v/>
      </c>
      <c r="O52" s="46" t="n">
        <v>142.814</v>
      </c>
      <c r="P52" s="46" t="n">
        <v>87.825</v>
      </c>
      <c r="Q52" s="46" t="n">
        <v>108.334</v>
      </c>
      <c r="R52" s="47">
        <f>K52/2/C52</f>
        <v/>
      </c>
      <c r="S52" s="46" t="n"/>
      <c r="T52" s="45">
        <f>R52+I52</f>
        <v/>
      </c>
      <c r="U52" s="46" t="n"/>
      <c r="V52" s="46" t="n"/>
      <c r="W52" s="46" t="n"/>
      <c r="X52" s="46" t="n"/>
      <c r="Y52" s="46" t="n"/>
      <c r="Z52" s="46" t="n"/>
      <c r="AA52" s="46" t="n"/>
      <c r="AB52" s="46" t="n"/>
      <c r="AC52" s="46" t="n"/>
      <c r="AD52" s="46" t="n"/>
      <c r="AE52" s="46" t="n"/>
      <c r="AF52" s="46" t="n"/>
      <c r="AG52" s="46" t="n"/>
      <c r="AH52" s="46" t="n"/>
      <c r="AI52" s="46" t="n"/>
      <c r="AJ52" s="46" t="n"/>
      <c r="AK52" s="46" t="n"/>
      <c r="AL52" s="46" t="n"/>
      <c r="AM52" s="46" t="n"/>
      <c r="AN52" s="46" t="n"/>
      <c r="AO52" s="46" t="n"/>
      <c r="AP52" s="46" t="n"/>
      <c r="AQ52" s="46" t="n"/>
      <c r="AR52" s="46" t="n"/>
      <c r="AS52" s="46" t="n"/>
      <c r="AT52" s="46" t="n"/>
      <c r="AU52" s="46" t="n"/>
      <c r="AV52" s="46" t="n"/>
      <c r="AW52" s="46" t="n"/>
      <c r="AX52" s="46" t="n"/>
      <c r="AY52" s="46" t="n"/>
      <c r="AZ52" s="46" t="n"/>
      <c r="BA52" s="46" t="n"/>
      <c r="BB52" s="46" t="n"/>
      <c r="BC52" s="46" t="n"/>
      <c r="BD52" s="46" t="n"/>
      <c r="BE52" s="46" t="n"/>
      <c r="BF52" s="46" t="n"/>
      <c r="BG52" s="46" t="n"/>
      <c r="BH52" s="46" t="n"/>
      <c r="BI52" s="46" t="n"/>
      <c r="BJ52" s="46" t="n"/>
      <c r="BK52" s="46" t="n"/>
      <c r="BL52" s="46" t="n"/>
      <c r="BM52" s="46" t="n"/>
      <c r="BN52" s="46" t="n"/>
      <c r="BO52" s="46" t="n"/>
      <c r="BP52" s="46" t="n"/>
      <c r="BQ52" s="46" t="n"/>
      <c r="BR52" s="46" t="n"/>
      <c r="BS52" s="46" t="n"/>
      <c r="BT52" s="46" t="n"/>
      <c r="BU52" s="46" t="n"/>
      <c r="BV52" s="46" t="n"/>
      <c r="BW52" s="46" t="n"/>
      <c r="BX52" s="46" t="n"/>
      <c r="BY52" s="46" t="n"/>
      <c r="BZ52" s="46" t="n"/>
      <c r="CA52" s="46" t="n"/>
      <c r="CB52" s="46" t="n"/>
      <c r="CC52" s="46" t="n"/>
      <c r="CD52" s="46" t="n"/>
      <c r="CE52" s="46" t="n"/>
      <c r="CF52" s="46" t="n"/>
      <c r="CG52" s="46" t="n"/>
      <c r="CH52" s="46" t="n"/>
      <c r="CI52" s="46" t="n"/>
      <c r="CJ52" s="46" t="n"/>
      <c r="CK52" s="46" t="n"/>
      <c r="CL52" s="46" t="n"/>
      <c r="CM52" s="46" t="n"/>
      <c r="CN52" s="46" t="n"/>
      <c r="CO52" s="46" t="n"/>
      <c r="CP52" s="46" t="n"/>
      <c r="CQ52" s="46" t="n"/>
      <c r="CR52" s="46" t="n"/>
      <c r="CS52" s="46" t="n"/>
      <c r="CT52" s="46" t="n"/>
      <c r="CU52" s="46" t="n"/>
      <c r="CV52" s="46" t="n"/>
      <c r="CW52" s="46" t="n"/>
      <c r="CX52" s="46" t="n"/>
      <c r="CY52" s="46" t="n"/>
      <c r="CZ52" s="46" t="n"/>
      <c r="DA52" s="46" t="n"/>
      <c r="DB52" s="46" t="n"/>
      <c r="DC52" s="46" t="n"/>
      <c r="DD52" s="46" t="n"/>
      <c r="DE52" s="46" t="n"/>
      <c r="DF52" s="46" t="n"/>
      <c r="DG52" s="46" t="n"/>
      <c r="DH52" s="46" t="n"/>
      <c r="DI52" s="46" t="n"/>
      <c r="DJ52" s="46" t="n"/>
      <c r="DK52" s="46" t="n"/>
      <c r="DL52" s="46" t="n"/>
      <c r="DM52" s="46" t="n"/>
      <c r="DN52" s="46" t="n"/>
      <c r="DO52" s="46" t="n"/>
      <c r="DP52" s="46" t="n"/>
      <c r="DQ52" s="46" t="n"/>
      <c r="DR52" s="46" t="n"/>
      <c r="DS52" s="46" t="n"/>
      <c r="DT52" s="46" t="n"/>
      <c r="DU52" s="46" t="n"/>
      <c r="DV52" s="46" t="n"/>
      <c r="DW52" s="46" t="n"/>
      <c r="DX52" s="46" t="n"/>
      <c r="DY52" s="46" t="n"/>
      <c r="DZ52" s="46" t="n"/>
      <c r="EA52" s="46" t="n"/>
      <c r="EB52" s="46" t="n"/>
      <c r="EC52" s="46" t="n"/>
      <c r="ED52" s="46" t="n"/>
      <c r="EE52" s="46" t="n"/>
      <c r="EF52" s="46" t="n"/>
      <c r="EG52" s="46" t="n"/>
      <c r="EH52" s="46" t="n"/>
      <c r="EI52" s="46" t="n"/>
      <c r="EJ52" s="46" t="n"/>
      <c r="EK52" s="46" t="n"/>
      <c r="EL52" s="46" t="n"/>
      <c r="EM52" s="46" t="n"/>
      <c r="EN52" s="46" t="n"/>
      <c r="EO52" s="46" t="n"/>
      <c r="EP52" s="46" t="n"/>
      <c r="EQ52" s="46" t="n"/>
      <c r="ER52" s="46" t="n"/>
      <c r="ES52" s="46" t="n"/>
      <c r="ET52" s="46" t="n"/>
      <c r="EU52" s="46" t="n"/>
      <c r="EV52" s="46" t="n"/>
      <c r="EW52" s="46" t="n"/>
      <c r="EX52" s="46" t="n"/>
      <c r="EY52" s="46" t="n"/>
      <c r="EZ52" s="46" t="n"/>
      <c r="FA52" s="46" t="n"/>
      <c r="FB52" s="46" t="n"/>
      <c r="FC52" s="46" t="n"/>
      <c r="FD52" s="46" t="n"/>
      <c r="FE52" s="46" t="n"/>
      <c r="FF52" s="46" t="n"/>
      <c r="FG52" s="46" t="n"/>
      <c r="FH52" s="46" t="n"/>
      <c r="FI52" s="46" t="n"/>
      <c r="FJ52" s="46" t="n"/>
      <c r="FK52" s="46" t="n"/>
      <c r="FL52" s="46" t="n"/>
      <c r="FM52" s="46" t="n"/>
      <c r="FN52" s="46" t="n"/>
    </row>
    <row r="53" ht="15" customFormat="1" customHeight="1" s="50">
      <c r="A53" s="49" t="n">
        <v>43586</v>
      </c>
      <c r="B53" s="43" t="n"/>
      <c r="C53" s="43" t="n">
        <v>133.79</v>
      </c>
      <c r="D53" s="44" t="n"/>
      <c r="E53" s="45" t="n"/>
      <c r="F53" s="46" t="n"/>
      <c r="G53" s="43" t="n">
        <v>75.657</v>
      </c>
      <c r="H53" s="43" t="n">
        <v>46.93547474981966</v>
      </c>
      <c r="I53" s="47">
        <f>G53/C53</f>
        <v/>
      </c>
      <c r="J53" s="46" t="n"/>
      <c r="K53" s="46" t="n">
        <v>113.165</v>
      </c>
      <c r="L53" s="46" t="n">
        <v>118.24</v>
      </c>
      <c r="M53" s="46" t="n">
        <v>115.344</v>
      </c>
      <c r="N53" s="45">
        <f>1-(M53/L53)</f>
        <v/>
      </c>
      <c r="O53" s="46" t="n">
        <v>136.663</v>
      </c>
      <c r="P53" s="46" t="n">
        <v>77.52</v>
      </c>
      <c r="Q53" s="46" t="n">
        <v>105.005</v>
      </c>
      <c r="R53" s="47">
        <f>K53/2/C53</f>
        <v/>
      </c>
      <c r="S53" s="46" t="n"/>
      <c r="T53" s="45">
        <f>R53+I53</f>
        <v/>
      </c>
      <c r="U53" s="46" t="n"/>
      <c r="V53" s="46" t="n"/>
      <c r="W53" s="46" t="n"/>
      <c r="X53" s="46" t="n"/>
      <c r="Y53" s="46" t="n"/>
      <c r="Z53" s="46" t="n"/>
      <c r="AA53" s="46" t="n"/>
      <c r="AB53" s="46" t="n"/>
      <c r="AC53" s="46" t="n"/>
      <c r="AD53" s="46" t="n"/>
      <c r="AE53" s="46" t="n"/>
      <c r="AF53" s="46" t="n"/>
      <c r="AG53" s="46" t="n"/>
      <c r="AH53" s="46" t="n"/>
      <c r="AI53" s="46" t="n"/>
      <c r="AJ53" s="46" t="n"/>
      <c r="AK53" s="46" t="n"/>
      <c r="AL53" s="46" t="n"/>
      <c r="AM53" s="46" t="n"/>
      <c r="AN53" s="46" t="n"/>
      <c r="AO53" s="46" t="n"/>
      <c r="AP53" s="46" t="n"/>
      <c r="AQ53" s="46" t="n"/>
      <c r="AR53" s="46" t="n"/>
      <c r="AS53" s="46" t="n"/>
      <c r="AT53" s="46" t="n"/>
      <c r="AU53" s="46" t="n"/>
      <c r="AV53" s="46" t="n"/>
      <c r="AW53" s="46" t="n"/>
      <c r="AX53" s="46" t="n"/>
      <c r="AY53" s="46" t="n"/>
      <c r="AZ53" s="46" t="n"/>
      <c r="BA53" s="46" t="n"/>
      <c r="BB53" s="46" t="n"/>
      <c r="BC53" s="46" t="n"/>
      <c r="BD53" s="46" t="n"/>
      <c r="BE53" s="46" t="n"/>
      <c r="BF53" s="46" t="n"/>
      <c r="BG53" s="46" t="n"/>
      <c r="BH53" s="46" t="n"/>
      <c r="BI53" s="46" t="n"/>
      <c r="BJ53" s="46" t="n"/>
      <c r="BK53" s="46" t="n"/>
      <c r="BL53" s="46" t="n"/>
      <c r="BM53" s="46" t="n"/>
      <c r="BN53" s="46" t="n"/>
      <c r="BO53" s="46" t="n"/>
      <c r="BP53" s="46" t="n"/>
      <c r="BQ53" s="46" t="n"/>
      <c r="BR53" s="46" t="n"/>
      <c r="BS53" s="46" t="n"/>
      <c r="BT53" s="46" t="n"/>
      <c r="BU53" s="46" t="n"/>
      <c r="BV53" s="46" t="n"/>
      <c r="BW53" s="46" t="n"/>
      <c r="BX53" s="46" t="n"/>
      <c r="BY53" s="46" t="n"/>
      <c r="BZ53" s="46" t="n"/>
      <c r="CA53" s="46" t="n"/>
      <c r="CB53" s="46" t="n"/>
      <c r="CC53" s="46" t="n"/>
      <c r="CD53" s="46" t="n"/>
      <c r="CE53" s="46" t="n"/>
      <c r="CF53" s="46" t="n"/>
      <c r="CG53" s="46" t="n"/>
      <c r="CH53" s="46" t="n"/>
      <c r="CI53" s="46" t="n"/>
      <c r="CJ53" s="46" t="n"/>
      <c r="CK53" s="46" t="n"/>
      <c r="CL53" s="46" t="n"/>
      <c r="CM53" s="46" t="n"/>
      <c r="CN53" s="46" t="n"/>
      <c r="CO53" s="46" t="n"/>
      <c r="CP53" s="46" t="n"/>
      <c r="CQ53" s="46" t="n"/>
      <c r="CR53" s="46" t="n"/>
      <c r="CS53" s="46" t="n"/>
      <c r="CT53" s="46" t="n"/>
      <c r="CU53" s="46" t="n"/>
      <c r="CV53" s="46" t="n"/>
      <c r="CW53" s="46" t="n"/>
      <c r="CX53" s="46" t="n"/>
      <c r="CY53" s="46" t="n"/>
      <c r="CZ53" s="46" t="n"/>
      <c r="DA53" s="46" t="n"/>
      <c r="DB53" s="46" t="n"/>
      <c r="DC53" s="46" t="n"/>
      <c r="DD53" s="46" t="n"/>
      <c r="DE53" s="46" t="n"/>
      <c r="DF53" s="46" t="n"/>
      <c r="DG53" s="46" t="n"/>
      <c r="DH53" s="46" t="n"/>
      <c r="DI53" s="46" t="n"/>
      <c r="DJ53" s="46" t="n"/>
      <c r="DK53" s="46" t="n"/>
      <c r="DL53" s="46" t="n"/>
      <c r="DM53" s="46" t="n"/>
      <c r="DN53" s="46" t="n"/>
      <c r="DO53" s="46" t="n"/>
      <c r="DP53" s="46" t="n"/>
      <c r="DQ53" s="46" t="n"/>
      <c r="DR53" s="46" t="n"/>
      <c r="DS53" s="46" t="n"/>
      <c r="DT53" s="46" t="n"/>
      <c r="DU53" s="46" t="n"/>
      <c r="DV53" s="46" t="n"/>
      <c r="DW53" s="46" t="n"/>
      <c r="DX53" s="46" t="n"/>
      <c r="DY53" s="46" t="n"/>
      <c r="DZ53" s="46" t="n"/>
      <c r="EA53" s="46" t="n"/>
      <c r="EB53" s="46" t="n"/>
      <c r="EC53" s="46" t="n"/>
      <c r="ED53" s="46" t="n"/>
      <c r="EE53" s="46" t="n"/>
      <c r="EF53" s="46" t="n"/>
      <c r="EG53" s="46" t="n"/>
      <c r="EH53" s="46" t="n"/>
      <c r="EI53" s="46" t="n"/>
      <c r="EJ53" s="46" t="n"/>
      <c r="EK53" s="46" t="n"/>
      <c r="EL53" s="46" t="n"/>
      <c r="EM53" s="46" t="n"/>
      <c r="EN53" s="46" t="n"/>
      <c r="EO53" s="46" t="n"/>
      <c r="EP53" s="46" t="n"/>
      <c r="EQ53" s="46" t="n"/>
      <c r="ER53" s="46" t="n"/>
      <c r="ES53" s="46" t="n"/>
      <c r="ET53" s="46" t="n"/>
      <c r="EU53" s="46" t="n"/>
      <c r="EV53" s="46" t="n"/>
      <c r="EW53" s="46" t="n"/>
      <c r="EX53" s="46" t="n"/>
      <c r="EY53" s="46" t="n"/>
      <c r="EZ53" s="46" t="n"/>
      <c r="FA53" s="46" t="n"/>
      <c r="FB53" s="46" t="n"/>
      <c r="FC53" s="46" t="n"/>
      <c r="FD53" s="46" t="n"/>
      <c r="FE53" s="46" t="n"/>
      <c r="FF53" s="46" t="n"/>
      <c r="FG53" s="46" t="n"/>
      <c r="FH53" s="46" t="n"/>
      <c r="FI53" s="46" t="n"/>
      <c r="FJ53" s="46" t="n"/>
      <c r="FK53" s="46" t="n"/>
      <c r="FL53" s="46" t="n"/>
      <c r="FM53" s="46" t="n"/>
      <c r="FN53" s="46" t="n"/>
    </row>
    <row r="54" ht="15" customFormat="1" customHeight="1" s="50">
      <c r="A54" s="49" t="n">
        <v>43617</v>
      </c>
      <c r="B54" s="43" t="n"/>
      <c r="C54" s="43" t="n">
        <v>125.124</v>
      </c>
      <c r="D54" s="44" t="n"/>
      <c r="E54" s="45" t="n"/>
      <c r="F54" s="46" t="n"/>
      <c r="G54" s="43" t="n">
        <v>72.608</v>
      </c>
      <c r="H54" s="43" t="n">
        <v>46.45996503030076</v>
      </c>
      <c r="I54" s="47">
        <f>G54/C54</f>
        <v/>
      </c>
      <c r="J54" s="46" t="n"/>
      <c r="K54" s="46" t="n">
        <v>108.332</v>
      </c>
      <c r="L54" s="46" t="n">
        <v>112.974</v>
      </c>
      <c r="M54" s="46" t="n">
        <v>109.656</v>
      </c>
      <c r="N54" s="45">
        <f>1-(M54/L54)</f>
        <v/>
      </c>
      <c r="O54" s="46" t="n">
        <v>142.953</v>
      </c>
      <c r="P54" s="46" t="n">
        <v>66.768</v>
      </c>
      <c r="Q54" s="46" t="n">
        <v>87.068</v>
      </c>
      <c r="R54" s="47">
        <f>K54/2/C54</f>
        <v/>
      </c>
      <c r="S54" s="46" t="n"/>
      <c r="T54" s="45">
        <f>R54+I54</f>
        <v/>
      </c>
      <c r="U54" s="46" t="n"/>
      <c r="V54" s="46" t="n"/>
      <c r="W54" s="46" t="n"/>
      <c r="X54" s="46" t="n"/>
      <c r="Y54" s="46" t="n"/>
      <c r="Z54" s="46" t="n"/>
      <c r="AA54" s="46" t="n"/>
      <c r="AB54" s="46" t="n"/>
      <c r="AC54" s="46" t="n"/>
      <c r="AD54" s="46" t="n"/>
      <c r="AE54" s="46" t="n"/>
      <c r="AF54" s="46" t="n"/>
      <c r="AG54" s="46" t="n"/>
      <c r="AH54" s="46" t="n"/>
      <c r="AI54" s="46" t="n"/>
      <c r="AJ54" s="46" t="n"/>
      <c r="AK54" s="46" t="n"/>
      <c r="AL54" s="46" t="n"/>
      <c r="AM54" s="46" t="n"/>
      <c r="AN54" s="46" t="n"/>
      <c r="AO54" s="46" t="n"/>
      <c r="AP54" s="46" t="n"/>
      <c r="AQ54" s="46" t="n"/>
      <c r="AR54" s="46" t="n"/>
      <c r="AS54" s="46" t="n"/>
      <c r="AT54" s="46" t="n"/>
      <c r="AU54" s="46" t="n"/>
      <c r="AV54" s="46" t="n"/>
      <c r="AW54" s="46" t="n"/>
      <c r="AX54" s="46" t="n"/>
      <c r="AY54" s="46" t="n"/>
      <c r="AZ54" s="46" t="n"/>
      <c r="BA54" s="46" t="n"/>
      <c r="BB54" s="46" t="n"/>
      <c r="BC54" s="46" t="n"/>
      <c r="BD54" s="46" t="n"/>
      <c r="BE54" s="46" t="n"/>
      <c r="BF54" s="46" t="n"/>
      <c r="BG54" s="46" t="n"/>
      <c r="BH54" s="46" t="n"/>
      <c r="BI54" s="46" t="n"/>
      <c r="BJ54" s="46" t="n"/>
      <c r="BK54" s="46" t="n"/>
      <c r="BL54" s="46" t="n"/>
      <c r="BM54" s="46" t="n"/>
      <c r="BN54" s="46" t="n"/>
      <c r="BO54" s="46" t="n"/>
      <c r="BP54" s="46" t="n"/>
      <c r="BQ54" s="46" t="n"/>
      <c r="BR54" s="46" t="n"/>
      <c r="BS54" s="46" t="n"/>
      <c r="BT54" s="46" t="n"/>
      <c r="BU54" s="46" t="n"/>
      <c r="BV54" s="46" t="n"/>
      <c r="BW54" s="46" t="n"/>
      <c r="BX54" s="46" t="n"/>
      <c r="BY54" s="46" t="n"/>
      <c r="BZ54" s="46" t="n"/>
      <c r="CA54" s="46" t="n"/>
      <c r="CB54" s="46" t="n"/>
      <c r="CC54" s="46" t="n"/>
      <c r="CD54" s="46" t="n"/>
      <c r="CE54" s="46" t="n"/>
      <c r="CF54" s="46" t="n"/>
      <c r="CG54" s="46" t="n"/>
      <c r="CH54" s="46" t="n"/>
      <c r="CI54" s="46" t="n"/>
      <c r="CJ54" s="46" t="n"/>
      <c r="CK54" s="46" t="n"/>
      <c r="CL54" s="46" t="n"/>
      <c r="CM54" s="46" t="n"/>
      <c r="CN54" s="46" t="n"/>
      <c r="CO54" s="46" t="n"/>
      <c r="CP54" s="46" t="n"/>
      <c r="CQ54" s="46" t="n"/>
      <c r="CR54" s="46" t="n"/>
      <c r="CS54" s="46" t="n"/>
      <c r="CT54" s="46" t="n"/>
      <c r="CU54" s="46" t="n"/>
      <c r="CV54" s="46" t="n"/>
      <c r="CW54" s="46" t="n"/>
      <c r="CX54" s="46" t="n"/>
      <c r="CY54" s="46" t="n"/>
      <c r="CZ54" s="46" t="n"/>
      <c r="DA54" s="46" t="n"/>
      <c r="DB54" s="46" t="n"/>
      <c r="DC54" s="46" t="n"/>
      <c r="DD54" s="46" t="n"/>
      <c r="DE54" s="46" t="n"/>
      <c r="DF54" s="46" t="n"/>
      <c r="DG54" s="46" t="n"/>
      <c r="DH54" s="46" t="n"/>
      <c r="DI54" s="46" t="n"/>
      <c r="DJ54" s="46" t="n"/>
      <c r="DK54" s="46" t="n"/>
      <c r="DL54" s="46" t="n"/>
      <c r="DM54" s="46" t="n"/>
      <c r="DN54" s="46" t="n"/>
      <c r="DO54" s="46" t="n"/>
      <c r="DP54" s="46" t="n"/>
      <c r="DQ54" s="46" t="n"/>
      <c r="DR54" s="46" t="n"/>
      <c r="DS54" s="46" t="n"/>
      <c r="DT54" s="46" t="n"/>
      <c r="DU54" s="46" t="n"/>
      <c r="DV54" s="46" t="n"/>
      <c r="DW54" s="46" t="n"/>
      <c r="DX54" s="46" t="n"/>
      <c r="DY54" s="46" t="n"/>
      <c r="DZ54" s="46" t="n"/>
      <c r="EA54" s="46" t="n"/>
      <c r="EB54" s="46" t="n"/>
      <c r="EC54" s="46" t="n"/>
      <c r="ED54" s="46" t="n"/>
      <c r="EE54" s="46" t="n"/>
      <c r="EF54" s="46" t="n"/>
      <c r="EG54" s="46" t="n"/>
      <c r="EH54" s="46" t="n"/>
      <c r="EI54" s="46" t="n"/>
      <c r="EJ54" s="46" t="n"/>
      <c r="EK54" s="46" t="n"/>
      <c r="EL54" s="46" t="n"/>
      <c r="EM54" s="46" t="n"/>
      <c r="EN54" s="46" t="n"/>
      <c r="EO54" s="46" t="n"/>
      <c r="EP54" s="46" t="n"/>
      <c r="EQ54" s="46" t="n"/>
      <c r="ER54" s="46" t="n"/>
      <c r="ES54" s="46" t="n"/>
      <c r="ET54" s="46" t="n"/>
      <c r="EU54" s="46" t="n"/>
      <c r="EV54" s="46" t="n"/>
      <c r="EW54" s="46" t="n"/>
      <c r="EX54" s="46" t="n"/>
      <c r="EY54" s="46" t="n"/>
      <c r="EZ54" s="46" t="n"/>
      <c r="FA54" s="46" t="n"/>
      <c r="FB54" s="46" t="n"/>
      <c r="FC54" s="46" t="n"/>
      <c r="FD54" s="46" t="n"/>
      <c r="FE54" s="46" t="n"/>
      <c r="FF54" s="46" t="n"/>
      <c r="FG54" s="46" t="n"/>
      <c r="FH54" s="46" t="n"/>
      <c r="FI54" s="46" t="n"/>
      <c r="FJ54" s="46" t="n"/>
      <c r="FK54" s="46" t="n"/>
      <c r="FL54" s="46" t="n"/>
      <c r="FM54" s="46" t="n"/>
      <c r="FN54" s="46" t="n"/>
    </row>
    <row r="55" ht="15" customFormat="1" customHeight="1" s="50">
      <c r="A55" s="49" t="n">
        <v>43647</v>
      </c>
      <c r="B55" s="43" t="n"/>
      <c r="C55" s="43" t="n">
        <v>145.547</v>
      </c>
      <c r="D55" s="44" t="n"/>
      <c r="E55" s="45" t="n"/>
      <c r="F55" s="46" t="n"/>
      <c r="G55" s="43" t="n">
        <v>84.447</v>
      </c>
      <c r="H55" s="43" t="n">
        <v>46.79566838949003</v>
      </c>
      <c r="I55" s="47">
        <f>G55/C55</f>
        <v/>
      </c>
      <c r="J55" s="46" t="n"/>
      <c r="K55" s="46" t="n">
        <v>121.974</v>
      </c>
      <c r="L55" s="46" t="n">
        <v>106.287</v>
      </c>
      <c r="M55" s="46" t="n">
        <v>102.407</v>
      </c>
      <c r="N55" s="45">
        <f>1-(M55/L55)</f>
        <v/>
      </c>
      <c r="O55" s="46" t="n">
        <v>143.445</v>
      </c>
      <c r="P55" s="46" t="n">
        <v>73.663</v>
      </c>
      <c r="Q55" s="46" t="n">
        <v>84.217</v>
      </c>
      <c r="R55" s="47">
        <f>K55/2/C55</f>
        <v/>
      </c>
      <c r="S55" s="46" t="n"/>
      <c r="T55" s="45">
        <f>R55+I55</f>
        <v/>
      </c>
      <c r="U55" s="46" t="n"/>
      <c r="V55" s="46" t="n"/>
      <c r="W55" s="46" t="n"/>
      <c r="X55" s="46" t="n"/>
      <c r="Y55" s="46" t="n"/>
      <c r="Z55" s="46" t="n"/>
      <c r="AA55" s="46" t="n"/>
      <c r="AB55" s="46" t="n"/>
      <c r="AC55" s="46" t="n"/>
      <c r="AD55" s="46" t="n"/>
      <c r="AE55" s="46" t="n"/>
      <c r="AF55" s="46" t="n"/>
      <c r="AG55" s="46" t="n"/>
      <c r="AH55" s="46" t="n"/>
      <c r="AI55" s="46" t="n"/>
      <c r="AJ55" s="46" t="n"/>
      <c r="AK55" s="46" t="n"/>
      <c r="AL55" s="46" t="n"/>
      <c r="AM55" s="46" t="n"/>
      <c r="AN55" s="46" t="n"/>
      <c r="AO55" s="46" t="n"/>
      <c r="AP55" s="46" t="n"/>
      <c r="AQ55" s="46" t="n"/>
      <c r="AR55" s="46" t="n"/>
      <c r="AS55" s="46" t="n"/>
      <c r="AT55" s="46" t="n"/>
      <c r="AU55" s="46" t="n"/>
      <c r="AV55" s="46" t="n"/>
      <c r="AW55" s="46" t="n"/>
      <c r="AX55" s="46" t="n"/>
      <c r="AY55" s="46" t="n"/>
      <c r="AZ55" s="46" t="n"/>
      <c r="BA55" s="46" t="n"/>
      <c r="BB55" s="46" t="n"/>
      <c r="BC55" s="46" t="n"/>
      <c r="BD55" s="46" t="n"/>
      <c r="BE55" s="46" t="n"/>
      <c r="BF55" s="46" t="n"/>
      <c r="BG55" s="46" t="n"/>
      <c r="BH55" s="46" t="n"/>
      <c r="BI55" s="46" t="n"/>
      <c r="BJ55" s="46" t="n"/>
      <c r="BK55" s="46" t="n"/>
      <c r="BL55" s="46" t="n"/>
      <c r="BM55" s="46" t="n"/>
      <c r="BN55" s="46" t="n"/>
      <c r="BO55" s="46" t="n"/>
      <c r="BP55" s="46" t="n"/>
      <c r="BQ55" s="46" t="n"/>
      <c r="BR55" s="46" t="n"/>
      <c r="BS55" s="46" t="n"/>
      <c r="BT55" s="46" t="n"/>
      <c r="BU55" s="46" t="n"/>
      <c r="BV55" s="46" t="n"/>
      <c r="BW55" s="46" t="n"/>
      <c r="BX55" s="46" t="n"/>
      <c r="BY55" s="46" t="n"/>
      <c r="BZ55" s="46" t="n"/>
      <c r="CA55" s="46" t="n"/>
      <c r="CB55" s="46" t="n"/>
      <c r="CC55" s="46" t="n"/>
      <c r="CD55" s="46" t="n"/>
      <c r="CE55" s="46" t="n"/>
      <c r="CF55" s="46" t="n"/>
      <c r="CG55" s="46" t="n"/>
      <c r="CH55" s="46" t="n"/>
      <c r="CI55" s="46" t="n"/>
      <c r="CJ55" s="46" t="n"/>
      <c r="CK55" s="46" t="n"/>
      <c r="CL55" s="46" t="n"/>
      <c r="CM55" s="46" t="n"/>
      <c r="CN55" s="46" t="n"/>
      <c r="CO55" s="46" t="n"/>
      <c r="CP55" s="46" t="n"/>
      <c r="CQ55" s="46" t="n"/>
      <c r="CR55" s="46" t="n"/>
      <c r="CS55" s="46" t="n"/>
      <c r="CT55" s="46" t="n"/>
      <c r="CU55" s="46" t="n"/>
      <c r="CV55" s="46" t="n"/>
      <c r="CW55" s="46" t="n"/>
      <c r="CX55" s="46" t="n"/>
      <c r="CY55" s="46" t="n"/>
      <c r="CZ55" s="46" t="n"/>
      <c r="DA55" s="46" t="n"/>
      <c r="DB55" s="46" t="n"/>
      <c r="DC55" s="46" t="n"/>
      <c r="DD55" s="46" t="n"/>
      <c r="DE55" s="46" t="n"/>
      <c r="DF55" s="46" t="n"/>
      <c r="DG55" s="46" t="n"/>
      <c r="DH55" s="46" t="n"/>
      <c r="DI55" s="46" t="n"/>
      <c r="DJ55" s="46" t="n"/>
      <c r="DK55" s="46" t="n"/>
      <c r="DL55" s="46" t="n"/>
      <c r="DM55" s="46" t="n"/>
      <c r="DN55" s="46" t="n"/>
      <c r="DO55" s="46" t="n"/>
      <c r="DP55" s="46" t="n"/>
      <c r="DQ55" s="46" t="n"/>
      <c r="DR55" s="46" t="n"/>
      <c r="DS55" s="46" t="n"/>
      <c r="DT55" s="46" t="n"/>
      <c r="DU55" s="46" t="n"/>
      <c r="DV55" s="46" t="n"/>
      <c r="DW55" s="46" t="n"/>
      <c r="DX55" s="46" t="n"/>
      <c r="DY55" s="46" t="n"/>
      <c r="DZ55" s="46" t="n"/>
      <c r="EA55" s="46" t="n"/>
      <c r="EB55" s="46" t="n"/>
      <c r="EC55" s="46" t="n"/>
      <c r="ED55" s="46" t="n"/>
      <c r="EE55" s="46" t="n"/>
      <c r="EF55" s="46" t="n"/>
      <c r="EG55" s="46" t="n"/>
      <c r="EH55" s="46" t="n"/>
      <c r="EI55" s="46" t="n"/>
      <c r="EJ55" s="46" t="n"/>
      <c r="EK55" s="46" t="n"/>
      <c r="EL55" s="46" t="n"/>
      <c r="EM55" s="46" t="n"/>
      <c r="EN55" s="46" t="n"/>
      <c r="EO55" s="46" t="n"/>
      <c r="EP55" s="46" t="n"/>
      <c r="EQ55" s="46" t="n"/>
      <c r="ER55" s="46" t="n"/>
      <c r="ES55" s="46" t="n"/>
      <c r="ET55" s="46" t="n"/>
      <c r="EU55" s="46" t="n"/>
      <c r="EV55" s="46" t="n"/>
      <c r="EW55" s="46" t="n"/>
      <c r="EX55" s="46" t="n"/>
      <c r="EY55" s="46" t="n"/>
      <c r="EZ55" s="46" t="n"/>
      <c r="FA55" s="46" t="n"/>
      <c r="FB55" s="46" t="n"/>
      <c r="FC55" s="46" t="n"/>
      <c r="FD55" s="46" t="n"/>
      <c r="FE55" s="46" t="n"/>
      <c r="FF55" s="46" t="n"/>
      <c r="FG55" s="46" t="n"/>
      <c r="FH55" s="46" t="n"/>
      <c r="FI55" s="46" t="n"/>
      <c r="FJ55" s="46" t="n"/>
      <c r="FK55" s="46" t="n"/>
      <c r="FL55" s="46" t="n"/>
      <c r="FM55" s="46" t="n"/>
      <c r="FN55" s="46" t="n"/>
    </row>
    <row r="56" ht="15" customFormat="1" customHeight="1" s="50">
      <c r="A56" s="49" t="n">
        <v>43678</v>
      </c>
      <c r="B56" s="43" t="n"/>
      <c r="C56" s="43" t="n">
        <v>156.132</v>
      </c>
      <c r="D56" s="44" t="n"/>
      <c r="E56" s="45" t="n"/>
      <c r="F56" s="46" t="n"/>
      <c r="G56" s="43" t="n">
        <v>85.658</v>
      </c>
      <c r="H56" s="43" t="n">
        <v>46.13490765358343</v>
      </c>
      <c r="I56" s="47">
        <f>G56/C56</f>
        <v/>
      </c>
      <c r="J56" s="46" t="n"/>
      <c r="K56" s="46" t="n">
        <v>126.475</v>
      </c>
      <c r="L56" s="46" t="n">
        <v>75.839</v>
      </c>
      <c r="M56" s="46" t="n">
        <v>72.80200000000001</v>
      </c>
      <c r="N56" s="45">
        <f>1-(M56/L56)</f>
        <v/>
      </c>
      <c r="O56" s="46" t="n">
        <v>114.735</v>
      </c>
      <c r="P56" s="46" t="n">
        <v>70.34999999999999</v>
      </c>
      <c r="Q56" s="46" t="n">
        <v>89.807</v>
      </c>
      <c r="R56" s="47">
        <f>K56/2/C56</f>
        <v/>
      </c>
      <c r="S56" s="46" t="n"/>
      <c r="T56" s="45">
        <f>R56+I56</f>
        <v/>
      </c>
      <c r="U56" s="46" t="n"/>
      <c r="V56" s="46" t="n"/>
      <c r="W56" s="46" t="n"/>
      <c r="X56" s="46" t="n"/>
      <c r="Y56" s="46" t="n"/>
      <c r="Z56" s="46" t="n"/>
      <c r="AA56" s="46" t="n"/>
      <c r="AB56" s="46" t="n"/>
      <c r="AC56" s="46" t="n"/>
      <c r="AD56" s="46" t="n"/>
      <c r="AE56" s="46" t="n"/>
      <c r="AF56" s="46" t="n"/>
      <c r="AG56" s="46" t="n"/>
      <c r="AH56" s="46" t="n"/>
      <c r="AI56" s="46" t="n"/>
      <c r="AJ56" s="46" t="n"/>
      <c r="AK56" s="46" t="n"/>
      <c r="AL56" s="46" t="n"/>
      <c r="AM56" s="46" t="n"/>
      <c r="AN56" s="46" t="n"/>
      <c r="AO56" s="46" t="n"/>
      <c r="AP56" s="46" t="n"/>
      <c r="AQ56" s="46" t="n"/>
      <c r="AR56" s="46" t="n"/>
      <c r="AS56" s="46" t="n"/>
      <c r="AT56" s="46" t="n"/>
      <c r="AU56" s="46" t="n"/>
      <c r="AV56" s="46" t="n"/>
      <c r="AW56" s="46" t="n"/>
      <c r="AX56" s="46" t="n"/>
      <c r="AY56" s="46" t="n"/>
      <c r="AZ56" s="46" t="n"/>
      <c r="BA56" s="46" t="n"/>
      <c r="BB56" s="46" t="n"/>
      <c r="BC56" s="46" t="n"/>
      <c r="BD56" s="46" t="n"/>
      <c r="BE56" s="46" t="n"/>
      <c r="BF56" s="46" t="n"/>
      <c r="BG56" s="46" t="n"/>
      <c r="BH56" s="46" t="n"/>
      <c r="BI56" s="46" t="n"/>
      <c r="BJ56" s="46" t="n"/>
      <c r="BK56" s="46" t="n"/>
      <c r="BL56" s="46" t="n"/>
      <c r="BM56" s="46" t="n"/>
      <c r="BN56" s="46" t="n"/>
      <c r="BO56" s="46" t="n"/>
      <c r="BP56" s="46" t="n"/>
      <c r="BQ56" s="46" t="n"/>
      <c r="BR56" s="46" t="n"/>
      <c r="BS56" s="46" t="n"/>
      <c r="BT56" s="46" t="n"/>
      <c r="BU56" s="46" t="n"/>
      <c r="BV56" s="46" t="n"/>
      <c r="BW56" s="46" t="n"/>
      <c r="BX56" s="46" t="n"/>
      <c r="BY56" s="46" t="n"/>
      <c r="BZ56" s="46" t="n"/>
      <c r="CA56" s="46" t="n"/>
      <c r="CB56" s="46" t="n"/>
      <c r="CC56" s="46" t="n"/>
      <c r="CD56" s="46" t="n"/>
      <c r="CE56" s="46" t="n"/>
      <c r="CF56" s="46" t="n"/>
      <c r="CG56" s="46" t="n"/>
      <c r="CH56" s="46" t="n"/>
      <c r="CI56" s="46" t="n"/>
      <c r="CJ56" s="46" t="n"/>
      <c r="CK56" s="46" t="n"/>
      <c r="CL56" s="46" t="n"/>
      <c r="CM56" s="46" t="n"/>
      <c r="CN56" s="46" t="n"/>
      <c r="CO56" s="46" t="n"/>
      <c r="CP56" s="46" t="n"/>
      <c r="CQ56" s="46" t="n"/>
      <c r="CR56" s="46" t="n"/>
      <c r="CS56" s="46" t="n"/>
      <c r="CT56" s="46" t="n"/>
      <c r="CU56" s="46" t="n"/>
      <c r="CV56" s="46" t="n"/>
      <c r="CW56" s="46" t="n"/>
      <c r="CX56" s="46" t="n"/>
      <c r="CY56" s="46" t="n"/>
      <c r="CZ56" s="46" t="n"/>
      <c r="DA56" s="46" t="n"/>
      <c r="DB56" s="46" t="n"/>
      <c r="DC56" s="46" t="n"/>
      <c r="DD56" s="46" t="n"/>
      <c r="DE56" s="46" t="n"/>
      <c r="DF56" s="46" t="n"/>
      <c r="DG56" s="46" t="n"/>
      <c r="DH56" s="46" t="n"/>
      <c r="DI56" s="46" t="n"/>
      <c r="DJ56" s="46" t="n"/>
      <c r="DK56" s="46" t="n"/>
      <c r="DL56" s="46" t="n"/>
      <c r="DM56" s="46" t="n"/>
      <c r="DN56" s="46" t="n"/>
      <c r="DO56" s="46" t="n"/>
      <c r="DP56" s="46" t="n"/>
      <c r="DQ56" s="46" t="n"/>
      <c r="DR56" s="46" t="n"/>
      <c r="DS56" s="46" t="n"/>
      <c r="DT56" s="46" t="n"/>
      <c r="DU56" s="46" t="n"/>
      <c r="DV56" s="46" t="n"/>
      <c r="DW56" s="46" t="n"/>
      <c r="DX56" s="46" t="n"/>
      <c r="DY56" s="46" t="n"/>
      <c r="DZ56" s="46" t="n"/>
      <c r="EA56" s="46" t="n"/>
      <c r="EB56" s="46" t="n"/>
      <c r="EC56" s="46" t="n"/>
      <c r="ED56" s="46" t="n"/>
      <c r="EE56" s="46" t="n"/>
      <c r="EF56" s="46" t="n"/>
      <c r="EG56" s="46" t="n"/>
      <c r="EH56" s="46" t="n"/>
      <c r="EI56" s="46" t="n"/>
      <c r="EJ56" s="46" t="n"/>
      <c r="EK56" s="46" t="n"/>
      <c r="EL56" s="46" t="n"/>
      <c r="EM56" s="46" t="n"/>
      <c r="EN56" s="46" t="n"/>
      <c r="EO56" s="46" t="n"/>
      <c r="EP56" s="46" t="n"/>
      <c r="EQ56" s="46" t="n"/>
      <c r="ER56" s="46" t="n"/>
      <c r="ES56" s="46" t="n"/>
      <c r="ET56" s="46" t="n"/>
      <c r="EU56" s="46" t="n"/>
      <c r="EV56" s="46" t="n"/>
      <c r="EW56" s="46" t="n"/>
      <c r="EX56" s="46" t="n"/>
      <c r="EY56" s="46" t="n"/>
      <c r="EZ56" s="46" t="n"/>
      <c r="FA56" s="46" t="n"/>
      <c r="FB56" s="46" t="n"/>
      <c r="FC56" s="46" t="n"/>
      <c r="FD56" s="46" t="n"/>
      <c r="FE56" s="46" t="n"/>
      <c r="FF56" s="46" t="n"/>
      <c r="FG56" s="46" t="n"/>
      <c r="FH56" s="46" t="n"/>
      <c r="FI56" s="46" t="n"/>
      <c r="FJ56" s="46" t="n"/>
      <c r="FK56" s="46" t="n"/>
      <c r="FL56" s="46" t="n"/>
      <c r="FM56" s="46" t="n"/>
      <c r="FN56" s="46" t="n"/>
    </row>
    <row r="57" ht="15" customFormat="1" customHeight="1" s="50">
      <c r="A57" s="49" t="n">
        <v>43709</v>
      </c>
      <c r="B57" s="43" t="n"/>
      <c r="C57" s="43" t="n">
        <v>163.321</v>
      </c>
      <c r="D57" s="44" t="n"/>
      <c r="E57" s="45" t="n"/>
      <c r="F57" s="46" t="n"/>
      <c r="G57" s="43" t="n">
        <v>91.758</v>
      </c>
      <c r="H57" s="43" t="n">
        <v>45.68892231206423</v>
      </c>
      <c r="I57" s="47">
        <f>G57/C57</f>
        <v/>
      </c>
      <c r="J57" s="46" t="n"/>
      <c r="K57" s="46" t="n">
        <v>134.207</v>
      </c>
      <c r="L57" s="46" t="n">
        <v>124.663</v>
      </c>
      <c r="M57" s="46" t="n">
        <v>119.864</v>
      </c>
      <c r="N57" s="45">
        <f>1-(M57/L57)</f>
        <v/>
      </c>
      <c r="O57" s="46" t="n">
        <v>144.417</v>
      </c>
      <c r="P57" s="46" t="n">
        <v>63.428</v>
      </c>
      <c r="Q57" s="46" t="n">
        <v>94.502</v>
      </c>
      <c r="R57" s="47">
        <f>K57/2/C57</f>
        <v/>
      </c>
      <c r="S57" s="46" t="n"/>
      <c r="T57" s="45">
        <f>R57+I57</f>
        <v/>
      </c>
      <c r="U57" s="46" t="n"/>
      <c r="V57" s="46" t="n"/>
      <c r="W57" s="46" t="n"/>
      <c r="X57" s="46" t="n"/>
      <c r="Y57" s="46" t="n"/>
      <c r="Z57" s="46" t="n"/>
      <c r="AA57" s="46" t="n"/>
      <c r="AB57" s="46" t="n"/>
      <c r="AC57" s="46" t="n"/>
      <c r="AD57" s="46" t="n"/>
      <c r="AE57" s="46" t="n"/>
      <c r="AF57" s="46" t="n"/>
      <c r="AG57" s="46" t="n"/>
      <c r="AH57" s="46" t="n"/>
      <c r="AI57" s="46" t="n"/>
      <c r="AJ57" s="46" t="n"/>
      <c r="AK57" s="46" t="n"/>
      <c r="AL57" s="46" t="n"/>
      <c r="AM57" s="46" t="n"/>
      <c r="AN57" s="46" t="n"/>
      <c r="AO57" s="46" t="n"/>
      <c r="AP57" s="46" t="n"/>
      <c r="AQ57" s="46" t="n"/>
      <c r="AR57" s="46" t="n"/>
      <c r="AS57" s="46" t="n"/>
      <c r="AT57" s="46" t="n"/>
      <c r="AU57" s="46" t="n"/>
      <c r="AV57" s="46" t="n"/>
      <c r="AW57" s="46" t="n"/>
      <c r="AX57" s="46" t="n"/>
      <c r="AY57" s="46" t="n"/>
      <c r="AZ57" s="46" t="n"/>
      <c r="BA57" s="46" t="n"/>
      <c r="BB57" s="46" t="n"/>
      <c r="BC57" s="46" t="n"/>
      <c r="BD57" s="46" t="n"/>
      <c r="BE57" s="46" t="n"/>
      <c r="BF57" s="46" t="n"/>
      <c r="BG57" s="46" t="n"/>
      <c r="BH57" s="46" t="n"/>
      <c r="BI57" s="46" t="n"/>
      <c r="BJ57" s="46" t="n"/>
      <c r="BK57" s="46" t="n"/>
      <c r="BL57" s="46" t="n"/>
      <c r="BM57" s="46" t="n"/>
      <c r="BN57" s="46" t="n"/>
      <c r="BO57" s="46" t="n"/>
      <c r="BP57" s="46" t="n"/>
      <c r="BQ57" s="46" t="n"/>
      <c r="BR57" s="46" t="n"/>
      <c r="BS57" s="46" t="n"/>
      <c r="BT57" s="46" t="n"/>
      <c r="BU57" s="46" t="n"/>
      <c r="BV57" s="46" t="n"/>
      <c r="BW57" s="46" t="n"/>
      <c r="BX57" s="46" t="n"/>
      <c r="BY57" s="46" t="n"/>
      <c r="BZ57" s="46" t="n"/>
      <c r="CA57" s="46" t="n"/>
      <c r="CB57" s="46" t="n"/>
      <c r="CC57" s="46" t="n"/>
      <c r="CD57" s="46" t="n"/>
      <c r="CE57" s="46" t="n"/>
      <c r="CF57" s="46" t="n"/>
      <c r="CG57" s="46" t="n"/>
      <c r="CH57" s="46" t="n"/>
      <c r="CI57" s="46" t="n"/>
      <c r="CJ57" s="46" t="n"/>
      <c r="CK57" s="46" t="n"/>
      <c r="CL57" s="46" t="n"/>
      <c r="CM57" s="46" t="n"/>
      <c r="CN57" s="46" t="n"/>
      <c r="CO57" s="46" t="n"/>
      <c r="CP57" s="46" t="n"/>
      <c r="CQ57" s="46" t="n"/>
      <c r="CR57" s="46" t="n"/>
      <c r="CS57" s="46" t="n"/>
      <c r="CT57" s="46" t="n"/>
      <c r="CU57" s="46" t="n"/>
      <c r="CV57" s="46" t="n"/>
      <c r="CW57" s="46" t="n"/>
      <c r="CX57" s="46" t="n"/>
      <c r="CY57" s="46" t="n"/>
      <c r="CZ57" s="46" t="n"/>
      <c r="DA57" s="46" t="n"/>
      <c r="DB57" s="46" t="n"/>
      <c r="DC57" s="46" t="n"/>
      <c r="DD57" s="46" t="n"/>
      <c r="DE57" s="46" t="n"/>
      <c r="DF57" s="46" t="n"/>
      <c r="DG57" s="46" t="n"/>
      <c r="DH57" s="46" t="n"/>
      <c r="DI57" s="46" t="n"/>
      <c r="DJ57" s="46" t="n"/>
      <c r="DK57" s="46" t="n"/>
      <c r="DL57" s="46" t="n"/>
      <c r="DM57" s="46" t="n"/>
      <c r="DN57" s="46" t="n"/>
      <c r="DO57" s="46" t="n"/>
      <c r="DP57" s="46" t="n"/>
      <c r="DQ57" s="46" t="n"/>
      <c r="DR57" s="46" t="n"/>
      <c r="DS57" s="46" t="n"/>
      <c r="DT57" s="46" t="n"/>
      <c r="DU57" s="46" t="n"/>
      <c r="DV57" s="46" t="n"/>
      <c r="DW57" s="46" t="n"/>
      <c r="DX57" s="46" t="n"/>
      <c r="DY57" s="46" t="n"/>
      <c r="DZ57" s="46" t="n"/>
      <c r="EA57" s="46" t="n"/>
      <c r="EB57" s="46" t="n"/>
      <c r="EC57" s="46" t="n"/>
      <c r="ED57" s="46" t="n"/>
      <c r="EE57" s="46" t="n"/>
      <c r="EF57" s="46" t="n"/>
      <c r="EG57" s="46" t="n"/>
      <c r="EH57" s="46" t="n"/>
      <c r="EI57" s="46" t="n"/>
      <c r="EJ57" s="46" t="n"/>
      <c r="EK57" s="46" t="n"/>
      <c r="EL57" s="46" t="n"/>
      <c r="EM57" s="46" t="n"/>
      <c r="EN57" s="46" t="n"/>
      <c r="EO57" s="46" t="n"/>
      <c r="EP57" s="46" t="n"/>
      <c r="EQ57" s="46" t="n"/>
      <c r="ER57" s="46" t="n"/>
      <c r="ES57" s="46" t="n"/>
      <c r="ET57" s="46" t="n"/>
      <c r="EU57" s="46" t="n"/>
      <c r="EV57" s="46" t="n"/>
      <c r="EW57" s="46" t="n"/>
      <c r="EX57" s="46" t="n"/>
      <c r="EY57" s="46" t="n"/>
      <c r="EZ57" s="46" t="n"/>
      <c r="FA57" s="46" t="n"/>
      <c r="FB57" s="46" t="n"/>
      <c r="FC57" s="46" t="n"/>
      <c r="FD57" s="46" t="n"/>
      <c r="FE57" s="46" t="n"/>
      <c r="FF57" s="46" t="n"/>
      <c r="FG57" s="46" t="n"/>
      <c r="FH57" s="46" t="n"/>
      <c r="FI57" s="46" t="n"/>
      <c r="FJ57" s="46" t="n"/>
      <c r="FK57" s="46" t="n"/>
      <c r="FL57" s="46" t="n"/>
      <c r="FM57" s="46" t="n"/>
      <c r="FN57" s="46" t="n"/>
    </row>
    <row r="58" ht="15" customFormat="1" customHeight="1" s="50">
      <c r="A58" s="49" t="n">
        <v>43739</v>
      </c>
      <c r="B58" s="43" t="n"/>
      <c r="C58" s="43" t="n">
        <v>188.299</v>
      </c>
      <c r="D58" s="44" t="n"/>
      <c r="E58" s="45" t="n"/>
      <c r="F58" s="46" t="n"/>
      <c r="G58" s="43" t="n">
        <v>104.798</v>
      </c>
      <c r="H58" s="43" t="n">
        <v>44.68037714638769</v>
      </c>
      <c r="I58" s="47">
        <f>G58/C58</f>
        <v/>
      </c>
      <c r="J58" s="46" t="n"/>
      <c r="K58" s="46" t="n">
        <v>157.494</v>
      </c>
      <c r="L58" s="46" t="n">
        <v>126.656</v>
      </c>
      <c r="M58" s="46" t="n">
        <v>122.814</v>
      </c>
      <c r="N58" s="45">
        <f>1-(M58/L58)</f>
        <v/>
      </c>
      <c r="O58" s="46" t="n">
        <v>164.83</v>
      </c>
      <c r="P58" s="46" t="n">
        <v>49.977</v>
      </c>
      <c r="Q58" s="46" t="n">
        <v>96.59099999999999</v>
      </c>
      <c r="R58" s="47">
        <f>K58/2/C58</f>
        <v/>
      </c>
      <c r="S58" s="46" t="n"/>
      <c r="T58" s="45">
        <f>R58+I58</f>
        <v/>
      </c>
      <c r="U58" s="46" t="n"/>
      <c r="V58" s="46" t="n"/>
      <c r="W58" s="46" t="n"/>
      <c r="X58" s="46" t="n"/>
      <c r="Y58" s="46" t="n"/>
      <c r="Z58" s="46" t="n"/>
      <c r="AA58" s="46" t="n"/>
      <c r="AB58" s="46" t="n"/>
      <c r="AC58" s="46" t="n"/>
      <c r="AD58" s="46" t="n"/>
      <c r="AE58" s="46" t="n"/>
      <c r="AF58" s="46" t="n"/>
      <c r="AG58" s="46" t="n"/>
      <c r="AH58" s="46" t="n"/>
      <c r="AI58" s="46" t="n"/>
      <c r="AJ58" s="46" t="n"/>
      <c r="AK58" s="46" t="n"/>
      <c r="AL58" s="46" t="n"/>
      <c r="AM58" s="46" t="n"/>
      <c r="AN58" s="46" t="n"/>
      <c r="AO58" s="46" t="n"/>
      <c r="AP58" s="46" t="n"/>
      <c r="AQ58" s="46" t="n"/>
      <c r="AR58" s="46" t="n"/>
      <c r="AS58" s="46" t="n"/>
      <c r="AT58" s="46" t="n"/>
      <c r="AU58" s="46" t="n"/>
      <c r="AV58" s="46" t="n"/>
      <c r="AW58" s="46" t="n"/>
      <c r="AX58" s="46" t="n"/>
      <c r="AY58" s="46" t="n"/>
      <c r="AZ58" s="46" t="n"/>
      <c r="BA58" s="46" t="n"/>
      <c r="BB58" s="46" t="n"/>
      <c r="BC58" s="46" t="n"/>
      <c r="BD58" s="46" t="n"/>
      <c r="BE58" s="46" t="n"/>
      <c r="BF58" s="46" t="n"/>
      <c r="BG58" s="46" t="n"/>
      <c r="BH58" s="46" t="n"/>
      <c r="BI58" s="46" t="n"/>
      <c r="BJ58" s="46" t="n"/>
      <c r="BK58" s="46" t="n"/>
      <c r="BL58" s="46" t="n"/>
      <c r="BM58" s="46" t="n"/>
      <c r="BN58" s="46" t="n"/>
      <c r="BO58" s="46" t="n"/>
      <c r="BP58" s="46" t="n"/>
      <c r="BQ58" s="46" t="n"/>
      <c r="BR58" s="46" t="n"/>
      <c r="BS58" s="46" t="n"/>
      <c r="BT58" s="46" t="n"/>
      <c r="BU58" s="46" t="n"/>
      <c r="BV58" s="46" t="n"/>
      <c r="BW58" s="46" t="n"/>
      <c r="BX58" s="46" t="n"/>
      <c r="BY58" s="46" t="n"/>
      <c r="BZ58" s="46" t="n"/>
      <c r="CA58" s="46" t="n"/>
      <c r="CB58" s="46" t="n"/>
      <c r="CC58" s="46" t="n"/>
      <c r="CD58" s="46" t="n"/>
      <c r="CE58" s="46" t="n"/>
      <c r="CF58" s="46" t="n"/>
      <c r="CG58" s="46" t="n"/>
      <c r="CH58" s="46" t="n"/>
      <c r="CI58" s="46" t="n"/>
      <c r="CJ58" s="46" t="n"/>
      <c r="CK58" s="46" t="n"/>
      <c r="CL58" s="46" t="n"/>
      <c r="CM58" s="46" t="n"/>
      <c r="CN58" s="46" t="n"/>
      <c r="CO58" s="46" t="n"/>
      <c r="CP58" s="46" t="n"/>
      <c r="CQ58" s="46" t="n"/>
      <c r="CR58" s="46" t="n"/>
      <c r="CS58" s="46" t="n"/>
      <c r="CT58" s="46" t="n"/>
      <c r="CU58" s="46" t="n"/>
      <c r="CV58" s="46" t="n"/>
      <c r="CW58" s="46" t="n"/>
      <c r="CX58" s="46" t="n"/>
      <c r="CY58" s="46" t="n"/>
      <c r="CZ58" s="46" t="n"/>
      <c r="DA58" s="46" t="n"/>
      <c r="DB58" s="46" t="n"/>
      <c r="DC58" s="46" t="n"/>
      <c r="DD58" s="46" t="n"/>
      <c r="DE58" s="46" t="n"/>
      <c r="DF58" s="46" t="n"/>
      <c r="DG58" s="46" t="n"/>
      <c r="DH58" s="46" t="n"/>
      <c r="DI58" s="46" t="n"/>
      <c r="DJ58" s="46" t="n"/>
      <c r="DK58" s="46" t="n"/>
      <c r="DL58" s="46" t="n"/>
      <c r="DM58" s="46" t="n"/>
      <c r="DN58" s="46" t="n"/>
      <c r="DO58" s="46" t="n"/>
      <c r="DP58" s="46" t="n"/>
      <c r="DQ58" s="46" t="n"/>
      <c r="DR58" s="46" t="n"/>
      <c r="DS58" s="46" t="n"/>
      <c r="DT58" s="46" t="n"/>
      <c r="DU58" s="46" t="n"/>
      <c r="DV58" s="46" t="n"/>
      <c r="DW58" s="46" t="n"/>
      <c r="DX58" s="46" t="n"/>
      <c r="DY58" s="46" t="n"/>
      <c r="DZ58" s="46" t="n"/>
      <c r="EA58" s="46" t="n"/>
      <c r="EB58" s="46" t="n"/>
      <c r="EC58" s="46" t="n"/>
      <c r="ED58" s="46" t="n"/>
      <c r="EE58" s="46" t="n"/>
      <c r="EF58" s="46" t="n"/>
      <c r="EG58" s="46" t="n"/>
      <c r="EH58" s="46" t="n"/>
      <c r="EI58" s="46" t="n"/>
      <c r="EJ58" s="46" t="n"/>
      <c r="EK58" s="46" t="n"/>
      <c r="EL58" s="46" t="n"/>
      <c r="EM58" s="46" t="n"/>
      <c r="EN58" s="46" t="n"/>
      <c r="EO58" s="46" t="n"/>
      <c r="EP58" s="46" t="n"/>
      <c r="EQ58" s="46" t="n"/>
      <c r="ER58" s="46" t="n"/>
      <c r="ES58" s="46" t="n"/>
      <c r="ET58" s="46" t="n"/>
      <c r="EU58" s="46" t="n"/>
      <c r="EV58" s="46" t="n"/>
      <c r="EW58" s="46" t="n"/>
      <c r="EX58" s="46" t="n"/>
      <c r="EY58" s="46" t="n"/>
      <c r="EZ58" s="46" t="n"/>
      <c r="FA58" s="46" t="n"/>
      <c r="FB58" s="46" t="n"/>
      <c r="FC58" s="46" t="n"/>
      <c r="FD58" s="46" t="n"/>
      <c r="FE58" s="46" t="n"/>
      <c r="FF58" s="46" t="n"/>
      <c r="FG58" s="46" t="n"/>
      <c r="FH58" s="46" t="n"/>
      <c r="FI58" s="46" t="n"/>
      <c r="FJ58" s="46" t="n"/>
      <c r="FK58" s="46" t="n"/>
      <c r="FL58" s="46" t="n"/>
      <c r="FM58" s="46" t="n"/>
      <c r="FN58" s="46" t="n"/>
    </row>
    <row r="59" ht="15" customFormat="1" customHeight="1" s="50">
      <c r="A59" s="49" t="n">
        <v>43770</v>
      </c>
      <c r="B59" s="43" t="n"/>
      <c r="C59" s="43" t="n">
        <v>152.43</v>
      </c>
      <c r="D59" s="44" t="n"/>
      <c r="E59" s="45" t="n"/>
      <c r="F59" s="46" t="n"/>
      <c r="G59" s="43" t="n">
        <v>85.255</v>
      </c>
      <c r="H59" s="43" t="n">
        <v>46.26044246896329</v>
      </c>
      <c r="I59" s="47">
        <f>G59/C59</f>
        <v/>
      </c>
      <c r="J59" s="46" t="n"/>
      <c r="K59" s="46" t="n">
        <v>126.68</v>
      </c>
      <c r="L59" s="46" t="n">
        <v>99.526</v>
      </c>
      <c r="M59" s="46" t="n">
        <v>96.258</v>
      </c>
      <c r="N59" s="45">
        <f>1-(M59/L59)</f>
        <v/>
      </c>
      <c r="O59" s="46" t="n">
        <v>159.52</v>
      </c>
      <c r="P59" s="46" t="n">
        <v>39.937</v>
      </c>
      <c r="Q59" s="46" t="n">
        <v>101.435</v>
      </c>
      <c r="R59" s="47">
        <f>K59/2/C59</f>
        <v/>
      </c>
      <c r="S59" s="46" t="n"/>
      <c r="T59" s="45">
        <f>R59+I59</f>
        <v/>
      </c>
      <c r="U59" s="46" t="n"/>
      <c r="V59" s="46" t="n"/>
      <c r="W59" s="46" t="n"/>
      <c r="X59" s="46" t="n"/>
      <c r="Y59" s="46" t="n"/>
      <c r="Z59" s="46" t="n"/>
      <c r="AA59" s="46" t="n"/>
      <c r="AB59" s="46" t="n"/>
      <c r="AC59" s="46" t="n"/>
      <c r="AD59" s="46" t="n"/>
      <c r="AE59" s="46" t="n"/>
      <c r="AF59" s="46" t="n"/>
      <c r="AG59" s="46" t="n"/>
      <c r="AH59" s="46" t="n"/>
      <c r="AI59" s="46" t="n"/>
      <c r="AJ59" s="46" t="n"/>
      <c r="AK59" s="46" t="n"/>
      <c r="AL59" s="46" t="n"/>
      <c r="AM59" s="46" t="n"/>
      <c r="AN59" s="46" t="n"/>
      <c r="AO59" s="46" t="n"/>
      <c r="AP59" s="46" t="n"/>
      <c r="AQ59" s="46" t="n"/>
      <c r="AR59" s="46" t="n"/>
      <c r="AS59" s="46" t="n"/>
      <c r="AT59" s="46" t="n"/>
      <c r="AU59" s="46" t="n"/>
      <c r="AV59" s="46" t="n"/>
      <c r="AW59" s="46" t="n"/>
      <c r="AX59" s="46" t="n"/>
      <c r="AY59" s="46" t="n"/>
      <c r="AZ59" s="46" t="n"/>
      <c r="BA59" s="46" t="n"/>
      <c r="BB59" s="46" t="n"/>
      <c r="BC59" s="46" t="n"/>
      <c r="BD59" s="46" t="n"/>
      <c r="BE59" s="46" t="n"/>
      <c r="BF59" s="46" t="n"/>
      <c r="BG59" s="46" t="n"/>
      <c r="BH59" s="46" t="n"/>
      <c r="BI59" s="46" t="n"/>
      <c r="BJ59" s="46" t="n"/>
      <c r="BK59" s="46" t="n"/>
      <c r="BL59" s="46" t="n"/>
      <c r="BM59" s="46" t="n"/>
      <c r="BN59" s="46" t="n"/>
      <c r="BO59" s="46" t="n"/>
      <c r="BP59" s="46" t="n"/>
      <c r="BQ59" s="46" t="n"/>
      <c r="BR59" s="46" t="n"/>
      <c r="BS59" s="46" t="n"/>
      <c r="BT59" s="46" t="n"/>
      <c r="BU59" s="46" t="n"/>
      <c r="BV59" s="46" t="n"/>
      <c r="BW59" s="46" t="n"/>
      <c r="BX59" s="46" t="n"/>
      <c r="BY59" s="46" t="n"/>
      <c r="BZ59" s="46" t="n"/>
      <c r="CA59" s="46" t="n"/>
      <c r="CB59" s="46" t="n"/>
      <c r="CC59" s="46" t="n"/>
      <c r="CD59" s="46" t="n"/>
      <c r="CE59" s="46" t="n"/>
      <c r="CF59" s="46" t="n"/>
      <c r="CG59" s="46" t="n"/>
      <c r="CH59" s="46" t="n"/>
      <c r="CI59" s="46" t="n"/>
      <c r="CJ59" s="46" t="n"/>
      <c r="CK59" s="46" t="n"/>
      <c r="CL59" s="46" t="n"/>
      <c r="CM59" s="46" t="n"/>
      <c r="CN59" s="46" t="n"/>
      <c r="CO59" s="46" t="n"/>
      <c r="CP59" s="46" t="n"/>
      <c r="CQ59" s="46" t="n"/>
      <c r="CR59" s="46" t="n"/>
      <c r="CS59" s="46" t="n"/>
      <c r="CT59" s="46" t="n"/>
      <c r="CU59" s="46" t="n"/>
      <c r="CV59" s="46" t="n"/>
      <c r="CW59" s="46" t="n"/>
      <c r="CX59" s="46" t="n"/>
      <c r="CY59" s="46" t="n"/>
      <c r="CZ59" s="46" t="n"/>
      <c r="DA59" s="46" t="n"/>
      <c r="DB59" s="46" t="n"/>
      <c r="DC59" s="46" t="n"/>
      <c r="DD59" s="46" t="n"/>
      <c r="DE59" s="46" t="n"/>
      <c r="DF59" s="46" t="n"/>
      <c r="DG59" s="46" t="n"/>
      <c r="DH59" s="46" t="n"/>
      <c r="DI59" s="46" t="n"/>
      <c r="DJ59" s="46" t="n"/>
      <c r="DK59" s="46" t="n"/>
      <c r="DL59" s="46" t="n"/>
      <c r="DM59" s="46" t="n"/>
      <c r="DN59" s="46" t="n"/>
      <c r="DO59" s="46" t="n"/>
      <c r="DP59" s="46" t="n"/>
      <c r="DQ59" s="46" t="n"/>
      <c r="DR59" s="46" t="n"/>
      <c r="DS59" s="46" t="n"/>
      <c r="DT59" s="46" t="n"/>
      <c r="DU59" s="46" t="n"/>
      <c r="DV59" s="46" t="n"/>
      <c r="DW59" s="46" t="n"/>
      <c r="DX59" s="46" t="n"/>
      <c r="DY59" s="46" t="n"/>
      <c r="DZ59" s="46" t="n"/>
      <c r="EA59" s="46" t="n"/>
      <c r="EB59" s="46" t="n"/>
      <c r="EC59" s="46" t="n"/>
      <c r="ED59" s="46" t="n"/>
      <c r="EE59" s="46" t="n"/>
      <c r="EF59" s="46" t="n"/>
      <c r="EG59" s="46" t="n"/>
      <c r="EH59" s="46" t="n"/>
      <c r="EI59" s="46" t="n"/>
      <c r="EJ59" s="46" t="n"/>
      <c r="EK59" s="46" t="n"/>
      <c r="EL59" s="46" t="n"/>
      <c r="EM59" s="46" t="n"/>
      <c r="EN59" s="46" t="n"/>
      <c r="EO59" s="46" t="n"/>
      <c r="EP59" s="46" t="n"/>
      <c r="EQ59" s="46" t="n"/>
      <c r="ER59" s="46" t="n"/>
      <c r="ES59" s="46" t="n"/>
      <c r="ET59" s="46" t="n"/>
      <c r="EU59" s="46" t="n"/>
      <c r="EV59" s="46" t="n"/>
      <c r="EW59" s="46" t="n"/>
      <c r="EX59" s="46" t="n"/>
      <c r="EY59" s="46" t="n"/>
      <c r="EZ59" s="46" t="n"/>
      <c r="FA59" s="46" t="n"/>
      <c r="FB59" s="46" t="n"/>
      <c r="FC59" s="46" t="n"/>
      <c r="FD59" s="46" t="n"/>
      <c r="FE59" s="46" t="n"/>
      <c r="FF59" s="46" t="n"/>
      <c r="FG59" s="46" t="n"/>
      <c r="FH59" s="46" t="n"/>
      <c r="FI59" s="46" t="n"/>
      <c r="FJ59" s="46" t="n"/>
      <c r="FK59" s="46" t="n"/>
      <c r="FL59" s="46" t="n"/>
      <c r="FM59" s="46" t="n"/>
      <c r="FN59" s="46" t="n"/>
    </row>
    <row r="60" ht="15" customFormat="1" customHeight="1" s="50">
      <c r="A60" s="49" t="n">
        <v>43800</v>
      </c>
      <c r="B60" s="43" t="n"/>
      <c r="C60" s="43" t="n">
        <v>176.638</v>
      </c>
      <c r="D60" s="44" t="n"/>
      <c r="E60" s="45" t="n"/>
      <c r="F60" s="46" t="n"/>
      <c r="G60" s="43" t="n">
        <v>98.58499999999999</v>
      </c>
      <c r="H60" s="43" t="n">
        <v>45.23914979474793</v>
      </c>
      <c r="I60" s="47">
        <f>G60/C60</f>
        <v/>
      </c>
      <c r="J60" s="46" t="n"/>
      <c r="K60" s="46" t="n">
        <v>146.68</v>
      </c>
      <c r="L60" s="46" t="n">
        <v>108.757</v>
      </c>
      <c r="M60" s="46" t="n">
        <v>104.895</v>
      </c>
      <c r="N60" s="45">
        <f>1-(M60/L60)</f>
        <v/>
      </c>
      <c r="O60" s="46" t="n">
        <v>149.171</v>
      </c>
      <c r="P60" s="46" t="n">
        <v>37.28</v>
      </c>
      <c r="Q60" s="46" t="n">
        <v>93.46899999999999</v>
      </c>
      <c r="R60" s="47">
        <f>K60/2/C60</f>
        <v/>
      </c>
      <c r="S60" s="46" t="n"/>
      <c r="T60" s="45">
        <f>R60+I60</f>
        <v/>
      </c>
      <c r="U60" s="46" t="n"/>
      <c r="V60" s="46" t="n"/>
      <c r="W60" s="46" t="n"/>
      <c r="X60" s="46" t="n"/>
      <c r="Y60" s="46" t="n"/>
      <c r="Z60" s="46" t="n"/>
      <c r="AA60" s="46" t="n"/>
      <c r="AB60" s="46" t="n"/>
      <c r="AC60" s="46" t="n"/>
      <c r="AD60" s="46" t="n"/>
      <c r="AE60" s="46" t="n"/>
      <c r="AF60" s="46" t="n"/>
      <c r="AG60" s="46" t="n"/>
      <c r="AH60" s="46" t="n"/>
      <c r="AI60" s="46" t="n"/>
      <c r="AJ60" s="46" t="n"/>
      <c r="AK60" s="46" t="n"/>
      <c r="AL60" s="46" t="n"/>
      <c r="AM60" s="46" t="n"/>
      <c r="AN60" s="46" t="n"/>
      <c r="AO60" s="46" t="n"/>
      <c r="AP60" s="46" t="n"/>
      <c r="AQ60" s="46" t="n"/>
      <c r="AR60" s="46" t="n"/>
      <c r="AS60" s="46" t="n"/>
      <c r="AT60" s="46" t="n"/>
      <c r="AU60" s="46" t="n"/>
      <c r="AV60" s="46" t="n"/>
      <c r="AW60" s="46" t="n"/>
      <c r="AX60" s="46" t="n"/>
      <c r="AY60" s="46" t="n"/>
      <c r="AZ60" s="46" t="n"/>
      <c r="BA60" s="46" t="n"/>
      <c r="BB60" s="46" t="n"/>
      <c r="BC60" s="46" t="n"/>
      <c r="BD60" s="46" t="n"/>
      <c r="BE60" s="46" t="n"/>
      <c r="BF60" s="46" t="n"/>
      <c r="BG60" s="46" t="n"/>
      <c r="BH60" s="46" t="n"/>
      <c r="BI60" s="46" t="n"/>
      <c r="BJ60" s="46" t="n"/>
      <c r="BK60" s="46" t="n"/>
      <c r="BL60" s="46" t="n"/>
      <c r="BM60" s="46" t="n"/>
      <c r="BN60" s="46" t="n"/>
      <c r="BO60" s="46" t="n"/>
      <c r="BP60" s="46" t="n"/>
      <c r="BQ60" s="46" t="n"/>
      <c r="BR60" s="46" t="n"/>
      <c r="BS60" s="46" t="n"/>
      <c r="BT60" s="46" t="n"/>
      <c r="BU60" s="46" t="n"/>
      <c r="BV60" s="46" t="n"/>
      <c r="BW60" s="46" t="n"/>
      <c r="BX60" s="46" t="n"/>
      <c r="BY60" s="46" t="n"/>
      <c r="BZ60" s="46" t="n"/>
      <c r="CA60" s="46" t="n"/>
      <c r="CB60" s="46" t="n"/>
      <c r="CC60" s="46" t="n"/>
      <c r="CD60" s="46" t="n"/>
      <c r="CE60" s="46" t="n"/>
      <c r="CF60" s="46" t="n"/>
      <c r="CG60" s="46" t="n"/>
      <c r="CH60" s="46" t="n"/>
      <c r="CI60" s="46" t="n"/>
      <c r="CJ60" s="46" t="n"/>
      <c r="CK60" s="46" t="n"/>
      <c r="CL60" s="46" t="n"/>
      <c r="CM60" s="46" t="n"/>
      <c r="CN60" s="46" t="n"/>
      <c r="CO60" s="46" t="n"/>
      <c r="CP60" s="46" t="n"/>
      <c r="CQ60" s="46" t="n"/>
      <c r="CR60" s="46" t="n"/>
      <c r="CS60" s="46" t="n"/>
      <c r="CT60" s="46" t="n"/>
      <c r="CU60" s="46" t="n"/>
      <c r="CV60" s="46" t="n"/>
      <c r="CW60" s="46" t="n"/>
      <c r="CX60" s="46" t="n"/>
      <c r="CY60" s="46" t="n"/>
      <c r="CZ60" s="46" t="n"/>
      <c r="DA60" s="46" t="n"/>
      <c r="DB60" s="46" t="n"/>
      <c r="DC60" s="46" t="n"/>
      <c r="DD60" s="46" t="n"/>
      <c r="DE60" s="46" t="n"/>
      <c r="DF60" s="46" t="n"/>
      <c r="DG60" s="46" t="n"/>
      <c r="DH60" s="46" t="n"/>
      <c r="DI60" s="46" t="n"/>
      <c r="DJ60" s="46" t="n"/>
      <c r="DK60" s="46" t="n"/>
      <c r="DL60" s="46" t="n"/>
      <c r="DM60" s="46" t="n"/>
      <c r="DN60" s="46" t="n"/>
      <c r="DO60" s="46" t="n"/>
      <c r="DP60" s="46" t="n"/>
      <c r="DQ60" s="46" t="n"/>
      <c r="DR60" s="46" t="n"/>
      <c r="DS60" s="46" t="n"/>
      <c r="DT60" s="46" t="n"/>
      <c r="DU60" s="46" t="n"/>
      <c r="DV60" s="46" t="n"/>
      <c r="DW60" s="46" t="n"/>
      <c r="DX60" s="46" t="n"/>
      <c r="DY60" s="46" t="n"/>
      <c r="DZ60" s="46" t="n"/>
      <c r="EA60" s="46" t="n"/>
      <c r="EB60" s="46" t="n"/>
      <c r="EC60" s="46" t="n"/>
      <c r="ED60" s="46" t="n"/>
      <c r="EE60" s="46" t="n"/>
      <c r="EF60" s="46" t="n"/>
      <c r="EG60" s="46" t="n"/>
      <c r="EH60" s="46" t="n"/>
      <c r="EI60" s="46" t="n"/>
      <c r="EJ60" s="46" t="n"/>
      <c r="EK60" s="46" t="n"/>
      <c r="EL60" s="46" t="n"/>
      <c r="EM60" s="46" t="n"/>
      <c r="EN60" s="46" t="n"/>
      <c r="EO60" s="46" t="n"/>
      <c r="EP60" s="46" t="n"/>
      <c r="EQ60" s="46" t="n"/>
      <c r="ER60" s="46" t="n"/>
      <c r="ES60" s="46" t="n"/>
      <c r="ET60" s="46" t="n"/>
      <c r="EU60" s="46" t="n"/>
      <c r="EV60" s="46" t="n"/>
      <c r="EW60" s="46" t="n"/>
      <c r="EX60" s="46" t="n"/>
      <c r="EY60" s="46" t="n"/>
      <c r="EZ60" s="46" t="n"/>
      <c r="FA60" s="46" t="n"/>
      <c r="FB60" s="46" t="n"/>
      <c r="FC60" s="46" t="n"/>
      <c r="FD60" s="46" t="n"/>
      <c r="FE60" s="46" t="n"/>
      <c r="FF60" s="46" t="n"/>
      <c r="FG60" s="46" t="n"/>
      <c r="FH60" s="46" t="n"/>
      <c r="FI60" s="46" t="n"/>
      <c r="FJ60" s="46" t="n"/>
      <c r="FK60" s="46" t="n"/>
      <c r="FL60" s="46" t="n"/>
      <c r="FM60" s="46" t="n"/>
      <c r="FN60" s="46" t="n"/>
    </row>
    <row r="61" ht="15" customFormat="1" customHeight="1" s="50">
      <c r="A61" s="49" t="n">
        <v>43831</v>
      </c>
      <c r="B61" s="43" t="n"/>
      <c r="C61" s="43" t="n">
        <v>167.209</v>
      </c>
      <c r="D61" s="44" t="n"/>
      <c r="E61" s="45" t="n"/>
      <c r="F61" s="46" t="n"/>
      <c r="G61" s="43" t="n">
        <v>94.339</v>
      </c>
      <c r="H61" s="43" t="n">
        <v>45.57268993057043</v>
      </c>
      <c r="I61" s="47">
        <f>G61/C61</f>
        <v/>
      </c>
      <c r="J61" s="46" t="n"/>
      <c r="K61" s="46" t="n">
        <v>139.259</v>
      </c>
      <c r="L61" s="46" t="n">
        <v>103.581</v>
      </c>
      <c r="M61" s="46" t="n">
        <v>100.61</v>
      </c>
      <c r="N61" s="45">
        <f>1-(M61/L61)</f>
        <v/>
      </c>
      <c r="O61" s="46" t="n">
        <v>161.23</v>
      </c>
      <c r="P61" s="46" t="n">
        <v>48.991</v>
      </c>
      <c r="Q61" s="46" t="n">
        <v>85.492</v>
      </c>
      <c r="R61" s="47">
        <f>K61/2/C61</f>
        <v/>
      </c>
      <c r="S61" s="46" t="n"/>
      <c r="T61" s="45">
        <f>R61+I61</f>
        <v/>
      </c>
      <c r="U61" s="46" t="n"/>
      <c r="V61" s="46" t="n"/>
      <c r="W61" s="46" t="n"/>
      <c r="X61" s="46" t="n"/>
      <c r="Y61" s="46" t="n"/>
      <c r="Z61" s="46" t="n"/>
      <c r="AA61" s="46" t="n"/>
      <c r="AB61" s="46" t="n"/>
      <c r="AC61" s="46" t="n"/>
      <c r="AD61" s="46" t="n"/>
      <c r="AE61" s="46" t="n"/>
      <c r="AF61" s="46" t="n"/>
      <c r="AG61" s="46" t="n"/>
      <c r="AH61" s="46" t="n"/>
      <c r="AI61" s="46" t="n"/>
      <c r="AJ61" s="46" t="n"/>
      <c r="AK61" s="46" t="n"/>
      <c r="AL61" s="46" t="n"/>
      <c r="AM61" s="46" t="n"/>
      <c r="AN61" s="46" t="n"/>
      <c r="AO61" s="46" t="n"/>
      <c r="AP61" s="46" t="n"/>
      <c r="AQ61" s="46" t="n"/>
      <c r="AR61" s="46" t="n"/>
      <c r="AS61" s="46" t="n"/>
      <c r="AT61" s="46" t="n"/>
      <c r="AU61" s="46" t="n"/>
      <c r="AV61" s="46" t="n"/>
      <c r="AW61" s="46" t="n"/>
      <c r="AX61" s="46" t="n"/>
      <c r="AY61" s="46" t="n"/>
      <c r="AZ61" s="46" t="n"/>
      <c r="BA61" s="46" t="n"/>
      <c r="BB61" s="46" t="n"/>
      <c r="BC61" s="46" t="n"/>
      <c r="BD61" s="46" t="n"/>
      <c r="BE61" s="46" t="n"/>
      <c r="BF61" s="46" t="n"/>
      <c r="BG61" s="46" t="n"/>
      <c r="BH61" s="46" t="n"/>
      <c r="BI61" s="46" t="n"/>
      <c r="BJ61" s="46" t="n"/>
      <c r="BK61" s="46" t="n"/>
      <c r="BL61" s="46" t="n"/>
      <c r="BM61" s="46" t="n"/>
      <c r="BN61" s="46" t="n"/>
      <c r="BO61" s="46" t="n"/>
      <c r="BP61" s="46" t="n"/>
      <c r="BQ61" s="46" t="n"/>
      <c r="BR61" s="46" t="n"/>
      <c r="BS61" s="46" t="n"/>
      <c r="BT61" s="46" t="n"/>
      <c r="BU61" s="46" t="n"/>
      <c r="BV61" s="46" t="n"/>
      <c r="BW61" s="46" t="n"/>
      <c r="BX61" s="46" t="n"/>
      <c r="BY61" s="46" t="n"/>
      <c r="BZ61" s="46" t="n"/>
      <c r="CA61" s="46" t="n"/>
      <c r="CB61" s="46" t="n"/>
      <c r="CC61" s="46" t="n"/>
      <c r="CD61" s="46" t="n"/>
      <c r="CE61" s="46" t="n"/>
      <c r="CF61" s="46" t="n"/>
      <c r="CG61" s="46" t="n"/>
      <c r="CH61" s="46" t="n"/>
      <c r="CI61" s="46" t="n"/>
      <c r="CJ61" s="46" t="n"/>
      <c r="CK61" s="46" t="n"/>
      <c r="CL61" s="46" t="n"/>
      <c r="CM61" s="46" t="n"/>
      <c r="CN61" s="46" t="n"/>
      <c r="CO61" s="46" t="n"/>
      <c r="CP61" s="46" t="n"/>
      <c r="CQ61" s="46" t="n"/>
      <c r="CR61" s="46" t="n"/>
      <c r="CS61" s="46" t="n"/>
      <c r="CT61" s="46" t="n"/>
      <c r="CU61" s="46" t="n"/>
      <c r="CV61" s="46" t="n"/>
      <c r="CW61" s="46" t="n"/>
      <c r="CX61" s="46" t="n"/>
      <c r="CY61" s="46" t="n"/>
      <c r="CZ61" s="46" t="n"/>
      <c r="DA61" s="46" t="n"/>
      <c r="DB61" s="46" t="n"/>
      <c r="DC61" s="46" t="n"/>
      <c r="DD61" s="46" t="n"/>
      <c r="DE61" s="46" t="n"/>
      <c r="DF61" s="46" t="n"/>
      <c r="DG61" s="46" t="n"/>
      <c r="DH61" s="46" t="n"/>
      <c r="DI61" s="46" t="n"/>
      <c r="DJ61" s="46" t="n"/>
      <c r="DK61" s="46" t="n"/>
      <c r="DL61" s="46" t="n"/>
      <c r="DM61" s="46" t="n"/>
      <c r="DN61" s="46" t="n"/>
      <c r="DO61" s="46" t="n"/>
      <c r="DP61" s="46" t="n"/>
      <c r="DQ61" s="46" t="n"/>
      <c r="DR61" s="46" t="n"/>
      <c r="DS61" s="46" t="n"/>
      <c r="DT61" s="46" t="n"/>
      <c r="DU61" s="46" t="n"/>
      <c r="DV61" s="46" t="n"/>
      <c r="DW61" s="46" t="n"/>
      <c r="DX61" s="46" t="n"/>
      <c r="DY61" s="46" t="n"/>
      <c r="DZ61" s="46" t="n"/>
      <c r="EA61" s="46" t="n"/>
      <c r="EB61" s="46" t="n"/>
      <c r="EC61" s="46" t="n"/>
      <c r="ED61" s="46" t="n"/>
      <c r="EE61" s="46" t="n"/>
      <c r="EF61" s="46" t="n"/>
      <c r="EG61" s="46" t="n"/>
      <c r="EH61" s="46" t="n"/>
      <c r="EI61" s="46" t="n"/>
      <c r="EJ61" s="46" t="n"/>
      <c r="EK61" s="46" t="n"/>
      <c r="EL61" s="46" t="n"/>
      <c r="EM61" s="46" t="n"/>
      <c r="EN61" s="46" t="n"/>
      <c r="EO61" s="46" t="n"/>
      <c r="EP61" s="46" t="n"/>
      <c r="EQ61" s="46" t="n"/>
      <c r="ER61" s="46" t="n"/>
      <c r="ES61" s="46" t="n"/>
      <c r="ET61" s="46" t="n"/>
      <c r="EU61" s="46" t="n"/>
      <c r="EV61" s="46" t="n"/>
      <c r="EW61" s="46" t="n"/>
      <c r="EX61" s="46" t="n"/>
      <c r="EY61" s="46" t="n"/>
      <c r="EZ61" s="46" t="n"/>
      <c r="FA61" s="46" t="n"/>
      <c r="FB61" s="46" t="n"/>
      <c r="FC61" s="46" t="n"/>
      <c r="FD61" s="46" t="n"/>
      <c r="FE61" s="46" t="n"/>
      <c r="FF61" s="46" t="n"/>
      <c r="FG61" s="46" t="n"/>
      <c r="FH61" s="46" t="n"/>
      <c r="FI61" s="46" t="n"/>
      <c r="FJ61" s="46" t="n"/>
      <c r="FK61" s="46" t="n"/>
      <c r="FL61" s="46" t="n"/>
      <c r="FM61" s="46" t="n"/>
      <c r="FN61" s="46" t="n"/>
    </row>
    <row r="62" ht="15" customFormat="1" customHeight="1" s="50">
      <c r="A62" s="49" t="n">
        <v>43862</v>
      </c>
      <c r="B62" s="43" t="n"/>
      <c r="C62" s="43" t="n">
        <v>175.341</v>
      </c>
      <c r="D62" s="44" t="n"/>
      <c r="E62" s="45" t="n"/>
      <c r="F62" s="46" t="n"/>
      <c r="G62" s="43" t="n">
        <v>97.233</v>
      </c>
      <c r="H62" s="43" t="n">
        <v>45.35206158559359</v>
      </c>
      <c r="I62" s="47">
        <f>G62/C62</f>
        <v/>
      </c>
      <c r="J62" s="46" t="n"/>
      <c r="K62" s="46" t="n">
        <v>146.789</v>
      </c>
      <c r="L62" s="46" t="n">
        <v>145.032</v>
      </c>
      <c r="M62" s="46" t="n">
        <v>140.223</v>
      </c>
      <c r="N62" s="45">
        <f>1-(M62/L62)</f>
        <v/>
      </c>
      <c r="O62" s="46" t="n">
        <v>139.858</v>
      </c>
      <c r="P62" s="46" t="n">
        <v>50.342</v>
      </c>
      <c r="Q62" s="46" t="n">
        <v>91.78100000000001</v>
      </c>
      <c r="R62" s="47">
        <f>K62/2/C62</f>
        <v/>
      </c>
      <c r="S62" s="46" t="n"/>
      <c r="T62" s="45">
        <f>R62+I62</f>
        <v/>
      </c>
      <c r="U62" s="46" t="n"/>
      <c r="V62" s="46" t="n"/>
      <c r="W62" s="46" t="n"/>
      <c r="X62" s="46" t="n"/>
      <c r="Y62" s="46" t="n"/>
      <c r="Z62" s="46" t="n"/>
      <c r="AA62" s="46" t="n"/>
      <c r="AB62" s="46" t="n"/>
      <c r="AC62" s="46" t="n"/>
      <c r="AD62" s="46" t="n"/>
      <c r="AE62" s="46" t="n"/>
      <c r="AF62" s="46" t="n"/>
      <c r="AG62" s="46" t="n"/>
      <c r="AH62" s="46" t="n"/>
      <c r="AI62" s="46" t="n"/>
      <c r="AJ62" s="46" t="n"/>
      <c r="AK62" s="46" t="n"/>
      <c r="AL62" s="46" t="n"/>
      <c r="AM62" s="46" t="n"/>
      <c r="AN62" s="46" t="n"/>
      <c r="AO62" s="46" t="n"/>
      <c r="AP62" s="46" t="n"/>
      <c r="AQ62" s="46" t="n"/>
      <c r="AR62" s="46" t="n"/>
      <c r="AS62" s="46" t="n"/>
      <c r="AT62" s="46" t="n"/>
      <c r="AU62" s="46" t="n"/>
      <c r="AV62" s="46" t="n"/>
      <c r="AW62" s="46" t="n"/>
      <c r="AX62" s="46" t="n"/>
      <c r="AY62" s="46" t="n"/>
      <c r="AZ62" s="46" t="n"/>
      <c r="BA62" s="46" t="n"/>
      <c r="BB62" s="46" t="n"/>
      <c r="BC62" s="46" t="n"/>
      <c r="BD62" s="46" t="n"/>
      <c r="BE62" s="46" t="n"/>
      <c r="BF62" s="46" t="n"/>
      <c r="BG62" s="46" t="n"/>
      <c r="BH62" s="46" t="n"/>
      <c r="BI62" s="46" t="n"/>
      <c r="BJ62" s="46" t="n"/>
      <c r="BK62" s="46" t="n"/>
      <c r="BL62" s="46" t="n"/>
      <c r="BM62" s="46" t="n"/>
      <c r="BN62" s="46" t="n"/>
      <c r="BO62" s="46" t="n"/>
      <c r="BP62" s="46" t="n"/>
      <c r="BQ62" s="46" t="n"/>
      <c r="BR62" s="46" t="n"/>
      <c r="BS62" s="46" t="n"/>
      <c r="BT62" s="46" t="n"/>
      <c r="BU62" s="46" t="n"/>
      <c r="BV62" s="46" t="n"/>
      <c r="BW62" s="46" t="n"/>
      <c r="BX62" s="46" t="n"/>
      <c r="BY62" s="46" t="n"/>
      <c r="BZ62" s="46" t="n"/>
      <c r="CA62" s="46" t="n"/>
      <c r="CB62" s="46" t="n"/>
      <c r="CC62" s="46" t="n"/>
      <c r="CD62" s="46" t="n"/>
      <c r="CE62" s="46" t="n"/>
      <c r="CF62" s="46" t="n"/>
      <c r="CG62" s="46" t="n"/>
      <c r="CH62" s="46" t="n"/>
      <c r="CI62" s="46" t="n"/>
      <c r="CJ62" s="46" t="n"/>
      <c r="CK62" s="46" t="n"/>
      <c r="CL62" s="46" t="n"/>
      <c r="CM62" s="46" t="n"/>
      <c r="CN62" s="46" t="n"/>
      <c r="CO62" s="46" t="n"/>
      <c r="CP62" s="46" t="n"/>
      <c r="CQ62" s="46" t="n"/>
      <c r="CR62" s="46" t="n"/>
      <c r="CS62" s="46" t="n"/>
      <c r="CT62" s="46" t="n"/>
      <c r="CU62" s="46" t="n"/>
      <c r="CV62" s="46" t="n"/>
      <c r="CW62" s="46" t="n"/>
      <c r="CX62" s="46" t="n"/>
      <c r="CY62" s="46" t="n"/>
      <c r="CZ62" s="46" t="n"/>
      <c r="DA62" s="46" t="n"/>
      <c r="DB62" s="46" t="n"/>
      <c r="DC62" s="46" t="n"/>
      <c r="DD62" s="46" t="n"/>
      <c r="DE62" s="46" t="n"/>
      <c r="DF62" s="46" t="n"/>
      <c r="DG62" s="46" t="n"/>
      <c r="DH62" s="46" t="n"/>
      <c r="DI62" s="46" t="n"/>
      <c r="DJ62" s="46" t="n"/>
      <c r="DK62" s="46" t="n"/>
      <c r="DL62" s="46" t="n"/>
      <c r="DM62" s="46" t="n"/>
      <c r="DN62" s="46" t="n"/>
      <c r="DO62" s="46" t="n"/>
      <c r="DP62" s="46" t="n"/>
      <c r="DQ62" s="46" t="n"/>
      <c r="DR62" s="46" t="n"/>
      <c r="DS62" s="46" t="n"/>
      <c r="DT62" s="46" t="n"/>
      <c r="DU62" s="46" t="n"/>
      <c r="DV62" s="46" t="n"/>
      <c r="DW62" s="46" t="n"/>
      <c r="DX62" s="46" t="n"/>
      <c r="DY62" s="46" t="n"/>
      <c r="DZ62" s="46" t="n"/>
      <c r="EA62" s="46" t="n"/>
      <c r="EB62" s="46" t="n"/>
      <c r="EC62" s="46" t="n"/>
      <c r="ED62" s="46" t="n"/>
      <c r="EE62" s="46" t="n"/>
      <c r="EF62" s="46" t="n"/>
      <c r="EG62" s="46" t="n"/>
      <c r="EH62" s="46" t="n"/>
      <c r="EI62" s="46" t="n"/>
      <c r="EJ62" s="46" t="n"/>
      <c r="EK62" s="46" t="n"/>
      <c r="EL62" s="46" t="n"/>
      <c r="EM62" s="46" t="n"/>
      <c r="EN62" s="46" t="n"/>
      <c r="EO62" s="46" t="n"/>
      <c r="EP62" s="46" t="n"/>
      <c r="EQ62" s="46" t="n"/>
      <c r="ER62" s="46" t="n"/>
      <c r="ES62" s="46" t="n"/>
      <c r="ET62" s="46" t="n"/>
      <c r="EU62" s="46" t="n"/>
      <c r="EV62" s="46" t="n"/>
      <c r="EW62" s="46" t="n"/>
      <c r="EX62" s="46" t="n"/>
      <c r="EY62" s="46" t="n"/>
      <c r="EZ62" s="46" t="n"/>
      <c r="FA62" s="46" t="n"/>
      <c r="FB62" s="46" t="n"/>
      <c r="FC62" s="46" t="n"/>
      <c r="FD62" s="46" t="n"/>
      <c r="FE62" s="46" t="n"/>
      <c r="FF62" s="46" t="n"/>
      <c r="FG62" s="46" t="n"/>
      <c r="FH62" s="46" t="n"/>
      <c r="FI62" s="46" t="n"/>
      <c r="FJ62" s="46" t="n"/>
      <c r="FK62" s="46" t="n"/>
      <c r="FL62" s="46" t="n"/>
      <c r="FM62" s="46" t="n"/>
      <c r="FN62" s="46" t="n"/>
    </row>
    <row r="63" ht="15" customFormat="1" customHeight="1" s="50">
      <c r="A63" s="49" t="n">
        <v>43891</v>
      </c>
      <c r="B63" s="43" t="n"/>
      <c r="C63" s="43" t="n">
        <v>187.954</v>
      </c>
      <c r="D63" s="44" t="n"/>
      <c r="E63" s="45" t="n"/>
      <c r="F63" s="46" t="n"/>
      <c r="G63" s="43" t="n">
        <v>104.055</v>
      </c>
      <c r="H63" s="43" t="n">
        <v>44.9141988386929</v>
      </c>
      <c r="I63" s="47">
        <f>G63/C63</f>
        <v/>
      </c>
      <c r="J63" s="46" t="n"/>
      <c r="K63" s="46" t="n">
        <v>160.872</v>
      </c>
      <c r="L63" s="46" t="n">
        <v>126.796</v>
      </c>
      <c r="M63" s="46" t="n">
        <v>122.378</v>
      </c>
      <c r="N63" s="45">
        <f>1-(M63/L63)</f>
        <v/>
      </c>
      <c r="O63" s="46" t="n">
        <v>163.284</v>
      </c>
      <c r="P63" s="46" t="n">
        <v>59.058</v>
      </c>
      <c r="Q63" s="46" t="n">
        <v>74.60899999999999</v>
      </c>
      <c r="R63" s="47">
        <f>K63/2/C63</f>
        <v/>
      </c>
      <c r="S63" s="46" t="n"/>
      <c r="T63" s="45">
        <f>R63+I63</f>
        <v/>
      </c>
      <c r="U63" s="46" t="n"/>
      <c r="V63" s="46" t="n"/>
      <c r="W63" s="46" t="n"/>
      <c r="X63" s="46" t="n"/>
      <c r="Y63" s="46" t="n"/>
      <c r="Z63" s="46" t="n"/>
      <c r="AA63" s="46" t="n"/>
      <c r="AB63" s="46" t="n"/>
      <c r="AC63" s="46" t="n"/>
      <c r="AD63" s="46" t="n"/>
      <c r="AE63" s="46" t="n"/>
      <c r="AF63" s="46" t="n"/>
      <c r="AG63" s="46" t="n"/>
      <c r="AH63" s="46" t="n"/>
      <c r="AI63" s="46" t="n"/>
      <c r="AJ63" s="46" t="n"/>
      <c r="AK63" s="46" t="n"/>
      <c r="AL63" s="46" t="n"/>
      <c r="AM63" s="46" t="n"/>
      <c r="AN63" s="46" t="n"/>
      <c r="AO63" s="46" t="n"/>
      <c r="AP63" s="46" t="n"/>
      <c r="AQ63" s="46" t="n"/>
      <c r="AR63" s="46" t="n"/>
      <c r="AS63" s="46" t="n"/>
      <c r="AT63" s="46" t="n"/>
      <c r="AU63" s="46" t="n"/>
      <c r="AV63" s="46" t="n"/>
      <c r="AW63" s="46" t="n"/>
      <c r="AX63" s="46" t="n"/>
      <c r="AY63" s="46" t="n"/>
      <c r="AZ63" s="46" t="n"/>
      <c r="BA63" s="46" t="n"/>
      <c r="BB63" s="46" t="n"/>
      <c r="BC63" s="46" t="n"/>
      <c r="BD63" s="46" t="n"/>
      <c r="BE63" s="46" t="n"/>
      <c r="BF63" s="46" t="n"/>
      <c r="BG63" s="46" t="n"/>
      <c r="BH63" s="46" t="n"/>
      <c r="BI63" s="46" t="n"/>
      <c r="BJ63" s="46" t="n"/>
      <c r="BK63" s="46" t="n"/>
      <c r="BL63" s="46" t="n"/>
      <c r="BM63" s="46" t="n"/>
      <c r="BN63" s="46" t="n"/>
      <c r="BO63" s="46" t="n"/>
      <c r="BP63" s="46" t="n"/>
      <c r="BQ63" s="46" t="n"/>
      <c r="BR63" s="46" t="n"/>
      <c r="BS63" s="46" t="n"/>
      <c r="BT63" s="46" t="n"/>
      <c r="BU63" s="46" t="n"/>
      <c r="BV63" s="46" t="n"/>
      <c r="BW63" s="46" t="n"/>
      <c r="BX63" s="46" t="n"/>
      <c r="BY63" s="46" t="n"/>
      <c r="BZ63" s="46" t="n"/>
      <c r="CA63" s="46" t="n"/>
      <c r="CB63" s="46" t="n"/>
      <c r="CC63" s="46" t="n"/>
      <c r="CD63" s="46" t="n"/>
      <c r="CE63" s="46" t="n"/>
      <c r="CF63" s="46" t="n"/>
      <c r="CG63" s="46" t="n"/>
      <c r="CH63" s="46" t="n"/>
      <c r="CI63" s="46" t="n"/>
      <c r="CJ63" s="46" t="n"/>
      <c r="CK63" s="46" t="n"/>
      <c r="CL63" s="46" t="n"/>
      <c r="CM63" s="46" t="n"/>
      <c r="CN63" s="46" t="n"/>
      <c r="CO63" s="46" t="n"/>
      <c r="CP63" s="46" t="n"/>
      <c r="CQ63" s="46" t="n"/>
      <c r="CR63" s="46" t="n"/>
      <c r="CS63" s="46" t="n"/>
      <c r="CT63" s="46" t="n"/>
      <c r="CU63" s="46" t="n"/>
      <c r="CV63" s="46" t="n"/>
      <c r="CW63" s="46" t="n"/>
      <c r="CX63" s="46" t="n"/>
      <c r="CY63" s="46" t="n"/>
      <c r="CZ63" s="46" t="n"/>
      <c r="DA63" s="46" t="n"/>
      <c r="DB63" s="46" t="n"/>
      <c r="DC63" s="46" t="n"/>
      <c r="DD63" s="46" t="n"/>
      <c r="DE63" s="46" t="n"/>
      <c r="DF63" s="46" t="n"/>
      <c r="DG63" s="46" t="n"/>
      <c r="DH63" s="46" t="n"/>
      <c r="DI63" s="46" t="n"/>
      <c r="DJ63" s="46" t="n"/>
      <c r="DK63" s="46" t="n"/>
      <c r="DL63" s="46" t="n"/>
      <c r="DM63" s="46" t="n"/>
      <c r="DN63" s="46" t="n"/>
      <c r="DO63" s="46" t="n"/>
      <c r="DP63" s="46" t="n"/>
      <c r="DQ63" s="46" t="n"/>
      <c r="DR63" s="46" t="n"/>
      <c r="DS63" s="46" t="n"/>
      <c r="DT63" s="46" t="n"/>
      <c r="DU63" s="46" t="n"/>
      <c r="DV63" s="46" t="n"/>
      <c r="DW63" s="46" t="n"/>
      <c r="DX63" s="46" t="n"/>
      <c r="DY63" s="46" t="n"/>
      <c r="DZ63" s="46" t="n"/>
      <c r="EA63" s="46" t="n"/>
      <c r="EB63" s="46" t="n"/>
      <c r="EC63" s="46" t="n"/>
      <c r="ED63" s="46" t="n"/>
      <c r="EE63" s="46" t="n"/>
      <c r="EF63" s="46" t="n"/>
      <c r="EG63" s="46" t="n"/>
      <c r="EH63" s="46" t="n"/>
      <c r="EI63" s="46" t="n"/>
      <c r="EJ63" s="46" t="n"/>
      <c r="EK63" s="46" t="n"/>
      <c r="EL63" s="46" t="n"/>
      <c r="EM63" s="46" t="n"/>
      <c r="EN63" s="46" t="n"/>
      <c r="EO63" s="46" t="n"/>
      <c r="EP63" s="46" t="n"/>
      <c r="EQ63" s="46" t="n"/>
      <c r="ER63" s="46" t="n"/>
      <c r="ES63" s="46" t="n"/>
      <c r="ET63" s="46" t="n"/>
      <c r="EU63" s="46" t="n"/>
      <c r="EV63" s="46" t="n"/>
      <c r="EW63" s="46" t="n"/>
      <c r="EX63" s="46" t="n"/>
      <c r="EY63" s="46" t="n"/>
      <c r="EZ63" s="46" t="n"/>
      <c r="FA63" s="46" t="n"/>
      <c r="FB63" s="46" t="n"/>
      <c r="FC63" s="46" t="n"/>
      <c r="FD63" s="46" t="n"/>
      <c r="FE63" s="46" t="n"/>
      <c r="FF63" s="46" t="n"/>
      <c r="FG63" s="46" t="n"/>
      <c r="FH63" s="46" t="n"/>
      <c r="FI63" s="46" t="n"/>
      <c r="FJ63" s="46" t="n"/>
      <c r="FK63" s="46" t="n"/>
      <c r="FL63" s="46" t="n"/>
      <c r="FM63" s="46" t="n"/>
      <c r="FN63" s="46" t="n"/>
    </row>
    <row r="64" ht="15" customFormat="1" customHeight="1" s="50">
      <c r="A64" s="49" t="n">
        <v>43922</v>
      </c>
      <c r="B64" s="43" t="n"/>
      <c r="C64" s="43" t="n">
        <v>177.35</v>
      </c>
      <c r="D64" s="44" t="n"/>
      <c r="E64" s="45" t="n"/>
      <c r="F64" s="46" t="n"/>
      <c r="G64" s="43" t="n">
        <v>98.804</v>
      </c>
      <c r="H64" s="43" t="n">
        <v>45.35114569271756</v>
      </c>
      <c r="I64" s="47">
        <f>G64/C64</f>
        <v/>
      </c>
      <c r="J64" s="46" t="n"/>
      <c r="K64" s="46" t="n">
        <v>146.987</v>
      </c>
      <c r="L64" s="46" t="n">
        <v>139.72</v>
      </c>
      <c r="M64" s="46" t="n">
        <v>135.025</v>
      </c>
      <c r="N64" s="45">
        <f>1-(M64/L64)</f>
        <v/>
      </c>
      <c r="O64" s="46" t="n">
        <v>147.584</v>
      </c>
      <c r="P64" s="46" t="n">
        <v>60.325</v>
      </c>
      <c r="Q64" s="46" t="n">
        <v>93.30200000000001</v>
      </c>
      <c r="R64" s="47">
        <f>K64/2/C64</f>
        <v/>
      </c>
      <c r="S64" s="46" t="n"/>
      <c r="T64" s="45">
        <f>R64+I64</f>
        <v/>
      </c>
      <c r="U64" s="46" t="n"/>
      <c r="V64" s="46" t="n"/>
      <c r="W64" s="46" t="n"/>
      <c r="X64" s="46" t="n"/>
      <c r="Y64" s="46" t="n"/>
      <c r="Z64" s="46" t="n"/>
      <c r="AA64" s="46" t="n"/>
      <c r="AB64" s="46" t="n"/>
      <c r="AC64" s="46" t="n"/>
      <c r="AD64" s="46" t="n"/>
      <c r="AE64" s="46" t="n"/>
      <c r="AF64" s="46" t="n"/>
      <c r="AG64" s="46" t="n"/>
      <c r="AH64" s="46" t="n"/>
      <c r="AI64" s="46" t="n"/>
      <c r="AJ64" s="46" t="n"/>
      <c r="AK64" s="46" t="n"/>
      <c r="AL64" s="46" t="n"/>
      <c r="AM64" s="46" t="n"/>
      <c r="AN64" s="46" t="n"/>
      <c r="AO64" s="46" t="n"/>
      <c r="AP64" s="46" t="n"/>
      <c r="AQ64" s="46" t="n"/>
      <c r="AR64" s="46" t="n"/>
      <c r="AS64" s="46" t="n"/>
      <c r="AT64" s="46" t="n"/>
      <c r="AU64" s="46" t="n"/>
      <c r="AV64" s="46" t="n"/>
      <c r="AW64" s="46" t="n"/>
      <c r="AX64" s="46" t="n"/>
      <c r="AY64" s="46" t="n"/>
      <c r="AZ64" s="46" t="n"/>
      <c r="BA64" s="46" t="n"/>
      <c r="BB64" s="46" t="n"/>
      <c r="BC64" s="46" t="n"/>
      <c r="BD64" s="46" t="n"/>
      <c r="BE64" s="46" t="n"/>
      <c r="BF64" s="46" t="n"/>
      <c r="BG64" s="46" t="n"/>
      <c r="BH64" s="46" t="n"/>
      <c r="BI64" s="46" t="n"/>
      <c r="BJ64" s="46" t="n"/>
      <c r="BK64" s="46" t="n"/>
      <c r="BL64" s="46" t="n"/>
      <c r="BM64" s="46" t="n"/>
      <c r="BN64" s="46" t="n"/>
      <c r="BO64" s="46" t="n"/>
      <c r="BP64" s="46" t="n"/>
      <c r="BQ64" s="46" t="n"/>
      <c r="BR64" s="46" t="n"/>
      <c r="BS64" s="46" t="n"/>
      <c r="BT64" s="46" t="n"/>
      <c r="BU64" s="46" t="n"/>
      <c r="BV64" s="46" t="n"/>
      <c r="BW64" s="46" t="n"/>
      <c r="BX64" s="46" t="n"/>
      <c r="BY64" s="46" t="n"/>
      <c r="BZ64" s="46" t="n"/>
      <c r="CA64" s="46" t="n"/>
      <c r="CB64" s="46" t="n"/>
      <c r="CC64" s="46" t="n"/>
      <c r="CD64" s="46" t="n"/>
      <c r="CE64" s="46" t="n"/>
      <c r="CF64" s="46" t="n"/>
      <c r="CG64" s="46" t="n"/>
      <c r="CH64" s="46" t="n"/>
      <c r="CI64" s="46" t="n"/>
      <c r="CJ64" s="46" t="n"/>
      <c r="CK64" s="46" t="n"/>
      <c r="CL64" s="46" t="n"/>
      <c r="CM64" s="46" t="n"/>
      <c r="CN64" s="46" t="n"/>
      <c r="CO64" s="46" t="n"/>
      <c r="CP64" s="46" t="n"/>
      <c r="CQ64" s="46" t="n"/>
      <c r="CR64" s="46" t="n"/>
      <c r="CS64" s="46" t="n"/>
      <c r="CT64" s="46" t="n"/>
      <c r="CU64" s="46" t="n"/>
      <c r="CV64" s="46" t="n"/>
      <c r="CW64" s="46" t="n"/>
      <c r="CX64" s="46" t="n"/>
      <c r="CY64" s="46" t="n"/>
      <c r="CZ64" s="46" t="n"/>
      <c r="DA64" s="46" t="n"/>
      <c r="DB64" s="46" t="n"/>
      <c r="DC64" s="46" t="n"/>
      <c r="DD64" s="46" t="n"/>
      <c r="DE64" s="46" t="n"/>
      <c r="DF64" s="46" t="n"/>
      <c r="DG64" s="46" t="n"/>
      <c r="DH64" s="46" t="n"/>
      <c r="DI64" s="46" t="n"/>
      <c r="DJ64" s="46" t="n"/>
      <c r="DK64" s="46" t="n"/>
      <c r="DL64" s="46" t="n"/>
      <c r="DM64" s="46" t="n"/>
      <c r="DN64" s="46" t="n"/>
      <c r="DO64" s="46" t="n"/>
      <c r="DP64" s="46" t="n"/>
      <c r="DQ64" s="46" t="n"/>
      <c r="DR64" s="46" t="n"/>
      <c r="DS64" s="46" t="n"/>
      <c r="DT64" s="46" t="n"/>
      <c r="DU64" s="46" t="n"/>
      <c r="DV64" s="46" t="n"/>
      <c r="DW64" s="46" t="n"/>
      <c r="DX64" s="46" t="n"/>
      <c r="DY64" s="46" t="n"/>
      <c r="DZ64" s="46" t="n"/>
      <c r="EA64" s="46" t="n"/>
      <c r="EB64" s="46" t="n"/>
      <c r="EC64" s="46" t="n"/>
      <c r="ED64" s="46" t="n"/>
      <c r="EE64" s="46" t="n"/>
      <c r="EF64" s="46" t="n"/>
      <c r="EG64" s="46" t="n"/>
      <c r="EH64" s="46" t="n"/>
      <c r="EI64" s="46" t="n"/>
      <c r="EJ64" s="46" t="n"/>
      <c r="EK64" s="46" t="n"/>
      <c r="EL64" s="46" t="n"/>
      <c r="EM64" s="46" t="n"/>
      <c r="EN64" s="46" t="n"/>
      <c r="EO64" s="46" t="n"/>
      <c r="EP64" s="46" t="n"/>
      <c r="EQ64" s="46" t="n"/>
      <c r="ER64" s="46" t="n"/>
      <c r="ES64" s="46" t="n"/>
      <c r="ET64" s="46" t="n"/>
      <c r="EU64" s="46" t="n"/>
      <c r="EV64" s="46" t="n"/>
      <c r="EW64" s="46" t="n"/>
      <c r="EX64" s="46" t="n"/>
      <c r="EY64" s="46" t="n"/>
      <c r="EZ64" s="46" t="n"/>
      <c r="FA64" s="46" t="n"/>
      <c r="FB64" s="46" t="n"/>
      <c r="FC64" s="46" t="n"/>
      <c r="FD64" s="46" t="n"/>
      <c r="FE64" s="46" t="n"/>
      <c r="FF64" s="46" t="n"/>
      <c r="FG64" s="46" t="n"/>
      <c r="FH64" s="46" t="n"/>
      <c r="FI64" s="46" t="n"/>
      <c r="FJ64" s="46" t="n"/>
      <c r="FK64" s="46" t="n"/>
      <c r="FL64" s="46" t="n"/>
      <c r="FM64" s="46" t="n"/>
      <c r="FN64" s="46" t="n"/>
    </row>
    <row r="65" ht="15" customFormat="1" customHeight="1" s="50">
      <c r="A65" s="49" t="n">
        <v>43952</v>
      </c>
      <c r="B65" s="43" t="n"/>
      <c r="C65" s="43" t="n">
        <v>194.813</v>
      </c>
      <c r="D65" s="44" t="n"/>
      <c r="E65" s="45" t="n"/>
      <c r="F65" s="46" t="n"/>
      <c r="G65" s="43" t="n">
        <v>107.328</v>
      </c>
      <c r="H65" s="43" t="n">
        <v>63.239</v>
      </c>
      <c r="I65" s="47">
        <f>G65/C65</f>
        <v/>
      </c>
      <c r="J65" s="46" t="n"/>
      <c r="K65" s="46" t="n">
        <v>161.642</v>
      </c>
      <c r="L65" s="46" t="n">
        <v>126.876</v>
      </c>
      <c r="M65" s="46" t="n">
        <v>122.62</v>
      </c>
      <c r="N65" s="45">
        <f>1-(M65/L65)</f>
        <v/>
      </c>
      <c r="O65" s="46" t="n">
        <v>150.691</v>
      </c>
      <c r="P65" s="46" t="n">
        <v>54.629</v>
      </c>
      <c r="Q65" s="46" t="n">
        <v>123.808</v>
      </c>
      <c r="R65" s="47">
        <f>K65/2/C65</f>
        <v/>
      </c>
      <c r="S65" s="46" t="n"/>
      <c r="T65" s="45">
        <f>R65+I65</f>
        <v/>
      </c>
      <c r="U65" s="46" t="n"/>
      <c r="V65" s="46" t="n"/>
      <c r="W65" s="46" t="n"/>
      <c r="X65" s="46" t="n"/>
      <c r="Y65" s="46" t="n"/>
      <c r="Z65" s="46" t="n"/>
      <c r="AA65" s="46" t="n"/>
      <c r="AB65" s="46" t="n"/>
      <c r="AC65" s="46" t="n"/>
      <c r="AD65" s="46" t="n"/>
      <c r="AE65" s="46" t="n"/>
      <c r="AF65" s="46" t="n"/>
      <c r="AG65" s="46" t="n"/>
      <c r="AH65" s="46" t="n"/>
      <c r="AI65" s="46" t="n"/>
      <c r="AJ65" s="46" t="n"/>
      <c r="AK65" s="46" t="n"/>
      <c r="AL65" s="46" t="n"/>
      <c r="AM65" s="46" t="n"/>
      <c r="AN65" s="46" t="n"/>
      <c r="AO65" s="46" t="n"/>
      <c r="AP65" s="46" t="n"/>
      <c r="AQ65" s="46" t="n"/>
      <c r="AR65" s="46" t="n"/>
      <c r="AS65" s="46" t="n"/>
      <c r="AT65" s="46" t="n"/>
      <c r="AU65" s="46" t="n"/>
      <c r="AV65" s="46" t="n"/>
      <c r="AW65" s="46" t="n"/>
      <c r="AX65" s="46" t="n"/>
      <c r="AY65" s="46" t="n"/>
      <c r="AZ65" s="46" t="n"/>
      <c r="BA65" s="46" t="n"/>
      <c r="BB65" s="46" t="n"/>
      <c r="BC65" s="46" t="n"/>
      <c r="BD65" s="46" t="n"/>
      <c r="BE65" s="46" t="n"/>
      <c r="BF65" s="46" t="n"/>
      <c r="BG65" s="46" t="n"/>
      <c r="BH65" s="46" t="n"/>
      <c r="BI65" s="46" t="n"/>
      <c r="BJ65" s="46" t="n"/>
      <c r="BK65" s="46" t="n"/>
      <c r="BL65" s="46" t="n"/>
      <c r="BM65" s="46" t="n"/>
      <c r="BN65" s="46" t="n"/>
      <c r="BO65" s="46" t="n"/>
      <c r="BP65" s="46" t="n"/>
      <c r="BQ65" s="46" t="n"/>
      <c r="BR65" s="46" t="n"/>
      <c r="BS65" s="46" t="n"/>
      <c r="BT65" s="46" t="n"/>
      <c r="BU65" s="46" t="n"/>
      <c r="BV65" s="46" t="n"/>
      <c r="BW65" s="46" t="n"/>
      <c r="BX65" s="46" t="n"/>
      <c r="BY65" s="46" t="n"/>
      <c r="BZ65" s="46" t="n"/>
      <c r="CA65" s="46" t="n"/>
      <c r="CB65" s="46" t="n"/>
      <c r="CC65" s="46" t="n"/>
      <c r="CD65" s="46" t="n"/>
      <c r="CE65" s="46" t="n"/>
      <c r="CF65" s="46" t="n"/>
      <c r="CG65" s="46" t="n"/>
      <c r="CH65" s="46" t="n"/>
      <c r="CI65" s="46" t="n"/>
      <c r="CJ65" s="46" t="n"/>
      <c r="CK65" s="46" t="n"/>
      <c r="CL65" s="46" t="n"/>
      <c r="CM65" s="46" t="n"/>
      <c r="CN65" s="46" t="n"/>
      <c r="CO65" s="46" t="n"/>
      <c r="CP65" s="46" t="n"/>
      <c r="CQ65" s="46" t="n"/>
      <c r="CR65" s="46" t="n"/>
      <c r="CS65" s="46" t="n"/>
      <c r="CT65" s="46" t="n"/>
      <c r="CU65" s="46" t="n"/>
      <c r="CV65" s="46" t="n"/>
      <c r="CW65" s="46" t="n"/>
      <c r="CX65" s="46" t="n"/>
      <c r="CY65" s="46" t="n"/>
      <c r="CZ65" s="46" t="n"/>
      <c r="DA65" s="46" t="n"/>
      <c r="DB65" s="46" t="n"/>
      <c r="DC65" s="46" t="n"/>
      <c r="DD65" s="46" t="n"/>
      <c r="DE65" s="46" t="n"/>
      <c r="DF65" s="46" t="n"/>
      <c r="DG65" s="46" t="n"/>
      <c r="DH65" s="46" t="n"/>
      <c r="DI65" s="46" t="n"/>
      <c r="DJ65" s="46" t="n"/>
      <c r="DK65" s="46" t="n"/>
      <c r="DL65" s="46" t="n"/>
      <c r="DM65" s="46" t="n"/>
      <c r="DN65" s="46" t="n"/>
      <c r="DO65" s="46" t="n"/>
      <c r="DP65" s="46" t="n"/>
      <c r="DQ65" s="46" t="n"/>
      <c r="DR65" s="46" t="n"/>
      <c r="DS65" s="46" t="n"/>
      <c r="DT65" s="46" t="n"/>
      <c r="DU65" s="46" t="n"/>
      <c r="DV65" s="46" t="n"/>
      <c r="DW65" s="46" t="n"/>
      <c r="DX65" s="46" t="n"/>
      <c r="DY65" s="46" t="n"/>
      <c r="DZ65" s="46" t="n"/>
      <c r="EA65" s="46" t="n"/>
      <c r="EB65" s="46" t="n"/>
      <c r="EC65" s="46" t="n"/>
      <c r="ED65" s="46" t="n"/>
      <c r="EE65" s="46" t="n"/>
      <c r="EF65" s="46" t="n"/>
      <c r="EG65" s="46" t="n"/>
      <c r="EH65" s="46" t="n"/>
      <c r="EI65" s="46" t="n"/>
      <c r="EJ65" s="46" t="n"/>
      <c r="EK65" s="46" t="n"/>
      <c r="EL65" s="46" t="n"/>
      <c r="EM65" s="46" t="n"/>
      <c r="EN65" s="46" t="n"/>
      <c r="EO65" s="46" t="n"/>
      <c r="EP65" s="46" t="n"/>
      <c r="EQ65" s="46" t="n"/>
      <c r="ER65" s="46" t="n"/>
      <c r="ES65" s="46" t="n"/>
      <c r="ET65" s="46" t="n"/>
      <c r="EU65" s="46" t="n"/>
      <c r="EV65" s="46" t="n"/>
      <c r="EW65" s="46" t="n"/>
      <c r="EX65" s="46" t="n"/>
      <c r="EY65" s="46" t="n"/>
      <c r="EZ65" s="46" t="n"/>
      <c r="FA65" s="46" t="n"/>
      <c r="FB65" s="46" t="n"/>
      <c r="FC65" s="46" t="n"/>
      <c r="FD65" s="46" t="n"/>
      <c r="FE65" s="46" t="n"/>
      <c r="FF65" s="46" t="n"/>
      <c r="FG65" s="46" t="n"/>
      <c r="FH65" s="46" t="n"/>
      <c r="FI65" s="46" t="n"/>
      <c r="FJ65" s="46" t="n"/>
      <c r="FK65" s="46" t="n"/>
      <c r="FL65" s="46" t="n"/>
      <c r="FM65" s="46" t="n"/>
      <c r="FN65" s="46" t="n"/>
    </row>
    <row r="66" ht="15" customFormat="1" customHeight="1" s="50">
      <c r="A66" s="49" t="n">
        <v>43983</v>
      </c>
      <c r="B66" s="43" t="n"/>
      <c r="C66" s="43" t="n">
        <v>123.242</v>
      </c>
      <c r="D66" s="44" t="n"/>
      <c r="E66" s="45" t="n"/>
      <c r="F66" s="46" t="n"/>
      <c r="G66" s="43" t="n">
        <v>68.666</v>
      </c>
      <c r="H66" s="43" t="n">
        <v>60.625</v>
      </c>
      <c r="I66" s="47">
        <f>G66/C66</f>
        <v/>
      </c>
      <c r="J66" s="46" t="n"/>
      <c r="K66" s="46" t="n">
        <v>105.607</v>
      </c>
      <c r="L66" s="46" t="n">
        <v>119.752</v>
      </c>
      <c r="M66" s="46" t="n">
        <v>115.913</v>
      </c>
      <c r="N66" s="45">
        <f>1-(M66/L66)</f>
        <v/>
      </c>
      <c r="O66" s="46" t="n">
        <v>143.275</v>
      </c>
      <c r="P66" s="46" t="n">
        <v>46.477</v>
      </c>
      <c r="Q66" s="46" t="n">
        <v>75.75</v>
      </c>
      <c r="R66" s="47">
        <f>K66/2/C66</f>
        <v/>
      </c>
      <c r="S66" s="46" t="n"/>
      <c r="T66" s="45">
        <f>R66+I66</f>
        <v/>
      </c>
      <c r="U66" s="46" t="n"/>
      <c r="V66" s="46" t="n"/>
      <c r="W66" s="46" t="n"/>
      <c r="X66" s="46" t="n"/>
      <c r="Y66" s="46" t="n"/>
      <c r="Z66" s="46" t="n"/>
      <c r="AA66" s="46" t="n"/>
      <c r="AB66" s="46" t="n"/>
      <c r="AC66" s="46" t="n"/>
      <c r="AD66" s="46" t="n"/>
      <c r="AE66" s="46" t="n"/>
      <c r="AF66" s="46" t="n"/>
      <c r="AG66" s="46" t="n"/>
      <c r="AH66" s="46" t="n"/>
      <c r="AI66" s="46" t="n"/>
      <c r="AJ66" s="46" t="n"/>
      <c r="AK66" s="46" t="n"/>
      <c r="AL66" s="46" t="n"/>
      <c r="AM66" s="46" t="n"/>
      <c r="AN66" s="46" t="n"/>
      <c r="AO66" s="46" t="n"/>
      <c r="AP66" s="46" t="n"/>
      <c r="AQ66" s="46" t="n"/>
      <c r="AR66" s="46" t="n"/>
      <c r="AS66" s="46" t="n"/>
      <c r="AT66" s="46" t="n"/>
      <c r="AU66" s="46" t="n"/>
      <c r="AV66" s="46" t="n"/>
      <c r="AW66" s="46" t="n"/>
      <c r="AX66" s="46" t="n"/>
      <c r="AY66" s="46" t="n"/>
      <c r="AZ66" s="46" t="n"/>
      <c r="BA66" s="46" t="n"/>
      <c r="BB66" s="46" t="n"/>
      <c r="BC66" s="46" t="n"/>
      <c r="BD66" s="46" t="n"/>
      <c r="BE66" s="46" t="n"/>
      <c r="BF66" s="46" t="n"/>
      <c r="BG66" s="46" t="n"/>
      <c r="BH66" s="46" t="n"/>
      <c r="BI66" s="46" t="n"/>
      <c r="BJ66" s="46" t="n"/>
      <c r="BK66" s="46" t="n"/>
      <c r="BL66" s="46" t="n"/>
      <c r="BM66" s="46" t="n"/>
      <c r="BN66" s="46" t="n"/>
      <c r="BO66" s="46" t="n"/>
      <c r="BP66" s="46" t="n"/>
      <c r="BQ66" s="46" t="n"/>
      <c r="BR66" s="46" t="n"/>
      <c r="BS66" s="46" t="n"/>
      <c r="BT66" s="46" t="n"/>
      <c r="BU66" s="46" t="n"/>
      <c r="BV66" s="46" t="n"/>
      <c r="BW66" s="46" t="n"/>
      <c r="BX66" s="46" t="n"/>
      <c r="BY66" s="46" t="n"/>
      <c r="BZ66" s="46" t="n"/>
      <c r="CA66" s="46" t="n"/>
      <c r="CB66" s="46" t="n"/>
      <c r="CC66" s="46" t="n"/>
      <c r="CD66" s="46" t="n"/>
      <c r="CE66" s="46" t="n"/>
      <c r="CF66" s="46" t="n"/>
      <c r="CG66" s="46" t="n"/>
      <c r="CH66" s="46" t="n"/>
      <c r="CI66" s="46" t="n"/>
      <c r="CJ66" s="46" t="n"/>
      <c r="CK66" s="46" t="n"/>
      <c r="CL66" s="46" t="n"/>
      <c r="CM66" s="46" t="n"/>
      <c r="CN66" s="46" t="n"/>
      <c r="CO66" s="46" t="n"/>
      <c r="CP66" s="46" t="n"/>
      <c r="CQ66" s="46" t="n"/>
      <c r="CR66" s="46" t="n"/>
      <c r="CS66" s="46" t="n"/>
      <c r="CT66" s="46" t="n"/>
      <c r="CU66" s="46" t="n"/>
      <c r="CV66" s="46" t="n"/>
      <c r="CW66" s="46" t="n"/>
      <c r="CX66" s="46" t="n"/>
      <c r="CY66" s="46" t="n"/>
      <c r="CZ66" s="46" t="n"/>
      <c r="DA66" s="46" t="n"/>
      <c r="DB66" s="46" t="n"/>
      <c r="DC66" s="46" t="n"/>
      <c r="DD66" s="46" t="n"/>
      <c r="DE66" s="46" t="n"/>
      <c r="DF66" s="46" t="n"/>
      <c r="DG66" s="46" t="n"/>
      <c r="DH66" s="46" t="n"/>
      <c r="DI66" s="46" t="n"/>
      <c r="DJ66" s="46" t="n"/>
      <c r="DK66" s="46" t="n"/>
      <c r="DL66" s="46" t="n"/>
      <c r="DM66" s="46" t="n"/>
      <c r="DN66" s="46" t="n"/>
      <c r="DO66" s="46" t="n"/>
      <c r="DP66" s="46" t="n"/>
      <c r="DQ66" s="46" t="n"/>
      <c r="DR66" s="46" t="n"/>
      <c r="DS66" s="46" t="n"/>
      <c r="DT66" s="46" t="n"/>
      <c r="DU66" s="46" t="n"/>
      <c r="DV66" s="46" t="n"/>
      <c r="DW66" s="46" t="n"/>
      <c r="DX66" s="46" t="n"/>
      <c r="DY66" s="46" t="n"/>
      <c r="DZ66" s="46" t="n"/>
      <c r="EA66" s="46" t="n"/>
      <c r="EB66" s="46" t="n"/>
      <c r="EC66" s="46" t="n"/>
      <c r="ED66" s="46" t="n"/>
      <c r="EE66" s="46" t="n"/>
      <c r="EF66" s="46" t="n"/>
      <c r="EG66" s="46" t="n"/>
      <c r="EH66" s="46" t="n"/>
      <c r="EI66" s="46" t="n"/>
      <c r="EJ66" s="46" t="n"/>
      <c r="EK66" s="46" t="n"/>
      <c r="EL66" s="46" t="n"/>
      <c r="EM66" s="46" t="n"/>
      <c r="EN66" s="46" t="n"/>
      <c r="EO66" s="46" t="n"/>
      <c r="EP66" s="46" t="n"/>
      <c r="EQ66" s="46" t="n"/>
      <c r="ER66" s="46" t="n"/>
      <c r="ES66" s="46" t="n"/>
      <c r="ET66" s="46" t="n"/>
      <c r="EU66" s="46" t="n"/>
      <c r="EV66" s="46" t="n"/>
      <c r="EW66" s="46" t="n"/>
      <c r="EX66" s="46" t="n"/>
      <c r="EY66" s="46" t="n"/>
      <c r="EZ66" s="46" t="n"/>
      <c r="FA66" s="46" t="n"/>
      <c r="FB66" s="46" t="n"/>
      <c r="FC66" s="46" t="n"/>
      <c r="FD66" s="46" t="n"/>
      <c r="FE66" s="46" t="n"/>
      <c r="FF66" s="46" t="n"/>
      <c r="FG66" s="46" t="n"/>
      <c r="FH66" s="46" t="n"/>
      <c r="FI66" s="46" t="n"/>
      <c r="FJ66" s="46" t="n"/>
      <c r="FK66" s="46" t="n"/>
      <c r="FL66" s="46" t="n"/>
      <c r="FM66" s="46" t="n"/>
      <c r="FN66" s="46" t="n"/>
    </row>
    <row r="67" ht="15" customFormat="1" customHeight="1" s="50">
      <c r="A67" s="49" t="n">
        <v>44013</v>
      </c>
      <c r="B67" s="43" t="n"/>
      <c r="C67" s="43" t="n">
        <v>202.711</v>
      </c>
      <c r="D67" s="44" t="n"/>
      <c r="E67" s="45" t="n"/>
      <c r="F67" s="46" t="n"/>
      <c r="G67" s="43" t="n">
        <v>114.531</v>
      </c>
      <c r="H67" s="43" t="n">
        <v>58.011</v>
      </c>
      <c r="I67" s="47">
        <f>G67/C67</f>
        <v/>
      </c>
      <c r="J67" s="46" t="n"/>
      <c r="K67" s="46" t="n">
        <v>173.234</v>
      </c>
      <c r="L67" s="46" t="n">
        <v>167.671</v>
      </c>
      <c r="M67" s="46" t="n">
        <v>160.555</v>
      </c>
      <c r="N67" s="45">
        <f>1-(M67/L67)</f>
        <v/>
      </c>
      <c r="O67" s="46" t="n">
        <v>158.221</v>
      </c>
      <c r="P67" s="46" t="n">
        <v>39.108</v>
      </c>
      <c r="Q67" s="46" t="n">
        <v>88.364</v>
      </c>
      <c r="R67" s="47">
        <f>K67/2/C67</f>
        <v/>
      </c>
      <c r="S67" s="46" t="n"/>
      <c r="T67" s="45">
        <f>R67+I67</f>
        <v/>
      </c>
      <c r="U67" s="46" t="n"/>
      <c r="V67" s="46" t="n"/>
      <c r="W67" s="46" t="n"/>
      <c r="X67" s="46" t="n"/>
      <c r="Y67" s="46" t="n"/>
      <c r="Z67" s="46" t="n"/>
      <c r="AA67" s="46" t="n"/>
      <c r="AB67" s="46" t="n"/>
      <c r="AC67" s="46" t="n"/>
      <c r="AD67" s="46" t="n"/>
      <c r="AE67" s="46" t="n"/>
      <c r="AF67" s="46" t="n"/>
      <c r="AG67" s="46" t="n"/>
      <c r="AH67" s="46" t="n"/>
      <c r="AI67" s="46" t="n"/>
      <c r="AJ67" s="46" t="n"/>
      <c r="AK67" s="46" t="n"/>
      <c r="AL67" s="46" t="n"/>
      <c r="AM67" s="46" t="n"/>
      <c r="AN67" s="46" t="n"/>
      <c r="AO67" s="46" t="n"/>
      <c r="AP67" s="46" t="n"/>
      <c r="AQ67" s="46" t="n"/>
      <c r="AR67" s="46" t="n"/>
      <c r="AS67" s="46" t="n"/>
      <c r="AT67" s="46" t="n"/>
      <c r="AU67" s="46" t="n"/>
      <c r="AV67" s="46" t="n"/>
      <c r="AW67" s="46" t="n"/>
      <c r="AX67" s="46" t="n"/>
      <c r="AY67" s="46" t="n"/>
      <c r="AZ67" s="46" t="n"/>
      <c r="BA67" s="46" t="n"/>
      <c r="BB67" s="46" t="n"/>
      <c r="BC67" s="46" t="n"/>
      <c r="BD67" s="46" t="n"/>
      <c r="BE67" s="46" t="n"/>
      <c r="BF67" s="46" t="n"/>
      <c r="BG67" s="46" t="n"/>
      <c r="BH67" s="46" t="n"/>
      <c r="BI67" s="46" t="n"/>
      <c r="BJ67" s="46" t="n"/>
      <c r="BK67" s="46" t="n"/>
      <c r="BL67" s="46" t="n"/>
      <c r="BM67" s="46" t="n"/>
      <c r="BN67" s="46" t="n"/>
      <c r="BO67" s="46" t="n"/>
      <c r="BP67" s="46" t="n"/>
      <c r="BQ67" s="46" t="n"/>
      <c r="BR67" s="46" t="n"/>
      <c r="BS67" s="46" t="n"/>
      <c r="BT67" s="46" t="n"/>
      <c r="BU67" s="46" t="n"/>
      <c r="BV67" s="46" t="n"/>
      <c r="BW67" s="46" t="n"/>
      <c r="BX67" s="46" t="n"/>
      <c r="BY67" s="46" t="n"/>
      <c r="BZ67" s="46" t="n"/>
      <c r="CA67" s="46" t="n"/>
      <c r="CB67" s="46" t="n"/>
      <c r="CC67" s="46" t="n"/>
      <c r="CD67" s="46" t="n"/>
      <c r="CE67" s="46" t="n"/>
      <c r="CF67" s="46" t="n"/>
      <c r="CG67" s="46" t="n"/>
      <c r="CH67" s="46" t="n"/>
      <c r="CI67" s="46" t="n"/>
      <c r="CJ67" s="46" t="n"/>
      <c r="CK67" s="46" t="n"/>
      <c r="CL67" s="46" t="n"/>
      <c r="CM67" s="46" t="n"/>
      <c r="CN67" s="46" t="n"/>
      <c r="CO67" s="46" t="n"/>
      <c r="CP67" s="46" t="n"/>
      <c r="CQ67" s="46" t="n"/>
      <c r="CR67" s="46" t="n"/>
      <c r="CS67" s="46" t="n"/>
      <c r="CT67" s="46" t="n"/>
      <c r="CU67" s="46" t="n"/>
      <c r="CV67" s="46" t="n"/>
      <c r="CW67" s="46" t="n"/>
      <c r="CX67" s="46" t="n"/>
      <c r="CY67" s="46" t="n"/>
      <c r="CZ67" s="46" t="n"/>
      <c r="DA67" s="46" t="n"/>
      <c r="DB67" s="46" t="n"/>
      <c r="DC67" s="46" t="n"/>
      <c r="DD67" s="46" t="n"/>
      <c r="DE67" s="46" t="n"/>
      <c r="DF67" s="46" t="n"/>
      <c r="DG67" s="46" t="n"/>
      <c r="DH67" s="46" t="n"/>
      <c r="DI67" s="46" t="n"/>
      <c r="DJ67" s="46" t="n"/>
      <c r="DK67" s="46" t="n"/>
      <c r="DL67" s="46" t="n"/>
      <c r="DM67" s="46" t="n"/>
      <c r="DN67" s="46" t="n"/>
      <c r="DO67" s="46" t="n"/>
      <c r="DP67" s="46" t="n"/>
      <c r="DQ67" s="46" t="n"/>
      <c r="DR67" s="46" t="n"/>
      <c r="DS67" s="46" t="n"/>
      <c r="DT67" s="46" t="n"/>
      <c r="DU67" s="46" t="n"/>
      <c r="DV67" s="46" t="n"/>
      <c r="DW67" s="46" t="n"/>
      <c r="DX67" s="46" t="n"/>
      <c r="DY67" s="46" t="n"/>
      <c r="DZ67" s="46" t="n"/>
      <c r="EA67" s="46" t="n"/>
      <c r="EB67" s="46" t="n"/>
      <c r="EC67" s="46" t="n"/>
      <c r="ED67" s="46" t="n"/>
      <c r="EE67" s="46" t="n"/>
      <c r="EF67" s="46" t="n"/>
      <c r="EG67" s="46" t="n"/>
      <c r="EH67" s="46" t="n"/>
      <c r="EI67" s="46" t="n"/>
      <c r="EJ67" s="46" t="n"/>
      <c r="EK67" s="46" t="n"/>
      <c r="EL67" s="46" t="n"/>
      <c r="EM67" s="46" t="n"/>
      <c r="EN67" s="46" t="n"/>
      <c r="EO67" s="46" t="n"/>
      <c r="EP67" s="46" t="n"/>
      <c r="EQ67" s="46" t="n"/>
      <c r="ER67" s="46" t="n"/>
      <c r="ES67" s="46" t="n"/>
      <c r="ET67" s="46" t="n"/>
      <c r="EU67" s="46" t="n"/>
      <c r="EV67" s="46" t="n"/>
      <c r="EW67" s="46" t="n"/>
      <c r="EX67" s="46" t="n"/>
      <c r="EY67" s="46" t="n"/>
      <c r="EZ67" s="46" t="n"/>
      <c r="FA67" s="46" t="n"/>
      <c r="FB67" s="46" t="n"/>
      <c r="FC67" s="46" t="n"/>
      <c r="FD67" s="46" t="n"/>
      <c r="FE67" s="46" t="n"/>
      <c r="FF67" s="46" t="n"/>
      <c r="FG67" s="46" t="n"/>
      <c r="FH67" s="46" t="n"/>
      <c r="FI67" s="46" t="n"/>
      <c r="FJ67" s="46" t="n"/>
      <c r="FK67" s="46" t="n"/>
      <c r="FL67" s="46" t="n"/>
      <c r="FM67" s="46" t="n"/>
      <c r="FN67" s="46" t="n"/>
    </row>
    <row r="68" ht="15" customFormat="1" customHeight="1" s="50">
      <c r="A68" s="49" t="n">
        <v>44044</v>
      </c>
      <c r="B68" s="43" t="n"/>
      <c r="C68" s="43" t="n">
        <v>202.58</v>
      </c>
      <c r="D68" s="44" t="n"/>
      <c r="E68" s="45" t="n"/>
      <c r="F68" s="46" t="n"/>
      <c r="G68" s="43" t="n">
        <v>115.606</v>
      </c>
      <c r="H68" s="43" t="n">
        <v>25.292</v>
      </c>
      <c r="I68" s="47">
        <f>G68/C68</f>
        <v/>
      </c>
      <c r="J68" s="46" t="n"/>
      <c r="K68" s="46" t="n">
        <v>171.519</v>
      </c>
      <c r="L68" s="46" t="n">
        <v>131.124</v>
      </c>
      <c r="M68" s="46" t="n">
        <v>125.964</v>
      </c>
      <c r="N68" s="45">
        <f>1-(M68/L68)</f>
        <v/>
      </c>
      <c r="O68" s="46" t="n">
        <v>162.105</v>
      </c>
      <c r="P68" s="46" t="n">
        <v>53.405</v>
      </c>
      <c r="Q68" s="46" t="n">
        <v>98.512</v>
      </c>
      <c r="R68" s="47">
        <f>K68/2/C68</f>
        <v/>
      </c>
      <c r="S68" s="46" t="n"/>
      <c r="T68" s="45">
        <f>R68+I68</f>
        <v/>
      </c>
      <c r="U68" s="46" t="n"/>
      <c r="V68" s="46" t="n"/>
      <c r="W68" s="46" t="n"/>
      <c r="X68" s="46" t="n"/>
      <c r="Y68" s="46" t="n"/>
      <c r="Z68" s="46" t="n"/>
      <c r="AA68" s="46" t="n"/>
      <c r="AB68" s="46" t="n"/>
      <c r="AC68" s="46" t="n"/>
      <c r="AD68" s="46" t="n"/>
      <c r="AE68" s="46" t="n"/>
      <c r="AF68" s="46" t="n"/>
      <c r="AG68" s="46" t="n"/>
      <c r="AH68" s="46" t="n"/>
      <c r="AI68" s="46" t="n"/>
      <c r="AJ68" s="46" t="n"/>
      <c r="AK68" s="46" t="n"/>
      <c r="AL68" s="46" t="n"/>
      <c r="AM68" s="46" t="n"/>
      <c r="AN68" s="46" t="n"/>
      <c r="AO68" s="46" t="n"/>
      <c r="AP68" s="46" t="n"/>
      <c r="AQ68" s="46" t="n"/>
      <c r="AR68" s="46" t="n"/>
      <c r="AS68" s="46" t="n"/>
      <c r="AT68" s="46" t="n"/>
      <c r="AU68" s="46" t="n"/>
      <c r="AV68" s="46" t="n"/>
      <c r="AW68" s="46" t="n"/>
      <c r="AX68" s="46" t="n"/>
      <c r="AY68" s="46" t="n"/>
      <c r="AZ68" s="46" t="n"/>
      <c r="BA68" s="46" t="n"/>
      <c r="BB68" s="46" t="n"/>
      <c r="BC68" s="46" t="n"/>
      <c r="BD68" s="46" t="n"/>
      <c r="BE68" s="46" t="n"/>
      <c r="BF68" s="46" t="n"/>
      <c r="BG68" s="46" t="n"/>
      <c r="BH68" s="46" t="n"/>
      <c r="BI68" s="46" t="n"/>
      <c r="BJ68" s="46" t="n"/>
      <c r="BK68" s="46" t="n"/>
      <c r="BL68" s="46" t="n"/>
      <c r="BM68" s="46" t="n"/>
      <c r="BN68" s="46" t="n"/>
      <c r="BO68" s="46" t="n"/>
      <c r="BP68" s="46" t="n"/>
      <c r="BQ68" s="46" t="n"/>
      <c r="BR68" s="46" t="n"/>
      <c r="BS68" s="46" t="n"/>
      <c r="BT68" s="46" t="n"/>
      <c r="BU68" s="46" t="n"/>
      <c r="BV68" s="46" t="n"/>
      <c r="BW68" s="46" t="n"/>
      <c r="BX68" s="46" t="n"/>
      <c r="BY68" s="46" t="n"/>
      <c r="BZ68" s="46" t="n"/>
      <c r="CA68" s="46" t="n"/>
      <c r="CB68" s="46" t="n"/>
      <c r="CC68" s="46" t="n"/>
      <c r="CD68" s="46" t="n"/>
      <c r="CE68" s="46" t="n"/>
      <c r="CF68" s="46" t="n"/>
      <c r="CG68" s="46" t="n"/>
      <c r="CH68" s="46" t="n"/>
      <c r="CI68" s="46" t="n"/>
      <c r="CJ68" s="46" t="n"/>
      <c r="CK68" s="46" t="n"/>
      <c r="CL68" s="46" t="n"/>
      <c r="CM68" s="46" t="n"/>
      <c r="CN68" s="46" t="n"/>
      <c r="CO68" s="46" t="n"/>
      <c r="CP68" s="46" t="n"/>
      <c r="CQ68" s="46" t="n"/>
      <c r="CR68" s="46" t="n"/>
      <c r="CS68" s="46" t="n"/>
      <c r="CT68" s="46" t="n"/>
      <c r="CU68" s="46" t="n"/>
      <c r="CV68" s="46" t="n"/>
      <c r="CW68" s="46" t="n"/>
      <c r="CX68" s="46" t="n"/>
      <c r="CY68" s="46" t="n"/>
      <c r="CZ68" s="46" t="n"/>
      <c r="DA68" s="46" t="n"/>
      <c r="DB68" s="46" t="n"/>
      <c r="DC68" s="46" t="n"/>
      <c r="DD68" s="46" t="n"/>
      <c r="DE68" s="46" t="n"/>
      <c r="DF68" s="46" t="n"/>
      <c r="DG68" s="46" t="n"/>
      <c r="DH68" s="46" t="n"/>
      <c r="DI68" s="46" t="n"/>
      <c r="DJ68" s="46" t="n"/>
      <c r="DK68" s="46" t="n"/>
      <c r="DL68" s="46" t="n"/>
      <c r="DM68" s="46" t="n"/>
      <c r="DN68" s="46" t="n"/>
      <c r="DO68" s="46" t="n"/>
      <c r="DP68" s="46" t="n"/>
      <c r="DQ68" s="46" t="n"/>
      <c r="DR68" s="46" t="n"/>
      <c r="DS68" s="46" t="n"/>
      <c r="DT68" s="46" t="n"/>
      <c r="DU68" s="46" t="n"/>
      <c r="DV68" s="46" t="n"/>
      <c r="DW68" s="46" t="n"/>
      <c r="DX68" s="46" t="n"/>
      <c r="DY68" s="46" t="n"/>
      <c r="DZ68" s="46" t="n"/>
      <c r="EA68" s="46" t="n"/>
      <c r="EB68" s="46" t="n"/>
      <c r="EC68" s="46" t="n"/>
      <c r="ED68" s="46" t="n"/>
      <c r="EE68" s="46" t="n"/>
      <c r="EF68" s="46" t="n"/>
      <c r="EG68" s="46" t="n"/>
      <c r="EH68" s="46" t="n"/>
      <c r="EI68" s="46" t="n"/>
      <c r="EJ68" s="46" t="n"/>
      <c r="EK68" s="46" t="n"/>
      <c r="EL68" s="46" t="n"/>
      <c r="EM68" s="46" t="n"/>
      <c r="EN68" s="46" t="n"/>
      <c r="EO68" s="46" t="n"/>
      <c r="EP68" s="46" t="n"/>
      <c r="EQ68" s="46" t="n"/>
      <c r="ER68" s="46" t="n"/>
      <c r="ES68" s="46" t="n"/>
      <c r="ET68" s="46" t="n"/>
      <c r="EU68" s="46" t="n"/>
      <c r="EV68" s="46" t="n"/>
      <c r="EW68" s="46" t="n"/>
      <c r="EX68" s="46" t="n"/>
      <c r="EY68" s="46" t="n"/>
      <c r="EZ68" s="46" t="n"/>
      <c r="FA68" s="46" t="n"/>
      <c r="FB68" s="46" t="n"/>
      <c r="FC68" s="46" t="n"/>
      <c r="FD68" s="46" t="n"/>
      <c r="FE68" s="46" t="n"/>
      <c r="FF68" s="46" t="n"/>
      <c r="FG68" s="46" t="n"/>
      <c r="FH68" s="46" t="n"/>
      <c r="FI68" s="46" t="n"/>
      <c r="FJ68" s="46" t="n"/>
      <c r="FK68" s="46" t="n"/>
      <c r="FL68" s="46" t="n"/>
      <c r="FM68" s="46" t="n"/>
      <c r="FN68" s="46" t="n"/>
    </row>
    <row r="69" ht="15" customFormat="1" customHeight="1" s="50">
      <c r="A69" s="49" t="n">
        <v>44075</v>
      </c>
      <c r="B69" s="43" t="n"/>
      <c r="C69" s="43" t="n">
        <v>208.338</v>
      </c>
      <c r="D69" s="44" t="n"/>
      <c r="E69" s="45" t="n"/>
      <c r="F69" s="46" t="n"/>
      <c r="G69" s="43" t="n">
        <v>121.434</v>
      </c>
      <c r="H69" s="43" t="n">
        <v>42.075</v>
      </c>
      <c r="I69" s="47">
        <f>G69/C69</f>
        <v/>
      </c>
      <c r="J69" s="46" t="n"/>
      <c r="K69" s="46" t="n">
        <v>174.436</v>
      </c>
      <c r="L69" s="46" t="n">
        <v>169.51</v>
      </c>
      <c r="M69" s="46" t="n">
        <v>163.924</v>
      </c>
      <c r="N69" s="45">
        <f>1-(M69/L69)</f>
        <v/>
      </c>
      <c r="O69" s="46" t="n">
        <v>174.345</v>
      </c>
      <c r="P69" s="46" t="n">
        <v>39.855</v>
      </c>
      <c r="Q69" s="46" t="n">
        <v>92.021</v>
      </c>
      <c r="R69" s="47">
        <f>K69/2/C69</f>
        <v/>
      </c>
      <c r="S69" s="46" t="n"/>
      <c r="T69" s="45">
        <f>R69+I69</f>
        <v/>
      </c>
      <c r="U69" s="46" t="n"/>
      <c r="V69" s="46" t="n"/>
      <c r="W69" s="46" t="n"/>
      <c r="X69" s="46" t="n"/>
      <c r="Y69" s="46" t="n"/>
      <c r="Z69" s="46" t="n"/>
      <c r="AA69" s="46" t="n"/>
      <c r="AB69" s="46" t="n"/>
      <c r="AC69" s="46" t="n"/>
      <c r="AD69" s="46" t="n"/>
      <c r="AE69" s="46" t="n"/>
      <c r="AF69" s="46" t="n"/>
      <c r="AG69" s="46" t="n"/>
      <c r="AH69" s="46" t="n"/>
      <c r="AI69" s="46" t="n"/>
      <c r="AJ69" s="46" t="n"/>
      <c r="AK69" s="46" t="n"/>
      <c r="AL69" s="46" t="n"/>
      <c r="AM69" s="46" t="n"/>
      <c r="AN69" s="46" t="n"/>
      <c r="AO69" s="46" t="n"/>
      <c r="AP69" s="46" t="n"/>
      <c r="AQ69" s="46" t="n"/>
      <c r="AR69" s="46" t="n"/>
      <c r="AS69" s="46" t="n"/>
      <c r="AT69" s="46" t="n"/>
      <c r="AU69" s="46" t="n"/>
      <c r="AV69" s="46" t="n"/>
      <c r="AW69" s="46" t="n"/>
      <c r="AX69" s="46" t="n"/>
      <c r="AY69" s="46" t="n"/>
      <c r="AZ69" s="46" t="n"/>
      <c r="BA69" s="46" t="n"/>
      <c r="BB69" s="46" t="n"/>
      <c r="BC69" s="46" t="n"/>
      <c r="BD69" s="46" t="n"/>
      <c r="BE69" s="46" t="n"/>
      <c r="BF69" s="46" t="n"/>
      <c r="BG69" s="46" t="n"/>
      <c r="BH69" s="46" t="n"/>
      <c r="BI69" s="46" t="n"/>
      <c r="BJ69" s="46" t="n"/>
      <c r="BK69" s="46" t="n"/>
      <c r="BL69" s="46" t="n"/>
      <c r="BM69" s="46" t="n"/>
      <c r="BN69" s="46" t="n"/>
      <c r="BO69" s="46" t="n"/>
      <c r="BP69" s="46" t="n"/>
      <c r="BQ69" s="46" t="n"/>
      <c r="BR69" s="46" t="n"/>
      <c r="BS69" s="46" t="n"/>
      <c r="BT69" s="46" t="n"/>
      <c r="BU69" s="46" t="n"/>
      <c r="BV69" s="46" t="n"/>
      <c r="BW69" s="46" t="n"/>
      <c r="BX69" s="46" t="n"/>
      <c r="BY69" s="46" t="n"/>
      <c r="BZ69" s="46" t="n"/>
      <c r="CA69" s="46" t="n"/>
      <c r="CB69" s="46" t="n"/>
      <c r="CC69" s="46" t="n"/>
      <c r="CD69" s="46" t="n"/>
      <c r="CE69" s="46" t="n"/>
      <c r="CF69" s="46" t="n"/>
      <c r="CG69" s="46" t="n"/>
      <c r="CH69" s="46" t="n"/>
      <c r="CI69" s="46" t="n"/>
      <c r="CJ69" s="46" t="n"/>
      <c r="CK69" s="46" t="n"/>
      <c r="CL69" s="46" t="n"/>
      <c r="CM69" s="46" t="n"/>
      <c r="CN69" s="46" t="n"/>
      <c r="CO69" s="46" t="n"/>
      <c r="CP69" s="46" t="n"/>
      <c r="CQ69" s="46" t="n"/>
      <c r="CR69" s="46" t="n"/>
      <c r="CS69" s="46" t="n"/>
      <c r="CT69" s="46" t="n"/>
      <c r="CU69" s="46" t="n"/>
      <c r="CV69" s="46" t="n"/>
      <c r="CW69" s="46" t="n"/>
      <c r="CX69" s="46" t="n"/>
      <c r="CY69" s="46" t="n"/>
      <c r="CZ69" s="46" t="n"/>
      <c r="DA69" s="46" t="n"/>
      <c r="DB69" s="46" t="n"/>
      <c r="DC69" s="46" t="n"/>
      <c r="DD69" s="46" t="n"/>
      <c r="DE69" s="46" t="n"/>
      <c r="DF69" s="46" t="n"/>
      <c r="DG69" s="46" t="n"/>
      <c r="DH69" s="46" t="n"/>
      <c r="DI69" s="46" t="n"/>
      <c r="DJ69" s="46" t="n"/>
      <c r="DK69" s="46" t="n"/>
      <c r="DL69" s="46" t="n"/>
      <c r="DM69" s="46" t="n"/>
      <c r="DN69" s="46" t="n"/>
      <c r="DO69" s="46" t="n"/>
      <c r="DP69" s="46" t="n"/>
      <c r="DQ69" s="46" t="n"/>
      <c r="DR69" s="46" t="n"/>
      <c r="DS69" s="46" t="n"/>
      <c r="DT69" s="46" t="n"/>
      <c r="DU69" s="46" t="n"/>
      <c r="DV69" s="46" t="n"/>
      <c r="DW69" s="46" t="n"/>
      <c r="DX69" s="46" t="n"/>
      <c r="DY69" s="46" t="n"/>
      <c r="DZ69" s="46" t="n"/>
      <c r="EA69" s="46" t="n"/>
      <c r="EB69" s="46" t="n"/>
      <c r="EC69" s="46" t="n"/>
      <c r="ED69" s="46" t="n"/>
      <c r="EE69" s="46" t="n"/>
      <c r="EF69" s="46" t="n"/>
      <c r="EG69" s="46" t="n"/>
      <c r="EH69" s="46" t="n"/>
      <c r="EI69" s="46" t="n"/>
      <c r="EJ69" s="46" t="n"/>
      <c r="EK69" s="46" t="n"/>
      <c r="EL69" s="46" t="n"/>
      <c r="EM69" s="46" t="n"/>
      <c r="EN69" s="46" t="n"/>
      <c r="EO69" s="46" t="n"/>
      <c r="EP69" s="46" t="n"/>
      <c r="EQ69" s="46" t="n"/>
      <c r="ER69" s="46" t="n"/>
      <c r="ES69" s="46" t="n"/>
      <c r="ET69" s="46" t="n"/>
      <c r="EU69" s="46" t="n"/>
      <c r="EV69" s="46" t="n"/>
      <c r="EW69" s="46" t="n"/>
      <c r="EX69" s="46" t="n"/>
      <c r="EY69" s="46" t="n"/>
      <c r="EZ69" s="46" t="n"/>
      <c r="FA69" s="46" t="n"/>
      <c r="FB69" s="46" t="n"/>
      <c r="FC69" s="46" t="n"/>
      <c r="FD69" s="46" t="n"/>
      <c r="FE69" s="46" t="n"/>
      <c r="FF69" s="46" t="n"/>
      <c r="FG69" s="46" t="n"/>
      <c r="FH69" s="46" t="n"/>
      <c r="FI69" s="46" t="n"/>
      <c r="FJ69" s="46" t="n"/>
      <c r="FK69" s="46" t="n"/>
      <c r="FL69" s="46" t="n"/>
      <c r="FM69" s="46" t="n"/>
      <c r="FN69" s="46" t="n"/>
    </row>
    <row r="70" ht="15" customFormat="1" customHeight="1" s="50">
      <c r="A70" s="49" t="n">
        <v>44105</v>
      </c>
      <c r="B70" s="43" t="n"/>
      <c r="C70" s="43" t="n">
        <v>215.878</v>
      </c>
      <c r="D70" s="44" t="n"/>
      <c r="E70" s="45" t="n"/>
      <c r="F70" s="46" t="n"/>
      <c r="G70" s="43" t="n">
        <v>123.169</v>
      </c>
      <c r="H70" s="43" t="n">
        <v>33.734</v>
      </c>
      <c r="I70" s="47">
        <f>G70/C70</f>
        <v/>
      </c>
      <c r="J70" s="46" t="n"/>
      <c r="K70" s="46" t="n">
        <v>179.038</v>
      </c>
      <c r="L70" s="46" t="n">
        <v>159.03</v>
      </c>
      <c r="M70" s="46" t="n">
        <v>154.477</v>
      </c>
      <c r="N70" s="45">
        <f>1-(M70/L70)</f>
        <v/>
      </c>
      <c r="O70" s="46" t="n">
        <v>172.382</v>
      </c>
      <c r="P70" s="46" t="n">
        <v>57.142</v>
      </c>
      <c r="Q70" s="46" t="n">
        <v>93.19799999999999</v>
      </c>
      <c r="R70" s="47">
        <f>K70/2/C70</f>
        <v/>
      </c>
      <c r="S70" s="46" t="n"/>
      <c r="T70" s="45">
        <f>R70+I70</f>
        <v/>
      </c>
      <c r="U70" s="46" t="n"/>
      <c r="V70" s="46" t="n"/>
      <c r="W70" s="46" t="n"/>
      <c r="X70" s="46" t="n"/>
      <c r="Y70" s="46" t="n"/>
      <c r="Z70" s="46" t="n"/>
      <c r="AA70" s="46" t="n"/>
      <c r="AB70" s="46" t="n"/>
      <c r="AC70" s="46" t="n"/>
      <c r="AD70" s="46" t="n"/>
      <c r="AE70" s="46" t="n"/>
      <c r="AF70" s="46" t="n"/>
      <c r="AG70" s="46" t="n"/>
      <c r="AH70" s="46" t="n"/>
      <c r="AI70" s="46" t="n"/>
      <c r="AJ70" s="46" t="n"/>
      <c r="AK70" s="46" t="n"/>
      <c r="AL70" s="46" t="n"/>
      <c r="AM70" s="46" t="n"/>
      <c r="AN70" s="46" t="n"/>
      <c r="AO70" s="46" t="n"/>
      <c r="AP70" s="46" t="n"/>
      <c r="AQ70" s="46" t="n"/>
      <c r="AR70" s="46" t="n"/>
      <c r="AS70" s="46" t="n"/>
      <c r="AT70" s="46" t="n"/>
      <c r="AU70" s="46" t="n"/>
      <c r="AV70" s="46" t="n"/>
      <c r="AW70" s="46" t="n"/>
      <c r="AX70" s="46" t="n"/>
      <c r="AY70" s="46" t="n"/>
      <c r="AZ70" s="46" t="n"/>
      <c r="BA70" s="46" t="n"/>
      <c r="BB70" s="46" t="n"/>
      <c r="BC70" s="46" t="n"/>
      <c r="BD70" s="46" t="n"/>
      <c r="BE70" s="46" t="n"/>
      <c r="BF70" s="46" t="n"/>
      <c r="BG70" s="46" t="n"/>
      <c r="BH70" s="46" t="n"/>
      <c r="BI70" s="46" t="n"/>
      <c r="BJ70" s="46" t="n"/>
      <c r="BK70" s="46" t="n"/>
      <c r="BL70" s="46" t="n"/>
      <c r="BM70" s="46" t="n"/>
      <c r="BN70" s="46" t="n"/>
      <c r="BO70" s="46" t="n"/>
      <c r="BP70" s="46" t="n"/>
      <c r="BQ70" s="46" t="n"/>
      <c r="BR70" s="46" t="n"/>
      <c r="BS70" s="46" t="n"/>
      <c r="BT70" s="46" t="n"/>
      <c r="BU70" s="46" t="n"/>
      <c r="BV70" s="46" t="n"/>
      <c r="BW70" s="46" t="n"/>
      <c r="BX70" s="46" t="n"/>
      <c r="BY70" s="46" t="n"/>
      <c r="BZ70" s="46" t="n"/>
      <c r="CA70" s="46" t="n"/>
      <c r="CB70" s="46" t="n"/>
      <c r="CC70" s="46" t="n"/>
      <c r="CD70" s="46" t="n"/>
      <c r="CE70" s="46" t="n"/>
      <c r="CF70" s="46" t="n"/>
      <c r="CG70" s="46" t="n"/>
      <c r="CH70" s="46" t="n"/>
      <c r="CI70" s="46" t="n"/>
      <c r="CJ70" s="46" t="n"/>
      <c r="CK70" s="46" t="n"/>
      <c r="CL70" s="46" t="n"/>
      <c r="CM70" s="46" t="n"/>
      <c r="CN70" s="46" t="n"/>
      <c r="CO70" s="46" t="n"/>
      <c r="CP70" s="46" t="n"/>
      <c r="CQ70" s="46" t="n"/>
      <c r="CR70" s="46" t="n"/>
      <c r="CS70" s="46" t="n"/>
      <c r="CT70" s="46" t="n"/>
      <c r="CU70" s="46" t="n"/>
      <c r="CV70" s="46" t="n"/>
      <c r="CW70" s="46" t="n"/>
      <c r="CX70" s="46" t="n"/>
      <c r="CY70" s="46" t="n"/>
      <c r="CZ70" s="46" t="n"/>
      <c r="DA70" s="46" t="n"/>
      <c r="DB70" s="46" t="n"/>
      <c r="DC70" s="46" t="n"/>
      <c r="DD70" s="46" t="n"/>
      <c r="DE70" s="46" t="n"/>
      <c r="DF70" s="46" t="n"/>
      <c r="DG70" s="46" t="n"/>
      <c r="DH70" s="46" t="n"/>
      <c r="DI70" s="46" t="n"/>
      <c r="DJ70" s="46" t="n"/>
      <c r="DK70" s="46" t="n"/>
      <c r="DL70" s="46" t="n"/>
      <c r="DM70" s="46" t="n"/>
      <c r="DN70" s="46" t="n"/>
      <c r="DO70" s="46" t="n"/>
      <c r="DP70" s="46" t="n"/>
      <c r="DQ70" s="46" t="n"/>
      <c r="DR70" s="46" t="n"/>
      <c r="DS70" s="46" t="n"/>
      <c r="DT70" s="46" t="n"/>
      <c r="DU70" s="46" t="n"/>
      <c r="DV70" s="46" t="n"/>
      <c r="DW70" s="46" t="n"/>
      <c r="DX70" s="46" t="n"/>
      <c r="DY70" s="46" t="n"/>
      <c r="DZ70" s="46" t="n"/>
      <c r="EA70" s="46" t="n"/>
      <c r="EB70" s="46" t="n"/>
      <c r="EC70" s="46" t="n"/>
      <c r="ED70" s="46" t="n"/>
      <c r="EE70" s="46" t="n"/>
      <c r="EF70" s="46" t="n"/>
      <c r="EG70" s="46" t="n"/>
      <c r="EH70" s="46" t="n"/>
      <c r="EI70" s="46" t="n"/>
      <c r="EJ70" s="46" t="n"/>
      <c r="EK70" s="46" t="n"/>
      <c r="EL70" s="46" t="n"/>
      <c r="EM70" s="46" t="n"/>
      <c r="EN70" s="46" t="n"/>
      <c r="EO70" s="46" t="n"/>
      <c r="EP70" s="46" t="n"/>
      <c r="EQ70" s="46" t="n"/>
      <c r="ER70" s="46" t="n"/>
      <c r="ES70" s="46" t="n"/>
      <c r="ET70" s="46" t="n"/>
      <c r="EU70" s="46" t="n"/>
      <c r="EV70" s="46" t="n"/>
      <c r="EW70" s="46" t="n"/>
      <c r="EX70" s="46" t="n"/>
      <c r="EY70" s="46" t="n"/>
      <c r="EZ70" s="46" t="n"/>
      <c r="FA70" s="46" t="n"/>
      <c r="FB70" s="46" t="n"/>
      <c r="FC70" s="46" t="n"/>
      <c r="FD70" s="46" t="n"/>
      <c r="FE70" s="46" t="n"/>
      <c r="FF70" s="46" t="n"/>
      <c r="FG70" s="46" t="n"/>
      <c r="FH70" s="46" t="n"/>
      <c r="FI70" s="46" t="n"/>
      <c r="FJ70" s="46" t="n"/>
      <c r="FK70" s="46" t="n"/>
      <c r="FL70" s="46" t="n"/>
      <c r="FM70" s="46" t="n"/>
      <c r="FN70" s="46" t="n"/>
    </row>
    <row r="71" ht="15" customFormat="1" customHeight="1" s="50">
      <c r="A71" s="49" t="n">
        <v>44136</v>
      </c>
      <c r="B71" s="43" t="n"/>
      <c r="C71" s="43" t="n">
        <v>207.7</v>
      </c>
      <c r="D71" s="44" t="n"/>
      <c r="E71" s="45" t="n"/>
      <c r="F71" s="46" t="n"/>
      <c r="G71" s="43" t="n">
        <v>117.446</v>
      </c>
      <c r="H71" s="43" t="n">
        <v>67.565</v>
      </c>
      <c r="I71" s="47">
        <f>G71/C71</f>
        <v/>
      </c>
      <c r="J71" s="46" t="n"/>
      <c r="K71" s="46" t="n">
        <v>173.513</v>
      </c>
      <c r="L71" s="46" t="n">
        <v>152.242</v>
      </c>
      <c r="M71" s="46" t="n">
        <v>146.857</v>
      </c>
      <c r="N71" s="45">
        <f>1-(M71/L71)</f>
        <v/>
      </c>
      <c r="O71" s="46" t="n">
        <v>154.278</v>
      </c>
      <c r="P71" s="46" t="n">
        <v>56.25</v>
      </c>
      <c r="Q71" s="46" t="n">
        <v>74.28</v>
      </c>
      <c r="R71" s="47">
        <f>K71/2/C71</f>
        <v/>
      </c>
      <c r="S71" s="46" t="n"/>
      <c r="T71" s="45">
        <f>R71+I71</f>
        <v/>
      </c>
      <c r="U71" s="46" t="n"/>
      <c r="V71" s="46" t="n"/>
      <c r="W71" s="46" t="n"/>
      <c r="X71" s="46" t="n"/>
      <c r="Y71" s="46" t="n"/>
      <c r="Z71" s="46" t="n"/>
      <c r="AA71" s="46" t="n"/>
      <c r="AB71" s="46" t="n"/>
      <c r="AC71" s="46" t="n"/>
      <c r="AD71" s="46" t="n"/>
      <c r="AE71" s="46" t="n"/>
      <c r="AF71" s="46" t="n"/>
      <c r="AG71" s="46" t="n"/>
      <c r="AH71" s="46" t="n"/>
      <c r="AI71" s="46" t="n"/>
      <c r="AJ71" s="46" t="n"/>
      <c r="AK71" s="46" t="n"/>
      <c r="AL71" s="46" t="n"/>
      <c r="AM71" s="46" t="n"/>
      <c r="AN71" s="46" t="n"/>
      <c r="AO71" s="46" t="n"/>
      <c r="AP71" s="46" t="n"/>
      <c r="AQ71" s="46" t="n"/>
      <c r="AR71" s="46" t="n"/>
      <c r="AS71" s="46" t="n"/>
      <c r="AT71" s="46" t="n"/>
      <c r="AU71" s="46" t="n"/>
      <c r="AV71" s="46" t="n"/>
      <c r="AW71" s="46" t="n"/>
      <c r="AX71" s="46" t="n"/>
      <c r="AY71" s="46" t="n"/>
      <c r="AZ71" s="46" t="n"/>
      <c r="BA71" s="46" t="n"/>
      <c r="BB71" s="46" t="n"/>
      <c r="BC71" s="46" t="n"/>
      <c r="BD71" s="46" t="n"/>
      <c r="BE71" s="46" t="n"/>
      <c r="BF71" s="46" t="n"/>
      <c r="BG71" s="46" t="n"/>
      <c r="BH71" s="46" t="n"/>
      <c r="BI71" s="46" t="n"/>
      <c r="BJ71" s="46" t="n"/>
      <c r="BK71" s="46" t="n"/>
      <c r="BL71" s="46" t="n"/>
      <c r="BM71" s="46" t="n"/>
      <c r="BN71" s="46" t="n"/>
      <c r="BO71" s="46" t="n"/>
      <c r="BP71" s="46" t="n"/>
      <c r="BQ71" s="46" t="n"/>
      <c r="BR71" s="46" t="n"/>
      <c r="BS71" s="46" t="n"/>
      <c r="BT71" s="46" t="n"/>
      <c r="BU71" s="46" t="n"/>
      <c r="BV71" s="46" t="n"/>
      <c r="BW71" s="46" t="n"/>
      <c r="BX71" s="46" t="n"/>
      <c r="BY71" s="46" t="n"/>
      <c r="BZ71" s="46" t="n"/>
      <c r="CA71" s="46" t="n"/>
      <c r="CB71" s="46" t="n"/>
      <c r="CC71" s="46" t="n"/>
      <c r="CD71" s="46" t="n"/>
      <c r="CE71" s="46" t="n"/>
      <c r="CF71" s="46" t="n"/>
      <c r="CG71" s="46" t="n"/>
      <c r="CH71" s="46" t="n"/>
      <c r="CI71" s="46" t="n"/>
      <c r="CJ71" s="46" t="n"/>
      <c r="CK71" s="46" t="n"/>
      <c r="CL71" s="46" t="n"/>
      <c r="CM71" s="46" t="n"/>
      <c r="CN71" s="46" t="n"/>
      <c r="CO71" s="46" t="n"/>
      <c r="CP71" s="46" t="n"/>
      <c r="CQ71" s="46" t="n"/>
      <c r="CR71" s="46" t="n"/>
      <c r="CS71" s="46" t="n"/>
      <c r="CT71" s="46" t="n"/>
      <c r="CU71" s="46" t="n"/>
      <c r="CV71" s="46" t="n"/>
      <c r="CW71" s="46" t="n"/>
      <c r="CX71" s="46" t="n"/>
      <c r="CY71" s="46" t="n"/>
      <c r="CZ71" s="46" t="n"/>
      <c r="DA71" s="46" t="n"/>
      <c r="DB71" s="46" t="n"/>
      <c r="DC71" s="46" t="n"/>
      <c r="DD71" s="46" t="n"/>
      <c r="DE71" s="46" t="n"/>
      <c r="DF71" s="46" t="n"/>
      <c r="DG71" s="46" t="n"/>
      <c r="DH71" s="46" t="n"/>
      <c r="DI71" s="46" t="n"/>
      <c r="DJ71" s="46" t="n"/>
      <c r="DK71" s="46" t="n"/>
      <c r="DL71" s="46" t="n"/>
      <c r="DM71" s="46" t="n"/>
      <c r="DN71" s="46" t="n"/>
      <c r="DO71" s="46" t="n"/>
      <c r="DP71" s="46" t="n"/>
      <c r="DQ71" s="46" t="n"/>
      <c r="DR71" s="46" t="n"/>
      <c r="DS71" s="46" t="n"/>
      <c r="DT71" s="46" t="n"/>
      <c r="DU71" s="46" t="n"/>
      <c r="DV71" s="46" t="n"/>
      <c r="DW71" s="46" t="n"/>
      <c r="DX71" s="46" t="n"/>
      <c r="DY71" s="46" t="n"/>
      <c r="DZ71" s="46" t="n"/>
      <c r="EA71" s="46" t="n"/>
      <c r="EB71" s="46" t="n"/>
      <c r="EC71" s="46" t="n"/>
      <c r="ED71" s="46" t="n"/>
      <c r="EE71" s="46" t="n"/>
      <c r="EF71" s="46" t="n"/>
      <c r="EG71" s="46" t="n"/>
      <c r="EH71" s="46" t="n"/>
      <c r="EI71" s="46" t="n"/>
      <c r="EJ71" s="46" t="n"/>
      <c r="EK71" s="46" t="n"/>
      <c r="EL71" s="46" t="n"/>
      <c r="EM71" s="46" t="n"/>
      <c r="EN71" s="46" t="n"/>
      <c r="EO71" s="46" t="n"/>
      <c r="EP71" s="46" t="n"/>
      <c r="EQ71" s="46" t="n"/>
      <c r="ER71" s="46" t="n"/>
      <c r="ES71" s="46" t="n"/>
      <c r="ET71" s="46" t="n"/>
      <c r="EU71" s="46" t="n"/>
      <c r="EV71" s="46" t="n"/>
      <c r="EW71" s="46" t="n"/>
      <c r="EX71" s="46" t="n"/>
      <c r="EY71" s="46" t="n"/>
      <c r="EZ71" s="46" t="n"/>
      <c r="FA71" s="46" t="n"/>
      <c r="FB71" s="46" t="n"/>
      <c r="FC71" s="46" t="n"/>
      <c r="FD71" s="46" t="n"/>
      <c r="FE71" s="46" t="n"/>
      <c r="FF71" s="46" t="n"/>
      <c r="FG71" s="46" t="n"/>
      <c r="FH71" s="46" t="n"/>
      <c r="FI71" s="46" t="n"/>
      <c r="FJ71" s="46" t="n"/>
      <c r="FK71" s="46" t="n"/>
      <c r="FL71" s="46" t="n"/>
      <c r="FM71" s="46" t="n"/>
      <c r="FN71" s="46" t="n"/>
    </row>
    <row r="72" ht="15" customFormat="1" customHeight="1" s="50">
      <c r="A72" s="49" t="n">
        <v>44166</v>
      </c>
      <c r="B72" s="43" t="n"/>
      <c r="C72" s="43" t="n">
        <v>215.502</v>
      </c>
      <c r="D72" s="44" t="n"/>
      <c r="E72" s="45" t="n"/>
      <c r="F72" s="46" t="n"/>
      <c r="G72" s="43" t="n">
        <v>118.867</v>
      </c>
      <c r="H72" s="43" t="n">
        <v>32.636</v>
      </c>
      <c r="I72" s="47">
        <f>G72/C72</f>
        <v/>
      </c>
      <c r="J72" s="46" t="n"/>
      <c r="K72" s="46" t="n">
        <v>176.692</v>
      </c>
      <c r="L72" s="46" t="n">
        <v>148.439</v>
      </c>
      <c r="M72" s="46" t="n">
        <v>143.441</v>
      </c>
      <c r="N72" s="45">
        <f>1-(M72/L72)</f>
        <v/>
      </c>
      <c r="O72" s="46" t="n">
        <v>164.192</v>
      </c>
      <c r="P72" s="46" t="n">
        <v>66.05200000000001</v>
      </c>
      <c r="Q72" s="46" t="n">
        <v>98.55500000000001</v>
      </c>
      <c r="R72" s="47">
        <f>K72/2/C72</f>
        <v/>
      </c>
      <c r="S72" s="46" t="n"/>
      <c r="T72" s="45">
        <f>R72+I72</f>
        <v/>
      </c>
      <c r="U72" s="46" t="n"/>
      <c r="V72" s="46" t="n"/>
      <c r="W72" s="46" t="n"/>
      <c r="X72" s="46" t="n"/>
      <c r="Y72" s="46" t="n"/>
      <c r="Z72" s="46" t="n"/>
      <c r="AA72" s="46" t="n"/>
      <c r="AB72" s="46" t="n"/>
      <c r="AC72" s="46" t="n"/>
      <c r="AD72" s="46" t="n"/>
      <c r="AE72" s="46" t="n"/>
      <c r="AF72" s="46" t="n"/>
      <c r="AG72" s="46" t="n"/>
      <c r="AH72" s="46" t="n"/>
      <c r="AI72" s="46" t="n"/>
      <c r="AJ72" s="46" t="n"/>
      <c r="AK72" s="46" t="n"/>
      <c r="AL72" s="46" t="n"/>
      <c r="AM72" s="46" t="n"/>
      <c r="AN72" s="46" t="n"/>
      <c r="AO72" s="46" t="n"/>
      <c r="AP72" s="46" t="n"/>
      <c r="AQ72" s="46" t="n"/>
      <c r="AR72" s="46" t="n"/>
      <c r="AS72" s="46" t="n"/>
      <c r="AT72" s="46" t="n"/>
      <c r="AU72" s="46" t="n"/>
      <c r="AV72" s="46" t="n"/>
      <c r="AW72" s="46" t="n"/>
      <c r="AX72" s="46" t="n"/>
      <c r="AY72" s="46" t="n"/>
      <c r="AZ72" s="46" t="n"/>
      <c r="BA72" s="46" t="n"/>
      <c r="BB72" s="46" t="n"/>
      <c r="BC72" s="46" t="n"/>
      <c r="BD72" s="46" t="n"/>
      <c r="BE72" s="46" t="n"/>
      <c r="BF72" s="46" t="n"/>
      <c r="BG72" s="46" t="n"/>
      <c r="BH72" s="46" t="n"/>
      <c r="BI72" s="46" t="n"/>
      <c r="BJ72" s="46" t="n"/>
      <c r="BK72" s="46" t="n"/>
      <c r="BL72" s="46" t="n"/>
      <c r="BM72" s="46" t="n"/>
      <c r="BN72" s="46" t="n"/>
      <c r="BO72" s="46" t="n"/>
      <c r="BP72" s="46" t="n"/>
      <c r="BQ72" s="46" t="n"/>
      <c r="BR72" s="46" t="n"/>
      <c r="BS72" s="46" t="n"/>
      <c r="BT72" s="46" t="n"/>
      <c r="BU72" s="46" t="n"/>
      <c r="BV72" s="46" t="n"/>
      <c r="BW72" s="46" t="n"/>
      <c r="BX72" s="46" t="n"/>
      <c r="BY72" s="46" t="n"/>
      <c r="BZ72" s="46" t="n"/>
      <c r="CA72" s="46" t="n"/>
      <c r="CB72" s="46" t="n"/>
      <c r="CC72" s="46" t="n"/>
      <c r="CD72" s="46" t="n"/>
      <c r="CE72" s="46" t="n"/>
      <c r="CF72" s="46" t="n"/>
      <c r="CG72" s="46" t="n"/>
      <c r="CH72" s="46" t="n"/>
      <c r="CI72" s="46" t="n"/>
      <c r="CJ72" s="46" t="n"/>
      <c r="CK72" s="46" t="n"/>
      <c r="CL72" s="46" t="n"/>
      <c r="CM72" s="46" t="n"/>
      <c r="CN72" s="46" t="n"/>
      <c r="CO72" s="46" t="n"/>
      <c r="CP72" s="46" t="n"/>
      <c r="CQ72" s="46" t="n"/>
      <c r="CR72" s="46" t="n"/>
      <c r="CS72" s="46" t="n"/>
      <c r="CT72" s="46" t="n"/>
      <c r="CU72" s="46" t="n"/>
      <c r="CV72" s="46" t="n"/>
      <c r="CW72" s="46" t="n"/>
      <c r="CX72" s="46" t="n"/>
      <c r="CY72" s="46" t="n"/>
      <c r="CZ72" s="46" t="n"/>
      <c r="DA72" s="46" t="n"/>
      <c r="DB72" s="46" t="n"/>
      <c r="DC72" s="46" t="n"/>
      <c r="DD72" s="46" t="n"/>
      <c r="DE72" s="46" t="n"/>
      <c r="DF72" s="46" t="n"/>
      <c r="DG72" s="46" t="n"/>
      <c r="DH72" s="46" t="n"/>
      <c r="DI72" s="46" t="n"/>
      <c r="DJ72" s="46" t="n"/>
      <c r="DK72" s="46" t="n"/>
      <c r="DL72" s="46" t="n"/>
      <c r="DM72" s="46" t="n"/>
      <c r="DN72" s="46" t="n"/>
      <c r="DO72" s="46" t="n"/>
      <c r="DP72" s="46" t="n"/>
      <c r="DQ72" s="46" t="n"/>
      <c r="DR72" s="46" t="n"/>
      <c r="DS72" s="46" t="n"/>
      <c r="DT72" s="46" t="n"/>
      <c r="DU72" s="46" t="n"/>
      <c r="DV72" s="46" t="n"/>
      <c r="DW72" s="46" t="n"/>
      <c r="DX72" s="46" t="n"/>
      <c r="DY72" s="46" t="n"/>
      <c r="DZ72" s="46" t="n"/>
      <c r="EA72" s="46" t="n"/>
      <c r="EB72" s="46" t="n"/>
      <c r="EC72" s="46" t="n"/>
      <c r="ED72" s="46" t="n"/>
      <c r="EE72" s="46" t="n"/>
      <c r="EF72" s="46" t="n"/>
      <c r="EG72" s="46" t="n"/>
      <c r="EH72" s="46" t="n"/>
      <c r="EI72" s="46" t="n"/>
      <c r="EJ72" s="46" t="n"/>
      <c r="EK72" s="46" t="n"/>
      <c r="EL72" s="46" t="n"/>
      <c r="EM72" s="46" t="n"/>
      <c r="EN72" s="46" t="n"/>
      <c r="EO72" s="46" t="n"/>
      <c r="EP72" s="46" t="n"/>
      <c r="EQ72" s="46" t="n"/>
      <c r="ER72" s="46" t="n"/>
      <c r="ES72" s="46" t="n"/>
      <c r="ET72" s="46" t="n"/>
      <c r="EU72" s="46" t="n"/>
      <c r="EV72" s="46" t="n"/>
      <c r="EW72" s="46" t="n"/>
      <c r="EX72" s="46" t="n"/>
      <c r="EY72" s="46" t="n"/>
      <c r="EZ72" s="46" t="n"/>
      <c r="FA72" s="46" t="n"/>
      <c r="FB72" s="46" t="n"/>
      <c r="FC72" s="46" t="n"/>
      <c r="FD72" s="46" t="n"/>
      <c r="FE72" s="46" t="n"/>
      <c r="FF72" s="46" t="n"/>
      <c r="FG72" s="46" t="n"/>
      <c r="FH72" s="46" t="n"/>
      <c r="FI72" s="46" t="n"/>
      <c r="FJ72" s="46" t="n"/>
      <c r="FK72" s="46" t="n"/>
      <c r="FL72" s="46" t="n"/>
      <c r="FM72" s="46" t="n"/>
      <c r="FN72" s="46" t="n"/>
    </row>
    <row r="73" ht="15" customFormat="1" customHeight="1" s="50">
      <c r="A73" s="49" t="n">
        <v>44197</v>
      </c>
      <c r="B73" s="43" t="n"/>
      <c r="C73" s="43" t="n">
        <v>186.114</v>
      </c>
      <c r="D73" s="44" t="n"/>
      <c r="E73" s="45" t="n"/>
      <c r="F73" s="46" t="n"/>
      <c r="G73" s="43" t="n">
        <v>105.473</v>
      </c>
      <c r="H73" s="43" t="n">
        <v>34.394</v>
      </c>
      <c r="I73" s="47">
        <f>G73/C73</f>
        <v/>
      </c>
      <c r="J73" s="46" t="n"/>
      <c r="K73" s="46" t="n">
        <v>156.818</v>
      </c>
      <c r="L73" s="46" t="n">
        <v>142.925</v>
      </c>
      <c r="M73" s="46" t="n">
        <v>137.882</v>
      </c>
      <c r="N73" s="45">
        <f>1-(M73/L73)</f>
        <v/>
      </c>
      <c r="O73" s="46" t="n">
        <v>143.157</v>
      </c>
      <c r="P73" s="46" t="n">
        <v>67.096</v>
      </c>
      <c r="Q73" s="46" t="n">
        <v>117.918</v>
      </c>
      <c r="R73" s="47">
        <f>K73/2/C73</f>
        <v/>
      </c>
      <c r="S73" s="46" t="n"/>
      <c r="T73" s="45">
        <f>R73+I73</f>
        <v/>
      </c>
      <c r="U73" s="46" t="n"/>
      <c r="V73" s="46" t="n"/>
      <c r="W73" s="46" t="n"/>
      <c r="X73" s="46" t="n"/>
      <c r="Y73" s="46" t="n"/>
      <c r="Z73" s="46" t="n"/>
      <c r="AA73" s="46" t="n"/>
      <c r="AB73" s="46" t="n"/>
      <c r="AC73" s="46" t="n"/>
      <c r="AD73" s="46" t="n"/>
      <c r="AE73" s="46" t="n"/>
      <c r="AF73" s="46" t="n"/>
      <c r="AG73" s="46" t="n"/>
      <c r="AH73" s="46" t="n"/>
      <c r="AI73" s="46" t="n"/>
      <c r="AJ73" s="46" t="n"/>
      <c r="AK73" s="46" t="n"/>
      <c r="AL73" s="46" t="n"/>
      <c r="AM73" s="46" t="n"/>
      <c r="AN73" s="46" t="n"/>
      <c r="AO73" s="46" t="n"/>
      <c r="AP73" s="46" t="n"/>
      <c r="AQ73" s="46" t="n"/>
      <c r="AR73" s="46" t="n"/>
      <c r="AS73" s="46" t="n"/>
      <c r="AT73" s="46" t="n"/>
      <c r="AU73" s="46" t="n"/>
      <c r="AV73" s="46" t="n"/>
      <c r="AW73" s="46" t="n"/>
      <c r="AX73" s="46" t="n"/>
      <c r="AY73" s="46" t="n"/>
      <c r="AZ73" s="46" t="n"/>
      <c r="BA73" s="46" t="n"/>
      <c r="BB73" s="46" t="n"/>
      <c r="BC73" s="46" t="n"/>
      <c r="BD73" s="46" t="n"/>
      <c r="BE73" s="46" t="n"/>
      <c r="BF73" s="46" t="n"/>
      <c r="BG73" s="46" t="n"/>
      <c r="BH73" s="46" t="n"/>
      <c r="BI73" s="46" t="n"/>
      <c r="BJ73" s="46" t="n"/>
      <c r="BK73" s="46" t="n"/>
      <c r="BL73" s="46" t="n"/>
      <c r="BM73" s="46" t="n"/>
      <c r="BN73" s="46" t="n"/>
      <c r="BO73" s="46" t="n"/>
      <c r="BP73" s="46" t="n"/>
      <c r="BQ73" s="46" t="n"/>
      <c r="BR73" s="46" t="n"/>
      <c r="BS73" s="46" t="n"/>
      <c r="BT73" s="46" t="n"/>
      <c r="BU73" s="46" t="n"/>
      <c r="BV73" s="46" t="n"/>
      <c r="BW73" s="46" t="n"/>
      <c r="BX73" s="46" t="n"/>
      <c r="BY73" s="46" t="n"/>
      <c r="BZ73" s="46" t="n"/>
      <c r="CA73" s="46" t="n"/>
      <c r="CB73" s="46" t="n"/>
      <c r="CC73" s="46" t="n"/>
      <c r="CD73" s="46" t="n"/>
      <c r="CE73" s="46" t="n"/>
      <c r="CF73" s="46" t="n"/>
      <c r="CG73" s="46" t="n"/>
      <c r="CH73" s="46" t="n"/>
      <c r="CI73" s="46" t="n"/>
      <c r="CJ73" s="46" t="n"/>
      <c r="CK73" s="46" t="n"/>
      <c r="CL73" s="46" t="n"/>
      <c r="CM73" s="46" t="n"/>
      <c r="CN73" s="46" t="n"/>
      <c r="CO73" s="46" t="n"/>
      <c r="CP73" s="46" t="n"/>
      <c r="CQ73" s="46" t="n"/>
      <c r="CR73" s="46" t="n"/>
      <c r="CS73" s="46" t="n"/>
      <c r="CT73" s="46" t="n"/>
      <c r="CU73" s="46" t="n"/>
      <c r="CV73" s="46" t="n"/>
      <c r="CW73" s="46" t="n"/>
      <c r="CX73" s="46" t="n"/>
      <c r="CY73" s="46" t="n"/>
      <c r="CZ73" s="46" t="n"/>
      <c r="DA73" s="46" t="n"/>
      <c r="DB73" s="46" t="n"/>
      <c r="DC73" s="46" t="n"/>
      <c r="DD73" s="46" t="n"/>
      <c r="DE73" s="46" t="n"/>
      <c r="DF73" s="46" t="n"/>
      <c r="DG73" s="46" t="n"/>
      <c r="DH73" s="46" t="n"/>
      <c r="DI73" s="46" t="n"/>
      <c r="DJ73" s="46" t="n"/>
      <c r="DK73" s="46" t="n"/>
      <c r="DL73" s="46" t="n"/>
      <c r="DM73" s="46" t="n"/>
      <c r="DN73" s="46" t="n"/>
      <c r="DO73" s="46" t="n"/>
      <c r="DP73" s="46" t="n"/>
      <c r="DQ73" s="46" t="n"/>
      <c r="DR73" s="46" t="n"/>
      <c r="DS73" s="46" t="n"/>
      <c r="DT73" s="46" t="n"/>
      <c r="DU73" s="46" t="n"/>
      <c r="DV73" s="46" t="n"/>
      <c r="DW73" s="46" t="n"/>
      <c r="DX73" s="46" t="n"/>
      <c r="DY73" s="46" t="n"/>
      <c r="DZ73" s="46" t="n"/>
      <c r="EA73" s="46" t="n"/>
      <c r="EB73" s="46" t="n"/>
      <c r="EC73" s="46" t="n"/>
      <c r="ED73" s="46" t="n"/>
      <c r="EE73" s="46" t="n"/>
      <c r="EF73" s="46" t="n"/>
      <c r="EG73" s="46" t="n"/>
      <c r="EH73" s="46" t="n"/>
      <c r="EI73" s="46" t="n"/>
      <c r="EJ73" s="46" t="n"/>
      <c r="EK73" s="46" t="n"/>
      <c r="EL73" s="46" t="n"/>
      <c r="EM73" s="46" t="n"/>
      <c r="EN73" s="46" t="n"/>
      <c r="EO73" s="46" t="n"/>
      <c r="EP73" s="46" t="n"/>
      <c r="EQ73" s="46" t="n"/>
      <c r="ER73" s="46" t="n"/>
      <c r="ES73" s="46" t="n"/>
      <c r="ET73" s="46" t="n"/>
      <c r="EU73" s="46" t="n"/>
      <c r="EV73" s="46" t="n"/>
      <c r="EW73" s="46" t="n"/>
      <c r="EX73" s="46" t="n"/>
      <c r="EY73" s="46" t="n"/>
      <c r="EZ73" s="46" t="n"/>
      <c r="FA73" s="46" t="n"/>
      <c r="FB73" s="46" t="n"/>
      <c r="FC73" s="46" t="n"/>
      <c r="FD73" s="46" t="n"/>
      <c r="FE73" s="46" t="n"/>
      <c r="FF73" s="46" t="n"/>
      <c r="FG73" s="46" t="n"/>
      <c r="FH73" s="46" t="n"/>
      <c r="FI73" s="46" t="n"/>
      <c r="FJ73" s="46" t="n"/>
      <c r="FK73" s="46" t="n"/>
      <c r="FL73" s="46" t="n"/>
      <c r="FM73" s="46" t="n"/>
      <c r="FN73" s="46" t="n"/>
    </row>
    <row r="74" ht="15" customFormat="1" customHeight="1" s="50">
      <c r="A74" s="49" t="n">
        <v>44228</v>
      </c>
      <c r="B74" s="43" t="n"/>
      <c r="C74" s="43" t="n">
        <v>162.675</v>
      </c>
      <c r="D74" s="44" t="n"/>
      <c r="E74" s="45" t="n"/>
      <c r="F74" s="46" t="n"/>
      <c r="G74" s="43" t="n">
        <v>94.84</v>
      </c>
      <c r="H74" s="43" t="n">
        <v>33.429</v>
      </c>
      <c r="I74" s="47">
        <f>G74/C74</f>
        <v/>
      </c>
      <c r="J74" s="46" t="n"/>
      <c r="K74" s="46" t="n">
        <v>136.767</v>
      </c>
      <c r="L74" s="46" t="n">
        <v>140.84</v>
      </c>
      <c r="M74" s="46" t="n">
        <v>136.031</v>
      </c>
      <c r="N74" s="45">
        <f>1-(M74/L74)</f>
        <v/>
      </c>
      <c r="O74" s="46" t="n">
        <v>147.849</v>
      </c>
      <c r="P74" s="46" t="n">
        <v>55.844</v>
      </c>
      <c r="Q74" s="46" t="n">
        <v>81.667</v>
      </c>
      <c r="R74" s="47">
        <f>K74/2/C74</f>
        <v/>
      </c>
      <c r="S74" s="46" t="n"/>
      <c r="T74" s="45">
        <f>R74+I74</f>
        <v/>
      </c>
      <c r="U74" s="46" t="n"/>
      <c r="V74" s="46" t="n"/>
      <c r="W74" s="46" t="n"/>
      <c r="X74" s="46" t="n"/>
      <c r="Y74" s="46" t="n"/>
      <c r="Z74" s="46" t="n"/>
      <c r="AA74" s="46" t="n"/>
      <c r="AB74" s="46" t="n"/>
      <c r="AC74" s="46" t="n"/>
      <c r="AD74" s="46" t="n"/>
      <c r="AE74" s="46" t="n"/>
      <c r="AF74" s="46" t="n"/>
      <c r="AG74" s="46" t="n"/>
      <c r="AH74" s="46" t="n"/>
      <c r="AI74" s="46" t="n"/>
      <c r="AJ74" s="46" t="n"/>
      <c r="AK74" s="46" t="n"/>
      <c r="AL74" s="46" t="n"/>
      <c r="AM74" s="46" t="n"/>
      <c r="AN74" s="46" t="n"/>
      <c r="AO74" s="46" t="n"/>
      <c r="AP74" s="46" t="n"/>
      <c r="AQ74" s="46" t="n"/>
      <c r="AR74" s="46" t="n"/>
      <c r="AS74" s="46" t="n"/>
      <c r="AT74" s="46" t="n"/>
      <c r="AU74" s="46" t="n"/>
      <c r="AV74" s="46" t="n"/>
      <c r="AW74" s="46" t="n"/>
      <c r="AX74" s="46" t="n"/>
      <c r="AY74" s="46" t="n"/>
      <c r="AZ74" s="46" t="n"/>
      <c r="BA74" s="46" t="n"/>
      <c r="BB74" s="46" t="n"/>
      <c r="BC74" s="46" t="n"/>
      <c r="BD74" s="46" t="n"/>
      <c r="BE74" s="46" t="n"/>
      <c r="BF74" s="46" t="n"/>
      <c r="BG74" s="46" t="n"/>
      <c r="BH74" s="46" t="n"/>
      <c r="BI74" s="46" t="n"/>
      <c r="BJ74" s="46" t="n"/>
      <c r="BK74" s="46" t="n"/>
      <c r="BL74" s="46" t="n"/>
      <c r="BM74" s="46" t="n"/>
      <c r="BN74" s="46" t="n"/>
      <c r="BO74" s="46" t="n"/>
      <c r="BP74" s="46" t="n"/>
      <c r="BQ74" s="46" t="n"/>
      <c r="BR74" s="46" t="n"/>
      <c r="BS74" s="46" t="n"/>
      <c r="BT74" s="46" t="n"/>
      <c r="BU74" s="46" t="n"/>
      <c r="BV74" s="46" t="n"/>
      <c r="BW74" s="46" t="n"/>
      <c r="BX74" s="46" t="n"/>
      <c r="BY74" s="46" t="n"/>
      <c r="BZ74" s="46" t="n"/>
      <c r="CA74" s="46" t="n"/>
      <c r="CB74" s="46" t="n"/>
      <c r="CC74" s="46" t="n"/>
      <c r="CD74" s="46" t="n"/>
      <c r="CE74" s="46" t="n"/>
      <c r="CF74" s="46" t="n"/>
      <c r="CG74" s="46" t="n"/>
      <c r="CH74" s="46" t="n"/>
      <c r="CI74" s="46" t="n"/>
      <c r="CJ74" s="46" t="n"/>
      <c r="CK74" s="46" t="n"/>
      <c r="CL74" s="46" t="n"/>
      <c r="CM74" s="46" t="n"/>
      <c r="CN74" s="46" t="n"/>
      <c r="CO74" s="46" t="n"/>
      <c r="CP74" s="46" t="n"/>
      <c r="CQ74" s="46" t="n"/>
      <c r="CR74" s="46" t="n"/>
      <c r="CS74" s="46" t="n"/>
      <c r="CT74" s="46" t="n"/>
      <c r="CU74" s="46" t="n"/>
      <c r="CV74" s="46" t="n"/>
      <c r="CW74" s="46" t="n"/>
      <c r="CX74" s="46" t="n"/>
      <c r="CY74" s="46" t="n"/>
      <c r="CZ74" s="46" t="n"/>
      <c r="DA74" s="46" t="n"/>
      <c r="DB74" s="46" t="n"/>
      <c r="DC74" s="46" t="n"/>
      <c r="DD74" s="46" t="n"/>
      <c r="DE74" s="46" t="n"/>
      <c r="DF74" s="46" t="n"/>
      <c r="DG74" s="46" t="n"/>
      <c r="DH74" s="46" t="n"/>
      <c r="DI74" s="46" t="n"/>
      <c r="DJ74" s="46" t="n"/>
      <c r="DK74" s="46" t="n"/>
      <c r="DL74" s="46" t="n"/>
      <c r="DM74" s="46" t="n"/>
      <c r="DN74" s="46" t="n"/>
      <c r="DO74" s="46" t="n"/>
      <c r="DP74" s="46" t="n"/>
      <c r="DQ74" s="46" t="n"/>
      <c r="DR74" s="46" t="n"/>
      <c r="DS74" s="46" t="n"/>
      <c r="DT74" s="46" t="n"/>
      <c r="DU74" s="46" t="n"/>
      <c r="DV74" s="46" t="n"/>
      <c r="DW74" s="46" t="n"/>
      <c r="DX74" s="46" t="n"/>
      <c r="DY74" s="46" t="n"/>
      <c r="DZ74" s="46" t="n"/>
      <c r="EA74" s="46" t="n"/>
      <c r="EB74" s="46" t="n"/>
      <c r="EC74" s="46" t="n"/>
      <c r="ED74" s="46" t="n"/>
      <c r="EE74" s="46" t="n"/>
      <c r="EF74" s="46" t="n"/>
      <c r="EG74" s="46" t="n"/>
      <c r="EH74" s="46" t="n"/>
      <c r="EI74" s="46" t="n"/>
      <c r="EJ74" s="46" t="n"/>
      <c r="EK74" s="46" t="n"/>
      <c r="EL74" s="46" t="n"/>
      <c r="EM74" s="46" t="n"/>
      <c r="EN74" s="46" t="n"/>
      <c r="EO74" s="46" t="n"/>
      <c r="EP74" s="46" t="n"/>
      <c r="EQ74" s="46" t="n"/>
      <c r="ER74" s="46" t="n"/>
      <c r="ES74" s="46" t="n"/>
      <c r="ET74" s="46" t="n"/>
      <c r="EU74" s="46" t="n"/>
      <c r="EV74" s="46" t="n"/>
      <c r="EW74" s="46" t="n"/>
      <c r="EX74" s="46" t="n"/>
      <c r="EY74" s="46" t="n"/>
      <c r="EZ74" s="46" t="n"/>
      <c r="FA74" s="46" t="n"/>
      <c r="FB74" s="46" t="n"/>
      <c r="FC74" s="46" t="n"/>
      <c r="FD74" s="46" t="n"/>
      <c r="FE74" s="46" t="n"/>
      <c r="FF74" s="46" t="n"/>
      <c r="FG74" s="46" t="n"/>
      <c r="FH74" s="46" t="n"/>
      <c r="FI74" s="46" t="n"/>
      <c r="FJ74" s="46" t="n"/>
      <c r="FK74" s="46" t="n"/>
      <c r="FL74" s="46" t="n"/>
      <c r="FM74" s="46" t="n"/>
      <c r="FN74" s="46" t="n"/>
    </row>
    <row r="75" ht="15" customFormat="1" customHeight="1" s="50">
      <c r="A75" s="49" t="n">
        <v>44256</v>
      </c>
      <c r="B75" s="43" t="n"/>
      <c r="C75" s="43" t="n">
        <v>207.096</v>
      </c>
      <c r="D75" s="44" t="n"/>
      <c r="E75" s="45" t="n"/>
      <c r="F75" s="46" t="n"/>
      <c r="G75" s="43" t="n">
        <v>115.712</v>
      </c>
      <c r="H75" s="43" t="n">
        <v>28.741</v>
      </c>
      <c r="I75" s="47">
        <f>G75/C75</f>
        <v/>
      </c>
      <c r="J75" s="46" t="n"/>
      <c r="K75" s="46" t="n">
        <v>172.196</v>
      </c>
      <c r="L75" s="46" t="n">
        <v>160.686</v>
      </c>
      <c r="M75" s="46" t="n">
        <v>155.434</v>
      </c>
      <c r="N75" s="45">
        <f>1-(M75/L75)</f>
        <v/>
      </c>
      <c r="O75" s="46" t="n">
        <v>156.722</v>
      </c>
      <c r="P75" s="46" t="n">
        <v>49.785</v>
      </c>
      <c r="Q75" s="46" t="n">
        <v>78.54300000000001</v>
      </c>
      <c r="R75" s="47">
        <f>K75/2/C75</f>
        <v/>
      </c>
      <c r="S75" s="46" t="n"/>
      <c r="T75" s="45">
        <f>R75+I75</f>
        <v/>
      </c>
      <c r="U75" s="46" t="n"/>
      <c r="V75" s="46" t="n"/>
      <c r="W75" s="46" t="n"/>
      <c r="X75" s="46" t="n"/>
      <c r="Y75" s="46" t="n"/>
      <c r="Z75" s="46" t="n"/>
      <c r="AA75" s="46" t="n"/>
      <c r="AB75" s="46" t="n"/>
      <c r="AC75" s="46" t="n"/>
      <c r="AD75" s="46" t="n"/>
      <c r="AE75" s="46" t="n"/>
      <c r="AF75" s="46" t="n"/>
      <c r="AG75" s="46" t="n"/>
      <c r="AH75" s="46" t="n"/>
      <c r="AI75" s="46" t="n"/>
      <c r="AJ75" s="46" t="n"/>
      <c r="AK75" s="46" t="n"/>
      <c r="AL75" s="46" t="n"/>
      <c r="AM75" s="46" t="n"/>
      <c r="AN75" s="46" t="n"/>
      <c r="AO75" s="46" t="n"/>
      <c r="AP75" s="46" t="n"/>
      <c r="AQ75" s="46" t="n"/>
      <c r="AR75" s="46" t="n"/>
      <c r="AS75" s="46" t="n"/>
      <c r="AT75" s="46" t="n"/>
      <c r="AU75" s="46" t="n"/>
      <c r="AV75" s="46" t="n"/>
      <c r="AW75" s="46" t="n"/>
      <c r="AX75" s="46" t="n"/>
      <c r="AY75" s="46" t="n"/>
      <c r="AZ75" s="46" t="n"/>
      <c r="BA75" s="46" t="n"/>
      <c r="BB75" s="46" t="n"/>
      <c r="BC75" s="46" t="n"/>
      <c r="BD75" s="46" t="n"/>
      <c r="BE75" s="46" t="n"/>
      <c r="BF75" s="46" t="n"/>
      <c r="BG75" s="46" t="n"/>
      <c r="BH75" s="46" t="n"/>
      <c r="BI75" s="46" t="n"/>
      <c r="BJ75" s="46" t="n"/>
      <c r="BK75" s="46" t="n"/>
      <c r="BL75" s="46" t="n"/>
      <c r="BM75" s="46" t="n"/>
      <c r="BN75" s="46" t="n"/>
      <c r="BO75" s="46" t="n"/>
      <c r="BP75" s="46" t="n"/>
      <c r="BQ75" s="46" t="n"/>
      <c r="BR75" s="46" t="n"/>
      <c r="BS75" s="46" t="n"/>
      <c r="BT75" s="46" t="n"/>
      <c r="BU75" s="46" t="n"/>
      <c r="BV75" s="46" t="n"/>
      <c r="BW75" s="46" t="n"/>
      <c r="BX75" s="46" t="n"/>
      <c r="BY75" s="46" t="n"/>
      <c r="BZ75" s="46" t="n"/>
      <c r="CA75" s="46" t="n"/>
      <c r="CB75" s="46" t="n"/>
      <c r="CC75" s="46" t="n"/>
      <c r="CD75" s="46" t="n"/>
      <c r="CE75" s="46" t="n"/>
      <c r="CF75" s="46" t="n"/>
      <c r="CG75" s="46" t="n"/>
      <c r="CH75" s="46" t="n"/>
      <c r="CI75" s="46" t="n"/>
      <c r="CJ75" s="46" t="n"/>
      <c r="CK75" s="46" t="n"/>
      <c r="CL75" s="46" t="n"/>
      <c r="CM75" s="46" t="n"/>
      <c r="CN75" s="46" t="n"/>
      <c r="CO75" s="46" t="n"/>
      <c r="CP75" s="46" t="n"/>
      <c r="CQ75" s="46" t="n"/>
      <c r="CR75" s="46" t="n"/>
      <c r="CS75" s="46" t="n"/>
      <c r="CT75" s="46" t="n"/>
      <c r="CU75" s="46" t="n"/>
      <c r="CV75" s="46" t="n"/>
      <c r="CW75" s="46" t="n"/>
      <c r="CX75" s="46" t="n"/>
      <c r="CY75" s="46" t="n"/>
      <c r="CZ75" s="46" t="n"/>
      <c r="DA75" s="46" t="n"/>
      <c r="DB75" s="46" t="n"/>
      <c r="DC75" s="46" t="n"/>
      <c r="DD75" s="46" t="n"/>
      <c r="DE75" s="46" t="n"/>
      <c r="DF75" s="46" t="n"/>
      <c r="DG75" s="46" t="n"/>
      <c r="DH75" s="46" t="n"/>
      <c r="DI75" s="46" t="n"/>
      <c r="DJ75" s="46" t="n"/>
      <c r="DK75" s="46" t="n"/>
      <c r="DL75" s="46" t="n"/>
      <c r="DM75" s="46" t="n"/>
      <c r="DN75" s="46" t="n"/>
      <c r="DO75" s="46" t="n"/>
      <c r="DP75" s="46" t="n"/>
      <c r="DQ75" s="46" t="n"/>
      <c r="DR75" s="46" t="n"/>
      <c r="DS75" s="46" t="n"/>
      <c r="DT75" s="46" t="n"/>
      <c r="DU75" s="46" t="n"/>
      <c r="DV75" s="46" t="n"/>
      <c r="DW75" s="46" t="n"/>
      <c r="DX75" s="46" t="n"/>
      <c r="DY75" s="46" t="n"/>
      <c r="DZ75" s="46" t="n"/>
      <c r="EA75" s="46" t="n"/>
      <c r="EB75" s="46" t="n"/>
      <c r="EC75" s="46" t="n"/>
      <c r="ED75" s="46" t="n"/>
      <c r="EE75" s="46" t="n"/>
      <c r="EF75" s="46" t="n"/>
      <c r="EG75" s="46" t="n"/>
      <c r="EH75" s="46" t="n"/>
      <c r="EI75" s="46" t="n"/>
      <c r="EJ75" s="46" t="n"/>
      <c r="EK75" s="46" t="n"/>
      <c r="EL75" s="46" t="n"/>
      <c r="EM75" s="46" t="n"/>
      <c r="EN75" s="46" t="n"/>
      <c r="EO75" s="46" t="n"/>
      <c r="EP75" s="46" t="n"/>
      <c r="EQ75" s="46" t="n"/>
      <c r="ER75" s="46" t="n"/>
      <c r="ES75" s="46" t="n"/>
      <c r="ET75" s="46" t="n"/>
      <c r="EU75" s="46" t="n"/>
      <c r="EV75" s="46" t="n"/>
      <c r="EW75" s="46" t="n"/>
      <c r="EX75" s="46" t="n"/>
      <c r="EY75" s="46" t="n"/>
      <c r="EZ75" s="46" t="n"/>
      <c r="FA75" s="46" t="n"/>
      <c r="FB75" s="46" t="n"/>
      <c r="FC75" s="46" t="n"/>
      <c r="FD75" s="46" t="n"/>
      <c r="FE75" s="46" t="n"/>
      <c r="FF75" s="46" t="n"/>
      <c r="FG75" s="46" t="n"/>
      <c r="FH75" s="46" t="n"/>
      <c r="FI75" s="46" t="n"/>
      <c r="FJ75" s="46" t="n"/>
      <c r="FK75" s="46" t="n"/>
      <c r="FL75" s="46" t="n"/>
      <c r="FM75" s="46" t="n"/>
      <c r="FN75" s="46" t="n"/>
    </row>
    <row r="76" ht="15" customFormat="1" customHeight="1" s="50">
      <c r="A76" s="49" t="n">
        <v>44287</v>
      </c>
      <c r="B76" s="43" t="n"/>
      <c r="C76" s="43" t="n">
        <v>193.146</v>
      </c>
      <c r="D76" s="44" t="n"/>
      <c r="E76" s="45" t="n"/>
      <c r="F76" s="46" t="n"/>
      <c r="G76" s="43" t="n">
        <v>111.658</v>
      </c>
      <c r="H76" s="43" t="n">
        <v>33.419</v>
      </c>
      <c r="I76" s="47">
        <f>G76/C76</f>
        <v/>
      </c>
      <c r="J76" s="46" t="n"/>
      <c r="K76" s="46" t="n">
        <v>160.03</v>
      </c>
      <c r="L76" s="46" t="n">
        <v>150.342</v>
      </c>
      <c r="M76" s="46" t="n">
        <v>144.334</v>
      </c>
      <c r="N76" s="45">
        <f>1-(M76/L76)</f>
        <v/>
      </c>
      <c r="O76" s="46" t="n">
        <v>148.155</v>
      </c>
      <c r="P76" s="46" t="n">
        <v>66.276</v>
      </c>
      <c r="Q76" s="46" t="n">
        <v>95.834</v>
      </c>
      <c r="R76" s="47">
        <f>K76/2/C76</f>
        <v/>
      </c>
      <c r="S76" s="46" t="n"/>
      <c r="T76" s="45">
        <f>R76+I76</f>
        <v/>
      </c>
      <c r="U76" s="46" t="n"/>
      <c r="V76" s="46" t="n"/>
      <c r="W76" s="46" t="n"/>
      <c r="X76" s="46" t="n"/>
      <c r="Y76" s="46" t="n"/>
      <c r="Z76" s="46" t="n"/>
      <c r="AA76" s="46" t="n"/>
      <c r="AB76" s="46" t="n"/>
      <c r="AC76" s="46" t="n"/>
      <c r="AD76" s="46" t="n"/>
      <c r="AE76" s="46" t="n"/>
      <c r="AF76" s="46" t="n"/>
      <c r="AG76" s="46" t="n"/>
      <c r="AH76" s="46" t="n"/>
      <c r="AI76" s="46" t="n"/>
      <c r="AJ76" s="46" t="n"/>
      <c r="AK76" s="46" t="n"/>
      <c r="AL76" s="46" t="n"/>
      <c r="AM76" s="46" t="n"/>
      <c r="AN76" s="46" t="n"/>
      <c r="AO76" s="46" t="n"/>
      <c r="AP76" s="46" t="n"/>
      <c r="AQ76" s="46" t="n"/>
      <c r="AR76" s="46" t="n"/>
      <c r="AS76" s="46" t="n"/>
      <c r="AT76" s="46" t="n"/>
      <c r="AU76" s="46" t="n"/>
      <c r="AV76" s="46" t="n"/>
      <c r="AW76" s="46" t="n"/>
      <c r="AX76" s="46" t="n"/>
      <c r="AY76" s="46" t="n"/>
      <c r="AZ76" s="46" t="n"/>
      <c r="BA76" s="46" t="n"/>
      <c r="BB76" s="46" t="n"/>
      <c r="BC76" s="46" t="n"/>
      <c r="BD76" s="46" t="n"/>
      <c r="BE76" s="46" t="n"/>
      <c r="BF76" s="46" t="n"/>
      <c r="BG76" s="46" t="n"/>
      <c r="BH76" s="46" t="n"/>
      <c r="BI76" s="46" t="n"/>
      <c r="BJ76" s="46" t="n"/>
      <c r="BK76" s="46" t="n"/>
      <c r="BL76" s="46" t="n"/>
      <c r="BM76" s="46" t="n"/>
      <c r="BN76" s="46" t="n"/>
      <c r="BO76" s="46" t="n"/>
      <c r="BP76" s="46" t="n"/>
      <c r="BQ76" s="46" t="n"/>
      <c r="BR76" s="46" t="n"/>
      <c r="BS76" s="46" t="n"/>
      <c r="BT76" s="46" t="n"/>
      <c r="BU76" s="46" t="n"/>
      <c r="BV76" s="46" t="n"/>
      <c r="BW76" s="46" t="n"/>
      <c r="BX76" s="46" t="n"/>
      <c r="BY76" s="46" t="n"/>
      <c r="BZ76" s="46" t="n"/>
      <c r="CA76" s="46" t="n"/>
      <c r="CB76" s="46" t="n"/>
      <c r="CC76" s="46" t="n"/>
      <c r="CD76" s="46" t="n"/>
      <c r="CE76" s="46" t="n"/>
      <c r="CF76" s="46" t="n"/>
      <c r="CG76" s="46" t="n"/>
      <c r="CH76" s="46" t="n"/>
      <c r="CI76" s="46" t="n"/>
      <c r="CJ76" s="46" t="n"/>
      <c r="CK76" s="46" t="n"/>
      <c r="CL76" s="46" t="n"/>
      <c r="CM76" s="46" t="n"/>
      <c r="CN76" s="46" t="n"/>
      <c r="CO76" s="46" t="n"/>
      <c r="CP76" s="46" t="n"/>
      <c r="CQ76" s="46" t="n"/>
      <c r="CR76" s="46" t="n"/>
      <c r="CS76" s="46" t="n"/>
      <c r="CT76" s="46" t="n"/>
      <c r="CU76" s="46" t="n"/>
      <c r="CV76" s="46" t="n"/>
      <c r="CW76" s="46" t="n"/>
      <c r="CX76" s="46" t="n"/>
      <c r="CY76" s="46" t="n"/>
      <c r="CZ76" s="46" t="n"/>
      <c r="DA76" s="46" t="n"/>
      <c r="DB76" s="46" t="n"/>
      <c r="DC76" s="46" t="n"/>
      <c r="DD76" s="46" t="n"/>
      <c r="DE76" s="46" t="n"/>
      <c r="DF76" s="46" t="n"/>
      <c r="DG76" s="46" t="n"/>
      <c r="DH76" s="46" t="n"/>
      <c r="DI76" s="46" t="n"/>
      <c r="DJ76" s="46" t="n"/>
      <c r="DK76" s="46" t="n"/>
      <c r="DL76" s="46" t="n"/>
      <c r="DM76" s="46" t="n"/>
      <c r="DN76" s="46" t="n"/>
      <c r="DO76" s="46" t="n"/>
      <c r="DP76" s="46" t="n"/>
      <c r="DQ76" s="46" t="n"/>
      <c r="DR76" s="46" t="n"/>
      <c r="DS76" s="46" t="n"/>
      <c r="DT76" s="46" t="n"/>
      <c r="DU76" s="46" t="n"/>
      <c r="DV76" s="46" t="n"/>
      <c r="DW76" s="46" t="n"/>
      <c r="DX76" s="46" t="n"/>
      <c r="DY76" s="46" t="n"/>
      <c r="DZ76" s="46" t="n"/>
      <c r="EA76" s="46" t="n"/>
      <c r="EB76" s="46" t="n"/>
      <c r="EC76" s="46" t="n"/>
      <c r="ED76" s="46" t="n"/>
      <c r="EE76" s="46" t="n"/>
      <c r="EF76" s="46" t="n"/>
      <c r="EG76" s="46" t="n"/>
      <c r="EH76" s="46" t="n"/>
      <c r="EI76" s="46" t="n"/>
      <c r="EJ76" s="46" t="n"/>
      <c r="EK76" s="46" t="n"/>
      <c r="EL76" s="46" t="n"/>
      <c r="EM76" s="46" t="n"/>
      <c r="EN76" s="46" t="n"/>
      <c r="EO76" s="46" t="n"/>
      <c r="EP76" s="46" t="n"/>
      <c r="EQ76" s="46" t="n"/>
      <c r="ER76" s="46" t="n"/>
      <c r="ES76" s="46" t="n"/>
      <c r="ET76" s="46" t="n"/>
      <c r="EU76" s="46" t="n"/>
      <c r="EV76" s="46" t="n"/>
      <c r="EW76" s="46" t="n"/>
      <c r="EX76" s="46" t="n"/>
      <c r="EY76" s="46" t="n"/>
      <c r="EZ76" s="46" t="n"/>
      <c r="FA76" s="46" t="n"/>
      <c r="FB76" s="46" t="n"/>
      <c r="FC76" s="46" t="n"/>
      <c r="FD76" s="46" t="n"/>
      <c r="FE76" s="46" t="n"/>
      <c r="FF76" s="46" t="n"/>
      <c r="FG76" s="46" t="n"/>
      <c r="FH76" s="46" t="n"/>
      <c r="FI76" s="46" t="n"/>
      <c r="FJ76" s="46" t="n"/>
      <c r="FK76" s="46" t="n"/>
      <c r="FL76" s="46" t="n"/>
      <c r="FM76" s="46" t="n"/>
      <c r="FN76" s="46" t="n"/>
    </row>
    <row r="77" ht="15" customFormat="1" customHeight="1" s="50">
      <c r="A77" s="49" t="n">
        <v>44317</v>
      </c>
      <c r="B77" s="43" t="n"/>
      <c r="C77" s="43" t="n">
        <v>159.12</v>
      </c>
      <c r="D77" s="44" t="n"/>
      <c r="E77" s="45" t="n"/>
      <c r="F77" s="46" t="n"/>
      <c r="G77" s="43" t="n">
        <v>90.476</v>
      </c>
      <c r="H77" s="43" t="n">
        <v>37.702</v>
      </c>
      <c r="I77" s="47">
        <f>G77/C77</f>
        <v/>
      </c>
      <c r="J77" s="46" t="n"/>
      <c r="K77" s="46" t="n">
        <v>133.761</v>
      </c>
      <c r="L77" s="46" t="n">
        <v>153.601</v>
      </c>
      <c r="M77" s="46" t="n">
        <v>148.502</v>
      </c>
      <c r="N77" s="45">
        <f>1-(M77/L77)</f>
        <v/>
      </c>
      <c r="O77" s="46" t="n">
        <v>142.906</v>
      </c>
      <c r="P77" s="46" t="n">
        <v>69.07899999999999</v>
      </c>
      <c r="Q77" s="46" t="n">
        <v>116.197</v>
      </c>
      <c r="R77" s="47">
        <f>K77/2/C77</f>
        <v/>
      </c>
      <c r="S77" s="46" t="n"/>
      <c r="T77" s="45">
        <f>R77+I77</f>
        <v/>
      </c>
      <c r="U77" s="46" t="n"/>
      <c r="V77" s="46" t="n"/>
      <c r="W77" s="46" t="n"/>
      <c r="X77" s="46" t="n"/>
      <c r="Y77" s="46" t="n"/>
      <c r="Z77" s="46" t="n"/>
      <c r="AA77" s="46" t="n"/>
      <c r="AB77" s="46" t="n"/>
      <c r="AC77" s="46" t="n"/>
      <c r="AD77" s="46" t="n"/>
      <c r="AE77" s="46" t="n"/>
      <c r="AF77" s="46" t="n"/>
      <c r="AG77" s="46" t="n"/>
      <c r="AH77" s="46" t="n"/>
      <c r="AI77" s="46" t="n"/>
      <c r="AJ77" s="46" t="n"/>
      <c r="AK77" s="46" t="n"/>
      <c r="AL77" s="46" t="n"/>
      <c r="AM77" s="46" t="n"/>
      <c r="AN77" s="46" t="n"/>
      <c r="AO77" s="46" t="n"/>
      <c r="AP77" s="46" t="n"/>
      <c r="AQ77" s="46" t="n"/>
      <c r="AR77" s="46" t="n"/>
      <c r="AS77" s="46" t="n"/>
      <c r="AT77" s="46" t="n"/>
      <c r="AU77" s="46" t="n"/>
      <c r="AV77" s="46" t="n"/>
      <c r="AW77" s="46" t="n"/>
      <c r="AX77" s="46" t="n"/>
      <c r="AY77" s="46" t="n"/>
      <c r="AZ77" s="46" t="n"/>
      <c r="BA77" s="46" t="n"/>
      <c r="BB77" s="46" t="n"/>
      <c r="BC77" s="46" t="n"/>
      <c r="BD77" s="46" t="n"/>
      <c r="BE77" s="46" t="n"/>
      <c r="BF77" s="46" t="n"/>
      <c r="BG77" s="46" t="n"/>
      <c r="BH77" s="46" t="n"/>
      <c r="BI77" s="46" t="n"/>
      <c r="BJ77" s="46" t="n"/>
      <c r="BK77" s="46" t="n"/>
      <c r="BL77" s="46" t="n"/>
      <c r="BM77" s="46" t="n"/>
      <c r="BN77" s="46" t="n"/>
      <c r="BO77" s="46" t="n"/>
      <c r="BP77" s="46" t="n"/>
      <c r="BQ77" s="46" t="n"/>
      <c r="BR77" s="46" t="n"/>
      <c r="BS77" s="46" t="n"/>
      <c r="BT77" s="46" t="n"/>
      <c r="BU77" s="46" t="n"/>
      <c r="BV77" s="46" t="n"/>
      <c r="BW77" s="46" t="n"/>
      <c r="BX77" s="46" t="n"/>
      <c r="BY77" s="46" t="n"/>
      <c r="BZ77" s="46" t="n"/>
      <c r="CA77" s="46" t="n"/>
      <c r="CB77" s="46" t="n"/>
      <c r="CC77" s="46" t="n"/>
      <c r="CD77" s="46" t="n"/>
      <c r="CE77" s="46" t="n"/>
      <c r="CF77" s="46" t="n"/>
      <c r="CG77" s="46" t="n"/>
      <c r="CH77" s="46" t="n"/>
      <c r="CI77" s="46" t="n"/>
      <c r="CJ77" s="46" t="n"/>
      <c r="CK77" s="46" t="n"/>
      <c r="CL77" s="46" t="n"/>
      <c r="CM77" s="46" t="n"/>
      <c r="CN77" s="46" t="n"/>
      <c r="CO77" s="46" t="n"/>
      <c r="CP77" s="46" t="n"/>
      <c r="CQ77" s="46" t="n"/>
      <c r="CR77" s="46" t="n"/>
      <c r="CS77" s="46" t="n"/>
      <c r="CT77" s="46" t="n"/>
      <c r="CU77" s="46" t="n"/>
      <c r="CV77" s="46" t="n"/>
      <c r="CW77" s="46" t="n"/>
      <c r="CX77" s="46" t="n"/>
      <c r="CY77" s="46" t="n"/>
      <c r="CZ77" s="46" t="n"/>
      <c r="DA77" s="46" t="n"/>
      <c r="DB77" s="46" t="n"/>
      <c r="DC77" s="46" t="n"/>
      <c r="DD77" s="46" t="n"/>
      <c r="DE77" s="46" t="n"/>
      <c r="DF77" s="46" t="n"/>
      <c r="DG77" s="46" t="n"/>
      <c r="DH77" s="46" t="n"/>
      <c r="DI77" s="46" t="n"/>
      <c r="DJ77" s="46" t="n"/>
      <c r="DK77" s="46" t="n"/>
      <c r="DL77" s="46" t="n"/>
      <c r="DM77" s="46" t="n"/>
      <c r="DN77" s="46" t="n"/>
      <c r="DO77" s="46" t="n"/>
      <c r="DP77" s="46" t="n"/>
      <c r="DQ77" s="46" t="n"/>
      <c r="DR77" s="46" t="n"/>
      <c r="DS77" s="46" t="n"/>
      <c r="DT77" s="46" t="n"/>
      <c r="DU77" s="46" t="n"/>
      <c r="DV77" s="46" t="n"/>
      <c r="DW77" s="46" t="n"/>
      <c r="DX77" s="46" t="n"/>
      <c r="DY77" s="46" t="n"/>
      <c r="DZ77" s="46" t="n"/>
      <c r="EA77" s="46" t="n"/>
      <c r="EB77" s="46" t="n"/>
      <c r="EC77" s="46" t="n"/>
      <c r="ED77" s="46" t="n"/>
      <c r="EE77" s="46" t="n"/>
      <c r="EF77" s="46" t="n"/>
      <c r="EG77" s="46" t="n"/>
      <c r="EH77" s="46" t="n"/>
      <c r="EI77" s="46" t="n"/>
      <c r="EJ77" s="46" t="n"/>
      <c r="EK77" s="46" t="n"/>
      <c r="EL77" s="46" t="n"/>
      <c r="EM77" s="46" t="n"/>
      <c r="EN77" s="46" t="n"/>
      <c r="EO77" s="46" t="n"/>
      <c r="EP77" s="46" t="n"/>
      <c r="EQ77" s="46" t="n"/>
      <c r="ER77" s="46" t="n"/>
      <c r="ES77" s="46" t="n"/>
      <c r="ET77" s="46" t="n"/>
      <c r="EU77" s="46" t="n"/>
      <c r="EV77" s="46" t="n"/>
      <c r="EW77" s="46" t="n"/>
      <c r="EX77" s="46" t="n"/>
      <c r="EY77" s="46" t="n"/>
      <c r="EZ77" s="46" t="n"/>
      <c r="FA77" s="46" t="n"/>
      <c r="FB77" s="46" t="n"/>
      <c r="FC77" s="46" t="n"/>
      <c r="FD77" s="46" t="n"/>
      <c r="FE77" s="46" t="n"/>
      <c r="FF77" s="46" t="n"/>
      <c r="FG77" s="46" t="n"/>
      <c r="FH77" s="46" t="n"/>
      <c r="FI77" s="46" t="n"/>
      <c r="FJ77" s="46" t="n"/>
      <c r="FK77" s="46" t="n"/>
      <c r="FL77" s="46" t="n"/>
      <c r="FM77" s="46" t="n"/>
      <c r="FN77" s="46" t="n"/>
    </row>
    <row r="78" ht="15" customFormat="1" customHeight="1" s="50">
      <c r="A78" s="49" t="n">
        <v>44348</v>
      </c>
      <c r="B78" s="43" t="n"/>
      <c r="C78" s="43" t="n">
        <v>163.537</v>
      </c>
      <c r="D78" s="44" t="n"/>
      <c r="E78" s="45" t="n"/>
      <c r="F78" s="46" t="n"/>
      <c r="G78" s="43" t="n">
        <v>92.08199999999999</v>
      </c>
      <c r="H78" s="43" t="n">
        <v>32.051</v>
      </c>
      <c r="I78" s="47">
        <f>G78/C78</f>
        <v/>
      </c>
      <c r="J78" s="46" t="n"/>
      <c r="K78" s="46" t="n">
        <v>134.531</v>
      </c>
      <c r="L78" s="46" t="n">
        <v>161.257</v>
      </c>
      <c r="M78" s="46" t="n">
        <v>156.727</v>
      </c>
      <c r="N78" s="45">
        <f>1-(M78/L78)</f>
        <v/>
      </c>
      <c r="O78" s="46" t="n">
        <v>150.195</v>
      </c>
      <c r="P78" s="46" t="n">
        <v>58.289</v>
      </c>
      <c r="Q78" s="46" t="n">
        <v>126.972</v>
      </c>
      <c r="R78" s="47">
        <f>K78/2/C78</f>
        <v/>
      </c>
      <c r="S78" s="46" t="n"/>
      <c r="T78" s="45">
        <f>R78+I78</f>
        <v/>
      </c>
      <c r="U78" s="46" t="n"/>
      <c r="V78" s="46" t="n"/>
      <c r="W78" s="46" t="n"/>
      <c r="X78" s="46" t="n"/>
      <c r="Y78" s="46" t="n"/>
      <c r="Z78" s="46" t="n"/>
      <c r="AA78" s="46" t="n"/>
      <c r="AB78" s="46" t="n"/>
      <c r="AC78" s="46" t="n"/>
      <c r="AD78" s="46" t="n"/>
      <c r="AE78" s="46" t="n"/>
      <c r="AF78" s="46" t="n"/>
      <c r="AG78" s="46" t="n"/>
      <c r="AH78" s="46" t="n"/>
      <c r="AI78" s="46" t="n"/>
      <c r="AJ78" s="46" t="n"/>
      <c r="AK78" s="46" t="n"/>
      <c r="AL78" s="46" t="n"/>
      <c r="AM78" s="46" t="n"/>
      <c r="AN78" s="46" t="n"/>
      <c r="AO78" s="46" t="n"/>
      <c r="AP78" s="46" t="n"/>
      <c r="AQ78" s="46" t="n"/>
      <c r="AR78" s="46" t="n"/>
      <c r="AS78" s="46" t="n"/>
      <c r="AT78" s="46" t="n"/>
      <c r="AU78" s="46" t="n"/>
      <c r="AV78" s="46" t="n"/>
      <c r="AW78" s="46" t="n"/>
      <c r="AX78" s="46" t="n"/>
      <c r="AY78" s="46" t="n"/>
      <c r="AZ78" s="46" t="n"/>
      <c r="BA78" s="46" t="n"/>
      <c r="BB78" s="46" t="n"/>
      <c r="BC78" s="46" t="n"/>
      <c r="BD78" s="46" t="n"/>
      <c r="BE78" s="46" t="n"/>
      <c r="BF78" s="46" t="n"/>
      <c r="BG78" s="46" t="n"/>
      <c r="BH78" s="46" t="n"/>
      <c r="BI78" s="46" t="n"/>
      <c r="BJ78" s="46" t="n"/>
      <c r="BK78" s="46" t="n"/>
      <c r="BL78" s="46" t="n"/>
      <c r="BM78" s="46" t="n"/>
      <c r="BN78" s="46" t="n"/>
      <c r="BO78" s="46" t="n"/>
      <c r="BP78" s="46" t="n"/>
      <c r="BQ78" s="46" t="n"/>
      <c r="BR78" s="46" t="n"/>
      <c r="BS78" s="46" t="n"/>
      <c r="BT78" s="46" t="n"/>
      <c r="BU78" s="46" t="n"/>
      <c r="BV78" s="46" t="n"/>
      <c r="BW78" s="46" t="n"/>
      <c r="BX78" s="46" t="n"/>
      <c r="BY78" s="46" t="n"/>
      <c r="BZ78" s="46" t="n"/>
      <c r="CA78" s="46" t="n"/>
      <c r="CB78" s="46" t="n"/>
      <c r="CC78" s="46" t="n"/>
      <c r="CD78" s="46" t="n"/>
      <c r="CE78" s="46" t="n"/>
      <c r="CF78" s="46" t="n"/>
      <c r="CG78" s="46" t="n"/>
      <c r="CH78" s="46" t="n"/>
      <c r="CI78" s="46" t="n"/>
      <c r="CJ78" s="46" t="n"/>
      <c r="CK78" s="46" t="n"/>
      <c r="CL78" s="46" t="n"/>
      <c r="CM78" s="46" t="n"/>
      <c r="CN78" s="46" t="n"/>
      <c r="CO78" s="46" t="n"/>
      <c r="CP78" s="46" t="n"/>
      <c r="CQ78" s="46" t="n"/>
      <c r="CR78" s="46" t="n"/>
      <c r="CS78" s="46" t="n"/>
      <c r="CT78" s="46" t="n"/>
      <c r="CU78" s="46" t="n"/>
      <c r="CV78" s="46" t="n"/>
      <c r="CW78" s="46" t="n"/>
      <c r="CX78" s="46" t="n"/>
      <c r="CY78" s="46" t="n"/>
      <c r="CZ78" s="46" t="n"/>
      <c r="DA78" s="46" t="n"/>
      <c r="DB78" s="46" t="n"/>
      <c r="DC78" s="46" t="n"/>
      <c r="DD78" s="46" t="n"/>
      <c r="DE78" s="46" t="n"/>
      <c r="DF78" s="46" t="n"/>
      <c r="DG78" s="46" t="n"/>
      <c r="DH78" s="46" t="n"/>
      <c r="DI78" s="46" t="n"/>
      <c r="DJ78" s="46" t="n"/>
      <c r="DK78" s="46" t="n"/>
      <c r="DL78" s="46" t="n"/>
      <c r="DM78" s="46" t="n"/>
      <c r="DN78" s="46" t="n"/>
      <c r="DO78" s="46" t="n"/>
      <c r="DP78" s="46" t="n"/>
      <c r="DQ78" s="46" t="n"/>
      <c r="DR78" s="46" t="n"/>
      <c r="DS78" s="46" t="n"/>
      <c r="DT78" s="46" t="n"/>
      <c r="DU78" s="46" t="n"/>
      <c r="DV78" s="46" t="n"/>
      <c r="DW78" s="46" t="n"/>
      <c r="DX78" s="46" t="n"/>
      <c r="DY78" s="46" t="n"/>
      <c r="DZ78" s="46" t="n"/>
      <c r="EA78" s="46" t="n"/>
      <c r="EB78" s="46" t="n"/>
      <c r="EC78" s="46" t="n"/>
      <c r="ED78" s="46" t="n"/>
      <c r="EE78" s="46" t="n"/>
      <c r="EF78" s="46" t="n"/>
      <c r="EG78" s="46" t="n"/>
      <c r="EH78" s="46" t="n"/>
      <c r="EI78" s="46" t="n"/>
      <c r="EJ78" s="46" t="n"/>
      <c r="EK78" s="46" t="n"/>
      <c r="EL78" s="46" t="n"/>
      <c r="EM78" s="46" t="n"/>
      <c r="EN78" s="46" t="n"/>
      <c r="EO78" s="46" t="n"/>
      <c r="EP78" s="46" t="n"/>
      <c r="EQ78" s="46" t="n"/>
      <c r="ER78" s="46" t="n"/>
      <c r="ES78" s="46" t="n"/>
      <c r="ET78" s="46" t="n"/>
      <c r="EU78" s="46" t="n"/>
      <c r="EV78" s="46" t="n"/>
      <c r="EW78" s="46" t="n"/>
      <c r="EX78" s="46" t="n"/>
      <c r="EY78" s="46" t="n"/>
      <c r="EZ78" s="46" t="n"/>
      <c r="FA78" s="46" t="n"/>
      <c r="FB78" s="46" t="n"/>
      <c r="FC78" s="46" t="n"/>
      <c r="FD78" s="46" t="n"/>
      <c r="FE78" s="46" t="n"/>
      <c r="FF78" s="46" t="n"/>
      <c r="FG78" s="46" t="n"/>
      <c r="FH78" s="46" t="n"/>
      <c r="FI78" s="46" t="n"/>
      <c r="FJ78" s="46" t="n"/>
      <c r="FK78" s="46" t="n"/>
      <c r="FL78" s="46" t="n"/>
      <c r="FM78" s="46" t="n"/>
      <c r="FN78" s="46" t="n"/>
    </row>
    <row r="79" ht="15" customFormat="1" customHeight="1" s="50">
      <c r="A79" s="49" t="n">
        <v>44378</v>
      </c>
      <c r="B79" s="43" t="n"/>
      <c r="C79" s="43" t="n">
        <v>145.967</v>
      </c>
      <c r="D79" s="44" t="n"/>
      <c r="E79" s="45" t="n"/>
      <c r="F79" s="46" t="n"/>
      <c r="G79" s="43" t="n">
        <v>87.751</v>
      </c>
      <c r="H79" s="43" t="n">
        <v>30.292</v>
      </c>
      <c r="I79" s="47">
        <f>G79/C79</f>
        <v/>
      </c>
      <c r="J79" s="46" t="n"/>
      <c r="K79" s="46" t="n">
        <v>124.634</v>
      </c>
      <c r="L79" s="46" t="n">
        <v>151.308</v>
      </c>
      <c r="M79" s="46" t="n">
        <v>147.02</v>
      </c>
      <c r="N79" s="45">
        <f>1-(M79/L79)</f>
        <v/>
      </c>
      <c r="O79" s="46" t="n">
        <v>152.983</v>
      </c>
      <c r="P79" s="46" t="n">
        <v>47.186</v>
      </c>
      <c r="Q79" s="46" t="n">
        <v>108.223</v>
      </c>
      <c r="R79" s="47">
        <f>K79/2/C79</f>
        <v/>
      </c>
      <c r="S79" s="46" t="n"/>
      <c r="T79" s="45">
        <f>R79+I79</f>
        <v/>
      </c>
      <c r="U79" s="46" t="n"/>
      <c r="V79" s="46" t="n"/>
      <c r="W79" s="46" t="n"/>
      <c r="X79" s="46" t="n"/>
      <c r="Y79" s="46" t="n"/>
      <c r="Z79" s="46" t="n"/>
      <c r="AA79" s="46" t="n"/>
      <c r="AB79" s="46" t="n"/>
      <c r="AC79" s="46" t="n"/>
      <c r="AD79" s="46" t="n"/>
      <c r="AE79" s="46" t="n"/>
      <c r="AF79" s="46" t="n"/>
      <c r="AG79" s="46" t="n"/>
      <c r="AH79" s="46" t="n"/>
      <c r="AI79" s="46" t="n"/>
      <c r="AJ79" s="46" t="n"/>
      <c r="AK79" s="46" t="n"/>
      <c r="AL79" s="46" t="n"/>
      <c r="AM79" s="46" t="n"/>
      <c r="AN79" s="46" t="n"/>
      <c r="AO79" s="46" t="n"/>
      <c r="AP79" s="46" t="n"/>
      <c r="AQ79" s="46" t="n"/>
      <c r="AR79" s="46" t="n"/>
      <c r="AS79" s="46" t="n"/>
      <c r="AT79" s="46" t="n"/>
      <c r="AU79" s="46" t="n"/>
      <c r="AV79" s="46" t="n"/>
      <c r="AW79" s="46" t="n"/>
      <c r="AX79" s="46" t="n"/>
      <c r="AY79" s="46" t="n"/>
      <c r="AZ79" s="46" t="n"/>
      <c r="BA79" s="46" t="n"/>
      <c r="BB79" s="46" t="n"/>
      <c r="BC79" s="46" t="n"/>
      <c r="BD79" s="46" t="n"/>
      <c r="BE79" s="46" t="n"/>
      <c r="BF79" s="46" t="n"/>
      <c r="BG79" s="46" t="n"/>
      <c r="BH79" s="46" t="n"/>
      <c r="BI79" s="46" t="n"/>
      <c r="BJ79" s="46" t="n"/>
      <c r="BK79" s="46" t="n"/>
      <c r="BL79" s="46" t="n"/>
      <c r="BM79" s="46" t="n"/>
      <c r="BN79" s="46" t="n"/>
      <c r="BO79" s="46" t="n"/>
      <c r="BP79" s="46" t="n"/>
      <c r="BQ79" s="46" t="n"/>
      <c r="BR79" s="46" t="n"/>
      <c r="BS79" s="46" t="n"/>
      <c r="BT79" s="46" t="n"/>
      <c r="BU79" s="46" t="n"/>
      <c r="BV79" s="46" t="n"/>
      <c r="BW79" s="46" t="n"/>
      <c r="BX79" s="46" t="n"/>
      <c r="BY79" s="46" t="n"/>
      <c r="BZ79" s="46" t="n"/>
      <c r="CA79" s="46" t="n"/>
      <c r="CB79" s="46" t="n"/>
      <c r="CC79" s="46" t="n"/>
      <c r="CD79" s="46" t="n"/>
      <c r="CE79" s="46" t="n"/>
      <c r="CF79" s="46" t="n"/>
      <c r="CG79" s="46" t="n"/>
      <c r="CH79" s="46" t="n"/>
      <c r="CI79" s="46" t="n"/>
      <c r="CJ79" s="46" t="n"/>
      <c r="CK79" s="46" t="n"/>
      <c r="CL79" s="46" t="n"/>
      <c r="CM79" s="46" t="n"/>
      <c r="CN79" s="46" t="n"/>
      <c r="CO79" s="46" t="n"/>
      <c r="CP79" s="46" t="n"/>
      <c r="CQ79" s="46" t="n"/>
      <c r="CR79" s="46" t="n"/>
      <c r="CS79" s="46" t="n"/>
      <c r="CT79" s="46" t="n"/>
      <c r="CU79" s="46" t="n"/>
      <c r="CV79" s="46" t="n"/>
      <c r="CW79" s="46" t="n"/>
      <c r="CX79" s="46" t="n"/>
      <c r="CY79" s="46" t="n"/>
      <c r="CZ79" s="46" t="n"/>
      <c r="DA79" s="46" t="n"/>
      <c r="DB79" s="46" t="n"/>
      <c r="DC79" s="46" t="n"/>
      <c r="DD79" s="46" t="n"/>
      <c r="DE79" s="46" t="n"/>
      <c r="DF79" s="46" t="n"/>
      <c r="DG79" s="46" t="n"/>
      <c r="DH79" s="46" t="n"/>
      <c r="DI79" s="46" t="n"/>
      <c r="DJ79" s="46" t="n"/>
      <c r="DK79" s="46" t="n"/>
      <c r="DL79" s="46" t="n"/>
      <c r="DM79" s="46" t="n"/>
      <c r="DN79" s="46" t="n"/>
      <c r="DO79" s="46" t="n"/>
      <c r="DP79" s="46" t="n"/>
      <c r="DQ79" s="46" t="n"/>
      <c r="DR79" s="46" t="n"/>
      <c r="DS79" s="46" t="n"/>
      <c r="DT79" s="46" t="n"/>
      <c r="DU79" s="46" t="n"/>
      <c r="DV79" s="46" t="n"/>
      <c r="DW79" s="46" t="n"/>
      <c r="DX79" s="46" t="n"/>
      <c r="DY79" s="46" t="n"/>
      <c r="DZ79" s="46" t="n"/>
      <c r="EA79" s="46" t="n"/>
      <c r="EB79" s="46" t="n"/>
      <c r="EC79" s="46" t="n"/>
      <c r="ED79" s="46" t="n"/>
      <c r="EE79" s="46" t="n"/>
      <c r="EF79" s="46" t="n"/>
      <c r="EG79" s="46" t="n"/>
      <c r="EH79" s="46" t="n"/>
      <c r="EI79" s="46" t="n"/>
      <c r="EJ79" s="46" t="n"/>
      <c r="EK79" s="46" t="n"/>
      <c r="EL79" s="46" t="n"/>
      <c r="EM79" s="46" t="n"/>
      <c r="EN79" s="46" t="n"/>
      <c r="EO79" s="46" t="n"/>
      <c r="EP79" s="46" t="n"/>
      <c r="EQ79" s="46" t="n"/>
      <c r="ER79" s="46" t="n"/>
      <c r="ES79" s="46" t="n"/>
      <c r="ET79" s="46" t="n"/>
      <c r="EU79" s="46" t="n"/>
      <c r="EV79" s="46" t="n"/>
      <c r="EW79" s="46" t="n"/>
      <c r="EX79" s="46" t="n"/>
      <c r="EY79" s="46" t="n"/>
      <c r="EZ79" s="46" t="n"/>
      <c r="FA79" s="46" t="n"/>
      <c r="FB79" s="46" t="n"/>
      <c r="FC79" s="46" t="n"/>
      <c r="FD79" s="46" t="n"/>
      <c r="FE79" s="46" t="n"/>
      <c r="FF79" s="46" t="n"/>
      <c r="FG79" s="46" t="n"/>
      <c r="FH79" s="46" t="n"/>
      <c r="FI79" s="46" t="n"/>
      <c r="FJ79" s="46" t="n"/>
      <c r="FK79" s="46" t="n"/>
      <c r="FL79" s="46" t="n"/>
      <c r="FM79" s="46" t="n"/>
      <c r="FN79" s="46" t="n"/>
    </row>
    <row r="80" ht="15" customFormat="1" customHeight="1" s="50">
      <c r="A80" s="49" t="n">
        <v>44409</v>
      </c>
      <c r="B80" s="43" t="n"/>
      <c r="C80" s="43" t="n">
        <v>131.15</v>
      </c>
      <c r="D80" s="44" t="n"/>
      <c r="E80" s="45" t="n"/>
      <c r="F80" s="46" t="n"/>
      <c r="G80" s="43" t="n">
        <v>74.518</v>
      </c>
      <c r="H80" s="43" t="n">
        <v>31.171</v>
      </c>
      <c r="I80" s="47">
        <f>G80/C80</f>
        <v/>
      </c>
      <c r="J80" s="46" t="n"/>
      <c r="K80" s="46" t="n">
        <v>103.99</v>
      </c>
      <c r="L80" s="46" t="n">
        <v>120.96</v>
      </c>
      <c r="M80" s="46" t="n">
        <v>117.319</v>
      </c>
      <c r="N80" s="45">
        <f>1-(M80/L80)</f>
        <v/>
      </c>
      <c r="O80" s="46" t="n">
        <v>123.949</v>
      </c>
      <c r="P80" s="46" t="n">
        <v>27.229</v>
      </c>
      <c r="Q80" s="46" t="n">
        <v>100.832</v>
      </c>
      <c r="R80" s="47">
        <f>K80/2/C80</f>
        <v/>
      </c>
      <c r="S80" s="46" t="n"/>
      <c r="T80" s="45">
        <f>R80+I80</f>
        <v/>
      </c>
      <c r="U80" s="46" t="n"/>
      <c r="V80" s="46" t="n"/>
      <c r="W80" s="46" t="n"/>
      <c r="X80" s="46" t="n"/>
      <c r="Y80" s="46" t="n"/>
      <c r="Z80" s="46" t="n"/>
      <c r="AA80" s="46" t="n"/>
      <c r="AB80" s="46" t="n"/>
      <c r="AC80" s="46" t="n"/>
      <c r="AD80" s="46" t="n"/>
      <c r="AE80" s="46" t="n"/>
      <c r="AF80" s="46" t="n"/>
      <c r="AG80" s="46" t="n"/>
      <c r="AH80" s="46" t="n"/>
      <c r="AI80" s="46" t="n"/>
      <c r="AJ80" s="46" t="n"/>
      <c r="AK80" s="46" t="n"/>
      <c r="AL80" s="46" t="n"/>
      <c r="AM80" s="46" t="n"/>
      <c r="AN80" s="46" t="n"/>
      <c r="AO80" s="46" t="n"/>
      <c r="AP80" s="46" t="n"/>
      <c r="AQ80" s="46" t="n"/>
      <c r="AR80" s="46" t="n"/>
      <c r="AS80" s="46" t="n"/>
      <c r="AT80" s="46" t="n"/>
      <c r="AU80" s="46" t="n"/>
      <c r="AV80" s="46" t="n"/>
      <c r="AW80" s="46" t="n"/>
      <c r="AX80" s="46" t="n"/>
      <c r="AY80" s="46" t="n"/>
      <c r="AZ80" s="46" t="n"/>
      <c r="BA80" s="46" t="n"/>
      <c r="BB80" s="46" t="n"/>
      <c r="BC80" s="46" t="n"/>
      <c r="BD80" s="46" t="n"/>
      <c r="BE80" s="46" t="n"/>
      <c r="BF80" s="46" t="n"/>
      <c r="BG80" s="46" t="n"/>
      <c r="BH80" s="46" t="n"/>
      <c r="BI80" s="46" t="n"/>
      <c r="BJ80" s="46" t="n"/>
      <c r="BK80" s="46" t="n"/>
      <c r="BL80" s="46" t="n"/>
      <c r="BM80" s="46" t="n"/>
      <c r="BN80" s="46" t="n"/>
      <c r="BO80" s="46" t="n"/>
      <c r="BP80" s="46" t="n"/>
      <c r="BQ80" s="46" t="n"/>
      <c r="BR80" s="46" t="n"/>
      <c r="BS80" s="46" t="n"/>
      <c r="BT80" s="46" t="n"/>
      <c r="BU80" s="46" t="n"/>
      <c r="BV80" s="46" t="n"/>
      <c r="BW80" s="46" t="n"/>
      <c r="BX80" s="46" t="n"/>
      <c r="BY80" s="46" t="n"/>
      <c r="BZ80" s="46" t="n"/>
      <c r="CA80" s="46" t="n"/>
      <c r="CB80" s="46" t="n"/>
      <c r="CC80" s="46" t="n"/>
      <c r="CD80" s="46" t="n"/>
      <c r="CE80" s="46" t="n"/>
      <c r="CF80" s="46" t="n"/>
      <c r="CG80" s="46" t="n"/>
      <c r="CH80" s="46" t="n"/>
      <c r="CI80" s="46" t="n"/>
      <c r="CJ80" s="46" t="n"/>
      <c r="CK80" s="46" t="n"/>
      <c r="CL80" s="46" t="n"/>
      <c r="CM80" s="46" t="n"/>
      <c r="CN80" s="46" t="n"/>
      <c r="CO80" s="46" t="n"/>
      <c r="CP80" s="46" t="n"/>
      <c r="CQ80" s="46" t="n"/>
      <c r="CR80" s="46" t="n"/>
      <c r="CS80" s="46" t="n"/>
      <c r="CT80" s="46" t="n"/>
      <c r="CU80" s="46" t="n"/>
      <c r="CV80" s="46" t="n"/>
      <c r="CW80" s="46" t="n"/>
      <c r="CX80" s="46" t="n"/>
      <c r="CY80" s="46" t="n"/>
      <c r="CZ80" s="46" t="n"/>
      <c r="DA80" s="46" t="n"/>
      <c r="DB80" s="46" t="n"/>
      <c r="DC80" s="46" t="n"/>
      <c r="DD80" s="46" t="n"/>
      <c r="DE80" s="46" t="n"/>
      <c r="DF80" s="46" t="n"/>
      <c r="DG80" s="46" t="n"/>
      <c r="DH80" s="46" t="n"/>
      <c r="DI80" s="46" t="n"/>
      <c r="DJ80" s="46" t="n"/>
      <c r="DK80" s="46" t="n"/>
      <c r="DL80" s="46" t="n"/>
      <c r="DM80" s="46" t="n"/>
      <c r="DN80" s="46" t="n"/>
      <c r="DO80" s="46" t="n"/>
      <c r="DP80" s="46" t="n"/>
      <c r="DQ80" s="46" t="n"/>
      <c r="DR80" s="46" t="n"/>
      <c r="DS80" s="46" t="n"/>
      <c r="DT80" s="46" t="n"/>
      <c r="DU80" s="46" t="n"/>
      <c r="DV80" s="46" t="n"/>
      <c r="DW80" s="46" t="n"/>
      <c r="DX80" s="46" t="n"/>
      <c r="DY80" s="46" t="n"/>
      <c r="DZ80" s="46" t="n"/>
      <c r="EA80" s="46" t="n"/>
      <c r="EB80" s="46" t="n"/>
      <c r="EC80" s="46" t="n"/>
      <c r="ED80" s="46" t="n"/>
      <c r="EE80" s="46" t="n"/>
      <c r="EF80" s="46" t="n"/>
      <c r="EG80" s="46" t="n"/>
      <c r="EH80" s="46" t="n"/>
      <c r="EI80" s="46" t="n"/>
      <c r="EJ80" s="46" t="n"/>
      <c r="EK80" s="46" t="n"/>
      <c r="EL80" s="46" t="n"/>
      <c r="EM80" s="46" t="n"/>
      <c r="EN80" s="46" t="n"/>
      <c r="EO80" s="46" t="n"/>
      <c r="EP80" s="46" t="n"/>
      <c r="EQ80" s="46" t="n"/>
      <c r="ER80" s="46" t="n"/>
      <c r="ES80" s="46" t="n"/>
      <c r="ET80" s="46" t="n"/>
      <c r="EU80" s="46" t="n"/>
      <c r="EV80" s="46" t="n"/>
      <c r="EW80" s="46" t="n"/>
      <c r="EX80" s="46" t="n"/>
      <c r="EY80" s="46" t="n"/>
      <c r="EZ80" s="46" t="n"/>
      <c r="FA80" s="46" t="n"/>
      <c r="FB80" s="46" t="n"/>
      <c r="FC80" s="46" t="n"/>
      <c r="FD80" s="46" t="n"/>
      <c r="FE80" s="46" t="n"/>
      <c r="FF80" s="46" t="n"/>
      <c r="FG80" s="46" t="n"/>
      <c r="FH80" s="46" t="n"/>
      <c r="FI80" s="46" t="n"/>
      <c r="FJ80" s="46" t="n"/>
      <c r="FK80" s="46" t="n"/>
      <c r="FL80" s="46" t="n"/>
      <c r="FM80" s="46" t="n"/>
      <c r="FN80" s="46" t="n"/>
    </row>
    <row r="81" ht="15" customFormat="1" customHeight="1" s="50">
      <c r="A81" s="49" t="n">
        <v>44440</v>
      </c>
      <c r="B81" s="43" t="n"/>
      <c r="C81" s="43" t="n">
        <v>168.464</v>
      </c>
      <c r="D81" s="44" t="n"/>
      <c r="E81" s="45" t="n"/>
      <c r="F81" s="46" t="n"/>
      <c r="G81" s="43" t="n">
        <v>97.932</v>
      </c>
      <c r="H81" s="43" t="n">
        <v>36.403</v>
      </c>
      <c r="I81" s="47">
        <f>G81/C81</f>
        <v/>
      </c>
      <c r="J81" s="46" t="n"/>
      <c r="K81" s="46" t="n">
        <v>135.812</v>
      </c>
      <c r="L81" s="46" t="n">
        <v>143.631</v>
      </c>
      <c r="M81" s="46" t="n">
        <v>139.331</v>
      </c>
      <c r="N81" s="45">
        <f>1-(M81/L81)</f>
        <v/>
      </c>
      <c r="O81" s="46" t="n">
        <v>141.095</v>
      </c>
      <c r="P81" s="46" t="n">
        <v>34.601</v>
      </c>
      <c r="Q81" s="46" t="n">
        <v>103.791</v>
      </c>
      <c r="R81" s="47">
        <f>K81/2/C81</f>
        <v/>
      </c>
      <c r="S81" s="46" t="n"/>
      <c r="T81" s="45">
        <f>R81+I81</f>
        <v/>
      </c>
      <c r="U81" s="46" t="n"/>
      <c r="V81" s="46" t="n"/>
      <c r="W81" s="46" t="n"/>
      <c r="X81" s="46" t="n"/>
      <c r="Y81" s="46" t="n"/>
      <c r="Z81" s="46" t="n"/>
      <c r="AA81" s="46" t="n"/>
      <c r="AB81" s="46" t="n"/>
      <c r="AC81" s="46" t="n"/>
      <c r="AD81" s="46" t="n"/>
      <c r="AE81" s="46" t="n"/>
      <c r="AF81" s="46" t="n"/>
      <c r="AG81" s="46" t="n"/>
      <c r="AH81" s="46" t="n"/>
      <c r="AI81" s="46" t="n"/>
      <c r="AJ81" s="46" t="n"/>
      <c r="AK81" s="46" t="n"/>
      <c r="AL81" s="46" t="n"/>
      <c r="AM81" s="46" t="n"/>
      <c r="AN81" s="46" t="n"/>
      <c r="AO81" s="46" t="n"/>
      <c r="AP81" s="46" t="n"/>
      <c r="AQ81" s="46" t="n"/>
      <c r="AR81" s="46" t="n"/>
      <c r="AS81" s="46" t="n"/>
      <c r="AT81" s="46" t="n"/>
      <c r="AU81" s="46" t="n"/>
      <c r="AV81" s="46" t="n"/>
      <c r="AW81" s="46" t="n"/>
      <c r="AX81" s="46" t="n"/>
      <c r="AY81" s="46" t="n"/>
      <c r="AZ81" s="46" t="n"/>
      <c r="BA81" s="46" t="n"/>
      <c r="BB81" s="46" t="n"/>
      <c r="BC81" s="46" t="n"/>
      <c r="BD81" s="46" t="n"/>
      <c r="BE81" s="46" t="n"/>
      <c r="BF81" s="46" t="n"/>
      <c r="BG81" s="46" t="n"/>
      <c r="BH81" s="46" t="n"/>
      <c r="BI81" s="46" t="n"/>
      <c r="BJ81" s="46" t="n"/>
      <c r="BK81" s="46" t="n"/>
      <c r="BL81" s="46" t="n"/>
      <c r="BM81" s="46" t="n"/>
      <c r="BN81" s="46" t="n"/>
      <c r="BO81" s="46" t="n"/>
      <c r="BP81" s="46" t="n"/>
      <c r="BQ81" s="46" t="n"/>
      <c r="BR81" s="46" t="n"/>
      <c r="BS81" s="46" t="n"/>
      <c r="BT81" s="46" t="n"/>
      <c r="BU81" s="46" t="n"/>
      <c r="BV81" s="46" t="n"/>
      <c r="BW81" s="46" t="n"/>
      <c r="BX81" s="46" t="n"/>
      <c r="BY81" s="46" t="n"/>
      <c r="BZ81" s="46" t="n"/>
      <c r="CA81" s="46" t="n"/>
      <c r="CB81" s="46" t="n"/>
      <c r="CC81" s="46" t="n"/>
      <c r="CD81" s="46" t="n"/>
      <c r="CE81" s="46" t="n"/>
      <c r="CF81" s="46" t="n"/>
      <c r="CG81" s="46" t="n"/>
      <c r="CH81" s="46" t="n"/>
      <c r="CI81" s="46" t="n"/>
      <c r="CJ81" s="46" t="n"/>
      <c r="CK81" s="46" t="n"/>
      <c r="CL81" s="46" t="n"/>
      <c r="CM81" s="46" t="n"/>
      <c r="CN81" s="46" t="n"/>
      <c r="CO81" s="46" t="n"/>
      <c r="CP81" s="46" t="n"/>
      <c r="CQ81" s="46" t="n"/>
      <c r="CR81" s="46" t="n"/>
      <c r="CS81" s="46" t="n"/>
      <c r="CT81" s="46" t="n"/>
      <c r="CU81" s="46" t="n"/>
      <c r="CV81" s="46" t="n"/>
      <c r="CW81" s="46" t="n"/>
      <c r="CX81" s="46" t="n"/>
      <c r="CY81" s="46" t="n"/>
      <c r="CZ81" s="46" t="n"/>
      <c r="DA81" s="46" t="n"/>
      <c r="DB81" s="46" t="n"/>
      <c r="DC81" s="46" t="n"/>
      <c r="DD81" s="46" t="n"/>
      <c r="DE81" s="46" t="n"/>
      <c r="DF81" s="46" t="n"/>
      <c r="DG81" s="46" t="n"/>
      <c r="DH81" s="46" t="n"/>
      <c r="DI81" s="46" t="n"/>
      <c r="DJ81" s="46" t="n"/>
      <c r="DK81" s="46" t="n"/>
      <c r="DL81" s="46" t="n"/>
      <c r="DM81" s="46" t="n"/>
      <c r="DN81" s="46" t="n"/>
      <c r="DO81" s="46" t="n"/>
      <c r="DP81" s="46" t="n"/>
      <c r="DQ81" s="46" t="n"/>
      <c r="DR81" s="46" t="n"/>
      <c r="DS81" s="46" t="n"/>
      <c r="DT81" s="46" t="n"/>
      <c r="DU81" s="46" t="n"/>
      <c r="DV81" s="46" t="n"/>
      <c r="DW81" s="46" t="n"/>
      <c r="DX81" s="46" t="n"/>
      <c r="DY81" s="46" t="n"/>
      <c r="DZ81" s="46" t="n"/>
      <c r="EA81" s="46" t="n"/>
      <c r="EB81" s="46" t="n"/>
      <c r="EC81" s="46" t="n"/>
      <c r="ED81" s="46" t="n"/>
      <c r="EE81" s="46" t="n"/>
      <c r="EF81" s="46" t="n"/>
      <c r="EG81" s="46" t="n"/>
      <c r="EH81" s="46" t="n"/>
      <c r="EI81" s="46" t="n"/>
      <c r="EJ81" s="46" t="n"/>
      <c r="EK81" s="46" t="n"/>
      <c r="EL81" s="46" t="n"/>
      <c r="EM81" s="46" t="n"/>
      <c r="EN81" s="46" t="n"/>
      <c r="EO81" s="46" t="n"/>
      <c r="EP81" s="46" t="n"/>
      <c r="EQ81" s="46" t="n"/>
      <c r="ER81" s="46" t="n"/>
      <c r="ES81" s="46" t="n"/>
      <c r="ET81" s="46" t="n"/>
      <c r="EU81" s="46" t="n"/>
      <c r="EV81" s="46" t="n"/>
      <c r="EW81" s="46" t="n"/>
      <c r="EX81" s="46" t="n"/>
      <c r="EY81" s="46" t="n"/>
      <c r="EZ81" s="46" t="n"/>
      <c r="FA81" s="46" t="n"/>
      <c r="FB81" s="46" t="n"/>
      <c r="FC81" s="46" t="n"/>
      <c r="FD81" s="46" t="n"/>
      <c r="FE81" s="46" t="n"/>
      <c r="FF81" s="46" t="n"/>
      <c r="FG81" s="46" t="n"/>
      <c r="FH81" s="46" t="n"/>
      <c r="FI81" s="46" t="n"/>
      <c r="FJ81" s="46" t="n"/>
      <c r="FK81" s="46" t="n"/>
      <c r="FL81" s="46" t="n"/>
      <c r="FM81" s="46" t="n"/>
      <c r="FN81" s="46" t="n"/>
    </row>
    <row r="82" ht="15" customFormat="1" customHeight="1" s="50">
      <c r="A82" s="49" t="n">
        <v>44470</v>
      </c>
      <c r="B82" s="43" t="n"/>
      <c r="C82" s="43" t="n">
        <v>196.646</v>
      </c>
      <c r="D82" s="44" t="n"/>
      <c r="E82" s="45" t="n"/>
      <c r="F82" s="46" t="n"/>
      <c r="G82" s="43" t="n">
        <v>115.606</v>
      </c>
      <c r="H82" s="43" t="n">
        <v>44.073</v>
      </c>
      <c r="I82" s="47">
        <f>G82/C82</f>
        <v/>
      </c>
      <c r="J82" s="46" t="n"/>
      <c r="K82" s="46" t="n">
        <v>156.615</v>
      </c>
      <c r="L82" s="46" t="n">
        <v>152.406</v>
      </c>
      <c r="M82" s="46" t="n">
        <v>147.962</v>
      </c>
      <c r="N82" s="45">
        <f>1-(M82/L82)</f>
        <v/>
      </c>
      <c r="O82" s="46" t="n">
        <v>157.944</v>
      </c>
      <c r="P82" s="46" t="n">
        <v>51.296</v>
      </c>
      <c r="Q82" s="46" t="n">
        <v>81.986</v>
      </c>
      <c r="R82" s="47">
        <f>K82/2/C82</f>
        <v/>
      </c>
      <c r="S82" s="46" t="n"/>
      <c r="T82" s="45">
        <f>R82+I82</f>
        <v/>
      </c>
      <c r="U82" s="46" t="n"/>
      <c r="V82" s="46" t="n"/>
      <c r="W82" s="46" t="n"/>
      <c r="X82" s="46" t="n"/>
      <c r="Y82" s="46" t="n"/>
      <c r="Z82" s="46" t="n"/>
      <c r="AA82" s="46" t="n"/>
      <c r="AB82" s="46" t="n"/>
      <c r="AC82" s="46" t="n"/>
      <c r="AD82" s="46" t="n"/>
      <c r="AE82" s="46" t="n"/>
      <c r="AF82" s="46" t="n"/>
      <c r="AG82" s="46" t="n"/>
      <c r="AH82" s="46" t="n"/>
      <c r="AI82" s="46" t="n"/>
      <c r="AJ82" s="46" t="n"/>
      <c r="AK82" s="46" t="n"/>
      <c r="AL82" s="46" t="n"/>
      <c r="AM82" s="46" t="n"/>
      <c r="AN82" s="46" t="n"/>
      <c r="AO82" s="46" t="n"/>
      <c r="AP82" s="46" t="n"/>
      <c r="AQ82" s="46" t="n"/>
      <c r="AR82" s="46" t="n"/>
      <c r="AS82" s="46" t="n"/>
      <c r="AT82" s="46" t="n"/>
      <c r="AU82" s="46" t="n"/>
      <c r="AV82" s="46" t="n"/>
      <c r="AW82" s="46" t="n"/>
      <c r="AX82" s="46" t="n"/>
      <c r="AY82" s="46" t="n"/>
      <c r="AZ82" s="46" t="n"/>
      <c r="BA82" s="46" t="n"/>
      <c r="BB82" s="46" t="n"/>
      <c r="BC82" s="46" t="n"/>
      <c r="BD82" s="46" t="n"/>
      <c r="BE82" s="46" t="n"/>
      <c r="BF82" s="46" t="n"/>
      <c r="BG82" s="46" t="n"/>
      <c r="BH82" s="46" t="n"/>
      <c r="BI82" s="46" t="n"/>
      <c r="BJ82" s="46" t="n"/>
      <c r="BK82" s="46" t="n"/>
      <c r="BL82" s="46" t="n"/>
      <c r="BM82" s="46" t="n"/>
      <c r="BN82" s="46" t="n"/>
      <c r="BO82" s="46" t="n"/>
      <c r="BP82" s="46" t="n"/>
      <c r="BQ82" s="46" t="n"/>
      <c r="BR82" s="46" t="n"/>
      <c r="BS82" s="46" t="n"/>
      <c r="BT82" s="46" t="n"/>
      <c r="BU82" s="46" t="n"/>
      <c r="BV82" s="46" t="n"/>
      <c r="BW82" s="46" t="n"/>
      <c r="BX82" s="46" t="n"/>
      <c r="BY82" s="46" t="n"/>
      <c r="BZ82" s="46" t="n"/>
      <c r="CA82" s="46" t="n"/>
      <c r="CB82" s="46" t="n"/>
      <c r="CC82" s="46" t="n"/>
      <c r="CD82" s="46" t="n"/>
      <c r="CE82" s="46" t="n"/>
      <c r="CF82" s="46" t="n"/>
      <c r="CG82" s="46" t="n"/>
      <c r="CH82" s="46" t="n"/>
      <c r="CI82" s="46" t="n"/>
      <c r="CJ82" s="46" t="n"/>
      <c r="CK82" s="46" t="n"/>
      <c r="CL82" s="46" t="n"/>
      <c r="CM82" s="46" t="n"/>
      <c r="CN82" s="46" t="n"/>
      <c r="CO82" s="46" t="n"/>
      <c r="CP82" s="46" t="n"/>
      <c r="CQ82" s="46" t="n"/>
      <c r="CR82" s="46" t="n"/>
      <c r="CS82" s="46" t="n"/>
      <c r="CT82" s="46" t="n"/>
      <c r="CU82" s="46" t="n"/>
      <c r="CV82" s="46" t="n"/>
      <c r="CW82" s="46" t="n"/>
      <c r="CX82" s="46" t="n"/>
      <c r="CY82" s="46" t="n"/>
      <c r="CZ82" s="46" t="n"/>
      <c r="DA82" s="46" t="n"/>
      <c r="DB82" s="46" t="n"/>
      <c r="DC82" s="46" t="n"/>
      <c r="DD82" s="46" t="n"/>
      <c r="DE82" s="46" t="n"/>
      <c r="DF82" s="46" t="n"/>
      <c r="DG82" s="46" t="n"/>
      <c r="DH82" s="46" t="n"/>
      <c r="DI82" s="46" t="n"/>
      <c r="DJ82" s="46" t="n"/>
      <c r="DK82" s="46" t="n"/>
      <c r="DL82" s="46" t="n"/>
      <c r="DM82" s="46" t="n"/>
      <c r="DN82" s="46" t="n"/>
      <c r="DO82" s="46" t="n"/>
      <c r="DP82" s="46" t="n"/>
      <c r="DQ82" s="46" t="n"/>
      <c r="DR82" s="46" t="n"/>
      <c r="DS82" s="46" t="n"/>
      <c r="DT82" s="46" t="n"/>
      <c r="DU82" s="46" t="n"/>
      <c r="DV82" s="46" t="n"/>
      <c r="DW82" s="46" t="n"/>
      <c r="DX82" s="46" t="n"/>
      <c r="DY82" s="46" t="n"/>
      <c r="DZ82" s="46" t="n"/>
      <c r="EA82" s="46" t="n"/>
      <c r="EB82" s="46" t="n"/>
      <c r="EC82" s="46" t="n"/>
      <c r="ED82" s="46" t="n"/>
      <c r="EE82" s="46" t="n"/>
      <c r="EF82" s="46" t="n"/>
      <c r="EG82" s="46" t="n"/>
      <c r="EH82" s="46" t="n"/>
      <c r="EI82" s="46" t="n"/>
      <c r="EJ82" s="46" t="n"/>
      <c r="EK82" s="46" t="n"/>
      <c r="EL82" s="46" t="n"/>
      <c r="EM82" s="46" t="n"/>
      <c r="EN82" s="46" t="n"/>
      <c r="EO82" s="46" t="n"/>
      <c r="EP82" s="46" t="n"/>
      <c r="EQ82" s="46" t="n"/>
      <c r="ER82" s="46" t="n"/>
      <c r="ES82" s="46" t="n"/>
      <c r="ET82" s="46" t="n"/>
      <c r="EU82" s="46" t="n"/>
      <c r="EV82" s="46" t="n"/>
      <c r="EW82" s="46" t="n"/>
      <c r="EX82" s="46" t="n"/>
      <c r="EY82" s="46" t="n"/>
      <c r="EZ82" s="46" t="n"/>
      <c r="FA82" s="46" t="n"/>
      <c r="FB82" s="46" t="n"/>
      <c r="FC82" s="46" t="n"/>
      <c r="FD82" s="46" t="n"/>
      <c r="FE82" s="46" t="n"/>
      <c r="FF82" s="46" t="n"/>
      <c r="FG82" s="46" t="n"/>
      <c r="FH82" s="46" t="n"/>
      <c r="FI82" s="46" t="n"/>
      <c r="FJ82" s="46" t="n"/>
      <c r="FK82" s="46" t="n"/>
      <c r="FL82" s="46" t="n"/>
      <c r="FM82" s="46" t="n"/>
      <c r="FN82" s="46" t="n"/>
    </row>
    <row r="83" ht="15" customFormat="1" customHeight="1" s="50">
      <c r="A83" s="49" t="n">
        <v>44501</v>
      </c>
      <c r="B83" s="43" t="n"/>
      <c r="C83" s="43" t="n">
        <v>160.197</v>
      </c>
      <c r="D83" s="44" t="n"/>
      <c r="E83" s="45" t="n"/>
      <c r="F83" s="46" t="n"/>
      <c r="G83" s="43" t="n">
        <v>93.90900000000001</v>
      </c>
      <c r="H83" s="43" t="n">
        <v>37.101</v>
      </c>
      <c r="I83" s="47">
        <f>G83/C83</f>
        <v/>
      </c>
      <c r="J83" s="46" t="n"/>
      <c r="K83" s="46" t="n">
        <v>125.126</v>
      </c>
      <c r="L83" s="46" t="n">
        <v>144.298</v>
      </c>
      <c r="M83" s="46" t="n">
        <v>139.918</v>
      </c>
      <c r="N83" s="45">
        <f>1-(M83/L83)</f>
        <v/>
      </c>
      <c r="O83" s="46" t="n">
        <v>141.559</v>
      </c>
      <c r="P83" s="46" t="n">
        <v>39.882</v>
      </c>
      <c r="Q83" s="46" t="n">
        <v>88.87</v>
      </c>
      <c r="R83" s="47">
        <f>K83/2/C83</f>
        <v/>
      </c>
      <c r="S83" s="46" t="n"/>
      <c r="T83" s="45">
        <f>R83+I83</f>
        <v/>
      </c>
      <c r="U83" s="46" t="n"/>
      <c r="V83" s="46" t="n"/>
      <c r="W83" s="46" t="n"/>
      <c r="X83" s="46" t="n"/>
      <c r="Y83" s="46" t="n"/>
      <c r="Z83" s="46" t="n"/>
      <c r="AA83" s="46" t="n"/>
      <c r="AB83" s="46" t="n"/>
      <c r="AC83" s="46" t="n"/>
      <c r="AD83" s="46" t="n"/>
      <c r="AE83" s="46" t="n"/>
      <c r="AF83" s="46" t="n"/>
      <c r="AG83" s="46" t="n"/>
      <c r="AH83" s="46" t="n"/>
      <c r="AI83" s="46" t="n"/>
      <c r="AJ83" s="46" t="n"/>
      <c r="AK83" s="46" t="n"/>
      <c r="AL83" s="46" t="n"/>
      <c r="AM83" s="46" t="n"/>
      <c r="AN83" s="46" t="n"/>
      <c r="AO83" s="46" t="n"/>
      <c r="AP83" s="46" t="n"/>
      <c r="AQ83" s="46" t="n"/>
      <c r="AR83" s="46" t="n"/>
      <c r="AS83" s="46" t="n"/>
      <c r="AT83" s="46" t="n"/>
      <c r="AU83" s="46" t="n"/>
      <c r="AV83" s="46" t="n"/>
      <c r="AW83" s="46" t="n"/>
      <c r="AX83" s="46" t="n"/>
      <c r="AY83" s="46" t="n"/>
      <c r="AZ83" s="46" t="n"/>
      <c r="BA83" s="46" t="n"/>
      <c r="BB83" s="46" t="n"/>
      <c r="BC83" s="46" t="n"/>
      <c r="BD83" s="46" t="n"/>
      <c r="BE83" s="46" t="n"/>
      <c r="BF83" s="46" t="n"/>
      <c r="BG83" s="46" t="n"/>
      <c r="BH83" s="46" t="n"/>
      <c r="BI83" s="46" t="n"/>
      <c r="BJ83" s="46" t="n"/>
      <c r="BK83" s="46" t="n"/>
      <c r="BL83" s="46" t="n"/>
      <c r="BM83" s="46" t="n"/>
      <c r="BN83" s="46" t="n"/>
      <c r="BO83" s="46" t="n"/>
      <c r="BP83" s="46" t="n"/>
      <c r="BQ83" s="46" t="n"/>
      <c r="BR83" s="46" t="n"/>
      <c r="BS83" s="46" t="n"/>
      <c r="BT83" s="46" t="n"/>
      <c r="BU83" s="46" t="n"/>
      <c r="BV83" s="46" t="n"/>
      <c r="BW83" s="46" t="n"/>
      <c r="BX83" s="46" t="n"/>
      <c r="BY83" s="46" t="n"/>
      <c r="BZ83" s="46" t="n"/>
      <c r="CA83" s="46" t="n"/>
      <c r="CB83" s="46" t="n"/>
      <c r="CC83" s="46" t="n"/>
      <c r="CD83" s="46" t="n"/>
      <c r="CE83" s="46" t="n"/>
      <c r="CF83" s="46" t="n"/>
      <c r="CG83" s="46" t="n"/>
      <c r="CH83" s="46" t="n"/>
      <c r="CI83" s="46" t="n"/>
      <c r="CJ83" s="46" t="n"/>
      <c r="CK83" s="46" t="n"/>
      <c r="CL83" s="46" t="n"/>
      <c r="CM83" s="46" t="n"/>
      <c r="CN83" s="46" t="n"/>
      <c r="CO83" s="46" t="n"/>
      <c r="CP83" s="46" t="n"/>
      <c r="CQ83" s="46" t="n"/>
      <c r="CR83" s="46" t="n"/>
      <c r="CS83" s="46" t="n"/>
      <c r="CT83" s="46" t="n"/>
      <c r="CU83" s="46" t="n"/>
      <c r="CV83" s="46" t="n"/>
      <c r="CW83" s="46" t="n"/>
      <c r="CX83" s="46" t="n"/>
      <c r="CY83" s="46" t="n"/>
      <c r="CZ83" s="46" t="n"/>
      <c r="DA83" s="46" t="n"/>
      <c r="DB83" s="46" t="n"/>
      <c r="DC83" s="46" t="n"/>
      <c r="DD83" s="46" t="n"/>
      <c r="DE83" s="46" t="n"/>
      <c r="DF83" s="46" t="n"/>
      <c r="DG83" s="46" t="n"/>
      <c r="DH83" s="46" t="n"/>
      <c r="DI83" s="46" t="n"/>
      <c r="DJ83" s="46" t="n"/>
      <c r="DK83" s="46" t="n"/>
      <c r="DL83" s="46" t="n"/>
      <c r="DM83" s="46" t="n"/>
      <c r="DN83" s="46" t="n"/>
      <c r="DO83" s="46" t="n"/>
      <c r="DP83" s="46" t="n"/>
      <c r="DQ83" s="46" t="n"/>
      <c r="DR83" s="46" t="n"/>
      <c r="DS83" s="46" t="n"/>
      <c r="DT83" s="46" t="n"/>
      <c r="DU83" s="46" t="n"/>
      <c r="DV83" s="46" t="n"/>
      <c r="DW83" s="46" t="n"/>
      <c r="DX83" s="46" t="n"/>
      <c r="DY83" s="46" t="n"/>
      <c r="DZ83" s="46" t="n"/>
      <c r="EA83" s="46" t="n"/>
      <c r="EB83" s="46" t="n"/>
      <c r="EC83" s="46" t="n"/>
      <c r="ED83" s="46" t="n"/>
      <c r="EE83" s="46" t="n"/>
      <c r="EF83" s="46" t="n"/>
      <c r="EG83" s="46" t="n"/>
      <c r="EH83" s="46" t="n"/>
      <c r="EI83" s="46" t="n"/>
      <c r="EJ83" s="46" t="n"/>
      <c r="EK83" s="46" t="n"/>
      <c r="EL83" s="46" t="n"/>
      <c r="EM83" s="46" t="n"/>
      <c r="EN83" s="46" t="n"/>
      <c r="EO83" s="46" t="n"/>
      <c r="EP83" s="46" t="n"/>
      <c r="EQ83" s="46" t="n"/>
      <c r="ER83" s="46" t="n"/>
      <c r="ES83" s="46" t="n"/>
      <c r="ET83" s="46" t="n"/>
      <c r="EU83" s="46" t="n"/>
      <c r="EV83" s="46" t="n"/>
      <c r="EW83" s="46" t="n"/>
      <c r="EX83" s="46" t="n"/>
      <c r="EY83" s="46" t="n"/>
      <c r="EZ83" s="46" t="n"/>
      <c r="FA83" s="46" t="n"/>
      <c r="FB83" s="46" t="n"/>
      <c r="FC83" s="46" t="n"/>
      <c r="FD83" s="46" t="n"/>
      <c r="FE83" s="46" t="n"/>
      <c r="FF83" s="46" t="n"/>
      <c r="FG83" s="46" t="n"/>
      <c r="FH83" s="46" t="n"/>
      <c r="FI83" s="46" t="n"/>
      <c r="FJ83" s="46" t="n"/>
      <c r="FK83" s="46" t="n"/>
      <c r="FL83" s="46" t="n"/>
      <c r="FM83" s="46" t="n"/>
      <c r="FN83" s="46" t="n"/>
    </row>
    <row r="84" ht="15" customFormat="1" customHeight="1" s="50">
      <c r="A84" s="49" t="n">
        <v>44531</v>
      </c>
      <c r="B84" s="43" t="n"/>
      <c r="C84" s="43" t="n">
        <v>176.931</v>
      </c>
      <c r="D84" s="44" t="n"/>
      <c r="E84" s="45" t="n"/>
      <c r="F84" s="46" t="n"/>
      <c r="G84" s="43" t="n">
        <v>102.961</v>
      </c>
      <c r="H84" s="43" t="n">
        <v>40.09569229157653</v>
      </c>
      <c r="I84" s="47">
        <f>G84/C84</f>
        <v/>
      </c>
      <c r="J84" s="46" t="n"/>
      <c r="K84" s="46" t="n">
        <v>140.696</v>
      </c>
      <c r="L84" s="46" t="n">
        <v>152.553</v>
      </c>
      <c r="M84" s="46" t="n">
        <v>148.163</v>
      </c>
      <c r="N84" s="45">
        <f>1-(M84/L84)</f>
        <v/>
      </c>
      <c r="O84" s="46" t="n">
        <v>143.856</v>
      </c>
      <c r="P84" s="46" t="n">
        <v>39.951</v>
      </c>
      <c r="Q84" s="46" t="n">
        <v>99.22</v>
      </c>
      <c r="R84" s="47">
        <f>K84/2/C84</f>
        <v/>
      </c>
      <c r="S84" s="46" t="n"/>
      <c r="T84" s="45">
        <f>R84+I84</f>
        <v/>
      </c>
      <c r="U84" s="46" t="n"/>
      <c r="V84" s="46" t="n"/>
      <c r="W84" s="46" t="n"/>
      <c r="X84" s="46" t="n"/>
      <c r="Y84" s="46" t="n"/>
      <c r="Z84" s="46" t="n"/>
      <c r="AA84" s="46" t="n"/>
      <c r="AB84" s="46" t="n"/>
      <c r="AC84" s="46" t="n"/>
      <c r="AD84" s="46" t="n"/>
      <c r="AE84" s="46" t="n"/>
      <c r="AF84" s="46" t="n"/>
      <c r="AG84" s="46" t="n"/>
      <c r="AH84" s="46" t="n"/>
      <c r="AI84" s="46" t="n"/>
      <c r="AJ84" s="46" t="n"/>
      <c r="AK84" s="46" t="n"/>
      <c r="AL84" s="46" t="n"/>
      <c r="AM84" s="46" t="n"/>
      <c r="AN84" s="46" t="n"/>
      <c r="AO84" s="46" t="n"/>
      <c r="AP84" s="46" t="n"/>
      <c r="AQ84" s="46" t="n"/>
      <c r="AR84" s="46" t="n"/>
      <c r="AS84" s="46" t="n"/>
      <c r="AT84" s="46" t="n"/>
      <c r="AU84" s="46" t="n"/>
      <c r="AV84" s="46" t="n"/>
      <c r="AW84" s="46" t="n"/>
      <c r="AX84" s="46" t="n"/>
      <c r="AY84" s="46" t="n"/>
      <c r="AZ84" s="46" t="n"/>
      <c r="BA84" s="46" t="n"/>
      <c r="BB84" s="46" t="n"/>
      <c r="BC84" s="46" t="n"/>
      <c r="BD84" s="46" t="n"/>
      <c r="BE84" s="46" t="n"/>
      <c r="BF84" s="46" t="n"/>
      <c r="BG84" s="46" t="n"/>
      <c r="BH84" s="46" t="n"/>
      <c r="BI84" s="46" t="n"/>
      <c r="BJ84" s="46" t="n"/>
      <c r="BK84" s="46" t="n"/>
      <c r="BL84" s="46" t="n"/>
      <c r="BM84" s="46" t="n"/>
      <c r="BN84" s="46" t="n"/>
      <c r="BO84" s="46" t="n"/>
      <c r="BP84" s="46" t="n"/>
      <c r="BQ84" s="46" t="n"/>
      <c r="BR84" s="46" t="n"/>
      <c r="BS84" s="46" t="n"/>
      <c r="BT84" s="46" t="n"/>
      <c r="BU84" s="46" t="n"/>
      <c r="BV84" s="46" t="n"/>
      <c r="BW84" s="46" t="n"/>
      <c r="BX84" s="46" t="n"/>
      <c r="BY84" s="46" t="n"/>
      <c r="BZ84" s="46" t="n"/>
      <c r="CA84" s="46" t="n"/>
      <c r="CB84" s="46" t="n"/>
      <c r="CC84" s="46" t="n"/>
      <c r="CD84" s="46" t="n"/>
      <c r="CE84" s="46" t="n"/>
      <c r="CF84" s="46" t="n"/>
      <c r="CG84" s="46" t="n"/>
      <c r="CH84" s="46" t="n"/>
      <c r="CI84" s="46" t="n"/>
      <c r="CJ84" s="46" t="n"/>
      <c r="CK84" s="46" t="n"/>
      <c r="CL84" s="46" t="n"/>
      <c r="CM84" s="46" t="n"/>
      <c r="CN84" s="46" t="n"/>
      <c r="CO84" s="46" t="n"/>
      <c r="CP84" s="46" t="n"/>
      <c r="CQ84" s="46" t="n"/>
      <c r="CR84" s="46" t="n"/>
      <c r="CS84" s="46" t="n"/>
      <c r="CT84" s="46" t="n"/>
      <c r="CU84" s="46" t="n"/>
      <c r="CV84" s="46" t="n"/>
      <c r="CW84" s="46" t="n"/>
      <c r="CX84" s="46" t="n"/>
      <c r="CY84" s="46" t="n"/>
      <c r="CZ84" s="46" t="n"/>
      <c r="DA84" s="46" t="n"/>
      <c r="DB84" s="46" t="n"/>
      <c r="DC84" s="46" t="n"/>
      <c r="DD84" s="46" t="n"/>
      <c r="DE84" s="46" t="n"/>
      <c r="DF84" s="46" t="n"/>
      <c r="DG84" s="46" t="n"/>
      <c r="DH84" s="46" t="n"/>
      <c r="DI84" s="46" t="n"/>
      <c r="DJ84" s="46" t="n"/>
      <c r="DK84" s="46" t="n"/>
      <c r="DL84" s="46" t="n"/>
      <c r="DM84" s="46" t="n"/>
      <c r="DN84" s="46" t="n"/>
      <c r="DO84" s="46" t="n"/>
      <c r="DP84" s="46" t="n"/>
      <c r="DQ84" s="46" t="n"/>
      <c r="DR84" s="46" t="n"/>
      <c r="DS84" s="46" t="n"/>
      <c r="DT84" s="46" t="n"/>
      <c r="DU84" s="46" t="n"/>
      <c r="DV84" s="46" t="n"/>
      <c r="DW84" s="46" t="n"/>
      <c r="DX84" s="46" t="n"/>
      <c r="DY84" s="46" t="n"/>
      <c r="DZ84" s="46" t="n"/>
      <c r="EA84" s="46" t="n"/>
      <c r="EB84" s="46" t="n"/>
      <c r="EC84" s="46" t="n"/>
      <c r="ED84" s="46" t="n"/>
      <c r="EE84" s="46" t="n"/>
      <c r="EF84" s="46" t="n"/>
      <c r="EG84" s="46" t="n"/>
      <c r="EH84" s="46" t="n"/>
      <c r="EI84" s="46" t="n"/>
      <c r="EJ84" s="46" t="n"/>
      <c r="EK84" s="46" t="n"/>
      <c r="EL84" s="46" t="n"/>
      <c r="EM84" s="46" t="n"/>
      <c r="EN84" s="46" t="n"/>
      <c r="EO84" s="46" t="n"/>
      <c r="EP84" s="46" t="n"/>
      <c r="EQ84" s="46" t="n"/>
      <c r="ER84" s="46" t="n"/>
      <c r="ES84" s="46" t="n"/>
      <c r="ET84" s="46" t="n"/>
      <c r="EU84" s="46" t="n"/>
      <c r="EV84" s="46" t="n"/>
      <c r="EW84" s="46" t="n"/>
      <c r="EX84" s="46" t="n"/>
      <c r="EY84" s="46" t="n"/>
      <c r="EZ84" s="46" t="n"/>
      <c r="FA84" s="46" t="n"/>
      <c r="FB84" s="46" t="n"/>
      <c r="FC84" s="46" t="n"/>
      <c r="FD84" s="46" t="n"/>
      <c r="FE84" s="46" t="n"/>
      <c r="FF84" s="46" t="n"/>
      <c r="FG84" s="46" t="n"/>
      <c r="FH84" s="46" t="n"/>
      <c r="FI84" s="46" t="n"/>
      <c r="FJ84" s="46" t="n"/>
      <c r="FK84" s="46" t="n"/>
      <c r="FL84" s="46" t="n"/>
      <c r="FM84" s="46" t="n"/>
      <c r="FN84" s="46" t="n"/>
    </row>
    <row r="85" ht="15" customFormat="1" customHeight="1" s="50">
      <c r="A85" s="49" t="n">
        <v>44562</v>
      </c>
      <c r="B85" s="43" t="n"/>
      <c r="C85" s="43" t="n">
        <v>136.632</v>
      </c>
      <c r="D85" s="44" t="n"/>
      <c r="E85" s="45" t="n"/>
      <c r="F85" s="46" t="n"/>
      <c r="G85" s="43" t="n">
        <v>84.79000000000001</v>
      </c>
      <c r="H85" s="43" t="n">
        <v>35.33</v>
      </c>
      <c r="I85" s="47">
        <f>G85/C85</f>
        <v/>
      </c>
      <c r="J85" s="46" t="n"/>
      <c r="K85" s="46" t="n">
        <v>113.003</v>
      </c>
      <c r="L85" s="46" t="n">
        <v>126.895</v>
      </c>
      <c r="M85" s="46" t="n">
        <v>123.268</v>
      </c>
      <c r="N85" s="45">
        <f>1-(M85/L85)</f>
        <v/>
      </c>
      <c r="O85" s="46" t="n">
        <v>131.627</v>
      </c>
      <c r="P85" s="46" t="n">
        <v>35.248</v>
      </c>
      <c r="Q85" s="46" t="n">
        <v>90.021</v>
      </c>
      <c r="R85" s="47">
        <f>K85/2/C85</f>
        <v/>
      </c>
      <c r="S85" s="46" t="n"/>
      <c r="T85" s="45">
        <f>R85+I85</f>
        <v/>
      </c>
      <c r="U85" s="46" t="n"/>
      <c r="V85" s="46" t="n"/>
      <c r="W85" s="46" t="n"/>
      <c r="X85" s="46" t="n"/>
      <c r="Y85" s="46" t="n"/>
      <c r="Z85" s="46" t="n"/>
      <c r="AA85" s="46" t="n"/>
      <c r="AB85" s="46" t="n"/>
      <c r="AC85" s="46" t="n"/>
      <c r="AD85" s="46" t="n"/>
      <c r="AE85" s="46" t="n"/>
      <c r="AF85" s="46" t="n"/>
      <c r="AG85" s="46" t="n"/>
      <c r="AH85" s="46" t="n"/>
      <c r="AI85" s="46" t="n"/>
      <c r="AJ85" s="46" t="n"/>
      <c r="AK85" s="46" t="n"/>
      <c r="AL85" s="46" t="n"/>
      <c r="AM85" s="46" t="n"/>
      <c r="AN85" s="46" t="n"/>
      <c r="AO85" s="46" t="n"/>
      <c r="AP85" s="46" t="n"/>
      <c r="AQ85" s="46" t="n"/>
      <c r="AR85" s="46" t="n"/>
      <c r="AS85" s="46" t="n"/>
      <c r="AT85" s="46" t="n"/>
      <c r="AU85" s="46" t="n"/>
      <c r="AV85" s="46" t="n"/>
      <c r="AW85" s="46" t="n"/>
      <c r="AX85" s="46" t="n"/>
      <c r="AY85" s="46" t="n"/>
      <c r="AZ85" s="46" t="n"/>
      <c r="BA85" s="46" t="n"/>
      <c r="BB85" s="46" t="n"/>
      <c r="BC85" s="46" t="n"/>
      <c r="BD85" s="46" t="n"/>
      <c r="BE85" s="46" t="n"/>
      <c r="BF85" s="46" t="n"/>
      <c r="BG85" s="46" t="n"/>
      <c r="BH85" s="46" t="n"/>
      <c r="BI85" s="46" t="n"/>
      <c r="BJ85" s="46" t="n"/>
      <c r="BK85" s="46" t="n"/>
      <c r="BL85" s="46" t="n"/>
      <c r="BM85" s="46" t="n"/>
      <c r="BN85" s="46" t="n"/>
      <c r="BO85" s="46" t="n"/>
      <c r="BP85" s="46" t="n"/>
      <c r="BQ85" s="46" t="n"/>
      <c r="BR85" s="46" t="n"/>
      <c r="BS85" s="46" t="n"/>
      <c r="BT85" s="46" t="n"/>
      <c r="BU85" s="46" t="n"/>
      <c r="BV85" s="46" t="n"/>
      <c r="BW85" s="46" t="n"/>
      <c r="BX85" s="46" t="n"/>
      <c r="BY85" s="46" t="n"/>
      <c r="BZ85" s="46" t="n"/>
      <c r="CA85" s="46" t="n"/>
      <c r="CB85" s="46" t="n"/>
      <c r="CC85" s="46" t="n"/>
      <c r="CD85" s="46" t="n"/>
      <c r="CE85" s="46" t="n"/>
      <c r="CF85" s="46" t="n"/>
      <c r="CG85" s="46" t="n"/>
      <c r="CH85" s="46" t="n"/>
      <c r="CI85" s="46" t="n"/>
      <c r="CJ85" s="46" t="n"/>
      <c r="CK85" s="46" t="n"/>
      <c r="CL85" s="46" t="n"/>
      <c r="CM85" s="46" t="n"/>
      <c r="CN85" s="46" t="n"/>
      <c r="CO85" s="46" t="n"/>
      <c r="CP85" s="46" t="n"/>
      <c r="CQ85" s="46" t="n"/>
      <c r="CR85" s="46" t="n"/>
      <c r="CS85" s="46" t="n"/>
      <c r="CT85" s="46" t="n"/>
      <c r="CU85" s="46" t="n"/>
      <c r="CV85" s="46" t="n"/>
      <c r="CW85" s="46" t="n"/>
      <c r="CX85" s="46" t="n"/>
      <c r="CY85" s="46" t="n"/>
      <c r="CZ85" s="46" t="n"/>
      <c r="DA85" s="46" t="n"/>
      <c r="DB85" s="46" t="n"/>
      <c r="DC85" s="46" t="n"/>
      <c r="DD85" s="46" t="n"/>
      <c r="DE85" s="46" t="n"/>
      <c r="DF85" s="46" t="n"/>
      <c r="DG85" s="46" t="n"/>
      <c r="DH85" s="46" t="n"/>
      <c r="DI85" s="46" t="n"/>
      <c r="DJ85" s="46" t="n"/>
      <c r="DK85" s="46" t="n"/>
      <c r="DL85" s="46" t="n"/>
      <c r="DM85" s="46" t="n"/>
      <c r="DN85" s="46" t="n"/>
      <c r="DO85" s="46" t="n"/>
      <c r="DP85" s="46" t="n"/>
      <c r="DQ85" s="46" t="n"/>
      <c r="DR85" s="46" t="n"/>
      <c r="DS85" s="46" t="n"/>
      <c r="DT85" s="46" t="n"/>
      <c r="DU85" s="46" t="n"/>
      <c r="DV85" s="46" t="n"/>
      <c r="DW85" s="46" t="n"/>
      <c r="DX85" s="46" t="n"/>
      <c r="DY85" s="46" t="n"/>
      <c r="DZ85" s="46" t="n"/>
      <c r="EA85" s="46" t="n"/>
      <c r="EB85" s="46" t="n"/>
      <c r="EC85" s="46" t="n"/>
      <c r="ED85" s="46" t="n"/>
      <c r="EE85" s="46" t="n"/>
      <c r="EF85" s="46" t="n"/>
      <c r="EG85" s="46" t="n"/>
      <c r="EH85" s="46" t="n"/>
      <c r="EI85" s="46" t="n"/>
      <c r="EJ85" s="46" t="n"/>
      <c r="EK85" s="46" t="n"/>
      <c r="EL85" s="46" t="n"/>
      <c r="EM85" s="46" t="n"/>
      <c r="EN85" s="46" t="n"/>
      <c r="EO85" s="46" t="n"/>
      <c r="EP85" s="46" t="n"/>
      <c r="EQ85" s="46" t="n"/>
      <c r="ER85" s="46" t="n"/>
      <c r="ES85" s="46" t="n"/>
      <c r="ET85" s="46" t="n"/>
      <c r="EU85" s="46" t="n"/>
      <c r="EV85" s="46" t="n"/>
      <c r="EW85" s="46" t="n"/>
      <c r="EX85" s="46" t="n"/>
      <c r="EY85" s="46" t="n"/>
      <c r="EZ85" s="46" t="n"/>
      <c r="FA85" s="46" t="n"/>
      <c r="FB85" s="46" t="n"/>
      <c r="FC85" s="46" t="n"/>
      <c r="FD85" s="46" t="n"/>
      <c r="FE85" s="46" t="n"/>
      <c r="FF85" s="46" t="n"/>
      <c r="FG85" s="46" t="n"/>
      <c r="FH85" s="46" t="n"/>
      <c r="FI85" s="46" t="n"/>
      <c r="FJ85" s="46" t="n"/>
      <c r="FK85" s="46" t="n"/>
      <c r="FL85" s="46" t="n"/>
      <c r="FM85" s="46" t="n"/>
      <c r="FN85" s="46" t="n"/>
    </row>
    <row r="86" ht="15" customFormat="1" customHeight="1" s="50">
      <c r="A86" s="49" t="n">
        <v>44593</v>
      </c>
      <c r="B86" s="43" t="n"/>
      <c r="C86" s="43" t="n">
        <v>130.398</v>
      </c>
      <c r="D86" s="44" t="n"/>
      <c r="E86" s="45" t="n"/>
      <c r="F86" s="46" t="n"/>
      <c r="G86" s="43" t="n">
        <v>75.575</v>
      </c>
      <c r="H86" s="43" t="n">
        <v>37.972</v>
      </c>
      <c r="I86" s="47">
        <f>G86/C86</f>
        <v/>
      </c>
      <c r="J86" s="46" t="n"/>
      <c r="K86" s="46" t="n">
        <v>101.075</v>
      </c>
      <c r="L86" s="46" t="n">
        <v>100.227</v>
      </c>
      <c r="M86" s="46" t="n">
        <v>97.09399999999999</v>
      </c>
      <c r="N86" s="45">
        <f>1-(M86/L86)</f>
        <v/>
      </c>
      <c r="O86" s="46" t="n">
        <v>102.485</v>
      </c>
      <c r="P86" s="46" t="n">
        <v>47.546</v>
      </c>
      <c r="Q86" s="46" t="n">
        <v>89.372</v>
      </c>
      <c r="R86" s="47">
        <f>K86/2/C86</f>
        <v/>
      </c>
      <c r="S86" s="46" t="n"/>
      <c r="T86" s="45">
        <f>R86+I86</f>
        <v/>
      </c>
      <c r="U86" s="46" t="n"/>
      <c r="V86" s="46" t="n"/>
      <c r="W86" s="46" t="n"/>
      <c r="X86" s="46" t="n"/>
      <c r="Y86" s="46" t="n"/>
      <c r="Z86" s="46" t="n"/>
      <c r="AA86" s="46" t="n"/>
      <c r="AB86" s="46" t="n"/>
      <c r="AC86" s="46" t="n"/>
      <c r="AD86" s="46" t="n"/>
      <c r="AE86" s="46" t="n"/>
      <c r="AF86" s="46" t="n"/>
      <c r="AG86" s="46" t="n"/>
      <c r="AH86" s="46" t="n"/>
      <c r="AI86" s="46" t="n"/>
      <c r="AJ86" s="46" t="n"/>
      <c r="AK86" s="46" t="n"/>
      <c r="AL86" s="46" t="n"/>
      <c r="AM86" s="46" t="n"/>
      <c r="AN86" s="46" t="n"/>
      <c r="AO86" s="46" t="n"/>
      <c r="AP86" s="46" t="n"/>
      <c r="AQ86" s="46" t="n"/>
      <c r="AR86" s="46" t="n"/>
      <c r="AS86" s="46" t="n"/>
      <c r="AT86" s="46" t="n"/>
      <c r="AU86" s="46" t="n"/>
      <c r="AV86" s="46" t="n"/>
      <c r="AW86" s="46" t="n"/>
      <c r="AX86" s="46" t="n"/>
      <c r="AY86" s="46" t="n"/>
      <c r="AZ86" s="46" t="n"/>
      <c r="BA86" s="46" t="n"/>
      <c r="BB86" s="46" t="n"/>
      <c r="BC86" s="46" t="n"/>
      <c r="BD86" s="46" t="n"/>
      <c r="BE86" s="46" t="n"/>
      <c r="BF86" s="46" t="n"/>
      <c r="BG86" s="46" t="n"/>
      <c r="BH86" s="46" t="n"/>
      <c r="BI86" s="46" t="n"/>
      <c r="BJ86" s="46" t="n"/>
      <c r="BK86" s="46" t="n"/>
      <c r="BL86" s="46" t="n"/>
      <c r="BM86" s="46" t="n"/>
      <c r="BN86" s="46" t="n"/>
      <c r="BO86" s="46" t="n"/>
      <c r="BP86" s="46" t="n"/>
      <c r="BQ86" s="46" t="n"/>
      <c r="BR86" s="46" t="n"/>
      <c r="BS86" s="46" t="n"/>
      <c r="BT86" s="46" t="n"/>
      <c r="BU86" s="46" t="n"/>
      <c r="BV86" s="46" t="n"/>
      <c r="BW86" s="46" t="n"/>
      <c r="BX86" s="46" t="n"/>
      <c r="BY86" s="46" t="n"/>
      <c r="BZ86" s="46" t="n"/>
      <c r="CA86" s="46" t="n"/>
      <c r="CB86" s="46" t="n"/>
      <c r="CC86" s="46" t="n"/>
      <c r="CD86" s="46" t="n"/>
      <c r="CE86" s="46" t="n"/>
      <c r="CF86" s="46" t="n"/>
      <c r="CG86" s="46" t="n"/>
      <c r="CH86" s="46" t="n"/>
      <c r="CI86" s="46" t="n"/>
      <c r="CJ86" s="46" t="n"/>
      <c r="CK86" s="46" t="n"/>
      <c r="CL86" s="46" t="n"/>
      <c r="CM86" s="46" t="n"/>
      <c r="CN86" s="46" t="n"/>
      <c r="CO86" s="46" t="n"/>
      <c r="CP86" s="46" t="n"/>
      <c r="CQ86" s="46" t="n"/>
      <c r="CR86" s="46" t="n"/>
      <c r="CS86" s="46" t="n"/>
      <c r="CT86" s="46" t="n"/>
      <c r="CU86" s="46" t="n"/>
      <c r="CV86" s="46" t="n"/>
      <c r="CW86" s="46" t="n"/>
      <c r="CX86" s="46" t="n"/>
      <c r="CY86" s="46" t="n"/>
      <c r="CZ86" s="46" t="n"/>
      <c r="DA86" s="46" t="n"/>
      <c r="DB86" s="46" t="n"/>
      <c r="DC86" s="46" t="n"/>
      <c r="DD86" s="46" t="n"/>
      <c r="DE86" s="46" t="n"/>
      <c r="DF86" s="46" t="n"/>
      <c r="DG86" s="46" t="n"/>
      <c r="DH86" s="46" t="n"/>
      <c r="DI86" s="46" t="n"/>
      <c r="DJ86" s="46" t="n"/>
      <c r="DK86" s="46" t="n"/>
      <c r="DL86" s="46" t="n"/>
      <c r="DM86" s="46" t="n"/>
      <c r="DN86" s="46" t="n"/>
      <c r="DO86" s="46" t="n"/>
      <c r="DP86" s="46" t="n"/>
      <c r="DQ86" s="46" t="n"/>
      <c r="DR86" s="46" t="n"/>
      <c r="DS86" s="46" t="n"/>
      <c r="DT86" s="46" t="n"/>
      <c r="DU86" s="46" t="n"/>
      <c r="DV86" s="46" t="n"/>
      <c r="DW86" s="46" t="n"/>
      <c r="DX86" s="46" t="n"/>
      <c r="DY86" s="46" t="n"/>
      <c r="DZ86" s="46" t="n"/>
      <c r="EA86" s="46" t="n"/>
      <c r="EB86" s="46" t="n"/>
      <c r="EC86" s="46" t="n"/>
      <c r="ED86" s="46" t="n"/>
      <c r="EE86" s="46" t="n"/>
      <c r="EF86" s="46" t="n"/>
      <c r="EG86" s="46" t="n"/>
      <c r="EH86" s="46" t="n"/>
      <c r="EI86" s="46" t="n"/>
      <c r="EJ86" s="46" t="n"/>
      <c r="EK86" s="46" t="n"/>
      <c r="EL86" s="46" t="n"/>
      <c r="EM86" s="46" t="n"/>
      <c r="EN86" s="46" t="n"/>
      <c r="EO86" s="46" t="n"/>
      <c r="EP86" s="46" t="n"/>
      <c r="EQ86" s="46" t="n"/>
      <c r="ER86" s="46" t="n"/>
      <c r="ES86" s="46" t="n"/>
      <c r="ET86" s="46" t="n"/>
      <c r="EU86" s="46" t="n"/>
      <c r="EV86" s="46" t="n"/>
      <c r="EW86" s="46" t="n"/>
      <c r="EX86" s="46" t="n"/>
      <c r="EY86" s="46" t="n"/>
      <c r="EZ86" s="46" t="n"/>
      <c r="FA86" s="46" t="n"/>
      <c r="FB86" s="46" t="n"/>
      <c r="FC86" s="46" t="n"/>
      <c r="FD86" s="46" t="n"/>
      <c r="FE86" s="46" t="n"/>
      <c r="FF86" s="46" t="n"/>
      <c r="FG86" s="46" t="n"/>
      <c r="FH86" s="46" t="n"/>
      <c r="FI86" s="46" t="n"/>
      <c r="FJ86" s="46" t="n"/>
      <c r="FK86" s="46" t="n"/>
      <c r="FL86" s="46" t="n"/>
      <c r="FM86" s="46" t="n"/>
      <c r="FN86" s="46" t="n"/>
    </row>
    <row r="87" ht="15" customFormat="1" customHeight="1" s="50">
      <c r="A87" s="49" t="n">
        <v>44621</v>
      </c>
      <c r="B87" s="43" t="n"/>
      <c r="C87" s="43" t="n">
        <v>163.923</v>
      </c>
      <c r="D87" s="44" t="n"/>
      <c r="E87" s="45" t="n"/>
      <c r="F87" s="46" t="n"/>
      <c r="G87" s="43" t="n">
        <v>94.188</v>
      </c>
      <c r="H87" s="43" t="n">
        <v>38.634</v>
      </c>
      <c r="I87" s="47">
        <f>G87/C87</f>
        <v/>
      </c>
      <c r="J87" s="46" t="n"/>
      <c r="K87" s="46" t="n">
        <v>124.427</v>
      </c>
      <c r="L87" s="46" t="n">
        <v>155.433</v>
      </c>
      <c r="M87" s="46" t="n">
        <v>150.795</v>
      </c>
      <c r="N87" s="45">
        <f>1-(M87/L87)</f>
        <v/>
      </c>
      <c r="O87" s="46" t="n">
        <v>144.668</v>
      </c>
      <c r="P87" s="46" t="n">
        <v>52.639</v>
      </c>
      <c r="Q87" s="46" t="n">
        <v>84.414</v>
      </c>
      <c r="R87" s="47">
        <f>K87/2/C87</f>
        <v/>
      </c>
      <c r="S87" s="46" t="n"/>
      <c r="T87" s="45">
        <f>R87+I87</f>
        <v/>
      </c>
      <c r="U87" s="46" t="n"/>
      <c r="V87" s="46" t="n"/>
      <c r="W87" s="46" t="n"/>
      <c r="X87" s="46" t="n"/>
      <c r="Y87" s="46" t="n"/>
      <c r="Z87" s="46" t="n"/>
      <c r="AA87" s="46" t="n"/>
      <c r="AB87" s="46" t="n"/>
      <c r="AC87" s="46" t="n"/>
      <c r="AD87" s="46" t="n"/>
      <c r="AE87" s="46" t="n"/>
      <c r="AF87" s="46" t="n"/>
      <c r="AG87" s="46" t="n"/>
      <c r="AH87" s="46" t="n"/>
      <c r="AI87" s="46" t="n"/>
      <c r="AJ87" s="46" t="n"/>
      <c r="AK87" s="46" t="n"/>
      <c r="AL87" s="46" t="n"/>
      <c r="AM87" s="46" t="n"/>
      <c r="AN87" s="46" t="n"/>
      <c r="AO87" s="46" t="n"/>
      <c r="AP87" s="46" t="n"/>
      <c r="AQ87" s="46" t="n"/>
      <c r="AR87" s="46" t="n"/>
      <c r="AS87" s="46" t="n"/>
      <c r="AT87" s="46" t="n"/>
      <c r="AU87" s="46" t="n"/>
      <c r="AV87" s="46" t="n"/>
      <c r="AW87" s="46" t="n"/>
      <c r="AX87" s="46" t="n"/>
      <c r="AY87" s="46" t="n"/>
      <c r="AZ87" s="46" t="n"/>
      <c r="BA87" s="46" t="n"/>
      <c r="BB87" s="46" t="n"/>
      <c r="BC87" s="46" t="n"/>
      <c r="BD87" s="46" t="n"/>
      <c r="BE87" s="46" t="n"/>
      <c r="BF87" s="46" t="n"/>
      <c r="BG87" s="46" t="n"/>
      <c r="BH87" s="46" t="n"/>
      <c r="BI87" s="46" t="n"/>
      <c r="BJ87" s="46" t="n"/>
      <c r="BK87" s="46" t="n"/>
      <c r="BL87" s="46" t="n"/>
      <c r="BM87" s="46" t="n"/>
      <c r="BN87" s="46" t="n"/>
      <c r="BO87" s="46" t="n"/>
      <c r="BP87" s="46" t="n"/>
      <c r="BQ87" s="46" t="n"/>
      <c r="BR87" s="46" t="n"/>
      <c r="BS87" s="46" t="n"/>
      <c r="BT87" s="46" t="n"/>
      <c r="BU87" s="46" t="n"/>
      <c r="BV87" s="46" t="n"/>
      <c r="BW87" s="46" t="n"/>
      <c r="BX87" s="46" t="n"/>
      <c r="BY87" s="46" t="n"/>
      <c r="BZ87" s="46" t="n"/>
      <c r="CA87" s="46" t="n"/>
      <c r="CB87" s="46" t="n"/>
      <c r="CC87" s="46" t="n"/>
      <c r="CD87" s="46" t="n"/>
      <c r="CE87" s="46" t="n"/>
      <c r="CF87" s="46" t="n"/>
      <c r="CG87" s="46" t="n"/>
      <c r="CH87" s="46" t="n"/>
      <c r="CI87" s="46" t="n"/>
      <c r="CJ87" s="46" t="n"/>
      <c r="CK87" s="46" t="n"/>
      <c r="CL87" s="46" t="n"/>
      <c r="CM87" s="46" t="n"/>
      <c r="CN87" s="46" t="n"/>
      <c r="CO87" s="46" t="n"/>
      <c r="CP87" s="46" t="n"/>
      <c r="CQ87" s="46" t="n"/>
      <c r="CR87" s="46" t="n"/>
      <c r="CS87" s="46" t="n"/>
      <c r="CT87" s="46" t="n"/>
      <c r="CU87" s="46" t="n"/>
      <c r="CV87" s="46" t="n"/>
      <c r="CW87" s="46" t="n"/>
      <c r="CX87" s="46" t="n"/>
      <c r="CY87" s="46" t="n"/>
      <c r="CZ87" s="46" t="n"/>
      <c r="DA87" s="46" t="n"/>
      <c r="DB87" s="46" t="n"/>
      <c r="DC87" s="46" t="n"/>
      <c r="DD87" s="46" t="n"/>
      <c r="DE87" s="46" t="n"/>
      <c r="DF87" s="46" t="n"/>
      <c r="DG87" s="46" t="n"/>
      <c r="DH87" s="46" t="n"/>
      <c r="DI87" s="46" t="n"/>
      <c r="DJ87" s="46" t="n"/>
      <c r="DK87" s="46" t="n"/>
      <c r="DL87" s="46" t="n"/>
      <c r="DM87" s="46" t="n"/>
      <c r="DN87" s="46" t="n"/>
      <c r="DO87" s="46" t="n"/>
      <c r="DP87" s="46" t="n"/>
      <c r="DQ87" s="46" t="n"/>
      <c r="DR87" s="46" t="n"/>
      <c r="DS87" s="46" t="n"/>
      <c r="DT87" s="46" t="n"/>
      <c r="DU87" s="46" t="n"/>
      <c r="DV87" s="46" t="n"/>
      <c r="DW87" s="46" t="n"/>
      <c r="DX87" s="46" t="n"/>
      <c r="DY87" s="46" t="n"/>
      <c r="DZ87" s="46" t="n"/>
      <c r="EA87" s="46" t="n"/>
      <c r="EB87" s="46" t="n"/>
      <c r="EC87" s="46" t="n"/>
      <c r="ED87" s="46" t="n"/>
      <c r="EE87" s="46" t="n"/>
      <c r="EF87" s="46" t="n"/>
      <c r="EG87" s="46" t="n"/>
      <c r="EH87" s="46" t="n"/>
      <c r="EI87" s="46" t="n"/>
      <c r="EJ87" s="46" t="n"/>
      <c r="EK87" s="46" t="n"/>
      <c r="EL87" s="46" t="n"/>
      <c r="EM87" s="46" t="n"/>
      <c r="EN87" s="46" t="n"/>
      <c r="EO87" s="46" t="n"/>
      <c r="EP87" s="46" t="n"/>
      <c r="EQ87" s="46" t="n"/>
      <c r="ER87" s="46" t="n"/>
      <c r="ES87" s="46" t="n"/>
      <c r="ET87" s="46" t="n"/>
      <c r="EU87" s="46" t="n"/>
      <c r="EV87" s="46" t="n"/>
      <c r="EW87" s="46" t="n"/>
      <c r="EX87" s="46" t="n"/>
      <c r="EY87" s="46" t="n"/>
      <c r="EZ87" s="46" t="n"/>
      <c r="FA87" s="46" t="n"/>
      <c r="FB87" s="46" t="n"/>
      <c r="FC87" s="46" t="n"/>
      <c r="FD87" s="46" t="n"/>
      <c r="FE87" s="46" t="n"/>
      <c r="FF87" s="46" t="n"/>
      <c r="FG87" s="46" t="n"/>
      <c r="FH87" s="46" t="n"/>
      <c r="FI87" s="46" t="n"/>
      <c r="FJ87" s="46" t="n"/>
      <c r="FK87" s="46" t="n"/>
      <c r="FL87" s="46" t="n"/>
      <c r="FM87" s="46" t="n"/>
      <c r="FN87" s="46" t="n"/>
    </row>
    <row r="88" ht="15" customFormat="1" customHeight="1" s="50">
      <c r="A88" s="49" t="n">
        <v>44652</v>
      </c>
      <c r="B88" s="43" t="n"/>
      <c r="C88" s="43" t="n">
        <v>145.198</v>
      </c>
      <c r="D88" s="44" t="n"/>
      <c r="E88" s="45" t="n"/>
      <c r="F88" s="46" t="n"/>
      <c r="G88" s="43" t="n">
        <v>84.80500000000001</v>
      </c>
      <c r="H88" s="43" t="n">
        <v>41.077</v>
      </c>
      <c r="I88" s="47">
        <f>G88/C88</f>
        <v/>
      </c>
      <c r="J88" s="46" t="n"/>
      <c r="K88" s="46" t="n">
        <v>113.295</v>
      </c>
      <c r="L88" s="46" t="n">
        <v>128.622</v>
      </c>
      <c r="M88" s="46" t="n">
        <v>125.2</v>
      </c>
      <c r="N88" s="45">
        <f>1-(M88/L88)</f>
        <v/>
      </c>
      <c r="O88" s="46" t="n">
        <v>129.434</v>
      </c>
      <c r="P88" s="46" t="n">
        <v>61.319</v>
      </c>
      <c r="Q88" s="46" t="n">
        <v>89.036</v>
      </c>
      <c r="R88" s="47">
        <f>K88/2/C88</f>
        <v/>
      </c>
      <c r="S88" s="46" t="n"/>
      <c r="T88" s="45">
        <f>R88+I88</f>
        <v/>
      </c>
      <c r="U88" s="46" t="n"/>
      <c r="V88" s="46" t="n"/>
      <c r="W88" s="46" t="n"/>
      <c r="X88" s="46" t="n"/>
      <c r="Y88" s="46" t="n"/>
      <c r="Z88" s="46" t="n"/>
      <c r="AA88" s="46" t="n"/>
      <c r="AB88" s="46" t="n"/>
      <c r="AC88" s="46" t="n"/>
      <c r="AD88" s="46" t="n"/>
      <c r="AE88" s="46" t="n"/>
      <c r="AF88" s="46" t="n"/>
      <c r="AG88" s="46" t="n"/>
      <c r="AH88" s="46" t="n"/>
      <c r="AI88" s="46" t="n"/>
      <c r="AJ88" s="46" t="n"/>
      <c r="AK88" s="46" t="n"/>
      <c r="AL88" s="46" t="n"/>
      <c r="AM88" s="46" t="n"/>
      <c r="AN88" s="46" t="n"/>
      <c r="AO88" s="46" t="n"/>
      <c r="AP88" s="46" t="n"/>
      <c r="AQ88" s="46" t="n"/>
      <c r="AR88" s="46" t="n"/>
      <c r="AS88" s="46" t="n"/>
      <c r="AT88" s="46" t="n"/>
      <c r="AU88" s="46" t="n"/>
      <c r="AV88" s="46" t="n"/>
      <c r="AW88" s="46" t="n"/>
      <c r="AX88" s="46" t="n"/>
      <c r="AY88" s="46" t="n"/>
      <c r="AZ88" s="46" t="n"/>
      <c r="BA88" s="46" t="n"/>
      <c r="BB88" s="46" t="n"/>
      <c r="BC88" s="46" t="n"/>
      <c r="BD88" s="46" t="n"/>
      <c r="BE88" s="46" t="n"/>
      <c r="BF88" s="46" t="n"/>
      <c r="BG88" s="46" t="n"/>
      <c r="BH88" s="46" t="n"/>
      <c r="BI88" s="46" t="n"/>
      <c r="BJ88" s="46" t="n"/>
      <c r="BK88" s="46" t="n"/>
      <c r="BL88" s="46" t="n"/>
      <c r="BM88" s="46" t="n"/>
      <c r="BN88" s="46" t="n"/>
      <c r="BO88" s="46" t="n"/>
      <c r="BP88" s="46" t="n"/>
      <c r="BQ88" s="46" t="n"/>
      <c r="BR88" s="46" t="n"/>
      <c r="BS88" s="46" t="n"/>
      <c r="BT88" s="46" t="n"/>
      <c r="BU88" s="46" t="n"/>
      <c r="BV88" s="46" t="n"/>
      <c r="BW88" s="46" t="n"/>
      <c r="BX88" s="46" t="n"/>
      <c r="BY88" s="46" t="n"/>
      <c r="BZ88" s="46" t="n"/>
      <c r="CA88" s="46" t="n"/>
      <c r="CB88" s="46" t="n"/>
      <c r="CC88" s="46" t="n"/>
      <c r="CD88" s="46" t="n"/>
      <c r="CE88" s="46" t="n"/>
      <c r="CF88" s="46" t="n"/>
      <c r="CG88" s="46" t="n"/>
      <c r="CH88" s="46" t="n"/>
      <c r="CI88" s="46" t="n"/>
      <c r="CJ88" s="46" t="n"/>
      <c r="CK88" s="46" t="n"/>
      <c r="CL88" s="46" t="n"/>
      <c r="CM88" s="46" t="n"/>
      <c r="CN88" s="46" t="n"/>
      <c r="CO88" s="46" t="n"/>
      <c r="CP88" s="46" t="n"/>
      <c r="CQ88" s="46" t="n"/>
      <c r="CR88" s="46" t="n"/>
      <c r="CS88" s="46" t="n"/>
      <c r="CT88" s="46" t="n"/>
      <c r="CU88" s="46" t="n"/>
      <c r="CV88" s="46" t="n"/>
      <c r="CW88" s="46" t="n"/>
      <c r="CX88" s="46" t="n"/>
      <c r="CY88" s="46" t="n"/>
      <c r="CZ88" s="46" t="n"/>
      <c r="DA88" s="46" t="n"/>
      <c r="DB88" s="46" t="n"/>
      <c r="DC88" s="46" t="n"/>
      <c r="DD88" s="46" t="n"/>
      <c r="DE88" s="46" t="n"/>
      <c r="DF88" s="46" t="n"/>
      <c r="DG88" s="46" t="n"/>
      <c r="DH88" s="46" t="n"/>
      <c r="DI88" s="46" t="n"/>
      <c r="DJ88" s="46" t="n"/>
      <c r="DK88" s="46" t="n"/>
      <c r="DL88" s="46" t="n"/>
      <c r="DM88" s="46" t="n"/>
      <c r="DN88" s="46" t="n"/>
      <c r="DO88" s="46" t="n"/>
      <c r="DP88" s="46" t="n"/>
      <c r="DQ88" s="46" t="n"/>
      <c r="DR88" s="46" t="n"/>
      <c r="DS88" s="46" t="n"/>
      <c r="DT88" s="46" t="n"/>
      <c r="DU88" s="46" t="n"/>
      <c r="DV88" s="46" t="n"/>
      <c r="DW88" s="46" t="n"/>
      <c r="DX88" s="46" t="n"/>
      <c r="DY88" s="46" t="n"/>
      <c r="DZ88" s="46" t="n"/>
      <c r="EA88" s="46" t="n"/>
      <c r="EB88" s="46" t="n"/>
      <c r="EC88" s="46" t="n"/>
      <c r="ED88" s="46" t="n"/>
      <c r="EE88" s="46" t="n"/>
      <c r="EF88" s="46" t="n"/>
      <c r="EG88" s="46" t="n"/>
      <c r="EH88" s="46" t="n"/>
      <c r="EI88" s="46" t="n"/>
      <c r="EJ88" s="46" t="n"/>
      <c r="EK88" s="46" t="n"/>
      <c r="EL88" s="46" t="n"/>
      <c r="EM88" s="46" t="n"/>
      <c r="EN88" s="46" t="n"/>
      <c r="EO88" s="46" t="n"/>
      <c r="EP88" s="46" t="n"/>
      <c r="EQ88" s="46" t="n"/>
      <c r="ER88" s="46" t="n"/>
      <c r="ES88" s="46" t="n"/>
      <c r="ET88" s="46" t="n"/>
      <c r="EU88" s="46" t="n"/>
      <c r="EV88" s="46" t="n"/>
      <c r="EW88" s="46" t="n"/>
      <c r="EX88" s="46" t="n"/>
      <c r="EY88" s="46" t="n"/>
      <c r="EZ88" s="46" t="n"/>
      <c r="FA88" s="46" t="n"/>
      <c r="FB88" s="46" t="n"/>
      <c r="FC88" s="46" t="n"/>
      <c r="FD88" s="46" t="n"/>
      <c r="FE88" s="46" t="n"/>
      <c r="FF88" s="46" t="n"/>
      <c r="FG88" s="46" t="n"/>
      <c r="FH88" s="46" t="n"/>
      <c r="FI88" s="46" t="n"/>
      <c r="FJ88" s="46" t="n"/>
      <c r="FK88" s="46" t="n"/>
      <c r="FL88" s="46" t="n"/>
      <c r="FM88" s="46" t="n"/>
      <c r="FN88" s="46" t="n"/>
    </row>
    <row r="89" ht="15" customFormat="1" customHeight="1" s="50">
      <c r="A89" s="49" t="n">
        <v>44682</v>
      </c>
      <c r="B89" s="43" t="n"/>
      <c r="C89" s="43" t="n">
        <v>97.792</v>
      </c>
      <c r="D89" s="44" t="n"/>
      <c r="E89" s="45" t="n"/>
      <c r="F89" s="46" t="n"/>
      <c r="G89" s="43" t="n">
        <v>56.819</v>
      </c>
      <c r="H89" s="43" t="n">
        <v>31.177</v>
      </c>
      <c r="I89" s="47">
        <f>G89/C89</f>
        <v/>
      </c>
      <c r="J89" s="46" t="n"/>
      <c r="K89" s="46" t="n">
        <v>76.861</v>
      </c>
      <c r="L89" s="46" t="n">
        <v>93.711</v>
      </c>
      <c r="M89" s="46" t="n">
        <v>91.44199999999999</v>
      </c>
      <c r="N89" s="45">
        <f>1-(M89/L89)</f>
        <v/>
      </c>
      <c r="O89" s="46" t="n">
        <v>100.474</v>
      </c>
      <c r="P89" s="46" t="n">
        <v>48.003</v>
      </c>
      <c r="Q89" s="46" t="n">
        <v>77.027</v>
      </c>
      <c r="R89" s="47">
        <f>K89/2/C89</f>
        <v/>
      </c>
      <c r="S89" s="46" t="n"/>
      <c r="T89" s="45">
        <f>R89+I89</f>
        <v/>
      </c>
      <c r="U89" s="46" t="n"/>
      <c r="V89" s="46" t="n"/>
      <c r="W89" s="46" t="n"/>
      <c r="X89" s="46" t="n"/>
      <c r="Y89" s="46" t="n"/>
      <c r="Z89" s="46" t="n"/>
      <c r="AA89" s="46" t="n"/>
      <c r="AB89" s="46" t="n"/>
      <c r="AC89" s="46" t="n"/>
      <c r="AD89" s="46" t="n"/>
      <c r="AE89" s="46" t="n"/>
      <c r="AF89" s="46" t="n"/>
      <c r="AG89" s="46" t="n"/>
      <c r="AH89" s="46" t="n"/>
      <c r="AI89" s="46" t="n"/>
      <c r="AJ89" s="46" t="n"/>
      <c r="AK89" s="46" t="n"/>
      <c r="AL89" s="46" t="n"/>
      <c r="AM89" s="46" t="n"/>
      <c r="AN89" s="46" t="n"/>
      <c r="AO89" s="46" t="n"/>
      <c r="AP89" s="46" t="n"/>
      <c r="AQ89" s="46" t="n"/>
      <c r="AR89" s="46" t="n"/>
      <c r="AS89" s="46" t="n"/>
      <c r="AT89" s="46" t="n"/>
      <c r="AU89" s="46" t="n"/>
      <c r="AV89" s="46" t="n"/>
      <c r="AW89" s="46" t="n"/>
      <c r="AX89" s="46" t="n"/>
      <c r="AY89" s="46" t="n"/>
      <c r="AZ89" s="46" t="n"/>
      <c r="BA89" s="46" t="n"/>
      <c r="BB89" s="46" t="n"/>
      <c r="BC89" s="46" t="n"/>
      <c r="BD89" s="46" t="n"/>
      <c r="BE89" s="46" t="n"/>
      <c r="BF89" s="46" t="n"/>
      <c r="BG89" s="46" t="n"/>
      <c r="BH89" s="46" t="n"/>
      <c r="BI89" s="46" t="n"/>
      <c r="BJ89" s="46" t="n"/>
      <c r="BK89" s="46" t="n"/>
      <c r="BL89" s="46" t="n"/>
      <c r="BM89" s="46" t="n"/>
      <c r="BN89" s="46" t="n"/>
      <c r="BO89" s="46" t="n"/>
      <c r="BP89" s="46" t="n"/>
      <c r="BQ89" s="46" t="n"/>
      <c r="BR89" s="46" t="n"/>
      <c r="BS89" s="46" t="n"/>
      <c r="BT89" s="46" t="n"/>
      <c r="BU89" s="46" t="n"/>
      <c r="BV89" s="46" t="n"/>
      <c r="BW89" s="46" t="n"/>
      <c r="BX89" s="46" t="n"/>
      <c r="BY89" s="46" t="n"/>
      <c r="BZ89" s="46" t="n"/>
      <c r="CA89" s="46" t="n"/>
      <c r="CB89" s="46" t="n"/>
      <c r="CC89" s="46" t="n"/>
      <c r="CD89" s="46" t="n"/>
      <c r="CE89" s="46" t="n"/>
      <c r="CF89" s="46" t="n"/>
      <c r="CG89" s="46" t="n"/>
      <c r="CH89" s="46" t="n"/>
      <c r="CI89" s="46" t="n"/>
      <c r="CJ89" s="46" t="n"/>
      <c r="CK89" s="46" t="n"/>
      <c r="CL89" s="46" t="n"/>
      <c r="CM89" s="46" t="n"/>
      <c r="CN89" s="46" t="n"/>
      <c r="CO89" s="46" t="n"/>
      <c r="CP89" s="46" t="n"/>
      <c r="CQ89" s="46" t="n"/>
      <c r="CR89" s="46" t="n"/>
      <c r="CS89" s="46" t="n"/>
      <c r="CT89" s="46" t="n"/>
      <c r="CU89" s="46" t="n"/>
      <c r="CV89" s="46" t="n"/>
      <c r="CW89" s="46" t="n"/>
      <c r="CX89" s="46" t="n"/>
      <c r="CY89" s="46" t="n"/>
      <c r="CZ89" s="46" t="n"/>
      <c r="DA89" s="46" t="n"/>
      <c r="DB89" s="46" t="n"/>
      <c r="DC89" s="46" t="n"/>
      <c r="DD89" s="46" t="n"/>
      <c r="DE89" s="46" t="n"/>
      <c r="DF89" s="46" t="n"/>
      <c r="DG89" s="46" t="n"/>
      <c r="DH89" s="46" t="n"/>
      <c r="DI89" s="46" t="n"/>
      <c r="DJ89" s="46" t="n"/>
      <c r="DK89" s="46" t="n"/>
      <c r="DL89" s="46" t="n"/>
      <c r="DM89" s="46" t="n"/>
      <c r="DN89" s="46" t="n"/>
      <c r="DO89" s="46" t="n"/>
      <c r="DP89" s="46" t="n"/>
      <c r="DQ89" s="46" t="n"/>
      <c r="DR89" s="46" t="n"/>
      <c r="DS89" s="46" t="n"/>
      <c r="DT89" s="46" t="n"/>
      <c r="DU89" s="46" t="n"/>
      <c r="DV89" s="46" t="n"/>
      <c r="DW89" s="46" t="n"/>
      <c r="DX89" s="46" t="n"/>
      <c r="DY89" s="46" t="n"/>
      <c r="DZ89" s="46" t="n"/>
      <c r="EA89" s="46" t="n"/>
      <c r="EB89" s="46" t="n"/>
      <c r="EC89" s="46" t="n"/>
      <c r="ED89" s="46" t="n"/>
      <c r="EE89" s="46" t="n"/>
      <c r="EF89" s="46" t="n"/>
      <c r="EG89" s="46" t="n"/>
      <c r="EH89" s="46" t="n"/>
      <c r="EI89" s="46" t="n"/>
      <c r="EJ89" s="46" t="n"/>
      <c r="EK89" s="46" t="n"/>
      <c r="EL89" s="46" t="n"/>
      <c r="EM89" s="46" t="n"/>
      <c r="EN89" s="46" t="n"/>
      <c r="EO89" s="46" t="n"/>
      <c r="EP89" s="46" t="n"/>
      <c r="EQ89" s="46" t="n"/>
      <c r="ER89" s="46" t="n"/>
      <c r="ES89" s="46" t="n"/>
      <c r="ET89" s="46" t="n"/>
      <c r="EU89" s="46" t="n"/>
      <c r="EV89" s="46" t="n"/>
      <c r="EW89" s="46" t="n"/>
      <c r="EX89" s="46" t="n"/>
      <c r="EY89" s="46" t="n"/>
      <c r="EZ89" s="46" t="n"/>
      <c r="FA89" s="46" t="n"/>
      <c r="FB89" s="46" t="n"/>
      <c r="FC89" s="46" t="n"/>
      <c r="FD89" s="46" t="n"/>
      <c r="FE89" s="46" t="n"/>
      <c r="FF89" s="46" t="n"/>
      <c r="FG89" s="46" t="n"/>
      <c r="FH89" s="46" t="n"/>
      <c r="FI89" s="46" t="n"/>
      <c r="FJ89" s="46" t="n"/>
      <c r="FK89" s="46" t="n"/>
      <c r="FL89" s="46" t="n"/>
      <c r="FM89" s="46" t="n"/>
      <c r="FN89" s="46" t="n"/>
    </row>
    <row r="90" ht="15" customFormat="1" customHeight="1" s="50">
      <c r="A90" s="49" t="n">
        <v>44713</v>
      </c>
      <c r="B90" s="43" t="n"/>
      <c r="C90" s="43" t="n">
        <v>147.715</v>
      </c>
      <c r="D90" s="44" t="n"/>
      <c r="E90" s="45" t="n"/>
      <c r="F90" s="46" t="n"/>
      <c r="G90" s="43" t="n">
        <v>86.797</v>
      </c>
      <c r="H90" s="43" t="n">
        <v>38.456</v>
      </c>
      <c r="I90" s="47">
        <f>G90/C90</f>
        <v/>
      </c>
      <c r="J90" s="46" t="n"/>
      <c r="K90" s="46" t="n">
        <v>119.992</v>
      </c>
      <c r="L90" s="46" t="n">
        <v>127.618</v>
      </c>
      <c r="M90" s="46" t="n">
        <v>124.41</v>
      </c>
      <c r="N90" s="45">
        <f>1-(M90/L90)</f>
        <v/>
      </c>
      <c r="O90" s="46" t="n">
        <v>116.943</v>
      </c>
      <c r="P90" s="46" t="n">
        <v>49.75</v>
      </c>
      <c r="Q90" s="46" t="n">
        <v>104.882</v>
      </c>
      <c r="R90" s="47">
        <f>K90/2/C90</f>
        <v/>
      </c>
      <c r="S90" s="46" t="n"/>
      <c r="T90" s="45">
        <f>R90+I90</f>
        <v/>
      </c>
      <c r="U90" s="46" t="n"/>
      <c r="V90" s="46" t="n"/>
      <c r="W90" s="46" t="n"/>
      <c r="X90" s="46" t="n"/>
      <c r="Y90" s="46" t="n"/>
      <c r="Z90" s="46" t="n"/>
      <c r="AA90" s="46" t="n"/>
      <c r="AB90" s="46" t="n"/>
      <c r="AC90" s="46" t="n"/>
      <c r="AD90" s="46" t="n"/>
      <c r="AE90" s="46" t="n"/>
      <c r="AF90" s="46" t="n"/>
      <c r="AG90" s="46" t="n"/>
      <c r="AH90" s="46" t="n"/>
      <c r="AI90" s="46" t="n"/>
      <c r="AJ90" s="46" t="n"/>
      <c r="AK90" s="46" t="n"/>
      <c r="AL90" s="46" t="n"/>
      <c r="AM90" s="46" t="n"/>
      <c r="AN90" s="46" t="n"/>
      <c r="AO90" s="46" t="n"/>
      <c r="AP90" s="46" t="n"/>
      <c r="AQ90" s="46" t="n"/>
      <c r="AR90" s="46" t="n"/>
      <c r="AS90" s="46" t="n"/>
      <c r="AT90" s="46" t="n"/>
      <c r="AU90" s="46" t="n"/>
      <c r="AV90" s="46" t="n"/>
      <c r="AW90" s="46" t="n"/>
      <c r="AX90" s="46" t="n"/>
      <c r="AY90" s="46" t="n"/>
      <c r="AZ90" s="46" t="n"/>
      <c r="BA90" s="46" t="n"/>
      <c r="BB90" s="46" t="n"/>
      <c r="BC90" s="46" t="n"/>
      <c r="BD90" s="46" t="n"/>
      <c r="BE90" s="46" t="n"/>
      <c r="BF90" s="46" t="n"/>
      <c r="BG90" s="46" t="n"/>
      <c r="BH90" s="46" t="n"/>
      <c r="BI90" s="46" t="n"/>
      <c r="BJ90" s="46" t="n"/>
      <c r="BK90" s="46" t="n"/>
      <c r="BL90" s="46" t="n"/>
      <c r="BM90" s="46" t="n"/>
      <c r="BN90" s="46" t="n"/>
      <c r="BO90" s="46" t="n"/>
      <c r="BP90" s="46" t="n"/>
      <c r="BQ90" s="46" t="n"/>
      <c r="BR90" s="46" t="n"/>
      <c r="BS90" s="46" t="n"/>
      <c r="BT90" s="46" t="n"/>
      <c r="BU90" s="46" t="n"/>
      <c r="BV90" s="46" t="n"/>
      <c r="BW90" s="46" t="n"/>
      <c r="BX90" s="46" t="n"/>
      <c r="BY90" s="46" t="n"/>
      <c r="BZ90" s="46" t="n"/>
      <c r="CA90" s="46" t="n"/>
      <c r="CB90" s="46" t="n"/>
      <c r="CC90" s="46" t="n"/>
      <c r="CD90" s="46" t="n"/>
      <c r="CE90" s="46" t="n"/>
      <c r="CF90" s="46" t="n"/>
      <c r="CG90" s="46" t="n"/>
      <c r="CH90" s="46" t="n"/>
      <c r="CI90" s="46" t="n"/>
      <c r="CJ90" s="46" t="n"/>
      <c r="CK90" s="46" t="n"/>
      <c r="CL90" s="46" t="n"/>
      <c r="CM90" s="46" t="n"/>
      <c r="CN90" s="46" t="n"/>
      <c r="CO90" s="46" t="n"/>
      <c r="CP90" s="46" t="n"/>
      <c r="CQ90" s="46" t="n"/>
      <c r="CR90" s="46" t="n"/>
      <c r="CS90" s="46" t="n"/>
      <c r="CT90" s="46" t="n"/>
      <c r="CU90" s="46" t="n"/>
      <c r="CV90" s="46" t="n"/>
      <c r="CW90" s="46" t="n"/>
      <c r="CX90" s="46" t="n"/>
      <c r="CY90" s="46" t="n"/>
      <c r="CZ90" s="46" t="n"/>
      <c r="DA90" s="46" t="n"/>
      <c r="DB90" s="46" t="n"/>
      <c r="DC90" s="46" t="n"/>
      <c r="DD90" s="46" t="n"/>
      <c r="DE90" s="46" t="n"/>
      <c r="DF90" s="46" t="n"/>
      <c r="DG90" s="46" t="n"/>
      <c r="DH90" s="46" t="n"/>
      <c r="DI90" s="46" t="n"/>
      <c r="DJ90" s="46" t="n"/>
      <c r="DK90" s="46" t="n"/>
      <c r="DL90" s="46" t="n"/>
      <c r="DM90" s="46" t="n"/>
      <c r="DN90" s="46" t="n"/>
      <c r="DO90" s="46" t="n"/>
      <c r="DP90" s="46" t="n"/>
      <c r="DQ90" s="46" t="n"/>
      <c r="DR90" s="46" t="n"/>
      <c r="DS90" s="46" t="n"/>
      <c r="DT90" s="46" t="n"/>
      <c r="DU90" s="46" t="n"/>
      <c r="DV90" s="46" t="n"/>
      <c r="DW90" s="46" t="n"/>
      <c r="DX90" s="46" t="n"/>
      <c r="DY90" s="46" t="n"/>
      <c r="DZ90" s="46" t="n"/>
      <c r="EA90" s="46" t="n"/>
      <c r="EB90" s="46" t="n"/>
      <c r="EC90" s="46" t="n"/>
      <c r="ED90" s="46" t="n"/>
      <c r="EE90" s="46" t="n"/>
      <c r="EF90" s="46" t="n"/>
      <c r="EG90" s="46" t="n"/>
      <c r="EH90" s="46" t="n"/>
      <c r="EI90" s="46" t="n"/>
      <c r="EJ90" s="46" t="n"/>
      <c r="EK90" s="46" t="n"/>
      <c r="EL90" s="46" t="n"/>
      <c r="EM90" s="46" t="n"/>
      <c r="EN90" s="46" t="n"/>
      <c r="EO90" s="46" t="n"/>
      <c r="EP90" s="46" t="n"/>
      <c r="EQ90" s="46" t="n"/>
      <c r="ER90" s="46" t="n"/>
      <c r="ES90" s="46" t="n"/>
      <c r="ET90" s="46" t="n"/>
      <c r="EU90" s="46" t="n"/>
      <c r="EV90" s="46" t="n"/>
      <c r="EW90" s="46" t="n"/>
      <c r="EX90" s="46" t="n"/>
      <c r="EY90" s="46" t="n"/>
      <c r="EZ90" s="46" t="n"/>
      <c r="FA90" s="46" t="n"/>
      <c r="FB90" s="46" t="n"/>
      <c r="FC90" s="46" t="n"/>
      <c r="FD90" s="46" t="n"/>
      <c r="FE90" s="46" t="n"/>
      <c r="FF90" s="46" t="n"/>
      <c r="FG90" s="46" t="n"/>
      <c r="FH90" s="46" t="n"/>
      <c r="FI90" s="46" t="n"/>
      <c r="FJ90" s="46" t="n"/>
      <c r="FK90" s="46" t="n"/>
      <c r="FL90" s="46" t="n"/>
      <c r="FM90" s="46" t="n"/>
      <c r="FN90" s="46" t="n"/>
    </row>
    <row r="91" ht="15" customFormat="1" customHeight="1" s="50">
      <c r="A91" s="49" t="n">
        <v>44743</v>
      </c>
      <c r="B91" s="43" t="n"/>
      <c r="C91" s="43" t="n">
        <v>151.561</v>
      </c>
      <c r="D91" s="44" t="n"/>
      <c r="E91" s="45" t="n"/>
      <c r="F91" s="46" t="n"/>
      <c r="G91" s="43" t="n">
        <v>88.604</v>
      </c>
      <c r="H91" s="43" t="n">
        <v>48.257</v>
      </c>
      <c r="I91" s="47">
        <f>G91/C91</f>
        <v/>
      </c>
      <c r="J91" s="46" t="n"/>
      <c r="K91" s="46" t="n">
        <v>119.152</v>
      </c>
      <c r="L91" s="46" t="n">
        <v>124.878</v>
      </c>
      <c r="M91" s="46" t="n">
        <v>121.266</v>
      </c>
      <c r="N91" s="45">
        <f>1-(M91/L91)</f>
        <v/>
      </c>
      <c r="O91" s="46" t="n">
        <v>117.738</v>
      </c>
      <c r="P91" s="46" t="n">
        <v>51.057</v>
      </c>
      <c r="Q91" s="46" t="n">
        <v>107.918</v>
      </c>
      <c r="R91" s="47">
        <f>K91/2/C91</f>
        <v/>
      </c>
      <c r="S91" s="46" t="n"/>
      <c r="T91" s="45">
        <f>R91+I91</f>
        <v/>
      </c>
      <c r="U91" s="46" t="n"/>
      <c r="V91" s="46" t="n"/>
      <c r="W91" s="46" t="n"/>
      <c r="X91" s="46" t="n"/>
      <c r="Y91" s="46" t="n"/>
      <c r="Z91" s="46" t="n"/>
      <c r="AA91" s="46" t="n"/>
      <c r="AB91" s="46" t="n"/>
      <c r="AC91" s="46" t="n"/>
      <c r="AD91" s="46" t="n"/>
      <c r="AE91" s="46" t="n"/>
      <c r="AF91" s="46" t="n"/>
      <c r="AG91" s="46" t="n"/>
      <c r="AH91" s="46" t="n"/>
      <c r="AI91" s="46" t="n"/>
      <c r="AJ91" s="46" t="n"/>
      <c r="AK91" s="46" t="n"/>
      <c r="AL91" s="46" t="n"/>
      <c r="AM91" s="46" t="n"/>
      <c r="AN91" s="46" t="n"/>
      <c r="AO91" s="46" t="n"/>
      <c r="AP91" s="46" t="n"/>
      <c r="AQ91" s="46" t="n"/>
      <c r="AR91" s="46" t="n"/>
      <c r="AS91" s="46" t="n"/>
      <c r="AT91" s="46" t="n"/>
      <c r="AU91" s="46" t="n"/>
      <c r="AV91" s="46" t="n"/>
      <c r="AW91" s="46" t="n"/>
      <c r="AX91" s="46" t="n"/>
      <c r="AY91" s="46" t="n"/>
      <c r="AZ91" s="46" t="n"/>
      <c r="BA91" s="46" t="n"/>
      <c r="BB91" s="46" t="n"/>
      <c r="BC91" s="46" t="n"/>
      <c r="BD91" s="46" t="n"/>
      <c r="BE91" s="46" t="n"/>
      <c r="BF91" s="46" t="n"/>
      <c r="BG91" s="46" t="n"/>
      <c r="BH91" s="46" t="n"/>
      <c r="BI91" s="46" t="n"/>
      <c r="BJ91" s="46" t="n"/>
      <c r="BK91" s="46" t="n"/>
      <c r="BL91" s="46" t="n"/>
      <c r="BM91" s="46" t="n"/>
      <c r="BN91" s="46" t="n"/>
      <c r="BO91" s="46" t="n"/>
      <c r="BP91" s="46" t="n"/>
      <c r="BQ91" s="46" t="n"/>
      <c r="BR91" s="46" t="n"/>
      <c r="BS91" s="46" t="n"/>
      <c r="BT91" s="46" t="n"/>
      <c r="BU91" s="46" t="n"/>
      <c r="BV91" s="46" t="n"/>
      <c r="BW91" s="46" t="n"/>
      <c r="BX91" s="46" t="n"/>
      <c r="BY91" s="46" t="n"/>
      <c r="BZ91" s="46" t="n"/>
      <c r="CA91" s="46" t="n"/>
      <c r="CB91" s="46" t="n"/>
      <c r="CC91" s="46" t="n"/>
      <c r="CD91" s="46" t="n"/>
      <c r="CE91" s="46" t="n"/>
      <c r="CF91" s="46" t="n"/>
      <c r="CG91" s="46" t="n"/>
      <c r="CH91" s="46" t="n"/>
      <c r="CI91" s="46" t="n"/>
      <c r="CJ91" s="46" t="n"/>
      <c r="CK91" s="46" t="n"/>
      <c r="CL91" s="46" t="n"/>
      <c r="CM91" s="46" t="n"/>
      <c r="CN91" s="46" t="n"/>
      <c r="CO91" s="46" t="n"/>
      <c r="CP91" s="46" t="n"/>
      <c r="CQ91" s="46" t="n"/>
      <c r="CR91" s="46" t="n"/>
      <c r="CS91" s="46" t="n"/>
      <c r="CT91" s="46" t="n"/>
      <c r="CU91" s="46" t="n"/>
      <c r="CV91" s="46" t="n"/>
      <c r="CW91" s="46" t="n"/>
      <c r="CX91" s="46" t="n"/>
      <c r="CY91" s="46" t="n"/>
      <c r="CZ91" s="46" t="n"/>
      <c r="DA91" s="46" t="n"/>
      <c r="DB91" s="46" t="n"/>
      <c r="DC91" s="46" t="n"/>
      <c r="DD91" s="46" t="n"/>
      <c r="DE91" s="46" t="n"/>
      <c r="DF91" s="46" t="n"/>
      <c r="DG91" s="46" t="n"/>
      <c r="DH91" s="46" t="n"/>
      <c r="DI91" s="46" t="n"/>
      <c r="DJ91" s="46" t="n"/>
      <c r="DK91" s="46" t="n"/>
      <c r="DL91" s="46" t="n"/>
      <c r="DM91" s="46" t="n"/>
      <c r="DN91" s="46" t="n"/>
      <c r="DO91" s="46" t="n"/>
      <c r="DP91" s="46" t="n"/>
      <c r="DQ91" s="46" t="n"/>
      <c r="DR91" s="46" t="n"/>
      <c r="DS91" s="46" t="n"/>
      <c r="DT91" s="46" t="n"/>
      <c r="DU91" s="46" t="n"/>
      <c r="DV91" s="46" t="n"/>
      <c r="DW91" s="46" t="n"/>
      <c r="DX91" s="46" t="n"/>
      <c r="DY91" s="46" t="n"/>
      <c r="DZ91" s="46" t="n"/>
      <c r="EA91" s="46" t="n"/>
      <c r="EB91" s="46" t="n"/>
      <c r="EC91" s="46" t="n"/>
      <c r="ED91" s="46" t="n"/>
      <c r="EE91" s="46" t="n"/>
      <c r="EF91" s="46" t="n"/>
      <c r="EG91" s="46" t="n"/>
      <c r="EH91" s="46" t="n"/>
      <c r="EI91" s="46" t="n"/>
      <c r="EJ91" s="46" t="n"/>
      <c r="EK91" s="46" t="n"/>
      <c r="EL91" s="46" t="n"/>
      <c r="EM91" s="46" t="n"/>
      <c r="EN91" s="46" t="n"/>
      <c r="EO91" s="46" t="n"/>
      <c r="EP91" s="46" t="n"/>
      <c r="EQ91" s="46" t="n"/>
      <c r="ER91" s="46" t="n"/>
      <c r="ES91" s="46" t="n"/>
      <c r="ET91" s="46" t="n"/>
      <c r="EU91" s="46" t="n"/>
      <c r="EV91" s="46" t="n"/>
      <c r="EW91" s="46" t="n"/>
      <c r="EX91" s="46" t="n"/>
      <c r="EY91" s="46" t="n"/>
      <c r="EZ91" s="46" t="n"/>
      <c r="FA91" s="46" t="n"/>
      <c r="FB91" s="46" t="n"/>
      <c r="FC91" s="46" t="n"/>
      <c r="FD91" s="46" t="n"/>
      <c r="FE91" s="46" t="n"/>
      <c r="FF91" s="46" t="n"/>
      <c r="FG91" s="46" t="n"/>
      <c r="FH91" s="46" t="n"/>
      <c r="FI91" s="46" t="n"/>
      <c r="FJ91" s="46" t="n"/>
      <c r="FK91" s="46" t="n"/>
      <c r="FL91" s="46" t="n"/>
      <c r="FM91" s="46" t="n"/>
      <c r="FN91" s="46" t="n"/>
    </row>
    <row r="92" ht="15" customFormat="1" customHeight="1" s="50">
      <c r="A92" s="49" t="n">
        <v>44774</v>
      </c>
      <c r="B92" s="43" t="n"/>
      <c r="C92" s="43" t="n">
        <v>171.334</v>
      </c>
      <c r="D92" s="44" t="n"/>
      <c r="E92" s="45" t="n"/>
      <c r="F92" s="46" t="n"/>
      <c r="G92" s="43" t="n">
        <v>98.045</v>
      </c>
      <c r="H92" s="43" t="n">
        <v>41.821</v>
      </c>
      <c r="I92" s="47">
        <f>G92/C92</f>
        <v/>
      </c>
      <c r="J92" s="46" t="n"/>
      <c r="K92" s="46" t="n">
        <v>136.548</v>
      </c>
      <c r="L92" s="46" t="n">
        <v>139.738</v>
      </c>
      <c r="M92" s="46" t="n">
        <v>135.102</v>
      </c>
      <c r="N92" s="45">
        <f>1-(M92/L92)</f>
        <v/>
      </c>
      <c r="O92" s="46" t="n">
        <v>141.567</v>
      </c>
      <c r="P92" s="46" t="n">
        <v>47.623</v>
      </c>
      <c r="Q92" s="46" t="n">
        <v>91.224</v>
      </c>
      <c r="R92" s="47">
        <f>K92/2/C92</f>
        <v/>
      </c>
      <c r="S92" s="46" t="n"/>
      <c r="T92" s="45">
        <f>R92+I92</f>
        <v/>
      </c>
      <c r="U92" s="46" t="n"/>
      <c r="V92" s="46" t="n"/>
      <c r="W92" s="46" t="n"/>
      <c r="X92" s="46" t="n"/>
      <c r="Y92" s="46" t="n"/>
      <c r="Z92" s="46" t="n"/>
      <c r="AA92" s="46" t="n"/>
      <c r="AB92" s="46" t="n"/>
      <c r="AC92" s="46" t="n"/>
      <c r="AD92" s="46" t="n"/>
      <c r="AE92" s="46" t="n"/>
      <c r="AF92" s="46" t="n"/>
      <c r="AG92" s="46" t="n"/>
      <c r="AH92" s="46" t="n"/>
      <c r="AI92" s="46" t="n"/>
      <c r="AJ92" s="46" t="n"/>
      <c r="AK92" s="46" t="n"/>
      <c r="AL92" s="46" t="n"/>
      <c r="AM92" s="46" t="n"/>
      <c r="AN92" s="46" t="n"/>
      <c r="AO92" s="46" t="n"/>
      <c r="AP92" s="46" t="n"/>
      <c r="AQ92" s="46" t="n"/>
      <c r="AR92" s="46" t="n"/>
      <c r="AS92" s="46" t="n"/>
      <c r="AT92" s="46" t="n"/>
      <c r="AU92" s="46" t="n"/>
      <c r="AV92" s="46" t="n"/>
      <c r="AW92" s="46" t="n"/>
      <c r="AX92" s="46" t="n"/>
      <c r="AY92" s="46" t="n"/>
      <c r="AZ92" s="46" t="n"/>
      <c r="BA92" s="46" t="n"/>
      <c r="BB92" s="46" t="n"/>
      <c r="BC92" s="46" t="n"/>
      <c r="BD92" s="46" t="n"/>
      <c r="BE92" s="46" t="n"/>
      <c r="BF92" s="46" t="n"/>
      <c r="BG92" s="46" t="n"/>
      <c r="BH92" s="46" t="n"/>
      <c r="BI92" s="46" t="n"/>
      <c r="BJ92" s="46" t="n"/>
      <c r="BK92" s="46" t="n"/>
      <c r="BL92" s="46" t="n"/>
      <c r="BM92" s="46" t="n"/>
      <c r="BN92" s="46" t="n"/>
      <c r="BO92" s="46" t="n"/>
      <c r="BP92" s="46" t="n"/>
      <c r="BQ92" s="46" t="n"/>
      <c r="BR92" s="46" t="n"/>
      <c r="BS92" s="46" t="n"/>
      <c r="BT92" s="46" t="n"/>
      <c r="BU92" s="46" t="n"/>
      <c r="BV92" s="46" t="n"/>
      <c r="BW92" s="46" t="n"/>
      <c r="BX92" s="46" t="n"/>
      <c r="BY92" s="46" t="n"/>
      <c r="BZ92" s="46" t="n"/>
      <c r="CA92" s="46" t="n"/>
      <c r="CB92" s="46" t="n"/>
      <c r="CC92" s="46" t="n"/>
      <c r="CD92" s="46" t="n"/>
      <c r="CE92" s="46" t="n"/>
      <c r="CF92" s="46" t="n"/>
      <c r="CG92" s="46" t="n"/>
      <c r="CH92" s="46" t="n"/>
      <c r="CI92" s="46" t="n"/>
      <c r="CJ92" s="46" t="n"/>
      <c r="CK92" s="46" t="n"/>
      <c r="CL92" s="46" t="n"/>
      <c r="CM92" s="46" t="n"/>
      <c r="CN92" s="46" t="n"/>
      <c r="CO92" s="46" t="n"/>
      <c r="CP92" s="46" t="n"/>
      <c r="CQ92" s="46" t="n"/>
      <c r="CR92" s="46" t="n"/>
      <c r="CS92" s="46" t="n"/>
      <c r="CT92" s="46" t="n"/>
      <c r="CU92" s="46" t="n"/>
      <c r="CV92" s="46" t="n"/>
      <c r="CW92" s="46" t="n"/>
      <c r="CX92" s="46" t="n"/>
      <c r="CY92" s="46" t="n"/>
      <c r="CZ92" s="46" t="n"/>
      <c r="DA92" s="46" t="n"/>
      <c r="DB92" s="46" t="n"/>
      <c r="DC92" s="46" t="n"/>
      <c r="DD92" s="46" t="n"/>
      <c r="DE92" s="46" t="n"/>
      <c r="DF92" s="46" t="n"/>
      <c r="DG92" s="46" t="n"/>
      <c r="DH92" s="46" t="n"/>
      <c r="DI92" s="46" t="n"/>
      <c r="DJ92" s="46" t="n"/>
      <c r="DK92" s="46" t="n"/>
      <c r="DL92" s="46" t="n"/>
      <c r="DM92" s="46" t="n"/>
      <c r="DN92" s="46" t="n"/>
      <c r="DO92" s="46" t="n"/>
      <c r="DP92" s="46" t="n"/>
      <c r="DQ92" s="46" t="n"/>
      <c r="DR92" s="46" t="n"/>
      <c r="DS92" s="46" t="n"/>
      <c r="DT92" s="46" t="n"/>
      <c r="DU92" s="46" t="n"/>
      <c r="DV92" s="46" t="n"/>
      <c r="DW92" s="46" t="n"/>
      <c r="DX92" s="46" t="n"/>
      <c r="DY92" s="46" t="n"/>
      <c r="DZ92" s="46" t="n"/>
      <c r="EA92" s="46" t="n"/>
      <c r="EB92" s="46" t="n"/>
      <c r="EC92" s="46" t="n"/>
      <c r="ED92" s="46" t="n"/>
      <c r="EE92" s="46" t="n"/>
      <c r="EF92" s="46" t="n"/>
      <c r="EG92" s="46" t="n"/>
      <c r="EH92" s="46" t="n"/>
      <c r="EI92" s="46" t="n"/>
      <c r="EJ92" s="46" t="n"/>
      <c r="EK92" s="46" t="n"/>
      <c r="EL92" s="46" t="n"/>
      <c r="EM92" s="46" t="n"/>
      <c r="EN92" s="46" t="n"/>
      <c r="EO92" s="46" t="n"/>
      <c r="EP92" s="46" t="n"/>
      <c r="EQ92" s="46" t="n"/>
      <c r="ER92" s="46" t="n"/>
      <c r="ES92" s="46" t="n"/>
      <c r="ET92" s="46" t="n"/>
      <c r="EU92" s="46" t="n"/>
      <c r="EV92" s="46" t="n"/>
      <c r="EW92" s="46" t="n"/>
      <c r="EX92" s="46" t="n"/>
      <c r="EY92" s="46" t="n"/>
      <c r="EZ92" s="46" t="n"/>
      <c r="FA92" s="46" t="n"/>
      <c r="FB92" s="46" t="n"/>
      <c r="FC92" s="46" t="n"/>
      <c r="FD92" s="46" t="n"/>
      <c r="FE92" s="46" t="n"/>
      <c r="FF92" s="46" t="n"/>
      <c r="FG92" s="46" t="n"/>
      <c r="FH92" s="46" t="n"/>
      <c r="FI92" s="46" t="n"/>
      <c r="FJ92" s="46" t="n"/>
      <c r="FK92" s="46" t="n"/>
      <c r="FL92" s="46" t="n"/>
      <c r="FM92" s="46" t="n"/>
      <c r="FN92" s="46" t="n"/>
    </row>
    <row r="93" ht="15" customFormat="1" customHeight="1" s="50">
      <c r="A93" s="49" t="n">
        <v>44805</v>
      </c>
      <c r="B93" s="43" t="n"/>
      <c r="C93" s="43" t="n">
        <v>189.285</v>
      </c>
      <c r="D93" s="44" t="n"/>
      <c r="E93" s="45" t="n"/>
      <c r="F93" s="46" t="n"/>
      <c r="G93" s="43" t="n">
        <v>106.555</v>
      </c>
      <c r="H93" s="43" t="n">
        <v>42.442</v>
      </c>
      <c r="I93" s="47">
        <f>G93/C93</f>
        <v/>
      </c>
      <c r="J93" s="46" t="n"/>
      <c r="K93" s="46" t="n">
        <v>148.457</v>
      </c>
      <c r="L93" s="46" t="n">
        <v>161.809</v>
      </c>
      <c r="M93" s="46" t="n">
        <v>156.674</v>
      </c>
      <c r="N93" s="45">
        <f>1-(M93/L93)</f>
        <v/>
      </c>
      <c r="O93" s="46" t="n">
        <v>152.356</v>
      </c>
      <c r="P93" s="46" t="n">
        <v>61.082</v>
      </c>
      <c r="Q93" s="46" t="n">
        <v>108.468</v>
      </c>
      <c r="R93" s="47">
        <f>K93/2/C93</f>
        <v/>
      </c>
      <c r="S93" s="46" t="n"/>
      <c r="T93" s="45">
        <f>R93+I93</f>
        <v/>
      </c>
      <c r="U93" s="46" t="n"/>
      <c r="V93" s="46" t="n"/>
      <c r="W93" s="46" t="n"/>
      <c r="X93" s="46" t="n"/>
      <c r="Y93" s="46" t="n"/>
      <c r="Z93" s="46" t="n"/>
      <c r="AA93" s="46" t="n"/>
      <c r="AB93" s="46" t="n"/>
      <c r="AC93" s="46" t="n"/>
      <c r="AD93" s="46" t="n"/>
      <c r="AE93" s="46" t="n"/>
      <c r="AF93" s="46" t="n"/>
      <c r="AG93" s="46" t="n"/>
      <c r="AH93" s="46" t="n"/>
      <c r="AI93" s="46" t="n"/>
      <c r="AJ93" s="46" t="n"/>
      <c r="AK93" s="46" t="n"/>
      <c r="AL93" s="46" t="n"/>
      <c r="AM93" s="46" t="n"/>
      <c r="AN93" s="46" t="n"/>
      <c r="AO93" s="46" t="n"/>
      <c r="AP93" s="46" t="n"/>
      <c r="AQ93" s="46" t="n"/>
      <c r="AR93" s="46" t="n"/>
      <c r="AS93" s="46" t="n"/>
      <c r="AT93" s="46" t="n"/>
      <c r="AU93" s="46" t="n"/>
      <c r="AV93" s="46" t="n"/>
      <c r="AW93" s="46" t="n"/>
      <c r="AX93" s="46" t="n"/>
      <c r="AY93" s="46" t="n"/>
      <c r="AZ93" s="46" t="n"/>
      <c r="BA93" s="46" t="n"/>
      <c r="BB93" s="46" t="n"/>
      <c r="BC93" s="46" t="n"/>
      <c r="BD93" s="46" t="n"/>
      <c r="BE93" s="46" t="n"/>
      <c r="BF93" s="46" t="n"/>
      <c r="BG93" s="46" t="n"/>
      <c r="BH93" s="46" t="n"/>
      <c r="BI93" s="46" t="n"/>
      <c r="BJ93" s="46" t="n"/>
      <c r="BK93" s="46" t="n"/>
      <c r="BL93" s="46" t="n"/>
      <c r="BM93" s="46" t="n"/>
      <c r="BN93" s="46" t="n"/>
      <c r="BO93" s="46" t="n"/>
      <c r="BP93" s="46" t="n"/>
      <c r="BQ93" s="46" t="n"/>
      <c r="BR93" s="46" t="n"/>
      <c r="BS93" s="46" t="n"/>
      <c r="BT93" s="46" t="n"/>
      <c r="BU93" s="46" t="n"/>
      <c r="BV93" s="46" t="n"/>
      <c r="BW93" s="46" t="n"/>
      <c r="BX93" s="46" t="n"/>
      <c r="BY93" s="46" t="n"/>
      <c r="BZ93" s="46" t="n"/>
      <c r="CA93" s="46" t="n"/>
      <c r="CB93" s="46" t="n"/>
      <c r="CC93" s="46" t="n"/>
      <c r="CD93" s="46" t="n"/>
      <c r="CE93" s="46" t="n"/>
      <c r="CF93" s="46" t="n"/>
      <c r="CG93" s="46" t="n"/>
      <c r="CH93" s="46" t="n"/>
      <c r="CI93" s="46" t="n"/>
      <c r="CJ93" s="46" t="n"/>
      <c r="CK93" s="46" t="n"/>
      <c r="CL93" s="46" t="n"/>
      <c r="CM93" s="46" t="n"/>
      <c r="CN93" s="46" t="n"/>
      <c r="CO93" s="46" t="n"/>
      <c r="CP93" s="46" t="n"/>
      <c r="CQ93" s="46" t="n"/>
      <c r="CR93" s="46" t="n"/>
      <c r="CS93" s="46" t="n"/>
      <c r="CT93" s="46" t="n"/>
      <c r="CU93" s="46" t="n"/>
      <c r="CV93" s="46" t="n"/>
      <c r="CW93" s="46" t="n"/>
      <c r="CX93" s="46" t="n"/>
      <c r="CY93" s="46" t="n"/>
      <c r="CZ93" s="46" t="n"/>
      <c r="DA93" s="46" t="n"/>
      <c r="DB93" s="46" t="n"/>
      <c r="DC93" s="46" t="n"/>
      <c r="DD93" s="46" t="n"/>
      <c r="DE93" s="46" t="n"/>
      <c r="DF93" s="46" t="n"/>
      <c r="DG93" s="46" t="n"/>
      <c r="DH93" s="46" t="n"/>
      <c r="DI93" s="46" t="n"/>
      <c r="DJ93" s="46" t="n"/>
      <c r="DK93" s="46" t="n"/>
      <c r="DL93" s="46" t="n"/>
      <c r="DM93" s="46" t="n"/>
      <c r="DN93" s="46" t="n"/>
      <c r="DO93" s="46" t="n"/>
      <c r="DP93" s="46" t="n"/>
      <c r="DQ93" s="46" t="n"/>
      <c r="DR93" s="46" t="n"/>
      <c r="DS93" s="46" t="n"/>
      <c r="DT93" s="46" t="n"/>
      <c r="DU93" s="46" t="n"/>
      <c r="DV93" s="46" t="n"/>
      <c r="DW93" s="46" t="n"/>
      <c r="DX93" s="46" t="n"/>
      <c r="DY93" s="46" t="n"/>
      <c r="DZ93" s="46" t="n"/>
      <c r="EA93" s="46" t="n"/>
      <c r="EB93" s="46" t="n"/>
      <c r="EC93" s="46" t="n"/>
      <c r="ED93" s="46" t="n"/>
      <c r="EE93" s="46" t="n"/>
      <c r="EF93" s="46" t="n"/>
      <c r="EG93" s="46" t="n"/>
      <c r="EH93" s="46" t="n"/>
      <c r="EI93" s="46" t="n"/>
      <c r="EJ93" s="46" t="n"/>
      <c r="EK93" s="46" t="n"/>
      <c r="EL93" s="46" t="n"/>
      <c r="EM93" s="46" t="n"/>
      <c r="EN93" s="46" t="n"/>
      <c r="EO93" s="46" t="n"/>
      <c r="EP93" s="46" t="n"/>
      <c r="EQ93" s="46" t="n"/>
      <c r="ER93" s="46" t="n"/>
      <c r="ES93" s="46" t="n"/>
      <c r="ET93" s="46" t="n"/>
      <c r="EU93" s="46" t="n"/>
      <c r="EV93" s="46" t="n"/>
      <c r="EW93" s="46" t="n"/>
      <c r="EX93" s="46" t="n"/>
      <c r="EY93" s="46" t="n"/>
      <c r="EZ93" s="46" t="n"/>
      <c r="FA93" s="46" t="n"/>
      <c r="FB93" s="46" t="n"/>
      <c r="FC93" s="46" t="n"/>
      <c r="FD93" s="46" t="n"/>
      <c r="FE93" s="46" t="n"/>
      <c r="FF93" s="46" t="n"/>
      <c r="FG93" s="46" t="n"/>
      <c r="FH93" s="46" t="n"/>
      <c r="FI93" s="46" t="n"/>
      <c r="FJ93" s="46" t="n"/>
      <c r="FK93" s="46" t="n"/>
      <c r="FL93" s="46" t="n"/>
      <c r="FM93" s="46" t="n"/>
      <c r="FN93" s="46" t="n"/>
    </row>
    <row r="94" ht="15" customFormat="1" customHeight="1" s="50">
      <c r="A94" s="49" t="n">
        <v>44835</v>
      </c>
      <c r="B94" s="43" t="n"/>
      <c r="C94" s="43" t="n">
        <v>208.459</v>
      </c>
      <c r="D94" s="44" t="n"/>
      <c r="E94" s="45" t="n"/>
      <c r="F94" s="46" t="n"/>
      <c r="G94" s="43" t="n">
        <v>120.679</v>
      </c>
      <c r="H94" s="43" t="n">
        <v>51.079</v>
      </c>
      <c r="I94" s="47">
        <f>G94/C94</f>
        <v/>
      </c>
      <c r="J94" s="46" t="n"/>
      <c r="K94" s="46" t="n">
        <v>171.282</v>
      </c>
      <c r="L94" s="46" t="n">
        <v>165.41</v>
      </c>
      <c r="M94" s="46" t="n">
        <v>160.29</v>
      </c>
      <c r="N94" s="45">
        <f>1-(M94/L94)</f>
        <v/>
      </c>
      <c r="O94" s="46" t="n">
        <v>163.786</v>
      </c>
      <c r="P94" s="46" t="n">
        <v>59.848</v>
      </c>
      <c r="Q94" s="46" t="n">
        <v>114.767</v>
      </c>
      <c r="R94" s="47">
        <f>K94/2/C94</f>
        <v/>
      </c>
      <c r="S94" s="46" t="n"/>
      <c r="T94" s="45">
        <f>R94+I94</f>
        <v/>
      </c>
      <c r="U94" s="46" t="n"/>
      <c r="V94" s="46" t="n"/>
      <c r="W94" s="46" t="n"/>
      <c r="X94" s="46" t="n"/>
      <c r="Y94" s="46" t="n"/>
      <c r="Z94" s="46" t="n"/>
      <c r="AA94" s="46" t="n"/>
      <c r="AB94" s="46" t="n"/>
      <c r="AC94" s="46" t="n"/>
      <c r="AD94" s="46" t="n"/>
      <c r="AE94" s="46" t="n"/>
      <c r="AF94" s="46" t="n"/>
      <c r="AG94" s="46" t="n"/>
      <c r="AH94" s="46" t="n"/>
      <c r="AI94" s="46" t="n"/>
      <c r="AJ94" s="46" t="n"/>
      <c r="AK94" s="46" t="n"/>
      <c r="AL94" s="46" t="n"/>
      <c r="AM94" s="46" t="n"/>
      <c r="AN94" s="46" t="n"/>
      <c r="AO94" s="46" t="n"/>
      <c r="AP94" s="46" t="n"/>
      <c r="AQ94" s="46" t="n"/>
      <c r="AR94" s="46" t="n"/>
      <c r="AS94" s="46" t="n"/>
      <c r="AT94" s="46" t="n"/>
      <c r="AU94" s="46" t="n"/>
      <c r="AV94" s="46" t="n"/>
      <c r="AW94" s="46" t="n"/>
      <c r="AX94" s="46" t="n"/>
      <c r="AY94" s="46" t="n"/>
      <c r="AZ94" s="46" t="n"/>
      <c r="BA94" s="46" t="n"/>
      <c r="BB94" s="46" t="n"/>
      <c r="BC94" s="46" t="n"/>
      <c r="BD94" s="46" t="n"/>
      <c r="BE94" s="46" t="n"/>
      <c r="BF94" s="46" t="n"/>
      <c r="BG94" s="46" t="n"/>
      <c r="BH94" s="46" t="n"/>
      <c r="BI94" s="46" t="n"/>
      <c r="BJ94" s="46" t="n"/>
      <c r="BK94" s="46" t="n"/>
      <c r="BL94" s="46" t="n"/>
      <c r="BM94" s="46" t="n"/>
      <c r="BN94" s="46" t="n"/>
      <c r="BO94" s="46" t="n"/>
      <c r="BP94" s="46" t="n"/>
      <c r="BQ94" s="46" t="n"/>
      <c r="BR94" s="46" t="n"/>
      <c r="BS94" s="46" t="n"/>
      <c r="BT94" s="46" t="n"/>
      <c r="BU94" s="46" t="n"/>
      <c r="BV94" s="46" t="n"/>
      <c r="BW94" s="46" t="n"/>
      <c r="BX94" s="46" t="n"/>
      <c r="BY94" s="46" t="n"/>
      <c r="BZ94" s="46" t="n"/>
      <c r="CA94" s="46" t="n"/>
      <c r="CB94" s="46" t="n"/>
      <c r="CC94" s="46" t="n"/>
      <c r="CD94" s="46" t="n"/>
      <c r="CE94" s="46" t="n"/>
      <c r="CF94" s="46" t="n"/>
      <c r="CG94" s="46" t="n"/>
      <c r="CH94" s="46" t="n"/>
      <c r="CI94" s="46" t="n"/>
      <c r="CJ94" s="46" t="n"/>
      <c r="CK94" s="46" t="n"/>
      <c r="CL94" s="46" t="n"/>
      <c r="CM94" s="46" t="n"/>
      <c r="CN94" s="46" t="n"/>
      <c r="CO94" s="46" t="n"/>
      <c r="CP94" s="46" t="n"/>
      <c r="CQ94" s="46" t="n"/>
      <c r="CR94" s="46" t="n"/>
      <c r="CS94" s="46" t="n"/>
      <c r="CT94" s="46" t="n"/>
      <c r="CU94" s="46" t="n"/>
      <c r="CV94" s="46" t="n"/>
      <c r="CW94" s="46" t="n"/>
      <c r="CX94" s="46" t="n"/>
      <c r="CY94" s="46" t="n"/>
      <c r="CZ94" s="46" t="n"/>
      <c r="DA94" s="46" t="n"/>
      <c r="DB94" s="46" t="n"/>
      <c r="DC94" s="46" t="n"/>
      <c r="DD94" s="46" t="n"/>
      <c r="DE94" s="46" t="n"/>
      <c r="DF94" s="46" t="n"/>
      <c r="DG94" s="46" t="n"/>
      <c r="DH94" s="46" t="n"/>
      <c r="DI94" s="46" t="n"/>
      <c r="DJ94" s="46" t="n"/>
      <c r="DK94" s="46" t="n"/>
      <c r="DL94" s="46" t="n"/>
      <c r="DM94" s="46" t="n"/>
      <c r="DN94" s="46" t="n"/>
      <c r="DO94" s="46" t="n"/>
      <c r="DP94" s="46" t="n"/>
      <c r="DQ94" s="46" t="n"/>
      <c r="DR94" s="46" t="n"/>
      <c r="DS94" s="46" t="n"/>
      <c r="DT94" s="46" t="n"/>
      <c r="DU94" s="46" t="n"/>
      <c r="DV94" s="46" t="n"/>
      <c r="DW94" s="46" t="n"/>
      <c r="DX94" s="46" t="n"/>
      <c r="DY94" s="46" t="n"/>
      <c r="DZ94" s="46" t="n"/>
      <c r="EA94" s="46" t="n"/>
      <c r="EB94" s="46" t="n"/>
      <c r="EC94" s="46" t="n"/>
      <c r="ED94" s="46" t="n"/>
      <c r="EE94" s="46" t="n"/>
      <c r="EF94" s="46" t="n"/>
      <c r="EG94" s="46" t="n"/>
      <c r="EH94" s="46" t="n"/>
      <c r="EI94" s="46" t="n"/>
      <c r="EJ94" s="46" t="n"/>
      <c r="EK94" s="46" t="n"/>
      <c r="EL94" s="46" t="n"/>
      <c r="EM94" s="46" t="n"/>
      <c r="EN94" s="46" t="n"/>
      <c r="EO94" s="46" t="n"/>
      <c r="EP94" s="46" t="n"/>
      <c r="EQ94" s="46" t="n"/>
      <c r="ER94" s="46" t="n"/>
      <c r="ES94" s="46" t="n"/>
      <c r="ET94" s="46" t="n"/>
      <c r="EU94" s="46" t="n"/>
      <c r="EV94" s="46" t="n"/>
      <c r="EW94" s="46" t="n"/>
      <c r="EX94" s="46" t="n"/>
      <c r="EY94" s="46" t="n"/>
      <c r="EZ94" s="46" t="n"/>
      <c r="FA94" s="46" t="n"/>
      <c r="FB94" s="46" t="n"/>
      <c r="FC94" s="46" t="n"/>
      <c r="FD94" s="46" t="n"/>
      <c r="FE94" s="46" t="n"/>
      <c r="FF94" s="46" t="n"/>
      <c r="FG94" s="46" t="n"/>
      <c r="FH94" s="46" t="n"/>
      <c r="FI94" s="46" t="n"/>
      <c r="FJ94" s="46" t="n"/>
      <c r="FK94" s="46" t="n"/>
      <c r="FL94" s="46" t="n"/>
      <c r="FM94" s="46" t="n"/>
      <c r="FN94" s="46" t="n"/>
    </row>
    <row r="95" ht="15" customFormat="1" customHeight="1" s="50">
      <c r="A95" s="49" t="n">
        <v>44866</v>
      </c>
      <c r="B95" s="43" t="n"/>
      <c r="C95" s="43" t="n">
        <v>180.75</v>
      </c>
      <c r="D95" s="44" t="n"/>
      <c r="E95" s="45" t="n"/>
      <c r="F95" s="46" t="n"/>
      <c r="G95" s="43" t="n">
        <v>100.676</v>
      </c>
      <c r="H95" s="43" t="n">
        <v>43.302</v>
      </c>
      <c r="I95" s="47">
        <f>G95/C95</f>
        <v/>
      </c>
      <c r="J95" s="46" t="n"/>
      <c r="K95" s="46" t="n">
        <v>144.969</v>
      </c>
      <c r="L95" s="46" t="n">
        <v>148.747</v>
      </c>
      <c r="M95" s="46" t="n">
        <v>144.382</v>
      </c>
      <c r="N95" s="45">
        <f>1-(M95/L95)</f>
        <v/>
      </c>
      <c r="O95" s="46" t="n">
        <v>147.672</v>
      </c>
      <c r="P95" s="46" t="n">
        <v>61.701</v>
      </c>
      <c r="Q95" s="46" t="n">
        <v>109.17</v>
      </c>
      <c r="R95" s="47">
        <f>K95/2/C95</f>
        <v/>
      </c>
      <c r="S95" s="46" t="n"/>
      <c r="T95" s="45">
        <f>R95+I95</f>
        <v/>
      </c>
      <c r="U95" s="46" t="n"/>
      <c r="V95" s="46" t="n"/>
      <c r="W95" s="46" t="n"/>
      <c r="X95" s="46" t="n"/>
      <c r="Y95" s="46" t="n"/>
      <c r="Z95" s="46" t="n"/>
      <c r="AA95" s="46" t="n"/>
      <c r="AB95" s="46" t="n"/>
      <c r="AC95" s="46" t="n"/>
      <c r="AD95" s="46" t="n"/>
      <c r="AE95" s="46" t="n"/>
      <c r="AF95" s="46" t="n"/>
      <c r="AG95" s="46" t="n"/>
      <c r="AH95" s="46" t="n"/>
      <c r="AI95" s="46" t="n"/>
      <c r="AJ95" s="46" t="n"/>
      <c r="AK95" s="46" t="n"/>
      <c r="AL95" s="46" t="n"/>
      <c r="AM95" s="46" t="n"/>
      <c r="AN95" s="46" t="n"/>
      <c r="AO95" s="46" t="n"/>
      <c r="AP95" s="46" t="n"/>
      <c r="AQ95" s="46" t="n"/>
      <c r="AR95" s="46" t="n"/>
      <c r="AS95" s="46" t="n"/>
      <c r="AT95" s="46" t="n"/>
      <c r="AU95" s="46" t="n"/>
      <c r="AV95" s="46" t="n"/>
      <c r="AW95" s="46" t="n"/>
      <c r="AX95" s="46" t="n"/>
      <c r="AY95" s="46" t="n"/>
      <c r="AZ95" s="46" t="n"/>
      <c r="BA95" s="46" t="n"/>
      <c r="BB95" s="46" t="n"/>
      <c r="BC95" s="46" t="n"/>
      <c r="BD95" s="46" t="n"/>
      <c r="BE95" s="46" t="n"/>
      <c r="BF95" s="46" t="n"/>
      <c r="BG95" s="46" t="n"/>
      <c r="BH95" s="46" t="n"/>
      <c r="BI95" s="46" t="n"/>
      <c r="BJ95" s="46" t="n"/>
      <c r="BK95" s="46" t="n"/>
      <c r="BL95" s="46" t="n"/>
      <c r="BM95" s="46" t="n"/>
      <c r="BN95" s="46" t="n"/>
      <c r="BO95" s="46" t="n"/>
      <c r="BP95" s="46" t="n"/>
      <c r="BQ95" s="46" t="n"/>
      <c r="BR95" s="46" t="n"/>
      <c r="BS95" s="46" t="n"/>
      <c r="BT95" s="46" t="n"/>
      <c r="BU95" s="46" t="n"/>
      <c r="BV95" s="46" t="n"/>
      <c r="BW95" s="46" t="n"/>
      <c r="BX95" s="46" t="n"/>
      <c r="BY95" s="46" t="n"/>
      <c r="BZ95" s="46" t="n"/>
      <c r="CA95" s="46" t="n"/>
      <c r="CB95" s="46" t="n"/>
      <c r="CC95" s="46" t="n"/>
      <c r="CD95" s="46" t="n"/>
      <c r="CE95" s="46" t="n"/>
      <c r="CF95" s="46" t="n"/>
      <c r="CG95" s="46" t="n"/>
      <c r="CH95" s="46" t="n"/>
      <c r="CI95" s="46" t="n"/>
      <c r="CJ95" s="46" t="n"/>
      <c r="CK95" s="46" t="n"/>
      <c r="CL95" s="46" t="n"/>
      <c r="CM95" s="46" t="n"/>
      <c r="CN95" s="46" t="n"/>
      <c r="CO95" s="46" t="n"/>
      <c r="CP95" s="46" t="n"/>
      <c r="CQ95" s="46" t="n"/>
      <c r="CR95" s="46" t="n"/>
      <c r="CS95" s="46" t="n"/>
      <c r="CT95" s="46" t="n"/>
      <c r="CU95" s="46" t="n"/>
      <c r="CV95" s="46" t="n"/>
      <c r="CW95" s="46" t="n"/>
      <c r="CX95" s="46" t="n"/>
      <c r="CY95" s="46" t="n"/>
      <c r="CZ95" s="46" t="n"/>
      <c r="DA95" s="46" t="n"/>
      <c r="DB95" s="46" t="n"/>
      <c r="DC95" s="46" t="n"/>
      <c r="DD95" s="46" t="n"/>
      <c r="DE95" s="46" t="n"/>
      <c r="DF95" s="46" t="n"/>
      <c r="DG95" s="46" t="n"/>
      <c r="DH95" s="46" t="n"/>
      <c r="DI95" s="46" t="n"/>
      <c r="DJ95" s="46" t="n"/>
      <c r="DK95" s="46" t="n"/>
      <c r="DL95" s="46" t="n"/>
      <c r="DM95" s="46" t="n"/>
      <c r="DN95" s="46" t="n"/>
      <c r="DO95" s="46" t="n"/>
      <c r="DP95" s="46" t="n"/>
      <c r="DQ95" s="46" t="n"/>
      <c r="DR95" s="46" t="n"/>
      <c r="DS95" s="46" t="n"/>
      <c r="DT95" s="46" t="n"/>
      <c r="DU95" s="46" t="n"/>
      <c r="DV95" s="46" t="n"/>
      <c r="DW95" s="46" t="n"/>
      <c r="DX95" s="46" t="n"/>
      <c r="DY95" s="46" t="n"/>
      <c r="DZ95" s="46" t="n"/>
      <c r="EA95" s="46" t="n"/>
      <c r="EB95" s="46" t="n"/>
      <c r="EC95" s="46" t="n"/>
      <c r="ED95" s="46" t="n"/>
      <c r="EE95" s="46" t="n"/>
      <c r="EF95" s="46" t="n"/>
      <c r="EG95" s="46" t="n"/>
      <c r="EH95" s="46" t="n"/>
      <c r="EI95" s="46" t="n"/>
      <c r="EJ95" s="46" t="n"/>
      <c r="EK95" s="46" t="n"/>
      <c r="EL95" s="46" t="n"/>
      <c r="EM95" s="46" t="n"/>
      <c r="EN95" s="46" t="n"/>
      <c r="EO95" s="46" t="n"/>
      <c r="EP95" s="46" t="n"/>
      <c r="EQ95" s="46" t="n"/>
      <c r="ER95" s="46" t="n"/>
      <c r="ES95" s="46" t="n"/>
      <c r="ET95" s="46" t="n"/>
      <c r="EU95" s="46" t="n"/>
      <c r="EV95" s="46" t="n"/>
      <c r="EW95" s="46" t="n"/>
      <c r="EX95" s="46" t="n"/>
      <c r="EY95" s="46" t="n"/>
      <c r="EZ95" s="46" t="n"/>
      <c r="FA95" s="46" t="n"/>
      <c r="FB95" s="46" t="n"/>
      <c r="FC95" s="46" t="n"/>
      <c r="FD95" s="46" t="n"/>
      <c r="FE95" s="46" t="n"/>
      <c r="FF95" s="46" t="n"/>
      <c r="FG95" s="46" t="n"/>
      <c r="FH95" s="46" t="n"/>
      <c r="FI95" s="46" t="n"/>
      <c r="FJ95" s="46" t="n"/>
      <c r="FK95" s="46" t="n"/>
      <c r="FL95" s="46" t="n"/>
      <c r="FM95" s="46" t="n"/>
      <c r="FN95" s="46" t="n"/>
    </row>
    <row r="96" ht="15" customFormat="1" customHeight="1" s="50">
      <c r="A96" s="49" t="n">
        <v>44896</v>
      </c>
      <c r="B96" s="43" t="n"/>
      <c r="C96" s="43" t="n">
        <v>181.455</v>
      </c>
      <c r="D96" s="44" t="n"/>
      <c r="E96" s="45" t="n"/>
      <c r="F96" s="46" t="n"/>
      <c r="G96" s="43" t="n">
        <v>104.207</v>
      </c>
      <c r="H96" s="43" t="n">
        <v>42.221</v>
      </c>
      <c r="I96" s="47">
        <f>G96/C96</f>
        <v/>
      </c>
      <c r="J96" s="46" t="n"/>
      <c r="K96" s="46" t="n">
        <v>145.914</v>
      </c>
      <c r="L96" s="46" t="n">
        <v>139.234</v>
      </c>
      <c r="M96" s="46" t="n">
        <v>134.938</v>
      </c>
      <c r="N96" s="45">
        <f>1-(M96/L96)</f>
        <v/>
      </c>
      <c r="O96" s="46" t="n">
        <v>140.154</v>
      </c>
      <c r="P96" s="46" t="n">
        <v>87.56699999999999</v>
      </c>
      <c r="Q96" s="46" t="n">
        <v>103.076</v>
      </c>
      <c r="R96" s="47">
        <f>K96/2/C96</f>
        <v/>
      </c>
      <c r="S96" s="46" t="n"/>
      <c r="T96" s="45">
        <f>R96+I96</f>
        <v/>
      </c>
      <c r="U96" s="46" t="n"/>
      <c r="V96" s="46" t="n"/>
      <c r="W96" s="46" t="n"/>
      <c r="X96" s="46" t="n"/>
      <c r="Y96" s="46" t="n"/>
      <c r="Z96" s="46" t="n"/>
      <c r="AA96" s="46" t="n"/>
      <c r="AB96" s="46" t="n"/>
      <c r="AC96" s="46" t="n"/>
      <c r="AD96" s="46" t="n"/>
      <c r="AE96" s="46" t="n"/>
      <c r="AF96" s="46" t="n"/>
      <c r="AG96" s="46" t="n"/>
      <c r="AH96" s="46" t="n"/>
      <c r="AI96" s="46" t="n"/>
      <c r="AJ96" s="46" t="n"/>
      <c r="AK96" s="46" t="n"/>
      <c r="AL96" s="46" t="n"/>
      <c r="AM96" s="46" t="n"/>
      <c r="AN96" s="46" t="n"/>
      <c r="AO96" s="46" t="n"/>
      <c r="AP96" s="46" t="n"/>
      <c r="AQ96" s="46" t="n"/>
      <c r="AR96" s="46" t="n"/>
      <c r="AS96" s="46" t="n"/>
      <c r="AT96" s="46" t="n"/>
      <c r="AU96" s="46" t="n"/>
      <c r="AV96" s="46" t="n"/>
      <c r="AW96" s="46" t="n"/>
      <c r="AX96" s="46" t="n"/>
      <c r="AY96" s="46" t="n"/>
      <c r="AZ96" s="46" t="n"/>
      <c r="BA96" s="46" t="n"/>
      <c r="BB96" s="46" t="n"/>
      <c r="BC96" s="46" t="n"/>
      <c r="BD96" s="46" t="n"/>
      <c r="BE96" s="46" t="n"/>
      <c r="BF96" s="46" t="n"/>
      <c r="BG96" s="46" t="n"/>
      <c r="BH96" s="46" t="n"/>
      <c r="BI96" s="46" t="n"/>
      <c r="BJ96" s="46" t="n"/>
      <c r="BK96" s="46" t="n"/>
      <c r="BL96" s="46" t="n"/>
      <c r="BM96" s="46" t="n"/>
      <c r="BN96" s="46" t="n"/>
      <c r="BO96" s="46" t="n"/>
      <c r="BP96" s="46" t="n"/>
      <c r="BQ96" s="46" t="n"/>
      <c r="BR96" s="46" t="n"/>
      <c r="BS96" s="46" t="n"/>
      <c r="BT96" s="46" t="n"/>
      <c r="BU96" s="46" t="n"/>
      <c r="BV96" s="46" t="n"/>
      <c r="BW96" s="46" t="n"/>
      <c r="BX96" s="46" t="n"/>
      <c r="BY96" s="46" t="n"/>
      <c r="BZ96" s="46" t="n"/>
      <c r="CA96" s="46" t="n"/>
      <c r="CB96" s="46" t="n"/>
      <c r="CC96" s="46" t="n"/>
      <c r="CD96" s="46" t="n"/>
      <c r="CE96" s="46" t="n"/>
      <c r="CF96" s="46" t="n"/>
      <c r="CG96" s="46" t="n"/>
      <c r="CH96" s="46" t="n"/>
      <c r="CI96" s="46" t="n"/>
      <c r="CJ96" s="46" t="n"/>
      <c r="CK96" s="46" t="n"/>
      <c r="CL96" s="46" t="n"/>
      <c r="CM96" s="46" t="n"/>
      <c r="CN96" s="46" t="n"/>
      <c r="CO96" s="46" t="n"/>
      <c r="CP96" s="46" t="n"/>
      <c r="CQ96" s="46" t="n"/>
      <c r="CR96" s="46" t="n"/>
      <c r="CS96" s="46" t="n"/>
      <c r="CT96" s="46" t="n"/>
      <c r="CU96" s="46" t="n"/>
      <c r="CV96" s="46" t="n"/>
      <c r="CW96" s="46" t="n"/>
      <c r="CX96" s="46" t="n"/>
      <c r="CY96" s="46" t="n"/>
      <c r="CZ96" s="46" t="n"/>
      <c r="DA96" s="46" t="n"/>
      <c r="DB96" s="46" t="n"/>
      <c r="DC96" s="46" t="n"/>
      <c r="DD96" s="46" t="n"/>
      <c r="DE96" s="46" t="n"/>
      <c r="DF96" s="46" t="n"/>
      <c r="DG96" s="46" t="n"/>
      <c r="DH96" s="46" t="n"/>
      <c r="DI96" s="46" t="n"/>
      <c r="DJ96" s="46" t="n"/>
      <c r="DK96" s="46" t="n"/>
      <c r="DL96" s="46" t="n"/>
      <c r="DM96" s="46" t="n"/>
      <c r="DN96" s="46" t="n"/>
      <c r="DO96" s="46" t="n"/>
      <c r="DP96" s="46" t="n"/>
      <c r="DQ96" s="46" t="n"/>
      <c r="DR96" s="46" t="n"/>
      <c r="DS96" s="46" t="n"/>
      <c r="DT96" s="46" t="n"/>
      <c r="DU96" s="46" t="n"/>
      <c r="DV96" s="46" t="n"/>
      <c r="DW96" s="46" t="n"/>
      <c r="DX96" s="46" t="n"/>
      <c r="DY96" s="46" t="n"/>
      <c r="DZ96" s="46" t="n"/>
      <c r="EA96" s="46" t="n"/>
      <c r="EB96" s="46" t="n"/>
      <c r="EC96" s="46" t="n"/>
      <c r="ED96" s="46" t="n"/>
      <c r="EE96" s="46" t="n"/>
      <c r="EF96" s="46" t="n"/>
      <c r="EG96" s="46" t="n"/>
      <c r="EH96" s="46" t="n"/>
      <c r="EI96" s="46" t="n"/>
      <c r="EJ96" s="46" t="n"/>
      <c r="EK96" s="46" t="n"/>
      <c r="EL96" s="46" t="n"/>
      <c r="EM96" s="46" t="n"/>
      <c r="EN96" s="46" t="n"/>
      <c r="EO96" s="46" t="n"/>
      <c r="EP96" s="46" t="n"/>
      <c r="EQ96" s="46" t="n"/>
      <c r="ER96" s="46" t="n"/>
      <c r="ES96" s="46" t="n"/>
      <c r="ET96" s="46" t="n"/>
      <c r="EU96" s="46" t="n"/>
      <c r="EV96" s="46" t="n"/>
      <c r="EW96" s="46" t="n"/>
      <c r="EX96" s="46" t="n"/>
      <c r="EY96" s="46" t="n"/>
      <c r="EZ96" s="46" t="n"/>
      <c r="FA96" s="46" t="n"/>
      <c r="FB96" s="46" t="n"/>
      <c r="FC96" s="46" t="n"/>
      <c r="FD96" s="46" t="n"/>
      <c r="FE96" s="46" t="n"/>
      <c r="FF96" s="46" t="n"/>
      <c r="FG96" s="46" t="n"/>
      <c r="FH96" s="46" t="n"/>
      <c r="FI96" s="46" t="n"/>
      <c r="FJ96" s="46" t="n"/>
      <c r="FK96" s="46" t="n"/>
      <c r="FL96" s="46" t="n"/>
      <c r="FM96" s="46" t="n"/>
      <c r="FN96" s="46" t="n"/>
    </row>
    <row r="97" ht="15" customFormat="1" customHeight="1" s="50">
      <c r="A97" s="49" t="n">
        <v>44927</v>
      </c>
      <c r="B97" s="43" t="n"/>
      <c r="C97" s="43" t="n">
        <v>204.34</v>
      </c>
      <c r="D97" s="44" t="n"/>
      <c r="E97" s="45" t="n"/>
      <c r="F97" s="46" t="n"/>
      <c r="G97" s="43" t="n">
        <v>118.623</v>
      </c>
      <c r="H97" s="43" t="n">
        <v>50.54</v>
      </c>
      <c r="I97" s="47">
        <f>G97/C97</f>
        <v/>
      </c>
      <c r="J97" s="46" t="n"/>
      <c r="K97" s="46" t="n">
        <v>165.781</v>
      </c>
      <c r="L97" s="46" t="n">
        <v>161.778</v>
      </c>
      <c r="M97" s="46" t="n">
        <v>157.184</v>
      </c>
      <c r="N97" s="45">
        <f>1-(M97/L97)</f>
        <v/>
      </c>
      <c r="O97" s="46" t="n">
        <v>145.076</v>
      </c>
      <c r="P97" s="46" t="n">
        <v>81.224</v>
      </c>
      <c r="Q97" s="46" t="n">
        <v>103.791</v>
      </c>
      <c r="R97" s="47">
        <f>K97/2/C97</f>
        <v/>
      </c>
      <c r="S97" s="46" t="n"/>
      <c r="T97" s="45">
        <f>R97+I97</f>
        <v/>
      </c>
      <c r="U97" s="46" t="n"/>
      <c r="V97" s="46" t="n"/>
      <c r="W97" s="46" t="n"/>
      <c r="X97" s="46" t="n"/>
      <c r="Y97" s="46" t="n"/>
      <c r="Z97" s="46" t="n"/>
      <c r="AA97" s="46" t="n"/>
      <c r="AB97" s="46" t="n"/>
      <c r="AC97" s="46" t="n"/>
      <c r="AD97" s="46" t="n"/>
      <c r="AE97" s="46" t="n"/>
      <c r="AF97" s="46" t="n"/>
      <c r="AG97" s="46" t="n"/>
      <c r="AH97" s="46" t="n"/>
      <c r="AI97" s="46" t="n"/>
      <c r="AJ97" s="46" t="n"/>
      <c r="AK97" s="46" t="n"/>
      <c r="AL97" s="46" t="n"/>
      <c r="AM97" s="46" t="n"/>
      <c r="AN97" s="46" t="n"/>
      <c r="AO97" s="46" t="n"/>
      <c r="AP97" s="46" t="n"/>
      <c r="AQ97" s="46" t="n"/>
      <c r="AR97" s="46" t="n"/>
      <c r="AS97" s="46" t="n"/>
      <c r="AT97" s="46" t="n"/>
      <c r="AU97" s="46" t="n"/>
      <c r="AV97" s="46" t="n"/>
      <c r="AW97" s="46" t="n"/>
      <c r="AX97" s="46" t="n"/>
      <c r="AY97" s="46" t="n"/>
      <c r="AZ97" s="46" t="n"/>
      <c r="BA97" s="46" t="n"/>
      <c r="BB97" s="46" t="n"/>
      <c r="BC97" s="46" t="n"/>
      <c r="BD97" s="46" t="n"/>
      <c r="BE97" s="46" t="n"/>
      <c r="BF97" s="46" t="n"/>
      <c r="BG97" s="46" t="n"/>
      <c r="BH97" s="46" t="n"/>
      <c r="BI97" s="46" t="n"/>
      <c r="BJ97" s="46" t="n"/>
      <c r="BK97" s="46" t="n"/>
      <c r="BL97" s="46" t="n"/>
      <c r="BM97" s="46" t="n"/>
      <c r="BN97" s="46" t="n"/>
      <c r="BO97" s="46" t="n"/>
      <c r="BP97" s="46" t="n"/>
      <c r="BQ97" s="46" t="n"/>
      <c r="BR97" s="46" t="n"/>
      <c r="BS97" s="46" t="n"/>
      <c r="BT97" s="46" t="n"/>
      <c r="BU97" s="46" t="n"/>
      <c r="BV97" s="46" t="n"/>
      <c r="BW97" s="46" t="n"/>
      <c r="BX97" s="46" t="n"/>
      <c r="BY97" s="46" t="n"/>
      <c r="BZ97" s="46" t="n"/>
      <c r="CA97" s="46" t="n"/>
      <c r="CB97" s="46" t="n"/>
      <c r="CC97" s="46" t="n"/>
      <c r="CD97" s="46" t="n"/>
      <c r="CE97" s="46" t="n"/>
      <c r="CF97" s="46" t="n"/>
      <c r="CG97" s="46" t="n"/>
      <c r="CH97" s="46" t="n"/>
      <c r="CI97" s="46" t="n"/>
      <c r="CJ97" s="46" t="n"/>
      <c r="CK97" s="46" t="n"/>
      <c r="CL97" s="46" t="n"/>
      <c r="CM97" s="46" t="n"/>
      <c r="CN97" s="46" t="n"/>
      <c r="CO97" s="46" t="n"/>
      <c r="CP97" s="46" t="n"/>
      <c r="CQ97" s="46" t="n"/>
      <c r="CR97" s="46" t="n"/>
      <c r="CS97" s="46" t="n"/>
      <c r="CT97" s="46" t="n"/>
      <c r="CU97" s="46" t="n"/>
      <c r="CV97" s="46" t="n"/>
      <c r="CW97" s="46" t="n"/>
      <c r="CX97" s="46" t="n"/>
      <c r="CY97" s="46" t="n"/>
      <c r="CZ97" s="46" t="n"/>
      <c r="DA97" s="46" t="n"/>
      <c r="DB97" s="46" t="n"/>
      <c r="DC97" s="46" t="n"/>
      <c r="DD97" s="46" t="n"/>
      <c r="DE97" s="46" t="n"/>
      <c r="DF97" s="46" t="n"/>
      <c r="DG97" s="46" t="n"/>
      <c r="DH97" s="46" t="n"/>
      <c r="DI97" s="46" t="n"/>
      <c r="DJ97" s="46" t="n"/>
      <c r="DK97" s="46" t="n"/>
      <c r="DL97" s="46" t="n"/>
      <c r="DM97" s="46" t="n"/>
      <c r="DN97" s="46" t="n"/>
      <c r="DO97" s="46" t="n"/>
      <c r="DP97" s="46" t="n"/>
      <c r="DQ97" s="46" t="n"/>
      <c r="DR97" s="46" t="n"/>
      <c r="DS97" s="46" t="n"/>
      <c r="DT97" s="46" t="n"/>
      <c r="DU97" s="46" t="n"/>
      <c r="DV97" s="46" t="n"/>
      <c r="DW97" s="46" t="n"/>
      <c r="DX97" s="46" t="n"/>
      <c r="DY97" s="46" t="n"/>
      <c r="DZ97" s="46" t="n"/>
      <c r="EA97" s="46" t="n"/>
      <c r="EB97" s="46" t="n"/>
      <c r="EC97" s="46" t="n"/>
      <c r="ED97" s="46" t="n"/>
      <c r="EE97" s="46" t="n"/>
      <c r="EF97" s="46" t="n"/>
      <c r="EG97" s="46" t="n"/>
      <c r="EH97" s="46" t="n"/>
      <c r="EI97" s="46" t="n"/>
      <c r="EJ97" s="46" t="n"/>
      <c r="EK97" s="46" t="n"/>
      <c r="EL97" s="46" t="n"/>
      <c r="EM97" s="46" t="n"/>
      <c r="EN97" s="46" t="n"/>
      <c r="EO97" s="46" t="n"/>
      <c r="EP97" s="46" t="n"/>
      <c r="EQ97" s="46" t="n"/>
      <c r="ER97" s="46" t="n"/>
      <c r="ES97" s="46" t="n"/>
      <c r="ET97" s="46" t="n"/>
      <c r="EU97" s="46" t="n"/>
      <c r="EV97" s="46" t="n"/>
      <c r="EW97" s="46" t="n"/>
      <c r="EX97" s="46" t="n"/>
      <c r="EY97" s="46" t="n"/>
      <c r="EZ97" s="46" t="n"/>
      <c r="FA97" s="46" t="n"/>
      <c r="FB97" s="46" t="n"/>
      <c r="FC97" s="46" t="n"/>
      <c r="FD97" s="46" t="n"/>
      <c r="FE97" s="46" t="n"/>
      <c r="FF97" s="46" t="n"/>
      <c r="FG97" s="46" t="n"/>
      <c r="FH97" s="46" t="n"/>
      <c r="FI97" s="46" t="n"/>
      <c r="FJ97" s="46" t="n"/>
      <c r="FK97" s="46" t="n"/>
      <c r="FL97" s="46" t="n"/>
      <c r="FM97" s="46" t="n"/>
      <c r="FN97" s="46" t="n"/>
    </row>
    <row r="98" ht="15" customFormat="1" customHeight="1" s="50">
      <c r="A98" s="49" t="n">
        <v>44958</v>
      </c>
      <c r="B98" s="43" t="n"/>
      <c r="C98" s="43" t="n">
        <v>177.907</v>
      </c>
      <c r="D98" s="44" t="n"/>
      <c r="E98" s="45" t="n"/>
      <c r="F98" s="46" t="n"/>
      <c r="G98" s="43" t="n">
        <v>104.119</v>
      </c>
      <c r="H98" s="43" t="n">
        <v>49.2</v>
      </c>
      <c r="I98" s="47">
        <f>G98/C98</f>
        <v/>
      </c>
      <c r="J98" s="46" t="n"/>
      <c r="K98" s="46" t="n">
        <v>142.424</v>
      </c>
      <c r="L98" s="46" t="n">
        <v>151.767</v>
      </c>
      <c r="M98" s="46" t="n">
        <v>147.045</v>
      </c>
      <c r="N98" s="45">
        <f>1-(M98/L98)</f>
        <v/>
      </c>
      <c r="O98" s="46" t="n">
        <v>149.853</v>
      </c>
      <c r="P98" s="46" t="n">
        <v>70.893</v>
      </c>
      <c r="Q98" s="46" t="n">
        <v>99.337</v>
      </c>
      <c r="R98" s="47">
        <f>K98/2/C98</f>
        <v/>
      </c>
      <c r="S98" s="46" t="n"/>
      <c r="T98" s="45">
        <f>R98+I98</f>
        <v/>
      </c>
      <c r="U98" s="46" t="n"/>
      <c r="V98" s="46" t="n"/>
      <c r="W98" s="46" t="n"/>
      <c r="X98" s="46" t="n"/>
      <c r="Y98" s="46" t="n"/>
      <c r="Z98" s="46" t="n"/>
      <c r="AA98" s="46" t="n"/>
      <c r="AB98" s="46" t="n"/>
      <c r="AC98" s="46" t="n"/>
      <c r="AD98" s="46" t="n"/>
      <c r="AE98" s="46" t="n"/>
      <c r="AF98" s="46" t="n"/>
      <c r="AG98" s="46" t="n"/>
      <c r="AH98" s="46" t="n"/>
      <c r="AI98" s="46" t="n"/>
      <c r="AJ98" s="46" t="n"/>
      <c r="AK98" s="46" t="n"/>
      <c r="AL98" s="46" t="n"/>
      <c r="AM98" s="46" t="n"/>
      <c r="AN98" s="46" t="n"/>
      <c r="AO98" s="46" t="n"/>
      <c r="AP98" s="46" t="n"/>
      <c r="AQ98" s="46" t="n"/>
      <c r="AR98" s="46" t="n"/>
      <c r="AS98" s="46" t="n"/>
      <c r="AT98" s="46" t="n"/>
      <c r="AU98" s="46" t="n"/>
      <c r="AV98" s="46" t="n"/>
      <c r="AW98" s="46" t="n"/>
      <c r="AX98" s="46" t="n"/>
      <c r="AY98" s="46" t="n"/>
      <c r="AZ98" s="46" t="n"/>
      <c r="BA98" s="46" t="n"/>
      <c r="BB98" s="46" t="n"/>
      <c r="BC98" s="46" t="n"/>
      <c r="BD98" s="46" t="n"/>
      <c r="BE98" s="46" t="n"/>
      <c r="BF98" s="46" t="n"/>
      <c r="BG98" s="46" t="n"/>
      <c r="BH98" s="46" t="n"/>
      <c r="BI98" s="46" t="n"/>
      <c r="BJ98" s="46" t="n"/>
      <c r="BK98" s="46" t="n"/>
      <c r="BL98" s="46" t="n"/>
      <c r="BM98" s="46" t="n"/>
      <c r="BN98" s="46" t="n"/>
      <c r="BO98" s="46" t="n"/>
      <c r="BP98" s="46" t="n"/>
      <c r="BQ98" s="46" t="n"/>
      <c r="BR98" s="46" t="n"/>
      <c r="BS98" s="46" t="n"/>
      <c r="BT98" s="46" t="n"/>
      <c r="BU98" s="46" t="n"/>
      <c r="BV98" s="46" t="n"/>
      <c r="BW98" s="46" t="n"/>
      <c r="BX98" s="46" t="n"/>
      <c r="BY98" s="46" t="n"/>
      <c r="BZ98" s="46" t="n"/>
      <c r="CA98" s="46" t="n"/>
      <c r="CB98" s="46" t="n"/>
      <c r="CC98" s="46" t="n"/>
      <c r="CD98" s="46" t="n"/>
      <c r="CE98" s="46" t="n"/>
      <c r="CF98" s="46" t="n"/>
      <c r="CG98" s="46" t="n"/>
      <c r="CH98" s="46" t="n"/>
      <c r="CI98" s="46" t="n"/>
      <c r="CJ98" s="46" t="n"/>
      <c r="CK98" s="46" t="n"/>
      <c r="CL98" s="46" t="n"/>
      <c r="CM98" s="46" t="n"/>
      <c r="CN98" s="46" t="n"/>
      <c r="CO98" s="46" t="n"/>
      <c r="CP98" s="46" t="n"/>
      <c r="CQ98" s="46" t="n"/>
      <c r="CR98" s="46" t="n"/>
      <c r="CS98" s="46" t="n"/>
      <c r="CT98" s="46" t="n"/>
      <c r="CU98" s="46" t="n"/>
      <c r="CV98" s="46" t="n"/>
      <c r="CW98" s="46" t="n"/>
      <c r="CX98" s="46" t="n"/>
      <c r="CY98" s="46" t="n"/>
      <c r="CZ98" s="46" t="n"/>
      <c r="DA98" s="46" t="n"/>
      <c r="DB98" s="46" t="n"/>
      <c r="DC98" s="46" t="n"/>
      <c r="DD98" s="46" t="n"/>
      <c r="DE98" s="46" t="n"/>
      <c r="DF98" s="46" t="n"/>
      <c r="DG98" s="46" t="n"/>
      <c r="DH98" s="46" t="n"/>
      <c r="DI98" s="46" t="n"/>
      <c r="DJ98" s="46" t="n"/>
      <c r="DK98" s="46" t="n"/>
      <c r="DL98" s="46" t="n"/>
      <c r="DM98" s="46" t="n"/>
      <c r="DN98" s="46" t="n"/>
      <c r="DO98" s="46" t="n"/>
      <c r="DP98" s="46" t="n"/>
      <c r="DQ98" s="46" t="n"/>
      <c r="DR98" s="46" t="n"/>
      <c r="DS98" s="46" t="n"/>
      <c r="DT98" s="46" t="n"/>
      <c r="DU98" s="46" t="n"/>
      <c r="DV98" s="46" t="n"/>
      <c r="DW98" s="46" t="n"/>
      <c r="DX98" s="46" t="n"/>
      <c r="DY98" s="46" t="n"/>
      <c r="DZ98" s="46" t="n"/>
      <c r="EA98" s="46" t="n"/>
      <c r="EB98" s="46" t="n"/>
      <c r="EC98" s="46" t="n"/>
      <c r="ED98" s="46" t="n"/>
      <c r="EE98" s="46" t="n"/>
      <c r="EF98" s="46" t="n"/>
      <c r="EG98" s="46" t="n"/>
      <c r="EH98" s="46" t="n"/>
      <c r="EI98" s="46" t="n"/>
      <c r="EJ98" s="46" t="n"/>
      <c r="EK98" s="46" t="n"/>
      <c r="EL98" s="46" t="n"/>
      <c r="EM98" s="46" t="n"/>
      <c r="EN98" s="46" t="n"/>
      <c r="EO98" s="46" t="n"/>
      <c r="EP98" s="46" t="n"/>
      <c r="EQ98" s="46" t="n"/>
      <c r="ER98" s="46" t="n"/>
      <c r="ES98" s="46" t="n"/>
      <c r="ET98" s="46" t="n"/>
      <c r="EU98" s="46" t="n"/>
      <c r="EV98" s="46" t="n"/>
      <c r="EW98" s="46" t="n"/>
      <c r="EX98" s="46" t="n"/>
      <c r="EY98" s="46" t="n"/>
      <c r="EZ98" s="46" t="n"/>
      <c r="FA98" s="46" t="n"/>
      <c r="FB98" s="46" t="n"/>
      <c r="FC98" s="46" t="n"/>
      <c r="FD98" s="46" t="n"/>
      <c r="FE98" s="46" t="n"/>
      <c r="FF98" s="46" t="n"/>
      <c r="FG98" s="46" t="n"/>
      <c r="FH98" s="46" t="n"/>
      <c r="FI98" s="46" t="n"/>
      <c r="FJ98" s="46" t="n"/>
      <c r="FK98" s="46" t="n"/>
      <c r="FL98" s="46" t="n"/>
      <c r="FM98" s="46" t="n"/>
      <c r="FN98" s="46" t="n"/>
    </row>
    <row r="99" ht="15" customFormat="1" customHeight="1" s="50">
      <c r="A99" s="49" t="n">
        <v>44986</v>
      </c>
      <c r="B99" s="43" t="n"/>
      <c r="C99" s="43" t="n">
        <v>191.291</v>
      </c>
      <c r="D99" s="44" t="n"/>
      <c r="E99" s="45" t="n"/>
      <c r="F99" s="46" t="n"/>
      <c r="G99" s="43" t="n">
        <v>112.018</v>
      </c>
      <c r="H99" s="43" t="n">
        <v>49.40000000000001</v>
      </c>
      <c r="I99" s="47">
        <f>G99/C99</f>
        <v/>
      </c>
      <c r="J99" s="46" t="n"/>
      <c r="K99" s="46" t="n">
        <v>154.876</v>
      </c>
      <c r="L99" s="46" t="n">
        <v>156.645</v>
      </c>
      <c r="M99" s="46" t="n">
        <v>152.471</v>
      </c>
      <c r="N99" s="45">
        <f>1-(M99/L99)</f>
        <v/>
      </c>
      <c r="O99" s="46" t="n">
        <v>157.923</v>
      </c>
      <c r="P99" s="46" t="n">
        <v>74.092</v>
      </c>
      <c r="Q99" s="46" t="n">
        <v>103.413</v>
      </c>
      <c r="R99" s="47">
        <f>K99/2/C99</f>
        <v/>
      </c>
      <c r="S99" s="46" t="n"/>
      <c r="T99" s="45">
        <f>R99+I99</f>
        <v/>
      </c>
      <c r="U99" s="46" t="n"/>
      <c r="V99" s="46" t="n"/>
      <c r="W99" s="46" t="n"/>
      <c r="X99" s="46" t="n"/>
      <c r="Y99" s="46" t="n"/>
      <c r="Z99" s="46" t="n"/>
      <c r="AA99" s="46" t="n"/>
      <c r="AB99" s="46" t="n"/>
      <c r="AC99" s="46" t="n"/>
      <c r="AD99" s="46" t="n"/>
      <c r="AE99" s="46" t="n"/>
      <c r="AF99" s="46" t="n"/>
      <c r="AG99" s="46" t="n"/>
      <c r="AH99" s="46" t="n"/>
      <c r="AI99" s="46" t="n"/>
      <c r="AJ99" s="46" t="n"/>
      <c r="AK99" s="46" t="n"/>
      <c r="AL99" s="46" t="n"/>
      <c r="AM99" s="46" t="n"/>
      <c r="AN99" s="46" t="n"/>
      <c r="AO99" s="46" t="n"/>
      <c r="AP99" s="46" t="n"/>
      <c r="AQ99" s="46" t="n"/>
      <c r="AR99" s="46" t="n"/>
      <c r="AS99" s="46" t="n"/>
      <c r="AT99" s="46" t="n"/>
      <c r="AU99" s="46" t="n"/>
      <c r="AV99" s="46" t="n"/>
      <c r="AW99" s="46" t="n"/>
      <c r="AX99" s="46" t="n"/>
      <c r="AY99" s="46" t="n"/>
      <c r="AZ99" s="46" t="n"/>
      <c r="BA99" s="46" t="n"/>
      <c r="BB99" s="46" t="n"/>
      <c r="BC99" s="46" t="n"/>
      <c r="BD99" s="46" t="n"/>
      <c r="BE99" s="46" t="n"/>
      <c r="BF99" s="46" t="n"/>
      <c r="BG99" s="46" t="n"/>
      <c r="BH99" s="46" t="n"/>
      <c r="BI99" s="46" t="n"/>
      <c r="BJ99" s="46" t="n"/>
      <c r="BK99" s="46" t="n"/>
      <c r="BL99" s="46" t="n"/>
      <c r="BM99" s="46" t="n"/>
      <c r="BN99" s="46" t="n"/>
      <c r="BO99" s="46" t="n"/>
      <c r="BP99" s="46" t="n"/>
      <c r="BQ99" s="46" t="n"/>
      <c r="BR99" s="46" t="n"/>
      <c r="BS99" s="46" t="n"/>
      <c r="BT99" s="46" t="n"/>
      <c r="BU99" s="46" t="n"/>
      <c r="BV99" s="46" t="n"/>
      <c r="BW99" s="46" t="n"/>
      <c r="BX99" s="46" t="n"/>
      <c r="BY99" s="46" t="n"/>
      <c r="BZ99" s="46" t="n"/>
      <c r="CA99" s="46" t="n"/>
      <c r="CB99" s="46" t="n"/>
      <c r="CC99" s="46" t="n"/>
      <c r="CD99" s="46" t="n"/>
      <c r="CE99" s="46" t="n"/>
      <c r="CF99" s="46" t="n"/>
      <c r="CG99" s="46" t="n"/>
      <c r="CH99" s="46" t="n"/>
      <c r="CI99" s="46" t="n"/>
      <c r="CJ99" s="46" t="n"/>
      <c r="CK99" s="46" t="n"/>
      <c r="CL99" s="46" t="n"/>
      <c r="CM99" s="46" t="n"/>
      <c r="CN99" s="46" t="n"/>
      <c r="CO99" s="46" t="n"/>
      <c r="CP99" s="46" t="n"/>
      <c r="CQ99" s="46" t="n"/>
      <c r="CR99" s="46" t="n"/>
      <c r="CS99" s="46" t="n"/>
      <c r="CT99" s="46" t="n"/>
      <c r="CU99" s="46" t="n"/>
      <c r="CV99" s="46" t="n"/>
      <c r="CW99" s="46" t="n"/>
      <c r="CX99" s="46" t="n"/>
      <c r="CY99" s="46" t="n"/>
      <c r="CZ99" s="46" t="n"/>
      <c r="DA99" s="46" t="n"/>
      <c r="DB99" s="46" t="n"/>
      <c r="DC99" s="46" t="n"/>
      <c r="DD99" s="46" t="n"/>
      <c r="DE99" s="46" t="n"/>
      <c r="DF99" s="46" t="n"/>
      <c r="DG99" s="46" t="n"/>
      <c r="DH99" s="46" t="n"/>
      <c r="DI99" s="46" t="n"/>
      <c r="DJ99" s="46" t="n"/>
      <c r="DK99" s="46" t="n"/>
      <c r="DL99" s="46" t="n"/>
      <c r="DM99" s="46" t="n"/>
      <c r="DN99" s="46" t="n"/>
      <c r="DO99" s="46" t="n"/>
      <c r="DP99" s="46" t="n"/>
      <c r="DQ99" s="46" t="n"/>
      <c r="DR99" s="46" t="n"/>
      <c r="DS99" s="46" t="n"/>
      <c r="DT99" s="46" t="n"/>
      <c r="DU99" s="46" t="n"/>
      <c r="DV99" s="46" t="n"/>
      <c r="DW99" s="46" t="n"/>
      <c r="DX99" s="46" t="n"/>
      <c r="DY99" s="46" t="n"/>
      <c r="DZ99" s="46" t="n"/>
      <c r="EA99" s="46" t="n"/>
      <c r="EB99" s="46" t="n"/>
      <c r="EC99" s="46" t="n"/>
      <c r="ED99" s="46" t="n"/>
      <c r="EE99" s="46" t="n"/>
      <c r="EF99" s="46" t="n"/>
      <c r="EG99" s="46" t="n"/>
      <c r="EH99" s="46" t="n"/>
      <c r="EI99" s="46" t="n"/>
      <c r="EJ99" s="46" t="n"/>
      <c r="EK99" s="46" t="n"/>
      <c r="EL99" s="46" t="n"/>
      <c r="EM99" s="46" t="n"/>
      <c r="EN99" s="46" t="n"/>
      <c r="EO99" s="46" t="n"/>
      <c r="EP99" s="46" t="n"/>
      <c r="EQ99" s="46" t="n"/>
      <c r="ER99" s="46" t="n"/>
      <c r="ES99" s="46" t="n"/>
      <c r="ET99" s="46" t="n"/>
      <c r="EU99" s="46" t="n"/>
      <c r="EV99" s="46" t="n"/>
      <c r="EW99" s="46" t="n"/>
      <c r="EX99" s="46" t="n"/>
      <c r="EY99" s="46" t="n"/>
      <c r="EZ99" s="46" t="n"/>
      <c r="FA99" s="46" t="n"/>
      <c r="FB99" s="46" t="n"/>
      <c r="FC99" s="46" t="n"/>
      <c r="FD99" s="46" t="n"/>
      <c r="FE99" s="46" t="n"/>
      <c r="FF99" s="46" t="n"/>
      <c r="FG99" s="46" t="n"/>
      <c r="FH99" s="46" t="n"/>
      <c r="FI99" s="46" t="n"/>
      <c r="FJ99" s="46" t="n"/>
      <c r="FK99" s="46" t="n"/>
      <c r="FL99" s="46" t="n"/>
      <c r="FM99" s="46" t="n"/>
      <c r="FN99" s="46" t="n"/>
    </row>
    <row r="100" ht="15" customFormat="1" customHeight="1" s="50">
      <c r="A100" s="49" t="n">
        <v>45017</v>
      </c>
      <c r="B100" s="43" t="n"/>
      <c r="C100" s="43" t="n">
        <v>172.744</v>
      </c>
      <c r="D100" s="44" t="n"/>
      <c r="E100" s="45" t="n"/>
      <c r="F100" s="46" t="n"/>
      <c r="G100" s="43" t="n">
        <v>103.926</v>
      </c>
      <c r="H100" s="43" t="n">
        <v>48.6</v>
      </c>
      <c r="I100" s="47">
        <f>G100/C100</f>
        <v/>
      </c>
      <c r="J100" s="46" t="n"/>
      <c r="K100" s="46" t="n">
        <v>136.571</v>
      </c>
      <c r="L100" s="46" t="n">
        <v>155.08</v>
      </c>
      <c r="M100" s="46" t="n">
        <v>151.183</v>
      </c>
      <c r="N100" s="45">
        <f>1-(M100/L100)</f>
        <v/>
      </c>
      <c r="O100" s="46" t="n">
        <v>157.303</v>
      </c>
      <c r="P100" s="46" t="n">
        <v>66.315</v>
      </c>
      <c r="Q100" s="46" t="n">
        <v>102.794</v>
      </c>
      <c r="R100" s="47">
        <f>K100/2/C100</f>
        <v/>
      </c>
      <c r="S100" s="46" t="n"/>
      <c r="T100" s="45">
        <f>R100+I100</f>
        <v/>
      </c>
      <c r="U100" s="46" t="n"/>
      <c r="V100" s="46" t="n"/>
      <c r="W100" s="46" t="n"/>
      <c r="X100" s="46" t="n"/>
      <c r="Y100" s="46" t="n"/>
      <c r="Z100" s="46" t="n"/>
      <c r="AA100" s="46" t="n"/>
      <c r="AB100" s="46" t="n"/>
      <c r="AC100" s="46" t="n"/>
      <c r="AD100" s="46" t="n"/>
      <c r="AE100" s="46" t="n"/>
      <c r="AF100" s="46" t="n"/>
      <c r="AG100" s="46" t="n"/>
      <c r="AH100" s="46" t="n"/>
      <c r="AI100" s="46" t="n"/>
      <c r="AJ100" s="46" t="n"/>
      <c r="AK100" s="46" t="n"/>
      <c r="AL100" s="46" t="n"/>
      <c r="AM100" s="46" t="n"/>
      <c r="AN100" s="46" t="n"/>
      <c r="AO100" s="46" t="n"/>
      <c r="AP100" s="46" t="n"/>
      <c r="AQ100" s="46" t="n"/>
      <c r="AR100" s="46" t="n"/>
      <c r="AS100" s="46" t="n"/>
      <c r="AT100" s="46" t="n"/>
      <c r="AU100" s="46" t="n"/>
      <c r="AV100" s="46" t="n"/>
      <c r="AW100" s="46" t="n"/>
      <c r="AX100" s="46" t="n"/>
      <c r="AY100" s="46" t="n"/>
      <c r="AZ100" s="46" t="n"/>
      <c r="BA100" s="46" t="n"/>
      <c r="BB100" s="46" t="n"/>
      <c r="BC100" s="46" t="n"/>
      <c r="BD100" s="46" t="n"/>
      <c r="BE100" s="46" t="n"/>
      <c r="BF100" s="46" t="n"/>
      <c r="BG100" s="46" t="n"/>
      <c r="BH100" s="46" t="n"/>
      <c r="BI100" s="46" t="n"/>
      <c r="BJ100" s="46" t="n"/>
      <c r="BK100" s="46" t="n"/>
      <c r="BL100" s="46" t="n"/>
      <c r="BM100" s="46" t="n"/>
      <c r="BN100" s="46" t="n"/>
      <c r="BO100" s="46" t="n"/>
      <c r="BP100" s="46" t="n"/>
      <c r="BQ100" s="46" t="n"/>
      <c r="BR100" s="46" t="n"/>
      <c r="BS100" s="46" t="n"/>
      <c r="BT100" s="46" t="n"/>
      <c r="BU100" s="46" t="n"/>
      <c r="BV100" s="46" t="n"/>
      <c r="BW100" s="46" t="n"/>
      <c r="BX100" s="46" t="n"/>
      <c r="BY100" s="46" t="n"/>
      <c r="BZ100" s="46" t="n"/>
      <c r="CA100" s="46" t="n"/>
      <c r="CB100" s="46" t="n"/>
      <c r="CC100" s="46" t="n"/>
      <c r="CD100" s="46" t="n"/>
      <c r="CE100" s="46" t="n"/>
      <c r="CF100" s="46" t="n"/>
      <c r="CG100" s="46" t="n"/>
      <c r="CH100" s="46" t="n"/>
      <c r="CI100" s="46" t="n"/>
      <c r="CJ100" s="46" t="n"/>
      <c r="CK100" s="46" t="n"/>
      <c r="CL100" s="46" t="n"/>
      <c r="CM100" s="46" t="n"/>
      <c r="CN100" s="46" t="n"/>
      <c r="CO100" s="46" t="n"/>
      <c r="CP100" s="46" t="n"/>
      <c r="CQ100" s="46" t="n"/>
      <c r="CR100" s="46" t="n"/>
      <c r="CS100" s="46" t="n"/>
      <c r="CT100" s="46" t="n"/>
      <c r="CU100" s="46" t="n"/>
      <c r="CV100" s="46" t="n"/>
      <c r="CW100" s="46" t="n"/>
      <c r="CX100" s="46" t="n"/>
      <c r="CY100" s="46" t="n"/>
      <c r="CZ100" s="46" t="n"/>
      <c r="DA100" s="46" t="n"/>
      <c r="DB100" s="46" t="n"/>
      <c r="DC100" s="46" t="n"/>
      <c r="DD100" s="46" t="n"/>
      <c r="DE100" s="46" t="n"/>
      <c r="DF100" s="46" t="n"/>
      <c r="DG100" s="46" t="n"/>
      <c r="DH100" s="46" t="n"/>
      <c r="DI100" s="46" t="n"/>
      <c r="DJ100" s="46" t="n"/>
      <c r="DK100" s="46" t="n"/>
      <c r="DL100" s="46" t="n"/>
      <c r="DM100" s="46" t="n"/>
      <c r="DN100" s="46" t="n"/>
      <c r="DO100" s="46" t="n"/>
      <c r="DP100" s="46" t="n"/>
      <c r="DQ100" s="46" t="n"/>
      <c r="DR100" s="46" t="n"/>
      <c r="DS100" s="46" t="n"/>
      <c r="DT100" s="46" t="n"/>
      <c r="DU100" s="46" t="n"/>
      <c r="DV100" s="46" t="n"/>
      <c r="DW100" s="46" t="n"/>
      <c r="DX100" s="46" t="n"/>
      <c r="DY100" s="46" t="n"/>
      <c r="DZ100" s="46" t="n"/>
      <c r="EA100" s="46" t="n"/>
      <c r="EB100" s="46" t="n"/>
      <c r="EC100" s="46" t="n"/>
      <c r="ED100" s="46" t="n"/>
      <c r="EE100" s="46" t="n"/>
      <c r="EF100" s="46" t="n"/>
      <c r="EG100" s="46" t="n"/>
      <c r="EH100" s="46" t="n"/>
      <c r="EI100" s="46" t="n"/>
      <c r="EJ100" s="46" t="n"/>
      <c r="EK100" s="46" t="n"/>
      <c r="EL100" s="46" t="n"/>
      <c r="EM100" s="46" t="n"/>
      <c r="EN100" s="46" t="n"/>
      <c r="EO100" s="46" t="n"/>
      <c r="EP100" s="46" t="n"/>
      <c r="EQ100" s="46" t="n"/>
      <c r="ER100" s="46" t="n"/>
      <c r="ES100" s="46" t="n"/>
      <c r="ET100" s="46" t="n"/>
      <c r="EU100" s="46" t="n"/>
      <c r="EV100" s="46" t="n"/>
      <c r="EW100" s="46" t="n"/>
      <c r="EX100" s="46" t="n"/>
      <c r="EY100" s="46" t="n"/>
      <c r="EZ100" s="46" t="n"/>
      <c r="FA100" s="46" t="n"/>
      <c r="FB100" s="46" t="n"/>
      <c r="FC100" s="46" t="n"/>
      <c r="FD100" s="46" t="n"/>
      <c r="FE100" s="46" t="n"/>
      <c r="FF100" s="46" t="n"/>
      <c r="FG100" s="46" t="n"/>
      <c r="FH100" s="46" t="n"/>
      <c r="FI100" s="46" t="n"/>
      <c r="FJ100" s="46" t="n"/>
      <c r="FK100" s="46" t="n"/>
      <c r="FL100" s="46" t="n"/>
      <c r="FM100" s="46" t="n"/>
      <c r="FN100" s="46" t="n"/>
    </row>
    <row r="101" ht="15" customFormat="1" customHeight="1" s="50">
      <c r="A101" s="49" t="n">
        <v>45047</v>
      </c>
      <c r="B101" s="43" t="n"/>
      <c r="C101" s="43" t="n">
        <v>140.59</v>
      </c>
      <c r="D101" s="44" t="n"/>
      <c r="E101" s="45" t="n"/>
      <c r="F101" s="46" t="n"/>
      <c r="G101" s="43" t="n">
        <v>76.92</v>
      </c>
      <c r="H101" s="43" t="n">
        <v>50.6</v>
      </c>
      <c r="I101" s="47">
        <f>G101/C101</f>
        <v/>
      </c>
      <c r="J101" s="46" t="n"/>
      <c r="K101" s="46" t="n">
        <v>114.408</v>
      </c>
      <c r="L101" s="46" t="n">
        <v>111.061</v>
      </c>
      <c r="M101" s="46" t="n">
        <v>107.909</v>
      </c>
      <c r="N101" s="45">
        <f>1-(M101/L101)</f>
        <v/>
      </c>
      <c r="O101" s="46" t="n">
        <v>125.334</v>
      </c>
      <c r="P101" s="46" t="n">
        <v>71.32599999999999</v>
      </c>
      <c r="Q101" s="46" t="n">
        <v>87.63800000000001</v>
      </c>
      <c r="R101" s="47">
        <f>K101/2/C101</f>
        <v/>
      </c>
      <c r="S101" s="46" t="n"/>
      <c r="T101" s="45">
        <f>R101+I101</f>
        <v/>
      </c>
      <c r="U101" s="46" t="n"/>
      <c r="V101" s="46" t="n"/>
      <c r="W101" s="46" t="n"/>
      <c r="X101" s="46" t="n"/>
      <c r="Y101" s="46" t="n"/>
      <c r="Z101" s="46" t="n"/>
      <c r="AA101" s="46" t="n"/>
      <c r="AB101" s="46" t="n"/>
      <c r="AC101" s="46" t="n"/>
      <c r="AD101" s="46" t="n"/>
      <c r="AE101" s="46" t="n"/>
      <c r="AF101" s="46" t="n"/>
      <c r="AG101" s="46" t="n"/>
      <c r="AH101" s="46" t="n"/>
      <c r="AI101" s="46" t="n"/>
      <c r="AJ101" s="46" t="n"/>
      <c r="AK101" s="46" t="n"/>
      <c r="AL101" s="46" t="n"/>
      <c r="AM101" s="46" t="n"/>
      <c r="AN101" s="46" t="n"/>
      <c r="AO101" s="46" t="n"/>
      <c r="AP101" s="46" t="n"/>
      <c r="AQ101" s="46" t="n"/>
      <c r="AR101" s="46" t="n"/>
      <c r="AS101" s="46" t="n"/>
      <c r="AT101" s="46" t="n"/>
      <c r="AU101" s="46" t="n"/>
      <c r="AV101" s="46" t="n"/>
      <c r="AW101" s="46" t="n"/>
      <c r="AX101" s="46" t="n"/>
      <c r="AY101" s="46" t="n"/>
      <c r="AZ101" s="46" t="n"/>
      <c r="BA101" s="46" t="n"/>
      <c r="BB101" s="46" t="n"/>
      <c r="BC101" s="46" t="n"/>
      <c r="BD101" s="46" t="n"/>
      <c r="BE101" s="46" t="n"/>
      <c r="BF101" s="46" t="n"/>
      <c r="BG101" s="46" t="n"/>
      <c r="BH101" s="46" t="n"/>
      <c r="BI101" s="46" t="n"/>
      <c r="BJ101" s="46" t="n"/>
      <c r="BK101" s="46" t="n"/>
      <c r="BL101" s="46" t="n"/>
      <c r="BM101" s="46" t="n"/>
      <c r="BN101" s="46" t="n"/>
      <c r="BO101" s="46" t="n"/>
      <c r="BP101" s="46" t="n"/>
      <c r="BQ101" s="46" t="n"/>
      <c r="BR101" s="46" t="n"/>
      <c r="BS101" s="46" t="n"/>
      <c r="BT101" s="46" t="n"/>
      <c r="BU101" s="46" t="n"/>
      <c r="BV101" s="46" t="n"/>
      <c r="BW101" s="46" t="n"/>
      <c r="BX101" s="46" t="n"/>
      <c r="BY101" s="46" t="n"/>
      <c r="BZ101" s="46" t="n"/>
      <c r="CA101" s="46" t="n"/>
      <c r="CB101" s="46" t="n"/>
      <c r="CC101" s="46" t="n"/>
      <c r="CD101" s="46" t="n"/>
      <c r="CE101" s="46" t="n"/>
      <c r="CF101" s="46" t="n"/>
      <c r="CG101" s="46" t="n"/>
      <c r="CH101" s="46" t="n"/>
      <c r="CI101" s="46" t="n"/>
      <c r="CJ101" s="46" t="n"/>
      <c r="CK101" s="46" t="n"/>
      <c r="CL101" s="46" t="n"/>
      <c r="CM101" s="46" t="n"/>
      <c r="CN101" s="46" t="n"/>
      <c r="CO101" s="46" t="n"/>
      <c r="CP101" s="46" t="n"/>
      <c r="CQ101" s="46" t="n"/>
      <c r="CR101" s="46" t="n"/>
      <c r="CS101" s="46" t="n"/>
      <c r="CT101" s="46" t="n"/>
      <c r="CU101" s="46" t="n"/>
      <c r="CV101" s="46" t="n"/>
      <c r="CW101" s="46" t="n"/>
      <c r="CX101" s="46" t="n"/>
      <c r="CY101" s="46" t="n"/>
      <c r="CZ101" s="46" t="n"/>
      <c r="DA101" s="46" t="n"/>
      <c r="DB101" s="46" t="n"/>
      <c r="DC101" s="46" t="n"/>
      <c r="DD101" s="46" t="n"/>
      <c r="DE101" s="46" t="n"/>
      <c r="DF101" s="46" t="n"/>
      <c r="DG101" s="46" t="n"/>
      <c r="DH101" s="46" t="n"/>
      <c r="DI101" s="46" t="n"/>
      <c r="DJ101" s="46" t="n"/>
      <c r="DK101" s="46" t="n"/>
      <c r="DL101" s="46" t="n"/>
      <c r="DM101" s="46" t="n"/>
      <c r="DN101" s="46" t="n"/>
      <c r="DO101" s="46" t="n"/>
      <c r="DP101" s="46" t="n"/>
      <c r="DQ101" s="46" t="n"/>
      <c r="DR101" s="46" t="n"/>
      <c r="DS101" s="46" t="n"/>
      <c r="DT101" s="46" t="n"/>
      <c r="DU101" s="46" t="n"/>
      <c r="DV101" s="46" t="n"/>
      <c r="DW101" s="46" t="n"/>
      <c r="DX101" s="46" t="n"/>
      <c r="DY101" s="46" t="n"/>
      <c r="DZ101" s="46" t="n"/>
      <c r="EA101" s="46" t="n"/>
      <c r="EB101" s="46" t="n"/>
      <c r="EC101" s="46" t="n"/>
      <c r="ED101" s="46" t="n"/>
      <c r="EE101" s="46" t="n"/>
      <c r="EF101" s="46" t="n"/>
      <c r="EG101" s="46" t="n"/>
      <c r="EH101" s="46" t="n"/>
      <c r="EI101" s="46" t="n"/>
      <c r="EJ101" s="46" t="n"/>
      <c r="EK101" s="46" t="n"/>
      <c r="EL101" s="46" t="n"/>
      <c r="EM101" s="46" t="n"/>
      <c r="EN101" s="46" t="n"/>
      <c r="EO101" s="46" t="n"/>
      <c r="EP101" s="46" t="n"/>
      <c r="EQ101" s="46" t="n"/>
      <c r="ER101" s="46" t="n"/>
      <c r="ES101" s="46" t="n"/>
      <c r="ET101" s="46" t="n"/>
      <c r="EU101" s="46" t="n"/>
      <c r="EV101" s="46" t="n"/>
      <c r="EW101" s="46" t="n"/>
      <c r="EX101" s="46" t="n"/>
      <c r="EY101" s="46" t="n"/>
      <c r="EZ101" s="46" t="n"/>
      <c r="FA101" s="46" t="n"/>
      <c r="FB101" s="46" t="n"/>
      <c r="FC101" s="46" t="n"/>
      <c r="FD101" s="46" t="n"/>
      <c r="FE101" s="46" t="n"/>
      <c r="FF101" s="46" t="n"/>
      <c r="FG101" s="46" t="n"/>
      <c r="FH101" s="46" t="n"/>
      <c r="FI101" s="46" t="n"/>
      <c r="FJ101" s="46" t="n"/>
      <c r="FK101" s="46" t="n"/>
      <c r="FL101" s="46" t="n"/>
      <c r="FM101" s="46" t="n"/>
      <c r="FN101" s="46" t="n"/>
    </row>
    <row r="102" ht="15" customFormat="1" customHeight="1" s="50">
      <c r="A102" s="49" t="n">
        <v>45078</v>
      </c>
      <c r="B102" s="43" t="n"/>
      <c r="C102" s="43" t="n">
        <v>158.305</v>
      </c>
      <c r="D102" s="44" t="n"/>
      <c r="E102" s="45" t="n"/>
      <c r="F102" s="46" t="n"/>
      <c r="G102" s="43" t="n">
        <v>93.55</v>
      </c>
      <c r="H102" s="43" t="n">
        <v>52.5</v>
      </c>
      <c r="I102" s="47">
        <f>G102/C102</f>
        <v/>
      </c>
      <c r="J102" s="46" t="n"/>
      <c r="K102" s="46" t="n">
        <v>127.999</v>
      </c>
      <c r="L102" s="46" t="n">
        <v>139.311</v>
      </c>
      <c r="M102" s="46" t="n">
        <v>134.81</v>
      </c>
      <c r="N102" s="45">
        <f>1-(M102/L102)</f>
        <v/>
      </c>
      <c r="O102" s="46" t="n">
        <v>135.231</v>
      </c>
      <c r="P102" s="46" t="n">
        <v>71.429</v>
      </c>
      <c r="Q102" s="46" t="n">
        <v>88.06999999999999</v>
      </c>
      <c r="R102" s="47">
        <f>K102/2/C102</f>
        <v/>
      </c>
      <c r="S102" s="46" t="n"/>
      <c r="T102" s="45">
        <f>R102+I102</f>
        <v/>
      </c>
      <c r="U102" s="46" t="n"/>
      <c r="V102" s="46" t="n"/>
      <c r="W102" s="46" t="n"/>
      <c r="X102" s="46" t="n"/>
      <c r="Y102" s="46" t="n"/>
      <c r="Z102" s="46" t="n"/>
      <c r="AA102" s="46" t="n"/>
      <c r="AB102" s="46" t="n"/>
      <c r="AC102" s="46" t="n"/>
      <c r="AD102" s="46" t="n"/>
      <c r="AE102" s="46" t="n"/>
      <c r="AF102" s="46" t="n"/>
      <c r="AG102" s="46" t="n"/>
      <c r="AH102" s="46" t="n"/>
      <c r="AI102" s="46" t="n"/>
      <c r="AJ102" s="46" t="n"/>
      <c r="AK102" s="46" t="n"/>
      <c r="AL102" s="46" t="n"/>
      <c r="AM102" s="46" t="n"/>
      <c r="AN102" s="46" t="n"/>
      <c r="AO102" s="46" t="n"/>
      <c r="AP102" s="46" t="n"/>
      <c r="AQ102" s="46" t="n"/>
      <c r="AR102" s="46" t="n"/>
      <c r="AS102" s="46" t="n"/>
      <c r="AT102" s="46" t="n"/>
      <c r="AU102" s="46" t="n"/>
      <c r="AV102" s="46" t="n"/>
      <c r="AW102" s="46" t="n"/>
      <c r="AX102" s="46" t="n"/>
      <c r="AY102" s="46" t="n"/>
      <c r="AZ102" s="46" t="n"/>
      <c r="BA102" s="46" t="n"/>
      <c r="BB102" s="46" t="n"/>
      <c r="BC102" s="46" t="n"/>
      <c r="BD102" s="46" t="n"/>
      <c r="BE102" s="46" t="n"/>
      <c r="BF102" s="46" t="n"/>
      <c r="BG102" s="46" t="n"/>
      <c r="BH102" s="46" t="n"/>
      <c r="BI102" s="46" t="n"/>
      <c r="BJ102" s="46" t="n"/>
      <c r="BK102" s="46" t="n"/>
      <c r="BL102" s="46" t="n"/>
      <c r="BM102" s="46" t="n"/>
      <c r="BN102" s="46" t="n"/>
      <c r="BO102" s="46" t="n"/>
      <c r="BP102" s="46" t="n"/>
      <c r="BQ102" s="46" t="n"/>
      <c r="BR102" s="46" t="n"/>
      <c r="BS102" s="46" t="n"/>
      <c r="BT102" s="46" t="n"/>
      <c r="BU102" s="46" t="n"/>
      <c r="BV102" s="46" t="n"/>
      <c r="BW102" s="46" t="n"/>
      <c r="BX102" s="46" t="n"/>
      <c r="BY102" s="46" t="n"/>
      <c r="BZ102" s="46" t="n"/>
      <c r="CA102" s="46" t="n"/>
      <c r="CB102" s="46" t="n"/>
      <c r="CC102" s="46" t="n"/>
      <c r="CD102" s="46" t="n"/>
      <c r="CE102" s="46" t="n"/>
      <c r="CF102" s="46" t="n"/>
      <c r="CG102" s="46" t="n"/>
      <c r="CH102" s="46" t="n"/>
      <c r="CI102" s="46" t="n"/>
      <c r="CJ102" s="46" t="n"/>
      <c r="CK102" s="46" t="n"/>
      <c r="CL102" s="46" t="n"/>
      <c r="CM102" s="46" t="n"/>
      <c r="CN102" s="46" t="n"/>
      <c r="CO102" s="46" t="n"/>
      <c r="CP102" s="46" t="n"/>
      <c r="CQ102" s="46" t="n"/>
      <c r="CR102" s="46" t="n"/>
      <c r="CS102" s="46" t="n"/>
      <c r="CT102" s="46" t="n"/>
      <c r="CU102" s="46" t="n"/>
      <c r="CV102" s="46" t="n"/>
      <c r="CW102" s="46" t="n"/>
      <c r="CX102" s="46" t="n"/>
      <c r="CY102" s="46" t="n"/>
      <c r="CZ102" s="46" t="n"/>
      <c r="DA102" s="46" t="n"/>
      <c r="DB102" s="46" t="n"/>
      <c r="DC102" s="46" t="n"/>
      <c r="DD102" s="46" t="n"/>
      <c r="DE102" s="46" t="n"/>
      <c r="DF102" s="46" t="n"/>
      <c r="DG102" s="46" t="n"/>
      <c r="DH102" s="46" t="n"/>
      <c r="DI102" s="46" t="n"/>
      <c r="DJ102" s="46" t="n"/>
      <c r="DK102" s="46" t="n"/>
      <c r="DL102" s="46" t="n"/>
      <c r="DM102" s="46" t="n"/>
      <c r="DN102" s="46" t="n"/>
      <c r="DO102" s="46" t="n"/>
      <c r="DP102" s="46" t="n"/>
      <c r="DQ102" s="46" t="n"/>
      <c r="DR102" s="46" t="n"/>
      <c r="DS102" s="46" t="n"/>
      <c r="DT102" s="46" t="n"/>
      <c r="DU102" s="46" t="n"/>
      <c r="DV102" s="46" t="n"/>
      <c r="DW102" s="46" t="n"/>
      <c r="DX102" s="46" t="n"/>
      <c r="DY102" s="46" t="n"/>
      <c r="DZ102" s="46" t="n"/>
      <c r="EA102" s="46" t="n"/>
      <c r="EB102" s="46" t="n"/>
      <c r="EC102" s="46" t="n"/>
      <c r="ED102" s="46" t="n"/>
      <c r="EE102" s="46" t="n"/>
      <c r="EF102" s="46" t="n"/>
      <c r="EG102" s="46" t="n"/>
      <c r="EH102" s="46" t="n"/>
      <c r="EI102" s="46" t="n"/>
      <c r="EJ102" s="46" t="n"/>
      <c r="EK102" s="46" t="n"/>
      <c r="EL102" s="46" t="n"/>
      <c r="EM102" s="46" t="n"/>
      <c r="EN102" s="46" t="n"/>
      <c r="EO102" s="46" t="n"/>
      <c r="EP102" s="46" t="n"/>
      <c r="EQ102" s="46" t="n"/>
      <c r="ER102" s="46" t="n"/>
      <c r="ES102" s="46" t="n"/>
      <c r="ET102" s="46" t="n"/>
      <c r="EU102" s="46" t="n"/>
      <c r="EV102" s="46" t="n"/>
      <c r="EW102" s="46" t="n"/>
      <c r="EX102" s="46" t="n"/>
      <c r="EY102" s="46" t="n"/>
      <c r="EZ102" s="46" t="n"/>
      <c r="FA102" s="46" t="n"/>
      <c r="FB102" s="46" t="n"/>
      <c r="FC102" s="46" t="n"/>
      <c r="FD102" s="46" t="n"/>
      <c r="FE102" s="46" t="n"/>
      <c r="FF102" s="46" t="n"/>
      <c r="FG102" s="46" t="n"/>
      <c r="FH102" s="46" t="n"/>
      <c r="FI102" s="46" t="n"/>
      <c r="FJ102" s="46" t="n"/>
      <c r="FK102" s="46" t="n"/>
      <c r="FL102" s="46" t="n"/>
      <c r="FM102" s="46" t="n"/>
      <c r="FN102" s="46" t="n"/>
    </row>
    <row r="103" ht="15" customFormat="1" customHeight="1" s="50">
      <c r="A103" s="49" t="n">
        <v>45108</v>
      </c>
      <c r="B103" s="43" t="n"/>
      <c r="C103" s="43" t="n">
        <v>209.247</v>
      </c>
      <c r="D103" s="44" t="n"/>
      <c r="E103" s="45" t="n"/>
      <c r="F103" s="46" t="n"/>
      <c r="G103" s="43" t="n">
        <v>120.514</v>
      </c>
      <c r="H103" s="43" t="n">
        <v>59.054</v>
      </c>
      <c r="I103" s="47">
        <f>G103/C103</f>
        <v/>
      </c>
      <c r="J103" s="46" t="n"/>
      <c r="K103" s="46" t="n">
        <v>163.415</v>
      </c>
      <c r="L103" s="46" t="n">
        <v>171.635</v>
      </c>
      <c r="M103" s="46" t="n">
        <v>166.43</v>
      </c>
      <c r="N103" s="45">
        <f>1-(M103/L103)</f>
        <v/>
      </c>
      <c r="O103" s="46" t="n">
        <v>151.221</v>
      </c>
      <c r="P103" s="46" t="n">
        <v>46.087</v>
      </c>
      <c r="Q103" s="46" t="n">
        <v>106.273</v>
      </c>
      <c r="R103" s="47">
        <f>K103/2/C103</f>
        <v/>
      </c>
      <c r="S103" s="46" t="n"/>
      <c r="T103" s="45">
        <f>R103+I103</f>
        <v/>
      </c>
      <c r="U103" s="46" t="n"/>
      <c r="V103" s="46" t="n"/>
      <c r="W103" s="46" t="n"/>
      <c r="X103" s="46" t="n"/>
      <c r="Y103" s="46" t="n"/>
      <c r="Z103" s="46" t="n"/>
      <c r="AA103" s="46" t="n"/>
      <c r="AB103" s="46" t="n"/>
      <c r="AC103" s="46" t="n"/>
      <c r="AD103" s="46" t="n"/>
      <c r="AE103" s="46" t="n"/>
      <c r="AF103" s="46" t="n"/>
      <c r="AG103" s="46" t="n"/>
      <c r="AH103" s="46" t="n"/>
      <c r="AI103" s="46" t="n"/>
      <c r="AJ103" s="46" t="n"/>
      <c r="AK103" s="46" t="n"/>
      <c r="AL103" s="46" t="n"/>
      <c r="AM103" s="46" t="n"/>
      <c r="AN103" s="46" t="n"/>
      <c r="AO103" s="46" t="n"/>
      <c r="AP103" s="46" t="n"/>
      <c r="AQ103" s="46" t="n"/>
      <c r="AR103" s="46" t="n"/>
      <c r="AS103" s="46" t="n"/>
      <c r="AT103" s="46" t="n"/>
      <c r="AU103" s="46" t="n"/>
      <c r="AV103" s="46" t="n"/>
      <c r="AW103" s="46" t="n"/>
      <c r="AX103" s="46" t="n"/>
      <c r="AY103" s="46" t="n"/>
      <c r="AZ103" s="46" t="n"/>
      <c r="BA103" s="46" t="n"/>
      <c r="BB103" s="46" t="n"/>
      <c r="BC103" s="46" t="n"/>
      <c r="BD103" s="46" t="n"/>
      <c r="BE103" s="46" t="n"/>
      <c r="BF103" s="46" t="n"/>
      <c r="BG103" s="46" t="n"/>
      <c r="BH103" s="46" t="n"/>
      <c r="BI103" s="46" t="n"/>
      <c r="BJ103" s="46" t="n"/>
      <c r="BK103" s="46" t="n"/>
      <c r="BL103" s="46" t="n"/>
      <c r="BM103" s="46" t="n"/>
      <c r="BN103" s="46" t="n"/>
      <c r="BO103" s="46" t="n"/>
      <c r="BP103" s="46" t="n"/>
      <c r="BQ103" s="46" t="n"/>
      <c r="BR103" s="46" t="n"/>
      <c r="BS103" s="46" t="n"/>
      <c r="BT103" s="46" t="n"/>
      <c r="BU103" s="46" t="n"/>
      <c r="BV103" s="46" t="n"/>
      <c r="BW103" s="46" t="n"/>
      <c r="BX103" s="46" t="n"/>
      <c r="BY103" s="46" t="n"/>
      <c r="BZ103" s="46" t="n"/>
      <c r="CA103" s="46" t="n"/>
      <c r="CB103" s="46" t="n"/>
      <c r="CC103" s="46" t="n"/>
      <c r="CD103" s="46" t="n"/>
      <c r="CE103" s="46" t="n"/>
      <c r="CF103" s="46" t="n"/>
      <c r="CG103" s="46" t="n"/>
      <c r="CH103" s="46" t="n"/>
      <c r="CI103" s="46" t="n"/>
      <c r="CJ103" s="46" t="n"/>
      <c r="CK103" s="46" t="n"/>
      <c r="CL103" s="46" t="n"/>
      <c r="CM103" s="46" t="n"/>
      <c r="CN103" s="46" t="n"/>
      <c r="CO103" s="46" t="n"/>
      <c r="CP103" s="46" t="n"/>
      <c r="CQ103" s="46" t="n"/>
      <c r="CR103" s="46" t="n"/>
      <c r="CS103" s="46" t="n"/>
      <c r="CT103" s="46" t="n"/>
      <c r="CU103" s="46" t="n"/>
      <c r="CV103" s="46" t="n"/>
      <c r="CW103" s="46" t="n"/>
      <c r="CX103" s="46" t="n"/>
      <c r="CY103" s="46" t="n"/>
      <c r="CZ103" s="46" t="n"/>
      <c r="DA103" s="46" t="n"/>
      <c r="DB103" s="46" t="n"/>
      <c r="DC103" s="46" t="n"/>
      <c r="DD103" s="46" t="n"/>
      <c r="DE103" s="46" t="n"/>
      <c r="DF103" s="46" t="n"/>
      <c r="DG103" s="46" t="n"/>
      <c r="DH103" s="46" t="n"/>
      <c r="DI103" s="46" t="n"/>
      <c r="DJ103" s="46" t="n"/>
      <c r="DK103" s="46" t="n"/>
      <c r="DL103" s="46" t="n"/>
      <c r="DM103" s="46" t="n"/>
      <c r="DN103" s="46" t="n"/>
      <c r="DO103" s="46" t="n"/>
      <c r="DP103" s="46" t="n"/>
      <c r="DQ103" s="46" t="n"/>
      <c r="DR103" s="46" t="n"/>
      <c r="DS103" s="46" t="n"/>
      <c r="DT103" s="46" t="n"/>
      <c r="DU103" s="46" t="n"/>
      <c r="DV103" s="46" t="n"/>
      <c r="DW103" s="46" t="n"/>
      <c r="DX103" s="46" t="n"/>
      <c r="DY103" s="46" t="n"/>
      <c r="DZ103" s="46" t="n"/>
      <c r="EA103" s="46" t="n"/>
      <c r="EB103" s="46" t="n"/>
      <c r="EC103" s="46" t="n"/>
      <c r="ED103" s="46" t="n"/>
      <c r="EE103" s="46" t="n"/>
      <c r="EF103" s="46" t="n"/>
      <c r="EG103" s="46" t="n"/>
      <c r="EH103" s="46" t="n"/>
      <c r="EI103" s="46" t="n"/>
      <c r="EJ103" s="46" t="n"/>
      <c r="EK103" s="46" t="n"/>
      <c r="EL103" s="46" t="n"/>
      <c r="EM103" s="46" t="n"/>
      <c r="EN103" s="46" t="n"/>
      <c r="EO103" s="46" t="n"/>
      <c r="EP103" s="46" t="n"/>
      <c r="EQ103" s="46" t="n"/>
      <c r="ER103" s="46" t="n"/>
      <c r="ES103" s="46" t="n"/>
      <c r="ET103" s="46" t="n"/>
      <c r="EU103" s="46" t="n"/>
      <c r="EV103" s="46" t="n"/>
      <c r="EW103" s="46" t="n"/>
      <c r="EX103" s="46" t="n"/>
      <c r="EY103" s="46" t="n"/>
      <c r="EZ103" s="46" t="n"/>
      <c r="FA103" s="46" t="n"/>
      <c r="FB103" s="46" t="n"/>
      <c r="FC103" s="46" t="n"/>
      <c r="FD103" s="46" t="n"/>
      <c r="FE103" s="46" t="n"/>
      <c r="FF103" s="46" t="n"/>
      <c r="FG103" s="46" t="n"/>
      <c r="FH103" s="46" t="n"/>
      <c r="FI103" s="46" t="n"/>
      <c r="FJ103" s="46" t="n"/>
      <c r="FK103" s="46" t="n"/>
      <c r="FL103" s="46" t="n"/>
      <c r="FM103" s="46" t="n"/>
      <c r="FN103" s="46" t="n"/>
    </row>
    <row r="104" ht="15" customFormat="1" customHeight="1" s="50">
      <c r="A104" s="49" t="n">
        <v>45139</v>
      </c>
      <c r="B104" s="43" t="n"/>
      <c r="C104" s="43" t="n">
        <v>190.42</v>
      </c>
      <c r="D104" s="44" t="n"/>
      <c r="E104" s="45" t="n"/>
      <c r="F104" s="46" t="n"/>
      <c r="G104" s="43" t="n">
        <v>111.691</v>
      </c>
      <c r="H104" s="43" t="n">
        <v>57.862</v>
      </c>
      <c r="I104" s="47">
        <f>G104/C104</f>
        <v/>
      </c>
      <c r="J104" s="46" t="n"/>
      <c r="K104" s="46" t="n">
        <v>154.318</v>
      </c>
      <c r="L104" s="46" t="n">
        <v>160.571</v>
      </c>
      <c r="M104" s="46" t="n">
        <v>155.251</v>
      </c>
      <c r="N104" s="45">
        <f>1-(M104/L104)</f>
        <v/>
      </c>
      <c r="O104" s="46" t="n">
        <v>169.926</v>
      </c>
      <c r="P104" s="46" t="n">
        <v>44.484</v>
      </c>
      <c r="Q104" s="46" t="n">
        <v>91.947</v>
      </c>
      <c r="R104" s="47">
        <f>K104/2/C104</f>
        <v/>
      </c>
      <c r="S104" s="46" t="n"/>
      <c r="T104" s="45">
        <f>R104+I104</f>
        <v/>
      </c>
      <c r="U104" s="46" t="n"/>
      <c r="V104" s="46" t="n"/>
      <c r="W104" s="46" t="n"/>
      <c r="X104" s="46" t="n"/>
      <c r="Y104" s="46" t="n"/>
      <c r="Z104" s="46" t="n"/>
      <c r="AA104" s="46" t="n"/>
      <c r="AB104" s="46" t="n"/>
      <c r="AC104" s="46" t="n"/>
      <c r="AD104" s="46" t="n"/>
      <c r="AE104" s="46" t="n"/>
      <c r="AF104" s="46" t="n"/>
      <c r="AG104" s="46" t="n"/>
      <c r="AH104" s="46" t="n"/>
      <c r="AI104" s="46" t="n"/>
      <c r="AJ104" s="46" t="n"/>
      <c r="AK104" s="46" t="n"/>
      <c r="AL104" s="46" t="n"/>
      <c r="AM104" s="46" t="n"/>
      <c r="AN104" s="46" t="n"/>
      <c r="AO104" s="46" t="n"/>
      <c r="AP104" s="46" t="n"/>
      <c r="AQ104" s="46" t="n"/>
      <c r="AR104" s="46" t="n"/>
      <c r="AS104" s="46" t="n"/>
      <c r="AT104" s="46" t="n"/>
      <c r="AU104" s="46" t="n"/>
      <c r="AV104" s="46" t="n"/>
      <c r="AW104" s="46" t="n"/>
      <c r="AX104" s="46" t="n"/>
      <c r="AY104" s="46" t="n"/>
      <c r="AZ104" s="46" t="n"/>
      <c r="BA104" s="46" t="n"/>
      <c r="BB104" s="46" t="n"/>
      <c r="BC104" s="46" t="n"/>
      <c r="BD104" s="46" t="n"/>
      <c r="BE104" s="46" t="n"/>
      <c r="BF104" s="46" t="n"/>
      <c r="BG104" s="46" t="n"/>
      <c r="BH104" s="46" t="n"/>
      <c r="BI104" s="46" t="n"/>
      <c r="BJ104" s="46" t="n"/>
      <c r="BK104" s="46" t="n"/>
      <c r="BL104" s="46" t="n"/>
      <c r="BM104" s="46" t="n"/>
      <c r="BN104" s="46" t="n"/>
      <c r="BO104" s="46" t="n"/>
      <c r="BP104" s="46" t="n"/>
      <c r="BQ104" s="46" t="n"/>
      <c r="BR104" s="46" t="n"/>
      <c r="BS104" s="46" t="n"/>
      <c r="BT104" s="46" t="n"/>
      <c r="BU104" s="46" t="n"/>
      <c r="BV104" s="46" t="n"/>
      <c r="BW104" s="46" t="n"/>
      <c r="BX104" s="46" t="n"/>
      <c r="BY104" s="46" t="n"/>
      <c r="BZ104" s="46" t="n"/>
      <c r="CA104" s="46" t="n"/>
      <c r="CB104" s="46" t="n"/>
      <c r="CC104" s="46" t="n"/>
      <c r="CD104" s="46" t="n"/>
      <c r="CE104" s="46" t="n"/>
      <c r="CF104" s="46" t="n"/>
      <c r="CG104" s="46" t="n"/>
      <c r="CH104" s="46" t="n"/>
      <c r="CI104" s="46" t="n"/>
      <c r="CJ104" s="46" t="n"/>
      <c r="CK104" s="46" t="n"/>
      <c r="CL104" s="46" t="n"/>
      <c r="CM104" s="46" t="n"/>
      <c r="CN104" s="46" t="n"/>
      <c r="CO104" s="46" t="n"/>
      <c r="CP104" s="46" t="n"/>
      <c r="CQ104" s="46" t="n"/>
      <c r="CR104" s="46" t="n"/>
      <c r="CS104" s="46" t="n"/>
      <c r="CT104" s="46" t="n"/>
      <c r="CU104" s="46" t="n"/>
      <c r="CV104" s="46" t="n"/>
      <c r="CW104" s="46" t="n"/>
      <c r="CX104" s="46" t="n"/>
      <c r="CY104" s="46" t="n"/>
      <c r="CZ104" s="46" t="n"/>
      <c r="DA104" s="46" t="n"/>
      <c r="DB104" s="46" t="n"/>
      <c r="DC104" s="46" t="n"/>
      <c r="DD104" s="46" t="n"/>
      <c r="DE104" s="46" t="n"/>
      <c r="DF104" s="46" t="n"/>
      <c r="DG104" s="46" t="n"/>
      <c r="DH104" s="46" t="n"/>
      <c r="DI104" s="46" t="n"/>
      <c r="DJ104" s="46" t="n"/>
      <c r="DK104" s="46" t="n"/>
      <c r="DL104" s="46" t="n"/>
      <c r="DM104" s="46" t="n"/>
      <c r="DN104" s="46" t="n"/>
      <c r="DO104" s="46" t="n"/>
      <c r="DP104" s="46" t="n"/>
      <c r="DQ104" s="46" t="n"/>
      <c r="DR104" s="46" t="n"/>
      <c r="DS104" s="46" t="n"/>
      <c r="DT104" s="46" t="n"/>
      <c r="DU104" s="46" t="n"/>
      <c r="DV104" s="46" t="n"/>
      <c r="DW104" s="46" t="n"/>
      <c r="DX104" s="46" t="n"/>
      <c r="DY104" s="46" t="n"/>
      <c r="DZ104" s="46" t="n"/>
      <c r="EA104" s="46" t="n"/>
      <c r="EB104" s="46" t="n"/>
      <c r="EC104" s="46" t="n"/>
      <c r="ED104" s="46" t="n"/>
      <c r="EE104" s="46" t="n"/>
      <c r="EF104" s="46" t="n"/>
      <c r="EG104" s="46" t="n"/>
      <c r="EH104" s="46" t="n"/>
      <c r="EI104" s="46" t="n"/>
      <c r="EJ104" s="46" t="n"/>
      <c r="EK104" s="46" t="n"/>
      <c r="EL104" s="46" t="n"/>
      <c r="EM104" s="46" t="n"/>
      <c r="EN104" s="46" t="n"/>
      <c r="EO104" s="46" t="n"/>
      <c r="EP104" s="46" t="n"/>
      <c r="EQ104" s="46" t="n"/>
      <c r="ER104" s="46" t="n"/>
      <c r="ES104" s="46" t="n"/>
      <c r="ET104" s="46" t="n"/>
      <c r="EU104" s="46" t="n"/>
      <c r="EV104" s="46" t="n"/>
      <c r="EW104" s="46" t="n"/>
      <c r="EX104" s="46" t="n"/>
      <c r="EY104" s="46" t="n"/>
      <c r="EZ104" s="46" t="n"/>
      <c r="FA104" s="46" t="n"/>
      <c r="FB104" s="46" t="n"/>
      <c r="FC104" s="46" t="n"/>
      <c r="FD104" s="46" t="n"/>
      <c r="FE104" s="46" t="n"/>
      <c r="FF104" s="46" t="n"/>
      <c r="FG104" s="46" t="n"/>
      <c r="FH104" s="46" t="n"/>
      <c r="FI104" s="46" t="n"/>
      <c r="FJ104" s="46" t="n"/>
      <c r="FK104" s="46" t="n"/>
      <c r="FL104" s="46" t="n"/>
      <c r="FM104" s="46" t="n"/>
      <c r="FN104" s="46" t="n"/>
    </row>
    <row r="105" ht="15" customFormat="1" customHeight="1" s="50">
      <c r="A105" s="49" t="n">
        <v>45170</v>
      </c>
      <c r="B105" s="43" t="n"/>
      <c r="C105" s="43" t="n">
        <v>209.43</v>
      </c>
      <c r="D105" s="44" t="n"/>
      <c r="E105" s="45" t="n"/>
      <c r="F105" s="46" t="n"/>
      <c r="G105" s="43" t="n">
        <v>120.412</v>
      </c>
      <c r="H105" s="43" t="n">
        <v>59.127</v>
      </c>
      <c r="I105" s="47">
        <f>G105/C105</f>
        <v/>
      </c>
      <c r="J105" s="46" t="n"/>
      <c r="K105" s="46" t="n">
        <v>166.325</v>
      </c>
      <c r="L105" s="46" t="n">
        <v>152.818</v>
      </c>
      <c r="M105" s="46" t="n">
        <v>148.095</v>
      </c>
      <c r="N105" s="45">
        <f>1-(M105/L105)</f>
        <v/>
      </c>
      <c r="O105" s="46" t="n">
        <v>143.837</v>
      </c>
      <c r="P105" s="46" t="n">
        <v>59.189</v>
      </c>
      <c r="Q105" s="46" t="n">
        <v>99.884</v>
      </c>
      <c r="R105" s="47">
        <f>K105/2/C105</f>
        <v/>
      </c>
      <c r="S105" s="46" t="n"/>
      <c r="T105" s="45">
        <f>R105+I105</f>
        <v/>
      </c>
      <c r="U105" s="46" t="n"/>
      <c r="V105" s="46" t="n"/>
      <c r="W105" s="46" t="n"/>
      <c r="X105" s="46" t="n"/>
      <c r="Y105" s="46" t="n"/>
      <c r="Z105" s="46" t="n"/>
      <c r="AA105" s="46" t="n"/>
      <c r="AB105" s="46" t="n"/>
      <c r="AC105" s="46" t="n"/>
      <c r="AD105" s="46" t="n"/>
      <c r="AE105" s="46" t="n"/>
      <c r="AF105" s="46" t="n"/>
      <c r="AG105" s="46" t="n"/>
      <c r="AH105" s="46" t="n"/>
      <c r="AI105" s="46" t="n"/>
      <c r="AJ105" s="46" t="n"/>
      <c r="AK105" s="46" t="n"/>
      <c r="AL105" s="46" t="n"/>
      <c r="AM105" s="46" t="n"/>
      <c r="AN105" s="46" t="n"/>
      <c r="AO105" s="46" t="n"/>
      <c r="AP105" s="46" t="n"/>
      <c r="AQ105" s="46" t="n"/>
      <c r="AR105" s="46" t="n"/>
      <c r="AS105" s="46" t="n"/>
      <c r="AT105" s="46" t="n"/>
      <c r="AU105" s="46" t="n"/>
      <c r="AV105" s="46" t="n"/>
      <c r="AW105" s="46" t="n"/>
      <c r="AX105" s="46" t="n"/>
      <c r="AY105" s="46" t="n"/>
      <c r="AZ105" s="46" t="n"/>
      <c r="BA105" s="46" t="n"/>
      <c r="BB105" s="46" t="n"/>
      <c r="BC105" s="46" t="n"/>
      <c r="BD105" s="46" t="n"/>
      <c r="BE105" s="46" t="n"/>
      <c r="BF105" s="46" t="n"/>
      <c r="BG105" s="46" t="n"/>
      <c r="BH105" s="46" t="n"/>
      <c r="BI105" s="46" t="n"/>
      <c r="BJ105" s="46" t="n"/>
      <c r="BK105" s="46" t="n"/>
      <c r="BL105" s="46" t="n"/>
      <c r="BM105" s="46" t="n"/>
      <c r="BN105" s="46" t="n"/>
      <c r="BO105" s="46" t="n"/>
      <c r="BP105" s="46" t="n"/>
      <c r="BQ105" s="46" t="n"/>
      <c r="BR105" s="46" t="n"/>
      <c r="BS105" s="46" t="n"/>
      <c r="BT105" s="46" t="n"/>
      <c r="BU105" s="46" t="n"/>
      <c r="BV105" s="46" t="n"/>
      <c r="BW105" s="46" t="n"/>
      <c r="BX105" s="46" t="n"/>
      <c r="BY105" s="46" t="n"/>
      <c r="BZ105" s="46" t="n"/>
      <c r="CA105" s="46" t="n"/>
      <c r="CB105" s="46" t="n"/>
      <c r="CC105" s="46" t="n"/>
      <c r="CD105" s="46" t="n"/>
      <c r="CE105" s="46" t="n"/>
      <c r="CF105" s="46" t="n"/>
      <c r="CG105" s="46" t="n"/>
      <c r="CH105" s="46" t="n"/>
      <c r="CI105" s="46" t="n"/>
      <c r="CJ105" s="46" t="n"/>
      <c r="CK105" s="46" t="n"/>
      <c r="CL105" s="46" t="n"/>
      <c r="CM105" s="46" t="n"/>
      <c r="CN105" s="46" t="n"/>
      <c r="CO105" s="46" t="n"/>
      <c r="CP105" s="46" t="n"/>
      <c r="CQ105" s="46" t="n"/>
      <c r="CR105" s="46" t="n"/>
      <c r="CS105" s="46" t="n"/>
      <c r="CT105" s="46" t="n"/>
      <c r="CU105" s="46" t="n"/>
      <c r="CV105" s="46" t="n"/>
      <c r="CW105" s="46" t="n"/>
      <c r="CX105" s="46" t="n"/>
      <c r="CY105" s="46" t="n"/>
      <c r="CZ105" s="46" t="n"/>
      <c r="DA105" s="46" t="n"/>
      <c r="DB105" s="46" t="n"/>
      <c r="DC105" s="46" t="n"/>
      <c r="DD105" s="46" t="n"/>
      <c r="DE105" s="46" t="n"/>
      <c r="DF105" s="46" t="n"/>
      <c r="DG105" s="46" t="n"/>
      <c r="DH105" s="46" t="n"/>
      <c r="DI105" s="46" t="n"/>
      <c r="DJ105" s="46" t="n"/>
      <c r="DK105" s="46" t="n"/>
      <c r="DL105" s="46" t="n"/>
      <c r="DM105" s="46" t="n"/>
      <c r="DN105" s="46" t="n"/>
      <c r="DO105" s="46" t="n"/>
      <c r="DP105" s="46" t="n"/>
      <c r="DQ105" s="46" t="n"/>
      <c r="DR105" s="46" t="n"/>
      <c r="DS105" s="46" t="n"/>
      <c r="DT105" s="46" t="n"/>
      <c r="DU105" s="46" t="n"/>
      <c r="DV105" s="46" t="n"/>
      <c r="DW105" s="46" t="n"/>
      <c r="DX105" s="46" t="n"/>
      <c r="DY105" s="46" t="n"/>
      <c r="DZ105" s="46" t="n"/>
      <c r="EA105" s="46" t="n"/>
      <c r="EB105" s="46" t="n"/>
      <c r="EC105" s="46" t="n"/>
      <c r="ED105" s="46" t="n"/>
      <c r="EE105" s="46" t="n"/>
      <c r="EF105" s="46" t="n"/>
      <c r="EG105" s="46" t="n"/>
      <c r="EH105" s="46" t="n"/>
      <c r="EI105" s="46" t="n"/>
      <c r="EJ105" s="46" t="n"/>
      <c r="EK105" s="46" t="n"/>
      <c r="EL105" s="46" t="n"/>
      <c r="EM105" s="46" t="n"/>
      <c r="EN105" s="46" t="n"/>
      <c r="EO105" s="46" t="n"/>
      <c r="EP105" s="46" t="n"/>
      <c r="EQ105" s="46" t="n"/>
      <c r="ER105" s="46" t="n"/>
      <c r="ES105" s="46" t="n"/>
      <c r="ET105" s="46" t="n"/>
      <c r="EU105" s="46" t="n"/>
      <c r="EV105" s="46" t="n"/>
      <c r="EW105" s="46" t="n"/>
      <c r="EX105" s="46" t="n"/>
      <c r="EY105" s="46" t="n"/>
      <c r="EZ105" s="46" t="n"/>
      <c r="FA105" s="46" t="n"/>
      <c r="FB105" s="46" t="n"/>
      <c r="FC105" s="46" t="n"/>
      <c r="FD105" s="46" t="n"/>
      <c r="FE105" s="46" t="n"/>
      <c r="FF105" s="46" t="n"/>
      <c r="FG105" s="46" t="n"/>
      <c r="FH105" s="46" t="n"/>
      <c r="FI105" s="46" t="n"/>
      <c r="FJ105" s="46" t="n"/>
      <c r="FK105" s="46" t="n"/>
      <c r="FL105" s="46" t="n"/>
      <c r="FM105" s="46" t="n"/>
      <c r="FN105" s="46" t="n"/>
    </row>
    <row r="106" ht="15" customFormat="1" customHeight="1" s="50">
      <c r="A106" s="49" t="n">
        <v>45200</v>
      </c>
      <c r="B106" s="43" t="n"/>
      <c r="C106" s="43" t="n">
        <v>202.333</v>
      </c>
      <c r="D106" s="44" t="n"/>
      <c r="E106" s="45" t="n"/>
      <c r="F106" s="46" t="n"/>
      <c r="G106" s="43" t="n">
        <v>117.99</v>
      </c>
      <c r="H106" s="43" t="n">
        <v>47.6</v>
      </c>
      <c r="I106" s="47">
        <f>G106/C106</f>
        <v/>
      </c>
      <c r="J106" s="46" t="n"/>
      <c r="K106" s="46" t="n">
        <v>162.186</v>
      </c>
      <c r="L106" s="46" t="n">
        <v>173.49</v>
      </c>
      <c r="M106" s="46" t="n">
        <v>167.836</v>
      </c>
      <c r="N106" s="45">
        <f>1-(M106/L106)</f>
        <v/>
      </c>
      <c r="O106" s="46" t="n">
        <v>177.207</v>
      </c>
      <c r="P106" s="46" t="n">
        <v>57.856</v>
      </c>
      <c r="Q106" s="46" t="n">
        <v>96.38800000000001</v>
      </c>
      <c r="R106" s="47">
        <f>K106/2/C106</f>
        <v/>
      </c>
      <c r="S106" s="46" t="n"/>
      <c r="T106" s="45">
        <f>R106+I106</f>
        <v/>
      </c>
      <c r="U106" s="46" t="n"/>
      <c r="V106" s="46" t="n"/>
      <c r="W106" s="46" t="n"/>
      <c r="X106" s="46" t="n"/>
      <c r="Y106" s="46" t="n"/>
      <c r="Z106" s="46" t="n"/>
      <c r="AA106" s="46" t="n"/>
      <c r="AB106" s="46" t="n"/>
      <c r="AC106" s="46" t="n"/>
      <c r="AD106" s="46" t="n"/>
      <c r="AE106" s="46" t="n"/>
      <c r="AF106" s="46" t="n"/>
      <c r="AG106" s="46" t="n"/>
      <c r="AH106" s="46" t="n"/>
      <c r="AI106" s="46" t="n"/>
      <c r="AJ106" s="46" t="n"/>
      <c r="AK106" s="46" t="n"/>
      <c r="AL106" s="46" t="n"/>
      <c r="AM106" s="46" t="n"/>
      <c r="AN106" s="46" t="n"/>
      <c r="AO106" s="46" t="n"/>
      <c r="AP106" s="46" t="n"/>
      <c r="AQ106" s="46" t="n"/>
      <c r="AR106" s="46" t="n"/>
      <c r="AS106" s="46" t="n"/>
      <c r="AT106" s="46" t="n"/>
      <c r="AU106" s="46" t="n"/>
      <c r="AV106" s="46" t="n"/>
      <c r="AW106" s="46" t="n"/>
      <c r="AX106" s="46" t="n"/>
      <c r="AY106" s="46" t="n"/>
      <c r="AZ106" s="46" t="n"/>
      <c r="BA106" s="46" t="n"/>
      <c r="BB106" s="46" t="n"/>
      <c r="BC106" s="46" t="n"/>
      <c r="BD106" s="46" t="n"/>
      <c r="BE106" s="46" t="n"/>
      <c r="BF106" s="46" t="n"/>
      <c r="BG106" s="46" t="n"/>
      <c r="BH106" s="46" t="n"/>
      <c r="BI106" s="46" t="n"/>
      <c r="BJ106" s="46" t="n"/>
      <c r="BK106" s="46" t="n"/>
      <c r="BL106" s="46" t="n"/>
      <c r="BM106" s="46" t="n"/>
      <c r="BN106" s="46" t="n"/>
      <c r="BO106" s="46" t="n"/>
      <c r="BP106" s="46" t="n"/>
      <c r="BQ106" s="46" t="n"/>
      <c r="BR106" s="46" t="n"/>
      <c r="BS106" s="46" t="n"/>
      <c r="BT106" s="46" t="n"/>
      <c r="BU106" s="46" t="n"/>
      <c r="BV106" s="46" t="n"/>
      <c r="BW106" s="46" t="n"/>
      <c r="BX106" s="46" t="n"/>
      <c r="BY106" s="46" t="n"/>
      <c r="BZ106" s="46" t="n"/>
      <c r="CA106" s="46" t="n"/>
      <c r="CB106" s="46" t="n"/>
      <c r="CC106" s="46" t="n"/>
      <c r="CD106" s="46" t="n"/>
      <c r="CE106" s="46" t="n"/>
      <c r="CF106" s="46" t="n"/>
      <c r="CG106" s="46" t="n"/>
      <c r="CH106" s="46" t="n"/>
      <c r="CI106" s="46" t="n"/>
      <c r="CJ106" s="46" t="n"/>
      <c r="CK106" s="46" t="n"/>
      <c r="CL106" s="46" t="n"/>
      <c r="CM106" s="46" t="n"/>
      <c r="CN106" s="46" t="n"/>
      <c r="CO106" s="46" t="n"/>
      <c r="CP106" s="46" t="n"/>
      <c r="CQ106" s="46" t="n"/>
      <c r="CR106" s="46" t="n"/>
      <c r="CS106" s="46" t="n"/>
      <c r="CT106" s="46" t="n"/>
      <c r="CU106" s="46" t="n"/>
      <c r="CV106" s="46" t="n"/>
      <c r="CW106" s="46" t="n"/>
      <c r="CX106" s="46" t="n"/>
      <c r="CY106" s="46" t="n"/>
      <c r="CZ106" s="46" t="n"/>
      <c r="DA106" s="46" t="n"/>
      <c r="DB106" s="46" t="n"/>
      <c r="DC106" s="46" t="n"/>
      <c r="DD106" s="46" t="n"/>
      <c r="DE106" s="46" t="n"/>
      <c r="DF106" s="46" t="n"/>
      <c r="DG106" s="46" t="n"/>
      <c r="DH106" s="46" t="n"/>
      <c r="DI106" s="46" t="n"/>
      <c r="DJ106" s="46" t="n"/>
      <c r="DK106" s="46" t="n"/>
      <c r="DL106" s="46" t="n"/>
      <c r="DM106" s="46" t="n"/>
      <c r="DN106" s="46" t="n"/>
      <c r="DO106" s="46" t="n"/>
      <c r="DP106" s="46" t="n"/>
      <c r="DQ106" s="46" t="n"/>
      <c r="DR106" s="46" t="n"/>
      <c r="DS106" s="46" t="n"/>
      <c r="DT106" s="46" t="n"/>
      <c r="DU106" s="46" t="n"/>
      <c r="DV106" s="46" t="n"/>
      <c r="DW106" s="46" t="n"/>
      <c r="DX106" s="46" t="n"/>
      <c r="DY106" s="46" t="n"/>
      <c r="DZ106" s="46" t="n"/>
      <c r="EA106" s="46" t="n"/>
      <c r="EB106" s="46" t="n"/>
      <c r="EC106" s="46" t="n"/>
      <c r="ED106" s="46" t="n"/>
      <c r="EE106" s="46" t="n"/>
      <c r="EF106" s="46" t="n"/>
      <c r="EG106" s="46" t="n"/>
      <c r="EH106" s="46" t="n"/>
      <c r="EI106" s="46" t="n"/>
      <c r="EJ106" s="46" t="n"/>
      <c r="EK106" s="46" t="n"/>
      <c r="EL106" s="46" t="n"/>
      <c r="EM106" s="46" t="n"/>
      <c r="EN106" s="46" t="n"/>
      <c r="EO106" s="46" t="n"/>
      <c r="EP106" s="46" t="n"/>
      <c r="EQ106" s="46" t="n"/>
      <c r="ER106" s="46" t="n"/>
      <c r="ES106" s="46" t="n"/>
      <c r="ET106" s="46" t="n"/>
      <c r="EU106" s="46" t="n"/>
      <c r="EV106" s="46" t="n"/>
      <c r="EW106" s="46" t="n"/>
      <c r="EX106" s="46" t="n"/>
      <c r="EY106" s="46" t="n"/>
      <c r="EZ106" s="46" t="n"/>
      <c r="FA106" s="46" t="n"/>
      <c r="FB106" s="46" t="n"/>
      <c r="FC106" s="46" t="n"/>
      <c r="FD106" s="46" t="n"/>
      <c r="FE106" s="46" t="n"/>
      <c r="FF106" s="46" t="n"/>
      <c r="FG106" s="46" t="n"/>
      <c r="FH106" s="46" t="n"/>
      <c r="FI106" s="46" t="n"/>
      <c r="FJ106" s="46" t="n"/>
      <c r="FK106" s="46" t="n"/>
      <c r="FL106" s="46" t="n"/>
      <c r="FM106" s="46" t="n"/>
      <c r="FN106" s="46" t="n"/>
    </row>
    <row r="107" ht="15" customFormat="1" customHeight="1" s="50">
      <c r="A107" s="49" t="n">
        <v>45231</v>
      </c>
      <c r="B107" s="43" t="n"/>
      <c r="C107" s="43" t="n">
        <v>219.843</v>
      </c>
      <c r="D107" s="44" t="n"/>
      <c r="E107" s="45" t="n"/>
      <c r="F107" s="46" t="n"/>
      <c r="G107" s="43" t="n">
        <v>125.765</v>
      </c>
      <c r="H107" s="43" t="n">
        <v>45.3</v>
      </c>
      <c r="I107" s="47">
        <f>G107/C107</f>
        <v/>
      </c>
      <c r="J107" s="46" t="n"/>
      <c r="K107" s="46" t="n">
        <v>176.091</v>
      </c>
      <c r="L107" s="46" t="n">
        <v>162.687</v>
      </c>
      <c r="M107" s="46" t="n">
        <v>157.769</v>
      </c>
      <c r="N107" s="45">
        <f>1-(M107/L107)</f>
        <v/>
      </c>
      <c r="O107" s="46" t="n">
        <v>164.181</v>
      </c>
      <c r="P107" s="46" t="n">
        <v>74.387</v>
      </c>
      <c r="Q107" s="46" t="n">
        <v>92.318</v>
      </c>
      <c r="R107" s="47">
        <f>K107/2/C107</f>
        <v/>
      </c>
      <c r="S107" s="46" t="n"/>
      <c r="T107" s="45">
        <f>R107+I107</f>
        <v/>
      </c>
      <c r="U107" s="46" t="n"/>
      <c r="V107" s="46" t="n"/>
      <c r="W107" s="46" t="n"/>
      <c r="X107" s="46" t="n"/>
      <c r="Y107" s="46" t="n"/>
      <c r="Z107" s="46" t="n"/>
      <c r="AA107" s="46" t="n"/>
      <c r="AB107" s="46" t="n"/>
      <c r="AC107" s="46" t="n"/>
      <c r="AD107" s="46" t="n"/>
      <c r="AE107" s="46" t="n"/>
      <c r="AF107" s="46" t="n"/>
      <c r="AG107" s="46" t="n"/>
      <c r="AH107" s="46" t="n"/>
      <c r="AI107" s="46" t="n"/>
      <c r="AJ107" s="46" t="n"/>
      <c r="AK107" s="46" t="n"/>
      <c r="AL107" s="46" t="n"/>
      <c r="AM107" s="46" t="n"/>
      <c r="AN107" s="46" t="n"/>
      <c r="AO107" s="46" t="n"/>
      <c r="AP107" s="46" t="n"/>
      <c r="AQ107" s="46" t="n"/>
      <c r="AR107" s="46" t="n"/>
      <c r="AS107" s="46" t="n"/>
      <c r="AT107" s="46" t="n"/>
      <c r="AU107" s="46" t="n"/>
      <c r="AV107" s="46" t="n"/>
      <c r="AW107" s="46" t="n"/>
      <c r="AX107" s="46" t="n"/>
      <c r="AY107" s="46" t="n"/>
      <c r="AZ107" s="46" t="n"/>
      <c r="BA107" s="46" t="n"/>
      <c r="BB107" s="46" t="n"/>
      <c r="BC107" s="46" t="n"/>
      <c r="BD107" s="46" t="n"/>
      <c r="BE107" s="46" t="n"/>
      <c r="BF107" s="46" t="n"/>
      <c r="BG107" s="46" t="n"/>
      <c r="BH107" s="46" t="n"/>
      <c r="BI107" s="46" t="n"/>
      <c r="BJ107" s="46" t="n"/>
      <c r="BK107" s="46" t="n"/>
      <c r="BL107" s="46" t="n"/>
      <c r="BM107" s="46" t="n"/>
      <c r="BN107" s="46" t="n"/>
      <c r="BO107" s="46" t="n"/>
      <c r="BP107" s="46" t="n"/>
      <c r="BQ107" s="46" t="n"/>
      <c r="BR107" s="46" t="n"/>
      <c r="BS107" s="46" t="n"/>
      <c r="BT107" s="46" t="n"/>
      <c r="BU107" s="46" t="n"/>
      <c r="BV107" s="46" t="n"/>
      <c r="BW107" s="46" t="n"/>
      <c r="BX107" s="46" t="n"/>
      <c r="BY107" s="46" t="n"/>
      <c r="BZ107" s="46" t="n"/>
      <c r="CA107" s="46" t="n"/>
      <c r="CB107" s="46" t="n"/>
      <c r="CC107" s="46" t="n"/>
      <c r="CD107" s="46" t="n"/>
      <c r="CE107" s="46" t="n"/>
      <c r="CF107" s="46" t="n"/>
      <c r="CG107" s="46" t="n"/>
      <c r="CH107" s="46" t="n"/>
      <c r="CI107" s="46" t="n"/>
      <c r="CJ107" s="46" t="n"/>
      <c r="CK107" s="46" t="n"/>
      <c r="CL107" s="46" t="n"/>
      <c r="CM107" s="46" t="n"/>
      <c r="CN107" s="46" t="n"/>
      <c r="CO107" s="46" t="n"/>
      <c r="CP107" s="46" t="n"/>
      <c r="CQ107" s="46" t="n"/>
      <c r="CR107" s="46" t="n"/>
      <c r="CS107" s="46" t="n"/>
      <c r="CT107" s="46" t="n"/>
      <c r="CU107" s="46" t="n"/>
      <c r="CV107" s="46" t="n"/>
      <c r="CW107" s="46" t="n"/>
      <c r="CX107" s="46" t="n"/>
      <c r="CY107" s="46" t="n"/>
      <c r="CZ107" s="46" t="n"/>
      <c r="DA107" s="46" t="n"/>
      <c r="DB107" s="46" t="n"/>
      <c r="DC107" s="46" t="n"/>
      <c r="DD107" s="46" t="n"/>
      <c r="DE107" s="46" t="n"/>
      <c r="DF107" s="46" t="n"/>
      <c r="DG107" s="46" t="n"/>
      <c r="DH107" s="46" t="n"/>
      <c r="DI107" s="46" t="n"/>
      <c r="DJ107" s="46" t="n"/>
      <c r="DK107" s="46" t="n"/>
      <c r="DL107" s="46" t="n"/>
      <c r="DM107" s="46" t="n"/>
      <c r="DN107" s="46" t="n"/>
      <c r="DO107" s="46" t="n"/>
      <c r="DP107" s="46" t="n"/>
      <c r="DQ107" s="46" t="n"/>
      <c r="DR107" s="46" t="n"/>
      <c r="DS107" s="46" t="n"/>
      <c r="DT107" s="46" t="n"/>
      <c r="DU107" s="46" t="n"/>
      <c r="DV107" s="46" t="n"/>
      <c r="DW107" s="46" t="n"/>
      <c r="DX107" s="46" t="n"/>
      <c r="DY107" s="46" t="n"/>
      <c r="DZ107" s="46" t="n"/>
      <c r="EA107" s="46" t="n"/>
      <c r="EB107" s="46" t="n"/>
      <c r="EC107" s="46" t="n"/>
      <c r="ED107" s="46" t="n"/>
      <c r="EE107" s="46" t="n"/>
      <c r="EF107" s="46" t="n"/>
      <c r="EG107" s="46" t="n"/>
      <c r="EH107" s="46" t="n"/>
      <c r="EI107" s="46" t="n"/>
      <c r="EJ107" s="46" t="n"/>
      <c r="EK107" s="46" t="n"/>
      <c r="EL107" s="46" t="n"/>
      <c r="EM107" s="46" t="n"/>
      <c r="EN107" s="46" t="n"/>
      <c r="EO107" s="46" t="n"/>
      <c r="EP107" s="46" t="n"/>
      <c r="EQ107" s="46" t="n"/>
      <c r="ER107" s="46" t="n"/>
      <c r="ES107" s="46" t="n"/>
      <c r="ET107" s="46" t="n"/>
      <c r="EU107" s="46" t="n"/>
      <c r="EV107" s="46" t="n"/>
      <c r="EW107" s="46" t="n"/>
      <c r="EX107" s="46" t="n"/>
      <c r="EY107" s="46" t="n"/>
      <c r="EZ107" s="46" t="n"/>
      <c r="FA107" s="46" t="n"/>
      <c r="FB107" s="46" t="n"/>
      <c r="FC107" s="46" t="n"/>
      <c r="FD107" s="46" t="n"/>
      <c r="FE107" s="46" t="n"/>
      <c r="FF107" s="46" t="n"/>
      <c r="FG107" s="46" t="n"/>
      <c r="FH107" s="46" t="n"/>
      <c r="FI107" s="46" t="n"/>
      <c r="FJ107" s="46" t="n"/>
      <c r="FK107" s="46" t="n"/>
      <c r="FL107" s="46" t="n"/>
      <c r="FM107" s="46" t="n"/>
      <c r="FN107" s="46" t="n"/>
    </row>
    <row r="108" ht="15" customFormat="1" customHeight="1" s="50">
      <c r="A108" s="49" t="n">
        <v>45261</v>
      </c>
      <c r="B108" s="43" t="n"/>
      <c r="C108" s="43" t="n">
        <v>192.796</v>
      </c>
      <c r="D108" s="44" t="n"/>
      <c r="E108" s="45" t="n"/>
      <c r="F108" s="46" t="n"/>
      <c r="G108" s="43" t="n">
        <v>114.827</v>
      </c>
      <c r="H108" s="43" t="n">
        <v>36.90000000000001</v>
      </c>
      <c r="I108" s="47">
        <f>G108/C108</f>
        <v/>
      </c>
      <c r="J108" s="46" t="n"/>
      <c r="K108" s="46" t="n">
        <v>154.92</v>
      </c>
      <c r="L108" s="46" t="n">
        <v>163.646</v>
      </c>
      <c r="M108" s="46" t="n">
        <v>156.144</v>
      </c>
      <c r="N108" s="45">
        <f>1-(M108/L108)</f>
        <v/>
      </c>
      <c r="O108" s="46" t="n">
        <v>154.373</v>
      </c>
      <c r="P108" s="46" t="n">
        <v>92.735</v>
      </c>
      <c r="Q108" s="46" t="n">
        <v>96.989</v>
      </c>
      <c r="R108" s="47">
        <f>K108/2/C108</f>
        <v/>
      </c>
      <c r="S108" s="46" t="n"/>
      <c r="T108" s="45">
        <f>R108+I108</f>
        <v/>
      </c>
      <c r="U108" s="46" t="n"/>
      <c r="V108" s="46" t="n"/>
      <c r="W108" s="46" t="n"/>
      <c r="X108" s="46" t="n"/>
      <c r="Y108" s="46" t="n"/>
      <c r="Z108" s="46" t="n"/>
      <c r="AA108" s="46" t="n"/>
      <c r="AB108" s="46" t="n"/>
      <c r="AC108" s="46" t="n"/>
      <c r="AD108" s="46" t="n"/>
      <c r="AE108" s="46" t="n"/>
      <c r="AF108" s="46" t="n"/>
      <c r="AG108" s="46" t="n"/>
      <c r="AH108" s="46" t="n"/>
      <c r="AI108" s="46" t="n"/>
      <c r="AJ108" s="46" t="n"/>
      <c r="AK108" s="46" t="n"/>
      <c r="AL108" s="46" t="n"/>
      <c r="AM108" s="46" t="n"/>
      <c r="AN108" s="46" t="n"/>
      <c r="AO108" s="46" t="n"/>
      <c r="AP108" s="46" t="n"/>
      <c r="AQ108" s="46" t="n"/>
      <c r="AR108" s="46" t="n"/>
      <c r="AS108" s="46" t="n"/>
      <c r="AT108" s="46" t="n"/>
      <c r="AU108" s="46" t="n"/>
      <c r="AV108" s="46" t="n"/>
      <c r="AW108" s="46" t="n"/>
      <c r="AX108" s="46" t="n"/>
      <c r="AY108" s="46" t="n"/>
      <c r="AZ108" s="46" t="n"/>
      <c r="BA108" s="46" t="n"/>
      <c r="BB108" s="46" t="n"/>
      <c r="BC108" s="46" t="n"/>
      <c r="BD108" s="46" t="n"/>
      <c r="BE108" s="46" t="n"/>
      <c r="BF108" s="46" t="n"/>
      <c r="BG108" s="46" t="n"/>
      <c r="BH108" s="46" t="n"/>
      <c r="BI108" s="46" t="n"/>
      <c r="BJ108" s="46" t="n"/>
      <c r="BK108" s="46" t="n"/>
      <c r="BL108" s="46" t="n"/>
      <c r="BM108" s="46" t="n"/>
      <c r="BN108" s="46" t="n"/>
      <c r="BO108" s="46" t="n"/>
      <c r="BP108" s="46" t="n"/>
      <c r="BQ108" s="46" t="n"/>
      <c r="BR108" s="46" t="n"/>
      <c r="BS108" s="46" t="n"/>
      <c r="BT108" s="46" t="n"/>
      <c r="BU108" s="46" t="n"/>
      <c r="BV108" s="46" t="n"/>
      <c r="BW108" s="46" t="n"/>
      <c r="BX108" s="46" t="n"/>
      <c r="BY108" s="46" t="n"/>
      <c r="BZ108" s="46" t="n"/>
      <c r="CA108" s="46" t="n"/>
      <c r="CB108" s="46" t="n"/>
      <c r="CC108" s="46" t="n"/>
      <c r="CD108" s="46" t="n"/>
      <c r="CE108" s="46" t="n"/>
      <c r="CF108" s="46" t="n"/>
      <c r="CG108" s="46" t="n"/>
      <c r="CH108" s="46" t="n"/>
      <c r="CI108" s="46" t="n"/>
      <c r="CJ108" s="46" t="n"/>
      <c r="CK108" s="46" t="n"/>
      <c r="CL108" s="46" t="n"/>
      <c r="CM108" s="46" t="n"/>
      <c r="CN108" s="46" t="n"/>
      <c r="CO108" s="46" t="n"/>
      <c r="CP108" s="46" t="n"/>
      <c r="CQ108" s="46" t="n"/>
      <c r="CR108" s="46" t="n"/>
      <c r="CS108" s="46" t="n"/>
      <c r="CT108" s="46" t="n"/>
      <c r="CU108" s="46" t="n"/>
      <c r="CV108" s="46" t="n"/>
      <c r="CW108" s="46" t="n"/>
      <c r="CX108" s="46" t="n"/>
      <c r="CY108" s="46" t="n"/>
      <c r="CZ108" s="46" t="n"/>
      <c r="DA108" s="46" t="n"/>
      <c r="DB108" s="46" t="n"/>
      <c r="DC108" s="46" t="n"/>
      <c r="DD108" s="46" t="n"/>
      <c r="DE108" s="46" t="n"/>
      <c r="DF108" s="46" t="n"/>
      <c r="DG108" s="46" t="n"/>
      <c r="DH108" s="46" t="n"/>
      <c r="DI108" s="46" t="n"/>
      <c r="DJ108" s="46" t="n"/>
      <c r="DK108" s="46" t="n"/>
      <c r="DL108" s="46" t="n"/>
      <c r="DM108" s="46" t="n"/>
      <c r="DN108" s="46" t="n"/>
      <c r="DO108" s="46" t="n"/>
      <c r="DP108" s="46" t="n"/>
      <c r="DQ108" s="46" t="n"/>
      <c r="DR108" s="46" t="n"/>
      <c r="DS108" s="46" t="n"/>
      <c r="DT108" s="46" t="n"/>
      <c r="DU108" s="46" t="n"/>
      <c r="DV108" s="46" t="n"/>
      <c r="DW108" s="46" t="n"/>
      <c r="DX108" s="46" t="n"/>
      <c r="DY108" s="46" t="n"/>
      <c r="DZ108" s="46" t="n"/>
      <c r="EA108" s="46" t="n"/>
      <c r="EB108" s="46" t="n"/>
      <c r="EC108" s="46" t="n"/>
      <c r="ED108" s="46" t="n"/>
      <c r="EE108" s="46" t="n"/>
      <c r="EF108" s="46" t="n"/>
      <c r="EG108" s="46" t="n"/>
      <c r="EH108" s="46" t="n"/>
      <c r="EI108" s="46" t="n"/>
      <c r="EJ108" s="46" t="n"/>
      <c r="EK108" s="46" t="n"/>
      <c r="EL108" s="46" t="n"/>
      <c r="EM108" s="46" t="n"/>
      <c r="EN108" s="46" t="n"/>
      <c r="EO108" s="46" t="n"/>
      <c r="EP108" s="46" t="n"/>
      <c r="EQ108" s="46" t="n"/>
      <c r="ER108" s="46" t="n"/>
      <c r="ES108" s="46" t="n"/>
      <c r="ET108" s="46" t="n"/>
      <c r="EU108" s="46" t="n"/>
      <c r="EV108" s="46" t="n"/>
      <c r="EW108" s="46" t="n"/>
      <c r="EX108" s="46" t="n"/>
      <c r="EY108" s="46" t="n"/>
      <c r="EZ108" s="46" t="n"/>
      <c r="FA108" s="46" t="n"/>
      <c r="FB108" s="46" t="n"/>
      <c r="FC108" s="46" t="n"/>
      <c r="FD108" s="46" t="n"/>
      <c r="FE108" s="46" t="n"/>
      <c r="FF108" s="46" t="n"/>
      <c r="FG108" s="46" t="n"/>
      <c r="FH108" s="46" t="n"/>
      <c r="FI108" s="46" t="n"/>
      <c r="FJ108" s="46" t="n"/>
      <c r="FK108" s="46" t="n"/>
      <c r="FL108" s="46" t="n"/>
      <c r="FM108" s="46" t="n"/>
      <c r="FN108" s="46" t="n"/>
    </row>
    <row r="109" ht="15" customFormat="1" customHeight="1" s="50">
      <c r="A109" s="49" t="n">
        <v>45292</v>
      </c>
      <c r="B109" s="43" t="n"/>
      <c r="C109" s="43" t="n">
        <v>203.989</v>
      </c>
      <c r="D109" s="44" t="n"/>
      <c r="E109" s="45" t="n"/>
      <c r="F109" s="46" t="n"/>
      <c r="G109" s="43" t="n">
        <v>119.257</v>
      </c>
      <c r="H109" s="43" t="n">
        <v>33.7</v>
      </c>
      <c r="I109" s="47">
        <f>G109/C109</f>
        <v/>
      </c>
      <c r="J109" s="46" t="n"/>
      <c r="K109" s="46" t="n">
        <v>166.014</v>
      </c>
      <c r="L109" s="46" t="n">
        <v>161.902</v>
      </c>
      <c r="M109" s="46" t="n">
        <v>154.978</v>
      </c>
      <c r="N109" s="45">
        <f>1-(M109/L109)</f>
        <v/>
      </c>
      <c r="O109" s="46" t="n">
        <v>157.769</v>
      </c>
      <c r="P109" s="46" t="n">
        <v>74.297</v>
      </c>
      <c r="Q109" s="46" t="n">
        <v>89.16200000000001</v>
      </c>
      <c r="R109" s="47">
        <f>K109/2/C109</f>
        <v/>
      </c>
      <c r="S109" s="46" t="n"/>
      <c r="T109" s="45">
        <f>R109+I109</f>
        <v/>
      </c>
      <c r="U109" s="46" t="n"/>
      <c r="V109" s="46" t="n"/>
      <c r="W109" s="46" t="n"/>
      <c r="X109" s="46" t="n"/>
      <c r="Y109" s="46" t="n"/>
      <c r="Z109" s="46" t="n"/>
      <c r="AA109" s="46" t="n"/>
      <c r="AB109" s="46" t="n"/>
      <c r="AC109" s="46" t="n"/>
      <c r="AD109" s="46" t="n"/>
      <c r="AE109" s="46" t="n"/>
      <c r="AF109" s="46" t="n"/>
      <c r="AG109" s="46" t="n"/>
      <c r="AH109" s="46" t="n"/>
      <c r="AI109" s="46" t="n"/>
      <c r="AJ109" s="46" t="n"/>
      <c r="AK109" s="46" t="n"/>
      <c r="AL109" s="46" t="n"/>
      <c r="AM109" s="46" t="n"/>
      <c r="AN109" s="46" t="n"/>
      <c r="AO109" s="46" t="n"/>
      <c r="AP109" s="46" t="n"/>
      <c r="AQ109" s="46" t="n"/>
      <c r="AR109" s="46" t="n"/>
      <c r="AS109" s="46" t="n"/>
      <c r="AT109" s="46" t="n"/>
      <c r="AU109" s="46" t="n"/>
      <c r="AV109" s="46" t="n"/>
      <c r="AW109" s="46" t="n"/>
      <c r="AX109" s="46" t="n"/>
      <c r="AY109" s="46" t="n"/>
      <c r="AZ109" s="46" t="n"/>
      <c r="BA109" s="46" t="n"/>
      <c r="BB109" s="46" t="n"/>
      <c r="BC109" s="46" t="n"/>
      <c r="BD109" s="46" t="n"/>
      <c r="BE109" s="46" t="n"/>
      <c r="BF109" s="46" t="n"/>
      <c r="BG109" s="46" t="n"/>
      <c r="BH109" s="46" t="n"/>
      <c r="BI109" s="46" t="n"/>
      <c r="BJ109" s="46" t="n"/>
      <c r="BK109" s="46" t="n"/>
      <c r="BL109" s="46" t="n"/>
      <c r="BM109" s="46" t="n"/>
      <c r="BN109" s="46" t="n"/>
      <c r="BO109" s="46" t="n"/>
      <c r="BP109" s="46" t="n"/>
      <c r="BQ109" s="46" t="n"/>
      <c r="BR109" s="46" t="n"/>
      <c r="BS109" s="46" t="n"/>
      <c r="BT109" s="46" t="n"/>
      <c r="BU109" s="46" t="n"/>
      <c r="BV109" s="46" t="n"/>
      <c r="BW109" s="46" t="n"/>
      <c r="BX109" s="46" t="n"/>
      <c r="BY109" s="46" t="n"/>
      <c r="BZ109" s="46" t="n"/>
      <c r="CA109" s="46" t="n"/>
      <c r="CB109" s="46" t="n"/>
      <c r="CC109" s="46" t="n"/>
      <c r="CD109" s="46" t="n"/>
      <c r="CE109" s="46" t="n"/>
      <c r="CF109" s="46" t="n"/>
      <c r="CG109" s="46" t="n"/>
      <c r="CH109" s="46" t="n"/>
      <c r="CI109" s="46" t="n"/>
      <c r="CJ109" s="46" t="n"/>
      <c r="CK109" s="46" t="n"/>
      <c r="CL109" s="46" t="n"/>
      <c r="CM109" s="46" t="n"/>
      <c r="CN109" s="46" t="n"/>
      <c r="CO109" s="46" t="n"/>
      <c r="CP109" s="46" t="n"/>
      <c r="CQ109" s="46" t="n"/>
      <c r="CR109" s="46" t="n"/>
      <c r="CS109" s="46" t="n"/>
      <c r="CT109" s="46" t="n"/>
      <c r="CU109" s="46" t="n"/>
      <c r="CV109" s="46" t="n"/>
      <c r="CW109" s="46" t="n"/>
      <c r="CX109" s="46" t="n"/>
      <c r="CY109" s="46" t="n"/>
      <c r="CZ109" s="46" t="n"/>
      <c r="DA109" s="46" t="n"/>
      <c r="DB109" s="46" t="n"/>
      <c r="DC109" s="46" t="n"/>
      <c r="DD109" s="46" t="n"/>
      <c r="DE109" s="46" t="n"/>
      <c r="DF109" s="46" t="n"/>
      <c r="DG109" s="46" t="n"/>
      <c r="DH109" s="46" t="n"/>
      <c r="DI109" s="46" t="n"/>
      <c r="DJ109" s="46" t="n"/>
      <c r="DK109" s="46" t="n"/>
      <c r="DL109" s="46" t="n"/>
      <c r="DM109" s="46" t="n"/>
      <c r="DN109" s="46" t="n"/>
      <c r="DO109" s="46" t="n"/>
      <c r="DP109" s="46" t="n"/>
      <c r="DQ109" s="46" t="n"/>
      <c r="DR109" s="46" t="n"/>
      <c r="DS109" s="46" t="n"/>
      <c r="DT109" s="46" t="n"/>
      <c r="DU109" s="46" t="n"/>
      <c r="DV109" s="46" t="n"/>
      <c r="DW109" s="46" t="n"/>
      <c r="DX109" s="46" t="n"/>
      <c r="DY109" s="46" t="n"/>
      <c r="DZ109" s="46" t="n"/>
      <c r="EA109" s="46" t="n"/>
      <c r="EB109" s="46" t="n"/>
      <c r="EC109" s="46" t="n"/>
      <c r="ED109" s="46" t="n"/>
      <c r="EE109" s="46" t="n"/>
      <c r="EF109" s="46" t="n"/>
      <c r="EG109" s="46" t="n"/>
      <c r="EH109" s="46" t="n"/>
      <c r="EI109" s="46" t="n"/>
      <c r="EJ109" s="46" t="n"/>
      <c r="EK109" s="46" t="n"/>
      <c r="EL109" s="46" t="n"/>
      <c r="EM109" s="46" t="n"/>
      <c r="EN109" s="46" t="n"/>
      <c r="EO109" s="46" t="n"/>
      <c r="EP109" s="46" t="n"/>
      <c r="EQ109" s="46" t="n"/>
      <c r="ER109" s="46" t="n"/>
      <c r="ES109" s="46" t="n"/>
      <c r="ET109" s="46" t="n"/>
      <c r="EU109" s="46" t="n"/>
      <c r="EV109" s="46" t="n"/>
      <c r="EW109" s="46" t="n"/>
      <c r="EX109" s="46" t="n"/>
      <c r="EY109" s="46" t="n"/>
      <c r="EZ109" s="46" t="n"/>
      <c r="FA109" s="46" t="n"/>
      <c r="FB109" s="46" t="n"/>
      <c r="FC109" s="46" t="n"/>
      <c r="FD109" s="46" t="n"/>
      <c r="FE109" s="46" t="n"/>
      <c r="FF109" s="46" t="n"/>
      <c r="FG109" s="46" t="n"/>
      <c r="FH109" s="46" t="n"/>
      <c r="FI109" s="46" t="n"/>
      <c r="FJ109" s="46" t="n"/>
      <c r="FK109" s="46" t="n"/>
      <c r="FL109" s="46" t="n"/>
      <c r="FM109" s="46" t="n"/>
      <c r="FN109" s="46" t="n"/>
    </row>
    <row r="110" ht="15" customFormat="1" customHeight="1" s="50">
      <c r="A110" s="49" t="n">
        <v>45323</v>
      </c>
      <c r="B110" s="43" t="n"/>
      <c r="C110" s="43" t="n">
        <v>205.713</v>
      </c>
      <c r="D110" s="44" t="n"/>
      <c r="E110" s="45" t="n"/>
      <c r="F110" s="46" t="n"/>
      <c r="G110" s="43" t="n">
        <v>119.066</v>
      </c>
      <c r="H110" s="43" t="n">
        <v>28.3</v>
      </c>
      <c r="I110" s="47">
        <f>G110/C110</f>
        <v/>
      </c>
      <c r="J110" s="46" t="n"/>
      <c r="K110" s="46" t="n">
        <v>167.315</v>
      </c>
      <c r="L110" s="46" t="n">
        <v>151.613</v>
      </c>
      <c r="M110" s="46" t="n">
        <v>149.297</v>
      </c>
      <c r="N110" s="45">
        <f>1-(M110/L110)</f>
        <v/>
      </c>
      <c r="O110" s="46" t="n">
        <v>145.849</v>
      </c>
      <c r="P110" s="46" t="n">
        <v>57.5</v>
      </c>
      <c r="Q110" s="46" t="n">
        <v>95.33799999999999</v>
      </c>
      <c r="R110" s="47">
        <f>K110/2/C110</f>
        <v/>
      </c>
      <c r="S110" s="46" t="n"/>
      <c r="T110" s="45">
        <f>R110+I110</f>
        <v/>
      </c>
      <c r="U110" s="46" t="n"/>
      <c r="V110" s="46" t="n"/>
      <c r="W110" s="46" t="n"/>
      <c r="X110" s="46" t="n"/>
      <c r="Y110" s="46" t="n"/>
      <c r="Z110" s="46" t="n"/>
      <c r="AA110" s="46" t="n"/>
      <c r="AB110" s="46" t="n"/>
      <c r="AC110" s="46" t="n"/>
      <c r="AD110" s="46" t="n"/>
      <c r="AE110" s="46" t="n"/>
      <c r="AF110" s="46" t="n"/>
      <c r="AG110" s="46" t="n"/>
      <c r="AH110" s="46" t="n"/>
      <c r="AI110" s="46" t="n"/>
      <c r="AJ110" s="46" t="n"/>
      <c r="AK110" s="46" t="n"/>
      <c r="AL110" s="46" t="n"/>
      <c r="AM110" s="46" t="n"/>
      <c r="AN110" s="46" t="n"/>
      <c r="AO110" s="46" t="n"/>
      <c r="AP110" s="46" t="n"/>
      <c r="AQ110" s="46" t="n"/>
      <c r="AR110" s="46" t="n"/>
      <c r="AS110" s="46" t="n"/>
      <c r="AT110" s="46" t="n"/>
      <c r="AU110" s="46" t="n"/>
      <c r="AV110" s="46" t="n"/>
      <c r="AW110" s="46" t="n"/>
      <c r="AX110" s="46" t="n"/>
      <c r="AY110" s="46" t="n"/>
      <c r="AZ110" s="46" t="n"/>
      <c r="BA110" s="46" t="n"/>
      <c r="BB110" s="46" t="n"/>
      <c r="BC110" s="46" t="n"/>
      <c r="BD110" s="46" t="n"/>
      <c r="BE110" s="46" t="n"/>
      <c r="BF110" s="46" t="n"/>
      <c r="BG110" s="46" t="n"/>
      <c r="BH110" s="46" t="n"/>
      <c r="BI110" s="46" t="n"/>
      <c r="BJ110" s="46" t="n"/>
      <c r="BK110" s="46" t="n"/>
      <c r="BL110" s="46" t="n"/>
      <c r="BM110" s="46" t="n"/>
      <c r="BN110" s="46" t="n"/>
      <c r="BO110" s="46" t="n"/>
      <c r="BP110" s="46" t="n"/>
      <c r="BQ110" s="46" t="n"/>
      <c r="BR110" s="46" t="n"/>
      <c r="BS110" s="46" t="n"/>
      <c r="BT110" s="46" t="n"/>
      <c r="BU110" s="46" t="n"/>
      <c r="BV110" s="46" t="n"/>
      <c r="BW110" s="46" t="n"/>
      <c r="BX110" s="46" t="n"/>
      <c r="BY110" s="46" t="n"/>
      <c r="BZ110" s="46" t="n"/>
      <c r="CA110" s="46" t="n"/>
      <c r="CB110" s="46" t="n"/>
      <c r="CC110" s="46" t="n"/>
      <c r="CD110" s="46" t="n"/>
      <c r="CE110" s="46" t="n"/>
      <c r="CF110" s="46" t="n"/>
      <c r="CG110" s="46" t="n"/>
      <c r="CH110" s="46" t="n"/>
      <c r="CI110" s="46" t="n"/>
      <c r="CJ110" s="46" t="n"/>
      <c r="CK110" s="46" t="n"/>
      <c r="CL110" s="46" t="n"/>
      <c r="CM110" s="46" t="n"/>
      <c r="CN110" s="46" t="n"/>
      <c r="CO110" s="46" t="n"/>
      <c r="CP110" s="46" t="n"/>
      <c r="CQ110" s="46" t="n"/>
      <c r="CR110" s="46" t="n"/>
      <c r="CS110" s="46" t="n"/>
      <c r="CT110" s="46" t="n"/>
      <c r="CU110" s="46" t="n"/>
      <c r="CV110" s="46" t="n"/>
      <c r="CW110" s="46" t="n"/>
      <c r="CX110" s="46" t="n"/>
      <c r="CY110" s="46" t="n"/>
      <c r="CZ110" s="46" t="n"/>
      <c r="DA110" s="46" t="n"/>
      <c r="DB110" s="46" t="n"/>
      <c r="DC110" s="46" t="n"/>
      <c r="DD110" s="46" t="n"/>
      <c r="DE110" s="46" t="n"/>
      <c r="DF110" s="46" t="n"/>
      <c r="DG110" s="46" t="n"/>
      <c r="DH110" s="46" t="n"/>
      <c r="DI110" s="46" t="n"/>
      <c r="DJ110" s="46" t="n"/>
      <c r="DK110" s="46" t="n"/>
      <c r="DL110" s="46" t="n"/>
      <c r="DM110" s="46" t="n"/>
      <c r="DN110" s="46" t="n"/>
      <c r="DO110" s="46" t="n"/>
      <c r="DP110" s="46" t="n"/>
      <c r="DQ110" s="46" t="n"/>
      <c r="DR110" s="46" t="n"/>
      <c r="DS110" s="46" t="n"/>
      <c r="DT110" s="46" t="n"/>
      <c r="DU110" s="46" t="n"/>
      <c r="DV110" s="46" t="n"/>
      <c r="DW110" s="46" t="n"/>
      <c r="DX110" s="46" t="n"/>
      <c r="DY110" s="46" t="n"/>
      <c r="DZ110" s="46" t="n"/>
      <c r="EA110" s="46" t="n"/>
      <c r="EB110" s="46" t="n"/>
      <c r="EC110" s="46" t="n"/>
      <c r="ED110" s="46" t="n"/>
      <c r="EE110" s="46" t="n"/>
      <c r="EF110" s="46" t="n"/>
      <c r="EG110" s="46" t="n"/>
      <c r="EH110" s="46" t="n"/>
      <c r="EI110" s="46" t="n"/>
      <c r="EJ110" s="46" t="n"/>
      <c r="EK110" s="46" t="n"/>
      <c r="EL110" s="46" t="n"/>
      <c r="EM110" s="46" t="n"/>
      <c r="EN110" s="46" t="n"/>
      <c r="EO110" s="46" t="n"/>
      <c r="EP110" s="46" t="n"/>
      <c r="EQ110" s="46" t="n"/>
      <c r="ER110" s="46" t="n"/>
      <c r="ES110" s="46" t="n"/>
      <c r="ET110" s="46" t="n"/>
      <c r="EU110" s="46" t="n"/>
      <c r="EV110" s="46" t="n"/>
      <c r="EW110" s="46" t="n"/>
      <c r="EX110" s="46" t="n"/>
      <c r="EY110" s="46" t="n"/>
      <c r="EZ110" s="46" t="n"/>
      <c r="FA110" s="46" t="n"/>
      <c r="FB110" s="46" t="n"/>
      <c r="FC110" s="46" t="n"/>
      <c r="FD110" s="46" t="n"/>
      <c r="FE110" s="46" t="n"/>
      <c r="FF110" s="46" t="n"/>
      <c r="FG110" s="46" t="n"/>
      <c r="FH110" s="46" t="n"/>
      <c r="FI110" s="46" t="n"/>
      <c r="FJ110" s="46" t="n"/>
      <c r="FK110" s="46" t="n"/>
      <c r="FL110" s="46" t="n"/>
      <c r="FM110" s="46" t="n"/>
      <c r="FN110" s="46" t="n"/>
    </row>
    <row r="111" ht="15" customFormat="1" customHeight="1" s="50">
      <c r="A111" s="49" t="n">
        <v>45352</v>
      </c>
      <c r="B111" s="43" t="n"/>
      <c r="C111" s="43" t="n">
        <v>190.641</v>
      </c>
      <c r="D111" s="44" t="n"/>
      <c r="E111" s="45" t="n"/>
      <c r="F111" s="46" t="n"/>
      <c r="G111" s="43" t="n">
        <v>109.939</v>
      </c>
      <c r="H111" s="43" t="n">
        <v>24.474</v>
      </c>
      <c r="I111" s="47">
        <f>G111/C111</f>
        <v/>
      </c>
      <c r="J111" s="46" t="n"/>
      <c r="K111" s="46" t="n">
        <v>150.165</v>
      </c>
      <c r="L111" s="46" t="n">
        <v>159.788</v>
      </c>
      <c r="M111" s="46" t="n">
        <v>154.757</v>
      </c>
      <c r="N111" s="45">
        <f>1-(M111/L111)</f>
        <v/>
      </c>
      <c r="O111" s="46" t="n">
        <v>163.024</v>
      </c>
      <c r="P111" s="46" t="n">
        <v>58.931</v>
      </c>
      <c r="Q111" s="46" t="n">
        <v>88.369</v>
      </c>
      <c r="R111" s="47">
        <f>K111/2/C111</f>
        <v/>
      </c>
      <c r="S111" s="46" t="n"/>
      <c r="T111" s="45">
        <f>R111+I111</f>
        <v/>
      </c>
      <c r="U111" s="46" t="n"/>
      <c r="V111" s="46" t="n"/>
      <c r="W111" s="46" t="n"/>
      <c r="X111" s="46" t="n"/>
      <c r="Y111" s="46" t="n"/>
      <c r="Z111" s="46" t="n"/>
      <c r="AA111" s="46" t="n"/>
      <c r="AB111" s="46" t="n"/>
      <c r="AC111" s="46" t="n"/>
      <c r="AD111" s="46" t="n"/>
      <c r="AE111" s="46" t="n"/>
      <c r="AF111" s="46" t="n"/>
      <c r="AG111" s="46" t="n"/>
      <c r="AH111" s="46" t="n"/>
      <c r="AI111" s="46" t="n"/>
      <c r="AJ111" s="46" t="n"/>
      <c r="AK111" s="46" t="n"/>
      <c r="AL111" s="46" t="n"/>
      <c r="AM111" s="46" t="n"/>
      <c r="AN111" s="46" t="n"/>
      <c r="AO111" s="46" t="n"/>
      <c r="AP111" s="46" t="n"/>
      <c r="AQ111" s="46" t="n"/>
      <c r="AR111" s="46" t="n"/>
      <c r="AS111" s="46" t="n"/>
      <c r="AT111" s="46" t="n"/>
      <c r="AU111" s="46" t="n"/>
      <c r="AV111" s="46" t="n"/>
      <c r="AW111" s="46" t="n"/>
      <c r="AX111" s="46" t="n"/>
      <c r="AY111" s="46" t="n"/>
      <c r="AZ111" s="46" t="n"/>
      <c r="BA111" s="46" t="n"/>
      <c r="BB111" s="46" t="n"/>
      <c r="BC111" s="46" t="n"/>
      <c r="BD111" s="46" t="n"/>
      <c r="BE111" s="46" t="n"/>
      <c r="BF111" s="46" t="n"/>
      <c r="BG111" s="46" t="n"/>
      <c r="BH111" s="46" t="n"/>
      <c r="BI111" s="46" t="n"/>
      <c r="BJ111" s="46" t="n"/>
      <c r="BK111" s="46" t="n"/>
      <c r="BL111" s="46" t="n"/>
      <c r="BM111" s="46" t="n"/>
      <c r="BN111" s="46" t="n"/>
      <c r="BO111" s="46" t="n"/>
      <c r="BP111" s="46" t="n"/>
      <c r="BQ111" s="46" t="n"/>
      <c r="BR111" s="46" t="n"/>
      <c r="BS111" s="46" t="n"/>
      <c r="BT111" s="46" t="n"/>
      <c r="BU111" s="46" t="n"/>
      <c r="BV111" s="46" t="n"/>
      <c r="BW111" s="46" t="n"/>
      <c r="BX111" s="46" t="n"/>
      <c r="BY111" s="46" t="n"/>
      <c r="BZ111" s="46" t="n"/>
      <c r="CA111" s="46" t="n"/>
      <c r="CB111" s="46" t="n"/>
      <c r="CC111" s="46" t="n"/>
      <c r="CD111" s="46" t="n"/>
      <c r="CE111" s="46" t="n"/>
      <c r="CF111" s="46" t="n"/>
      <c r="CG111" s="46" t="n"/>
      <c r="CH111" s="46" t="n"/>
      <c r="CI111" s="46" t="n"/>
      <c r="CJ111" s="46" t="n"/>
      <c r="CK111" s="46" t="n"/>
      <c r="CL111" s="46" t="n"/>
      <c r="CM111" s="46" t="n"/>
      <c r="CN111" s="46" t="n"/>
      <c r="CO111" s="46" t="n"/>
      <c r="CP111" s="46" t="n"/>
      <c r="CQ111" s="46" t="n"/>
      <c r="CR111" s="46" t="n"/>
      <c r="CS111" s="46" t="n"/>
      <c r="CT111" s="46" t="n"/>
      <c r="CU111" s="46" t="n"/>
      <c r="CV111" s="46" t="n"/>
      <c r="CW111" s="46" t="n"/>
      <c r="CX111" s="46" t="n"/>
      <c r="CY111" s="46" t="n"/>
      <c r="CZ111" s="46" t="n"/>
      <c r="DA111" s="46" t="n"/>
      <c r="DB111" s="46" t="n"/>
      <c r="DC111" s="46" t="n"/>
      <c r="DD111" s="46" t="n"/>
      <c r="DE111" s="46" t="n"/>
      <c r="DF111" s="46" t="n"/>
      <c r="DG111" s="46" t="n"/>
      <c r="DH111" s="46" t="n"/>
      <c r="DI111" s="46" t="n"/>
      <c r="DJ111" s="46" t="n"/>
      <c r="DK111" s="46" t="n"/>
      <c r="DL111" s="46" t="n"/>
      <c r="DM111" s="46" t="n"/>
      <c r="DN111" s="46" t="n"/>
      <c r="DO111" s="46" t="n"/>
      <c r="DP111" s="46" t="n"/>
      <c r="DQ111" s="46" t="n"/>
      <c r="DR111" s="46" t="n"/>
      <c r="DS111" s="46" t="n"/>
      <c r="DT111" s="46" t="n"/>
      <c r="DU111" s="46" t="n"/>
      <c r="DV111" s="46" t="n"/>
      <c r="DW111" s="46" t="n"/>
      <c r="DX111" s="46" t="n"/>
      <c r="DY111" s="46" t="n"/>
      <c r="DZ111" s="46" t="n"/>
      <c r="EA111" s="46" t="n"/>
      <c r="EB111" s="46" t="n"/>
      <c r="EC111" s="46" t="n"/>
      <c r="ED111" s="46" t="n"/>
      <c r="EE111" s="46" t="n"/>
      <c r="EF111" s="46" t="n"/>
      <c r="EG111" s="46" t="n"/>
      <c r="EH111" s="46" t="n"/>
      <c r="EI111" s="46" t="n"/>
      <c r="EJ111" s="46" t="n"/>
      <c r="EK111" s="46" t="n"/>
      <c r="EL111" s="46" t="n"/>
      <c r="EM111" s="46" t="n"/>
      <c r="EN111" s="46" t="n"/>
      <c r="EO111" s="46" t="n"/>
      <c r="EP111" s="46" t="n"/>
      <c r="EQ111" s="46" t="n"/>
      <c r="ER111" s="46" t="n"/>
      <c r="ES111" s="46" t="n"/>
      <c r="ET111" s="46" t="n"/>
      <c r="EU111" s="46" t="n"/>
      <c r="EV111" s="46" t="n"/>
      <c r="EW111" s="46" t="n"/>
      <c r="EX111" s="46" t="n"/>
      <c r="EY111" s="46" t="n"/>
      <c r="EZ111" s="46" t="n"/>
      <c r="FA111" s="46" t="n"/>
      <c r="FB111" s="46" t="n"/>
      <c r="FC111" s="46" t="n"/>
      <c r="FD111" s="46" t="n"/>
      <c r="FE111" s="46" t="n"/>
      <c r="FF111" s="46" t="n"/>
      <c r="FG111" s="46" t="n"/>
      <c r="FH111" s="46" t="n"/>
      <c r="FI111" s="46" t="n"/>
      <c r="FJ111" s="46" t="n"/>
      <c r="FK111" s="46" t="n"/>
      <c r="FL111" s="46" t="n"/>
      <c r="FM111" s="46" t="n"/>
      <c r="FN111" s="46" t="n"/>
    </row>
    <row r="112" ht="15" customFormat="1" customHeight="1" s="50">
      <c r="A112" s="49" t="n">
        <v>45383</v>
      </c>
      <c r="B112" s="43" t="n"/>
      <c r="C112" s="43" t="n">
        <v>188.515</v>
      </c>
      <c r="D112" s="44" t="n"/>
      <c r="E112" s="45" t="n"/>
      <c r="F112" s="46" t="n"/>
      <c r="G112" s="43" t="n">
        <v>108.408</v>
      </c>
      <c r="H112" s="43" t="n">
        <v>24.955</v>
      </c>
      <c r="I112" s="47">
        <f>G112/C112</f>
        <v/>
      </c>
      <c r="J112" s="46" t="n"/>
      <c r="K112" s="46" t="n">
        <v>152.9</v>
      </c>
      <c r="L112" s="46" t="n">
        <v>153.713</v>
      </c>
      <c r="M112" s="46" t="n">
        <v>148.644</v>
      </c>
      <c r="N112" s="45">
        <f>1-(M112/L112)</f>
        <v/>
      </c>
      <c r="O112" s="46" t="n">
        <v>147.023</v>
      </c>
      <c r="P112" s="46" t="n">
        <v>49.27</v>
      </c>
      <c r="Q112" s="46" t="n">
        <v>88.93000000000001</v>
      </c>
      <c r="R112" s="47">
        <f>K112/2/C112</f>
        <v/>
      </c>
      <c r="S112" s="46" t="n"/>
      <c r="T112" s="45">
        <f>R112+I112</f>
        <v/>
      </c>
      <c r="U112" s="46" t="n"/>
      <c r="V112" s="46" t="n"/>
      <c r="W112" s="46" t="n"/>
      <c r="X112" s="46" t="n"/>
      <c r="Y112" s="46" t="n"/>
      <c r="Z112" s="46" t="n"/>
      <c r="AA112" s="46" t="n"/>
      <c r="AB112" s="46" t="n"/>
      <c r="AC112" s="46" t="n"/>
      <c r="AD112" s="46" t="n"/>
      <c r="AE112" s="46" t="n"/>
      <c r="AF112" s="46" t="n"/>
      <c r="AG112" s="46" t="n"/>
      <c r="AH112" s="46" t="n"/>
      <c r="AI112" s="46" t="n"/>
      <c r="AJ112" s="46" t="n"/>
      <c r="AK112" s="46" t="n"/>
      <c r="AL112" s="46" t="n"/>
      <c r="AM112" s="46" t="n"/>
      <c r="AN112" s="46" t="n"/>
      <c r="AO112" s="46" t="n"/>
      <c r="AP112" s="46" t="n"/>
      <c r="AQ112" s="46" t="n"/>
      <c r="AR112" s="46" t="n"/>
      <c r="AS112" s="46" t="n"/>
      <c r="AT112" s="46" t="n"/>
      <c r="AU112" s="46" t="n"/>
      <c r="AV112" s="46" t="n"/>
      <c r="AW112" s="46" t="n"/>
      <c r="AX112" s="46" t="n"/>
      <c r="AY112" s="46" t="n"/>
      <c r="AZ112" s="46" t="n"/>
      <c r="BA112" s="46" t="n"/>
      <c r="BB112" s="46" t="n"/>
      <c r="BC112" s="46" t="n"/>
      <c r="BD112" s="46" t="n"/>
      <c r="BE112" s="46" t="n"/>
      <c r="BF112" s="46" t="n"/>
      <c r="BG112" s="46" t="n"/>
      <c r="BH112" s="46" t="n"/>
      <c r="BI112" s="46" t="n"/>
      <c r="BJ112" s="46" t="n"/>
      <c r="BK112" s="46" t="n"/>
      <c r="BL112" s="46" t="n"/>
      <c r="BM112" s="46" t="n"/>
      <c r="BN112" s="46" t="n"/>
      <c r="BO112" s="46" t="n"/>
      <c r="BP112" s="46" t="n"/>
      <c r="BQ112" s="46" t="n"/>
      <c r="BR112" s="46" t="n"/>
      <c r="BS112" s="46" t="n"/>
      <c r="BT112" s="46" t="n"/>
      <c r="BU112" s="46" t="n"/>
      <c r="BV112" s="46" t="n"/>
      <c r="BW112" s="46" t="n"/>
      <c r="BX112" s="46" t="n"/>
      <c r="BY112" s="46" t="n"/>
      <c r="BZ112" s="46" t="n"/>
      <c r="CA112" s="46" t="n"/>
      <c r="CB112" s="46" t="n"/>
      <c r="CC112" s="46" t="n"/>
      <c r="CD112" s="46" t="n"/>
      <c r="CE112" s="46" t="n"/>
      <c r="CF112" s="46" t="n"/>
      <c r="CG112" s="46" t="n"/>
      <c r="CH112" s="46" t="n"/>
      <c r="CI112" s="46" t="n"/>
      <c r="CJ112" s="46" t="n"/>
      <c r="CK112" s="46" t="n"/>
      <c r="CL112" s="46" t="n"/>
      <c r="CM112" s="46" t="n"/>
      <c r="CN112" s="46" t="n"/>
      <c r="CO112" s="46" t="n"/>
      <c r="CP112" s="46" t="n"/>
      <c r="CQ112" s="46" t="n"/>
      <c r="CR112" s="46" t="n"/>
      <c r="CS112" s="46" t="n"/>
      <c r="CT112" s="46" t="n"/>
      <c r="CU112" s="46" t="n"/>
      <c r="CV112" s="46" t="n"/>
      <c r="CW112" s="46" t="n"/>
      <c r="CX112" s="46" t="n"/>
      <c r="CY112" s="46" t="n"/>
      <c r="CZ112" s="46" t="n"/>
      <c r="DA112" s="46" t="n"/>
      <c r="DB112" s="46" t="n"/>
      <c r="DC112" s="46" t="n"/>
      <c r="DD112" s="46" t="n"/>
      <c r="DE112" s="46" t="n"/>
      <c r="DF112" s="46" t="n"/>
      <c r="DG112" s="46" t="n"/>
      <c r="DH112" s="46" t="n"/>
      <c r="DI112" s="46" t="n"/>
      <c r="DJ112" s="46" t="n"/>
      <c r="DK112" s="46" t="n"/>
      <c r="DL112" s="46" t="n"/>
      <c r="DM112" s="46" t="n"/>
      <c r="DN112" s="46" t="n"/>
      <c r="DO112" s="46" t="n"/>
      <c r="DP112" s="46" t="n"/>
      <c r="DQ112" s="46" t="n"/>
      <c r="DR112" s="46" t="n"/>
      <c r="DS112" s="46" t="n"/>
      <c r="DT112" s="46" t="n"/>
      <c r="DU112" s="46" t="n"/>
      <c r="DV112" s="46" t="n"/>
      <c r="DW112" s="46" t="n"/>
      <c r="DX112" s="46" t="n"/>
      <c r="DY112" s="46" t="n"/>
      <c r="DZ112" s="46" t="n"/>
      <c r="EA112" s="46" t="n"/>
      <c r="EB112" s="46" t="n"/>
      <c r="EC112" s="46" t="n"/>
      <c r="ED112" s="46" t="n"/>
      <c r="EE112" s="46" t="n"/>
      <c r="EF112" s="46" t="n"/>
      <c r="EG112" s="46" t="n"/>
      <c r="EH112" s="46" t="n"/>
      <c r="EI112" s="46" t="n"/>
      <c r="EJ112" s="46" t="n"/>
      <c r="EK112" s="46" t="n"/>
      <c r="EL112" s="46" t="n"/>
      <c r="EM112" s="46" t="n"/>
      <c r="EN112" s="46" t="n"/>
      <c r="EO112" s="46" t="n"/>
      <c r="EP112" s="46" t="n"/>
      <c r="EQ112" s="46" t="n"/>
      <c r="ER112" s="46" t="n"/>
      <c r="ES112" s="46" t="n"/>
      <c r="ET112" s="46" t="n"/>
      <c r="EU112" s="46" t="n"/>
      <c r="EV112" s="46" t="n"/>
      <c r="EW112" s="46" t="n"/>
      <c r="EX112" s="46" t="n"/>
      <c r="EY112" s="46" t="n"/>
      <c r="EZ112" s="46" t="n"/>
      <c r="FA112" s="46" t="n"/>
      <c r="FB112" s="46" t="n"/>
      <c r="FC112" s="46" t="n"/>
      <c r="FD112" s="46" t="n"/>
      <c r="FE112" s="46" t="n"/>
      <c r="FF112" s="46" t="n"/>
      <c r="FG112" s="46" t="n"/>
      <c r="FH112" s="46" t="n"/>
      <c r="FI112" s="46" t="n"/>
      <c r="FJ112" s="46" t="n"/>
      <c r="FK112" s="46" t="n"/>
      <c r="FL112" s="46" t="n"/>
      <c r="FM112" s="46" t="n"/>
      <c r="FN112" s="46" t="n"/>
    </row>
    <row r="113" ht="15" customFormat="1" customHeight="1" s="50">
      <c r="A113" s="49" t="n">
        <v>45413</v>
      </c>
      <c r="B113" s="43" t="n"/>
      <c r="C113" s="43" t="n">
        <v>143.469</v>
      </c>
      <c r="D113" s="44" t="n"/>
      <c r="E113" s="45" t="n"/>
      <c r="F113" s="46" t="n"/>
      <c r="G113" s="43" t="n">
        <v>83.246</v>
      </c>
      <c r="H113" s="43" t="n">
        <v>24.892</v>
      </c>
      <c r="I113" s="47">
        <f>G113/C113</f>
        <v/>
      </c>
      <c r="J113" s="46" t="n"/>
      <c r="K113" s="46" t="n">
        <v>116.521</v>
      </c>
      <c r="L113" s="46" t="n">
        <v>119.536</v>
      </c>
      <c r="M113" s="46" t="n">
        <v>115.154</v>
      </c>
      <c r="N113" s="45">
        <f>1-(M113/L113)</f>
        <v/>
      </c>
      <c r="O113" s="46" t="n">
        <v>117.529</v>
      </c>
      <c r="P113" s="46" t="n">
        <v>51.296</v>
      </c>
      <c r="Q113" s="46" t="n">
        <v>94.70999999999999</v>
      </c>
      <c r="R113" s="47">
        <f>K113/2/C113</f>
        <v/>
      </c>
      <c r="S113" s="46" t="n"/>
      <c r="T113" s="45">
        <f>R113+I113</f>
        <v/>
      </c>
      <c r="U113" s="46" t="n"/>
      <c r="V113" s="46" t="n"/>
      <c r="W113" s="46" t="n"/>
      <c r="X113" s="46" t="n"/>
      <c r="Y113" s="46" t="n"/>
      <c r="Z113" s="46" t="n"/>
      <c r="AA113" s="46" t="n"/>
      <c r="AB113" s="46" t="n"/>
      <c r="AC113" s="46" t="n"/>
      <c r="AD113" s="46" t="n"/>
      <c r="AE113" s="46" t="n"/>
      <c r="AF113" s="46" t="n"/>
      <c r="AG113" s="46" t="n"/>
      <c r="AH113" s="46" t="n"/>
      <c r="AI113" s="46" t="n"/>
      <c r="AJ113" s="46" t="n"/>
      <c r="AK113" s="46" t="n"/>
      <c r="AL113" s="46" t="n"/>
      <c r="AM113" s="46" t="n"/>
      <c r="AN113" s="46" t="n"/>
      <c r="AO113" s="46" t="n"/>
      <c r="AP113" s="46" t="n"/>
      <c r="AQ113" s="46" t="n"/>
      <c r="AR113" s="46" t="n"/>
      <c r="AS113" s="46" t="n"/>
      <c r="AT113" s="46" t="n"/>
      <c r="AU113" s="46" t="n"/>
      <c r="AV113" s="46" t="n"/>
      <c r="AW113" s="46" t="n"/>
      <c r="AX113" s="46" t="n"/>
      <c r="AY113" s="46" t="n"/>
      <c r="AZ113" s="46" t="n"/>
      <c r="BA113" s="46" t="n"/>
      <c r="BB113" s="46" t="n"/>
      <c r="BC113" s="46" t="n"/>
      <c r="BD113" s="46" t="n"/>
      <c r="BE113" s="46" t="n"/>
      <c r="BF113" s="46" t="n"/>
      <c r="BG113" s="46" t="n"/>
      <c r="BH113" s="46" t="n"/>
      <c r="BI113" s="46" t="n"/>
      <c r="BJ113" s="46" t="n"/>
      <c r="BK113" s="46" t="n"/>
      <c r="BL113" s="46" t="n"/>
      <c r="BM113" s="46" t="n"/>
      <c r="BN113" s="46" t="n"/>
      <c r="BO113" s="46" t="n"/>
      <c r="BP113" s="46" t="n"/>
      <c r="BQ113" s="46" t="n"/>
      <c r="BR113" s="46" t="n"/>
      <c r="BS113" s="46" t="n"/>
      <c r="BT113" s="46" t="n"/>
      <c r="BU113" s="46" t="n"/>
      <c r="BV113" s="46" t="n"/>
      <c r="BW113" s="46" t="n"/>
      <c r="BX113" s="46" t="n"/>
      <c r="BY113" s="46" t="n"/>
      <c r="BZ113" s="46" t="n"/>
      <c r="CA113" s="46" t="n"/>
      <c r="CB113" s="46" t="n"/>
      <c r="CC113" s="46" t="n"/>
      <c r="CD113" s="46" t="n"/>
      <c r="CE113" s="46" t="n"/>
      <c r="CF113" s="46" t="n"/>
      <c r="CG113" s="46" t="n"/>
      <c r="CH113" s="46" t="n"/>
      <c r="CI113" s="46" t="n"/>
      <c r="CJ113" s="46" t="n"/>
      <c r="CK113" s="46" t="n"/>
      <c r="CL113" s="46" t="n"/>
      <c r="CM113" s="46" t="n"/>
      <c r="CN113" s="46" t="n"/>
      <c r="CO113" s="46" t="n"/>
      <c r="CP113" s="46" t="n"/>
      <c r="CQ113" s="46" t="n"/>
      <c r="CR113" s="46" t="n"/>
      <c r="CS113" s="46" t="n"/>
      <c r="CT113" s="46" t="n"/>
      <c r="CU113" s="46" t="n"/>
      <c r="CV113" s="46" t="n"/>
      <c r="CW113" s="46" t="n"/>
      <c r="CX113" s="46" t="n"/>
      <c r="CY113" s="46" t="n"/>
      <c r="CZ113" s="46" t="n"/>
      <c r="DA113" s="46" t="n"/>
      <c r="DB113" s="46" t="n"/>
      <c r="DC113" s="46" t="n"/>
      <c r="DD113" s="46" t="n"/>
      <c r="DE113" s="46" t="n"/>
      <c r="DF113" s="46" t="n"/>
      <c r="DG113" s="46" t="n"/>
      <c r="DH113" s="46" t="n"/>
      <c r="DI113" s="46" t="n"/>
      <c r="DJ113" s="46" t="n"/>
      <c r="DK113" s="46" t="n"/>
      <c r="DL113" s="46" t="n"/>
      <c r="DM113" s="46" t="n"/>
      <c r="DN113" s="46" t="n"/>
      <c r="DO113" s="46" t="n"/>
      <c r="DP113" s="46" t="n"/>
      <c r="DQ113" s="46" t="n"/>
      <c r="DR113" s="46" t="n"/>
      <c r="DS113" s="46" t="n"/>
      <c r="DT113" s="46" t="n"/>
      <c r="DU113" s="46" t="n"/>
      <c r="DV113" s="46" t="n"/>
      <c r="DW113" s="46" t="n"/>
      <c r="DX113" s="46" t="n"/>
      <c r="DY113" s="46" t="n"/>
      <c r="DZ113" s="46" t="n"/>
      <c r="EA113" s="46" t="n"/>
      <c r="EB113" s="46" t="n"/>
      <c r="EC113" s="46" t="n"/>
      <c r="ED113" s="46" t="n"/>
      <c r="EE113" s="46" t="n"/>
      <c r="EF113" s="46" t="n"/>
      <c r="EG113" s="46" t="n"/>
      <c r="EH113" s="46" t="n"/>
      <c r="EI113" s="46" t="n"/>
      <c r="EJ113" s="46" t="n"/>
      <c r="EK113" s="46" t="n"/>
      <c r="EL113" s="46" t="n"/>
      <c r="EM113" s="46" t="n"/>
      <c r="EN113" s="46" t="n"/>
      <c r="EO113" s="46" t="n"/>
      <c r="EP113" s="46" t="n"/>
      <c r="EQ113" s="46" t="n"/>
      <c r="ER113" s="46" t="n"/>
      <c r="ES113" s="46" t="n"/>
      <c r="ET113" s="46" t="n"/>
      <c r="EU113" s="46" t="n"/>
      <c r="EV113" s="46" t="n"/>
      <c r="EW113" s="46" t="n"/>
      <c r="EX113" s="46" t="n"/>
      <c r="EY113" s="46" t="n"/>
      <c r="EZ113" s="46" t="n"/>
      <c r="FA113" s="46" t="n"/>
      <c r="FB113" s="46" t="n"/>
      <c r="FC113" s="46" t="n"/>
      <c r="FD113" s="46" t="n"/>
      <c r="FE113" s="46" t="n"/>
      <c r="FF113" s="46" t="n"/>
      <c r="FG113" s="46" t="n"/>
      <c r="FH113" s="46" t="n"/>
      <c r="FI113" s="46" t="n"/>
      <c r="FJ113" s="46" t="n"/>
      <c r="FK113" s="46" t="n"/>
      <c r="FL113" s="46" t="n"/>
      <c r="FM113" s="46" t="n"/>
      <c r="FN113" s="46" t="n"/>
    </row>
    <row r="114" ht="15" customFormat="1" customHeight="1" s="50">
      <c r="A114" s="49" t="n">
        <v>45444</v>
      </c>
      <c r="B114" s="43" t="n"/>
      <c r="C114" s="43" t="n">
        <v>196.864</v>
      </c>
      <c r="D114" s="44" t="n"/>
      <c r="E114" s="45" t="n"/>
      <c r="F114" s="46" t="n"/>
      <c r="G114" s="43" t="n">
        <v>116.434</v>
      </c>
      <c r="H114" s="43" t="n">
        <v>30.53</v>
      </c>
      <c r="I114" s="47">
        <f>G114/C114</f>
        <v/>
      </c>
      <c r="J114" s="46" t="n"/>
      <c r="K114" s="46" t="n">
        <v>159.164</v>
      </c>
      <c r="L114" s="46" t="n">
        <v>150.871</v>
      </c>
      <c r="M114" s="46" t="n">
        <v>146.846</v>
      </c>
      <c r="N114" s="45">
        <f>1-(M114/L114)</f>
        <v/>
      </c>
      <c r="O114" s="46" t="n">
        <v>147.796</v>
      </c>
      <c r="P114" s="46" t="n">
        <v>53.292</v>
      </c>
      <c r="Q114" s="46" t="n">
        <v>91.983</v>
      </c>
      <c r="R114" s="47">
        <f>K114/2/C114</f>
        <v/>
      </c>
      <c r="S114" s="46" t="n"/>
      <c r="T114" s="45">
        <f>R114+I114</f>
        <v/>
      </c>
      <c r="U114" s="46" t="n"/>
      <c r="V114" s="46" t="n"/>
      <c r="W114" s="46" t="n"/>
      <c r="X114" s="46" t="n"/>
      <c r="Y114" s="46" t="n"/>
      <c r="Z114" s="46" t="n"/>
      <c r="AA114" s="46" t="n"/>
      <c r="AB114" s="46" t="n"/>
      <c r="AC114" s="46" t="n"/>
      <c r="AD114" s="46" t="n"/>
      <c r="AE114" s="46" t="n"/>
      <c r="AF114" s="46" t="n"/>
      <c r="AG114" s="46" t="n"/>
      <c r="AH114" s="46" t="n"/>
      <c r="AI114" s="46" t="n"/>
      <c r="AJ114" s="46" t="n"/>
      <c r="AK114" s="46" t="n"/>
      <c r="AL114" s="46" t="n"/>
      <c r="AM114" s="46" t="n"/>
      <c r="AN114" s="46" t="n"/>
      <c r="AO114" s="46" t="n"/>
      <c r="AP114" s="46" t="n"/>
      <c r="AQ114" s="46" t="n"/>
      <c r="AR114" s="46" t="n"/>
      <c r="AS114" s="46" t="n"/>
      <c r="AT114" s="46" t="n"/>
      <c r="AU114" s="46" t="n"/>
      <c r="AV114" s="46" t="n"/>
      <c r="AW114" s="46" t="n"/>
      <c r="AX114" s="46" t="n"/>
      <c r="AY114" s="46" t="n"/>
      <c r="AZ114" s="46" t="n"/>
      <c r="BA114" s="46" t="n"/>
      <c r="BB114" s="46" t="n"/>
      <c r="BC114" s="46" t="n"/>
      <c r="BD114" s="46" t="n"/>
      <c r="BE114" s="46" t="n"/>
      <c r="BF114" s="46" t="n"/>
      <c r="BG114" s="46" t="n"/>
      <c r="BH114" s="46" t="n"/>
      <c r="BI114" s="46" t="n"/>
      <c r="BJ114" s="46" t="n"/>
      <c r="BK114" s="46" t="n"/>
      <c r="BL114" s="46" t="n"/>
      <c r="BM114" s="46" t="n"/>
      <c r="BN114" s="46" t="n"/>
      <c r="BO114" s="46" t="n"/>
      <c r="BP114" s="46" t="n"/>
      <c r="BQ114" s="46" t="n"/>
      <c r="BR114" s="46" t="n"/>
      <c r="BS114" s="46" t="n"/>
      <c r="BT114" s="46" t="n"/>
      <c r="BU114" s="46" t="n"/>
      <c r="BV114" s="46" t="n"/>
      <c r="BW114" s="46" t="n"/>
      <c r="BX114" s="46" t="n"/>
      <c r="BY114" s="46" t="n"/>
      <c r="BZ114" s="46" t="n"/>
      <c r="CA114" s="46" t="n"/>
      <c r="CB114" s="46" t="n"/>
      <c r="CC114" s="46" t="n"/>
      <c r="CD114" s="46" t="n"/>
      <c r="CE114" s="46" t="n"/>
      <c r="CF114" s="46" t="n"/>
      <c r="CG114" s="46" t="n"/>
      <c r="CH114" s="46" t="n"/>
      <c r="CI114" s="46" t="n"/>
      <c r="CJ114" s="46" t="n"/>
      <c r="CK114" s="46" t="n"/>
      <c r="CL114" s="46" t="n"/>
      <c r="CM114" s="46" t="n"/>
      <c r="CN114" s="46" t="n"/>
      <c r="CO114" s="46" t="n"/>
      <c r="CP114" s="46" t="n"/>
      <c r="CQ114" s="46" t="n"/>
      <c r="CR114" s="46" t="n"/>
      <c r="CS114" s="46" t="n"/>
      <c r="CT114" s="46" t="n"/>
      <c r="CU114" s="46" t="n"/>
      <c r="CV114" s="46" t="n"/>
      <c r="CW114" s="46" t="n"/>
      <c r="CX114" s="46" t="n"/>
      <c r="CY114" s="46" t="n"/>
      <c r="CZ114" s="46" t="n"/>
      <c r="DA114" s="46" t="n"/>
      <c r="DB114" s="46" t="n"/>
      <c r="DC114" s="46" t="n"/>
      <c r="DD114" s="46" t="n"/>
      <c r="DE114" s="46" t="n"/>
      <c r="DF114" s="46" t="n"/>
      <c r="DG114" s="46" t="n"/>
      <c r="DH114" s="46" t="n"/>
      <c r="DI114" s="46" t="n"/>
      <c r="DJ114" s="46" t="n"/>
      <c r="DK114" s="46" t="n"/>
      <c r="DL114" s="46" t="n"/>
      <c r="DM114" s="46" t="n"/>
      <c r="DN114" s="46" t="n"/>
      <c r="DO114" s="46" t="n"/>
      <c r="DP114" s="46" t="n"/>
      <c r="DQ114" s="46" t="n"/>
      <c r="DR114" s="46" t="n"/>
      <c r="DS114" s="46" t="n"/>
      <c r="DT114" s="46" t="n"/>
      <c r="DU114" s="46" t="n"/>
      <c r="DV114" s="46" t="n"/>
      <c r="DW114" s="46" t="n"/>
      <c r="DX114" s="46" t="n"/>
      <c r="DY114" s="46" t="n"/>
      <c r="DZ114" s="46" t="n"/>
      <c r="EA114" s="46" t="n"/>
      <c r="EB114" s="46" t="n"/>
      <c r="EC114" s="46" t="n"/>
      <c r="ED114" s="46" t="n"/>
      <c r="EE114" s="46" t="n"/>
      <c r="EF114" s="46" t="n"/>
      <c r="EG114" s="46" t="n"/>
      <c r="EH114" s="46" t="n"/>
      <c r="EI114" s="46" t="n"/>
      <c r="EJ114" s="46" t="n"/>
      <c r="EK114" s="46" t="n"/>
      <c r="EL114" s="46" t="n"/>
      <c r="EM114" s="46" t="n"/>
      <c r="EN114" s="46" t="n"/>
      <c r="EO114" s="46" t="n"/>
      <c r="EP114" s="46" t="n"/>
      <c r="EQ114" s="46" t="n"/>
      <c r="ER114" s="46" t="n"/>
      <c r="ES114" s="46" t="n"/>
      <c r="ET114" s="46" t="n"/>
      <c r="EU114" s="46" t="n"/>
      <c r="EV114" s="46" t="n"/>
      <c r="EW114" s="46" t="n"/>
      <c r="EX114" s="46" t="n"/>
      <c r="EY114" s="46" t="n"/>
      <c r="EZ114" s="46" t="n"/>
      <c r="FA114" s="46" t="n"/>
      <c r="FB114" s="46" t="n"/>
      <c r="FC114" s="46" t="n"/>
      <c r="FD114" s="46" t="n"/>
      <c r="FE114" s="46" t="n"/>
      <c r="FF114" s="46" t="n"/>
      <c r="FG114" s="46" t="n"/>
      <c r="FH114" s="46" t="n"/>
      <c r="FI114" s="46" t="n"/>
      <c r="FJ114" s="46" t="n"/>
      <c r="FK114" s="46" t="n"/>
      <c r="FL114" s="46" t="n"/>
      <c r="FM114" s="46" t="n"/>
      <c r="FN114" s="46" t="n"/>
    </row>
    <row r="115" ht="15" customFormat="1" customHeight="1" s="50">
      <c r="A115" s="49" t="n">
        <v>45474</v>
      </c>
      <c r="B115" s="43" t="n"/>
      <c r="C115" s="43" t="n">
        <v>230.516</v>
      </c>
      <c r="D115" s="44" t="n"/>
      <c r="E115" s="45" t="n"/>
      <c r="F115" s="46" t="n"/>
      <c r="G115" s="43" t="n">
        <v>130.988</v>
      </c>
      <c r="H115" s="43" t="n">
        <v>27.428</v>
      </c>
      <c r="I115" s="47">
        <f>G115/C115</f>
        <v/>
      </c>
      <c r="J115" s="46" t="n"/>
      <c r="K115" s="46" t="n">
        <v>183.162</v>
      </c>
      <c r="L115" s="46" t="n">
        <v>182.646</v>
      </c>
      <c r="M115" s="46" t="n">
        <v>176.702</v>
      </c>
      <c r="N115" s="45">
        <f>1-(M115/L115)</f>
        <v/>
      </c>
      <c r="O115" s="46" t="n">
        <v>178.904</v>
      </c>
      <c r="P115" s="46" t="n">
        <v>41.914</v>
      </c>
      <c r="Q115" s="46" t="n">
        <v>92.94499999999999</v>
      </c>
      <c r="R115" s="47">
        <f>K115/2/C115</f>
        <v/>
      </c>
      <c r="S115" s="46" t="n"/>
      <c r="T115" s="45">
        <f>R115+I115</f>
        <v/>
      </c>
      <c r="U115" s="46" t="n"/>
      <c r="V115" s="46" t="n"/>
      <c r="W115" s="46" t="n"/>
      <c r="X115" s="46" t="n"/>
      <c r="Y115" s="46" t="n"/>
      <c r="Z115" s="46" t="n"/>
      <c r="AA115" s="46" t="n"/>
      <c r="AB115" s="46" t="n"/>
      <c r="AC115" s="46" t="n"/>
      <c r="AD115" s="46" t="n"/>
      <c r="AE115" s="46" t="n"/>
      <c r="AF115" s="46" t="n"/>
      <c r="AG115" s="46" t="n"/>
      <c r="AH115" s="46" t="n"/>
      <c r="AI115" s="46" t="n"/>
      <c r="AJ115" s="46" t="n"/>
      <c r="AK115" s="46" t="n"/>
      <c r="AL115" s="46" t="n"/>
      <c r="AM115" s="46" t="n"/>
      <c r="AN115" s="46" t="n"/>
      <c r="AO115" s="46" t="n"/>
      <c r="AP115" s="46" t="n"/>
      <c r="AQ115" s="46" t="n"/>
      <c r="AR115" s="46" t="n"/>
      <c r="AS115" s="46" t="n"/>
      <c r="AT115" s="46" t="n"/>
      <c r="AU115" s="46" t="n"/>
      <c r="AV115" s="46" t="n"/>
      <c r="AW115" s="46" t="n"/>
      <c r="AX115" s="46" t="n"/>
      <c r="AY115" s="46" t="n"/>
      <c r="AZ115" s="46" t="n"/>
      <c r="BA115" s="46" t="n"/>
      <c r="BB115" s="46" t="n"/>
      <c r="BC115" s="46" t="n"/>
      <c r="BD115" s="46" t="n"/>
      <c r="BE115" s="46" t="n"/>
      <c r="BF115" s="46" t="n"/>
      <c r="BG115" s="46" t="n"/>
      <c r="BH115" s="46" t="n"/>
      <c r="BI115" s="46" t="n"/>
      <c r="BJ115" s="46" t="n"/>
      <c r="BK115" s="46" t="n"/>
      <c r="BL115" s="46" t="n"/>
      <c r="BM115" s="46" t="n"/>
      <c r="BN115" s="46" t="n"/>
      <c r="BO115" s="46" t="n"/>
      <c r="BP115" s="46" t="n"/>
      <c r="BQ115" s="46" t="n"/>
      <c r="BR115" s="46" t="n"/>
      <c r="BS115" s="46" t="n"/>
      <c r="BT115" s="46" t="n"/>
      <c r="BU115" s="46" t="n"/>
      <c r="BV115" s="46" t="n"/>
      <c r="BW115" s="46" t="n"/>
      <c r="BX115" s="46" t="n"/>
      <c r="BY115" s="46" t="n"/>
      <c r="BZ115" s="46" t="n"/>
      <c r="CA115" s="46" t="n"/>
      <c r="CB115" s="46" t="n"/>
      <c r="CC115" s="46" t="n"/>
      <c r="CD115" s="46" t="n"/>
      <c r="CE115" s="46" t="n"/>
      <c r="CF115" s="46" t="n"/>
      <c r="CG115" s="46" t="n"/>
      <c r="CH115" s="46" t="n"/>
      <c r="CI115" s="46" t="n"/>
      <c r="CJ115" s="46" t="n"/>
      <c r="CK115" s="46" t="n"/>
      <c r="CL115" s="46" t="n"/>
      <c r="CM115" s="46" t="n"/>
      <c r="CN115" s="46" t="n"/>
      <c r="CO115" s="46" t="n"/>
      <c r="CP115" s="46" t="n"/>
      <c r="CQ115" s="46" t="n"/>
      <c r="CR115" s="46" t="n"/>
      <c r="CS115" s="46" t="n"/>
      <c r="CT115" s="46" t="n"/>
      <c r="CU115" s="46" t="n"/>
      <c r="CV115" s="46" t="n"/>
      <c r="CW115" s="46" t="n"/>
      <c r="CX115" s="46" t="n"/>
      <c r="CY115" s="46" t="n"/>
      <c r="CZ115" s="46" t="n"/>
      <c r="DA115" s="46" t="n"/>
      <c r="DB115" s="46" t="n"/>
      <c r="DC115" s="46" t="n"/>
      <c r="DD115" s="46" t="n"/>
      <c r="DE115" s="46" t="n"/>
      <c r="DF115" s="46" t="n"/>
      <c r="DG115" s="46" t="n"/>
      <c r="DH115" s="46" t="n"/>
      <c r="DI115" s="46" t="n"/>
      <c r="DJ115" s="46" t="n"/>
      <c r="DK115" s="46" t="n"/>
      <c r="DL115" s="46" t="n"/>
      <c r="DM115" s="46" t="n"/>
      <c r="DN115" s="46" t="n"/>
      <c r="DO115" s="46" t="n"/>
      <c r="DP115" s="46" t="n"/>
      <c r="DQ115" s="46" t="n"/>
      <c r="DR115" s="46" t="n"/>
      <c r="DS115" s="46" t="n"/>
      <c r="DT115" s="46" t="n"/>
      <c r="DU115" s="46" t="n"/>
      <c r="DV115" s="46" t="n"/>
      <c r="DW115" s="46" t="n"/>
      <c r="DX115" s="46" t="n"/>
      <c r="DY115" s="46" t="n"/>
      <c r="DZ115" s="46" t="n"/>
      <c r="EA115" s="46" t="n"/>
      <c r="EB115" s="46" t="n"/>
      <c r="EC115" s="46" t="n"/>
      <c r="ED115" s="46" t="n"/>
      <c r="EE115" s="46" t="n"/>
      <c r="EF115" s="46" t="n"/>
      <c r="EG115" s="46" t="n"/>
      <c r="EH115" s="46" t="n"/>
      <c r="EI115" s="46" t="n"/>
      <c r="EJ115" s="46" t="n"/>
      <c r="EK115" s="46" t="n"/>
      <c r="EL115" s="46" t="n"/>
      <c r="EM115" s="46" t="n"/>
      <c r="EN115" s="46" t="n"/>
      <c r="EO115" s="46" t="n"/>
      <c r="EP115" s="46" t="n"/>
      <c r="EQ115" s="46" t="n"/>
      <c r="ER115" s="46" t="n"/>
      <c r="ES115" s="46" t="n"/>
      <c r="ET115" s="46" t="n"/>
      <c r="EU115" s="46" t="n"/>
      <c r="EV115" s="46" t="n"/>
      <c r="EW115" s="46" t="n"/>
      <c r="EX115" s="46" t="n"/>
      <c r="EY115" s="46" t="n"/>
      <c r="EZ115" s="46" t="n"/>
      <c r="FA115" s="46" t="n"/>
      <c r="FB115" s="46" t="n"/>
      <c r="FC115" s="46" t="n"/>
      <c r="FD115" s="46" t="n"/>
      <c r="FE115" s="46" t="n"/>
      <c r="FF115" s="46" t="n"/>
      <c r="FG115" s="46" t="n"/>
      <c r="FH115" s="46" t="n"/>
      <c r="FI115" s="46" t="n"/>
      <c r="FJ115" s="46" t="n"/>
      <c r="FK115" s="46" t="n"/>
      <c r="FL115" s="46" t="n"/>
      <c r="FM115" s="46" t="n"/>
      <c r="FN115" s="46" t="n"/>
    </row>
    <row r="116" ht="15" customFormat="1" customHeight="1" s="50">
      <c r="A116" s="49" t="n">
        <v>45505</v>
      </c>
      <c r="B116" s="43" t="n"/>
      <c r="C116" s="43" t="n">
        <v>198.572</v>
      </c>
      <c r="D116" s="44" t="n"/>
      <c r="E116" s="45" t="n"/>
      <c r="F116" s="46" t="n"/>
      <c r="G116" s="43" t="n">
        <v>116.938</v>
      </c>
      <c r="H116" s="43" t="n">
        <v>28.246</v>
      </c>
      <c r="I116" s="47">
        <f>G116/C116</f>
        <v/>
      </c>
      <c r="J116" s="46" t="n"/>
      <c r="K116" s="46" t="n">
        <v>163.47</v>
      </c>
      <c r="L116" s="46" t="n">
        <v>160.406</v>
      </c>
      <c r="M116" s="46" t="n">
        <v>155.96</v>
      </c>
      <c r="N116" s="45">
        <f>1-(M116/L116)</f>
        <v/>
      </c>
      <c r="O116" s="46" t="n">
        <v>158.884</v>
      </c>
      <c r="P116" s="46" t="n">
        <v>28.299</v>
      </c>
      <c r="Q116" s="46" t="n">
        <v>95.099</v>
      </c>
      <c r="R116" s="47">
        <f>K116/2/C116</f>
        <v/>
      </c>
      <c r="S116" s="46" t="n"/>
      <c r="T116" s="45">
        <f>R116+I116</f>
        <v/>
      </c>
      <c r="U116" s="46" t="n"/>
      <c r="V116" s="46" t="n"/>
      <c r="W116" s="46" t="n"/>
      <c r="X116" s="46" t="n"/>
      <c r="Y116" s="46" t="n"/>
      <c r="Z116" s="46" t="n"/>
      <c r="AA116" s="46" t="n"/>
      <c r="AB116" s="46" t="n"/>
      <c r="AC116" s="46" t="n"/>
      <c r="AD116" s="46" t="n"/>
      <c r="AE116" s="46" t="n"/>
      <c r="AF116" s="46" t="n"/>
      <c r="AG116" s="46" t="n"/>
      <c r="AH116" s="46" t="n"/>
      <c r="AI116" s="46" t="n"/>
      <c r="AJ116" s="46" t="n"/>
      <c r="AK116" s="46" t="n"/>
      <c r="AL116" s="46" t="n"/>
      <c r="AM116" s="46" t="n"/>
      <c r="AN116" s="46" t="n"/>
      <c r="AO116" s="46" t="n"/>
      <c r="AP116" s="46" t="n"/>
      <c r="AQ116" s="46" t="n"/>
      <c r="AR116" s="46" t="n"/>
      <c r="AS116" s="46" t="n"/>
      <c r="AT116" s="46" t="n"/>
      <c r="AU116" s="46" t="n"/>
      <c r="AV116" s="46" t="n"/>
      <c r="AW116" s="46" t="n"/>
      <c r="AX116" s="46" t="n"/>
      <c r="AY116" s="46" t="n"/>
      <c r="AZ116" s="46" t="n"/>
      <c r="BA116" s="46" t="n"/>
      <c r="BB116" s="46" t="n"/>
      <c r="BC116" s="46" t="n"/>
      <c r="BD116" s="46" t="n"/>
      <c r="BE116" s="46" t="n"/>
      <c r="BF116" s="46" t="n"/>
      <c r="BG116" s="46" t="n"/>
      <c r="BH116" s="46" t="n"/>
      <c r="BI116" s="46" t="n"/>
      <c r="BJ116" s="46" t="n"/>
      <c r="BK116" s="46" t="n"/>
      <c r="BL116" s="46" t="n"/>
      <c r="BM116" s="46" t="n"/>
      <c r="BN116" s="46" t="n"/>
      <c r="BO116" s="46" t="n"/>
      <c r="BP116" s="46" t="n"/>
      <c r="BQ116" s="46" t="n"/>
      <c r="BR116" s="46" t="n"/>
      <c r="BS116" s="46" t="n"/>
      <c r="BT116" s="46" t="n"/>
      <c r="BU116" s="46" t="n"/>
      <c r="BV116" s="46" t="n"/>
      <c r="BW116" s="46" t="n"/>
      <c r="BX116" s="46" t="n"/>
      <c r="BY116" s="46" t="n"/>
      <c r="BZ116" s="46" t="n"/>
      <c r="CA116" s="46" t="n"/>
      <c r="CB116" s="46" t="n"/>
      <c r="CC116" s="46" t="n"/>
      <c r="CD116" s="46" t="n"/>
      <c r="CE116" s="46" t="n"/>
      <c r="CF116" s="46" t="n"/>
      <c r="CG116" s="46" t="n"/>
      <c r="CH116" s="46" t="n"/>
      <c r="CI116" s="46" t="n"/>
      <c r="CJ116" s="46" t="n"/>
      <c r="CK116" s="46" t="n"/>
      <c r="CL116" s="46" t="n"/>
      <c r="CM116" s="46" t="n"/>
      <c r="CN116" s="46" t="n"/>
      <c r="CO116" s="46" t="n"/>
      <c r="CP116" s="46" t="n"/>
      <c r="CQ116" s="46" t="n"/>
      <c r="CR116" s="46" t="n"/>
      <c r="CS116" s="46" t="n"/>
      <c r="CT116" s="46" t="n"/>
      <c r="CU116" s="46" t="n"/>
      <c r="CV116" s="46" t="n"/>
      <c r="CW116" s="46" t="n"/>
      <c r="CX116" s="46" t="n"/>
      <c r="CY116" s="46" t="n"/>
      <c r="CZ116" s="46" t="n"/>
      <c r="DA116" s="46" t="n"/>
      <c r="DB116" s="46" t="n"/>
      <c r="DC116" s="46" t="n"/>
      <c r="DD116" s="46" t="n"/>
      <c r="DE116" s="46" t="n"/>
      <c r="DF116" s="46" t="n"/>
      <c r="DG116" s="46" t="n"/>
      <c r="DH116" s="46" t="n"/>
      <c r="DI116" s="46" t="n"/>
      <c r="DJ116" s="46" t="n"/>
      <c r="DK116" s="46" t="n"/>
      <c r="DL116" s="46" t="n"/>
      <c r="DM116" s="46" t="n"/>
      <c r="DN116" s="46" t="n"/>
      <c r="DO116" s="46" t="n"/>
      <c r="DP116" s="46" t="n"/>
      <c r="DQ116" s="46" t="n"/>
      <c r="DR116" s="46" t="n"/>
      <c r="DS116" s="46" t="n"/>
      <c r="DT116" s="46" t="n"/>
      <c r="DU116" s="46" t="n"/>
      <c r="DV116" s="46" t="n"/>
      <c r="DW116" s="46" t="n"/>
      <c r="DX116" s="46" t="n"/>
      <c r="DY116" s="46" t="n"/>
      <c r="DZ116" s="46" t="n"/>
      <c r="EA116" s="46" t="n"/>
      <c r="EB116" s="46" t="n"/>
      <c r="EC116" s="46" t="n"/>
      <c r="ED116" s="46" t="n"/>
      <c r="EE116" s="46" t="n"/>
      <c r="EF116" s="46" t="n"/>
      <c r="EG116" s="46" t="n"/>
      <c r="EH116" s="46" t="n"/>
      <c r="EI116" s="46" t="n"/>
      <c r="EJ116" s="46" t="n"/>
      <c r="EK116" s="46" t="n"/>
      <c r="EL116" s="46" t="n"/>
      <c r="EM116" s="46" t="n"/>
      <c r="EN116" s="46" t="n"/>
      <c r="EO116" s="46" t="n"/>
      <c r="EP116" s="46" t="n"/>
      <c r="EQ116" s="46" t="n"/>
      <c r="ER116" s="46" t="n"/>
      <c r="ES116" s="46" t="n"/>
      <c r="ET116" s="46" t="n"/>
      <c r="EU116" s="46" t="n"/>
      <c r="EV116" s="46" t="n"/>
      <c r="EW116" s="46" t="n"/>
      <c r="EX116" s="46" t="n"/>
      <c r="EY116" s="46" t="n"/>
      <c r="EZ116" s="46" t="n"/>
      <c r="FA116" s="46" t="n"/>
      <c r="FB116" s="46" t="n"/>
      <c r="FC116" s="46" t="n"/>
      <c r="FD116" s="46" t="n"/>
      <c r="FE116" s="46" t="n"/>
      <c r="FF116" s="46" t="n"/>
      <c r="FG116" s="46" t="n"/>
      <c r="FH116" s="46" t="n"/>
      <c r="FI116" s="46" t="n"/>
      <c r="FJ116" s="46" t="n"/>
      <c r="FK116" s="46" t="n"/>
      <c r="FL116" s="46" t="n"/>
      <c r="FM116" s="46" t="n"/>
      <c r="FN116" s="46" t="n"/>
    </row>
    <row r="117" ht="15" customFormat="1" customHeight="1" s="50">
      <c r="A117" s="49" t="n">
        <v>45536</v>
      </c>
      <c r="B117" s="43" t="n"/>
      <c r="C117" s="43" t="n">
        <v>204.907</v>
      </c>
      <c r="D117" s="44" t="n"/>
      <c r="E117" s="45" t="n"/>
      <c r="F117" s="46" t="n"/>
      <c r="G117" s="43" t="n">
        <v>118.259</v>
      </c>
      <c r="H117" s="43" t="n">
        <v>33.742</v>
      </c>
      <c r="I117" s="47">
        <f>G117/C117</f>
        <v/>
      </c>
      <c r="J117" s="46" t="n"/>
      <c r="K117" s="46" t="n">
        <v>161.451</v>
      </c>
      <c r="L117" s="46" t="n">
        <v>175.175</v>
      </c>
      <c r="M117" s="46" t="n">
        <v>169.864</v>
      </c>
      <c r="N117" s="45">
        <f>1-(M117/L117)</f>
        <v/>
      </c>
      <c r="O117" s="46" t="n">
        <v>178.62</v>
      </c>
      <c r="P117" s="46" t="n">
        <v>32.205</v>
      </c>
      <c r="Q117" s="46" t="n">
        <v>88.879</v>
      </c>
      <c r="R117" s="47">
        <f>K117/2/C117</f>
        <v/>
      </c>
      <c r="S117" s="46" t="n"/>
      <c r="T117" s="45">
        <f>R117+I117</f>
        <v/>
      </c>
      <c r="U117" s="46" t="n"/>
      <c r="V117" s="46" t="n"/>
      <c r="W117" s="46" t="n"/>
      <c r="X117" s="46" t="n"/>
      <c r="Y117" s="46" t="n"/>
      <c r="Z117" s="46" t="n"/>
      <c r="AA117" s="46" t="n"/>
      <c r="AB117" s="46" t="n"/>
      <c r="AC117" s="46" t="n"/>
      <c r="AD117" s="46" t="n"/>
      <c r="AE117" s="46" t="n"/>
      <c r="AF117" s="46" t="n"/>
      <c r="AG117" s="46" t="n"/>
      <c r="AH117" s="46" t="n"/>
      <c r="AI117" s="46" t="n"/>
      <c r="AJ117" s="46" t="n"/>
      <c r="AK117" s="46" t="n"/>
      <c r="AL117" s="46" t="n"/>
      <c r="AM117" s="46" t="n"/>
      <c r="AN117" s="46" t="n"/>
      <c r="AO117" s="46" t="n"/>
      <c r="AP117" s="46" t="n"/>
      <c r="AQ117" s="46" t="n"/>
      <c r="AR117" s="46" t="n"/>
      <c r="AS117" s="46" t="n"/>
      <c r="AT117" s="46" t="n"/>
      <c r="AU117" s="46" t="n"/>
      <c r="AV117" s="46" t="n"/>
      <c r="AW117" s="46" t="n"/>
      <c r="AX117" s="46" t="n"/>
      <c r="AY117" s="46" t="n"/>
      <c r="AZ117" s="46" t="n"/>
      <c r="BA117" s="46" t="n"/>
      <c r="BB117" s="46" t="n"/>
      <c r="BC117" s="46" t="n"/>
      <c r="BD117" s="46" t="n"/>
      <c r="BE117" s="46" t="n"/>
      <c r="BF117" s="46" t="n"/>
      <c r="BG117" s="46" t="n"/>
      <c r="BH117" s="46" t="n"/>
      <c r="BI117" s="46" t="n"/>
      <c r="BJ117" s="46" t="n"/>
      <c r="BK117" s="46" t="n"/>
      <c r="BL117" s="46" t="n"/>
      <c r="BM117" s="46" t="n"/>
      <c r="BN117" s="46" t="n"/>
      <c r="BO117" s="46" t="n"/>
      <c r="BP117" s="46" t="n"/>
      <c r="BQ117" s="46" t="n"/>
      <c r="BR117" s="46" t="n"/>
      <c r="BS117" s="46" t="n"/>
      <c r="BT117" s="46" t="n"/>
      <c r="BU117" s="46" t="n"/>
      <c r="BV117" s="46" t="n"/>
      <c r="BW117" s="46" t="n"/>
      <c r="BX117" s="46" t="n"/>
      <c r="BY117" s="46" t="n"/>
      <c r="BZ117" s="46" t="n"/>
      <c r="CA117" s="46" t="n"/>
      <c r="CB117" s="46" t="n"/>
      <c r="CC117" s="46" t="n"/>
      <c r="CD117" s="46" t="n"/>
      <c r="CE117" s="46" t="n"/>
      <c r="CF117" s="46" t="n"/>
      <c r="CG117" s="46" t="n"/>
      <c r="CH117" s="46" t="n"/>
      <c r="CI117" s="46" t="n"/>
      <c r="CJ117" s="46" t="n"/>
      <c r="CK117" s="46" t="n"/>
      <c r="CL117" s="46" t="n"/>
      <c r="CM117" s="46" t="n"/>
      <c r="CN117" s="46" t="n"/>
      <c r="CO117" s="46" t="n"/>
      <c r="CP117" s="46" t="n"/>
      <c r="CQ117" s="46" t="n"/>
      <c r="CR117" s="46" t="n"/>
      <c r="CS117" s="46" t="n"/>
      <c r="CT117" s="46" t="n"/>
      <c r="CU117" s="46" t="n"/>
      <c r="CV117" s="46" t="n"/>
      <c r="CW117" s="46" t="n"/>
      <c r="CX117" s="46" t="n"/>
      <c r="CY117" s="46" t="n"/>
      <c r="CZ117" s="46" t="n"/>
      <c r="DA117" s="46" t="n"/>
      <c r="DB117" s="46" t="n"/>
      <c r="DC117" s="46" t="n"/>
      <c r="DD117" s="46" t="n"/>
      <c r="DE117" s="46" t="n"/>
      <c r="DF117" s="46" t="n"/>
      <c r="DG117" s="46" t="n"/>
      <c r="DH117" s="46" t="n"/>
      <c r="DI117" s="46" t="n"/>
      <c r="DJ117" s="46" t="n"/>
      <c r="DK117" s="46" t="n"/>
      <c r="DL117" s="46" t="n"/>
      <c r="DM117" s="46" t="n"/>
      <c r="DN117" s="46" t="n"/>
      <c r="DO117" s="46" t="n"/>
      <c r="DP117" s="46" t="n"/>
      <c r="DQ117" s="46" t="n"/>
      <c r="DR117" s="46" t="n"/>
      <c r="DS117" s="46" t="n"/>
      <c r="DT117" s="46" t="n"/>
      <c r="DU117" s="46" t="n"/>
      <c r="DV117" s="46" t="n"/>
      <c r="DW117" s="46" t="n"/>
      <c r="DX117" s="46" t="n"/>
      <c r="DY117" s="46" t="n"/>
      <c r="DZ117" s="46" t="n"/>
      <c r="EA117" s="46" t="n"/>
      <c r="EB117" s="46" t="n"/>
      <c r="EC117" s="46" t="n"/>
      <c r="ED117" s="46" t="n"/>
      <c r="EE117" s="46" t="n"/>
      <c r="EF117" s="46" t="n"/>
      <c r="EG117" s="46" t="n"/>
      <c r="EH117" s="46" t="n"/>
      <c r="EI117" s="46" t="n"/>
      <c r="EJ117" s="46" t="n"/>
      <c r="EK117" s="46" t="n"/>
      <c r="EL117" s="46" t="n"/>
      <c r="EM117" s="46" t="n"/>
      <c r="EN117" s="46" t="n"/>
      <c r="EO117" s="46" t="n"/>
      <c r="EP117" s="46" t="n"/>
      <c r="EQ117" s="46" t="n"/>
      <c r="ER117" s="46" t="n"/>
      <c r="ES117" s="46" t="n"/>
      <c r="ET117" s="46" t="n"/>
      <c r="EU117" s="46" t="n"/>
      <c r="EV117" s="46" t="n"/>
      <c r="EW117" s="46" t="n"/>
      <c r="EX117" s="46" t="n"/>
      <c r="EY117" s="46" t="n"/>
      <c r="EZ117" s="46" t="n"/>
      <c r="FA117" s="46" t="n"/>
      <c r="FB117" s="46" t="n"/>
      <c r="FC117" s="46" t="n"/>
      <c r="FD117" s="46" t="n"/>
      <c r="FE117" s="46" t="n"/>
      <c r="FF117" s="46" t="n"/>
      <c r="FG117" s="46" t="n"/>
      <c r="FH117" s="46" t="n"/>
      <c r="FI117" s="46" t="n"/>
      <c r="FJ117" s="46" t="n"/>
      <c r="FK117" s="46" t="n"/>
      <c r="FL117" s="46" t="n"/>
      <c r="FM117" s="46" t="n"/>
      <c r="FN117" s="46" t="n"/>
    </row>
    <row r="118" ht="15" customFormat="1" customHeight="1" s="50">
      <c r="A118" s="49" t="n">
        <v>45566</v>
      </c>
      <c r="B118" s="43" t="n"/>
      <c r="C118" s="43" t="n">
        <v>218.185</v>
      </c>
      <c r="D118" s="44" t="n"/>
      <c r="E118" s="45" t="n"/>
      <c r="F118" s="46" t="n"/>
      <c r="G118" s="43" t="n">
        <v>127.369</v>
      </c>
      <c r="H118" s="43" t="n">
        <v>30.684</v>
      </c>
      <c r="I118" s="47">
        <f>G118/C118</f>
        <v/>
      </c>
      <c r="J118" s="46" t="n"/>
      <c r="K118" s="46" t="n">
        <v>171.288</v>
      </c>
      <c r="L118" s="46" t="n">
        <v>186.525</v>
      </c>
      <c r="M118" s="46" t="n">
        <v>181.685</v>
      </c>
      <c r="N118" s="45">
        <f>1-(M118/L118)</f>
        <v/>
      </c>
      <c r="O118" s="46" t="n">
        <v>173.222</v>
      </c>
      <c r="P118" s="46" t="n">
        <v>27.056</v>
      </c>
      <c r="Q118" s="46" t="n">
        <v>95.515</v>
      </c>
      <c r="R118" s="47">
        <f>K118/2/C118</f>
        <v/>
      </c>
      <c r="S118" s="46" t="n"/>
      <c r="T118" s="45">
        <f>R118+I118</f>
        <v/>
      </c>
      <c r="U118" s="46" t="n"/>
      <c r="V118" s="46" t="n"/>
      <c r="W118" s="46" t="n"/>
      <c r="X118" s="46" t="n"/>
      <c r="Y118" s="46" t="n"/>
      <c r="Z118" s="46" t="n"/>
      <c r="AA118" s="46" t="n"/>
      <c r="AB118" s="46" t="n"/>
      <c r="AC118" s="46" t="n"/>
      <c r="AD118" s="46" t="n"/>
      <c r="AE118" s="46" t="n"/>
      <c r="AF118" s="46" t="n"/>
      <c r="AG118" s="46" t="n"/>
      <c r="AH118" s="46" t="n"/>
      <c r="AI118" s="46" t="n"/>
      <c r="AJ118" s="46" t="n"/>
      <c r="AK118" s="46" t="n"/>
      <c r="AL118" s="46" t="n"/>
      <c r="AM118" s="46" t="n"/>
      <c r="AN118" s="46" t="n"/>
      <c r="AO118" s="46" t="n"/>
      <c r="AP118" s="46" t="n"/>
      <c r="AQ118" s="46" t="n"/>
      <c r="AR118" s="46" t="n"/>
      <c r="AS118" s="46" t="n"/>
      <c r="AT118" s="46" t="n"/>
      <c r="AU118" s="46" t="n"/>
      <c r="AV118" s="46" t="n"/>
      <c r="AW118" s="46" t="n"/>
      <c r="AX118" s="46" t="n"/>
      <c r="AY118" s="46" t="n"/>
      <c r="AZ118" s="46" t="n"/>
      <c r="BA118" s="46" t="n"/>
      <c r="BB118" s="46" t="n"/>
      <c r="BC118" s="46" t="n"/>
      <c r="BD118" s="46" t="n"/>
      <c r="BE118" s="46" t="n"/>
      <c r="BF118" s="46" t="n"/>
      <c r="BG118" s="46" t="n"/>
      <c r="BH118" s="46" t="n"/>
      <c r="BI118" s="46" t="n"/>
      <c r="BJ118" s="46" t="n"/>
      <c r="BK118" s="46" t="n"/>
      <c r="BL118" s="46" t="n"/>
      <c r="BM118" s="46" t="n"/>
      <c r="BN118" s="46" t="n"/>
      <c r="BO118" s="46" t="n"/>
      <c r="BP118" s="46" t="n"/>
      <c r="BQ118" s="46" t="n"/>
      <c r="BR118" s="46" t="n"/>
      <c r="BS118" s="46" t="n"/>
      <c r="BT118" s="46" t="n"/>
      <c r="BU118" s="46" t="n"/>
      <c r="BV118" s="46" t="n"/>
      <c r="BW118" s="46" t="n"/>
      <c r="BX118" s="46" t="n"/>
      <c r="BY118" s="46" t="n"/>
      <c r="BZ118" s="46" t="n"/>
      <c r="CA118" s="46" t="n"/>
      <c r="CB118" s="46" t="n"/>
      <c r="CC118" s="46" t="n"/>
      <c r="CD118" s="46" t="n"/>
      <c r="CE118" s="46" t="n"/>
      <c r="CF118" s="46" t="n"/>
      <c r="CG118" s="46" t="n"/>
      <c r="CH118" s="46" t="n"/>
      <c r="CI118" s="46" t="n"/>
      <c r="CJ118" s="46" t="n"/>
      <c r="CK118" s="46" t="n"/>
      <c r="CL118" s="46" t="n"/>
      <c r="CM118" s="46" t="n"/>
      <c r="CN118" s="46" t="n"/>
      <c r="CO118" s="46" t="n"/>
      <c r="CP118" s="46" t="n"/>
      <c r="CQ118" s="46" t="n"/>
      <c r="CR118" s="46" t="n"/>
      <c r="CS118" s="46" t="n"/>
      <c r="CT118" s="46" t="n"/>
      <c r="CU118" s="46" t="n"/>
      <c r="CV118" s="46" t="n"/>
      <c r="CW118" s="46" t="n"/>
      <c r="CX118" s="46" t="n"/>
      <c r="CY118" s="46" t="n"/>
      <c r="CZ118" s="46" t="n"/>
      <c r="DA118" s="46" t="n"/>
      <c r="DB118" s="46" t="n"/>
      <c r="DC118" s="46" t="n"/>
      <c r="DD118" s="46" t="n"/>
      <c r="DE118" s="46" t="n"/>
      <c r="DF118" s="46" t="n"/>
      <c r="DG118" s="46" t="n"/>
      <c r="DH118" s="46" t="n"/>
      <c r="DI118" s="46" t="n"/>
      <c r="DJ118" s="46" t="n"/>
      <c r="DK118" s="46" t="n"/>
      <c r="DL118" s="46" t="n"/>
      <c r="DM118" s="46" t="n"/>
      <c r="DN118" s="46" t="n"/>
      <c r="DO118" s="46" t="n"/>
      <c r="DP118" s="46" t="n"/>
      <c r="DQ118" s="46" t="n"/>
      <c r="DR118" s="46" t="n"/>
      <c r="DS118" s="46" t="n"/>
      <c r="DT118" s="46" t="n"/>
      <c r="DU118" s="46" t="n"/>
      <c r="DV118" s="46" t="n"/>
      <c r="DW118" s="46" t="n"/>
      <c r="DX118" s="46" t="n"/>
      <c r="DY118" s="46" t="n"/>
      <c r="DZ118" s="46" t="n"/>
      <c r="EA118" s="46" t="n"/>
      <c r="EB118" s="46" t="n"/>
      <c r="EC118" s="46" t="n"/>
      <c r="ED118" s="46" t="n"/>
      <c r="EE118" s="46" t="n"/>
      <c r="EF118" s="46" t="n"/>
      <c r="EG118" s="46" t="n"/>
      <c r="EH118" s="46" t="n"/>
      <c r="EI118" s="46" t="n"/>
      <c r="EJ118" s="46" t="n"/>
      <c r="EK118" s="46" t="n"/>
      <c r="EL118" s="46" t="n"/>
      <c r="EM118" s="46" t="n"/>
      <c r="EN118" s="46" t="n"/>
      <c r="EO118" s="46" t="n"/>
      <c r="EP118" s="46" t="n"/>
      <c r="EQ118" s="46" t="n"/>
      <c r="ER118" s="46" t="n"/>
      <c r="ES118" s="46" t="n"/>
      <c r="ET118" s="46" t="n"/>
      <c r="EU118" s="46" t="n"/>
      <c r="EV118" s="46" t="n"/>
      <c r="EW118" s="46" t="n"/>
      <c r="EX118" s="46" t="n"/>
      <c r="EY118" s="46" t="n"/>
      <c r="EZ118" s="46" t="n"/>
      <c r="FA118" s="46" t="n"/>
      <c r="FB118" s="46" t="n"/>
      <c r="FC118" s="46" t="n"/>
      <c r="FD118" s="46" t="n"/>
      <c r="FE118" s="46" t="n"/>
      <c r="FF118" s="46" t="n"/>
      <c r="FG118" s="46" t="n"/>
      <c r="FH118" s="46" t="n"/>
      <c r="FI118" s="46" t="n"/>
      <c r="FJ118" s="46" t="n"/>
      <c r="FK118" s="46" t="n"/>
      <c r="FL118" s="46" t="n"/>
      <c r="FM118" s="46" t="n"/>
      <c r="FN118" s="46" t="n"/>
    </row>
    <row r="119" ht="15" customFormat="1" customHeight="1" s="50">
      <c r="A119" s="49" t="n">
        <v>45597</v>
      </c>
      <c r="B119" s="43" t="n"/>
      <c r="C119" s="43" t="n">
        <v>211.013</v>
      </c>
      <c r="D119" s="44" t="n"/>
      <c r="E119" s="45" t="n"/>
      <c r="F119" s="46" t="n"/>
      <c r="G119" s="43" t="n">
        <v>124.015</v>
      </c>
      <c r="H119" s="43" t="n">
        <v>41.133</v>
      </c>
      <c r="I119" s="47">
        <f>G119/C119</f>
        <v/>
      </c>
      <c r="J119" s="46" t="n"/>
      <c r="K119" s="46" t="n">
        <v>167.654</v>
      </c>
      <c r="L119" s="46" t="n">
        <v>174.474</v>
      </c>
      <c r="M119" s="46" t="n">
        <v>169.374</v>
      </c>
      <c r="N119" s="45">
        <f>1-(M119/L119)</f>
        <v/>
      </c>
      <c r="O119" s="46" t="n">
        <v>170.597</v>
      </c>
      <c r="P119" s="46" t="n">
        <v>39.905</v>
      </c>
      <c r="Q119" s="46" t="n">
        <v>94.982</v>
      </c>
      <c r="R119" s="47">
        <f>K119/2/C119</f>
        <v/>
      </c>
      <c r="S119" s="46" t="n"/>
      <c r="T119" s="45">
        <f>R119+I119</f>
        <v/>
      </c>
      <c r="U119" s="46" t="n"/>
      <c r="V119" s="46" t="n"/>
      <c r="W119" s="46" t="n"/>
      <c r="X119" s="46" t="n"/>
      <c r="Y119" s="46" t="n"/>
      <c r="Z119" s="46" t="n"/>
      <c r="AA119" s="46" t="n"/>
      <c r="AB119" s="46" t="n"/>
      <c r="AC119" s="46" t="n"/>
      <c r="AD119" s="46" t="n"/>
      <c r="AE119" s="46" t="n"/>
      <c r="AF119" s="46" t="n"/>
      <c r="AG119" s="46" t="n"/>
      <c r="AH119" s="46" t="n"/>
      <c r="AI119" s="46" t="n"/>
      <c r="AJ119" s="46" t="n"/>
      <c r="AK119" s="46" t="n"/>
      <c r="AL119" s="46" t="n"/>
      <c r="AM119" s="46" t="n"/>
      <c r="AN119" s="46" t="n"/>
      <c r="AO119" s="46" t="n"/>
      <c r="AP119" s="46" t="n"/>
      <c r="AQ119" s="46" t="n"/>
      <c r="AR119" s="46" t="n"/>
      <c r="AS119" s="46" t="n"/>
      <c r="AT119" s="46" t="n"/>
      <c r="AU119" s="46" t="n"/>
      <c r="AV119" s="46" t="n"/>
      <c r="AW119" s="46" t="n"/>
      <c r="AX119" s="46" t="n"/>
      <c r="AY119" s="46" t="n"/>
      <c r="AZ119" s="46" t="n"/>
      <c r="BA119" s="46" t="n"/>
      <c r="BB119" s="46" t="n"/>
      <c r="BC119" s="46" t="n"/>
      <c r="BD119" s="46" t="n"/>
      <c r="BE119" s="46" t="n"/>
      <c r="BF119" s="46" t="n"/>
      <c r="BG119" s="46" t="n"/>
      <c r="BH119" s="46" t="n"/>
      <c r="BI119" s="46" t="n"/>
      <c r="BJ119" s="46" t="n"/>
      <c r="BK119" s="46" t="n"/>
      <c r="BL119" s="46" t="n"/>
      <c r="BM119" s="46" t="n"/>
      <c r="BN119" s="46" t="n"/>
      <c r="BO119" s="46" t="n"/>
      <c r="BP119" s="46" t="n"/>
      <c r="BQ119" s="46" t="n"/>
      <c r="BR119" s="46" t="n"/>
      <c r="BS119" s="46" t="n"/>
      <c r="BT119" s="46" t="n"/>
      <c r="BU119" s="46" t="n"/>
      <c r="BV119" s="46" t="n"/>
      <c r="BW119" s="46" t="n"/>
      <c r="BX119" s="46" t="n"/>
      <c r="BY119" s="46" t="n"/>
      <c r="BZ119" s="46" t="n"/>
      <c r="CA119" s="46" t="n"/>
      <c r="CB119" s="46" t="n"/>
      <c r="CC119" s="46" t="n"/>
      <c r="CD119" s="46" t="n"/>
      <c r="CE119" s="46" t="n"/>
      <c r="CF119" s="46" t="n"/>
      <c r="CG119" s="46" t="n"/>
      <c r="CH119" s="46" t="n"/>
      <c r="CI119" s="46" t="n"/>
      <c r="CJ119" s="46" t="n"/>
      <c r="CK119" s="46" t="n"/>
      <c r="CL119" s="46" t="n"/>
      <c r="CM119" s="46" t="n"/>
      <c r="CN119" s="46" t="n"/>
      <c r="CO119" s="46" t="n"/>
      <c r="CP119" s="46" t="n"/>
      <c r="CQ119" s="46" t="n"/>
      <c r="CR119" s="46" t="n"/>
      <c r="CS119" s="46" t="n"/>
      <c r="CT119" s="46" t="n"/>
      <c r="CU119" s="46" t="n"/>
      <c r="CV119" s="46" t="n"/>
      <c r="CW119" s="46" t="n"/>
      <c r="CX119" s="46" t="n"/>
      <c r="CY119" s="46" t="n"/>
      <c r="CZ119" s="46" t="n"/>
      <c r="DA119" s="46" t="n"/>
      <c r="DB119" s="46" t="n"/>
      <c r="DC119" s="46" t="n"/>
      <c r="DD119" s="46" t="n"/>
      <c r="DE119" s="46" t="n"/>
      <c r="DF119" s="46" t="n"/>
      <c r="DG119" s="46" t="n"/>
      <c r="DH119" s="46" t="n"/>
      <c r="DI119" s="46" t="n"/>
      <c r="DJ119" s="46" t="n"/>
      <c r="DK119" s="46" t="n"/>
      <c r="DL119" s="46" t="n"/>
      <c r="DM119" s="46" t="n"/>
      <c r="DN119" s="46" t="n"/>
      <c r="DO119" s="46" t="n"/>
      <c r="DP119" s="46" t="n"/>
      <c r="DQ119" s="46" t="n"/>
      <c r="DR119" s="46" t="n"/>
      <c r="DS119" s="46" t="n"/>
      <c r="DT119" s="46" t="n"/>
      <c r="DU119" s="46" t="n"/>
      <c r="DV119" s="46" t="n"/>
      <c r="DW119" s="46" t="n"/>
      <c r="DX119" s="46" t="n"/>
      <c r="DY119" s="46" t="n"/>
      <c r="DZ119" s="46" t="n"/>
      <c r="EA119" s="46" t="n"/>
      <c r="EB119" s="46" t="n"/>
      <c r="EC119" s="46" t="n"/>
      <c r="ED119" s="46" t="n"/>
      <c r="EE119" s="46" t="n"/>
      <c r="EF119" s="46" t="n"/>
      <c r="EG119" s="46" t="n"/>
      <c r="EH119" s="46" t="n"/>
      <c r="EI119" s="46" t="n"/>
      <c r="EJ119" s="46" t="n"/>
      <c r="EK119" s="46" t="n"/>
      <c r="EL119" s="46" t="n"/>
      <c r="EM119" s="46" t="n"/>
      <c r="EN119" s="46" t="n"/>
      <c r="EO119" s="46" t="n"/>
      <c r="EP119" s="46" t="n"/>
      <c r="EQ119" s="46" t="n"/>
      <c r="ER119" s="46" t="n"/>
      <c r="ES119" s="46" t="n"/>
      <c r="ET119" s="46" t="n"/>
      <c r="EU119" s="46" t="n"/>
      <c r="EV119" s="46" t="n"/>
      <c r="EW119" s="46" t="n"/>
      <c r="EX119" s="46" t="n"/>
      <c r="EY119" s="46" t="n"/>
      <c r="EZ119" s="46" t="n"/>
      <c r="FA119" s="46" t="n"/>
      <c r="FB119" s="46" t="n"/>
      <c r="FC119" s="46" t="n"/>
      <c r="FD119" s="46" t="n"/>
      <c r="FE119" s="46" t="n"/>
      <c r="FF119" s="46" t="n"/>
      <c r="FG119" s="46" t="n"/>
      <c r="FH119" s="46" t="n"/>
      <c r="FI119" s="46" t="n"/>
      <c r="FJ119" s="46" t="n"/>
      <c r="FK119" s="46" t="n"/>
      <c r="FL119" s="46" t="n"/>
      <c r="FM119" s="46" t="n"/>
      <c r="FN119" s="46" t="n"/>
    </row>
    <row r="120" ht="15" customFormat="1" customHeight="1" s="50">
      <c r="A120" s="49" t="n">
        <v>45627</v>
      </c>
      <c r="B120" s="43" t="n"/>
      <c r="C120" s="43" t="n">
        <v>223.154</v>
      </c>
      <c r="D120" s="44" t="n"/>
      <c r="E120" s="45" t="n"/>
      <c r="F120" s="46" t="n"/>
      <c r="G120" s="43" t="n">
        <v>132.987</v>
      </c>
      <c r="H120" s="43" t="n">
        <v>37.61</v>
      </c>
      <c r="I120" s="47">
        <f>G120/C120</f>
        <v/>
      </c>
      <c r="J120" s="46" t="n"/>
      <c r="K120" s="46" t="n">
        <v>173.782</v>
      </c>
      <c r="L120" s="46" t="n">
        <v>178.348</v>
      </c>
      <c r="M120" s="46" t="n">
        <v>173.043</v>
      </c>
      <c r="N120" s="45">
        <f>1-(M120/L120)</f>
        <v/>
      </c>
      <c r="O120" s="46" t="n">
        <v>174.78</v>
      </c>
      <c r="P120" s="46" t="n">
        <v>28.529</v>
      </c>
      <c r="Q120" s="46" t="n">
        <v>97.70999999999999</v>
      </c>
      <c r="R120" s="47">
        <f>K120/2/C120</f>
        <v/>
      </c>
      <c r="S120" s="46" t="n"/>
      <c r="T120" s="45">
        <f>R120+I120</f>
        <v/>
      </c>
      <c r="U120" s="46" t="n"/>
      <c r="V120" s="46" t="n"/>
      <c r="W120" s="46" t="n"/>
      <c r="X120" s="46" t="n"/>
      <c r="Y120" s="46" t="n"/>
      <c r="Z120" s="46" t="n"/>
      <c r="AA120" s="46" t="n"/>
      <c r="AB120" s="46" t="n"/>
      <c r="AC120" s="46" t="n"/>
      <c r="AD120" s="46" t="n"/>
      <c r="AE120" s="46" t="n"/>
      <c r="AF120" s="46" t="n"/>
      <c r="AG120" s="46" t="n"/>
      <c r="AH120" s="46" t="n"/>
      <c r="AI120" s="46" t="n"/>
      <c r="AJ120" s="46" t="n"/>
      <c r="AK120" s="46" t="n"/>
      <c r="AL120" s="46" t="n"/>
      <c r="AM120" s="46" t="n"/>
      <c r="AN120" s="46" t="n"/>
      <c r="AO120" s="46" t="n"/>
      <c r="AP120" s="46" t="n"/>
      <c r="AQ120" s="46" t="n"/>
      <c r="AR120" s="46" t="n"/>
      <c r="AS120" s="46" t="n"/>
      <c r="AT120" s="46" t="n"/>
      <c r="AU120" s="46" t="n"/>
      <c r="AV120" s="46" t="n"/>
      <c r="AW120" s="46" t="n"/>
      <c r="AX120" s="46" t="n"/>
      <c r="AY120" s="46" t="n"/>
      <c r="AZ120" s="46" t="n"/>
      <c r="BA120" s="46" t="n"/>
      <c r="BB120" s="46" t="n"/>
      <c r="BC120" s="46" t="n"/>
      <c r="BD120" s="46" t="n"/>
      <c r="BE120" s="46" t="n"/>
      <c r="BF120" s="46" t="n"/>
      <c r="BG120" s="46" t="n"/>
      <c r="BH120" s="46" t="n"/>
      <c r="BI120" s="46" t="n"/>
      <c r="BJ120" s="46" t="n"/>
      <c r="BK120" s="46" t="n"/>
      <c r="BL120" s="46" t="n"/>
      <c r="BM120" s="46" t="n"/>
      <c r="BN120" s="46" t="n"/>
      <c r="BO120" s="46" t="n"/>
      <c r="BP120" s="46" t="n"/>
      <c r="BQ120" s="46" t="n"/>
      <c r="BR120" s="46" t="n"/>
      <c r="BS120" s="46" t="n"/>
      <c r="BT120" s="46" t="n"/>
      <c r="BU120" s="46" t="n"/>
      <c r="BV120" s="46" t="n"/>
      <c r="BW120" s="46" t="n"/>
      <c r="BX120" s="46" t="n"/>
      <c r="BY120" s="46" t="n"/>
      <c r="BZ120" s="46" t="n"/>
      <c r="CA120" s="46" t="n"/>
      <c r="CB120" s="46" t="n"/>
      <c r="CC120" s="46" t="n"/>
      <c r="CD120" s="46" t="n"/>
      <c r="CE120" s="46" t="n"/>
      <c r="CF120" s="46" t="n"/>
      <c r="CG120" s="46" t="n"/>
      <c r="CH120" s="46" t="n"/>
      <c r="CI120" s="46" t="n"/>
      <c r="CJ120" s="46" t="n"/>
      <c r="CK120" s="46" t="n"/>
      <c r="CL120" s="46" t="n"/>
      <c r="CM120" s="46" t="n"/>
      <c r="CN120" s="46" t="n"/>
      <c r="CO120" s="46" t="n"/>
      <c r="CP120" s="46" t="n"/>
      <c r="CQ120" s="46" t="n"/>
      <c r="CR120" s="46" t="n"/>
      <c r="CS120" s="46" t="n"/>
      <c r="CT120" s="46" t="n"/>
      <c r="CU120" s="46" t="n"/>
      <c r="CV120" s="46" t="n"/>
      <c r="CW120" s="46" t="n"/>
      <c r="CX120" s="46" t="n"/>
      <c r="CY120" s="46" t="n"/>
      <c r="CZ120" s="46" t="n"/>
      <c r="DA120" s="46" t="n"/>
      <c r="DB120" s="46" t="n"/>
      <c r="DC120" s="46" t="n"/>
      <c r="DD120" s="46" t="n"/>
      <c r="DE120" s="46" t="n"/>
      <c r="DF120" s="46" t="n"/>
      <c r="DG120" s="46" t="n"/>
      <c r="DH120" s="46" t="n"/>
      <c r="DI120" s="46" t="n"/>
      <c r="DJ120" s="46" t="n"/>
      <c r="DK120" s="46" t="n"/>
      <c r="DL120" s="46" t="n"/>
      <c r="DM120" s="46" t="n"/>
      <c r="DN120" s="46" t="n"/>
      <c r="DO120" s="46" t="n"/>
      <c r="DP120" s="46" t="n"/>
      <c r="DQ120" s="46" t="n"/>
      <c r="DR120" s="46" t="n"/>
      <c r="DS120" s="46" t="n"/>
      <c r="DT120" s="46" t="n"/>
      <c r="DU120" s="46" t="n"/>
      <c r="DV120" s="46" t="n"/>
      <c r="DW120" s="46" t="n"/>
      <c r="DX120" s="46" t="n"/>
      <c r="DY120" s="46" t="n"/>
      <c r="DZ120" s="46" t="n"/>
      <c r="EA120" s="46" t="n"/>
      <c r="EB120" s="46" t="n"/>
      <c r="EC120" s="46" t="n"/>
      <c r="ED120" s="46" t="n"/>
      <c r="EE120" s="46" t="n"/>
      <c r="EF120" s="46" t="n"/>
      <c r="EG120" s="46" t="n"/>
      <c r="EH120" s="46" t="n"/>
      <c r="EI120" s="46" t="n"/>
      <c r="EJ120" s="46" t="n"/>
      <c r="EK120" s="46" t="n"/>
      <c r="EL120" s="46" t="n"/>
      <c r="EM120" s="46" t="n"/>
      <c r="EN120" s="46" t="n"/>
      <c r="EO120" s="46" t="n"/>
      <c r="EP120" s="46" t="n"/>
      <c r="EQ120" s="46" t="n"/>
      <c r="ER120" s="46" t="n"/>
      <c r="ES120" s="46" t="n"/>
      <c r="ET120" s="46" t="n"/>
      <c r="EU120" s="46" t="n"/>
      <c r="EV120" s="46" t="n"/>
      <c r="EW120" s="46" t="n"/>
      <c r="EX120" s="46" t="n"/>
      <c r="EY120" s="46" t="n"/>
      <c r="EZ120" s="46" t="n"/>
      <c r="FA120" s="46" t="n"/>
      <c r="FB120" s="46" t="n"/>
      <c r="FC120" s="46" t="n"/>
      <c r="FD120" s="46" t="n"/>
      <c r="FE120" s="46" t="n"/>
      <c r="FF120" s="46" t="n"/>
      <c r="FG120" s="46" t="n"/>
      <c r="FH120" s="46" t="n"/>
      <c r="FI120" s="46" t="n"/>
      <c r="FJ120" s="46" t="n"/>
      <c r="FK120" s="46" t="n"/>
      <c r="FL120" s="46" t="n"/>
      <c r="FM120" s="46" t="n"/>
      <c r="FN120" s="46" t="n"/>
    </row>
    <row r="121" ht="15" customFormat="1" customHeight="1" s="50">
      <c r="A121" s="49" t="n">
        <v>45658</v>
      </c>
      <c r="B121" s="43" t="n"/>
      <c r="C121" s="43" t="n">
        <v>205.923</v>
      </c>
      <c r="D121" s="44" t="n"/>
      <c r="E121" s="45" t="n"/>
      <c r="F121" s="46" t="n"/>
      <c r="G121" s="43" t="n">
        <v>124.144</v>
      </c>
      <c r="H121" s="43" t="n">
        <v>33.527</v>
      </c>
      <c r="I121" s="47">
        <f>G121/C121</f>
        <v/>
      </c>
      <c r="J121" s="46" t="n"/>
      <c r="K121" s="46" t="n">
        <v>160.161</v>
      </c>
      <c r="L121" s="46" t="n">
        <v>162.045</v>
      </c>
      <c r="M121" s="46" t="n">
        <v>156.981</v>
      </c>
      <c r="N121" s="45">
        <f>1-(M121/L121)</f>
        <v/>
      </c>
      <c r="O121" s="46" t="n">
        <v>159.651</v>
      </c>
      <c r="P121" s="46" t="n">
        <v>34.773</v>
      </c>
      <c r="Q121" s="46" t="n">
        <v>112.837</v>
      </c>
      <c r="R121" s="47">
        <f>K121/2/C121</f>
        <v/>
      </c>
      <c r="S121" s="46" t="n"/>
      <c r="T121" s="45">
        <f>R121+I121</f>
        <v/>
      </c>
      <c r="U121" s="46" t="n"/>
      <c r="V121" s="46" t="n"/>
      <c r="W121" s="46" t="n"/>
      <c r="X121" s="46" t="n"/>
      <c r="Y121" s="46" t="n"/>
      <c r="Z121" s="46" t="n"/>
      <c r="AA121" s="46" t="n"/>
      <c r="AB121" s="46" t="n"/>
      <c r="AC121" s="46" t="n"/>
      <c r="AD121" s="46" t="n"/>
      <c r="AE121" s="46" t="n"/>
      <c r="AF121" s="46" t="n"/>
      <c r="AG121" s="46" t="n"/>
      <c r="AH121" s="46" t="n"/>
      <c r="AI121" s="46" t="n"/>
      <c r="AJ121" s="46" t="n"/>
      <c r="AK121" s="46" t="n"/>
      <c r="AL121" s="46" t="n"/>
      <c r="AM121" s="46" t="n"/>
      <c r="AN121" s="46" t="n"/>
      <c r="AO121" s="46" t="n"/>
      <c r="AP121" s="46" t="n"/>
      <c r="AQ121" s="46" t="n"/>
      <c r="AR121" s="46" t="n"/>
      <c r="AS121" s="46" t="n"/>
      <c r="AT121" s="46" t="n"/>
      <c r="AU121" s="46" t="n"/>
      <c r="AV121" s="46" t="n"/>
      <c r="AW121" s="46" t="n"/>
      <c r="AX121" s="46" t="n"/>
      <c r="AY121" s="46" t="n"/>
      <c r="AZ121" s="46" t="n"/>
      <c r="BA121" s="46" t="n"/>
      <c r="BB121" s="46" t="n"/>
      <c r="BC121" s="46" t="n"/>
      <c r="BD121" s="46" t="n"/>
      <c r="BE121" s="46" t="n"/>
      <c r="BF121" s="46" t="n"/>
      <c r="BG121" s="46" t="n"/>
      <c r="BH121" s="46" t="n"/>
      <c r="BI121" s="46" t="n"/>
      <c r="BJ121" s="46" t="n"/>
      <c r="BK121" s="46" t="n"/>
      <c r="BL121" s="46" t="n"/>
      <c r="BM121" s="46" t="n"/>
      <c r="BN121" s="46" t="n"/>
      <c r="BO121" s="46" t="n"/>
      <c r="BP121" s="46" t="n"/>
      <c r="BQ121" s="46" t="n"/>
      <c r="BR121" s="46" t="n"/>
      <c r="BS121" s="46" t="n"/>
      <c r="BT121" s="46" t="n"/>
      <c r="BU121" s="46" t="n"/>
      <c r="BV121" s="46" t="n"/>
      <c r="BW121" s="46" t="n"/>
      <c r="BX121" s="46" t="n"/>
      <c r="BY121" s="46" t="n"/>
      <c r="BZ121" s="46" t="n"/>
      <c r="CA121" s="46" t="n"/>
      <c r="CB121" s="46" t="n"/>
      <c r="CC121" s="46" t="n"/>
      <c r="CD121" s="46" t="n"/>
      <c r="CE121" s="46" t="n"/>
      <c r="CF121" s="46" t="n"/>
      <c r="CG121" s="46" t="n"/>
      <c r="CH121" s="46" t="n"/>
      <c r="CI121" s="46" t="n"/>
      <c r="CJ121" s="46" t="n"/>
      <c r="CK121" s="46" t="n"/>
      <c r="CL121" s="46" t="n"/>
      <c r="CM121" s="46" t="n"/>
      <c r="CN121" s="46" t="n"/>
      <c r="CO121" s="46" t="n"/>
      <c r="CP121" s="46" t="n"/>
      <c r="CQ121" s="46" t="n"/>
      <c r="CR121" s="46" t="n"/>
      <c r="CS121" s="46" t="n"/>
      <c r="CT121" s="46" t="n"/>
      <c r="CU121" s="46" t="n"/>
      <c r="CV121" s="46" t="n"/>
      <c r="CW121" s="46" t="n"/>
      <c r="CX121" s="46" t="n"/>
      <c r="CY121" s="46" t="n"/>
      <c r="CZ121" s="46" t="n"/>
      <c r="DA121" s="46" t="n"/>
      <c r="DB121" s="46" t="n"/>
      <c r="DC121" s="46" t="n"/>
      <c r="DD121" s="46" t="n"/>
      <c r="DE121" s="46" t="n"/>
      <c r="DF121" s="46" t="n"/>
      <c r="DG121" s="46" t="n"/>
      <c r="DH121" s="46" t="n"/>
      <c r="DI121" s="46" t="n"/>
      <c r="DJ121" s="46" t="n"/>
      <c r="DK121" s="46" t="n"/>
      <c r="DL121" s="46" t="n"/>
      <c r="DM121" s="46" t="n"/>
      <c r="DN121" s="46" t="n"/>
      <c r="DO121" s="46" t="n"/>
      <c r="DP121" s="46" t="n"/>
      <c r="DQ121" s="46" t="n"/>
      <c r="DR121" s="46" t="n"/>
      <c r="DS121" s="46" t="n"/>
      <c r="DT121" s="46" t="n"/>
      <c r="DU121" s="46" t="n"/>
      <c r="DV121" s="46" t="n"/>
      <c r="DW121" s="46" t="n"/>
      <c r="DX121" s="46" t="n"/>
      <c r="DY121" s="46" t="n"/>
      <c r="DZ121" s="46" t="n"/>
      <c r="EA121" s="46" t="n"/>
      <c r="EB121" s="46" t="n"/>
      <c r="EC121" s="46" t="n"/>
      <c r="ED121" s="46" t="n"/>
      <c r="EE121" s="46" t="n"/>
      <c r="EF121" s="46" t="n"/>
      <c r="EG121" s="46" t="n"/>
      <c r="EH121" s="46" t="n"/>
      <c r="EI121" s="46" t="n"/>
      <c r="EJ121" s="46" t="n"/>
      <c r="EK121" s="46" t="n"/>
      <c r="EL121" s="46" t="n"/>
      <c r="EM121" s="46" t="n"/>
      <c r="EN121" s="46" t="n"/>
      <c r="EO121" s="46" t="n"/>
      <c r="EP121" s="46" t="n"/>
      <c r="EQ121" s="46" t="n"/>
      <c r="ER121" s="46" t="n"/>
      <c r="ES121" s="46" t="n"/>
      <c r="ET121" s="46" t="n"/>
      <c r="EU121" s="46" t="n"/>
      <c r="EV121" s="46" t="n"/>
      <c r="EW121" s="46" t="n"/>
      <c r="EX121" s="46" t="n"/>
      <c r="EY121" s="46" t="n"/>
      <c r="EZ121" s="46" t="n"/>
      <c r="FA121" s="46" t="n"/>
      <c r="FB121" s="46" t="n"/>
      <c r="FC121" s="46" t="n"/>
      <c r="FD121" s="46" t="n"/>
      <c r="FE121" s="46" t="n"/>
      <c r="FF121" s="46" t="n"/>
      <c r="FG121" s="46" t="n"/>
      <c r="FH121" s="46" t="n"/>
      <c r="FI121" s="46" t="n"/>
      <c r="FJ121" s="46" t="n"/>
      <c r="FK121" s="46" t="n"/>
      <c r="FL121" s="46" t="n"/>
      <c r="FM121" s="46" t="n"/>
      <c r="FN121" s="46" t="n"/>
    </row>
    <row r="122" ht="15" customFormat="1" customHeight="1" s="50">
      <c r="A122" s="49" t="n">
        <v>45689</v>
      </c>
      <c r="B122" s="43" t="n"/>
      <c r="C122" s="43" t="n">
        <v>154.734</v>
      </c>
      <c r="D122" s="44" t="n"/>
      <c r="E122" s="45" t="n"/>
      <c r="F122" s="46" t="n"/>
      <c r="G122" s="43" t="n">
        <v>93.248</v>
      </c>
      <c r="H122" s="43" t="n">
        <v>28.361</v>
      </c>
      <c r="I122" s="47">
        <f>G122/C122</f>
        <v/>
      </c>
      <c r="J122" s="46" t="n"/>
      <c r="K122" s="46" t="n">
        <v>120.587</v>
      </c>
      <c r="L122" s="46" t="n">
        <v>132.622</v>
      </c>
      <c r="M122" s="46" t="n">
        <v>129.195</v>
      </c>
      <c r="N122" s="45">
        <f>1-(M122/L122)</f>
        <v/>
      </c>
      <c r="O122" s="46" t="n">
        <v>140.985</v>
      </c>
      <c r="P122" s="46" t="n">
        <v>54.367</v>
      </c>
      <c r="Q122" s="46" t="n">
        <v>104.871</v>
      </c>
      <c r="R122" s="47">
        <f>K122/2/C122</f>
        <v/>
      </c>
      <c r="S122" s="46" t="n"/>
      <c r="T122" s="45">
        <f>R122+I122</f>
        <v/>
      </c>
      <c r="U122" s="46" t="n"/>
      <c r="V122" s="46" t="n"/>
      <c r="W122" s="46" t="n"/>
      <c r="X122" s="46" t="n"/>
      <c r="Y122" s="46" t="n"/>
      <c r="Z122" s="46" t="n"/>
      <c r="AA122" s="46" t="n"/>
      <c r="AB122" s="46" t="n"/>
      <c r="AC122" s="46" t="n"/>
      <c r="AD122" s="46" t="n"/>
      <c r="AE122" s="46" t="n"/>
      <c r="AF122" s="46" t="n"/>
      <c r="AG122" s="46" t="n"/>
      <c r="AH122" s="46" t="n"/>
      <c r="AI122" s="46" t="n"/>
      <c r="AJ122" s="46" t="n"/>
      <c r="AK122" s="46" t="n"/>
      <c r="AL122" s="46" t="n"/>
      <c r="AM122" s="46" t="n"/>
      <c r="AN122" s="46" t="n"/>
      <c r="AO122" s="46" t="n"/>
      <c r="AP122" s="46" t="n"/>
      <c r="AQ122" s="46" t="n"/>
      <c r="AR122" s="46" t="n"/>
      <c r="AS122" s="46" t="n"/>
      <c r="AT122" s="46" t="n"/>
      <c r="AU122" s="46" t="n"/>
      <c r="AV122" s="46" t="n"/>
      <c r="AW122" s="46" t="n"/>
      <c r="AX122" s="46" t="n"/>
      <c r="AY122" s="46" t="n"/>
      <c r="AZ122" s="46" t="n"/>
      <c r="BA122" s="46" t="n"/>
      <c r="BB122" s="46" t="n"/>
      <c r="BC122" s="46" t="n"/>
      <c r="BD122" s="46" t="n"/>
      <c r="BE122" s="46" t="n"/>
      <c r="BF122" s="46" t="n"/>
      <c r="BG122" s="46" t="n"/>
      <c r="BH122" s="46" t="n"/>
      <c r="BI122" s="46" t="n"/>
      <c r="BJ122" s="46" t="n"/>
      <c r="BK122" s="46" t="n"/>
      <c r="BL122" s="46" t="n"/>
      <c r="BM122" s="46" t="n"/>
      <c r="BN122" s="46" t="n"/>
      <c r="BO122" s="46" t="n"/>
      <c r="BP122" s="46" t="n"/>
      <c r="BQ122" s="46" t="n"/>
      <c r="BR122" s="46" t="n"/>
      <c r="BS122" s="46" t="n"/>
      <c r="BT122" s="46" t="n"/>
      <c r="BU122" s="46" t="n"/>
      <c r="BV122" s="46" t="n"/>
      <c r="BW122" s="46" t="n"/>
      <c r="BX122" s="46" t="n"/>
      <c r="BY122" s="46" t="n"/>
      <c r="BZ122" s="46" t="n"/>
      <c r="CA122" s="46" t="n"/>
      <c r="CB122" s="46" t="n"/>
      <c r="CC122" s="46" t="n"/>
      <c r="CD122" s="46" t="n"/>
      <c r="CE122" s="46" t="n"/>
      <c r="CF122" s="46" t="n"/>
      <c r="CG122" s="46" t="n"/>
      <c r="CH122" s="46" t="n"/>
      <c r="CI122" s="46" t="n"/>
      <c r="CJ122" s="46" t="n"/>
      <c r="CK122" s="46" t="n"/>
      <c r="CL122" s="46" t="n"/>
      <c r="CM122" s="46" t="n"/>
      <c r="CN122" s="46" t="n"/>
      <c r="CO122" s="46" t="n"/>
      <c r="CP122" s="46" t="n"/>
      <c r="CQ122" s="46" t="n"/>
      <c r="CR122" s="46" t="n"/>
      <c r="CS122" s="46" t="n"/>
      <c r="CT122" s="46" t="n"/>
      <c r="CU122" s="46" t="n"/>
      <c r="CV122" s="46" t="n"/>
      <c r="CW122" s="46" t="n"/>
      <c r="CX122" s="46" t="n"/>
      <c r="CY122" s="46" t="n"/>
      <c r="CZ122" s="46" t="n"/>
      <c r="DA122" s="46" t="n"/>
      <c r="DB122" s="46" t="n"/>
      <c r="DC122" s="46" t="n"/>
      <c r="DD122" s="46" t="n"/>
      <c r="DE122" s="46" t="n"/>
      <c r="DF122" s="46" t="n"/>
      <c r="DG122" s="46" t="n"/>
      <c r="DH122" s="46" t="n"/>
      <c r="DI122" s="46" t="n"/>
      <c r="DJ122" s="46" t="n"/>
      <c r="DK122" s="46" t="n"/>
      <c r="DL122" s="46" t="n"/>
      <c r="DM122" s="46" t="n"/>
      <c r="DN122" s="46" t="n"/>
      <c r="DO122" s="46" t="n"/>
      <c r="DP122" s="46" t="n"/>
      <c r="DQ122" s="46" t="n"/>
      <c r="DR122" s="46" t="n"/>
      <c r="DS122" s="46" t="n"/>
      <c r="DT122" s="46" t="n"/>
      <c r="DU122" s="46" t="n"/>
      <c r="DV122" s="46" t="n"/>
      <c r="DW122" s="46" t="n"/>
      <c r="DX122" s="46" t="n"/>
      <c r="DY122" s="46" t="n"/>
      <c r="DZ122" s="46" t="n"/>
      <c r="EA122" s="46" t="n"/>
      <c r="EB122" s="46" t="n"/>
      <c r="EC122" s="46" t="n"/>
      <c r="ED122" s="46" t="n"/>
      <c r="EE122" s="46" t="n"/>
      <c r="EF122" s="46" t="n"/>
      <c r="EG122" s="46" t="n"/>
      <c r="EH122" s="46" t="n"/>
      <c r="EI122" s="46" t="n"/>
      <c r="EJ122" s="46" t="n"/>
      <c r="EK122" s="46" t="n"/>
      <c r="EL122" s="46" t="n"/>
      <c r="EM122" s="46" t="n"/>
      <c r="EN122" s="46" t="n"/>
      <c r="EO122" s="46" t="n"/>
      <c r="EP122" s="46" t="n"/>
      <c r="EQ122" s="46" t="n"/>
      <c r="ER122" s="46" t="n"/>
      <c r="ES122" s="46" t="n"/>
      <c r="ET122" s="46" t="n"/>
      <c r="EU122" s="46" t="n"/>
      <c r="EV122" s="46" t="n"/>
      <c r="EW122" s="46" t="n"/>
      <c r="EX122" s="46" t="n"/>
      <c r="EY122" s="46" t="n"/>
      <c r="EZ122" s="46" t="n"/>
      <c r="FA122" s="46" t="n"/>
      <c r="FB122" s="46" t="n"/>
      <c r="FC122" s="46" t="n"/>
      <c r="FD122" s="46" t="n"/>
      <c r="FE122" s="46" t="n"/>
      <c r="FF122" s="46" t="n"/>
      <c r="FG122" s="46" t="n"/>
      <c r="FH122" s="46" t="n"/>
      <c r="FI122" s="46" t="n"/>
      <c r="FJ122" s="46" t="n"/>
      <c r="FK122" s="46" t="n"/>
      <c r="FL122" s="46" t="n"/>
      <c r="FM122" s="46" t="n"/>
      <c r="FN122" s="46" t="n"/>
    </row>
    <row r="123" ht="15" customFormat="1" customHeight="1" s="50">
      <c r="A123" s="49" t="n">
        <v>45717</v>
      </c>
      <c r="B123" s="43" t="n"/>
      <c r="C123" s="43" t="n">
        <v>200.953</v>
      </c>
      <c r="D123" s="44" t="n"/>
      <c r="E123" s="45" t="n"/>
      <c r="F123" s="46" t="n"/>
      <c r="G123" s="43" t="n">
        <v>120.325</v>
      </c>
      <c r="H123" s="43" t="n">
        <v>31.77</v>
      </c>
      <c r="I123" s="47">
        <f>G123/C123</f>
        <v/>
      </c>
      <c r="J123" s="46" t="n"/>
      <c r="K123" s="46" t="n">
        <v>159.841</v>
      </c>
      <c r="L123" s="46" t="n">
        <v>178.088</v>
      </c>
      <c r="M123" s="46" t="n">
        <v>172.517</v>
      </c>
      <c r="N123" s="45">
        <f>1-(M123/L123)</f>
        <v/>
      </c>
      <c r="O123" s="46" t="n">
        <v>159.773</v>
      </c>
      <c r="P123" s="46" t="n">
        <v>34.86</v>
      </c>
      <c r="Q123" s="46" t="n">
        <v>113.39</v>
      </c>
      <c r="R123" s="47">
        <f>K123/2/C123</f>
        <v/>
      </c>
      <c r="S123" s="46" t="n"/>
      <c r="T123" s="45">
        <f>R123+I123</f>
        <v/>
      </c>
      <c r="U123" s="46" t="n"/>
      <c r="V123" s="46" t="n"/>
      <c r="W123" s="46" t="n"/>
      <c r="X123" s="46" t="n"/>
      <c r="Y123" s="46" t="n"/>
      <c r="Z123" s="46" t="n"/>
      <c r="AA123" s="46" t="n"/>
      <c r="AB123" s="46" t="n"/>
      <c r="AC123" s="46" t="n"/>
      <c r="AD123" s="46" t="n"/>
      <c r="AE123" s="46" t="n"/>
      <c r="AF123" s="46" t="n"/>
      <c r="AG123" s="46" t="n"/>
      <c r="AH123" s="46" t="n"/>
      <c r="AI123" s="46" t="n"/>
      <c r="AJ123" s="46" t="n"/>
      <c r="AK123" s="46" t="n"/>
      <c r="AL123" s="46" t="n"/>
      <c r="AM123" s="46" t="n"/>
      <c r="AN123" s="46" t="n"/>
      <c r="AO123" s="46" t="n"/>
      <c r="AP123" s="46" t="n"/>
      <c r="AQ123" s="46" t="n"/>
      <c r="AR123" s="46" t="n"/>
      <c r="AS123" s="46" t="n"/>
      <c r="AT123" s="46" t="n"/>
      <c r="AU123" s="46" t="n"/>
      <c r="AV123" s="46" t="n"/>
      <c r="AW123" s="46" t="n"/>
      <c r="AX123" s="46" t="n"/>
      <c r="AY123" s="46" t="n"/>
      <c r="AZ123" s="46" t="n"/>
      <c r="BA123" s="46" t="n"/>
      <c r="BB123" s="46" t="n"/>
      <c r="BC123" s="46" t="n"/>
      <c r="BD123" s="46" t="n"/>
      <c r="BE123" s="46" t="n"/>
      <c r="BF123" s="46" t="n"/>
      <c r="BG123" s="46" t="n"/>
      <c r="BH123" s="46" t="n"/>
      <c r="BI123" s="46" t="n"/>
      <c r="BJ123" s="46" t="n"/>
      <c r="BK123" s="46" t="n"/>
      <c r="BL123" s="46" t="n"/>
      <c r="BM123" s="46" t="n"/>
      <c r="BN123" s="46" t="n"/>
      <c r="BO123" s="46" t="n"/>
      <c r="BP123" s="46" t="n"/>
      <c r="BQ123" s="46" t="n"/>
      <c r="BR123" s="46" t="n"/>
      <c r="BS123" s="46" t="n"/>
      <c r="BT123" s="46" t="n"/>
      <c r="BU123" s="46" t="n"/>
      <c r="BV123" s="46" t="n"/>
      <c r="BW123" s="46" t="n"/>
      <c r="BX123" s="46" t="n"/>
      <c r="BY123" s="46" t="n"/>
      <c r="BZ123" s="46" t="n"/>
      <c r="CA123" s="46" t="n"/>
      <c r="CB123" s="46" t="n"/>
      <c r="CC123" s="46" t="n"/>
      <c r="CD123" s="46" t="n"/>
      <c r="CE123" s="46" t="n"/>
      <c r="CF123" s="46" t="n"/>
      <c r="CG123" s="46" t="n"/>
      <c r="CH123" s="46" t="n"/>
      <c r="CI123" s="46" t="n"/>
      <c r="CJ123" s="46" t="n"/>
      <c r="CK123" s="46" t="n"/>
      <c r="CL123" s="46" t="n"/>
      <c r="CM123" s="46" t="n"/>
      <c r="CN123" s="46" t="n"/>
      <c r="CO123" s="46" t="n"/>
      <c r="CP123" s="46" t="n"/>
      <c r="CQ123" s="46" t="n"/>
      <c r="CR123" s="46" t="n"/>
      <c r="CS123" s="46" t="n"/>
      <c r="CT123" s="46" t="n"/>
      <c r="CU123" s="46" t="n"/>
      <c r="CV123" s="46" t="n"/>
      <c r="CW123" s="46" t="n"/>
      <c r="CX123" s="46" t="n"/>
      <c r="CY123" s="46" t="n"/>
      <c r="CZ123" s="46" t="n"/>
      <c r="DA123" s="46" t="n"/>
      <c r="DB123" s="46" t="n"/>
      <c r="DC123" s="46" t="n"/>
      <c r="DD123" s="46" t="n"/>
      <c r="DE123" s="46" t="n"/>
      <c r="DF123" s="46" t="n"/>
      <c r="DG123" s="46" t="n"/>
      <c r="DH123" s="46" t="n"/>
      <c r="DI123" s="46" t="n"/>
      <c r="DJ123" s="46" t="n"/>
      <c r="DK123" s="46" t="n"/>
      <c r="DL123" s="46" t="n"/>
      <c r="DM123" s="46" t="n"/>
      <c r="DN123" s="46" t="n"/>
      <c r="DO123" s="46" t="n"/>
      <c r="DP123" s="46" t="n"/>
      <c r="DQ123" s="46" t="n"/>
      <c r="DR123" s="46" t="n"/>
      <c r="DS123" s="46" t="n"/>
      <c r="DT123" s="46" t="n"/>
      <c r="DU123" s="46" t="n"/>
      <c r="DV123" s="46" t="n"/>
      <c r="DW123" s="46" t="n"/>
      <c r="DX123" s="46" t="n"/>
      <c r="DY123" s="46" t="n"/>
      <c r="DZ123" s="46" t="n"/>
      <c r="EA123" s="46" t="n"/>
      <c r="EB123" s="46" t="n"/>
      <c r="EC123" s="46" t="n"/>
      <c r="ED123" s="46" t="n"/>
      <c r="EE123" s="46" t="n"/>
      <c r="EF123" s="46" t="n"/>
      <c r="EG123" s="46" t="n"/>
      <c r="EH123" s="46" t="n"/>
      <c r="EI123" s="46" t="n"/>
      <c r="EJ123" s="46" t="n"/>
      <c r="EK123" s="46" t="n"/>
      <c r="EL123" s="46" t="n"/>
      <c r="EM123" s="46" t="n"/>
      <c r="EN123" s="46" t="n"/>
      <c r="EO123" s="46" t="n"/>
      <c r="EP123" s="46" t="n"/>
      <c r="EQ123" s="46" t="n"/>
      <c r="ER123" s="46" t="n"/>
      <c r="ES123" s="46" t="n"/>
      <c r="ET123" s="46" t="n"/>
      <c r="EU123" s="46" t="n"/>
      <c r="EV123" s="46" t="n"/>
      <c r="EW123" s="46" t="n"/>
      <c r="EX123" s="46" t="n"/>
      <c r="EY123" s="46" t="n"/>
      <c r="EZ123" s="46" t="n"/>
      <c r="FA123" s="46" t="n"/>
      <c r="FB123" s="46" t="n"/>
      <c r="FC123" s="46" t="n"/>
      <c r="FD123" s="46" t="n"/>
      <c r="FE123" s="46" t="n"/>
      <c r="FF123" s="46" t="n"/>
      <c r="FG123" s="46" t="n"/>
      <c r="FH123" s="46" t="n"/>
      <c r="FI123" s="46" t="n"/>
      <c r="FJ123" s="46" t="n"/>
      <c r="FK123" s="46" t="n"/>
      <c r="FL123" s="46" t="n"/>
      <c r="FM123" s="46" t="n"/>
      <c r="FN123" s="46" t="n"/>
    </row>
    <row r="124" ht="15" customFormat="1" customHeight="1" s="50">
      <c r="A124" s="49" t="n">
        <v>45748</v>
      </c>
      <c r="B124" s="43" t="n"/>
      <c r="C124" s="43" t="n">
        <v>161.022</v>
      </c>
      <c r="D124" s="44" t="n"/>
      <c r="E124" s="45" t="n"/>
      <c r="F124" s="46" t="n"/>
      <c r="G124" s="43" t="n">
        <v>98.077</v>
      </c>
      <c r="H124" s="43" t="n">
        <v>31.502</v>
      </c>
      <c r="I124" s="47">
        <f>G124/C124</f>
        <v/>
      </c>
      <c r="J124" s="46" t="n"/>
      <c r="K124" s="46" t="n">
        <v>128.629</v>
      </c>
      <c r="L124" s="46" t="n">
        <v>138.795</v>
      </c>
      <c r="M124" s="46" t="n">
        <v>134.546</v>
      </c>
      <c r="N124" s="45">
        <f>1-(M124/L124)</f>
        <v/>
      </c>
      <c r="O124" s="46" t="n">
        <v>144.843</v>
      </c>
      <c r="P124" s="46" t="n">
        <v>28.856</v>
      </c>
      <c r="Q124" s="46" t="n">
        <v>102.425</v>
      </c>
      <c r="R124" s="47">
        <f>K124/2/C124</f>
        <v/>
      </c>
      <c r="S124" s="46" t="n"/>
      <c r="T124" s="45">
        <f>R124+I124</f>
        <v/>
      </c>
      <c r="U124" s="46" t="n"/>
      <c r="V124" s="46" t="n"/>
      <c r="W124" s="46" t="n"/>
      <c r="X124" s="46" t="n"/>
      <c r="Y124" s="46" t="n"/>
      <c r="Z124" s="46" t="n"/>
      <c r="AA124" s="46" t="n"/>
      <c r="AB124" s="46" t="n"/>
      <c r="AC124" s="46" t="n"/>
      <c r="AD124" s="46" t="n"/>
      <c r="AE124" s="46" t="n"/>
      <c r="AF124" s="46" t="n"/>
      <c r="AG124" s="46" t="n"/>
      <c r="AH124" s="46" t="n"/>
      <c r="AI124" s="46" t="n"/>
      <c r="AJ124" s="46" t="n"/>
      <c r="AK124" s="46" t="n"/>
      <c r="AL124" s="46" t="n"/>
      <c r="AM124" s="46" t="n"/>
      <c r="AN124" s="46" t="n"/>
      <c r="AO124" s="46" t="n"/>
      <c r="AP124" s="46" t="n"/>
      <c r="AQ124" s="46" t="n"/>
      <c r="AR124" s="46" t="n"/>
      <c r="AS124" s="46" t="n"/>
      <c r="AT124" s="46" t="n"/>
      <c r="AU124" s="46" t="n"/>
      <c r="AV124" s="46" t="n"/>
      <c r="AW124" s="46" t="n"/>
      <c r="AX124" s="46" t="n"/>
      <c r="AY124" s="46" t="n"/>
      <c r="AZ124" s="46" t="n"/>
      <c r="BA124" s="46" t="n"/>
      <c r="BB124" s="46" t="n"/>
      <c r="BC124" s="46" t="n"/>
      <c r="BD124" s="46" t="n"/>
      <c r="BE124" s="46" t="n"/>
      <c r="BF124" s="46" t="n"/>
      <c r="BG124" s="46" t="n"/>
      <c r="BH124" s="46" t="n"/>
      <c r="BI124" s="46" t="n"/>
      <c r="BJ124" s="46" t="n"/>
      <c r="BK124" s="46" t="n"/>
      <c r="BL124" s="46" t="n"/>
      <c r="BM124" s="46" t="n"/>
      <c r="BN124" s="46" t="n"/>
      <c r="BO124" s="46" t="n"/>
      <c r="BP124" s="46" t="n"/>
      <c r="BQ124" s="46" t="n"/>
      <c r="BR124" s="46" t="n"/>
      <c r="BS124" s="46" t="n"/>
      <c r="BT124" s="46" t="n"/>
      <c r="BU124" s="46" t="n"/>
      <c r="BV124" s="46" t="n"/>
      <c r="BW124" s="46" t="n"/>
      <c r="BX124" s="46" t="n"/>
      <c r="BY124" s="46" t="n"/>
      <c r="BZ124" s="46" t="n"/>
      <c r="CA124" s="46" t="n"/>
      <c r="CB124" s="46" t="n"/>
      <c r="CC124" s="46" t="n"/>
      <c r="CD124" s="46" t="n"/>
      <c r="CE124" s="46" t="n"/>
      <c r="CF124" s="46" t="n"/>
      <c r="CG124" s="46" t="n"/>
      <c r="CH124" s="46" t="n"/>
      <c r="CI124" s="46" t="n"/>
      <c r="CJ124" s="46" t="n"/>
      <c r="CK124" s="46" t="n"/>
      <c r="CL124" s="46" t="n"/>
      <c r="CM124" s="46" t="n"/>
      <c r="CN124" s="46" t="n"/>
      <c r="CO124" s="46" t="n"/>
      <c r="CP124" s="46" t="n"/>
      <c r="CQ124" s="46" t="n"/>
      <c r="CR124" s="46" t="n"/>
      <c r="CS124" s="46" t="n"/>
      <c r="CT124" s="46" t="n"/>
      <c r="CU124" s="46" t="n"/>
      <c r="CV124" s="46" t="n"/>
      <c r="CW124" s="46" t="n"/>
      <c r="CX124" s="46" t="n"/>
      <c r="CY124" s="46" t="n"/>
      <c r="CZ124" s="46" t="n"/>
      <c r="DA124" s="46" t="n"/>
      <c r="DB124" s="46" t="n"/>
      <c r="DC124" s="46" t="n"/>
      <c r="DD124" s="46" t="n"/>
      <c r="DE124" s="46" t="n"/>
      <c r="DF124" s="46" t="n"/>
      <c r="DG124" s="46" t="n"/>
      <c r="DH124" s="46" t="n"/>
      <c r="DI124" s="46" t="n"/>
      <c r="DJ124" s="46" t="n"/>
      <c r="DK124" s="46" t="n"/>
      <c r="DL124" s="46" t="n"/>
      <c r="DM124" s="46" t="n"/>
      <c r="DN124" s="46" t="n"/>
      <c r="DO124" s="46" t="n"/>
      <c r="DP124" s="46" t="n"/>
      <c r="DQ124" s="46" t="n"/>
      <c r="DR124" s="46" t="n"/>
      <c r="DS124" s="46" t="n"/>
      <c r="DT124" s="46" t="n"/>
      <c r="DU124" s="46" t="n"/>
      <c r="DV124" s="46" t="n"/>
      <c r="DW124" s="46" t="n"/>
      <c r="DX124" s="46" t="n"/>
      <c r="DY124" s="46" t="n"/>
      <c r="DZ124" s="46" t="n"/>
      <c r="EA124" s="46" t="n"/>
      <c r="EB124" s="46" t="n"/>
      <c r="EC124" s="46" t="n"/>
      <c r="ED124" s="46" t="n"/>
      <c r="EE124" s="46" t="n"/>
      <c r="EF124" s="46" t="n"/>
      <c r="EG124" s="46" t="n"/>
      <c r="EH124" s="46" t="n"/>
      <c r="EI124" s="46" t="n"/>
      <c r="EJ124" s="46" t="n"/>
      <c r="EK124" s="46" t="n"/>
      <c r="EL124" s="46" t="n"/>
      <c r="EM124" s="46" t="n"/>
      <c r="EN124" s="46" t="n"/>
      <c r="EO124" s="46" t="n"/>
      <c r="EP124" s="46" t="n"/>
      <c r="EQ124" s="46" t="n"/>
      <c r="ER124" s="46" t="n"/>
      <c r="ES124" s="46" t="n"/>
      <c r="ET124" s="46" t="n"/>
      <c r="EU124" s="46" t="n"/>
      <c r="EV124" s="46" t="n"/>
      <c r="EW124" s="46" t="n"/>
      <c r="EX124" s="46" t="n"/>
      <c r="EY124" s="46" t="n"/>
      <c r="EZ124" s="46" t="n"/>
      <c r="FA124" s="46" t="n"/>
      <c r="FB124" s="46" t="n"/>
      <c r="FC124" s="46" t="n"/>
      <c r="FD124" s="46" t="n"/>
      <c r="FE124" s="46" t="n"/>
      <c r="FF124" s="46" t="n"/>
      <c r="FG124" s="46" t="n"/>
      <c r="FH124" s="46" t="n"/>
      <c r="FI124" s="46" t="n"/>
      <c r="FJ124" s="46" t="n"/>
      <c r="FK124" s="46" t="n"/>
      <c r="FL124" s="46" t="n"/>
      <c r="FM124" s="46" t="n"/>
      <c r="FN124" s="46" t="n"/>
    </row>
    <row r="125" ht="15" customFormat="1" customHeight="1" s="50">
      <c r="A125" s="49" t="n">
        <v>45778</v>
      </c>
      <c r="B125" s="43" t="n"/>
      <c r="C125" s="43" t="n">
        <v>107.84</v>
      </c>
      <c r="D125" s="44" t="n"/>
      <c r="E125" s="45" t="n"/>
      <c r="F125" s="46" t="n"/>
      <c r="G125" s="43" t="n">
        <v>63.758</v>
      </c>
      <c r="H125" s="43" t="n">
        <v>21.335</v>
      </c>
      <c r="I125" s="47">
        <f>G125/C125</f>
        <v/>
      </c>
      <c r="J125" s="46" t="n"/>
      <c r="K125" s="46" t="n">
        <v>83.501</v>
      </c>
      <c r="L125" s="46" t="n">
        <v>96.333</v>
      </c>
      <c r="M125" s="46" t="n">
        <v>92.93899999999999</v>
      </c>
      <c r="N125" s="45">
        <f>1-(M125/L125)</f>
        <v/>
      </c>
      <c r="O125" s="46" t="n">
        <v>105.952</v>
      </c>
      <c r="P125" s="46" t="n">
        <v>34.06</v>
      </c>
      <c r="Q125" s="46" t="n">
        <v>87.16800000000001</v>
      </c>
      <c r="R125" s="47">
        <f>K125/2/C125</f>
        <v/>
      </c>
      <c r="S125" s="46" t="n"/>
      <c r="T125" s="45">
        <f>R125+I125</f>
        <v/>
      </c>
      <c r="U125" s="46" t="n"/>
      <c r="V125" s="46" t="n"/>
      <c r="W125" s="46" t="n"/>
      <c r="X125" s="46" t="n"/>
      <c r="Y125" s="46" t="n"/>
      <c r="Z125" s="46" t="n"/>
      <c r="AA125" s="46" t="n"/>
      <c r="AB125" s="46" t="n"/>
      <c r="AC125" s="46" t="n"/>
      <c r="AD125" s="46" t="n"/>
      <c r="AE125" s="46" t="n"/>
      <c r="AF125" s="46" t="n"/>
      <c r="AG125" s="46" t="n"/>
      <c r="AH125" s="46" t="n"/>
      <c r="AI125" s="46" t="n"/>
      <c r="AJ125" s="46" t="n"/>
      <c r="AK125" s="46" t="n"/>
      <c r="AL125" s="46" t="n"/>
      <c r="AM125" s="46" t="n"/>
      <c r="AN125" s="46" t="n"/>
      <c r="AO125" s="46" t="n"/>
      <c r="AP125" s="46" t="n"/>
      <c r="AQ125" s="46" t="n"/>
      <c r="AR125" s="46" t="n"/>
      <c r="AS125" s="46" t="n"/>
      <c r="AT125" s="46" t="n"/>
      <c r="AU125" s="46" t="n"/>
      <c r="AV125" s="46" t="n"/>
      <c r="AW125" s="46" t="n"/>
      <c r="AX125" s="46" t="n"/>
      <c r="AY125" s="46" t="n"/>
      <c r="AZ125" s="46" t="n"/>
      <c r="BA125" s="46" t="n"/>
      <c r="BB125" s="46" t="n"/>
      <c r="BC125" s="46" t="n"/>
      <c r="BD125" s="46" t="n"/>
      <c r="BE125" s="46" t="n"/>
      <c r="BF125" s="46" t="n"/>
      <c r="BG125" s="46" t="n"/>
      <c r="BH125" s="46" t="n"/>
      <c r="BI125" s="46" t="n"/>
      <c r="BJ125" s="46" t="n"/>
      <c r="BK125" s="46" t="n"/>
      <c r="BL125" s="46" t="n"/>
      <c r="BM125" s="46" t="n"/>
      <c r="BN125" s="46" t="n"/>
      <c r="BO125" s="46" t="n"/>
      <c r="BP125" s="46" t="n"/>
      <c r="BQ125" s="46" t="n"/>
      <c r="BR125" s="46" t="n"/>
      <c r="BS125" s="46" t="n"/>
      <c r="BT125" s="46" t="n"/>
      <c r="BU125" s="46" t="n"/>
      <c r="BV125" s="46" t="n"/>
      <c r="BW125" s="46" t="n"/>
      <c r="BX125" s="46" t="n"/>
      <c r="BY125" s="46" t="n"/>
      <c r="BZ125" s="46" t="n"/>
      <c r="CA125" s="46" t="n"/>
      <c r="CB125" s="46" t="n"/>
      <c r="CC125" s="46" t="n"/>
      <c r="CD125" s="46" t="n"/>
      <c r="CE125" s="46" t="n"/>
      <c r="CF125" s="46" t="n"/>
      <c r="CG125" s="46" t="n"/>
      <c r="CH125" s="46" t="n"/>
      <c r="CI125" s="46" t="n"/>
      <c r="CJ125" s="46" t="n"/>
      <c r="CK125" s="46" t="n"/>
      <c r="CL125" s="46" t="n"/>
      <c r="CM125" s="46" t="n"/>
      <c r="CN125" s="46" t="n"/>
      <c r="CO125" s="46" t="n"/>
      <c r="CP125" s="46" t="n"/>
      <c r="CQ125" s="46" t="n"/>
      <c r="CR125" s="46" t="n"/>
      <c r="CS125" s="46" t="n"/>
      <c r="CT125" s="46" t="n"/>
      <c r="CU125" s="46" t="n"/>
      <c r="CV125" s="46" t="n"/>
      <c r="CW125" s="46" t="n"/>
      <c r="CX125" s="46" t="n"/>
      <c r="CY125" s="46" t="n"/>
      <c r="CZ125" s="46" t="n"/>
      <c r="DA125" s="46" t="n"/>
      <c r="DB125" s="46" t="n"/>
      <c r="DC125" s="46" t="n"/>
      <c r="DD125" s="46" t="n"/>
      <c r="DE125" s="46" t="n"/>
      <c r="DF125" s="46" t="n"/>
      <c r="DG125" s="46" t="n"/>
      <c r="DH125" s="46" t="n"/>
      <c r="DI125" s="46" t="n"/>
      <c r="DJ125" s="46" t="n"/>
      <c r="DK125" s="46" t="n"/>
      <c r="DL125" s="46" t="n"/>
      <c r="DM125" s="46" t="n"/>
      <c r="DN125" s="46" t="n"/>
      <c r="DO125" s="46" t="n"/>
      <c r="DP125" s="46" t="n"/>
      <c r="DQ125" s="46" t="n"/>
      <c r="DR125" s="46" t="n"/>
      <c r="DS125" s="46" t="n"/>
      <c r="DT125" s="46" t="n"/>
      <c r="DU125" s="46" t="n"/>
      <c r="DV125" s="46" t="n"/>
      <c r="DW125" s="46" t="n"/>
      <c r="DX125" s="46" t="n"/>
      <c r="DY125" s="46" t="n"/>
      <c r="DZ125" s="46" t="n"/>
      <c r="EA125" s="46" t="n"/>
      <c r="EB125" s="46" t="n"/>
      <c r="EC125" s="46" t="n"/>
      <c r="ED125" s="46" t="n"/>
      <c r="EE125" s="46" t="n"/>
      <c r="EF125" s="46" t="n"/>
      <c r="EG125" s="46" t="n"/>
      <c r="EH125" s="46" t="n"/>
      <c r="EI125" s="46" t="n"/>
      <c r="EJ125" s="46" t="n"/>
      <c r="EK125" s="46" t="n"/>
      <c r="EL125" s="46" t="n"/>
      <c r="EM125" s="46" t="n"/>
      <c r="EN125" s="46" t="n"/>
      <c r="EO125" s="46" t="n"/>
      <c r="EP125" s="46" t="n"/>
      <c r="EQ125" s="46" t="n"/>
      <c r="ER125" s="46" t="n"/>
      <c r="ES125" s="46" t="n"/>
      <c r="ET125" s="46" t="n"/>
      <c r="EU125" s="46" t="n"/>
      <c r="EV125" s="46" t="n"/>
      <c r="EW125" s="46" t="n"/>
      <c r="EX125" s="46" t="n"/>
      <c r="EY125" s="46" t="n"/>
      <c r="EZ125" s="46" t="n"/>
      <c r="FA125" s="46" t="n"/>
      <c r="FB125" s="46" t="n"/>
      <c r="FC125" s="46" t="n"/>
      <c r="FD125" s="46" t="n"/>
      <c r="FE125" s="46" t="n"/>
      <c r="FF125" s="46" t="n"/>
      <c r="FG125" s="46" t="n"/>
      <c r="FH125" s="46" t="n"/>
      <c r="FI125" s="46" t="n"/>
      <c r="FJ125" s="46" t="n"/>
      <c r="FK125" s="46" t="n"/>
      <c r="FL125" s="46" t="n"/>
      <c r="FM125" s="46" t="n"/>
      <c r="FN125" s="46" t="n"/>
    </row>
    <row r="126" ht="15" customFormat="1" customHeight="1" s="50">
      <c r="A126" s="49" t="n">
        <v>45809</v>
      </c>
      <c r="B126" s="43" t="n"/>
      <c r="C126" s="43" t="n">
        <v>166.486</v>
      </c>
      <c r="D126" s="44" t="n"/>
      <c r="E126" s="45" t="n"/>
      <c r="F126" s="46" t="n"/>
      <c r="G126" s="43" t="n">
        <v>99.164</v>
      </c>
      <c r="H126" s="43" t="n">
        <v>33.543</v>
      </c>
      <c r="I126" s="47">
        <f>G126/C126</f>
        <v/>
      </c>
      <c r="J126" s="46" t="n"/>
      <c r="K126" s="46" t="n">
        <v>131.838</v>
      </c>
      <c r="L126" s="46" t="n">
        <v>155.128</v>
      </c>
      <c r="M126" s="46" t="n">
        <v>150.55</v>
      </c>
      <c r="N126" s="45">
        <f>1-(M126/L126)</f>
        <v/>
      </c>
      <c r="O126" s="46" t="n">
        <v>134.274</v>
      </c>
      <c r="P126" s="46" t="n">
        <v>31.509</v>
      </c>
      <c r="Q126" s="46" t="n">
        <v>99.434</v>
      </c>
      <c r="R126" s="47">
        <f>K126/2/C126</f>
        <v/>
      </c>
      <c r="S126" s="46" t="n"/>
      <c r="T126" s="45">
        <f>R126+I126</f>
        <v/>
      </c>
      <c r="U126" s="46" t="n"/>
      <c r="V126" s="46" t="n"/>
      <c r="W126" s="46" t="n"/>
      <c r="X126" s="46" t="n"/>
      <c r="Y126" s="46" t="n"/>
      <c r="Z126" s="46" t="n"/>
      <c r="AA126" s="46" t="n"/>
      <c r="AB126" s="46" t="n"/>
      <c r="AC126" s="46" t="n"/>
      <c r="AD126" s="46" t="n"/>
      <c r="AE126" s="46" t="n"/>
      <c r="AF126" s="46" t="n"/>
      <c r="AG126" s="46" t="n"/>
      <c r="AH126" s="46" t="n"/>
      <c r="AI126" s="46" t="n"/>
      <c r="AJ126" s="46" t="n"/>
      <c r="AK126" s="46" t="n"/>
      <c r="AL126" s="46" t="n"/>
      <c r="AM126" s="46" t="n"/>
      <c r="AN126" s="46" t="n"/>
      <c r="AO126" s="46" t="n"/>
      <c r="AP126" s="46" t="n"/>
      <c r="AQ126" s="46" t="n"/>
      <c r="AR126" s="46" t="n"/>
      <c r="AS126" s="46" t="n"/>
      <c r="AT126" s="46" t="n"/>
      <c r="AU126" s="46" t="n"/>
      <c r="AV126" s="46" t="n"/>
      <c r="AW126" s="46" t="n"/>
      <c r="AX126" s="46" t="n"/>
      <c r="AY126" s="46" t="n"/>
      <c r="AZ126" s="46" t="n"/>
      <c r="BA126" s="46" t="n"/>
      <c r="BB126" s="46" t="n"/>
      <c r="BC126" s="46" t="n"/>
      <c r="BD126" s="46" t="n"/>
      <c r="BE126" s="46" t="n"/>
      <c r="BF126" s="46" t="n"/>
      <c r="BG126" s="46" t="n"/>
      <c r="BH126" s="46" t="n"/>
      <c r="BI126" s="46" t="n"/>
      <c r="BJ126" s="46" t="n"/>
      <c r="BK126" s="46" t="n"/>
      <c r="BL126" s="46" t="n"/>
      <c r="BM126" s="46" t="n"/>
      <c r="BN126" s="46" t="n"/>
      <c r="BO126" s="46" t="n"/>
      <c r="BP126" s="46" t="n"/>
      <c r="BQ126" s="46" t="n"/>
      <c r="BR126" s="46" t="n"/>
      <c r="BS126" s="46" t="n"/>
      <c r="BT126" s="46" t="n"/>
      <c r="BU126" s="46" t="n"/>
      <c r="BV126" s="46" t="n"/>
      <c r="BW126" s="46" t="n"/>
      <c r="BX126" s="46" t="n"/>
      <c r="BY126" s="46" t="n"/>
      <c r="BZ126" s="46" t="n"/>
      <c r="CA126" s="46" t="n"/>
      <c r="CB126" s="46" t="n"/>
      <c r="CC126" s="46" t="n"/>
      <c r="CD126" s="46" t="n"/>
      <c r="CE126" s="46" t="n"/>
      <c r="CF126" s="46" t="n"/>
      <c r="CG126" s="46" t="n"/>
      <c r="CH126" s="46" t="n"/>
      <c r="CI126" s="46" t="n"/>
      <c r="CJ126" s="46" t="n"/>
      <c r="CK126" s="46" t="n"/>
      <c r="CL126" s="46" t="n"/>
      <c r="CM126" s="46" t="n"/>
      <c r="CN126" s="46" t="n"/>
      <c r="CO126" s="46" t="n"/>
      <c r="CP126" s="46" t="n"/>
      <c r="CQ126" s="46" t="n"/>
      <c r="CR126" s="46" t="n"/>
      <c r="CS126" s="46" t="n"/>
      <c r="CT126" s="46" t="n"/>
      <c r="CU126" s="46" t="n"/>
      <c r="CV126" s="46" t="n"/>
      <c r="CW126" s="46" t="n"/>
      <c r="CX126" s="46" t="n"/>
      <c r="CY126" s="46" t="n"/>
      <c r="CZ126" s="46" t="n"/>
      <c r="DA126" s="46" t="n"/>
      <c r="DB126" s="46" t="n"/>
      <c r="DC126" s="46" t="n"/>
      <c r="DD126" s="46" t="n"/>
      <c r="DE126" s="46" t="n"/>
      <c r="DF126" s="46" t="n"/>
      <c r="DG126" s="46" t="n"/>
      <c r="DH126" s="46" t="n"/>
      <c r="DI126" s="46" t="n"/>
      <c r="DJ126" s="46" t="n"/>
      <c r="DK126" s="46" t="n"/>
      <c r="DL126" s="46" t="n"/>
      <c r="DM126" s="46" t="n"/>
      <c r="DN126" s="46" t="n"/>
      <c r="DO126" s="46" t="n"/>
      <c r="DP126" s="46" t="n"/>
      <c r="DQ126" s="46" t="n"/>
      <c r="DR126" s="46" t="n"/>
      <c r="DS126" s="46" t="n"/>
      <c r="DT126" s="46" t="n"/>
      <c r="DU126" s="46" t="n"/>
      <c r="DV126" s="46" t="n"/>
      <c r="DW126" s="46" t="n"/>
      <c r="DX126" s="46" t="n"/>
      <c r="DY126" s="46" t="n"/>
      <c r="DZ126" s="46" t="n"/>
      <c r="EA126" s="46" t="n"/>
      <c r="EB126" s="46" t="n"/>
      <c r="EC126" s="46" t="n"/>
      <c r="ED126" s="46" t="n"/>
      <c r="EE126" s="46" t="n"/>
      <c r="EF126" s="46" t="n"/>
      <c r="EG126" s="46" t="n"/>
      <c r="EH126" s="46" t="n"/>
      <c r="EI126" s="46" t="n"/>
      <c r="EJ126" s="46" t="n"/>
      <c r="EK126" s="46" t="n"/>
      <c r="EL126" s="46" t="n"/>
      <c r="EM126" s="46" t="n"/>
      <c r="EN126" s="46" t="n"/>
      <c r="EO126" s="46" t="n"/>
      <c r="EP126" s="46" t="n"/>
      <c r="EQ126" s="46" t="n"/>
      <c r="ER126" s="46" t="n"/>
      <c r="ES126" s="46" t="n"/>
      <c r="ET126" s="46" t="n"/>
      <c r="EU126" s="46" t="n"/>
      <c r="EV126" s="46" t="n"/>
      <c r="EW126" s="46" t="n"/>
      <c r="EX126" s="46" t="n"/>
      <c r="EY126" s="46" t="n"/>
      <c r="EZ126" s="46" t="n"/>
      <c r="FA126" s="46" t="n"/>
      <c r="FB126" s="46" t="n"/>
      <c r="FC126" s="46" t="n"/>
      <c r="FD126" s="46" t="n"/>
      <c r="FE126" s="46" t="n"/>
      <c r="FF126" s="46" t="n"/>
      <c r="FG126" s="46" t="n"/>
      <c r="FH126" s="46" t="n"/>
      <c r="FI126" s="46" t="n"/>
      <c r="FJ126" s="46" t="n"/>
      <c r="FK126" s="46" t="n"/>
      <c r="FL126" s="46" t="n"/>
      <c r="FM126" s="46" t="n"/>
      <c r="FN126" s="46" t="n"/>
    </row>
    <row r="127" ht="15" customFormat="1" customHeight="1" s="50">
      <c r="A127" s="49" t="n">
        <v>45839</v>
      </c>
      <c r="B127" s="43" t="n"/>
      <c r="C127" s="43" t="n">
        <v>209.848</v>
      </c>
      <c r="D127" s="44" t="n"/>
      <c r="E127" s="45" t="n"/>
      <c r="F127" s="46" t="n"/>
      <c r="G127" s="43" t="n">
        <v>123.98</v>
      </c>
      <c r="H127" s="43" t="n">
        <v>33.783</v>
      </c>
      <c r="I127" s="47">
        <f>G127/C127</f>
        <v/>
      </c>
      <c r="J127" s="46" t="n"/>
      <c r="K127" s="46" t="n">
        <v>164.358</v>
      </c>
      <c r="L127" s="46" t="n">
        <v>180.74</v>
      </c>
      <c r="M127" s="46" t="n">
        <v>175.032</v>
      </c>
      <c r="N127" s="45">
        <f>1-(M127/L127)</f>
        <v/>
      </c>
      <c r="O127" s="46" t="n">
        <v>182.641</v>
      </c>
      <c r="P127" s="46" t="n">
        <v>26.333</v>
      </c>
      <c r="Q127" s="46" t="n">
        <v>93.895</v>
      </c>
      <c r="R127" s="47">
        <f>K127/2/C127</f>
        <v/>
      </c>
      <c r="S127" s="46" t="n"/>
      <c r="T127" s="45">
        <f>R127+I127</f>
        <v/>
      </c>
      <c r="U127" s="46" t="n"/>
      <c r="V127" s="46" t="n"/>
      <c r="W127" s="46" t="n"/>
      <c r="X127" s="46" t="n"/>
      <c r="Y127" s="46" t="n"/>
      <c r="Z127" s="46" t="n"/>
      <c r="AA127" s="46" t="n"/>
      <c r="AB127" s="46" t="n"/>
      <c r="AC127" s="46" t="n"/>
      <c r="AD127" s="46" t="n"/>
      <c r="AE127" s="46" t="n"/>
      <c r="AF127" s="46" t="n"/>
      <c r="AG127" s="46" t="n"/>
      <c r="AH127" s="46" t="n"/>
      <c r="AI127" s="46" t="n"/>
      <c r="AJ127" s="46" t="n"/>
      <c r="AK127" s="46" t="n"/>
      <c r="AL127" s="46" t="n"/>
      <c r="AM127" s="46" t="n"/>
      <c r="AN127" s="46" t="n"/>
      <c r="AO127" s="46" t="n"/>
      <c r="AP127" s="46" t="n"/>
      <c r="AQ127" s="46" t="n"/>
      <c r="AR127" s="46" t="n"/>
      <c r="AS127" s="46" t="n"/>
      <c r="AT127" s="46" t="n"/>
      <c r="AU127" s="46" t="n"/>
      <c r="AV127" s="46" t="n"/>
      <c r="AW127" s="46" t="n"/>
      <c r="AX127" s="46" t="n"/>
      <c r="AY127" s="46" t="n"/>
      <c r="AZ127" s="46" t="n"/>
      <c r="BA127" s="46" t="n"/>
      <c r="BB127" s="46" t="n"/>
      <c r="BC127" s="46" t="n"/>
      <c r="BD127" s="46" t="n"/>
      <c r="BE127" s="46" t="n"/>
      <c r="BF127" s="46" t="n"/>
      <c r="BG127" s="46" t="n"/>
      <c r="BH127" s="46" t="n"/>
      <c r="BI127" s="46" t="n"/>
      <c r="BJ127" s="46" t="n"/>
      <c r="BK127" s="46" t="n"/>
      <c r="BL127" s="46" t="n"/>
      <c r="BM127" s="46" t="n"/>
      <c r="BN127" s="46" t="n"/>
      <c r="BO127" s="46" t="n"/>
      <c r="BP127" s="46" t="n"/>
      <c r="BQ127" s="46" t="n"/>
      <c r="BR127" s="46" t="n"/>
      <c r="BS127" s="46" t="n"/>
      <c r="BT127" s="46" t="n"/>
      <c r="BU127" s="46" t="n"/>
      <c r="BV127" s="46" t="n"/>
      <c r="BW127" s="46" t="n"/>
      <c r="BX127" s="46" t="n"/>
      <c r="BY127" s="46" t="n"/>
      <c r="BZ127" s="46" t="n"/>
      <c r="CA127" s="46" t="n"/>
      <c r="CB127" s="46" t="n"/>
      <c r="CC127" s="46" t="n"/>
      <c r="CD127" s="46" t="n"/>
      <c r="CE127" s="46" t="n"/>
      <c r="CF127" s="46" t="n"/>
      <c r="CG127" s="46" t="n"/>
      <c r="CH127" s="46" t="n"/>
      <c r="CI127" s="46" t="n"/>
      <c r="CJ127" s="46" t="n"/>
      <c r="CK127" s="46" t="n"/>
      <c r="CL127" s="46" t="n"/>
      <c r="CM127" s="46" t="n"/>
      <c r="CN127" s="46" t="n"/>
      <c r="CO127" s="46" t="n"/>
      <c r="CP127" s="46" t="n"/>
      <c r="CQ127" s="46" t="n"/>
      <c r="CR127" s="46" t="n"/>
      <c r="CS127" s="46" t="n"/>
      <c r="CT127" s="46" t="n"/>
      <c r="CU127" s="46" t="n"/>
      <c r="CV127" s="46" t="n"/>
      <c r="CW127" s="46" t="n"/>
      <c r="CX127" s="46" t="n"/>
      <c r="CY127" s="46" t="n"/>
      <c r="CZ127" s="46" t="n"/>
      <c r="DA127" s="46" t="n"/>
      <c r="DB127" s="46" t="n"/>
      <c r="DC127" s="46" t="n"/>
      <c r="DD127" s="46" t="n"/>
      <c r="DE127" s="46" t="n"/>
      <c r="DF127" s="46" t="n"/>
      <c r="DG127" s="46" t="n"/>
      <c r="DH127" s="46" t="n"/>
      <c r="DI127" s="46" t="n"/>
      <c r="DJ127" s="46" t="n"/>
      <c r="DK127" s="46" t="n"/>
      <c r="DL127" s="46" t="n"/>
      <c r="DM127" s="46" t="n"/>
      <c r="DN127" s="46" t="n"/>
      <c r="DO127" s="46" t="n"/>
      <c r="DP127" s="46" t="n"/>
      <c r="DQ127" s="46" t="n"/>
      <c r="DR127" s="46" t="n"/>
      <c r="DS127" s="46" t="n"/>
      <c r="DT127" s="46" t="n"/>
      <c r="DU127" s="46" t="n"/>
      <c r="DV127" s="46" t="n"/>
      <c r="DW127" s="46" t="n"/>
      <c r="DX127" s="46" t="n"/>
      <c r="DY127" s="46" t="n"/>
      <c r="DZ127" s="46" t="n"/>
      <c r="EA127" s="46" t="n"/>
      <c r="EB127" s="46" t="n"/>
      <c r="EC127" s="46" t="n"/>
      <c r="ED127" s="46" t="n"/>
      <c r="EE127" s="46" t="n"/>
      <c r="EF127" s="46" t="n"/>
      <c r="EG127" s="46" t="n"/>
      <c r="EH127" s="46" t="n"/>
      <c r="EI127" s="46" t="n"/>
      <c r="EJ127" s="46" t="n"/>
      <c r="EK127" s="46" t="n"/>
      <c r="EL127" s="46" t="n"/>
      <c r="EM127" s="46" t="n"/>
      <c r="EN127" s="46" t="n"/>
      <c r="EO127" s="46" t="n"/>
      <c r="EP127" s="46" t="n"/>
      <c r="EQ127" s="46" t="n"/>
      <c r="ER127" s="46" t="n"/>
      <c r="ES127" s="46" t="n"/>
      <c r="ET127" s="46" t="n"/>
      <c r="EU127" s="46" t="n"/>
      <c r="EV127" s="46" t="n"/>
      <c r="EW127" s="46" t="n"/>
      <c r="EX127" s="46" t="n"/>
      <c r="EY127" s="46" t="n"/>
      <c r="EZ127" s="46" t="n"/>
      <c r="FA127" s="46" t="n"/>
      <c r="FB127" s="46" t="n"/>
      <c r="FC127" s="46" t="n"/>
      <c r="FD127" s="46" t="n"/>
      <c r="FE127" s="46" t="n"/>
      <c r="FF127" s="46" t="n"/>
      <c r="FG127" s="46" t="n"/>
      <c r="FH127" s="46" t="n"/>
      <c r="FI127" s="46" t="n"/>
      <c r="FJ127" s="46" t="n"/>
      <c r="FK127" s="46" t="n"/>
      <c r="FL127" s="46" t="n"/>
      <c r="FM127" s="46" t="n"/>
      <c r="FN127" s="46" t="n"/>
    </row>
    <row r="128" ht="15" customFormat="1" customHeight="1" s="50">
      <c r="A128" s="49" t="n">
        <v>45870</v>
      </c>
      <c r="B128" s="43" t="n"/>
      <c r="C128" s="43" t="n">
        <v>197.469</v>
      </c>
      <c r="D128" s="44" t="n"/>
      <c r="E128" s="45" t="n"/>
      <c r="F128" s="46" t="n"/>
      <c r="G128" s="43" t="n">
        <v>119.046</v>
      </c>
      <c r="H128" s="43" t="n">
        <v>39.776</v>
      </c>
      <c r="I128" s="47">
        <f>G128/C128</f>
        <v/>
      </c>
      <c r="J128" s="46" t="n"/>
      <c r="K128" s="46" t="n">
        <v>159.492</v>
      </c>
      <c r="L128" s="46" t="n">
        <v>139.695</v>
      </c>
      <c r="M128" s="46" t="n">
        <v>135.458</v>
      </c>
      <c r="N128" s="45">
        <f>1-(M128/L128)</f>
        <v/>
      </c>
      <c r="O128" s="46" t="n">
        <v>138.144</v>
      </c>
      <c r="P128" s="46" t="n">
        <v>44.594</v>
      </c>
      <c r="Q128" s="46" t="n">
        <v>84.69199999999999</v>
      </c>
      <c r="R128" s="47">
        <f>K128/2/C128</f>
        <v/>
      </c>
      <c r="S128" s="46" t="n"/>
      <c r="T128" s="45">
        <f>R128+I128</f>
        <v/>
      </c>
      <c r="U128" s="46" t="n"/>
      <c r="V128" s="46" t="n"/>
      <c r="W128" s="46" t="n"/>
      <c r="X128" s="46" t="n"/>
      <c r="Y128" s="46" t="n"/>
      <c r="Z128" s="46" t="n"/>
      <c r="AA128" s="46" t="n"/>
      <c r="AB128" s="46" t="n"/>
      <c r="AC128" s="46" t="n"/>
      <c r="AD128" s="46" t="n"/>
      <c r="AE128" s="46" t="n"/>
      <c r="AF128" s="46" t="n"/>
      <c r="AG128" s="46" t="n"/>
      <c r="AH128" s="46" t="n"/>
      <c r="AI128" s="46" t="n"/>
      <c r="AJ128" s="46" t="n"/>
      <c r="AK128" s="46" t="n"/>
      <c r="AL128" s="46" t="n"/>
      <c r="AM128" s="46" t="n"/>
      <c r="AN128" s="46" t="n"/>
      <c r="AO128" s="46" t="n"/>
      <c r="AP128" s="46" t="n"/>
      <c r="AQ128" s="46" t="n"/>
      <c r="AR128" s="46" t="n"/>
      <c r="AS128" s="46" t="n"/>
      <c r="AT128" s="46" t="n"/>
      <c r="AU128" s="46" t="n"/>
      <c r="AV128" s="46" t="n"/>
      <c r="AW128" s="46" t="n"/>
      <c r="AX128" s="46" t="n"/>
      <c r="AY128" s="46" t="n"/>
      <c r="AZ128" s="46" t="n"/>
      <c r="BA128" s="46" t="n"/>
      <c r="BB128" s="46" t="n"/>
      <c r="BC128" s="46" t="n"/>
      <c r="BD128" s="46" t="n"/>
      <c r="BE128" s="46" t="n"/>
      <c r="BF128" s="46" t="n"/>
      <c r="BG128" s="46" t="n"/>
      <c r="BH128" s="46" t="n"/>
      <c r="BI128" s="46" t="n"/>
      <c r="BJ128" s="46" t="n"/>
      <c r="BK128" s="46" t="n"/>
      <c r="BL128" s="46" t="n"/>
      <c r="BM128" s="46" t="n"/>
      <c r="BN128" s="46" t="n"/>
      <c r="BO128" s="46" t="n"/>
      <c r="BP128" s="46" t="n"/>
      <c r="BQ128" s="46" t="n"/>
      <c r="BR128" s="46" t="n"/>
      <c r="BS128" s="46" t="n"/>
      <c r="BT128" s="46" t="n"/>
      <c r="BU128" s="46" t="n"/>
      <c r="BV128" s="46" t="n"/>
      <c r="BW128" s="46" t="n"/>
      <c r="BX128" s="46" t="n"/>
      <c r="BY128" s="46" t="n"/>
      <c r="BZ128" s="46" t="n"/>
      <c r="CA128" s="46" t="n"/>
      <c r="CB128" s="46" t="n"/>
      <c r="CC128" s="46" t="n"/>
      <c r="CD128" s="46" t="n"/>
      <c r="CE128" s="46" t="n"/>
      <c r="CF128" s="46" t="n"/>
      <c r="CG128" s="46" t="n"/>
      <c r="CH128" s="46" t="n"/>
      <c r="CI128" s="46" t="n"/>
      <c r="CJ128" s="46" t="n"/>
      <c r="CK128" s="46" t="n"/>
      <c r="CL128" s="46" t="n"/>
      <c r="CM128" s="46" t="n"/>
      <c r="CN128" s="46" t="n"/>
      <c r="CO128" s="46" t="n"/>
      <c r="CP128" s="46" t="n"/>
      <c r="CQ128" s="46" t="n"/>
      <c r="CR128" s="46" t="n"/>
      <c r="CS128" s="46" t="n"/>
      <c r="CT128" s="46" t="n"/>
      <c r="CU128" s="46" t="n"/>
      <c r="CV128" s="46" t="n"/>
      <c r="CW128" s="46" t="n"/>
      <c r="CX128" s="46" t="n"/>
      <c r="CY128" s="46" t="n"/>
      <c r="CZ128" s="46" t="n"/>
      <c r="DA128" s="46" t="n"/>
      <c r="DB128" s="46" t="n"/>
      <c r="DC128" s="46" t="n"/>
      <c r="DD128" s="46" t="n"/>
      <c r="DE128" s="46" t="n"/>
      <c r="DF128" s="46" t="n"/>
      <c r="DG128" s="46" t="n"/>
      <c r="DH128" s="46" t="n"/>
      <c r="DI128" s="46" t="n"/>
      <c r="DJ128" s="46" t="n"/>
      <c r="DK128" s="46" t="n"/>
      <c r="DL128" s="46" t="n"/>
      <c r="DM128" s="46" t="n"/>
      <c r="DN128" s="46" t="n"/>
      <c r="DO128" s="46" t="n"/>
      <c r="DP128" s="46" t="n"/>
      <c r="DQ128" s="46" t="n"/>
      <c r="DR128" s="46" t="n"/>
      <c r="DS128" s="46" t="n"/>
      <c r="DT128" s="46" t="n"/>
      <c r="DU128" s="46" t="n"/>
      <c r="DV128" s="46" t="n"/>
      <c r="DW128" s="46" t="n"/>
      <c r="DX128" s="46" t="n"/>
      <c r="DY128" s="46" t="n"/>
      <c r="DZ128" s="46" t="n"/>
      <c r="EA128" s="46" t="n"/>
      <c r="EB128" s="46" t="n"/>
      <c r="EC128" s="46" t="n"/>
      <c r="ED128" s="46" t="n"/>
      <c r="EE128" s="46" t="n"/>
      <c r="EF128" s="46" t="n"/>
      <c r="EG128" s="46" t="n"/>
      <c r="EH128" s="46" t="n"/>
      <c r="EI128" s="46" t="n"/>
      <c r="EJ128" s="46" t="n"/>
      <c r="EK128" s="46" t="n"/>
      <c r="EL128" s="46" t="n"/>
      <c r="EM128" s="46" t="n"/>
      <c r="EN128" s="46" t="n"/>
      <c r="EO128" s="46" t="n"/>
      <c r="EP128" s="46" t="n"/>
      <c r="EQ128" s="46" t="n"/>
      <c r="ER128" s="46" t="n"/>
      <c r="ES128" s="46" t="n"/>
      <c r="ET128" s="46" t="n"/>
      <c r="EU128" s="46" t="n"/>
      <c r="EV128" s="46" t="n"/>
      <c r="EW128" s="46" t="n"/>
      <c r="EX128" s="46" t="n"/>
      <c r="EY128" s="46" t="n"/>
      <c r="EZ128" s="46" t="n"/>
      <c r="FA128" s="46" t="n"/>
      <c r="FB128" s="46" t="n"/>
      <c r="FC128" s="46" t="n"/>
      <c r="FD128" s="46" t="n"/>
      <c r="FE128" s="46" t="n"/>
      <c r="FF128" s="46" t="n"/>
      <c r="FG128" s="46" t="n"/>
      <c r="FH128" s="46" t="n"/>
      <c r="FI128" s="46" t="n"/>
      <c r="FJ128" s="46" t="n"/>
      <c r="FK128" s="46" t="n"/>
      <c r="FL128" s="46" t="n"/>
      <c r="FM128" s="46" t="n"/>
      <c r="FN128" s="46" t="n"/>
    </row>
    <row r="129" ht="15" customFormat="1" customHeight="1" s="50">
      <c r="A129" s="49" t="n">
        <v>45901</v>
      </c>
      <c r="B129" s="43" t="n"/>
      <c r="C129" s="43" t="n">
        <v>230.362</v>
      </c>
      <c r="D129" s="44" t="n"/>
      <c r="E129" s="45" t="n"/>
      <c r="F129" s="46" t="n"/>
      <c r="G129" s="43" t="n">
        <v>110.147</v>
      </c>
      <c r="H129" s="43" t="n">
        <v>46.281</v>
      </c>
      <c r="I129" s="47">
        <f>G129/C129</f>
        <v/>
      </c>
      <c r="J129" s="46" t="n"/>
      <c r="K129" s="46" t="n">
        <v>190.866</v>
      </c>
      <c r="L129" s="46" t="n">
        <v>178.368</v>
      </c>
      <c r="M129" s="46" t="n">
        <v>173.563</v>
      </c>
      <c r="N129" s="45">
        <f>1-(M129/L129)</f>
        <v/>
      </c>
      <c r="O129" s="46" t="n">
        <v>162.388</v>
      </c>
      <c r="P129" s="46" t="n">
        <v>47.986</v>
      </c>
      <c r="Q129" s="46" t="n">
        <v>96.063</v>
      </c>
      <c r="R129" s="47">
        <f>K129/2/C129</f>
        <v/>
      </c>
      <c r="S129" s="46" t="n"/>
      <c r="T129" s="45">
        <f>R129+I129</f>
        <v/>
      </c>
      <c r="U129" s="46" t="n"/>
      <c r="V129" s="46" t="n"/>
      <c r="W129" s="46" t="n"/>
      <c r="X129" s="46" t="n"/>
      <c r="Y129" s="46" t="n"/>
      <c r="Z129" s="46" t="n"/>
      <c r="AA129" s="46" t="n"/>
      <c r="AB129" s="46" t="n"/>
      <c r="AC129" s="46" t="n"/>
      <c r="AD129" s="46" t="n"/>
      <c r="AE129" s="46" t="n"/>
      <c r="AF129" s="46" t="n"/>
      <c r="AG129" s="46" t="n"/>
      <c r="AH129" s="46" t="n"/>
      <c r="AI129" s="46" t="n"/>
      <c r="AJ129" s="46" t="n"/>
      <c r="AK129" s="46" t="n"/>
      <c r="AL129" s="46" t="n"/>
      <c r="AM129" s="46" t="n"/>
      <c r="AN129" s="46" t="n"/>
      <c r="AO129" s="46" t="n"/>
      <c r="AP129" s="46" t="n"/>
      <c r="AQ129" s="46" t="n"/>
      <c r="AR129" s="46" t="n"/>
      <c r="AS129" s="46" t="n"/>
      <c r="AT129" s="46" t="n"/>
      <c r="AU129" s="46" t="n"/>
      <c r="AV129" s="46" t="n"/>
      <c r="AW129" s="46" t="n"/>
      <c r="AX129" s="46" t="n"/>
      <c r="AY129" s="46" t="n"/>
      <c r="AZ129" s="46" t="n"/>
      <c r="BA129" s="46" t="n"/>
      <c r="BB129" s="46" t="n"/>
      <c r="BC129" s="46" t="n"/>
      <c r="BD129" s="46" t="n"/>
      <c r="BE129" s="46" t="n"/>
      <c r="BF129" s="46" t="n"/>
      <c r="BG129" s="46" t="n"/>
      <c r="BH129" s="46" t="n"/>
      <c r="BI129" s="46" t="n"/>
      <c r="BJ129" s="46" t="n"/>
      <c r="BK129" s="46" t="n"/>
      <c r="BL129" s="46" t="n"/>
      <c r="BM129" s="46" t="n"/>
      <c r="BN129" s="46" t="n"/>
      <c r="BO129" s="46" t="n"/>
      <c r="BP129" s="46" t="n"/>
      <c r="BQ129" s="46" t="n"/>
      <c r="BR129" s="46" t="n"/>
      <c r="BS129" s="46" t="n"/>
      <c r="BT129" s="46" t="n"/>
      <c r="BU129" s="46" t="n"/>
      <c r="BV129" s="46" t="n"/>
      <c r="BW129" s="46" t="n"/>
      <c r="BX129" s="46" t="n"/>
      <c r="BY129" s="46" t="n"/>
      <c r="BZ129" s="46" t="n"/>
      <c r="CA129" s="46" t="n"/>
      <c r="CB129" s="46" t="n"/>
      <c r="CC129" s="46" t="n"/>
      <c r="CD129" s="46" t="n"/>
      <c r="CE129" s="46" t="n"/>
      <c r="CF129" s="46" t="n"/>
      <c r="CG129" s="46" t="n"/>
      <c r="CH129" s="46" t="n"/>
      <c r="CI129" s="46" t="n"/>
      <c r="CJ129" s="46" t="n"/>
      <c r="CK129" s="46" t="n"/>
      <c r="CL129" s="46" t="n"/>
      <c r="CM129" s="46" t="n"/>
      <c r="CN129" s="46" t="n"/>
      <c r="CO129" s="46" t="n"/>
      <c r="CP129" s="46" t="n"/>
      <c r="CQ129" s="46" t="n"/>
      <c r="CR129" s="46" t="n"/>
      <c r="CS129" s="46" t="n"/>
      <c r="CT129" s="46" t="n"/>
      <c r="CU129" s="46" t="n"/>
      <c r="CV129" s="46" t="n"/>
      <c r="CW129" s="46" t="n"/>
      <c r="CX129" s="46" t="n"/>
      <c r="CY129" s="46" t="n"/>
      <c r="CZ129" s="46" t="n"/>
      <c r="DA129" s="46" t="n"/>
      <c r="DB129" s="46" t="n"/>
      <c r="DC129" s="46" t="n"/>
      <c r="DD129" s="46" t="n"/>
      <c r="DE129" s="46" t="n"/>
      <c r="DF129" s="46" t="n"/>
      <c r="DG129" s="46" t="n"/>
      <c r="DH129" s="46" t="n"/>
      <c r="DI129" s="46" t="n"/>
      <c r="DJ129" s="46" t="n"/>
      <c r="DK129" s="46" t="n"/>
      <c r="DL129" s="46" t="n"/>
      <c r="DM129" s="46" t="n"/>
      <c r="DN129" s="46" t="n"/>
      <c r="DO129" s="46" t="n"/>
      <c r="DP129" s="46" t="n"/>
      <c r="DQ129" s="46" t="n"/>
      <c r="DR129" s="46" t="n"/>
      <c r="DS129" s="46" t="n"/>
      <c r="DT129" s="46" t="n"/>
      <c r="DU129" s="46" t="n"/>
      <c r="DV129" s="46" t="n"/>
      <c r="DW129" s="46" t="n"/>
      <c r="DX129" s="46" t="n"/>
      <c r="DY129" s="46" t="n"/>
      <c r="DZ129" s="46" t="n"/>
      <c r="EA129" s="46" t="n"/>
      <c r="EB129" s="46" t="n"/>
      <c r="EC129" s="46" t="n"/>
      <c r="ED129" s="46" t="n"/>
      <c r="EE129" s="46" t="n"/>
      <c r="EF129" s="46" t="n"/>
      <c r="EG129" s="46" t="n"/>
      <c r="EH129" s="46" t="n"/>
      <c r="EI129" s="46" t="n"/>
      <c r="EJ129" s="46" t="n"/>
      <c r="EK129" s="46" t="n"/>
      <c r="EL129" s="46" t="n"/>
      <c r="EM129" s="46" t="n"/>
      <c r="EN129" s="46" t="n"/>
      <c r="EO129" s="46" t="n"/>
      <c r="EP129" s="46" t="n"/>
      <c r="EQ129" s="46" t="n"/>
      <c r="ER129" s="46" t="n"/>
      <c r="ES129" s="46" t="n"/>
      <c r="ET129" s="46" t="n"/>
      <c r="EU129" s="46" t="n"/>
      <c r="EV129" s="46" t="n"/>
      <c r="EW129" s="46" t="n"/>
      <c r="EX129" s="46" t="n"/>
      <c r="EY129" s="46" t="n"/>
      <c r="EZ129" s="46" t="n"/>
      <c r="FA129" s="46" t="n"/>
      <c r="FB129" s="46" t="n"/>
      <c r="FC129" s="46" t="n"/>
      <c r="FD129" s="46" t="n"/>
      <c r="FE129" s="46" t="n"/>
      <c r="FF129" s="46" t="n"/>
      <c r="FG129" s="46" t="n"/>
      <c r="FH129" s="46" t="n"/>
      <c r="FI129" s="46" t="n"/>
      <c r="FJ129" s="46" t="n"/>
      <c r="FK129" s="46" t="n"/>
      <c r="FL129" s="46" t="n"/>
      <c r="FM129" s="46" t="n"/>
      <c r="FN129" s="46" t="n"/>
    </row>
    <row r="130" ht="15" customFormat="1" customHeight="1" s="50">
      <c r="A130" s="49" t="n">
        <v>45931</v>
      </c>
      <c r="B130" s="43" t="n"/>
      <c r="C130" s="43" t="n">
        <v>192.578</v>
      </c>
      <c r="D130" s="44" t="n"/>
      <c r="E130" s="45" t="n"/>
      <c r="F130" s="46" t="n"/>
      <c r="G130" s="43" t="n">
        <v>105.324</v>
      </c>
      <c r="H130" s="43" t="n">
        <v>23.079</v>
      </c>
      <c r="I130" s="47">
        <f>G130/C130</f>
        <v/>
      </c>
      <c r="J130" s="46" t="n"/>
      <c r="K130" s="46" t="n">
        <v>151.888</v>
      </c>
      <c r="L130" s="46" t="n">
        <v>161.348</v>
      </c>
      <c r="M130" s="46" t="n">
        <v>157.075</v>
      </c>
      <c r="N130" s="45">
        <f>1-(M130/L130)</f>
        <v/>
      </c>
      <c r="O130" s="46" t="n">
        <v>160.6</v>
      </c>
      <c r="P130" s="46" t="n">
        <v>61.709</v>
      </c>
      <c r="Q130" s="46" t="n">
        <v>92.19</v>
      </c>
      <c r="R130" s="47">
        <f>K130/2/C130</f>
        <v/>
      </c>
      <c r="S130" s="46" t="n"/>
      <c r="T130" s="45">
        <f>R130+I130</f>
        <v/>
      </c>
      <c r="U130" s="46" t="n"/>
      <c r="V130" s="46" t="n"/>
      <c r="W130" s="46" t="n"/>
      <c r="X130" s="46" t="n"/>
      <c r="Y130" s="46" t="n"/>
      <c r="Z130" s="46" t="n"/>
      <c r="AA130" s="46" t="n"/>
      <c r="AB130" s="46" t="n"/>
      <c r="AC130" s="46" t="n"/>
      <c r="AD130" s="46" t="n"/>
      <c r="AE130" s="46" t="n"/>
      <c r="AF130" s="46" t="n"/>
      <c r="AG130" s="46" t="n"/>
      <c r="AH130" s="46" t="n"/>
      <c r="AI130" s="46" t="n"/>
      <c r="AJ130" s="46" t="n"/>
      <c r="AK130" s="46" t="n"/>
      <c r="AL130" s="46" t="n"/>
      <c r="AM130" s="46" t="n"/>
      <c r="AN130" s="46" t="n"/>
      <c r="AO130" s="46" t="n"/>
      <c r="AP130" s="46" t="n"/>
      <c r="AQ130" s="46" t="n"/>
      <c r="AR130" s="46" t="n"/>
      <c r="AS130" s="46" t="n"/>
      <c r="AT130" s="46" t="n"/>
      <c r="AU130" s="46" t="n"/>
      <c r="AV130" s="46" t="n"/>
      <c r="AW130" s="46" t="n"/>
      <c r="AX130" s="46" t="n"/>
      <c r="AY130" s="46" t="n"/>
      <c r="AZ130" s="46" t="n"/>
      <c r="BA130" s="46" t="n"/>
      <c r="BB130" s="46" t="n"/>
      <c r="BC130" s="46" t="n"/>
      <c r="BD130" s="46" t="n"/>
      <c r="BE130" s="46" t="n"/>
      <c r="BF130" s="46" t="n"/>
      <c r="BG130" s="46" t="n"/>
      <c r="BH130" s="46" t="n"/>
      <c r="BI130" s="46" t="n"/>
      <c r="BJ130" s="46" t="n"/>
      <c r="BK130" s="46" t="n"/>
      <c r="BL130" s="46" t="n"/>
      <c r="BM130" s="46" t="n"/>
      <c r="BN130" s="46" t="n"/>
      <c r="BO130" s="46" t="n"/>
      <c r="BP130" s="46" t="n"/>
      <c r="BQ130" s="46" t="n"/>
      <c r="BR130" s="46" t="n"/>
      <c r="BS130" s="46" t="n"/>
      <c r="BT130" s="46" t="n"/>
      <c r="BU130" s="46" t="n"/>
      <c r="BV130" s="46" t="n"/>
      <c r="BW130" s="46" t="n"/>
      <c r="BX130" s="46" t="n"/>
      <c r="BY130" s="46" t="n"/>
      <c r="BZ130" s="46" t="n"/>
      <c r="CA130" s="46" t="n"/>
      <c r="CB130" s="46" t="n"/>
      <c r="CC130" s="46" t="n"/>
      <c r="CD130" s="46" t="n"/>
      <c r="CE130" s="46" t="n"/>
      <c r="CF130" s="46" t="n"/>
      <c r="CG130" s="46" t="n"/>
      <c r="CH130" s="46" t="n"/>
      <c r="CI130" s="46" t="n"/>
      <c r="CJ130" s="46" t="n"/>
      <c r="CK130" s="46" t="n"/>
      <c r="CL130" s="46" t="n"/>
      <c r="CM130" s="46" t="n"/>
      <c r="CN130" s="46" t="n"/>
      <c r="CO130" s="46" t="n"/>
      <c r="CP130" s="46" t="n"/>
      <c r="CQ130" s="46" t="n"/>
      <c r="CR130" s="46" t="n"/>
      <c r="CS130" s="46" t="n"/>
      <c r="CT130" s="46" t="n"/>
      <c r="CU130" s="46" t="n"/>
      <c r="CV130" s="46" t="n"/>
      <c r="CW130" s="46" t="n"/>
      <c r="CX130" s="46" t="n"/>
      <c r="CY130" s="46" t="n"/>
      <c r="CZ130" s="46" t="n"/>
      <c r="DA130" s="46" t="n"/>
      <c r="DB130" s="46" t="n"/>
      <c r="DC130" s="46" t="n"/>
      <c r="DD130" s="46" t="n"/>
      <c r="DE130" s="46" t="n"/>
      <c r="DF130" s="46" t="n"/>
      <c r="DG130" s="46" t="n"/>
      <c r="DH130" s="46" t="n"/>
      <c r="DI130" s="46" t="n"/>
      <c r="DJ130" s="46" t="n"/>
      <c r="DK130" s="46" t="n"/>
      <c r="DL130" s="46" t="n"/>
      <c r="DM130" s="46" t="n"/>
      <c r="DN130" s="46" t="n"/>
      <c r="DO130" s="46" t="n"/>
      <c r="DP130" s="46" t="n"/>
      <c r="DQ130" s="46" t="n"/>
      <c r="DR130" s="46" t="n"/>
      <c r="DS130" s="46" t="n"/>
      <c r="DT130" s="46" t="n"/>
      <c r="DU130" s="46" t="n"/>
      <c r="DV130" s="46" t="n"/>
      <c r="DW130" s="46" t="n"/>
      <c r="DX130" s="46" t="n"/>
      <c r="DY130" s="46" t="n"/>
      <c r="DZ130" s="46" t="n"/>
      <c r="EA130" s="46" t="n"/>
      <c r="EB130" s="46" t="n"/>
      <c r="EC130" s="46" t="n"/>
      <c r="ED130" s="46" t="n"/>
      <c r="EE130" s="46" t="n"/>
      <c r="EF130" s="46" t="n"/>
      <c r="EG130" s="46" t="n"/>
      <c r="EH130" s="46" t="n"/>
      <c r="EI130" s="46" t="n"/>
      <c r="EJ130" s="46" t="n"/>
      <c r="EK130" s="46" t="n"/>
      <c r="EL130" s="46" t="n"/>
      <c r="EM130" s="46" t="n"/>
      <c r="EN130" s="46" t="n"/>
      <c r="EO130" s="46" t="n"/>
      <c r="EP130" s="46" t="n"/>
      <c r="EQ130" s="46" t="n"/>
      <c r="ER130" s="46" t="n"/>
      <c r="ES130" s="46" t="n"/>
      <c r="ET130" s="46" t="n"/>
      <c r="EU130" s="46" t="n"/>
      <c r="EV130" s="46" t="n"/>
      <c r="EW130" s="46" t="n"/>
      <c r="EX130" s="46" t="n"/>
      <c r="EY130" s="46" t="n"/>
      <c r="EZ130" s="46" t="n"/>
      <c r="FA130" s="46" t="n"/>
      <c r="FB130" s="46" t="n"/>
      <c r="FC130" s="46" t="n"/>
      <c r="FD130" s="46" t="n"/>
      <c r="FE130" s="46" t="n"/>
      <c r="FF130" s="46" t="n"/>
      <c r="FG130" s="46" t="n"/>
      <c r="FH130" s="46" t="n"/>
      <c r="FI130" s="46" t="n"/>
      <c r="FJ130" s="46" t="n"/>
      <c r="FK130" s="46" t="n"/>
      <c r="FL130" s="46" t="n"/>
      <c r="FM130" s="46" t="n"/>
      <c r="FN130" s="46" t="n"/>
    </row>
    <row r="131" ht="15" customFormat="1" customHeight="1" s="50">
      <c r="A131" s="49" t="n">
        <v>45962</v>
      </c>
      <c r="B131" s="43" t="n"/>
      <c r="C131" s="43" t="n">
        <v>205.495</v>
      </c>
      <c r="D131" s="44" t="n"/>
      <c r="E131" s="45" t="n"/>
      <c r="F131" s="46" t="n"/>
      <c r="G131" s="43" t="n">
        <v>120.247</v>
      </c>
      <c r="H131" s="43" t="n">
        <v>38.738</v>
      </c>
      <c r="I131" s="47">
        <f>G131/C131</f>
        <v/>
      </c>
      <c r="J131" s="46" t="n"/>
      <c r="K131" s="46" t="n">
        <v>166.861</v>
      </c>
      <c r="L131" s="46" t="n">
        <v>172.929</v>
      </c>
      <c r="M131" s="46" t="n">
        <v>168.247</v>
      </c>
      <c r="N131" s="45">
        <f>1-(M131/L131)</f>
        <v/>
      </c>
      <c r="O131" s="46" t="n">
        <v>176.015</v>
      </c>
      <c r="P131" s="46" t="n">
        <v>72.315</v>
      </c>
      <c r="Q131" s="46" t="n">
        <v>91.456</v>
      </c>
      <c r="R131" s="47">
        <f>K131/2/C131</f>
        <v/>
      </c>
      <c r="S131" s="46" t="n"/>
      <c r="T131" s="45">
        <f>R131+I131</f>
        <v/>
      </c>
      <c r="U131" s="46" t="n"/>
      <c r="V131" s="46" t="n"/>
      <c r="W131" s="46" t="n"/>
      <c r="X131" s="46" t="n"/>
      <c r="Y131" s="46" t="n"/>
      <c r="Z131" s="46" t="n"/>
      <c r="AA131" s="46" t="n"/>
      <c r="AB131" s="46" t="n"/>
      <c r="AC131" s="46" t="n"/>
      <c r="AD131" s="46" t="n"/>
      <c r="AE131" s="46" t="n"/>
      <c r="AF131" s="46" t="n"/>
      <c r="AG131" s="46" t="n"/>
      <c r="AH131" s="46" t="n"/>
      <c r="AI131" s="46" t="n"/>
      <c r="AJ131" s="46" t="n"/>
      <c r="AK131" s="46" t="n"/>
      <c r="AL131" s="46" t="n"/>
      <c r="AM131" s="46" t="n"/>
      <c r="AN131" s="46" t="n"/>
      <c r="AO131" s="46" t="n"/>
      <c r="AP131" s="46" t="n"/>
      <c r="AQ131" s="46" t="n"/>
      <c r="AR131" s="46" t="n"/>
      <c r="AS131" s="46" t="n"/>
      <c r="AT131" s="46" t="n"/>
      <c r="AU131" s="46" t="n"/>
      <c r="AV131" s="46" t="n"/>
      <c r="AW131" s="46" t="n"/>
      <c r="AX131" s="46" t="n"/>
      <c r="AY131" s="46" t="n"/>
      <c r="AZ131" s="46" t="n"/>
      <c r="BA131" s="46" t="n"/>
      <c r="BB131" s="46" t="n"/>
      <c r="BC131" s="46" t="n"/>
      <c r="BD131" s="46" t="n"/>
      <c r="BE131" s="46" t="n"/>
      <c r="BF131" s="46" t="n"/>
      <c r="BG131" s="46" t="n"/>
      <c r="BH131" s="46" t="n"/>
      <c r="BI131" s="46" t="n"/>
      <c r="BJ131" s="46" t="n"/>
      <c r="BK131" s="46" t="n"/>
      <c r="BL131" s="46" t="n"/>
      <c r="BM131" s="46" t="n"/>
      <c r="BN131" s="46" t="n"/>
      <c r="BO131" s="46" t="n"/>
      <c r="BP131" s="46" t="n"/>
      <c r="BQ131" s="46" t="n"/>
      <c r="BR131" s="46" t="n"/>
      <c r="BS131" s="46" t="n"/>
      <c r="BT131" s="46" t="n"/>
      <c r="BU131" s="46" t="n"/>
      <c r="BV131" s="46" t="n"/>
      <c r="BW131" s="46" t="n"/>
      <c r="BX131" s="46" t="n"/>
      <c r="BY131" s="46" t="n"/>
      <c r="BZ131" s="46" t="n"/>
      <c r="CA131" s="46" t="n"/>
      <c r="CB131" s="46" t="n"/>
      <c r="CC131" s="46" t="n"/>
      <c r="CD131" s="46" t="n"/>
      <c r="CE131" s="46" t="n"/>
      <c r="CF131" s="46" t="n"/>
      <c r="CG131" s="46" t="n"/>
      <c r="CH131" s="46" t="n"/>
      <c r="CI131" s="46" t="n"/>
      <c r="CJ131" s="46" t="n"/>
      <c r="CK131" s="46" t="n"/>
      <c r="CL131" s="46" t="n"/>
      <c r="CM131" s="46" t="n"/>
      <c r="CN131" s="46" t="n"/>
      <c r="CO131" s="46" t="n"/>
      <c r="CP131" s="46" t="n"/>
      <c r="CQ131" s="46" t="n"/>
      <c r="CR131" s="46" t="n"/>
      <c r="CS131" s="46" t="n"/>
      <c r="CT131" s="46" t="n"/>
      <c r="CU131" s="46" t="n"/>
      <c r="CV131" s="46" t="n"/>
      <c r="CW131" s="46" t="n"/>
      <c r="CX131" s="46" t="n"/>
      <c r="CY131" s="46" t="n"/>
      <c r="CZ131" s="46" t="n"/>
      <c r="DA131" s="46" t="n"/>
      <c r="DB131" s="46" t="n"/>
      <c r="DC131" s="46" t="n"/>
      <c r="DD131" s="46" t="n"/>
      <c r="DE131" s="46" t="n"/>
      <c r="DF131" s="46" t="n"/>
      <c r="DG131" s="46" t="n"/>
      <c r="DH131" s="46" t="n"/>
      <c r="DI131" s="46" t="n"/>
      <c r="DJ131" s="46" t="n"/>
      <c r="DK131" s="46" t="n"/>
      <c r="DL131" s="46" t="n"/>
      <c r="DM131" s="46" t="n"/>
      <c r="DN131" s="46" t="n"/>
      <c r="DO131" s="46" t="n"/>
      <c r="DP131" s="46" t="n"/>
      <c r="DQ131" s="46" t="n"/>
      <c r="DR131" s="46" t="n"/>
      <c r="DS131" s="46" t="n"/>
      <c r="DT131" s="46" t="n"/>
      <c r="DU131" s="46" t="n"/>
      <c r="DV131" s="46" t="n"/>
      <c r="DW131" s="46" t="n"/>
      <c r="DX131" s="46" t="n"/>
      <c r="DY131" s="46" t="n"/>
      <c r="DZ131" s="46" t="n"/>
      <c r="EA131" s="46" t="n"/>
      <c r="EB131" s="46" t="n"/>
      <c r="EC131" s="46" t="n"/>
      <c r="ED131" s="46" t="n"/>
      <c r="EE131" s="46" t="n"/>
      <c r="EF131" s="46" t="n"/>
      <c r="EG131" s="46" t="n"/>
      <c r="EH131" s="46" t="n"/>
      <c r="EI131" s="46" t="n"/>
      <c r="EJ131" s="46" t="n"/>
      <c r="EK131" s="46" t="n"/>
      <c r="EL131" s="46" t="n"/>
      <c r="EM131" s="46" t="n"/>
      <c r="EN131" s="46" t="n"/>
      <c r="EO131" s="46" t="n"/>
      <c r="EP131" s="46" t="n"/>
      <c r="EQ131" s="46" t="n"/>
      <c r="ER131" s="46" t="n"/>
      <c r="ES131" s="46" t="n"/>
      <c r="ET131" s="46" t="n"/>
      <c r="EU131" s="46" t="n"/>
      <c r="EV131" s="46" t="n"/>
      <c r="EW131" s="46" t="n"/>
      <c r="EX131" s="46" t="n"/>
      <c r="EY131" s="46" t="n"/>
      <c r="EZ131" s="46" t="n"/>
      <c r="FA131" s="46" t="n"/>
      <c r="FB131" s="46" t="n"/>
      <c r="FC131" s="46" t="n"/>
      <c r="FD131" s="46" t="n"/>
      <c r="FE131" s="46" t="n"/>
      <c r="FF131" s="46" t="n"/>
      <c r="FG131" s="46" t="n"/>
      <c r="FH131" s="46" t="n"/>
      <c r="FI131" s="46" t="n"/>
      <c r="FJ131" s="46" t="n"/>
      <c r="FK131" s="46" t="n"/>
      <c r="FL131" s="46" t="n"/>
      <c r="FM131" s="46" t="n"/>
      <c r="FN131" s="46" t="n"/>
    </row>
    <row r="132" ht="15" customFormat="1" customHeight="1" s="50">
      <c r="A132" s="49" t="n">
        <v>45992</v>
      </c>
      <c r="B132" s="43" t="n"/>
      <c r="C132" s="43" t="n">
        <v>193.387</v>
      </c>
      <c r="D132" s="44" t="n"/>
      <c r="E132" s="45" t="n"/>
      <c r="F132" s="46" t="n"/>
      <c r="G132" s="43" t="n">
        <v>111.276</v>
      </c>
      <c r="H132" s="43" t="n">
        <v>25.886</v>
      </c>
      <c r="I132" s="47">
        <f>G132/C132</f>
        <v/>
      </c>
      <c r="J132" s="46" t="n"/>
      <c r="K132" s="46" t="n">
        <v>151.235</v>
      </c>
      <c r="L132" s="46" t="n">
        <v>178.381</v>
      </c>
      <c r="M132" s="46" t="n">
        <v>173.145</v>
      </c>
      <c r="N132" s="45">
        <f>1-(M132/L132)</f>
        <v/>
      </c>
      <c r="O132" s="46" t="n">
        <v>179.368</v>
      </c>
      <c r="P132" s="46" t="n">
        <v>50.957</v>
      </c>
      <c r="Q132" s="46" t="n">
        <v>88.611</v>
      </c>
      <c r="R132" s="47">
        <f>K132/2/C132</f>
        <v/>
      </c>
      <c r="S132" s="46" t="n"/>
      <c r="T132" s="45">
        <f>R132+I132</f>
        <v/>
      </c>
      <c r="U132" s="46" t="n"/>
      <c r="V132" s="46" t="n"/>
      <c r="W132" s="46" t="n"/>
      <c r="X132" s="46" t="n"/>
      <c r="Y132" s="46" t="n"/>
      <c r="Z132" s="46" t="n"/>
      <c r="AA132" s="46" t="n"/>
      <c r="AB132" s="46" t="n"/>
      <c r="AC132" s="46" t="n"/>
      <c r="AD132" s="46" t="n"/>
      <c r="AE132" s="46" t="n"/>
      <c r="AF132" s="46" t="n"/>
      <c r="AG132" s="46" t="n"/>
      <c r="AH132" s="46" t="n"/>
      <c r="AI132" s="46" t="n"/>
      <c r="AJ132" s="46" t="n"/>
      <c r="AK132" s="46" t="n"/>
      <c r="AL132" s="46" t="n"/>
      <c r="AM132" s="46" t="n"/>
      <c r="AN132" s="46" t="n"/>
      <c r="AO132" s="46" t="n"/>
      <c r="AP132" s="46" t="n"/>
      <c r="AQ132" s="46" t="n"/>
      <c r="AR132" s="46" t="n"/>
      <c r="AS132" s="46" t="n"/>
      <c r="AT132" s="46" t="n"/>
      <c r="AU132" s="46" t="n"/>
      <c r="AV132" s="46" t="n"/>
      <c r="AW132" s="46" t="n"/>
      <c r="AX132" s="46" t="n"/>
      <c r="AY132" s="46" t="n"/>
      <c r="AZ132" s="46" t="n"/>
      <c r="BA132" s="46" t="n"/>
      <c r="BB132" s="46" t="n"/>
      <c r="BC132" s="46" t="n"/>
      <c r="BD132" s="46" t="n"/>
      <c r="BE132" s="46" t="n"/>
      <c r="BF132" s="46" t="n"/>
      <c r="BG132" s="46" t="n"/>
      <c r="BH132" s="46" t="n"/>
      <c r="BI132" s="46" t="n"/>
      <c r="BJ132" s="46" t="n"/>
      <c r="BK132" s="46" t="n"/>
      <c r="BL132" s="46" t="n"/>
      <c r="BM132" s="46" t="n"/>
      <c r="BN132" s="46" t="n"/>
      <c r="BO132" s="46" t="n"/>
      <c r="BP132" s="46" t="n"/>
      <c r="BQ132" s="46" t="n"/>
      <c r="BR132" s="46" t="n"/>
      <c r="BS132" s="46" t="n"/>
      <c r="BT132" s="46" t="n"/>
      <c r="BU132" s="46" t="n"/>
      <c r="BV132" s="46" t="n"/>
      <c r="BW132" s="46" t="n"/>
      <c r="BX132" s="46" t="n"/>
      <c r="BY132" s="46" t="n"/>
      <c r="BZ132" s="46" t="n"/>
      <c r="CA132" s="46" t="n"/>
      <c r="CB132" s="46" t="n"/>
      <c r="CC132" s="46" t="n"/>
      <c r="CD132" s="46" t="n"/>
      <c r="CE132" s="46" t="n"/>
      <c r="CF132" s="46" t="n"/>
      <c r="CG132" s="46" t="n"/>
      <c r="CH132" s="46" t="n"/>
      <c r="CI132" s="46" t="n"/>
      <c r="CJ132" s="46" t="n"/>
      <c r="CK132" s="46" t="n"/>
      <c r="CL132" s="46" t="n"/>
      <c r="CM132" s="46" t="n"/>
      <c r="CN132" s="46" t="n"/>
      <c r="CO132" s="46" t="n"/>
      <c r="CP132" s="46" t="n"/>
      <c r="CQ132" s="46" t="n"/>
      <c r="CR132" s="46" t="n"/>
      <c r="CS132" s="46" t="n"/>
      <c r="CT132" s="46" t="n"/>
      <c r="CU132" s="46" t="n"/>
      <c r="CV132" s="46" t="n"/>
      <c r="CW132" s="46" t="n"/>
      <c r="CX132" s="46" t="n"/>
      <c r="CY132" s="46" t="n"/>
      <c r="CZ132" s="46" t="n"/>
      <c r="DA132" s="46" t="n"/>
      <c r="DB132" s="46" t="n"/>
      <c r="DC132" s="46" t="n"/>
      <c r="DD132" s="46" t="n"/>
      <c r="DE132" s="46" t="n"/>
      <c r="DF132" s="46" t="n"/>
      <c r="DG132" s="46" t="n"/>
      <c r="DH132" s="46" t="n"/>
      <c r="DI132" s="46" t="n"/>
      <c r="DJ132" s="46" t="n"/>
      <c r="DK132" s="46" t="n"/>
      <c r="DL132" s="46" t="n"/>
      <c r="DM132" s="46" t="n"/>
      <c r="DN132" s="46" t="n"/>
      <c r="DO132" s="46" t="n"/>
      <c r="DP132" s="46" t="n"/>
      <c r="DQ132" s="46" t="n"/>
      <c r="DR132" s="46" t="n"/>
      <c r="DS132" s="46" t="n"/>
      <c r="DT132" s="46" t="n"/>
      <c r="DU132" s="46" t="n"/>
      <c r="DV132" s="46" t="n"/>
      <c r="DW132" s="46" t="n"/>
      <c r="DX132" s="46" t="n"/>
      <c r="DY132" s="46" t="n"/>
      <c r="DZ132" s="46" t="n"/>
      <c r="EA132" s="46" t="n"/>
      <c r="EB132" s="46" t="n"/>
      <c r="EC132" s="46" t="n"/>
      <c r="ED132" s="46" t="n"/>
      <c r="EE132" s="46" t="n"/>
      <c r="EF132" s="46" t="n"/>
      <c r="EG132" s="46" t="n"/>
      <c r="EH132" s="46" t="n"/>
      <c r="EI132" s="46" t="n"/>
      <c r="EJ132" s="46" t="n"/>
      <c r="EK132" s="46" t="n"/>
      <c r="EL132" s="46" t="n"/>
      <c r="EM132" s="46" t="n"/>
      <c r="EN132" s="46" t="n"/>
      <c r="EO132" s="46" t="n"/>
      <c r="EP132" s="46" t="n"/>
      <c r="EQ132" s="46" t="n"/>
      <c r="ER132" s="46" t="n"/>
      <c r="ES132" s="46" t="n"/>
      <c r="ET132" s="46" t="n"/>
      <c r="EU132" s="46" t="n"/>
      <c r="EV132" s="46" t="n"/>
      <c r="EW132" s="46" t="n"/>
      <c r="EX132" s="46" t="n"/>
      <c r="EY132" s="46" t="n"/>
      <c r="EZ132" s="46" t="n"/>
      <c r="FA132" s="46" t="n"/>
      <c r="FB132" s="46" t="n"/>
      <c r="FC132" s="46" t="n"/>
      <c r="FD132" s="46" t="n"/>
      <c r="FE132" s="46" t="n"/>
      <c r="FF132" s="46" t="n"/>
      <c r="FG132" s="46" t="n"/>
      <c r="FH132" s="46" t="n"/>
      <c r="FI132" s="46" t="n"/>
      <c r="FJ132" s="46" t="n"/>
      <c r="FK132" s="46" t="n"/>
      <c r="FL132" s="46" t="n"/>
      <c r="FM132" s="46" t="n"/>
      <c r="FN132" s="46" t="n"/>
    </row>
    <row r="133" ht="15" customFormat="1" customHeight="1" s="50">
      <c r="A133" s="49" t="n">
        <v>46023</v>
      </c>
      <c r="B133" s="43" t="n"/>
      <c r="C133" s="43" t="n">
        <v>209.452</v>
      </c>
      <c r="D133" s="46" t="n"/>
      <c r="E133" s="46" t="n"/>
      <c r="F133" s="46" t="n"/>
      <c r="G133" s="46" t="n">
        <v>120.185</v>
      </c>
      <c r="H133" s="46" t="n">
        <v>23.054</v>
      </c>
      <c r="I133" s="47">
        <f>G133/C133</f>
        <v/>
      </c>
      <c r="J133" s="46" t="n"/>
      <c r="K133" s="46" t="n">
        <v>167.194</v>
      </c>
      <c r="L133" s="46" t="n">
        <v>175.661</v>
      </c>
      <c r="M133" s="46" t="n">
        <v>170.926</v>
      </c>
      <c r="N133" s="45">
        <f>1-(M133/L133)</f>
        <v/>
      </c>
      <c r="O133" s="46" t="n">
        <v>174.841</v>
      </c>
      <c r="P133" s="46" t="n">
        <v>51.76</v>
      </c>
      <c r="Q133" s="46" t="n">
        <v>89.931</v>
      </c>
      <c r="R133" s="47">
        <f>K133/2/C133</f>
        <v/>
      </c>
      <c r="S133" s="46" t="n"/>
      <c r="T133" s="45">
        <f>R133+I133</f>
        <v/>
      </c>
      <c r="U133" s="46" t="n"/>
      <c r="V133" s="46" t="n"/>
      <c r="W133" s="46" t="n"/>
      <c r="X133" s="46" t="n"/>
      <c r="Y133" s="46" t="n"/>
      <c r="Z133" s="46" t="n"/>
      <c r="AA133" s="46" t="n"/>
      <c r="AB133" s="46" t="n"/>
      <c r="AC133" s="46" t="n"/>
      <c r="AD133" s="46" t="n"/>
      <c r="AE133" s="46" t="n"/>
      <c r="AF133" s="46" t="n"/>
      <c r="AG133" s="46" t="n"/>
      <c r="AH133" s="46" t="n"/>
      <c r="AI133" s="46" t="n"/>
      <c r="AJ133" s="46" t="n"/>
      <c r="AK133" s="46" t="n"/>
      <c r="AL133" s="46" t="n"/>
      <c r="AM133" s="46" t="n"/>
      <c r="AN133" s="46" t="n"/>
      <c r="AO133" s="46" t="n"/>
      <c r="AP133" s="46" t="n"/>
      <c r="AQ133" s="46" t="n"/>
      <c r="AR133" s="46" t="n"/>
      <c r="AS133" s="46" t="n"/>
      <c r="AT133" s="46" t="n"/>
      <c r="AU133" s="46" t="n"/>
      <c r="AV133" s="46" t="n"/>
      <c r="AW133" s="46" t="n"/>
      <c r="AX133" s="46" t="n"/>
      <c r="AY133" s="46" t="n"/>
      <c r="AZ133" s="46" t="n"/>
      <c r="BA133" s="46" t="n"/>
      <c r="BB133" s="46" t="n"/>
      <c r="BC133" s="46" t="n"/>
      <c r="BD133" s="46" t="n"/>
      <c r="BE133" s="46" t="n"/>
      <c r="BF133" s="46" t="n"/>
      <c r="BG133" s="46" t="n"/>
      <c r="BH133" s="46" t="n"/>
      <c r="BI133" s="46" t="n"/>
      <c r="BJ133" s="46" t="n"/>
      <c r="BK133" s="46" t="n"/>
      <c r="BL133" s="46" t="n"/>
      <c r="BM133" s="46" t="n"/>
      <c r="BN133" s="46" t="n"/>
      <c r="BO133" s="46" t="n"/>
      <c r="BP133" s="46" t="n"/>
      <c r="BQ133" s="46" t="n"/>
      <c r="BR133" s="46" t="n"/>
      <c r="BS133" s="46" t="n"/>
      <c r="BT133" s="46" t="n"/>
      <c r="BU133" s="46" t="n"/>
      <c r="BV133" s="46" t="n"/>
      <c r="BW133" s="46" t="n"/>
      <c r="BX133" s="46" t="n"/>
      <c r="BY133" s="46" t="n"/>
      <c r="BZ133" s="46" t="n"/>
      <c r="CA133" s="46" t="n"/>
      <c r="CB133" s="46" t="n"/>
      <c r="CC133" s="46" t="n"/>
      <c r="CD133" s="46" t="n"/>
      <c r="CE133" s="46" t="n"/>
      <c r="CF133" s="46" t="n"/>
      <c r="CG133" s="46" t="n"/>
      <c r="CH133" s="46" t="n"/>
      <c r="CI133" s="46" t="n"/>
      <c r="CJ133" s="46" t="n"/>
      <c r="CK133" s="46" t="n"/>
      <c r="CL133" s="46" t="n"/>
      <c r="CM133" s="46" t="n"/>
      <c r="CN133" s="46" t="n"/>
      <c r="CO133" s="46" t="n"/>
      <c r="CP133" s="46" t="n"/>
      <c r="CQ133" s="46" t="n"/>
      <c r="CR133" s="46" t="n"/>
      <c r="CS133" s="46" t="n"/>
      <c r="CT133" s="46" t="n"/>
      <c r="CU133" s="46" t="n"/>
      <c r="CV133" s="46" t="n"/>
      <c r="CW133" s="46" t="n"/>
      <c r="CX133" s="46" t="n"/>
      <c r="CY133" s="46" t="n"/>
      <c r="CZ133" s="46" t="n"/>
      <c r="DA133" s="46" t="n"/>
      <c r="DB133" s="46" t="n"/>
      <c r="DC133" s="46" t="n"/>
      <c r="DD133" s="46" t="n"/>
      <c r="DE133" s="46" t="n"/>
      <c r="DF133" s="46" t="n"/>
      <c r="DG133" s="46" t="n"/>
      <c r="DH133" s="46" t="n"/>
      <c r="DI133" s="46" t="n"/>
      <c r="DJ133" s="46" t="n"/>
      <c r="DK133" s="46" t="n"/>
      <c r="DL133" s="46" t="n"/>
      <c r="DM133" s="46" t="n"/>
      <c r="DN133" s="46" t="n"/>
      <c r="DO133" s="46" t="n"/>
      <c r="DP133" s="46" t="n"/>
      <c r="DQ133" s="46" t="n"/>
      <c r="DR133" s="46" t="n"/>
      <c r="DS133" s="46" t="n"/>
      <c r="DT133" s="46" t="n"/>
      <c r="DU133" s="46" t="n"/>
      <c r="DV133" s="46" t="n"/>
      <c r="DW133" s="46" t="n"/>
      <c r="DX133" s="46" t="n"/>
      <c r="DY133" s="46" t="n"/>
      <c r="DZ133" s="46" t="n"/>
      <c r="EA133" s="46" t="n"/>
      <c r="EB133" s="46" t="n"/>
      <c r="EC133" s="46" t="n"/>
      <c r="ED133" s="46" t="n"/>
      <c r="EE133" s="46" t="n"/>
      <c r="EF133" s="46" t="n"/>
      <c r="EG133" s="46" t="n"/>
      <c r="EH133" s="46" t="n"/>
      <c r="EI133" s="46" t="n"/>
      <c r="EJ133" s="46" t="n"/>
      <c r="EK133" s="46" t="n"/>
      <c r="EL133" s="46" t="n"/>
      <c r="EM133" s="46" t="n"/>
      <c r="EN133" s="46" t="n"/>
      <c r="EO133" s="46" t="n"/>
      <c r="EP133" s="46" t="n"/>
      <c r="EQ133" s="46" t="n"/>
      <c r="ER133" s="46" t="n"/>
      <c r="ES133" s="46" t="n"/>
      <c r="ET133" s="46" t="n"/>
      <c r="EU133" s="46" t="n"/>
      <c r="EV133" s="46" t="n"/>
      <c r="EW133" s="46" t="n"/>
      <c r="EX133" s="46" t="n"/>
      <c r="EY133" s="46" t="n"/>
      <c r="EZ133" s="46" t="n"/>
      <c r="FA133" s="46" t="n"/>
      <c r="FB133" s="46" t="n"/>
      <c r="FC133" s="46" t="n"/>
      <c r="FD133" s="46" t="n"/>
      <c r="FE133" s="46" t="n"/>
      <c r="FF133" s="46" t="n"/>
      <c r="FG133" s="46" t="n"/>
      <c r="FH133" s="46" t="n"/>
      <c r="FI133" s="46" t="n"/>
      <c r="FJ133" s="46" t="n"/>
      <c r="FK133" s="46" t="n"/>
      <c r="FL133" s="46" t="n"/>
      <c r="FM133" s="46" t="n"/>
      <c r="FN133" s="46" t="n"/>
    </row>
    <row r="134" ht="15" customFormat="1" customHeight="1" s="50">
      <c r="A134" s="49" t="n">
        <v>46054</v>
      </c>
      <c r="B134" s="43" t="n"/>
      <c r="C134" s="43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  <c r="Y134" s="46" t="n"/>
      <c r="Z134" s="46" t="n"/>
      <c r="AA134" s="46" t="n"/>
      <c r="AB134" s="46" t="n"/>
      <c r="AC134" s="46" t="n"/>
      <c r="AD134" s="46" t="n"/>
      <c r="AE134" s="46" t="n"/>
      <c r="AF134" s="46" t="n"/>
      <c r="AG134" s="46" t="n"/>
      <c r="AH134" s="46" t="n"/>
      <c r="AI134" s="46" t="n"/>
      <c r="AJ134" s="46" t="n"/>
      <c r="AK134" s="46" t="n"/>
      <c r="AL134" s="46" t="n"/>
      <c r="AM134" s="46" t="n"/>
      <c r="AN134" s="46" t="n"/>
      <c r="AO134" s="46" t="n"/>
      <c r="AP134" s="46" t="n"/>
      <c r="AQ134" s="46" t="n"/>
      <c r="AR134" s="46" t="n"/>
      <c r="AS134" s="46" t="n"/>
      <c r="AT134" s="46" t="n"/>
      <c r="AU134" s="46" t="n"/>
      <c r="AV134" s="46" t="n"/>
      <c r="AW134" s="46" t="n"/>
      <c r="AX134" s="46" t="n"/>
      <c r="AY134" s="46" t="n"/>
      <c r="AZ134" s="46" t="n"/>
      <c r="BA134" s="46" t="n"/>
      <c r="BB134" s="46" t="n"/>
      <c r="BC134" s="46" t="n"/>
      <c r="BD134" s="46" t="n"/>
      <c r="BE134" s="46" t="n"/>
      <c r="BF134" s="46" t="n"/>
      <c r="BG134" s="46" t="n"/>
      <c r="BH134" s="46" t="n"/>
      <c r="BI134" s="46" t="n"/>
      <c r="BJ134" s="46" t="n"/>
      <c r="BK134" s="46" t="n"/>
      <c r="BL134" s="46" t="n"/>
      <c r="BM134" s="46" t="n"/>
      <c r="BN134" s="46" t="n"/>
      <c r="BO134" s="46" t="n"/>
      <c r="BP134" s="46" t="n"/>
      <c r="BQ134" s="46" t="n"/>
      <c r="BR134" s="46" t="n"/>
      <c r="BS134" s="46" t="n"/>
      <c r="BT134" s="46" t="n"/>
      <c r="BU134" s="46" t="n"/>
      <c r="BV134" s="46" t="n"/>
      <c r="BW134" s="46" t="n"/>
      <c r="BX134" s="46" t="n"/>
      <c r="BY134" s="46" t="n"/>
      <c r="BZ134" s="46" t="n"/>
      <c r="CA134" s="46" t="n"/>
      <c r="CB134" s="46" t="n"/>
      <c r="CC134" s="46" t="n"/>
      <c r="CD134" s="46" t="n"/>
      <c r="CE134" s="46" t="n"/>
      <c r="CF134" s="46" t="n"/>
      <c r="CG134" s="46" t="n"/>
      <c r="CH134" s="46" t="n"/>
      <c r="CI134" s="46" t="n"/>
      <c r="CJ134" s="46" t="n"/>
      <c r="CK134" s="46" t="n"/>
      <c r="CL134" s="46" t="n"/>
      <c r="CM134" s="46" t="n"/>
      <c r="CN134" s="46" t="n"/>
      <c r="CO134" s="46" t="n"/>
      <c r="CP134" s="46" t="n"/>
      <c r="CQ134" s="46" t="n"/>
      <c r="CR134" s="46" t="n"/>
      <c r="CS134" s="46" t="n"/>
      <c r="CT134" s="46" t="n"/>
      <c r="CU134" s="46" t="n"/>
      <c r="CV134" s="46" t="n"/>
      <c r="CW134" s="46" t="n"/>
      <c r="CX134" s="46" t="n"/>
      <c r="CY134" s="46" t="n"/>
      <c r="CZ134" s="46" t="n"/>
      <c r="DA134" s="46" t="n"/>
      <c r="DB134" s="46" t="n"/>
      <c r="DC134" s="46" t="n"/>
      <c r="DD134" s="46" t="n"/>
      <c r="DE134" s="46" t="n"/>
      <c r="DF134" s="46" t="n"/>
      <c r="DG134" s="46" t="n"/>
      <c r="DH134" s="46" t="n"/>
      <c r="DI134" s="46" t="n"/>
      <c r="DJ134" s="46" t="n"/>
      <c r="DK134" s="46" t="n"/>
      <c r="DL134" s="46" t="n"/>
      <c r="DM134" s="46" t="n"/>
      <c r="DN134" s="46" t="n"/>
      <c r="DO134" s="46" t="n"/>
      <c r="DP134" s="46" t="n"/>
      <c r="DQ134" s="46" t="n"/>
      <c r="DR134" s="46" t="n"/>
      <c r="DS134" s="46" t="n"/>
      <c r="DT134" s="46" t="n"/>
      <c r="DU134" s="46" t="n"/>
      <c r="DV134" s="46" t="n"/>
      <c r="DW134" s="46" t="n"/>
      <c r="DX134" s="46" t="n"/>
      <c r="DY134" s="46" t="n"/>
      <c r="DZ134" s="46" t="n"/>
      <c r="EA134" s="46" t="n"/>
      <c r="EB134" s="46" t="n"/>
      <c r="EC134" s="46" t="n"/>
      <c r="ED134" s="46" t="n"/>
      <c r="EE134" s="46" t="n"/>
      <c r="EF134" s="46" t="n"/>
      <c r="EG134" s="46" t="n"/>
      <c r="EH134" s="46" t="n"/>
      <c r="EI134" s="46" t="n"/>
      <c r="EJ134" s="46" t="n"/>
      <c r="EK134" s="46" t="n"/>
      <c r="EL134" s="46" t="n"/>
      <c r="EM134" s="46" t="n"/>
      <c r="EN134" s="46" t="n"/>
      <c r="EO134" s="46" t="n"/>
      <c r="EP134" s="46" t="n"/>
      <c r="EQ134" s="46" t="n"/>
      <c r="ER134" s="46" t="n"/>
      <c r="ES134" s="46" t="n"/>
      <c r="ET134" s="46" t="n"/>
      <c r="EU134" s="46" t="n"/>
      <c r="EV134" s="46" t="n"/>
      <c r="EW134" s="46" t="n"/>
      <c r="EX134" s="46" t="n"/>
      <c r="EY134" s="46" t="n"/>
      <c r="EZ134" s="46" t="n"/>
      <c r="FA134" s="46" t="n"/>
      <c r="FB134" s="46" t="n"/>
      <c r="FC134" s="46" t="n"/>
      <c r="FD134" s="46" t="n"/>
      <c r="FE134" s="46" t="n"/>
      <c r="FF134" s="46" t="n"/>
      <c r="FG134" s="46" t="n"/>
      <c r="FH134" s="46" t="n"/>
      <c r="FI134" s="46" t="n"/>
      <c r="FJ134" s="46" t="n"/>
      <c r="FK134" s="46" t="n"/>
      <c r="FL134" s="46" t="n"/>
      <c r="FM134" s="46" t="n"/>
      <c r="FN134" s="46" t="n"/>
    </row>
    <row r="135" ht="15" customFormat="1" customHeight="1" s="50">
      <c r="A135" s="49" t="n">
        <v>46082</v>
      </c>
      <c r="B135" s="43" t="n"/>
      <c r="C135" s="43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  <c r="Y135" s="46" t="n"/>
      <c r="Z135" s="46" t="n"/>
      <c r="AA135" s="46" t="n"/>
      <c r="AB135" s="46" t="n"/>
      <c r="AC135" s="46" t="n"/>
      <c r="AD135" s="46" t="n"/>
      <c r="AE135" s="46" t="n"/>
      <c r="AF135" s="46" t="n"/>
      <c r="AG135" s="46" t="n"/>
      <c r="AH135" s="46" t="n"/>
      <c r="AI135" s="46" t="n"/>
      <c r="AJ135" s="46" t="n"/>
      <c r="AK135" s="46" t="n"/>
      <c r="AL135" s="46" t="n"/>
      <c r="AM135" s="46" t="n"/>
      <c r="AN135" s="46" t="n"/>
      <c r="AO135" s="46" t="n"/>
      <c r="AP135" s="46" t="n"/>
      <c r="AQ135" s="46" t="n"/>
      <c r="AR135" s="46" t="n"/>
      <c r="AS135" s="46" t="n"/>
      <c r="AT135" s="46" t="n"/>
      <c r="AU135" s="46" t="n"/>
      <c r="AV135" s="46" t="n"/>
      <c r="AW135" s="46" t="n"/>
      <c r="AX135" s="46" t="n"/>
      <c r="AY135" s="46" t="n"/>
      <c r="AZ135" s="46" t="n"/>
      <c r="BA135" s="46" t="n"/>
      <c r="BB135" s="46" t="n"/>
      <c r="BC135" s="46" t="n"/>
      <c r="BD135" s="46" t="n"/>
      <c r="BE135" s="46" t="n"/>
      <c r="BF135" s="46" t="n"/>
      <c r="BG135" s="46" t="n"/>
      <c r="BH135" s="46" t="n"/>
      <c r="BI135" s="46" t="n"/>
      <c r="BJ135" s="46" t="n"/>
      <c r="BK135" s="46" t="n"/>
      <c r="BL135" s="46" t="n"/>
      <c r="BM135" s="46" t="n"/>
      <c r="BN135" s="46" t="n"/>
      <c r="BO135" s="46" t="n"/>
      <c r="BP135" s="46" t="n"/>
      <c r="BQ135" s="46" t="n"/>
      <c r="BR135" s="46" t="n"/>
      <c r="BS135" s="46" t="n"/>
      <c r="BT135" s="46" t="n"/>
      <c r="BU135" s="46" t="n"/>
      <c r="BV135" s="46" t="n"/>
      <c r="BW135" s="46" t="n"/>
      <c r="BX135" s="46" t="n"/>
      <c r="BY135" s="46" t="n"/>
      <c r="BZ135" s="46" t="n"/>
      <c r="CA135" s="46" t="n"/>
      <c r="CB135" s="46" t="n"/>
      <c r="CC135" s="46" t="n"/>
      <c r="CD135" s="46" t="n"/>
      <c r="CE135" s="46" t="n"/>
      <c r="CF135" s="46" t="n"/>
      <c r="CG135" s="46" t="n"/>
      <c r="CH135" s="46" t="n"/>
      <c r="CI135" s="46" t="n"/>
      <c r="CJ135" s="46" t="n"/>
      <c r="CK135" s="46" t="n"/>
      <c r="CL135" s="46" t="n"/>
      <c r="CM135" s="46" t="n"/>
      <c r="CN135" s="46" t="n"/>
      <c r="CO135" s="46" t="n"/>
      <c r="CP135" s="46" t="n"/>
      <c r="CQ135" s="46" t="n"/>
      <c r="CR135" s="46" t="n"/>
      <c r="CS135" s="46" t="n"/>
      <c r="CT135" s="46" t="n"/>
      <c r="CU135" s="46" t="n"/>
      <c r="CV135" s="46" t="n"/>
      <c r="CW135" s="46" t="n"/>
      <c r="CX135" s="46" t="n"/>
      <c r="CY135" s="46" t="n"/>
      <c r="CZ135" s="46" t="n"/>
      <c r="DA135" s="46" t="n"/>
      <c r="DB135" s="46" t="n"/>
      <c r="DC135" s="46" t="n"/>
      <c r="DD135" s="46" t="n"/>
      <c r="DE135" s="46" t="n"/>
      <c r="DF135" s="46" t="n"/>
      <c r="DG135" s="46" t="n"/>
      <c r="DH135" s="46" t="n"/>
      <c r="DI135" s="46" t="n"/>
      <c r="DJ135" s="46" t="n"/>
      <c r="DK135" s="46" t="n"/>
      <c r="DL135" s="46" t="n"/>
      <c r="DM135" s="46" t="n"/>
      <c r="DN135" s="46" t="n"/>
      <c r="DO135" s="46" t="n"/>
      <c r="DP135" s="46" t="n"/>
      <c r="DQ135" s="46" t="n"/>
      <c r="DR135" s="46" t="n"/>
      <c r="DS135" s="46" t="n"/>
      <c r="DT135" s="46" t="n"/>
      <c r="DU135" s="46" t="n"/>
      <c r="DV135" s="46" t="n"/>
      <c r="DW135" s="46" t="n"/>
      <c r="DX135" s="46" t="n"/>
      <c r="DY135" s="46" t="n"/>
      <c r="DZ135" s="46" t="n"/>
      <c r="EA135" s="46" t="n"/>
      <c r="EB135" s="46" t="n"/>
      <c r="EC135" s="46" t="n"/>
      <c r="ED135" s="46" t="n"/>
      <c r="EE135" s="46" t="n"/>
      <c r="EF135" s="46" t="n"/>
      <c r="EG135" s="46" t="n"/>
      <c r="EH135" s="46" t="n"/>
      <c r="EI135" s="46" t="n"/>
      <c r="EJ135" s="46" t="n"/>
      <c r="EK135" s="46" t="n"/>
      <c r="EL135" s="46" t="n"/>
      <c r="EM135" s="46" t="n"/>
      <c r="EN135" s="46" t="n"/>
      <c r="EO135" s="46" t="n"/>
      <c r="EP135" s="46" t="n"/>
      <c r="EQ135" s="46" t="n"/>
      <c r="ER135" s="46" t="n"/>
      <c r="ES135" s="46" t="n"/>
      <c r="ET135" s="46" t="n"/>
      <c r="EU135" s="46" t="n"/>
      <c r="EV135" s="46" t="n"/>
      <c r="EW135" s="46" t="n"/>
      <c r="EX135" s="46" t="n"/>
      <c r="EY135" s="46" t="n"/>
      <c r="EZ135" s="46" t="n"/>
      <c r="FA135" s="46" t="n"/>
      <c r="FB135" s="46" t="n"/>
      <c r="FC135" s="46" t="n"/>
      <c r="FD135" s="46" t="n"/>
      <c r="FE135" s="46" t="n"/>
      <c r="FF135" s="46" t="n"/>
      <c r="FG135" s="46" t="n"/>
      <c r="FH135" s="46" t="n"/>
      <c r="FI135" s="46" t="n"/>
      <c r="FJ135" s="46" t="n"/>
      <c r="FK135" s="46" t="n"/>
      <c r="FL135" s="46" t="n"/>
      <c r="FM135" s="46" t="n"/>
      <c r="FN135" s="46" t="n"/>
    </row>
    <row r="136" ht="15" customFormat="1" customHeight="1" s="50">
      <c r="A136" s="49" t="n">
        <v>46113</v>
      </c>
      <c r="B136" s="43" t="n"/>
      <c r="C136" s="43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  <c r="Y136" s="46" t="n"/>
      <c r="Z136" s="46" t="n"/>
      <c r="AA136" s="46" t="n"/>
      <c r="AB136" s="46" t="n"/>
      <c r="AC136" s="46" t="n"/>
      <c r="AD136" s="46" t="n"/>
      <c r="AE136" s="46" t="n"/>
      <c r="AF136" s="46" t="n"/>
      <c r="AG136" s="46" t="n"/>
      <c r="AH136" s="46" t="n"/>
      <c r="AI136" s="46" t="n"/>
      <c r="AJ136" s="46" t="n"/>
      <c r="AK136" s="46" t="n"/>
      <c r="AL136" s="46" t="n"/>
      <c r="AM136" s="46" t="n"/>
      <c r="AN136" s="46" t="n"/>
      <c r="AO136" s="46" t="n"/>
      <c r="AP136" s="46" t="n"/>
      <c r="AQ136" s="46" t="n"/>
      <c r="AR136" s="46" t="n"/>
      <c r="AS136" s="46" t="n"/>
      <c r="AT136" s="46" t="n"/>
      <c r="AU136" s="46" t="n"/>
      <c r="AV136" s="46" t="n"/>
      <c r="AW136" s="46" t="n"/>
      <c r="AX136" s="46" t="n"/>
      <c r="AY136" s="46" t="n"/>
      <c r="AZ136" s="46" t="n"/>
      <c r="BA136" s="46" t="n"/>
      <c r="BB136" s="46" t="n"/>
      <c r="BC136" s="46" t="n"/>
      <c r="BD136" s="46" t="n"/>
      <c r="BE136" s="46" t="n"/>
      <c r="BF136" s="46" t="n"/>
      <c r="BG136" s="46" t="n"/>
      <c r="BH136" s="46" t="n"/>
      <c r="BI136" s="46" t="n"/>
      <c r="BJ136" s="46" t="n"/>
      <c r="BK136" s="46" t="n"/>
      <c r="BL136" s="46" t="n"/>
      <c r="BM136" s="46" t="n"/>
      <c r="BN136" s="46" t="n"/>
      <c r="BO136" s="46" t="n"/>
      <c r="BP136" s="46" t="n"/>
      <c r="BQ136" s="46" t="n"/>
      <c r="BR136" s="46" t="n"/>
      <c r="BS136" s="46" t="n"/>
      <c r="BT136" s="46" t="n"/>
      <c r="BU136" s="46" t="n"/>
      <c r="BV136" s="46" t="n"/>
      <c r="BW136" s="46" t="n"/>
      <c r="BX136" s="46" t="n"/>
      <c r="BY136" s="46" t="n"/>
      <c r="BZ136" s="46" t="n"/>
      <c r="CA136" s="46" t="n"/>
      <c r="CB136" s="46" t="n"/>
      <c r="CC136" s="46" t="n"/>
      <c r="CD136" s="46" t="n"/>
      <c r="CE136" s="46" t="n"/>
      <c r="CF136" s="46" t="n"/>
      <c r="CG136" s="46" t="n"/>
      <c r="CH136" s="46" t="n"/>
      <c r="CI136" s="46" t="n"/>
      <c r="CJ136" s="46" t="n"/>
      <c r="CK136" s="46" t="n"/>
      <c r="CL136" s="46" t="n"/>
      <c r="CM136" s="46" t="n"/>
      <c r="CN136" s="46" t="n"/>
      <c r="CO136" s="46" t="n"/>
      <c r="CP136" s="46" t="n"/>
      <c r="CQ136" s="46" t="n"/>
      <c r="CR136" s="46" t="n"/>
      <c r="CS136" s="46" t="n"/>
      <c r="CT136" s="46" t="n"/>
      <c r="CU136" s="46" t="n"/>
      <c r="CV136" s="46" t="n"/>
      <c r="CW136" s="46" t="n"/>
      <c r="CX136" s="46" t="n"/>
      <c r="CY136" s="46" t="n"/>
      <c r="CZ136" s="46" t="n"/>
      <c r="DA136" s="46" t="n"/>
      <c r="DB136" s="46" t="n"/>
      <c r="DC136" s="46" t="n"/>
      <c r="DD136" s="46" t="n"/>
      <c r="DE136" s="46" t="n"/>
      <c r="DF136" s="46" t="n"/>
      <c r="DG136" s="46" t="n"/>
      <c r="DH136" s="46" t="n"/>
      <c r="DI136" s="46" t="n"/>
      <c r="DJ136" s="46" t="n"/>
      <c r="DK136" s="46" t="n"/>
      <c r="DL136" s="46" t="n"/>
      <c r="DM136" s="46" t="n"/>
      <c r="DN136" s="46" t="n"/>
      <c r="DO136" s="46" t="n"/>
      <c r="DP136" s="46" t="n"/>
      <c r="DQ136" s="46" t="n"/>
      <c r="DR136" s="46" t="n"/>
      <c r="DS136" s="46" t="n"/>
      <c r="DT136" s="46" t="n"/>
      <c r="DU136" s="46" t="n"/>
      <c r="DV136" s="46" t="n"/>
      <c r="DW136" s="46" t="n"/>
      <c r="DX136" s="46" t="n"/>
      <c r="DY136" s="46" t="n"/>
      <c r="DZ136" s="46" t="n"/>
      <c r="EA136" s="46" t="n"/>
      <c r="EB136" s="46" t="n"/>
      <c r="EC136" s="46" t="n"/>
      <c r="ED136" s="46" t="n"/>
      <c r="EE136" s="46" t="n"/>
      <c r="EF136" s="46" t="n"/>
      <c r="EG136" s="46" t="n"/>
      <c r="EH136" s="46" t="n"/>
      <c r="EI136" s="46" t="n"/>
      <c r="EJ136" s="46" t="n"/>
      <c r="EK136" s="46" t="n"/>
      <c r="EL136" s="46" t="n"/>
      <c r="EM136" s="46" t="n"/>
      <c r="EN136" s="46" t="n"/>
      <c r="EO136" s="46" t="n"/>
      <c r="EP136" s="46" t="n"/>
      <c r="EQ136" s="46" t="n"/>
      <c r="ER136" s="46" t="n"/>
      <c r="ES136" s="46" t="n"/>
      <c r="ET136" s="46" t="n"/>
      <c r="EU136" s="46" t="n"/>
      <c r="EV136" s="46" t="n"/>
      <c r="EW136" s="46" t="n"/>
      <c r="EX136" s="46" t="n"/>
      <c r="EY136" s="46" t="n"/>
      <c r="EZ136" s="46" t="n"/>
      <c r="FA136" s="46" t="n"/>
      <c r="FB136" s="46" t="n"/>
      <c r="FC136" s="46" t="n"/>
      <c r="FD136" s="46" t="n"/>
      <c r="FE136" s="46" t="n"/>
      <c r="FF136" s="46" t="n"/>
      <c r="FG136" s="46" t="n"/>
      <c r="FH136" s="46" t="n"/>
      <c r="FI136" s="46" t="n"/>
      <c r="FJ136" s="46" t="n"/>
      <c r="FK136" s="46" t="n"/>
      <c r="FL136" s="46" t="n"/>
      <c r="FM136" s="46" t="n"/>
      <c r="FN136" s="46" t="n"/>
    </row>
    <row r="137" ht="15" customFormat="1" customHeight="1" s="50">
      <c r="A137" s="49" t="n">
        <v>46143</v>
      </c>
      <c r="B137" s="43" t="n"/>
      <c r="C137" s="43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  <c r="Y137" s="46" t="n"/>
      <c r="Z137" s="46" t="n"/>
      <c r="AA137" s="46" t="n"/>
      <c r="AB137" s="46" t="n"/>
      <c r="AC137" s="46" t="n"/>
      <c r="AD137" s="46" t="n"/>
      <c r="AE137" s="46" t="n"/>
      <c r="AF137" s="46" t="n"/>
      <c r="AG137" s="46" t="n"/>
      <c r="AH137" s="46" t="n"/>
      <c r="AI137" s="46" t="n"/>
      <c r="AJ137" s="46" t="n"/>
      <c r="AK137" s="46" t="n"/>
      <c r="AL137" s="46" t="n"/>
      <c r="AM137" s="46" t="n"/>
      <c r="AN137" s="46" t="n"/>
      <c r="AO137" s="46" t="n"/>
      <c r="AP137" s="46" t="n"/>
      <c r="AQ137" s="46" t="n"/>
      <c r="AR137" s="46" t="n"/>
      <c r="AS137" s="46" t="n"/>
      <c r="AT137" s="46" t="n"/>
      <c r="AU137" s="46" t="n"/>
      <c r="AV137" s="46" t="n"/>
      <c r="AW137" s="46" t="n"/>
      <c r="AX137" s="46" t="n"/>
      <c r="AY137" s="46" t="n"/>
      <c r="AZ137" s="46" t="n"/>
      <c r="BA137" s="46" t="n"/>
      <c r="BB137" s="46" t="n"/>
      <c r="BC137" s="46" t="n"/>
      <c r="BD137" s="46" t="n"/>
      <c r="BE137" s="46" t="n"/>
      <c r="BF137" s="46" t="n"/>
      <c r="BG137" s="46" t="n"/>
      <c r="BH137" s="46" t="n"/>
      <c r="BI137" s="46" t="n"/>
      <c r="BJ137" s="46" t="n"/>
      <c r="BK137" s="46" t="n"/>
      <c r="BL137" s="46" t="n"/>
      <c r="BM137" s="46" t="n"/>
      <c r="BN137" s="46" t="n"/>
      <c r="BO137" s="46" t="n"/>
      <c r="BP137" s="46" t="n"/>
      <c r="BQ137" s="46" t="n"/>
      <c r="BR137" s="46" t="n"/>
      <c r="BS137" s="46" t="n"/>
      <c r="BT137" s="46" t="n"/>
      <c r="BU137" s="46" t="n"/>
      <c r="BV137" s="46" t="n"/>
      <c r="BW137" s="46" t="n"/>
      <c r="BX137" s="46" t="n"/>
      <c r="BY137" s="46" t="n"/>
      <c r="BZ137" s="46" t="n"/>
      <c r="CA137" s="46" t="n"/>
      <c r="CB137" s="46" t="n"/>
      <c r="CC137" s="46" t="n"/>
      <c r="CD137" s="46" t="n"/>
      <c r="CE137" s="46" t="n"/>
      <c r="CF137" s="46" t="n"/>
      <c r="CG137" s="46" t="n"/>
      <c r="CH137" s="46" t="n"/>
      <c r="CI137" s="46" t="n"/>
      <c r="CJ137" s="46" t="n"/>
      <c r="CK137" s="46" t="n"/>
      <c r="CL137" s="46" t="n"/>
      <c r="CM137" s="46" t="n"/>
      <c r="CN137" s="46" t="n"/>
      <c r="CO137" s="46" t="n"/>
      <c r="CP137" s="46" t="n"/>
      <c r="CQ137" s="46" t="n"/>
      <c r="CR137" s="46" t="n"/>
      <c r="CS137" s="46" t="n"/>
      <c r="CT137" s="46" t="n"/>
      <c r="CU137" s="46" t="n"/>
      <c r="CV137" s="46" t="n"/>
      <c r="CW137" s="46" t="n"/>
      <c r="CX137" s="46" t="n"/>
      <c r="CY137" s="46" t="n"/>
      <c r="CZ137" s="46" t="n"/>
      <c r="DA137" s="46" t="n"/>
      <c r="DB137" s="46" t="n"/>
      <c r="DC137" s="46" t="n"/>
      <c r="DD137" s="46" t="n"/>
      <c r="DE137" s="46" t="n"/>
      <c r="DF137" s="46" t="n"/>
      <c r="DG137" s="46" t="n"/>
      <c r="DH137" s="46" t="n"/>
      <c r="DI137" s="46" t="n"/>
      <c r="DJ137" s="46" t="n"/>
      <c r="DK137" s="46" t="n"/>
      <c r="DL137" s="46" t="n"/>
      <c r="DM137" s="46" t="n"/>
      <c r="DN137" s="46" t="n"/>
      <c r="DO137" s="46" t="n"/>
      <c r="DP137" s="46" t="n"/>
      <c r="DQ137" s="46" t="n"/>
      <c r="DR137" s="46" t="n"/>
      <c r="DS137" s="46" t="n"/>
      <c r="DT137" s="46" t="n"/>
      <c r="DU137" s="46" t="n"/>
      <c r="DV137" s="46" t="n"/>
      <c r="DW137" s="46" t="n"/>
      <c r="DX137" s="46" t="n"/>
      <c r="DY137" s="46" t="n"/>
      <c r="DZ137" s="46" t="n"/>
      <c r="EA137" s="46" t="n"/>
      <c r="EB137" s="46" t="n"/>
      <c r="EC137" s="46" t="n"/>
      <c r="ED137" s="46" t="n"/>
      <c r="EE137" s="46" t="n"/>
      <c r="EF137" s="46" t="n"/>
      <c r="EG137" s="46" t="n"/>
      <c r="EH137" s="46" t="n"/>
      <c r="EI137" s="46" t="n"/>
      <c r="EJ137" s="46" t="n"/>
      <c r="EK137" s="46" t="n"/>
      <c r="EL137" s="46" t="n"/>
      <c r="EM137" s="46" t="n"/>
      <c r="EN137" s="46" t="n"/>
      <c r="EO137" s="46" t="n"/>
      <c r="EP137" s="46" t="n"/>
      <c r="EQ137" s="46" t="n"/>
      <c r="ER137" s="46" t="n"/>
      <c r="ES137" s="46" t="n"/>
      <c r="ET137" s="46" t="n"/>
      <c r="EU137" s="46" t="n"/>
      <c r="EV137" s="46" t="n"/>
      <c r="EW137" s="46" t="n"/>
      <c r="EX137" s="46" t="n"/>
      <c r="EY137" s="46" t="n"/>
      <c r="EZ137" s="46" t="n"/>
      <c r="FA137" s="46" t="n"/>
      <c r="FB137" s="46" t="n"/>
      <c r="FC137" s="46" t="n"/>
      <c r="FD137" s="46" t="n"/>
      <c r="FE137" s="46" t="n"/>
      <c r="FF137" s="46" t="n"/>
      <c r="FG137" s="46" t="n"/>
      <c r="FH137" s="46" t="n"/>
      <c r="FI137" s="46" t="n"/>
      <c r="FJ137" s="46" t="n"/>
      <c r="FK137" s="46" t="n"/>
      <c r="FL137" s="46" t="n"/>
      <c r="FM137" s="46" t="n"/>
      <c r="FN137" s="46" t="n"/>
    </row>
    <row r="138" ht="15" customFormat="1" customHeight="1" s="50">
      <c r="A138" s="49" t="n">
        <v>46174</v>
      </c>
      <c r="B138" s="43" t="n"/>
      <c r="C138" s="43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  <c r="Y138" s="46" t="n"/>
      <c r="Z138" s="46" t="n"/>
      <c r="AA138" s="46" t="n"/>
      <c r="AB138" s="46" t="n"/>
      <c r="AC138" s="46" t="n"/>
      <c r="AD138" s="46" t="n"/>
      <c r="AE138" s="46" t="n"/>
      <c r="AF138" s="46" t="n"/>
      <c r="AG138" s="46" t="n"/>
      <c r="AH138" s="46" t="n"/>
      <c r="AI138" s="46" t="n"/>
      <c r="AJ138" s="46" t="n"/>
      <c r="AK138" s="46" t="n"/>
      <c r="AL138" s="46" t="n"/>
      <c r="AM138" s="46" t="n"/>
      <c r="AN138" s="46" t="n"/>
      <c r="AO138" s="46" t="n"/>
      <c r="AP138" s="46" t="n"/>
      <c r="AQ138" s="46" t="n"/>
      <c r="AR138" s="46" t="n"/>
      <c r="AS138" s="46" t="n"/>
      <c r="AT138" s="46" t="n"/>
      <c r="AU138" s="46" t="n"/>
      <c r="AV138" s="46" t="n"/>
      <c r="AW138" s="46" t="n"/>
      <c r="AX138" s="46" t="n"/>
      <c r="AY138" s="46" t="n"/>
      <c r="AZ138" s="46" t="n"/>
      <c r="BA138" s="46" t="n"/>
      <c r="BB138" s="46" t="n"/>
      <c r="BC138" s="46" t="n"/>
      <c r="BD138" s="46" t="n"/>
      <c r="BE138" s="46" t="n"/>
      <c r="BF138" s="46" t="n"/>
      <c r="BG138" s="46" t="n"/>
      <c r="BH138" s="46" t="n"/>
      <c r="BI138" s="46" t="n"/>
      <c r="BJ138" s="46" t="n"/>
      <c r="BK138" s="46" t="n"/>
      <c r="BL138" s="46" t="n"/>
      <c r="BM138" s="46" t="n"/>
      <c r="BN138" s="46" t="n"/>
      <c r="BO138" s="46" t="n"/>
      <c r="BP138" s="46" t="n"/>
      <c r="BQ138" s="46" t="n"/>
      <c r="BR138" s="46" t="n"/>
      <c r="BS138" s="46" t="n"/>
      <c r="BT138" s="46" t="n"/>
      <c r="BU138" s="46" t="n"/>
      <c r="BV138" s="46" t="n"/>
      <c r="BW138" s="46" t="n"/>
      <c r="BX138" s="46" t="n"/>
      <c r="BY138" s="46" t="n"/>
      <c r="BZ138" s="46" t="n"/>
      <c r="CA138" s="46" t="n"/>
      <c r="CB138" s="46" t="n"/>
      <c r="CC138" s="46" t="n"/>
      <c r="CD138" s="46" t="n"/>
      <c r="CE138" s="46" t="n"/>
      <c r="CF138" s="46" t="n"/>
      <c r="CG138" s="46" t="n"/>
      <c r="CH138" s="46" t="n"/>
      <c r="CI138" s="46" t="n"/>
      <c r="CJ138" s="46" t="n"/>
      <c r="CK138" s="46" t="n"/>
      <c r="CL138" s="46" t="n"/>
      <c r="CM138" s="46" t="n"/>
      <c r="CN138" s="46" t="n"/>
      <c r="CO138" s="46" t="n"/>
      <c r="CP138" s="46" t="n"/>
      <c r="CQ138" s="46" t="n"/>
      <c r="CR138" s="46" t="n"/>
      <c r="CS138" s="46" t="n"/>
      <c r="CT138" s="46" t="n"/>
      <c r="CU138" s="46" t="n"/>
      <c r="CV138" s="46" t="n"/>
      <c r="CW138" s="46" t="n"/>
      <c r="CX138" s="46" t="n"/>
      <c r="CY138" s="46" t="n"/>
      <c r="CZ138" s="46" t="n"/>
      <c r="DA138" s="46" t="n"/>
      <c r="DB138" s="46" t="n"/>
      <c r="DC138" s="46" t="n"/>
      <c r="DD138" s="46" t="n"/>
      <c r="DE138" s="46" t="n"/>
      <c r="DF138" s="46" t="n"/>
      <c r="DG138" s="46" t="n"/>
      <c r="DH138" s="46" t="n"/>
      <c r="DI138" s="46" t="n"/>
      <c r="DJ138" s="46" t="n"/>
      <c r="DK138" s="46" t="n"/>
      <c r="DL138" s="46" t="n"/>
      <c r="DM138" s="46" t="n"/>
      <c r="DN138" s="46" t="n"/>
      <c r="DO138" s="46" t="n"/>
      <c r="DP138" s="46" t="n"/>
      <c r="DQ138" s="46" t="n"/>
      <c r="DR138" s="46" t="n"/>
      <c r="DS138" s="46" t="n"/>
      <c r="DT138" s="46" t="n"/>
      <c r="DU138" s="46" t="n"/>
      <c r="DV138" s="46" t="n"/>
      <c r="DW138" s="46" t="n"/>
      <c r="DX138" s="46" t="n"/>
      <c r="DY138" s="46" t="n"/>
      <c r="DZ138" s="46" t="n"/>
      <c r="EA138" s="46" t="n"/>
      <c r="EB138" s="46" t="n"/>
      <c r="EC138" s="46" t="n"/>
      <c r="ED138" s="46" t="n"/>
      <c r="EE138" s="46" t="n"/>
      <c r="EF138" s="46" t="n"/>
      <c r="EG138" s="46" t="n"/>
      <c r="EH138" s="46" t="n"/>
      <c r="EI138" s="46" t="n"/>
      <c r="EJ138" s="46" t="n"/>
      <c r="EK138" s="46" t="n"/>
      <c r="EL138" s="46" t="n"/>
      <c r="EM138" s="46" t="n"/>
      <c r="EN138" s="46" t="n"/>
      <c r="EO138" s="46" t="n"/>
      <c r="EP138" s="46" t="n"/>
      <c r="EQ138" s="46" t="n"/>
      <c r="ER138" s="46" t="n"/>
      <c r="ES138" s="46" t="n"/>
      <c r="ET138" s="46" t="n"/>
      <c r="EU138" s="46" t="n"/>
      <c r="EV138" s="46" t="n"/>
      <c r="EW138" s="46" t="n"/>
      <c r="EX138" s="46" t="n"/>
      <c r="EY138" s="46" t="n"/>
      <c r="EZ138" s="46" t="n"/>
      <c r="FA138" s="46" t="n"/>
      <c r="FB138" s="46" t="n"/>
      <c r="FC138" s="46" t="n"/>
      <c r="FD138" s="46" t="n"/>
      <c r="FE138" s="46" t="n"/>
      <c r="FF138" s="46" t="n"/>
      <c r="FG138" s="46" t="n"/>
      <c r="FH138" s="46" t="n"/>
      <c r="FI138" s="46" t="n"/>
      <c r="FJ138" s="46" t="n"/>
      <c r="FK138" s="46" t="n"/>
      <c r="FL138" s="46" t="n"/>
      <c r="FM138" s="46" t="n"/>
      <c r="FN138" s="46" t="n"/>
    </row>
    <row r="139" ht="15" customFormat="1" customHeight="1" s="50">
      <c r="A139" s="49" t="n">
        <v>46204</v>
      </c>
      <c r="B139" s="43" t="n"/>
      <c r="C139" s="43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  <c r="Y139" s="46" t="n"/>
      <c r="Z139" s="46" t="n"/>
      <c r="AA139" s="46" t="n"/>
      <c r="AB139" s="46" t="n"/>
      <c r="AC139" s="46" t="n"/>
      <c r="AD139" s="46" t="n"/>
      <c r="AE139" s="46" t="n"/>
      <c r="AF139" s="46" t="n"/>
      <c r="AG139" s="46" t="n"/>
      <c r="AH139" s="46" t="n"/>
      <c r="AI139" s="46" t="n"/>
      <c r="AJ139" s="46" t="n"/>
      <c r="AK139" s="46" t="n"/>
      <c r="AL139" s="46" t="n"/>
      <c r="AM139" s="46" t="n"/>
      <c r="AN139" s="46" t="n"/>
      <c r="AO139" s="46" t="n"/>
      <c r="AP139" s="46" t="n"/>
      <c r="AQ139" s="46" t="n"/>
      <c r="AR139" s="46" t="n"/>
      <c r="AS139" s="46" t="n"/>
      <c r="AT139" s="46" t="n"/>
      <c r="AU139" s="46" t="n"/>
      <c r="AV139" s="46" t="n"/>
      <c r="AW139" s="46" t="n"/>
      <c r="AX139" s="46" t="n"/>
      <c r="AY139" s="46" t="n"/>
      <c r="AZ139" s="46" t="n"/>
      <c r="BA139" s="46" t="n"/>
      <c r="BB139" s="46" t="n"/>
      <c r="BC139" s="46" t="n"/>
      <c r="BD139" s="46" t="n"/>
      <c r="BE139" s="46" t="n"/>
      <c r="BF139" s="46" t="n"/>
      <c r="BG139" s="46" t="n"/>
      <c r="BH139" s="46" t="n"/>
      <c r="BI139" s="46" t="n"/>
      <c r="BJ139" s="46" t="n"/>
      <c r="BK139" s="46" t="n"/>
      <c r="BL139" s="46" t="n"/>
      <c r="BM139" s="46" t="n"/>
      <c r="BN139" s="46" t="n"/>
      <c r="BO139" s="46" t="n"/>
      <c r="BP139" s="46" t="n"/>
      <c r="BQ139" s="46" t="n"/>
      <c r="BR139" s="46" t="n"/>
      <c r="BS139" s="46" t="n"/>
      <c r="BT139" s="46" t="n"/>
      <c r="BU139" s="46" t="n"/>
      <c r="BV139" s="46" t="n"/>
      <c r="BW139" s="46" t="n"/>
      <c r="BX139" s="46" t="n"/>
      <c r="BY139" s="46" t="n"/>
      <c r="BZ139" s="46" t="n"/>
      <c r="CA139" s="46" t="n"/>
      <c r="CB139" s="46" t="n"/>
      <c r="CC139" s="46" t="n"/>
      <c r="CD139" s="46" t="n"/>
      <c r="CE139" s="46" t="n"/>
      <c r="CF139" s="46" t="n"/>
      <c r="CG139" s="46" t="n"/>
      <c r="CH139" s="46" t="n"/>
      <c r="CI139" s="46" t="n"/>
      <c r="CJ139" s="46" t="n"/>
      <c r="CK139" s="46" t="n"/>
      <c r="CL139" s="46" t="n"/>
      <c r="CM139" s="46" t="n"/>
      <c r="CN139" s="46" t="n"/>
      <c r="CO139" s="46" t="n"/>
      <c r="CP139" s="46" t="n"/>
      <c r="CQ139" s="46" t="n"/>
      <c r="CR139" s="46" t="n"/>
      <c r="CS139" s="46" t="n"/>
      <c r="CT139" s="46" t="n"/>
      <c r="CU139" s="46" t="n"/>
      <c r="CV139" s="46" t="n"/>
      <c r="CW139" s="46" t="n"/>
      <c r="CX139" s="46" t="n"/>
      <c r="CY139" s="46" t="n"/>
      <c r="CZ139" s="46" t="n"/>
      <c r="DA139" s="46" t="n"/>
      <c r="DB139" s="46" t="n"/>
      <c r="DC139" s="46" t="n"/>
      <c r="DD139" s="46" t="n"/>
      <c r="DE139" s="46" t="n"/>
      <c r="DF139" s="46" t="n"/>
      <c r="DG139" s="46" t="n"/>
      <c r="DH139" s="46" t="n"/>
      <c r="DI139" s="46" t="n"/>
      <c r="DJ139" s="46" t="n"/>
      <c r="DK139" s="46" t="n"/>
      <c r="DL139" s="46" t="n"/>
      <c r="DM139" s="46" t="n"/>
      <c r="DN139" s="46" t="n"/>
      <c r="DO139" s="46" t="n"/>
      <c r="DP139" s="46" t="n"/>
      <c r="DQ139" s="46" t="n"/>
      <c r="DR139" s="46" t="n"/>
      <c r="DS139" s="46" t="n"/>
      <c r="DT139" s="46" t="n"/>
      <c r="DU139" s="46" t="n"/>
      <c r="DV139" s="46" t="n"/>
      <c r="DW139" s="46" t="n"/>
      <c r="DX139" s="46" t="n"/>
      <c r="DY139" s="46" t="n"/>
      <c r="DZ139" s="46" t="n"/>
      <c r="EA139" s="46" t="n"/>
      <c r="EB139" s="46" t="n"/>
      <c r="EC139" s="46" t="n"/>
      <c r="ED139" s="46" t="n"/>
      <c r="EE139" s="46" t="n"/>
      <c r="EF139" s="46" t="n"/>
      <c r="EG139" s="46" t="n"/>
      <c r="EH139" s="46" t="n"/>
      <c r="EI139" s="46" t="n"/>
      <c r="EJ139" s="46" t="n"/>
      <c r="EK139" s="46" t="n"/>
      <c r="EL139" s="46" t="n"/>
      <c r="EM139" s="46" t="n"/>
      <c r="EN139" s="46" t="n"/>
      <c r="EO139" s="46" t="n"/>
      <c r="EP139" s="46" t="n"/>
      <c r="EQ139" s="46" t="n"/>
      <c r="ER139" s="46" t="n"/>
      <c r="ES139" s="46" t="n"/>
      <c r="ET139" s="46" t="n"/>
      <c r="EU139" s="46" t="n"/>
      <c r="EV139" s="46" t="n"/>
      <c r="EW139" s="46" t="n"/>
      <c r="EX139" s="46" t="n"/>
      <c r="EY139" s="46" t="n"/>
      <c r="EZ139" s="46" t="n"/>
      <c r="FA139" s="46" t="n"/>
      <c r="FB139" s="46" t="n"/>
      <c r="FC139" s="46" t="n"/>
      <c r="FD139" s="46" t="n"/>
      <c r="FE139" s="46" t="n"/>
      <c r="FF139" s="46" t="n"/>
      <c r="FG139" s="46" t="n"/>
      <c r="FH139" s="46" t="n"/>
      <c r="FI139" s="46" t="n"/>
      <c r="FJ139" s="46" t="n"/>
      <c r="FK139" s="46" t="n"/>
      <c r="FL139" s="46" t="n"/>
      <c r="FM139" s="46" t="n"/>
      <c r="FN139" s="46" t="n"/>
    </row>
    <row r="140" ht="15" customFormat="1" customHeight="1" s="50">
      <c r="A140" s="49" t="n">
        <v>46235</v>
      </c>
      <c r="B140" s="43" t="n"/>
      <c r="C140" s="43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  <c r="Y140" s="46" t="n"/>
      <c r="Z140" s="46" t="n"/>
      <c r="AA140" s="46" t="n"/>
      <c r="AB140" s="46" t="n"/>
      <c r="AC140" s="46" t="n"/>
      <c r="AD140" s="46" t="n"/>
      <c r="AE140" s="46" t="n"/>
      <c r="AF140" s="46" t="n"/>
      <c r="AG140" s="46" t="n"/>
      <c r="AH140" s="46" t="n"/>
      <c r="AI140" s="46" t="n"/>
      <c r="AJ140" s="46" t="n"/>
      <c r="AK140" s="46" t="n"/>
      <c r="AL140" s="46" t="n"/>
      <c r="AM140" s="46" t="n"/>
      <c r="AN140" s="46" t="n"/>
      <c r="AO140" s="46" t="n"/>
      <c r="AP140" s="46" t="n"/>
      <c r="AQ140" s="46" t="n"/>
      <c r="AR140" s="46" t="n"/>
      <c r="AS140" s="46" t="n"/>
      <c r="AT140" s="46" t="n"/>
      <c r="AU140" s="46" t="n"/>
      <c r="AV140" s="46" t="n"/>
      <c r="AW140" s="46" t="n"/>
      <c r="AX140" s="46" t="n"/>
      <c r="AY140" s="46" t="n"/>
      <c r="AZ140" s="46" t="n"/>
      <c r="BA140" s="46" t="n"/>
      <c r="BB140" s="46" t="n"/>
      <c r="BC140" s="46" t="n"/>
      <c r="BD140" s="46" t="n"/>
      <c r="BE140" s="46" t="n"/>
      <c r="BF140" s="46" t="n"/>
      <c r="BG140" s="46" t="n"/>
      <c r="BH140" s="46" t="n"/>
      <c r="BI140" s="46" t="n"/>
      <c r="BJ140" s="46" t="n"/>
      <c r="BK140" s="46" t="n"/>
      <c r="BL140" s="46" t="n"/>
      <c r="BM140" s="46" t="n"/>
      <c r="BN140" s="46" t="n"/>
      <c r="BO140" s="46" t="n"/>
      <c r="BP140" s="46" t="n"/>
      <c r="BQ140" s="46" t="n"/>
      <c r="BR140" s="46" t="n"/>
      <c r="BS140" s="46" t="n"/>
      <c r="BT140" s="46" t="n"/>
      <c r="BU140" s="46" t="n"/>
      <c r="BV140" s="46" t="n"/>
      <c r="BW140" s="46" t="n"/>
      <c r="BX140" s="46" t="n"/>
      <c r="BY140" s="46" t="n"/>
      <c r="BZ140" s="46" t="n"/>
      <c r="CA140" s="46" t="n"/>
      <c r="CB140" s="46" t="n"/>
      <c r="CC140" s="46" t="n"/>
      <c r="CD140" s="46" t="n"/>
      <c r="CE140" s="46" t="n"/>
      <c r="CF140" s="46" t="n"/>
      <c r="CG140" s="46" t="n"/>
      <c r="CH140" s="46" t="n"/>
      <c r="CI140" s="46" t="n"/>
      <c r="CJ140" s="46" t="n"/>
      <c r="CK140" s="46" t="n"/>
      <c r="CL140" s="46" t="n"/>
      <c r="CM140" s="46" t="n"/>
      <c r="CN140" s="46" t="n"/>
      <c r="CO140" s="46" t="n"/>
      <c r="CP140" s="46" t="n"/>
      <c r="CQ140" s="46" t="n"/>
      <c r="CR140" s="46" t="n"/>
      <c r="CS140" s="46" t="n"/>
      <c r="CT140" s="46" t="n"/>
      <c r="CU140" s="46" t="n"/>
      <c r="CV140" s="46" t="n"/>
      <c r="CW140" s="46" t="n"/>
      <c r="CX140" s="46" t="n"/>
      <c r="CY140" s="46" t="n"/>
      <c r="CZ140" s="46" t="n"/>
      <c r="DA140" s="46" t="n"/>
      <c r="DB140" s="46" t="n"/>
      <c r="DC140" s="46" t="n"/>
      <c r="DD140" s="46" t="n"/>
      <c r="DE140" s="46" t="n"/>
      <c r="DF140" s="46" t="n"/>
      <c r="DG140" s="46" t="n"/>
      <c r="DH140" s="46" t="n"/>
      <c r="DI140" s="46" t="n"/>
      <c r="DJ140" s="46" t="n"/>
      <c r="DK140" s="46" t="n"/>
      <c r="DL140" s="46" t="n"/>
      <c r="DM140" s="46" t="n"/>
      <c r="DN140" s="46" t="n"/>
      <c r="DO140" s="46" t="n"/>
      <c r="DP140" s="46" t="n"/>
      <c r="DQ140" s="46" t="n"/>
      <c r="DR140" s="46" t="n"/>
      <c r="DS140" s="46" t="n"/>
      <c r="DT140" s="46" t="n"/>
      <c r="DU140" s="46" t="n"/>
      <c r="DV140" s="46" t="n"/>
      <c r="DW140" s="46" t="n"/>
      <c r="DX140" s="46" t="n"/>
      <c r="DY140" s="46" t="n"/>
      <c r="DZ140" s="46" t="n"/>
      <c r="EA140" s="46" t="n"/>
      <c r="EB140" s="46" t="n"/>
      <c r="EC140" s="46" t="n"/>
      <c r="ED140" s="46" t="n"/>
      <c r="EE140" s="46" t="n"/>
      <c r="EF140" s="46" t="n"/>
      <c r="EG140" s="46" t="n"/>
      <c r="EH140" s="46" t="n"/>
      <c r="EI140" s="46" t="n"/>
      <c r="EJ140" s="46" t="n"/>
      <c r="EK140" s="46" t="n"/>
      <c r="EL140" s="46" t="n"/>
      <c r="EM140" s="46" t="n"/>
      <c r="EN140" s="46" t="n"/>
      <c r="EO140" s="46" t="n"/>
      <c r="EP140" s="46" t="n"/>
      <c r="EQ140" s="46" t="n"/>
      <c r="ER140" s="46" t="n"/>
      <c r="ES140" s="46" t="n"/>
      <c r="ET140" s="46" t="n"/>
      <c r="EU140" s="46" t="n"/>
      <c r="EV140" s="46" t="n"/>
      <c r="EW140" s="46" t="n"/>
      <c r="EX140" s="46" t="n"/>
      <c r="EY140" s="46" t="n"/>
      <c r="EZ140" s="46" t="n"/>
      <c r="FA140" s="46" t="n"/>
      <c r="FB140" s="46" t="n"/>
      <c r="FC140" s="46" t="n"/>
      <c r="FD140" s="46" t="n"/>
      <c r="FE140" s="46" t="n"/>
      <c r="FF140" s="46" t="n"/>
      <c r="FG140" s="46" t="n"/>
      <c r="FH140" s="46" t="n"/>
      <c r="FI140" s="46" t="n"/>
      <c r="FJ140" s="46" t="n"/>
      <c r="FK140" s="46" t="n"/>
      <c r="FL140" s="46" t="n"/>
      <c r="FM140" s="46" t="n"/>
      <c r="FN140" s="46" t="n"/>
    </row>
    <row r="141" ht="15" customFormat="1" customHeight="1" s="50">
      <c r="A141" s="49" t="n">
        <v>46266</v>
      </c>
      <c r="B141" s="43" t="n"/>
      <c r="C141" s="43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  <c r="Y141" s="46" t="n"/>
      <c r="Z141" s="46" t="n"/>
      <c r="AA141" s="46" t="n"/>
      <c r="AB141" s="46" t="n"/>
      <c r="AC141" s="46" t="n"/>
      <c r="AD141" s="46" t="n"/>
      <c r="AE141" s="46" t="n"/>
      <c r="AF141" s="46" t="n"/>
      <c r="AG141" s="46" t="n"/>
      <c r="AH141" s="46" t="n"/>
      <c r="AI141" s="46" t="n"/>
      <c r="AJ141" s="46" t="n"/>
      <c r="AK141" s="46" t="n"/>
      <c r="AL141" s="46" t="n"/>
      <c r="AM141" s="46" t="n"/>
      <c r="AN141" s="46" t="n"/>
      <c r="AO141" s="46" t="n"/>
      <c r="AP141" s="46" t="n"/>
      <c r="AQ141" s="46" t="n"/>
      <c r="AR141" s="46" t="n"/>
      <c r="AS141" s="46" t="n"/>
      <c r="AT141" s="46" t="n"/>
      <c r="AU141" s="46" t="n"/>
      <c r="AV141" s="46" t="n"/>
      <c r="AW141" s="46" t="n"/>
      <c r="AX141" s="46" t="n"/>
      <c r="AY141" s="46" t="n"/>
      <c r="AZ141" s="46" t="n"/>
      <c r="BA141" s="46" t="n"/>
      <c r="BB141" s="46" t="n"/>
      <c r="BC141" s="46" t="n"/>
      <c r="BD141" s="46" t="n"/>
      <c r="BE141" s="46" t="n"/>
      <c r="BF141" s="46" t="n"/>
      <c r="BG141" s="46" t="n"/>
      <c r="BH141" s="46" t="n"/>
      <c r="BI141" s="46" t="n"/>
      <c r="BJ141" s="46" t="n"/>
      <c r="BK141" s="46" t="n"/>
      <c r="BL141" s="46" t="n"/>
      <c r="BM141" s="46" t="n"/>
      <c r="BN141" s="46" t="n"/>
      <c r="BO141" s="46" t="n"/>
      <c r="BP141" s="46" t="n"/>
      <c r="BQ141" s="46" t="n"/>
      <c r="BR141" s="46" t="n"/>
      <c r="BS141" s="46" t="n"/>
      <c r="BT141" s="46" t="n"/>
      <c r="BU141" s="46" t="n"/>
      <c r="BV141" s="46" t="n"/>
      <c r="BW141" s="46" t="n"/>
      <c r="BX141" s="46" t="n"/>
      <c r="BY141" s="46" t="n"/>
      <c r="BZ141" s="46" t="n"/>
      <c r="CA141" s="46" t="n"/>
      <c r="CB141" s="46" t="n"/>
      <c r="CC141" s="46" t="n"/>
      <c r="CD141" s="46" t="n"/>
      <c r="CE141" s="46" t="n"/>
      <c r="CF141" s="46" t="n"/>
      <c r="CG141" s="46" t="n"/>
      <c r="CH141" s="46" t="n"/>
      <c r="CI141" s="46" t="n"/>
      <c r="CJ141" s="46" t="n"/>
      <c r="CK141" s="46" t="n"/>
      <c r="CL141" s="46" t="n"/>
      <c r="CM141" s="46" t="n"/>
      <c r="CN141" s="46" t="n"/>
      <c r="CO141" s="46" t="n"/>
      <c r="CP141" s="46" t="n"/>
      <c r="CQ141" s="46" t="n"/>
      <c r="CR141" s="46" t="n"/>
      <c r="CS141" s="46" t="n"/>
      <c r="CT141" s="46" t="n"/>
      <c r="CU141" s="46" t="n"/>
      <c r="CV141" s="46" t="n"/>
      <c r="CW141" s="46" t="n"/>
      <c r="CX141" s="46" t="n"/>
      <c r="CY141" s="46" t="n"/>
      <c r="CZ141" s="46" t="n"/>
      <c r="DA141" s="46" t="n"/>
      <c r="DB141" s="46" t="n"/>
      <c r="DC141" s="46" t="n"/>
      <c r="DD141" s="46" t="n"/>
      <c r="DE141" s="46" t="n"/>
      <c r="DF141" s="46" t="n"/>
      <c r="DG141" s="46" t="n"/>
      <c r="DH141" s="46" t="n"/>
      <c r="DI141" s="46" t="n"/>
      <c r="DJ141" s="46" t="n"/>
      <c r="DK141" s="46" t="n"/>
      <c r="DL141" s="46" t="n"/>
      <c r="DM141" s="46" t="n"/>
      <c r="DN141" s="46" t="n"/>
      <c r="DO141" s="46" t="n"/>
      <c r="DP141" s="46" t="n"/>
      <c r="DQ141" s="46" t="n"/>
      <c r="DR141" s="46" t="n"/>
      <c r="DS141" s="46" t="n"/>
      <c r="DT141" s="46" t="n"/>
      <c r="DU141" s="46" t="n"/>
      <c r="DV141" s="46" t="n"/>
      <c r="DW141" s="46" t="n"/>
      <c r="DX141" s="46" t="n"/>
      <c r="DY141" s="46" t="n"/>
      <c r="DZ141" s="46" t="n"/>
      <c r="EA141" s="46" t="n"/>
      <c r="EB141" s="46" t="n"/>
      <c r="EC141" s="46" t="n"/>
      <c r="ED141" s="46" t="n"/>
      <c r="EE141" s="46" t="n"/>
      <c r="EF141" s="46" t="n"/>
      <c r="EG141" s="46" t="n"/>
      <c r="EH141" s="46" t="n"/>
      <c r="EI141" s="46" t="n"/>
      <c r="EJ141" s="46" t="n"/>
      <c r="EK141" s="46" t="n"/>
      <c r="EL141" s="46" t="n"/>
      <c r="EM141" s="46" t="n"/>
      <c r="EN141" s="46" t="n"/>
      <c r="EO141" s="46" t="n"/>
      <c r="EP141" s="46" t="n"/>
      <c r="EQ141" s="46" t="n"/>
      <c r="ER141" s="46" t="n"/>
      <c r="ES141" s="46" t="n"/>
      <c r="ET141" s="46" t="n"/>
      <c r="EU141" s="46" t="n"/>
      <c r="EV141" s="46" t="n"/>
      <c r="EW141" s="46" t="n"/>
      <c r="EX141" s="46" t="n"/>
      <c r="EY141" s="46" t="n"/>
      <c r="EZ141" s="46" t="n"/>
      <c r="FA141" s="46" t="n"/>
      <c r="FB141" s="46" t="n"/>
      <c r="FC141" s="46" t="n"/>
      <c r="FD141" s="46" t="n"/>
      <c r="FE141" s="46" t="n"/>
      <c r="FF141" s="46" t="n"/>
      <c r="FG141" s="46" t="n"/>
      <c r="FH141" s="46" t="n"/>
      <c r="FI141" s="46" t="n"/>
      <c r="FJ141" s="46" t="n"/>
      <c r="FK141" s="46" t="n"/>
      <c r="FL141" s="46" t="n"/>
      <c r="FM141" s="46" t="n"/>
      <c r="FN141" s="46" t="n"/>
    </row>
    <row r="142" ht="15" customFormat="1" customHeight="1" s="50">
      <c r="A142" s="49" t="n">
        <v>46296</v>
      </c>
      <c r="B142" s="43" t="n"/>
      <c r="C142" s="43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  <c r="Y142" s="46" t="n"/>
      <c r="Z142" s="46" t="n"/>
      <c r="AA142" s="46" t="n"/>
      <c r="AB142" s="46" t="n"/>
      <c r="AC142" s="46" t="n"/>
      <c r="AD142" s="46" t="n"/>
      <c r="AE142" s="46" t="n"/>
      <c r="AF142" s="46" t="n"/>
      <c r="AG142" s="46" t="n"/>
      <c r="AH142" s="46" t="n"/>
      <c r="AI142" s="46" t="n"/>
      <c r="AJ142" s="46" t="n"/>
      <c r="AK142" s="46" t="n"/>
      <c r="AL142" s="46" t="n"/>
      <c r="AM142" s="46" t="n"/>
      <c r="AN142" s="46" t="n"/>
      <c r="AO142" s="46" t="n"/>
      <c r="AP142" s="46" t="n"/>
      <c r="AQ142" s="46" t="n"/>
      <c r="AR142" s="46" t="n"/>
      <c r="AS142" s="46" t="n"/>
      <c r="AT142" s="46" t="n"/>
      <c r="AU142" s="46" t="n"/>
      <c r="AV142" s="46" t="n"/>
      <c r="AW142" s="46" t="n"/>
      <c r="AX142" s="46" t="n"/>
      <c r="AY142" s="46" t="n"/>
      <c r="AZ142" s="46" t="n"/>
      <c r="BA142" s="46" t="n"/>
      <c r="BB142" s="46" t="n"/>
      <c r="BC142" s="46" t="n"/>
      <c r="BD142" s="46" t="n"/>
      <c r="BE142" s="46" t="n"/>
      <c r="BF142" s="46" t="n"/>
      <c r="BG142" s="46" t="n"/>
      <c r="BH142" s="46" t="n"/>
      <c r="BI142" s="46" t="n"/>
      <c r="BJ142" s="46" t="n"/>
      <c r="BK142" s="46" t="n"/>
      <c r="BL142" s="46" t="n"/>
      <c r="BM142" s="46" t="n"/>
      <c r="BN142" s="46" t="n"/>
      <c r="BO142" s="46" t="n"/>
      <c r="BP142" s="46" t="n"/>
      <c r="BQ142" s="46" t="n"/>
      <c r="BR142" s="46" t="n"/>
      <c r="BS142" s="46" t="n"/>
      <c r="BT142" s="46" t="n"/>
      <c r="BU142" s="46" t="n"/>
      <c r="BV142" s="46" t="n"/>
      <c r="BW142" s="46" t="n"/>
      <c r="BX142" s="46" t="n"/>
      <c r="BY142" s="46" t="n"/>
      <c r="BZ142" s="46" t="n"/>
      <c r="CA142" s="46" t="n"/>
      <c r="CB142" s="46" t="n"/>
      <c r="CC142" s="46" t="n"/>
      <c r="CD142" s="46" t="n"/>
      <c r="CE142" s="46" t="n"/>
      <c r="CF142" s="46" t="n"/>
      <c r="CG142" s="46" t="n"/>
      <c r="CH142" s="46" t="n"/>
      <c r="CI142" s="46" t="n"/>
      <c r="CJ142" s="46" t="n"/>
      <c r="CK142" s="46" t="n"/>
      <c r="CL142" s="46" t="n"/>
      <c r="CM142" s="46" t="n"/>
      <c r="CN142" s="46" t="n"/>
      <c r="CO142" s="46" t="n"/>
      <c r="CP142" s="46" t="n"/>
      <c r="CQ142" s="46" t="n"/>
      <c r="CR142" s="46" t="n"/>
      <c r="CS142" s="46" t="n"/>
      <c r="CT142" s="46" t="n"/>
      <c r="CU142" s="46" t="n"/>
      <c r="CV142" s="46" t="n"/>
      <c r="CW142" s="46" t="n"/>
      <c r="CX142" s="46" t="n"/>
      <c r="CY142" s="46" t="n"/>
      <c r="CZ142" s="46" t="n"/>
      <c r="DA142" s="46" t="n"/>
      <c r="DB142" s="46" t="n"/>
      <c r="DC142" s="46" t="n"/>
      <c r="DD142" s="46" t="n"/>
      <c r="DE142" s="46" t="n"/>
      <c r="DF142" s="46" t="n"/>
      <c r="DG142" s="46" t="n"/>
      <c r="DH142" s="46" t="n"/>
      <c r="DI142" s="46" t="n"/>
      <c r="DJ142" s="46" t="n"/>
      <c r="DK142" s="46" t="n"/>
      <c r="DL142" s="46" t="n"/>
      <c r="DM142" s="46" t="n"/>
      <c r="DN142" s="46" t="n"/>
      <c r="DO142" s="46" t="n"/>
      <c r="DP142" s="46" t="n"/>
      <c r="DQ142" s="46" t="n"/>
      <c r="DR142" s="46" t="n"/>
      <c r="DS142" s="46" t="n"/>
      <c r="DT142" s="46" t="n"/>
      <c r="DU142" s="46" t="n"/>
      <c r="DV142" s="46" t="n"/>
      <c r="DW142" s="46" t="n"/>
      <c r="DX142" s="46" t="n"/>
      <c r="DY142" s="46" t="n"/>
      <c r="DZ142" s="46" t="n"/>
      <c r="EA142" s="46" t="n"/>
      <c r="EB142" s="46" t="n"/>
      <c r="EC142" s="46" t="n"/>
      <c r="ED142" s="46" t="n"/>
      <c r="EE142" s="46" t="n"/>
      <c r="EF142" s="46" t="n"/>
      <c r="EG142" s="46" t="n"/>
      <c r="EH142" s="46" t="n"/>
      <c r="EI142" s="46" t="n"/>
      <c r="EJ142" s="46" t="n"/>
      <c r="EK142" s="46" t="n"/>
      <c r="EL142" s="46" t="n"/>
      <c r="EM142" s="46" t="n"/>
      <c r="EN142" s="46" t="n"/>
      <c r="EO142" s="46" t="n"/>
      <c r="EP142" s="46" t="n"/>
      <c r="EQ142" s="46" t="n"/>
      <c r="ER142" s="46" t="n"/>
      <c r="ES142" s="46" t="n"/>
      <c r="ET142" s="46" t="n"/>
      <c r="EU142" s="46" t="n"/>
      <c r="EV142" s="46" t="n"/>
      <c r="EW142" s="46" t="n"/>
      <c r="EX142" s="46" t="n"/>
      <c r="EY142" s="46" t="n"/>
      <c r="EZ142" s="46" t="n"/>
      <c r="FA142" s="46" t="n"/>
      <c r="FB142" s="46" t="n"/>
      <c r="FC142" s="46" t="n"/>
      <c r="FD142" s="46" t="n"/>
      <c r="FE142" s="46" t="n"/>
      <c r="FF142" s="46" t="n"/>
      <c r="FG142" s="46" t="n"/>
      <c r="FH142" s="46" t="n"/>
      <c r="FI142" s="46" t="n"/>
      <c r="FJ142" s="46" t="n"/>
      <c r="FK142" s="46" t="n"/>
      <c r="FL142" s="46" t="n"/>
      <c r="FM142" s="46" t="n"/>
      <c r="FN142" s="46" t="n"/>
    </row>
    <row r="143" ht="15" customFormat="1" customHeight="1" s="50">
      <c r="A143" s="49" t="n">
        <v>46327</v>
      </c>
      <c r="B143" s="43" t="n"/>
      <c r="C143" s="43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  <c r="Y143" s="46" t="n"/>
      <c r="Z143" s="46" t="n"/>
      <c r="AA143" s="46" t="n"/>
      <c r="AB143" s="46" t="n"/>
      <c r="AC143" s="46" t="n"/>
      <c r="AD143" s="46" t="n"/>
      <c r="AE143" s="46" t="n"/>
      <c r="AF143" s="46" t="n"/>
      <c r="AG143" s="46" t="n"/>
      <c r="AH143" s="46" t="n"/>
      <c r="AI143" s="46" t="n"/>
      <c r="AJ143" s="46" t="n"/>
      <c r="AK143" s="46" t="n"/>
      <c r="AL143" s="46" t="n"/>
      <c r="AM143" s="46" t="n"/>
      <c r="AN143" s="46" t="n"/>
      <c r="AO143" s="46" t="n"/>
      <c r="AP143" s="46" t="n"/>
      <c r="AQ143" s="46" t="n"/>
      <c r="AR143" s="46" t="n"/>
      <c r="AS143" s="46" t="n"/>
      <c r="AT143" s="46" t="n"/>
      <c r="AU143" s="46" t="n"/>
      <c r="AV143" s="46" t="n"/>
      <c r="AW143" s="46" t="n"/>
      <c r="AX143" s="46" t="n"/>
      <c r="AY143" s="46" t="n"/>
      <c r="AZ143" s="46" t="n"/>
      <c r="BA143" s="46" t="n"/>
      <c r="BB143" s="46" t="n"/>
      <c r="BC143" s="46" t="n"/>
      <c r="BD143" s="46" t="n"/>
      <c r="BE143" s="46" t="n"/>
      <c r="BF143" s="46" t="n"/>
      <c r="BG143" s="46" t="n"/>
      <c r="BH143" s="46" t="n"/>
      <c r="BI143" s="46" t="n"/>
      <c r="BJ143" s="46" t="n"/>
      <c r="BK143" s="46" t="n"/>
      <c r="BL143" s="46" t="n"/>
      <c r="BM143" s="46" t="n"/>
      <c r="BN143" s="46" t="n"/>
      <c r="BO143" s="46" t="n"/>
      <c r="BP143" s="46" t="n"/>
      <c r="BQ143" s="46" t="n"/>
      <c r="BR143" s="46" t="n"/>
      <c r="BS143" s="46" t="n"/>
      <c r="BT143" s="46" t="n"/>
      <c r="BU143" s="46" t="n"/>
      <c r="BV143" s="46" t="n"/>
      <c r="BW143" s="46" t="n"/>
      <c r="BX143" s="46" t="n"/>
      <c r="BY143" s="46" t="n"/>
      <c r="BZ143" s="46" t="n"/>
      <c r="CA143" s="46" t="n"/>
      <c r="CB143" s="46" t="n"/>
      <c r="CC143" s="46" t="n"/>
      <c r="CD143" s="46" t="n"/>
      <c r="CE143" s="46" t="n"/>
      <c r="CF143" s="46" t="n"/>
      <c r="CG143" s="46" t="n"/>
      <c r="CH143" s="46" t="n"/>
      <c r="CI143" s="46" t="n"/>
      <c r="CJ143" s="46" t="n"/>
      <c r="CK143" s="46" t="n"/>
      <c r="CL143" s="46" t="n"/>
      <c r="CM143" s="46" t="n"/>
      <c r="CN143" s="46" t="n"/>
      <c r="CO143" s="46" t="n"/>
      <c r="CP143" s="46" t="n"/>
      <c r="CQ143" s="46" t="n"/>
      <c r="CR143" s="46" t="n"/>
      <c r="CS143" s="46" t="n"/>
      <c r="CT143" s="46" t="n"/>
      <c r="CU143" s="46" t="n"/>
      <c r="CV143" s="46" t="n"/>
      <c r="CW143" s="46" t="n"/>
      <c r="CX143" s="46" t="n"/>
      <c r="CY143" s="46" t="n"/>
      <c r="CZ143" s="46" t="n"/>
      <c r="DA143" s="46" t="n"/>
      <c r="DB143" s="46" t="n"/>
      <c r="DC143" s="46" t="n"/>
      <c r="DD143" s="46" t="n"/>
      <c r="DE143" s="46" t="n"/>
      <c r="DF143" s="46" t="n"/>
      <c r="DG143" s="46" t="n"/>
      <c r="DH143" s="46" t="n"/>
      <c r="DI143" s="46" t="n"/>
      <c r="DJ143" s="46" t="n"/>
      <c r="DK143" s="46" t="n"/>
      <c r="DL143" s="46" t="n"/>
      <c r="DM143" s="46" t="n"/>
      <c r="DN143" s="46" t="n"/>
      <c r="DO143" s="46" t="n"/>
      <c r="DP143" s="46" t="n"/>
      <c r="DQ143" s="46" t="n"/>
      <c r="DR143" s="46" t="n"/>
      <c r="DS143" s="46" t="n"/>
      <c r="DT143" s="46" t="n"/>
      <c r="DU143" s="46" t="n"/>
      <c r="DV143" s="46" t="n"/>
      <c r="DW143" s="46" t="n"/>
      <c r="DX143" s="46" t="n"/>
      <c r="DY143" s="46" t="n"/>
      <c r="DZ143" s="46" t="n"/>
      <c r="EA143" s="46" t="n"/>
      <c r="EB143" s="46" t="n"/>
      <c r="EC143" s="46" t="n"/>
      <c r="ED143" s="46" t="n"/>
      <c r="EE143" s="46" t="n"/>
      <c r="EF143" s="46" t="n"/>
      <c r="EG143" s="46" t="n"/>
      <c r="EH143" s="46" t="n"/>
      <c r="EI143" s="46" t="n"/>
      <c r="EJ143" s="46" t="n"/>
      <c r="EK143" s="46" t="n"/>
      <c r="EL143" s="46" t="n"/>
      <c r="EM143" s="46" t="n"/>
      <c r="EN143" s="46" t="n"/>
      <c r="EO143" s="46" t="n"/>
      <c r="EP143" s="46" t="n"/>
      <c r="EQ143" s="46" t="n"/>
      <c r="ER143" s="46" t="n"/>
      <c r="ES143" s="46" t="n"/>
      <c r="ET143" s="46" t="n"/>
      <c r="EU143" s="46" t="n"/>
      <c r="EV143" s="46" t="n"/>
      <c r="EW143" s="46" t="n"/>
      <c r="EX143" s="46" t="n"/>
      <c r="EY143" s="46" t="n"/>
      <c r="EZ143" s="46" t="n"/>
      <c r="FA143" s="46" t="n"/>
      <c r="FB143" s="46" t="n"/>
      <c r="FC143" s="46" t="n"/>
      <c r="FD143" s="46" t="n"/>
      <c r="FE143" s="46" t="n"/>
      <c r="FF143" s="46" t="n"/>
      <c r="FG143" s="46" t="n"/>
      <c r="FH143" s="46" t="n"/>
      <c r="FI143" s="46" t="n"/>
      <c r="FJ143" s="46" t="n"/>
      <c r="FK143" s="46" t="n"/>
      <c r="FL143" s="46" t="n"/>
      <c r="FM143" s="46" t="n"/>
      <c r="FN143" s="46" t="n"/>
    </row>
    <row r="144" ht="15" customFormat="1" customHeight="1" s="50">
      <c r="A144" s="49" t="n">
        <v>46357</v>
      </c>
      <c r="B144" s="43" t="n"/>
      <c r="C144" s="43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  <c r="Y144" s="46" t="n"/>
      <c r="Z144" s="46" t="n"/>
      <c r="AA144" s="46" t="n"/>
      <c r="AB144" s="46" t="n"/>
      <c r="AC144" s="46" t="n"/>
      <c r="AD144" s="46" t="n"/>
      <c r="AE144" s="46" t="n"/>
      <c r="AF144" s="46" t="n"/>
      <c r="AG144" s="46" t="n"/>
      <c r="AH144" s="46" t="n"/>
      <c r="AI144" s="46" t="n"/>
      <c r="AJ144" s="46" t="n"/>
      <c r="AK144" s="46" t="n"/>
      <c r="AL144" s="46" t="n"/>
      <c r="AM144" s="46" t="n"/>
      <c r="AN144" s="46" t="n"/>
      <c r="AO144" s="46" t="n"/>
      <c r="AP144" s="46" t="n"/>
      <c r="AQ144" s="46" t="n"/>
      <c r="AR144" s="46" t="n"/>
      <c r="AS144" s="46" t="n"/>
      <c r="AT144" s="46" t="n"/>
      <c r="AU144" s="46" t="n"/>
      <c r="AV144" s="46" t="n"/>
      <c r="AW144" s="46" t="n"/>
      <c r="AX144" s="46" t="n"/>
      <c r="AY144" s="46" t="n"/>
      <c r="AZ144" s="46" t="n"/>
      <c r="BA144" s="46" t="n"/>
      <c r="BB144" s="46" t="n"/>
      <c r="BC144" s="46" t="n"/>
      <c r="BD144" s="46" t="n"/>
      <c r="BE144" s="46" t="n"/>
      <c r="BF144" s="46" t="n"/>
      <c r="BG144" s="46" t="n"/>
      <c r="BH144" s="46" t="n"/>
      <c r="BI144" s="46" t="n"/>
      <c r="BJ144" s="46" t="n"/>
      <c r="BK144" s="46" t="n"/>
      <c r="BL144" s="46" t="n"/>
      <c r="BM144" s="46" t="n"/>
      <c r="BN144" s="46" t="n"/>
      <c r="BO144" s="46" t="n"/>
      <c r="BP144" s="46" t="n"/>
      <c r="BQ144" s="46" t="n"/>
      <c r="BR144" s="46" t="n"/>
      <c r="BS144" s="46" t="n"/>
      <c r="BT144" s="46" t="n"/>
      <c r="BU144" s="46" t="n"/>
      <c r="BV144" s="46" t="n"/>
      <c r="BW144" s="46" t="n"/>
      <c r="BX144" s="46" t="n"/>
      <c r="BY144" s="46" t="n"/>
      <c r="BZ144" s="46" t="n"/>
      <c r="CA144" s="46" t="n"/>
      <c r="CB144" s="46" t="n"/>
      <c r="CC144" s="46" t="n"/>
      <c r="CD144" s="46" t="n"/>
      <c r="CE144" s="46" t="n"/>
      <c r="CF144" s="46" t="n"/>
      <c r="CG144" s="46" t="n"/>
      <c r="CH144" s="46" t="n"/>
      <c r="CI144" s="46" t="n"/>
      <c r="CJ144" s="46" t="n"/>
      <c r="CK144" s="46" t="n"/>
      <c r="CL144" s="46" t="n"/>
      <c r="CM144" s="46" t="n"/>
      <c r="CN144" s="46" t="n"/>
      <c r="CO144" s="46" t="n"/>
      <c r="CP144" s="46" t="n"/>
      <c r="CQ144" s="46" t="n"/>
      <c r="CR144" s="46" t="n"/>
      <c r="CS144" s="46" t="n"/>
      <c r="CT144" s="46" t="n"/>
      <c r="CU144" s="46" t="n"/>
      <c r="CV144" s="46" t="n"/>
      <c r="CW144" s="46" t="n"/>
      <c r="CX144" s="46" t="n"/>
      <c r="CY144" s="46" t="n"/>
      <c r="CZ144" s="46" t="n"/>
      <c r="DA144" s="46" t="n"/>
      <c r="DB144" s="46" t="n"/>
      <c r="DC144" s="46" t="n"/>
      <c r="DD144" s="46" t="n"/>
      <c r="DE144" s="46" t="n"/>
      <c r="DF144" s="46" t="n"/>
      <c r="DG144" s="46" t="n"/>
      <c r="DH144" s="46" t="n"/>
      <c r="DI144" s="46" t="n"/>
      <c r="DJ144" s="46" t="n"/>
      <c r="DK144" s="46" t="n"/>
      <c r="DL144" s="46" t="n"/>
      <c r="DM144" s="46" t="n"/>
      <c r="DN144" s="46" t="n"/>
      <c r="DO144" s="46" t="n"/>
      <c r="DP144" s="46" t="n"/>
      <c r="DQ144" s="46" t="n"/>
      <c r="DR144" s="46" t="n"/>
      <c r="DS144" s="46" t="n"/>
      <c r="DT144" s="46" t="n"/>
      <c r="DU144" s="46" t="n"/>
      <c r="DV144" s="46" t="n"/>
      <c r="DW144" s="46" t="n"/>
      <c r="DX144" s="46" t="n"/>
      <c r="DY144" s="46" t="n"/>
      <c r="DZ144" s="46" t="n"/>
      <c r="EA144" s="46" t="n"/>
      <c r="EB144" s="46" t="n"/>
      <c r="EC144" s="46" t="n"/>
      <c r="ED144" s="46" t="n"/>
      <c r="EE144" s="46" t="n"/>
      <c r="EF144" s="46" t="n"/>
      <c r="EG144" s="46" t="n"/>
      <c r="EH144" s="46" t="n"/>
      <c r="EI144" s="46" t="n"/>
      <c r="EJ144" s="46" t="n"/>
      <c r="EK144" s="46" t="n"/>
      <c r="EL144" s="46" t="n"/>
      <c r="EM144" s="46" t="n"/>
      <c r="EN144" s="46" t="n"/>
      <c r="EO144" s="46" t="n"/>
      <c r="EP144" s="46" t="n"/>
      <c r="EQ144" s="46" t="n"/>
      <c r="ER144" s="46" t="n"/>
      <c r="ES144" s="46" t="n"/>
      <c r="ET144" s="46" t="n"/>
      <c r="EU144" s="46" t="n"/>
      <c r="EV144" s="46" t="n"/>
      <c r="EW144" s="46" t="n"/>
      <c r="EX144" s="46" t="n"/>
      <c r="EY144" s="46" t="n"/>
      <c r="EZ144" s="46" t="n"/>
      <c r="FA144" s="46" t="n"/>
      <c r="FB144" s="46" t="n"/>
      <c r="FC144" s="46" t="n"/>
      <c r="FD144" s="46" t="n"/>
      <c r="FE144" s="46" t="n"/>
      <c r="FF144" s="46" t="n"/>
      <c r="FG144" s="46" t="n"/>
      <c r="FH144" s="46" t="n"/>
      <c r="FI144" s="46" t="n"/>
      <c r="FJ144" s="46" t="n"/>
      <c r="FK144" s="46" t="n"/>
      <c r="FL144" s="46" t="n"/>
      <c r="FM144" s="46" t="n"/>
      <c r="FN144" s="46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R144"/>
  <sheetViews>
    <sheetView workbookViewId="0">
      <pane xSplit="1" ySplit="4" topLeftCell="B122" activePane="bottomRight" state="frozen"/>
      <selection pane="topRight" activeCell="B1" sqref="B1"/>
      <selection pane="bottomLeft" activeCell="A5" sqref="A5"/>
      <selection pane="bottomRight" activeCell="H5" sqref="H5:H133"/>
    </sheetView>
  </sheetViews>
  <sheetFormatPr baseColWidth="8" defaultRowHeight="24"/>
  <cols>
    <col width="9.140625" customWidth="1" style="20" min="1" max="1"/>
  </cols>
  <sheetData>
    <row r="1">
      <c r="A1" s="16" t="inlineStr">
        <is>
          <t>SUNFLOWER COMPLEX</t>
        </is>
      </c>
    </row>
    <row r="2">
      <c r="A2" s="21" t="inlineStr">
        <is>
          <t>MONTHLY US SUNFLOWER CRUSHING</t>
        </is>
      </c>
    </row>
    <row r="3" ht="67.5" customFormat="1" customHeight="1" s="54">
      <c r="A3" s="22" t="n"/>
      <c r="B3" s="22" t="inlineStr">
        <is>
          <t>Capacity</t>
        </is>
      </c>
      <c r="C3" s="22" t="inlineStr">
        <is>
          <t>Seeds Crushed</t>
        </is>
      </c>
      <c r="D3" s="22" t="inlineStr">
        <is>
          <t>Unused Capacity</t>
        </is>
      </c>
      <c r="E3" s="22" t="inlineStr">
        <is>
          <t>Capacity Utilization</t>
        </is>
      </c>
      <c r="F3" s="53" t="n"/>
      <c r="G3" s="22" t="inlineStr">
        <is>
          <t>Cake and Meal Produced</t>
        </is>
      </c>
      <c r="H3" s="22" t="inlineStr">
        <is>
          <t>Cake and Meal on Hand (End of Month)</t>
        </is>
      </c>
      <c r="I3" s="22" t="inlineStr">
        <is>
          <t>Meal Yield</t>
        </is>
      </c>
      <c r="J3" s="53" t="n"/>
      <c r="K3" s="22" t="inlineStr">
        <is>
          <t>Crude Oil Produced</t>
        </is>
      </c>
      <c r="L3" s="22" t="inlineStr">
        <is>
          <t>Crude Processed in Refining</t>
        </is>
      </c>
      <c r="M3" s="22" t="inlineStr">
        <is>
          <t>Once Refined Oil Produced</t>
        </is>
      </c>
      <c r="N3" s="22" t="inlineStr">
        <is>
          <t>Refining Loss</t>
        </is>
      </c>
      <c r="O3" s="22" t="inlineStr">
        <is>
          <t>Once Refined Oil Removed for Use in Processing</t>
        </is>
      </c>
      <c r="P3" s="22" t="inlineStr">
        <is>
          <t>Crude Oil on Hand (End of Month)</t>
        </is>
      </c>
      <c r="Q3" s="22" t="inlineStr">
        <is>
          <t>Refined Oil on Hand (End of Month)</t>
        </is>
      </c>
      <c r="R3" s="22" t="inlineStr">
        <is>
          <t>Oil Yield</t>
        </is>
      </c>
    </row>
    <row r="4">
      <c r="A4" s="26" t="n"/>
      <c r="B4" s="26" t="inlineStr">
        <is>
          <t>tons/day</t>
        </is>
      </c>
      <c r="C4" s="26" t="inlineStr">
        <is>
          <t>mil lbs</t>
        </is>
      </c>
      <c r="D4" s="26" t="inlineStr">
        <is>
          <t>000 tons</t>
        </is>
      </c>
      <c r="E4" s="26" t="inlineStr">
        <is>
          <t>%</t>
        </is>
      </c>
      <c r="F4" s="27" t="n"/>
      <c r="G4" s="26" t="inlineStr">
        <is>
          <t>000 tons</t>
        </is>
      </c>
      <c r="H4" s="26" t="inlineStr">
        <is>
          <t>000 tons</t>
        </is>
      </c>
      <c r="I4" s="26" t="inlineStr">
        <is>
          <t>%</t>
        </is>
      </c>
      <c r="J4" s="27" t="n"/>
      <c r="K4" s="26" t="inlineStr">
        <is>
          <t>mil lbs</t>
        </is>
      </c>
      <c r="L4" s="26" t="inlineStr">
        <is>
          <t>mil lbs</t>
        </is>
      </c>
      <c r="M4" s="26" t="inlineStr">
        <is>
          <t>mil lbs</t>
        </is>
      </c>
      <c r="N4" s="26" t="inlineStr">
        <is>
          <t>%</t>
        </is>
      </c>
      <c r="O4" s="26" t="inlineStr">
        <is>
          <t>mil lbs</t>
        </is>
      </c>
      <c r="P4" s="26" t="inlineStr">
        <is>
          <t>mil lbs</t>
        </is>
      </c>
      <c r="Q4" s="26" t="inlineStr">
        <is>
          <t>mil lbs</t>
        </is>
      </c>
      <c r="R4" s="26" t="inlineStr">
        <is>
          <t>%</t>
        </is>
      </c>
    </row>
    <row r="5" ht="15.75" customHeight="1">
      <c r="A5" s="39" t="n">
        <v>42125</v>
      </c>
      <c r="C5" t="n">
        <v>25.778</v>
      </c>
      <c r="G5" t="n">
        <v>5.929</v>
      </c>
      <c r="H5" t="n">
        <v>5</v>
      </c>
      <c r="K5" t="n">
        <v>22.169</v>
      </c>
      <c r="L5" t="n">
        <v>22.169</v>
      </c>
      <c r="M5" t="n">
        <v>20.501</v>
      </c>
      <c r="O5" t="n">
        <v>25.416</v>
      </c>
      <c r="P5" t="n">
        <v>31.163</v>
      </c>
      <c r="Q5" t="n">
        <v>23.254</v>
      </c>
    </row>
    <row r="6" ht="15.75" customHeight="1">
      <c r="A6" s="39" t="n">
        <v>42156</v>
      </c>
      <c r="C6" t="n">
        <v>35.8315</v>
      </c>
      <c r="G6" t="n">
        <v>8.241</v>
      </c>
      <c r="H6" t="n">
        <v>5</v>
      </c>
      <c r="K6" t="n">
        <v>30.815</v>
      </c>
      <c r="L6" t="n">
        <v>37.175</v>
      </c>
      <c r="M6" t="n">
        <v>35.177</v>
      </c>
      <c r="O6" t="n">
        <v>33.317</v>
      </c>
      <c r="P6" t="n">
        <v>24.803</v>
      </c>
      <c r="Q6" t="n">
        <v>23.155</v>
      </c>
    </row>
    <row r="7" ht="15.75" customHeight="1">
      <c r="A7" s="39" t="n">
        <v>42186</v>
      </c>
      <c r="C7" t="n">
        <v>72.264</v>
      </c>
      <c r="G7" t="n">
        <v>16.6205</v>
      </c>
      <c r="H7" t="n">
        <v>5</v>
      </c>
      <c r="K7" t="n">
        <v>62.147</v>
      </c>
      <c r="L7" t="n">
        <v>33.797</v>
      </c>
      <c r="M7" t="n">
        <v>31.997</v>
      </c>
      <c r="O7" t="n">
        <v>34.818</v>
      </c>
      <c r="P7" t="n">
        <v>53.153</v>
      </c>
      <c r="Q7" t="n">
        <v>18.487</v>
      </c>
    </row>
    <row r="8" ht="15.75" customHeight="1">
      <c r="A8" s="39" t="n">
        <v>42217</v>
      </c>
      <c r="C8" t="n">
        <v>32.5605</v>
      </c>
      <c r="G8" t="n">
        <v>7.489</v>
      </c>
      <c r="H8" t="n">
        <v>5</v>
      </c>
      <c r="K8" t="n">
        <v>28.002</v>
      </c>
      <c r="L8" t="n">
        <v>43.479</v>
      </c>
      <c r="M8" t="n">
        <v>40.916</v>
      </c>
      <c r="O8" t="n">
        <v>30.139</v>
      </c>
      <c r="P8" t="n">
        <v>37.676</v>
      </c>
      <c r="Q8" t="n">
        <v>31.638</v>
      </c>
    </row>
    <row r="9" ht="15.75" customHeight="1">
      <c r="A9" s="39" t="n">
        <v>42248</v>
      </c>
      <c r="C9" t="n">
        <v>26.48</v>
      </c>
      <c r="G9" t="n">
        <v>6.0905</v>
      </c>
      <c r="H9" t="n">
        <v>5</v>
      </c>
      <c r="K9" t="n">
        <v>22.773</v>
      </c>
      <c r="L9" t="n">
        <v>22.773</v>
      </c>
      <c r="M9" t="n">
        <v>21.675</v>
      </c>
      <c r="O9" t="n">
        <v>26.731</v>
      </c>
      <c r="Q9" t="n">
        <v>20.869</v>
      </c>
    </row>
    <row r="10" ht="15.75" customHeight="1">
      <c r="A10" s="39" t="n">
        <v>42278</v>
      </c>
      <c r="C10" t="n">
        <v>51.9095</v>
      </c>
      <c r="G10" t="n">
        <v>11.939</v>
      </c>
      <c r="H10" t="n">
        <v>5</v>
      </c>
      <c r="K10" t="n">
        <v>44.642</v>
      </c>
      <c r="L10" t="n">
        <v>44.642</v>
      </c>
      <c r="M10" t="n">
        <v>42.502</v>
      </c>
      <c r="O10" t="n">
        <v>37.26</v>
      </c>
      <c r="P10" t="n">
        <v>54.688</v>
      </c>
      <c r="Q10" t="n">
        <v>25.967</v>
      </c>
    </row>
    <row r="11" ht="15.75" customHeight="1">
      <c r="A11" s="39" t="n">
        <v>42309</v>
      </c>
      <c r="C11" t="n">
        <v>62.6335</v>
      </c>
      <c r="G11" t="n">
        <v>14.406</v>
      </c>
      <c r="H11" t="n">
        <v>5</v>
      </c>
      <c r="K11" t="n">
        <v>53.865</v>
      </c>
      <c r="L11" t="n">
        <v>39.719</v>
      </c>
      <c r="M11" t="n">
        <v>38.63</v>
      </c>
      <c r="O11" t="n">
        <v>30.517</v>
      </c>
      <c r="P11" t="n">
        <v>68.834</v>
      </c>
      <c r="Q11" t="n">
        <v>34.294</v>
      </c>
    </row>
    <row r="12" ht="15.75" customHeight="1">
      <c r="A12" s="39" t="n">
        <v>42339</v>
      </c>
      <c r="C12" t="n">
        <v>30.3245</v>
      </c>
      <c r="G12" t="n">
        <v>6.9745</v>
      </c>
      <c r="H12" t="n">
        <v>5</v>
      </c>
      <c r="K12" t="n">
        <v>26.079</v>
      </c>
      <c r="L12" t="n">
        <v>41.254</v>
      </c>
      <c r="M12" t="n">
        <v>39.688</v>
      </c>
      <c r="O12" t="n">
        <v>36.787</v>
      </c>
      <c r="P12" t="n">
        <v>53.659</v>
      </c>
      <c r="Q12" t="n">
        <v>33.464</v>
      </c>
    </row>
    <row r="13" ht="15.75" customHeight="1">
      <c r="A13" s="39" t="n">
        <v>42370</v>
      </c>
      <c r="C13" t="n">
        <v>45.799</v>
      </c>
      <c r="G13" t="n">
        <v>10.5335</v>
      </c>
      <c r="H13" t="n">
        <v>5</v>
      </c>
      <c r="K13" t="n">
        <v>39.387</v>
      </c>
      <c r="L13" t="n">
        <v>31.581</v>
      </c>
      <c r="M13" t="n">
        <v>30.134</v>
      </c>
      <c r="O13" t="n">
        <v>29.391</v>
      </c>
      <c r="P13" t="n">
        <v>61.465</v>
      </c>
      <c r="Q13" t="n">
        <v>50.523</v>
      </c>
    </row>
    <row r="14" ht="15.75" customHeight="1">
      <c r="A14" s="39" t="n">
        <v>42401</v>
      </c>
      <c r="C14" t="n">
        <v>37.549</v>
      </c>
      <c r="G14" t="n">
        <v>8.635999999999999</v>
      </c>
      <c r="H14" t="n">
        <v>5</v>
      </c>
      <c r="K14" t="n">
        <v>32.292</v>
      </c>
      <c r="L14" t="n">
        <v>40.41</v>
      </c>
      <c r="M14" t="n">
        <v>38.334</v>
      </c>
      <c r="O14" t="n">
        <v>45.685</v>
      </c>
      <c r="P14" t="n">
        <v>53.347</v>
      </c>
      <c r="Q14" t="n">
        <v>35.537</v>
      </c>
    </row>
    <row r="15" ht="15.75" customHeight="1">
      <c r="A15" s="39" t="n">
        <v>42430</v>
      </c>
      <c r="C15" t="n">
        <v>43.8685</v>
      </c>
      <c r="G15" t="n">
        <v>10.09</v>
      </c>
      <c r="H15" t="n">
        <v>5</v>
      </c>
      <c r="K15" t="n">
        <v>37.727</v>
      </c>
      <c r="L15" t="n">
        <v>49.706</v>
      </c>
      <c r="M15" t="n">
        <v>47.177</v>
      </c>
      <c r="O15" t="n">
        <v>48.399</v>
      </c>
      <c r="P15" t="n">
        <v>41.368</v>
      </c>
      <c r="Q15" t="n">
        <v>41.947</v>
      </c>
    </row>
    <row r="16" ht="15.75" customHeight="1">
      <c r="A16" s="39" t="n">
        <v>42461</v>
      </c>
      <c r="C16" t="n">
        <v>78.642</v>
      </c>
      <c r="G16" t="n">
        <v>18.0875</v>
      </c>
      <c r="H16" t="n">
        <v>5</v>
      </c>
      <c r="K16" t="n">
        <v>67.63200000000001</v>
      </c>
      <c r="L16" t="n">
        <v>40.123</v>
      </c>
      <c r="M16" t="n">
        <v>38.199</v>
      </c>
      <c r="O16" t="n">
        <v>43.392</v>
      </c>
      <c r="P16" t="n">
        <v>68.877</v>
      </c>
      <c r="Q16" t="n">
        <v>51.51</v>
      </c>
    </row>
    <row r="17" ht="15.75" customHeight="1">
      <c r="A17" s="39" t="n">
        <v>42491</v>
      </c>
      <c r="C17" t="n">
        <v>20.47</v>
      </c>
      <c r="G17" t="n">
        <v>4.708</v>
      </c>
      <c r="H17" t="n">
        <v>5</v>
      </c>
      <c r="K17" t="n">
        <v>17.604</v>
      </c>
      <c r="L17" t="n">
        <v>34.918</v>
      </c>
      <c r="M17" t="n">
        <v>32.827</v>
      </c>
      <c r="O17" t="n">
        <v>30.753</v>
      </c>
      <c r="P17" t="n">
        <v>51.563</v>
      </c>
      <c r="Q17" t="n">
        <v>31.102</v>
      </c>
    </row>
    <row r="18" ht="15.75" customHeight="1">
      <c r="A18" s="39" t="n">
        <v>42522</v>
      </c>
      <c r="C18" t="n">
        <v>36.1025</v>
      </c>
      <c r="G18" t="n">
        <v>8.3035</v>
      </c>
      <c r="H18" t="n">
        <v>5</v>
      </c>
      <c r="K18" t="n">
        <v>31.048</v>
      </c>
      <c r="L18" t="n">
        <v>26.462</v>
      </c>
      <c r="M18" t="n">
        <v>25.329</v>
      </c>
      <c r="O18" t="n">
        <v>37.974</v>
      </c>
      <c r="P18" t="n">
        <v>56.149</v>
      </c>
      <c r="Q18" t="n">
        <v>32.721</v>
      </c>
    </row>
    <row r="19" ht="15.75" customHeight="1">
      <c r="A19" s="39" t="n">
        <v>42552</v>
      </c>
      <c r="C19" t="n">
        <v>49.399</v>
      </c>
      <c r="G19" t="n">
        <v>11.3615</v>
      </c>
      <c r="H19" t="n">
        <v>5</v>
      </c>
      <c r="K19" t="n">
        <v>42.483</v>
      </c>
      <c r="L19" t="n">
        <v>40.466</v>
      </c>
      <c r="M19" t="n">
        <v>38.148</v>
      </c>
      <c r="O19" t="n">
        <v>40.744</v>
      </c>
      <c r="P19" t="n">
        <v>58.166</v>
      </c>
      <c r="Q19" t="n">
        <v>33.325</v>
      </c>
    </row>
    <row r="20" ht="15.75" customHeight="1">
      <c r="A20" s="39" t="n">
        <v>42583</v>
      </c>
      <c r="C20" t="n">
        <v>44.1745</v>
      </c>
      <c r="G20" t="n">
        <v>10.16</v>
      </c>
      <c r="H20" t="n">
        <v>5</v>
      </c>
      <c r="K20" t="n">
        <v>37.99</v>
      </c>
      <c r="L20" t="n">
        <v>44.032</v>
      </c>
      <c r="M20" t="n">
        <v>41.737</v>
      </c>
      <c r="O20" t="n">
        <v>52.451</v>
      </c>
      <c r="P20" t="n">
        <v>52.124</v>
      </c>
      <c r="Q20" t="n">
        <v>29.444</v>
      </c>
    </row>
    <row r="21" ht="15.75" customHeight="1">
      <c r="A21" s="39" t="n">
        <v>42614</v>
      </c>
      <c r="C21" t="n">
        <v>42.72</v>
      </c>
      <c r="G21" t="n">
        <v>9.8255</v>
      </c>
      <c r="H21" t="n">
        <v>5</v>
      </c>
      <c r="K21" t="n">
        <v>36.739</v>
      </c>
      <c r="L21" t="n">
        <v>41.182</v>
      </c>
      <c r="M21" t="n">
        <v>38.73</v>
      </c>
      <c r="O21" t="n">
        <v>40.023</v>
      </c>
      <c r="P21" t="n">
        <v>47.449</v>
      </c>
      <c r="Q21" t="n">
        <v>28.307</v>
      </c>
    </row>
    <row r="22" ht="15.75" customHeight="1">
      <c r="A22" s="39" t="n">
        <v>42644</v>
      </c>
      <c r="C22" t="n">
        <v>68.6605</v>
      </c>
      <c r="G22" t="n">
        <v>15.792</v>
      </c>
      <c r="H22" t="n">
        <v>5</v>
      </c>
      <c r="K22" t="n">
        <v>59.048</v>
      </c>
      <c r="L22" t="n">
        <v>53.829</v>
      </c>
      <c r="M22" t="n">
        <v>51.014</v>
      </c>
      <c r="O22" t="n">
        <v>45.28</v>
      </c>
      <c r="P22" t="n">
        <v>49.791</v>
      </c>
      <c r="Q22" t="n">
        <v>42.444</v>
      </c>
    </row>
    <row r="23" ht="15.75" customHeight="1">
      <c r="A23" s="39" t="n">
        <v>42675</v>
      </c>
      <c r="C23" t="n">
        <v>43.122</v>
      </c>
      <c r="G23" t="n">
        <v>9.917999999999999</v>
      </c>
      <c r="H23" t="n">
        <v>5</v>
      </c>
      <c r="K23" t="n">
        <v>37.085</v>
      </c>
      <c r="L23" t="n">
        <v>35.737</v>
      </c>
      <c r="M23" t="n">
        <v>33.834</v>
      </c>
      <c r="O23" t="n">
        <v>40.705</v>
      </c>
      <c r="P23" t="n">
        <v>48.929</v>
      </c>
      <c r="Q23" t="n">
        <v>48.215</v>
      </c>
    </row>
    <row r="24" ht="15.75" customHeight="1">
      <c r="A24" s="39" t="n">
        <v>42705</v>
      </c>
      <c r="C24" t="n">
        <v>38.649</v>
      </c>
      <c r="G24" t="n">
        <v>8.888999999999999</v>
      </c>
      <c r="H24" t="n">
        <v>5</v>
      </c>
      <c r="K24" t="n">
        <v>33.238</v>
      </c>
      <c r="L24" t="n">
        <v>25.574</v>
      </c>
      <c r="M24" t="n">
        <v>24.059</v>
      </c>
      <c r="O24" t="n">
        <v>32.692</v>
      </c>
      <c r="P24" t="n">
        <v>56.593</v>
      </c>
      <c r="Q24" t="n">
        <v>41.338</v>
      </c>
    </row>
    <row r="25" ht="15.75" customHeight="1">
      <c r="A25" s="39" t="n">
        <v>42736</v>
      </c>
      <c r="C25" t="n">
        <v>58.1335</v>
      </c>
      <c r="G25" t="n">
        <v>13.371</v>
      </c>
      <c r="H25" t="n">
        <v>5</v>
      </c>
      <c r="K25" t="n">
        <v>49.995</v>
      </c>
      <c r="L25" t="n">
        <v>31.559</v>
      </c>
      <c r="M25" t="n">
        <v>30.289</v>
      </c>
      <c r="O25" t="n">
        <v>35.41</v>
      </c>
      <c r="P25" t="n">
        <v>75.029</v>
      </c>
      <c r="Q25" t="n">
        <v>35.848</v>
      </c>
    </row>
    <row r="26" ht="15.75" customHeight="1">
      <c r="A26" s="39" t="n">
        <v>42767</v>
      </c>
      <c r="C26" t="n">
        <v>36.3035</v>
      </c>
      <c r="G26" t="n">
        <v>8.35</v>
      </c>
      <c r="H26" t="n">
        <v>5</v>
      </c>
      <c r="K26" t="n">
        <v>31.221</v>
      </c>
      <c r="L26" t="n">
        <v>31.221</v>
      </c>
      <c r="M26" t="n">
        <v>29.595</v>
      </c>
      <c r="O26" t="n">
        <v>32.713</v>
      </c>
      <c r="Q26" t="n">
        <v>46.409</v>
      </c>
    </row>
    <row r="27" ht="15.75" customHeight="1">
      <c r="A27" s="39" t="n">
        <v>42795</v>
      </c>
      <c r="C27" t="n">
        <v>55.0745</v>
      </c>
      <c r="G27" t="n">
        <v>12.667</v>
      </c>
      <c r="H27" t="n">
        <v>5</v>
      </c>
      <c r="K27" t="n">
        <v>47.364</v>
      </c>
      <c r="L27" t="n">
        <v>47.364</v>
      </c>
      <c r="M27" t="n">
        <v>46.864</v>
      </c>
      <c r="O27" t="n">
        <v>42.78</v>
      </c>
      <c r="P27" t="n">
        <v>73.172</v>
      </c>
      <c r="Q27" t="n">
        <v>62.694</v>
      </c>
    </row>
    <row r="28" ht="15.75" customHeight="1">
      <c r="A28" s="39" t="n">
        <v>42826</v>
      </c>
      <c r="C28" t="n">
        <v>48.9115</v>
      </c>
      <c r="G28" t="n">
        <v>11.2495</v>
      </c>
      <c r="H28" t="n">
        <v>5</v>
      </c>
      <c r="K28" t="n">
        <v>42.064</v>
      </c>
      <c r="L28" t="n">
        <v>37.507</v>
      </c>
      <c r="M28" t="n">
        <v>35.751</v>
      </c>
      <c r="O28" t="n">
        <v>49.977</v>
      </c>
      <c r="P28" t="n">
        <v>77.729</v>
      </c>
      <c r="Q28" t="n">
        <v>62.221</v>
      </c>
    </row>
    <row r="29" ht="15.75" customHeight="1">
      <c r="A29" s="39" t="n">
        <v>42856</v>
      </c>
      <c r="C29" t="n">
        <v>36.5235</v>
      </c>
      <c r="G29" t="n">
        <v>8.400499999999999</v>
      </c>
      <c r="H29" t="n">
        <v>5</v>
      </c>
      <c r="K29" t="n">
        <v>31.41</v>
      </c>
      <c r="L29" t="n">
        <v>27.6</v>
      </c>
      <c r="M29" t="n">
        <v>25.963</v>
      </c>
      <c r="O29" t="n">
        <v>43.353</v>
      </c>
      <c r="P29" t="n">
        <v>81.539</v>
      </c>
      <c r="Q29" t="n">
        <v>44.232</v>
      </c>
    </row>
    <row r="30" ht="15.75" customHeight="1">
      <c r="A30" s="39" t="n">
        <v>42887</v>
      </c>
      <c r="C30" t="n">
        <v>52.0815</v>
      </c>
      <c r="G30" t="n">
        <v>11.9785</v>
      </c>
      <c r="H30" t="n">
        <v>5</v>
      </c>
      <c r="K30" t="n">
        <v>44.79</v>
      </c>
      <c r="L30" t="n">
        <v>50.677</v>
      </c>
      <c r="M30" t="n">
        <v>48.179</v>
      </c>
      <c r="O30" t="n">
        <v>44.816</v>
      </c>
      <c r="P30" t="n">
        <v>74.81100000000001</v>
      </c>
      <c r="Q30" t="n">
        <v>49.213</v>
      </c>
    </row>
    <row r="31" ht="15.75" customHeight="1">
      <c r="A31" s="39" t="n">
        <v>42917</v>
      </c>
      <c r="C31" t="n">
        <v>22.293</v>
      </c>
      <c r="G31" t="n">
        <v>5.1275</v>
      </c>
      <c r="H31" t="n">
        <v>5</v>
      </c>
      <c r="K31" t="n">
        <v>19.172</v>
      </c>
      <c r="L31" t="n">
        <v>40.516</v>
      </c>
      <c r="M31" t="n">
        <v>38.671</v>
      </c>
      <c r="O31" t="n">
        <v>41.745</v>
      </c>
      <c r="P31" t="n">
        <v>53.467</v>
      </c>
      <c r="Q31" t="n">
        <v>58.79</v>
      </c>
    </row>
    <row r="32" ht="15.75" customHeight="1">
      <c r="A32" s="39" t="n">
        <v>42948</v>
      </c>
      <c r="C32" t="n">
        <v>38.214</v>
      </c>
      <c r="G32" t="n">
        <v>8.789</v>
      </c>
      <c r="H32" t="n">
        <v>5</v>
      </c>
      <c r="K32" t="n">
        <v>32.864</v>
      </c>
      <c r="L32" t="n">
        <v>37.474</v>
      </c>
      <c r="M32" t="n">
        <v>36.663</v>
      </c>
      <c r="O32" t="n">
        <v>46.757</v>
      </c>
      <c r="P32" t="n">
        <v>48.857</v>
      </c>
      <c r="Q32" t="n">
        <v>38.786</v>
      </c>
    </row>
    <row r="33" ht="15.75" customHeight="1">
      <c r="A33" s="39" t="n">
        <v>42979</v>
      </c>
      <c r="C33" t="n">
        <v>39.222</v>
      </c>
      <c r="G33" t="n">
        <v>9.021000000000001</v>
      </c>
      <c r="H33" t="n">
        <v>5</v>
      </c>
      <c r="K33" t="n">
        <v>33.731</v>
      </c>
      <c r="L33" t="n">
        <v>33.677</v>
      </c>
      <c r="M33" t="n">
        <v>31.843</v>
      </c>
      <c r="P33" t="n">
        <v>48.911</v>
      </c>
      <c r="Q33" t="n">
        <v>41.903</v>
      </c>
    </row>
    <row r="34" ht="15.75" customHeight="1">
      <c r="A34" s="39" t="n">
        <v>43009</v>
      </c>
      <c r="C34" t="n">
        <v>56.1105</v>
      </c>
      <c r="G34" t="n">
        <v>12.9055</v>
      </c>
      <c r="H34" t="n">
        <v>5</v>
      </c>
      <c r="K34" t="n">
        <v>48.255</v>
      </c>
      <c r="L34" t="n">
        <v>28.146</v>
      </c>
      <c r="M34" t="n">
        <v>26.878</v>
      </c>
      <c r="O34" t="n">
        <v>38.604</v>
      </c>
      <c r="P34" t="n">
        <v>69.02</v>
      </c>
      <c r="Q34" t="n">
        <v>46.116</v>
      </c>
    </row>
    <row r="35" ht="15.75" customHeight="1">
      <c r="A35" s="39" t="n">
        <v>43040</v>
      </c>
      <c r="C35" t="n">
        <v>29.029</v>
      </c>
      <c r="G35" t="n">
        <v>6.6765</v>
      </c>
      <c r="H35" t="n">
        <v>5</v>
      </c>
      <c r="K35" t="n">
        <v>24.965</v>
      </c>
      <c r="L35" t="n">
        <v>31.151</v>
      </c>
      <c r="M35" t="n">
        <v>29.773</v>
      </c>
      <c r="P35" t="n">
        <v>62.834</v>
      </c>
      <c r="Q35" t="n">
        <v>55.842</v>
      </c>
    </row>
    <row r="36" ht="15.75" customHeight="1">
      <c r="A36" s="39" t="n">
        <v>43070</v>
      </c>
      <c r="C36" t="n">
        <v>56.1895</v>
      </c>
      <c r="G36" t="n">
        <v>12.9235</v>
      </c>
      <c r="H36" t="n">
        <v>5</v>
      </c>
      <c r="K36" t="n">
        <v>48.323</v>
      </c>
      <c r="L36" t="n">
        <v>32.359</v>
      </c>
      <c r="M36" t="n">
        <v>30.92</v>
      </c>
      <c r="O36" t="n">
        <v>39.259</v>
      </c>
      <c r="P36" t="n">
        <v>78.798</v>
      </c>
      <c r="Q36" t="n">
        <v>42.244</v>
      </c>
    </row>
    <row r="37" ht="15.75" customHeight="1">
      <c r="A37" s="39" t="n">
        <v>43101</v>
      </c>
      <c r="C37" t="n">
        <v>23.058</v>
      </c>
      <c r="G37" t="n">
        <v>5.3035</v>
      </c>
      <c r="H37" t="n">
        <v>5</v>
      </c>
      <c r="K37" t="n">
        <v>19.83</v>
      </c>
      <c r="L37" t="n">
        <v>24.643</v>
      </c>
      <c r="M37" t="n">
        <v>23.497</v>
      </c>
      <c r="O37" t="n">
        <v>29.133</v>
      </c>
      <c r="P37" t="n">
        <v>73.985</v>
      </c>
      <c r="Q37" t="n">
        <v>46.087</v>
      </c>
    </row>
    <row r="38" ht="15.75" customHeight="1">
      <c r="A38" s="39" t="n">
        <v>43132</v>
      </c>
      <c r="C38" t="n">
        <v>42.68</v>
      </c>
      <c r="G38" t="n">
        <v>9.8165</v>
      </c>
      <c r="H38" t="n">
        <v>5</v>
      </c>
      <c r="K38" t="n">
        <v>36.705</v>
      </c>
      <c r="L38" t="n">
        <v>29.658</v>
      </c>
      <c r="M38" t="n">
        <v>28.802</v>
      </c>
      <c r="P38" t="n">
        <v>81.032</v>
      </c>
      <c r="Q38" t="n">
        <v>79.69799999999999</v>
      </c>
    </row>
    <row r="39" ht="15.75" customHeight="1">
      <c r="A39" s="39" t="n">
        <v>43160</v>
      </c>
      <c r="C39" t="n">
        <v>35.806</v>
      </c>
      <c r="G39" t="n">
        <v>8.2355</v>
      </c>
      <c r="H39" t="n">
        <v>5</v>
      </c>
      <c r="K39" t="n">
        <v>30.793</v>
      </c>
      <c r="L39" t="n">
        <v>35.073</v>
      </c>
      <c r="M39" t="n">
        <v>33.519</v>
      </c>
      <c r="P39" t="n">
        <v>76.752</v>
      </c>
      <c r="Q39" t="n">
        <v>80.34</v>
      </c>
    </row>
    <row r="40" ht="15.75" customHeight="1">
      <c r="A40" s="39" t="n">
        <v>43191</v>
      </c>
      <c r="H40" t="n">
        <v>5</v>
      </c>
      <c r="P40" t="n">
        <v>70.01000000000001</v>
      </c>
      <c r="Q40" t="n">
        <v>79.154</v>
      </c>
    </row>
    <row r="41" ht="15.75" customHeight="1">
      <c r="A41" s="39" t="n">
        <v>43221</v>
      </c>
      <c r="C41" t="n">
        <v>49.9535</v>
      </c>
      <c r="G41" t="n">
        <v>11.4895</v>
      </c>
      <c r="H41" t="n">
        <v>5</v>
      </c>
      <c r="K41" t="n">
        <v>42.96</v>
      </c>
      <c r="L41" t="n">
        <v>32.091</v>
      </c>
      <c r="M41" t="n">
        <v>30.541</v>
      </c>
      <c r="P41" t="n">
        <v>80.879</v>
      </c>
      <c r="Q41" t="n">
        <v>95.13800000000001</v>
      </c>
    </row>
    <row r="42" ht="15.75" customHeight="1">
      <c r="A42" s="39" t="n">
        <v>43252</v>
      </c>
      <c r="C42" t="n">
        <v>26.8675</v>
      </c>
      <c r="G42" t="n">
        <v>6.1795</v>
      </c>
      <c r="H42" t="n">
        <v>5</v>
      </c>
      <c r="K42" t="n">
        <v>23.106</v>
      </c>
      <c r="L42" t="n">
        <v>33.68</v>
      </c>
      <c r="M42" t="n">
        <v>31.855</v>
      </c>
      <c r="P42" t="n">
        <v>70.30500000000001</v>
      </c>
      <c r="Q42" t="n">
        <v>88.708</v>
      </c>
    </row>
    <row r="43" ht="15.75" customHeight="1">
      <c r="A43" s="39" t="n">
        <v>43282</v>
      </c>
      <c r="C43" t="n">
        <v>57.171</v>
      </c>
      <c r="G43" t="n">
        <v>13.1495</v>
      </c>
      <c r="H43" t="n">
        <v>5</v>
      </c>
      <c r="K43" t="n">
        <v>49.167</v>
      </c>
      <c r="L43" t="n">
        <v>45.633</v>
      </c>
      <c r="M43" t="n">
        <v>42.484</v>
      </c>
      <c r="P43" t="n">
        <v>73.839</v>
      </c>
      <c r="Q43" t="n">
        <v>35.066</v>
      </c>
    </row>
    <row r="44" ht="15.75" customHeight="1">
      <c r="A44" s="39" t="n">
        <v>43313</v>
      </c>
      <c r="C44" t="n">
        <v>12.6755</v>
      </c>
      <c r="G44" t="n">
        <v>2.9155</v>
      </c>
      <c r="H44" t="n">
        <v>5</v>
      </c>
      <c r="K44" t="n">
        <v>10.901</v>
      </c>
      <c r="L44" t="n">
        <v>39.442</v>
      </c>
      <c r="M44" t="n">
        <v>38.343</v>
      </c>
      <c r="P44" t="n">
        <v>45.298</v>
      </c>
      <c r="Q44" t="n">
        <v>35.912</v>
      </c>
    </row>
    <row r="45" ht="15.75" customHeight="1">
      <c r="A45" s="39" t="n">
        <v>43344</v>
      </c>
      <c r="C45" t="n">
        <v>35.8885</v>
      </c>
      <c r="G45" t="n">
        <v>8.2545</v>
      </c>
      <c r="H45" t="n">
        <v>5</v>
      </c>
      <c r="K45" t="n">
        <v>30.864</v>
      </c>
      <c r="L45" t="n">
        <v>43.763</v>
      </c>
      <c r="M45" t="n">
        <v>41.089</v>
      </c>
      <c r="P45" t="n">
        <v>32.399</v>
      </c>
      <c r="Q45" t="n">
        <v>40.043</v>
      </c>
    </row>
    <row r="46" ht="15.75" customHeight="1">
      <c r="A46" s="39" t="n">
        <v>43374</v>
      </c>
      <c r="C46" t="n">
        <v>30.6235</v>
      </c>
      <c r="G46" t="n">
        <v>7.0435</v>
      </c>
      <c r="H46" t="n">
        <v>5</v>
      </c>
      <c r="K46" t="n">
        <v>26.336</v>
      </c>
      <c r="L46" t="n">
        <v>26.336</v>
      </c>
      <c r="M46" t="n">
        <v>25.365</v>
      </c>
      <c r="Q46" t="n">
        <v>28.237</v>
      </c>
    </row>
    <row r="47" ht="15.75" customHeight="1">
      <c r="A47" s="39" t="n">
        <v>43405</v>
      </c>
      <c r="C47" t="n">
        <v>44.9765</v>
      </c>
      <c r="G47" t="n">
        <v>10.3445</v>
      </c>
      <c r="H47" t="n">
        <v>5</v>
      </c>
      <c r="K47" t="n">
        <v>38.68</v>
      </c>
      <c r="L47" t="n">
        <v>38.68</v>
      </c>
      <c r="M47" t="n">
        <v>36.868</v>
      </c>
      <c r="P47" t="n">
        <v>66.057</v>
      </c>
      <c r="Q47" t="n">
        <v>55.261</v>
      </c>
    </row>
    <row r="48" ht="15.75" customHeight="1">
      <c r="A48" s="39" t="n">
        <v>43435</v>
      </c>
      <c r="C48" t="n">
        <v>24.885</v>
      </c>
      <c r="G48" t="n">
        <v>5.7235</v>
      </c>
      <c r="H48" t="n">
        <v>5</v>
      </c>
      <c r="K48" t="n">
        <v>21.401</v>
      </c>
      <c r="L48" t="n">
        <v>42.336</v>
      </c>
      <c r="M48" t="n">
        <v>39.581</v>
      </c>
      <c r="P48" t="n">
        <v>45.122</v>
      </c>
      <c r="Q48" t="n">
        <v>31.984</v>
      </c>
    </row>
    <row r="49" ht="15.75" customHeight="1">
      <c r="A49" s="39" t="n">
        <v>43466</v>
      </c>
      <c r="C49" t="n">
        <v>45.464</v>
      </c>
      <c r="G49" t="n">
        <v>10.4565</v>
      </c>
      <c r="H49" t="n">
        <v>5</v>
      </c>
      <c r="K49" t="n">
        <v>39.099</v>
      </c>
      <c r="L49" t="n">
        <v>39.099</v>
      </c>
      <c r="M49" t="n">
        <v>37.705</v>
      </c>
      <c r="Q49" t="n">
        <v>28.973</v>
      </c>
    </row>
    <row r="50" ht="15.75" customHeight="1">
      <c r="A50" s="39" t="n">
        <v>43497</v>
      </c>
      <c r="C50" t="n">
        <v>39.956</v>
      </c>
      <c r="G50" t="n">
        <v>9.19</v>
      </c>
      <c r="H50" t="n">
        <v>5</v>
      </c>
      <c r="K50" t="n">
        <v>34.362</v>
      </c>
      <c r="L50" t="n">
        <v>34.362</v>
      </c>
      <c r="M50" t="n">
        <v>32.847</v>
      </c>
      <c r="Q50" t="n">
        <v>49.325</v>
      </c>
    </row>
    <row r="51" ht="15.75" customHeight="1">
      <c r="A51" s="39" t="n">
        <v>43525</v>
      </c>
      <c r="C51" t="n">
        <v>51.55</v>
      </c>
      <c r="G51" t="n">
        <v>11.8565</v>
      </c>
      <c r="H51" t="n">
        <v>5</v>
      </c>
      <c r="K51" t="n">
        <v>44.333</v>
      </c>
      <c r="L51" t="n">
        <v>44.333</v>
      </c>
      <c r="M51" t="n">
        <v>40.885</v>
      </c>
      <c r="Q51" t="n">
        <v>24.484</v>
      </c>
    </row>
    <row r="52" ht="15.75" customHeight="1">
      <c r="A52" s="39" t="n">
        <v>43556</v>
      </c>
      <c r="C52" t="n">
        <v>43.38</v>
      </c>
      <c r="G52" t="n">
        <v>9.977499999999999</v>
      </c>
      <c r="H52" t="n">
        <v>5</v>
      </c>
      <c r="K52" t="n">
        <v>37.307</v>
      </c>
      <c r="L52" t="n">
        <v>37.307</v>
      </c>
      <c r="M52" t="n">
        <v>34.939</v>
      </c>
      <c r="Q52" t="n">
        <v>23.739</v>
      </c>
    </row>
    <row r="53" ht="15.75" customHeight="1">
      <c r="A53" s="39" t="n">
        <v>43586</v>
      </c>
      <c r="C53" t="n">
        <v>40.622</v>
      </c>
      <c r="G53" t="n">
        <v>9.343</v>
      </c>
      <c r="H53" t="n">
        <v>5</v>
      </c>
      <c r="K53" t="n">
        <v>34.935</v>
      </c>
      <c r="L53" t="n">
        <v>34.935</v>
      </c>
      <c r="M53" t="n">
        <v>33.229</v>
      </c>
      <c r="Q53" t="n">
        <v>18.857</v>
      </c>
    </row>
    <row r="54" ht="15.75" customHeight="1">
      <c r="A54" s="39" t="n">
        <v>43617</v>
      </c>
      <c r="C54" t="n">
        <v>49.1615</v>
      </c>
      <c r="G54" t="n">
        <v>11.307</v>
      </c>
      <c r="H54" t="n">
        <v>5</v>
      </c>
      <c r="K54" t="n">
        <v>42.279</v>
      </c>
      <c r="L54" t="n">
        <v>42.279</v>
      </c>
      <c r="M54" t="n">
        <v>40.315</v>
      </c>
      <c r="P54" t="n">
        <v>28.465</v>
      </c>
      <c r="Q54" t="n">
        <v>23.054</v>
      </c>
    </row>
    <row r="55" ht="15.75" customHeight="1">
      <c r="A55" s="39" t="n">
        <v>43647</v>
      </c>
      <c r="H55" t="n">
        <v>5</v>
      </c>
      <c r="M55" t="n">
        <v>32.25</v>
      </c>
      <c r="P55" t="n">
        <v>43.191</v>
      </c>
      <c r="Q55" t="n">
        <v>18.086</v>
      </c>
    </row>
    <row r="56" ht="15.75" customHeight="1">
      <c r="A56" s="39" t="n">
        <v>43678</v>
      </c>
      <c r="C56" t="n">
        <v>36.2325</v>
      </c>
      <c r="G56" t="n">
        <v>8.333500000000001</v>
      </c>
      <c r="H56" t="n">
        <v>5</v>
      </c>
      <c r="K56" t="n">
        <v>31.16</v>
      </c>
      <c r="L56" t="n">
        <v>42.341</v>
      </c>
      <c r="M56" t="n">
        <v>39.898</v>
      </c>
      <c r="O56" t="n">
        <v>42.714</v>
      </c>
      <c r="P56" t="n">
        <v>32.01</v>
      </c>
      <c r="Q56" t="n">
        <v>25.967</v>
      </c>
    </row>
    <row r="57" ht="15.75" customHeight="1">
      <c r="A57" s="39" t="n">
        <v>43709</v>
      </c>
      <c r="C57" t="n">
        <v>35.32</v>
      </c>
      <c r="G57" t="n">
        <v>8.1235</v>
      </c>
      <c r="H57" t="n">
        <v>5</v>
      </c>
      <c r="K57" t="n">
        <v>30.375</v>
      </c>
      <c r="L57" t="n">
        <v>42.907</v>
      </c>
      <c r="M57" t="n">
        <v>40.298</v>
      </c>
      <c r="O57" t="n">
        <v>34.462</v>
      </c>
      <c r="P57" t="n">
        <v>19.478</v>
      </c>
      <c r="Q57" t="n">
        <v>22.053</v>
      </c>
    </row>
    <row r="58" ht="15.75" customHeight="1">
      <c r="A58" s="39" t="n">
        <v>43739</v>
      </c>
      <c r="C58" t="n">
        <v>46.4455</v>
      </c>
      <c r="G58" t="n">
        <v>10.6825</v>
      </c>
      <c r="H58" t="n">
        <v>5</v>
      </c>
      <c r="K58" t="n">
        <v>39.943</v>
      </c>
      <c r="L58" t="n">
        <v>33.85</v>
      </c>
      <c r="M58" t="n">
        <v>32.512</v>
      </c>
      <c r="O58" t="n">
        <v>34.865</v>
      </c>
      <c r="P58" t="n">
        <v>25.571</v>
      </c>
      <c r="Q58" t="n">
        <v>17.693</v>
      </c>
    </row>
    <row r="59" ht="15.75" customHeight="1">
      <c r="A59" s="39" t="n">
        <v>43770</v>
      </c>
      <c r="C59" t="n">
        <v>71.76649999999999</v>
      </c>
      <c r="G59" t="n">
        <v>16.506</v>
      </c>
      <c r="H59" t="n">
        <v>5</v>
      </c>
      <c r="K59" t="n">
        <v>61.719</v>
      </c>
      <c r="L59" t="n">
        <v>60.201</v>
      </c>
      <c r="M59" t="n">
        <v>56.939</v>
      </c>
      <c r="O59" t="n">
        <v>40.678</v>
      </c>
      <c r="P59" t="n">
        <v>27.089</v>
      </c>
      <c r="Q59" t="n">
        <v>22.107</v>
      </c>
    </row>
    <row r="60" ht="15.75" customHeight="1">
      <c r="A60" s="39" t="n">
        <v>43800</v>
      </c>
      <c r="C60" t="n">
        <v>49.8685</v>
      </c>
      <c r="G60" t="n">
        <v>11.47</v>
      </c>
      <c r="H60" t="n">
        <v>5</v>
      </c>
      <c r="K60" t="n">
        <v>42.887</v>
      </c>
      <c r="L60" t="n">
        <v>42.881</v>
      </c>
      <c r="M60" t="n">
        <v>40.824</v>
      </c>
      <c r="O60" t="n">
        <v>38.546</v>
      </c>
      <c r="P60" t="n">
        <v>27.095</v>
      </c>
      <c r="Q60" t="n">
        <v>19.263</v>
      </c>
    </row>
    <row r="61" ht="15.75" customHeight="1">
      <c r="A61" s="39" t="n">
        <v>43831</v>
      </c>
      <c r="C61" t="n">
        <v>67.529</v>
      </c>
      <c r="G61" t="n">
        <v>15.5315</v>
      </c>
      <c r="H61" t="n">
        <v>5</v>
      </c>
      <c r="K61" t="n">
        <v>58.075</v>
      </c>
      <c r="L61" t="n">
        <v>48.484</v>
      </c>
      <c r="M61" t="n">
        <v>45.441</v>
      </c>
      <c r="O61" t="n">
        <v>40.675</v>
      </c>
      <c r="P61" t="n">
        <v>33.165</v>
      </c>
      <c r="Q61" t="n">
        <v>18.721</v>
      </c>
    </row>
    <row r="62" ht="15.75" customHeight="1">
      <c r="A62" s="39" t="n">
        <v>43862</v>
      </c>
      <c r="C62" t="n">
        <v>71.236</v>
      </c>
      <c r="G62" t="n">
        <v>16.3845</v>
      </c>
      <c r="H62" t="n">
        <v>5</v>
      </c>
      <c r="K62" t="n">
        <v>61.263</v>
      </c>
      <c r="L62" t="n">
        <v>40.673</v>
      </c>
      <c r="M62" t="n">
        <v>38.566</v>
      </c>
      <c r="O62" t="n">
        <v>34.104</v>
      </c>
      <c r="P62" t="n">
        <v>49.314</v>
      </c>
      <c r="Q62" t="n">
        <v>19.697</v>
      </c>
    </row>
    <row r="63" ht="15.75" customHeight="1">
      <c r="A63" s="39" t="n">
        <v>43891</v>
      </c>
      <c r="C63" t="n">
        <v>45.149</v>
      </c>
      <c r="G63" t="n">
        <v>10.384</v>
      </c>
      <c r="H63" t="n">
        <v>5</v>
      </c>
      <c r="K63" t="n">
        <v>38.828</v>
      </c>
      <c r="L63" t="n">
        <v>49.758</v>
      </c>
      <c r="M63" t="n">
        <v>46.869</v>
      </c>
      <c r="O63" t="n">
        <v>38.421</v>
      </c>
      <c r="P63" t="n">
        <v>38.384</v>
      </c>
      <c r="Q63" t="n">
        <v>22.322</v>
      </c>
    </row>
    <row r="64" ht="15.75" customHeight="1">
      <c r="A64" s="39" t="n">
        <v>43922</v>
      </c>
      <c r="C64" t="n">
        <v>37.963</v>
      </c>
      <c r="G64" t="n">
        <v>8.7315</v>
      </c>
      <c r="H64" t="n">
        <v>5</v>
      </c>
      <c r="K64" t="n">
        <v>32.648</v>
      </c>
      <c r="L64" t="n">
        <v>42.156</v>
      </c>
      <c r="M64" t="n">
        <v>40.395</v>
      </c>
      <c r="O64" t="n">
        <v>29.887</v>
      </c>
      <c r="P64" t="n">
        <v>28.876</v>
      </c>
      <c r="Q64" t="n">
        <v>17.721</v>
      </c>
    </row>
    <row r="65" ht="15.75" customHeight="1">
      <c r="A65" s="39" t="n">
        <v>43952</v>
      </c>
      <c r="C65" t="n">
        <v>48.4405</v>
      </c>
      <c r="G65" t="n">
        <v>11.1415</v>
      </c>
      <c r="H65" t="n">
        <v>5</v>
      </c>
      <c r="K65" t="n">
        <v>41.659</v>
      </c>
      <c r="L65" t="n">
        <v>39.909</v>
      </c>
      <c r="M65" t="n">
        <v>37.886</v>
      </c>
      <c r="O65" t="n">
        <v>25.194</v>
      </c>
      <c r="P65" t="n">
        <v>30.626</v>
      </c>
      <c r="Q65" t="n">
        <v>21.132</v>
      </c>
    </row>
    <row r="66" ht="15.75" customHeight="1">
      <c r="A66" s="39" t="n">
        <v>43983</v>
      </c>
      <c r="C66" t="n">
        <v>52.6115</v>
      </c>
      <c r="G66" t="n">
        <v>12.1005</v>
      </c>
      <c r="H66" t="n">
        <v>5</v>
      </c>
      <c r="K66" t="n">
        <v>45.246</v>
      </c>
      <c r="L66" t="n">
        <v>42.034</v>
      </c>
      <c r="M66" t="n">
        <v>39.916</v>
      </c>
      <c r="O66" t="n">
        <v>29.781</v>
      </c>
      <c r="P66" t="n">
        <v>33.838</v>
      </c>
      <c r="Q66" t="n">
        <v>22.446</v>
      </c>
    </row>
    <row r="67" ht="15.75" customHeight="1">
      <c r="A67" s="39" t="n">
        <v>44013</v>
      </c>
      <c r="C67" t="n">
        <v>48.6955</v>
      </c>
      <c r="G67" t="n">
        <v>11.2</v>
      </c>
      <c r="H67" t="n">
        <v>5</v>
      </c>
      <c r="K67" t="n">
        <v>41.878</v>
      </c>
      <c r="L67" t="n">
        <v>32.627</v>
      </c>
      <c r="M67" t="n">
        <v>31.641</v>
      </c>
      <c r="O67" t="n">
        <v>28.514</v>
      </c>
      <c r="P67" t="n">
        <v>43.089</v>
      </c>
      <c r="Q67" t="n">
        <v>17.718</v>
      </c>
    </row>
    <row r="68" ht="15.75" customHeight="1">
      <c r="A68" s="39" t="n">
        <v>44044</v>
      </c>
      <c r="C68" t="n">
        <v>24.78</v>
      </c>
      <c r="G68" t="n">
        <v>5.6995</v>
      </c>
      <c r="H68" t="n">
        <v>5</v>
      </c>
      <c r="K68" t="n">
        <v>21.311</v>
      </c>
      <c r="L68" t="n">
        <v>28.634</v>
      </c>
      <c r="M68" t="n">
        <v>27.788</v>
      </c>
      <c r="O68" t="n">
        <v>32.085</v>
      </c>
      <c r="P68" t="n">
        <v>35.766</v>
      </c>
      <c r="Q68" t="n">
        <v>12.306</v>
      </c>
    </row>
    <row r="69" ht="15.75" customHeight="1">
      <c r="A69" s="39" t="n">
        <v>44075</v>
      </c>
      <c r="C69" t="n">
        <v>40</v>
      </c>
      <c r="G69" t="n">
        <v>9.199999999999999</v>
      </c>
      <c r="H69" t="n">
        <v>5</v>
      </c>
      <c r="K69" t="n">
        <v>34.4</v>
      </c>
      <c r="L69" t="n">
        <v>36.337</v>
      </c>
      <c r="M69" t="n">
        <v>36.124</v>
      </c>
      <c r="O69" t="n">
        <v>32.377</v>
      </c>
      <c r="P69" t="n">
        <v>33.829</v>
      </c>
      <c r="Q69" t="n">
        <v>14.133</v>
      </c>
    </row>
    <row r="70" ht="15.75" customHeight="1">
      <c r="A70" s="39" t="n">
        <v>44105</v>
      </c>
      <c r="C70" t="n">
        <v>65.251</v>
      </c>
      <c r="G70" t="n">
        <v>15.008</v>
      </c>
      <c r="H70" t="n">
        <v>5</v>
      </c>
      <c r="K70" t="n">
        <v>56.116</v>
      </c>
      <c r="L70" t="n">
        <v>56.477</v>
      </c>
      <c r="M70" t="n">
        <v>55.623</v>
      </c>
      <c r="O70" t="n">
        <v>42.34</v>
      </c>
      <c r="P70" t="n">
        <v>33.468</v>
      </c>
      <c r="Q70" t="n">
        <v>19.194</v>
      </c>
    </row>
    <row r="71" ht="15.75" customHeight="1">
      <c r="A71" s="39" t="n">
        <v>44136</v>
      </c>
      <c r="C71" t="n">
        <v>68.36750000000001</v>
      </c>
      <c r="G71" t="n">
        <v>15.7245</v>
      </c>
      <c r="H71" t="n">
        <v>5</v>
      </c>
      <c r="K71" t="n">
        <v>58.796</v>
      </c>
      <c r="L71" t="n">
        <v>56.084</v>
      </c>
      <c r="M71" t="n">
        <v>54.526</v>
      </c>
      <c r="O71" t="n">
        <v>44.156</v>
      </c>
      <c r="P71" t="n">
        <v>36.18</v>
      </c>
      <c r="Q71" t="n">
        <v>21.718</v>
      </c>
    </row>
    <row r="72" ht="15.75" customHeight="1">
      <c r="A72" s="39" t="n">
        <v>44166</v>
      </c>
      <c r="C72" t="n">
        <v>78.842</v>
      </c>
      <c r="G72" t="n">
        <v>18.1335</v>
      </c>
      <c r="H72" t="n">
        <v>5</v>
      </c>
      <c r="K72" t="n">
        <v>67.804</v>
      </c>
      <c r="L72" t="n">
        <v>48.107</v>
      </c>
      <c r="M72" t="n">
        <v>47.935</v>
      </c>
      <c r="O72" t="n">
        <v>39.278</v>
      </c>
      <c r="P72" t="n">
        <v>55.877</v>
      </c>
      <c r="Q72" t="n">
        <v>23.557</v>
      </c>
    </row>
    <row r="73" ht="15.75" customHeight="1">
      <c r="A73" s="39" t="n">
        <v>44197</v>
      </c>
      <c r="C73" t="n">
        <v>38.449</v>
      </c>
      <c r="G73" t="n">
        <v>8.843</v>
      </c>
      <c r="H73" t="n">
        <v>5</v>
      </c>
      <c r="K73" t="n">
        <v>33.066</v>
      </c>
      <c r="L73" t="n">
        <v>44.939</v>
      </c>
      <c r="M73" t="n">
        <v>43.632</v>
      </c>
      <c r="O73" t="n">
        <v>37.402</v>
      </c>
      <c r="P73" t="n">
        <v>44.004</v>
      </c>
      <c r="Q73" t="n">
        <v>22.564</v>
      </c>
    </row>
    <row r="74" ht="15.75" customHeight="1">
      <c r="A74" s="39" t="n">
        <v>44228</v>
      </c>
      <c r="C74" t="n">
        <v>69.9395</v>
      </c>
      <c r="G74" t="n">
        <v>16.086</v>
      </c>
      <c r="H74" t="n">
        <v>5</v>
      </c>
      <c r="K74" t="n">
        <v>60.148</v>
      </c>
      <c r="L74" t="n">
        <v>52.038</v>
      </c>
      <c r="M74" t="n">
        <v>50.264</v>
      </c>
      <c r="O74" t="n">
        <v>36.726</v>
      </c>
      <c r="P74" t="n">
        <v>52.114</v>
      </c>
      <c r="Q74" t="n">
        <v>27.562</v>
      </c>
    </row>
    <row r="75" ht="15.75" customHeight="1">
      <c r="A75" s="39" t="n">
        <v>44256</v>
      </c>
      <c r="C75" t="n">
        <v>61.958</v>
      </c>
      <c r="G75" t="n">
        <v>14.2505</v>
      </c>
      <c r="H75" t="n">
        <v>5</v>
      </c>
      <c r="K75" t="n">
        <v>53.284</v>
      </c>
      <c r="L75" t="n">
        <v>43.791</v>
      </c>
      <c r="M75" t="n">
        <v>41.371</v>
      </c>
      <c r="O75" t="n">
        <v>37.737</v>
      </c>
      <c r="P75" t="n">
        <v>61.607</v>
      </c>
      <c r="Q75" t="n">
        <v>23.902</v>
      </c>
    </row>
    <row r="76" ht="15.75" customHeight="1">
      <c r="A76" s="39" t="n">
        <v>44287</v>
      </c>
      <c r="C76" t="n">
        <v>54.207</v>
      </c>
      <c r="G76" t="n">
        <v>12.4675</v>
      </c>
      <c r="H76" t="n">
        <v>5</v>
      </c>
      <c r="K76" t="n">
        <v>46.618</v>
      </c>
      <c r="L76" t="n">
        <v>46.783</v>
      </c>
      <c r="M76" t="n">
        <v>43.796</v>
      </c>
      <c r="O76" t="n">
        <v>38.978</v>
      </c>
      <c r="P76" t="n">
        <v>61.442</v>
      </c>
      <c r="Q76" t="n">
        <v>21.02</v>
      </c>
    </row>
    <row r="77" ht="15.75" customHeight="1">
      <c r="A77" s="39" t="n">
        <v>44317</v>
      </c>
      <c r="C77" t="n">
        <v>20.0325</v>
      </c>
      <c r="G77" t="n">
        <v>4.6075</v>
      </c>
      <c r="H77" t="n">
        <v>5</v>
      </c>
      <c r="K77" t="n">
        <v>17.228</v>
      </c>
      <c r="L77" t="n">
        <v>35.822</v>
      </c>
      <c r="M77" t="n">
        <v>33.546</v>
      </c>
      <c r="O77" t="n">
        <v>27.882</v>
      </c>
      <c r="P77" t="n">
        <v>42.848</v>
      </c>
      <c r="Q77" t="n">
        <v>20.601</v>
      </c>
    </row>
    <row r="78" ht="15.75" customHeight="1">
      <c r="A78" s="39" t="n">
        <v>44348</v>
      </c>
      <c r="C78" t="n">
        <v>52.657</v>
      </c>
      <c r="G78" t="n">
        <v>12.111</v>
      </c>
      <c r="H78" t="n">
        <v>5</v>
      </c>
      <c r="K78" t="n">
        <v>45.285</v>
      </c>
      <c r="L78" t="n">
        <v>51.438</v>
      </c>
      <c r="M78" t="n">
        <v>49.327</v>
      </c>
      <c r="O78" t="n">
        <v>37.094</v>
      </c>
      <c r="P78" t="n">
        <v>36.695</v>
      </c>
      <c r="Q78" t="n">
        <v>26.415</v>
      </c>
    </row>
    <row r="79" ht="15.75" customHeight="1">
      <c r="A79" s="39" t="n">
        <v>44378</v>
      </c>
      <c r="C79" t="n">
        <v>55.585</v>
      </c>
      <c r="G79" t="n">
        <v>12.7845</v>
      </c>
      <c r="H79" t="n">
        <v>5</v>
      </c>
      <c r="K79" t="n">
        <v>47.803</v>
      </c>
      <c r="L79" t="n">
        <v>53.365</v>
      </c>
      <c r="M79" t="n">
        <v>50.61</v>
      </c>
      <c r="O79" t="n">
        <v>45.928</v>
      </c>
      <c r="P79" t="n">
        <v>31.133</v>
      </c>
      <c r="Q79" t="n">
        <v>22.938</v>
      </c>
    </row>
    <row r="80" ht="15.75" customHeight="1">
      <c r="A80" s="39" t="n">
        <v>44409</v>
      </c>
      <c r="C80" t="n">
        <v>75.8245</v>
      </c>
      <c r="G80" t="n">
        <v>17.4395</v>
      </c>
      <c r="H80" t="n">
        <v>5</v>
      </c>
      <c r="K80" t="n">
        <v>65.209</v>
      </c>
      <c r="L80" t="n">
        <v>58.045</v>
      </c>
      <c r="M80" t="n">
        <v>55.89</v>
      </c>
      <c r="O80" t="n">
        <v>41.734</v>
      </c>
      <c r="P80" t="n">
        <v>38.297</v>
      </c>
      <c r="Q80" t="n">
        <v>26.458</v>
      </c>
    </row>
    <row r="81" ht="15.75" customHeight="1">
      <c r="A81" s="39" t="n">
        <v>44440</v>
      </c>
      <c r="C81" t="n">
        <v>53.0235</v>
      </c>
      <c r="G81" t="n">
        <v>12.1955</v>
      </c>
      <c r="H81" t="n">
        <v>5</v>
      </c>
      <c r="K81" t="n">
        <v>45.6</v>
      </c>
      <c r="L81" t="n">
        <v>50.683</v>
      </c>
      <c r="M81" t="n">
        <v>47.451</v>
      </c>
      <c r="O81" t="n">
        <v>35.839</v>
      </c>
      <c r="P81" t="n">
        <v>33.214</v>
      </c>
      <c r="Q81" t="n">
        <v>23.662</v>
      </c>
    </row>
    <row r="82" ht="15.75" customHeight="1">
      <c r="A82" s="39" t="n">
        <v>44470</v>
      </c>
      <c r="C82" t="n">
        <v>60.279</v>
      </c>
      <c r="G82" t="n">
        <v>13.864</v>
      </c>
      <c r="H82" t="n">
        <v>5</v>
      </c>
      <c r="K82" t="n">
        <v>51.84</v>
      </c>
      <c r="L82" t="n">
        <v>47.9</v>
      </c>
      <c r="M82" t="n">
        <v>45.695</v>
      </c>
      <c r="O82" t="n">
        <v>38.26</v>
      </c>
      <c r="P82" t="n">
        <v>37.154</v>
      </c>
      <c r="Q82" t="n">
        <v>23.757</v>
      </c>
    </row>
    <row r="83" ht="15.75" customHeight="1">
      <c r="A83" s="39" t="n">
        <v>44501</v>
      </c>
      <c r="C83" t="n">
        <v>56.85</v>
      </c>
      <c r="G83" t="n">
        <v>13.0755</v>
      </c>
      <c r="H83" t="n">
        <v>5</v>
      </c>
      <c r="K83" t="n">
        <v>48.891</v>
      </c>
      <c r="L83" t="n">
        <v>47.946</v>
      </c>
      <c r="M83" t="n">
        <v>46.289</v>
      </c>
      <c r="O83" t="n">
        <v>39.515</v>
      </c>
      <c r="P83" t="n">
        <v>38.099</v>
      </c>
      <c r="Q83" t="n">
        <v>25.113</v>
      </c>
    </row>
    <row r="84" ht="15.75" customHeight="1">
      <c r="A84" s="39" t="n">
        <v>44531</v>
      </c>
      <c r="C84" t="n">
        <v>47.337</v>
      </c>
      <c r="G84" t="n">
        <v>10.8875</v>
      </c>
      <c r="H84" t="n">
        <v>5</v>
      </c>
      <c r="K84" t="n">
        <v>40.71</v>
      </c>
      <c r="L84" t="n">
        <v>40.71</v>
      </c>
      <c r="M84" t="n">
        <v>38.723</v>
      </c>
      <c r="O84" t="n">
        <v>36.609</v>
      </c>
      <c r="Q84" t="n">
        <v>22.222</v>
      </c>
    </row>
    <row r="85" ht="15.75" customHeight="1">
      <c r="A85" s="39" t="n">
        <v>44562</v>
      </c>
      <c r="C85" t="n">
        <v>40.17</v>
      </c>
      <c r="G85" t="n">
        <v>9.239000000000001</v>
      </c>
      <c r="H85" t="n">
        <v>5</v>
      </c>
      <c r="K85" t="n">
        <v>34.546</v>
      </c>
      <c r="L85" t="n">
        <v>34.546</v>
      </c>
      <c r="M85" t="n">
        <v>32.894</v>
      </c>
      <c r="O85" t="n">
        <v>29.42</v>
      </c>
      <c r="Q85" t="n">
        <v>22.343</v>
      </c>
    </row>
    <row r="86" ht="15.75" customHeight="1">
      <c r="A86" s="39" t="n">
        <v>44593</v>
      </c>
      <c r="C86" t="n">
        <v>43.9885</v>
      </c>
      <c r="G86" t="n">
        <v>10.1175</v>
      </c>
      <c r="H86" t="n">
        <v>5</v>
      </c>
      <c r="K86" t="n">
        <v>37.83</v>
      </c>
      <c r="L86" t="n">
        <v>37.83</v>
      </c>
      <c r="M86" t="n">
        <v>36.113</v>
      </c>
      <c r="O86" t="n">
        <v>34.433</v>
      </c>
      <c r="Q86" t="n">
        <v>20.69</v>
      </c>
    </row>
    <row r="87" ht="15.75" customHeight="1">
      <c r="A87" s="39" t="n">
        <v>44621</v>
      </c>
      <c r="C87" t="n">
        <v>48.513</v>
      </c>
      <c r="G87" t="n">
        <v>11.158</v>
      </c>
      <c r="H87" t="n">
        <v>5</v>
      </c>
      <c r="K87" t="n">
        <v>41.721</v>
      </c>
      <c r="L87" t="n">
        <v>41.721</v>
      </c>
      <c r="M87" t="n">
        <v>40.929</v>
      </c>
      <c r="O87" t="n">
        <v>37.243</v>
      </c>
      <c r="Q87" t="n">
        <v>19.266</v>
      </c>
    </row>
    <row r="88" ht="15.75" customHeight="1">
      <c r="A88" s="39" t="n">
        <v>44652</v>
      </c>
      <c r="C88" t="n">
        <v>49.085</v>
      </c>
      <c r="G88" t="n">
        <v>11.2895</v>
      </c>
      <c r="H88" t="n">
        <v>5</v>
      </c>
      <c r="K88" t="n">
        <v>42.213</v>
      </c>
      <c r="L88" t="n">
        <v>42.213</v>
      </c>
      <c r="M88" t="n">
        <v>39.78</v>
      </c>
      <c r="O88" t="n">
        <v>35.701</v>
      </c>
      <c r="Q88" t="n">
        <v>18.539</v>
      </c>
    </row>
    <row r="89" ht="15.75" customHeight="1">
      <c r="A89" s="39" t="n">
        <v>44682</v>
      </c>
      <c r="C89" t="n">
        <v>47.837</v>
      </c>
      <c r="G89" t="n">
        <v>11.0025</v>
      </c>
      <c r="H89" t="n">
        <v>5</v>
      </c>
      <c r="K89" t="n">
        <v>41.14</v>
      </c>
      <c r="L89" t="n">
        <v>41.14</v>
      </c>
      <c r="M89" t="n">
        <v>39.532</v>
      </c>
      <c r="O89" t="n">
        <v>31.193</v>
      </c>
      <c r="Q89" t="n">
        <v>20.567</v>
      </c>
    </row>
    <row r="90" ht="15.75" customHeight="1">
      <c r="A90" s="39" t="n">
        <v>44713</v>
      </c>
      <c r="C90" t="n">
        <v>45.899</v>
      </c>
      <c r="G90" t="n">
        <v>10.5565</v>
      </c>
      <c r="H90" t="n">
        <v>5</v>
      </c>
      <c r="K90" t="n">
        <v>39.473</v>
      </c>
      <c r="L90" t="n">
        <v>39.473</v>
      </c>
      <c r="M90" t="n">
        <v>37.627</v>
      </c>
      <c r="O90" t="n">
        <v>37.958</v>
      </c>
      <c r="P90" t="n">
        <v>22.448</v>
      </c>
      <c r="Q90" t="n">
        <v>16.898</v>
      </c>
    </row>
    <row r="91" ht="15.75" customHeight="1">
      <c r="A91" s="39" t="n">
        <v>44743</v>
      </c>
      <c r="C91" t="n">
        <v>62.021</v>
      </c>
      <c r="G91" t="n">
        <v>14.265</v>
      </c>
      <c r="H91" t="n">
        <v>5</v>
      </c>
      <c r="K91" t="n">
        <v>53.338</v>
      </c>
      <c r="L91" t="n">
        <v>53.338</v>
      </c>
      <c r="M91" t="n">
        <v>51.542</v>
      </c>
      <c r="O91" t="n">
        <v>42.167</v>
      </c>
      <c r="Q91" t="n">
        <v>21.844</v>
      </c>
    </row>
    <row r="92" ht="15.75" customHeight="1">
      <c r="A92" s="39" t="n">
        <v>44774</v>
      </c>
      <c r="C92" t="n">
        <v>64.93000000000001</v>
      </c>
      <c r="G92" t="n">
        <v>14.934</v>
      </c>
      <c r="H92" t="n">
        <v>5</v>
      </c>
      <c r="K92" t="n">
        <v>55.84</v>
      </c>
      <c r="L92" t="n">
        <v>55.84</v>
      </c>
      <c r="M92" t="n">
        <v>54.031</v>
      </c>
      <c r="O92" t="n">
        <v>34.024</v>
      </c>
      <c r="Q92" t="n">
        <v>35.776</v>
      </c>
    </row>
    <row r="93" ht="15.75" customHeight="1">
      <c r="A93" s="39" t="n">
        <v>44805</v>
      </c>
      <c r="C93" t="n">
        <v>37.508</v>
      </c>
      <c r="G93" t="n">
        <v>8.627000000000001</v>
      </c>
      <c r="H93" t="n">
        <v>5</v>
      </c>
      <c r="K93" t="n">
        <v>32.257</v>
      </c>
      <c r="L93" t="n">
        <v>32.257</v>
      </c>
      <c r="M93" t="n">
        <v>31.992</v>
      </c>
      <c r="O93" t="n">
        <v>28.923</v>
      </c>
      <c r="Q93" t="n">
        <v>36.772</v>
      </c>
    </row>
    <row r="94" ht="15.75" customHeight="1">
      <c r="A94" s="39" t="n">
        <v>44835</v>
      </c>
      <c r="C94" t="n">
        <v>47.515</v>
      </c>
      <c r="G94" t="n">
        <v>10.9285</v>
      </c>
      <c r="H94" t="n">
        <v>5</v>
      </c>
      <c r="K94" t="n">
        <v>40.863</v>
      </c>
      <c r="L94" t="n">
        <v>40.863</v>
      </c>
      <c r="M94" t="n">
        <v>39.865</v>
      </c>
      <c r="O94" t="n">
        <v>34.208</v>
      </c>
      <c r="P94" t="n">
        <v>48.293</v>
      </c>
      <c r="Q94" t="n">
        <v>40.702</v>
      </c>
    </row>
    <row r="95" ht="15.75" customHeight="1">
      <c r="A95" s="39" t="n">
        <v>44866</v>
      </c>
      <c r="C95" t="n">
        <v>51.4535</v>
      </c>
      <c r="G95" t="n">
        <v>11.8345</v>
      </c>
      <c r="H95" t="n">
        <v>5</v>
      </c>
      <c r="K95" t="n">
        <v>44.25</v>
      </c>
      <c r="L95" t="n">
        <v>46.927</v>
      </c>
      <c r="M95" t="n">
        <v>45.999</v>
      </c>
      <c r="P95" t="n">
        <v>45.616</v>
      </c>
      <c r="Q95" t="n">
        <v>50.729</v>
      </c>
    </row>
    <row r="96" ht="15.75" customHeight="1">
      <c r="A96" s="39" t="n">
        <v>44896</v>
      </c>
      <c r="C96" t="n">
        <v>37.2095</v>
      </c>
      <c r="G96" t="n">
        <v>8.558</v>
      </c>
      <c r="H96" t="n">
        <v>5</v>
      </c>
      <c r="K96" t="n">
        <v>32</v>
      </c>
      <c r="L96" t="n">
        <v>30.984</v>
      </c>
      <c r="M96" t="n">
        <v>29.869</v>
      </c>
      <c r="O96" t="n">
        <v>29.082</v>
      </c>
      <c r="P96" t="n">
        <v>46.632</v>
      </c>
      <c r="Q96" t="n">
        <v>48.473</v>
      </c>
    </row>
    <row r="97" ht="15.75" customHeight="1">
      <c r="A97" s="39" t="n">
        <v>44927</v>
      </c>
      <c r="C97" t="n">
        <v>48.4175</v>
      </c>
      <c r="G97" t="n">
        <v>11.136</v>
      </c>
      <c r="H97" t="n">
        <v>5</v>
      </c>
      <c r="K97" t="n">
        <v>41.639</v>
      </c>
      <c r="L97" t="n">
        <v>33.406</v>
      </c>
      <c r="M97" t="n">
        <v>32.289</v>
      </c>
      <c r="O97" t="n">
        <v>39.089</v>
      </c>
      <c r="P97" t="n">
        <v>54.865</v>
      </c>
      <c r="Q97" t="n">
        <v>39.217</v>
      </c>
    </row>
    <row r="98" ht="15.75" customHeight="1">
      <c r="A98" s="39" t="n">
        <v>44958</v>
      </c>
      <c r="C98" t="n">
        <v>53.678</v>
      </c>
      <c r="G98" t="n">
        <v>12.346</v>
      </c>
      <c r="H98" t="n">
        <v>5</v>
      </c>
      <c r="K98" t="n">
        <v>46.163</v>
      </c>
      <c r="L98" t="n">
        <v>46.913</v>
      </c>
      <c r="M98" t="n">
        <v>45.343</v>
      </c>
      <c r="O98" t="n">
        <v>34.611</v>
      </c>
      <c r="P98" t="n">
        <v>54.115</v>
      </c>
      <c r="Q98" t="n">
        <v>47.606</v>
      </c>
    </row>
    <row r="99" ht="15.75" customHeight="1">
      <c r="A99" s="39" t="n">
        <v>44986</v>
      </c>
      <c r="C99" t="n">
        <v>55.956</v>
      </c>
      <c r="G99" t="n">
        <v>12.87</v>
      </c>
      <c r="H99" t="n">
        <v>5</v>
      </c>
      <c r="K99" t="n">
        <v>48.122</v>
      </c>
      <c r="L99" t="n">
        <v>44.285</v>
      </c>
      <c r="M99" t="n">
        <v>43.4</v>
      </c>
      <c r="P99" t="n">
        <v>57.952</v>
      </c>
      <c r="Q99" t="n">
        <v>50.455</v>
      </c>
    </row>
    <row r="100" ht="15.75" customHeight="1">
      <c r="A100" s="39" t="n">
        <v>45017</v>
      </c>
      <c r="C100" t="n">
        <v>38.3315</v>
      </c>
      <c r="G100" t="n">
        <v>8.816000000000001</v>
      </c>
      <c r="H100" t="n">
        <v>5</v>
      </c>
      <c r="K100" t="n">
        <v>32.965</v>
      </c>
      <c r="L100" t="n">
        <v>30.736</v>
      </c>
      <c r="M100" t="n">
        <v>29.753</v>
      </c>
      <c r="P100" t="n">
        <v>60.181</v>
      </c>
      <c r="Q100" t="n">
        <v>40.097</v>
      </c>
    </row>
    <row r="101" ht="15.75" customHeight="1">
      <c r="A101" s="39" t="n">
        <v>45047</v>
      </c>
      <c r="C101" t="n">
        <v>19.13</v>
      </c>
      <c r="G101" t="n">
        <v>4.4</v>
      </c>
      <c r="H101" t="n">
        <v>5</v>
      </c>
      <c r="K101" t="n">
        <v>16.452</v>
      </c>
      <c r="L101" t="n">
        <v>25.595</v>
      </c>
      <c r="M101" t="n">
        <v>24.562</v>
      </c>
      <c r="P101" t="n">
        <v>51.038</v>
      </c>
      <c r="Q101" t="n">
        <v>28.042</v>
      </c>
    </row>
    <row r="102" ht="15.75" customHeight="1">
      <c r="A102" s="39" t="n">
        <v>45078</v>
      </c>
      <c r="C102" t="n">
        <v>60.029</v>
      </c>
      <c r="G102" t="n">
        <v>13.8065</v>
      </c>
      <c r="H102" t="n">
        <v>5</v>
      </c>
      <c r="K102" t="n">
        <v>51.625</v>
      </c>
      <c r="L102" t="n">
        <v>50.679</v>
      </c>
      <c r="M102" t="n">
        <v>48.639</v>
      </c>
      <c r="O102" t="n">
        <v>31.691</v>
      </c>
      <c r="P102" t="n">
        <v>51.984</v>
      </c>
      <c r="Q102" t="n">
        <v>35.684</v>
      </c>
    </row>
    <row r="103" ht="15.75" customHeight="1">
      <c r="A103" s="39" t="n">
        <v>45108</v>
      </c>
      <c r="C103" t="n">
        <v>35.1825</v>
      </c>
      <c r="G103" t="n">
        <v>8.092000000000001</v>
      </c>
      <c r="H103" t="n">
        <v>5</v>
      </c>
      <c r="K103" t="n">
        <v>30.257</v>
      </c>
      <c r="L103" t="n">
        <v>37.399</v>
      </c>
      <c r="M103" t="n">
        <v>36.141</v>
      </c>
      <c r="P103" t="n">
        <v>44.842</v>
      </c>
      <c r="Q103" t="n">
        <v>38.599</v>
      </c>
    </row>
    <row r="104" ht="15.75" customHeight="1">
      <c r="A104" s="39" t="n">
        <v>45139</v>
      </c>
      <c r="C104" t="n">
        <v>50.3765</v>
      </c>
      <c r="G104" t="n">
        <v>11.5865</v>
      </c>
      <c r="H104" t="n">
        <v>5</v>
      </c>
      <c r="K104" t="n">
        <v>43.324</v>
      </c>
      <c r="L104" t="n">
        <v>35.659</v>
      </c>
      <c r="M104" t="n">
        <v>33.773</v>
      </c>
      <c r="P104" t="n">
        <v>52.507</v>
      </c>
      <c r="Q104" t="n">
        <v>29.804</v>
      </c>
    </row>
    <row r="105" ht="15.75" customHeight="1">
      <c r="A105" s="39" t="n">
        <v>45170</v>
      </c>
      <c r="C105" t="n">
        <v>37.786</v>
      </c>
      <c r="G105" t="n">
        <v>8.691000000000001</v>
      </c>
      <c r="H105" t="n">
        <v>5</v>
      </c>
      <c r="K105" t="n">
        <v>32.496</v>
      </c>
      <c r="L105" t="n">
        <v>36.039</v>
      </c>
      <c r="M105" t="n">
        <v>34.891</v>
      </c>
      <c r="O105" t="n">
        <v>24.553</v>
      </c>
      <c r="P105" t="n">
        <v>48.964</v>
      </c>
      <c r="Q105" t="n">
        <v>37.792</v>
      </c>
    </row>
    <row r="106" ht="15.75" customHeight="1">
      <c r="A106" s="39" t="n">
        <v>45200</v>
      </c>
      <c r="C106" t="n">
        <v>44.4405</v>
      </c>
      <c r="G106" t="n">
        <v>10.2215</v>
      </c>
      <c r="H106" t="n">
        <v>5</v>
      </c>
      <c r="K106" t="n">
        <v>38.219</v>
      </c>
      <c r="L106" t="n">
        <v>45.18</v>
      </c>
      <c r="M106" t="n">
        <v>43.267</v>
      </c>
      <c r="O106" t="n">
        <v>30.316</v>
      </c>
      <c r="P106" t="n">
        <v>42.003</v>
      </c>
      <c r="Q106" t="n">
        <v>48.671</v>
      </c>
    </row>
    <row r="107" ht="15.75" customHeight="1">
      <c r="A107" s="39" t="n">
        <v>45231</v>
      </c>
      <c r="C107" t="n">
        <v>35.428</v>
      </c>
      <c r="G107" t="n">
        <v>8.1485</v>
      </c>
      <c r="H107" t="n">
        <v>5</v>
      </c>
      <c r="K107" t="n">
        <v>30.468</v>
      </c>
      <c r="L107" t="n">
        <v>26.474</v>
      </c>
      <c r="M107" t="n">
        <v>25.268</v>
      </c>
      <c r="O107" t="n">
        <v>31.878</v>
      </c>
      <c r="P107" t="n">
        <v>45.997</v>
      </c>
      <c r="Q107" t="n">
        <v>39.389</v>
      </c>
    </row>
    <row r="108" ht="15.75" customHeight="1">
      <c r="A108" s="39" t="n">
        <v>45261</v>
      </c>
      <c r="C108" t="n">
        <v>32.785</v>
      </c>
      <c r="G108" t="n">
        <v>7.5405</v>
      </c>
      <c r="H108" t="n">
        <v>5</v>
      </c>
      <c r="K108" t="n">
        <v>28.195</v>
      </c>
      <c r="L108" t="n">
        <v>33.148</v>
      </c>
      <c r="M108" t="n">
        <v>31.868</v>
      </c>
      <c r="O108" t="n">
        <v>31.776</v>
      </c>
      <c r="P108" t="n">
        <v>41.044</v>
      </c>
      <c r="Q108" t="n">
        <v>37.572</v>
      </c>
      <c r="R108">
        <f>K108/(C108*2)</f>
        <v/>
      </c>
    </row>
    <row r="109" ht="15.75" customHeight="1">
      <c r="A109" s="39" t="n">
        <v>45292</v>
      </c>
      <c r="C109" t="n">
        <v>37.9035</v>
      </c>
      <c r="G109" t="n">
        <v>8.718</v>
      </c>
      <c r="H109" t="n">
        <v>5</v>
      </c>
      <c r="K109" t="n">
        <v>32.597</v>
      </c>
      <c r="L109" t="n">
        <v>33.024</v>
      </c>
      <c r="M109" t="n">
        <v>31.796</v>
      </c>
      <c r="P109" t="n">
        <v>40.617</v>
      </c>
      <c r="Q109" t="n">
        <v>30.097</v>
      </c>
      <c r="R109">
        <f>K109/(C109*2)</f>
        <v/>
      </c>
    </row>
    <row r="110" ht="15.75" customHeight="1">
      <c r="A110" s="39" t="n">
        <v>45323</v>
      </c>
      <c r="C110" t="n">
        <v>39.13</v>
      </c>
      <c r="G110" t="n">
        <v>9</v>
      </c>
      <c r="H110" t="n">
        <v>5</v>
      </c>
      <c r="K110" t="n">
        <v>33.652</v>
      </c>
      <c r="L110" t="n">
        <v>36.831</v>
      </c>
      <c r="M110" t="n">
        <v>35.359</v>
      </c>
      <c r="P110" t="n">
        <v>37.438</v>
      </c>
      <c r="Q110" t="n">
        <v>29.292</v>
      </c>
      <c r="R110">
        <f>K110/(C110*2)</f>
        <v/>
      </c>
    </row>
    <row r="111" ht="15.75" customHeight="1">
      <c r="A111" s="39" t="n">
        <v>45352</v>
      </c>
      <c r="C111" t="n">
        <v>42.65</v>
      </c>
      <c r="G111" t="n">
        <v>9.8095</v>
      </c>
      <c r="H111" t="n">
        <v>5</v>
      </c>
      <c r="K111" t="n">
        <v>36.679</v>
      </c>
      <c r="L111" t="n">
        <v>39.828</v>
      </c>
      <c r="M111" t="n">
        <v>38.638</v>
      </c>
      <c r="P111" t="n">
        <v>34.289</v>
      </c>
      <c r="Q111" t="n">
        <v>27.466</v>
      </c>
      <c r="R111">
        <f>K111/(C111*2)</f>
        <v/>
      </c>
    </row>
    <row r="112" ht="15.75" customHeight="1">
      <c r="A112" s="39" t="n">
        <v>45383</v>
      </c>
      <c r="C112" t="n">
        <v>35.686</v>
      </c>
      <c r="G112" t="n">
        <v>8.208</v>
      </c>
      <c r="H112" t="n">
        <v>5</v>
      </c>
      <c r="K112" t="n">
        <v>30.69</v>
      </c>
      <c r="L112" t="n">
        <v>28.265</v>
      </c>
      <c r="M112" t="n">
        <v>26.692</v>
      </c>
      <c r="O112" t="n">
        <v>26.266</v>
      </c>
      <c r="P112" t="n">
        <v>36.714</v>
      </c>
      <c r="Q112" t="n">
        <v>26.146</v>
      </c>
      <c r="R112">
        <f>K112/(C112*2)</f>
        <v/>
      </c>
    </row>
    <row r="113" ht="15.75" customHeight="1">
      <c r="A113" s="39" t="n">
        <v>45413</v>
      </c>
      <c r="H113" t="n">
        <v>5</v>
      </c>
      <c r="O113" t="n">
        <v>24.755</v>
      </c>
      <c r="Q113" t="n">
        <v>19.068</v>
      </c>
      <c r="R113">
        <f>K113/(C113*2)</f>
        <v/>
      </c>
    </row>
    <row r="114" ht="15.75" customHeight="1">
      <c r="A114" s="39" t="n">
        <v>45444</v>
      </c>
      <c r="C114" t="n">
        <v>51.5615</v>
      </c>
      <c r="G114" t="n">
        <v>11.859</v>
      </c>
      <c r="H114" t="n">
        <v>5</v>
      </c>
      <c r="K114" t="n">
        <v>44.343</v>
      </c>
      <c r="L114" t="n">
        <v>44.343</v>
      </c>
      <c r="M114" t="n">
        <v>42.585</v>
      </c>
      <c r="O114" t="n">
        <v>32.067</v>
      </c>
      <c r="P114" t="n">
        <v>34.875</v>
      </c>
      <c r="Q114" t="n">
        <v>29.19</v>
      </c>
      <c r="R114">
        <f>K114/(C114*2)</f>
        <v/>
      </c>
    </row>
    <row r="115" ht="15.75" customHeight="1">
      <c r="A115" s="39" t="n">
        <v>45474</v>
      </c>
      <c r="C115" t="n">
        <v>34.4815</v>
      </c>
      <c r="G115" t="n">
        <v>7.9305</v>
      </c>
      <c r="H115" t="n">
        <v>5</v>
      </c>
      <c r="K115" t="n">
        <v>29.654</v>
      </c>
      <c r="L115" t="n">
        <v>34.691</v>
      </c>
      <c r="M115" t="n">
        <v>33.277</v>
      </c>
      <c r="P115" t="n">
        <v>29.838</v>
      </c>
      <c r="Q115" t="n">
        <v>28.849</v>
      </c>
      <c r="R115">
        <f>K115/(C115*2)</f>
        <v/>
      </c>
    </row>
    <row r="116" ht="15.75" customHeight="1">
      <c r="A116" s="39" t="n">
        <v>45505</v>
      </c>
      <c r="C116" t="n">
        <v>45.4035</v>
      </c>
      <c r="G116" t="n">
        <v>10.443</v>
      </c>
      <c r="H116" t="n">
        <v>5</v>
      </c>
      <c r="K116" t="n">
        <v>39.047</v>
      </c>
      <c r="L116" t="n">
        <v>32.989</v>
      </c>
      <c r="M116" t="n">
        <v>31.668</v>
      </c>
      <c r="P116" t="n">
        <v>35.896</v>
      </c>
      <c r="Q116" t="n">
        <v>23.433</v>
      </c>
      <c r="R116">
        <f>K116/(C116*2)</f>
        <v/>
      </c>
    </row>
    <row r="117" ht="15.75" customHeight="1">
      <c r="A117" s="39" t="n">
        <v>45536</v>
      </c>
      <c r="C117" t="n">
        <v>37.943</v>
      </c>
      <c r="G117" t="n">
        <v>8.727</v>
      </c>
      <c r="H117" t="n">
        <v>5</v>
      </c>
      <c r="K117" t="n">
        <v>32.631</v>
      </c>
      <c r="L117" t="n">
        <v>44.575</v>
      </c>
      <c r="M117" t="n">
        <v>43.256</v>
      </c>
      <c r="P117" t="n">
        <v>23.952</v>
      </c>
      <c r="Q117" t="n">
        <v>34.023</v>
      </c>
      <c r="R117">
        <f>K117/(C117*2)</f>
        <v/>
      </c>
    </row>
    <row r="118" ht="15.75" customHeight="1">
      <c r="A118" s="39" t="n">
        <v>45566</v>
      </c>
      <c r="C118" t="n">
        <v>35.47</v>
      </c>
      <c r="G118" t="n">
        <v>8.157999999999999</v>
      </c>
      <c r="H118" t="n">
        <v>5</v>
      </c>
      <c r="K118" t="n">
        <v>30.504</v>
      </c>
      <c r="L118" t="n">
        <v>36.222</v>
      </c>
      <c r="M118" t="n">
        <v>33.783</v>
      </c>
      <c r="P118" t="n">
        <v>18.234</v>
      </c>
      <c r="Q118" t="n">
        <v>31.719</v>
      </c>
      <c r="R118">
        <f>K118/(C118*2)</f>
        <v/>
      </c>
    </row>
    <row r="119" ht="15.75" customHeight="1">
      <c r="A119" s="39" t="n">
        <v>45597</v>
      </c>
      <c r="C119" t="n">
        <v>31.493</v>
      </c>
      <c r="G119" t="n">
        <v>7.2435</v>
      </c>
      <c r="H119" t="n">
        <v>5</v>
      </c>
      <c r="K119" t="n">
        <v>27.084</v>
      </c>
      <c r="L119" t="n">
        <v>31.11</v>
      </c>
      <c r="M119" t="n">
        <v>29.584</v>
      </c>
      <c r="P119" t="n">
        <v>14.208</v>
      </c>
      <c r="Q119" t="n">
        <v>30.798</v>
      </c>
      <c r="R119">
        <f>K119/(C119*2)</f>
        <v/>
      </c>
    </row>
    <row r="120" ht="15.75" customHeight="1">
      <c r="A120" s="39" t="n">
        <v>45627</v>
      </c>
      <c r="C120" t="n">
        <v>32.1675</v>
      </c>
      <c r="G120" t="n">
        <v>7.3985</v>
      </c>
      <c r="H120" t="n">
        <v>5</v>
      </c>
      <c r="K120" t="n">
        <v>27.664</v>
      </c>
      <c r="L120" t="n">
        <v>25.976</v>
      </c>
      <c r="M120" t="n">
        <v>24.672</v>
      </c>
      <c r="O120" t="n">
        <v>26.686</v>
      </c>
      <c r="P120" t="n">
        <v>15.896</v>
      </c>
      <c r="Q120" t="n">
        <v>29.452</v>
      </c>
      <c r="R120">
        <f>K120/(C120*2)</f>
        <v/>
      </c>
    </row>
    <row r="121" ht="15.75" customHeight="1">
      <c r="A121" s="39" t="n">
        <v>45658</v>
      </c>
      <c r="C121" t="n">
        <v>43.3815</v>
      </c>
      <c r="G121" t="n">
        <v>9.977499999999999</v>
      </c>
      <c r="H121" t="n">
        <v>5</v>
      </c>
      <c r="K121" t="n">
        <v>37.308</v>
      </c>
      <c r="L121" t="n">
        <v>36.825</v>
      </c>
      <c r="M121" t="n">
        <v>35.957</v>
      </c>
      <c r="N121" s="55">
        <f>M121/L121-1</f>
        <v/>
      </c>
      <c r="O121" t="n">
        <v>39.106</v>
      </c>
      <c r="P121" t="n">
        <v>16.379</v>
      </c>
      <c r="Q121" t="n">
        <v>25.859</v>
      </c>
      <c r="R121">
        <f>K121/(C121*2)</f>
        <v/>
      </c>
    </row>
    <row r="122" ht="15.75" customHeight="1">
      <c r="A122" s="39" t="n">
        <v>45689</v>
      </c>
      <c r="C122" t="n">
        <v>40.0895</v>
      </c>
      <c r="G122" t="n">
        <v>9.220499999999999</v>
      </c>
      <c r="H122" t="n">
        <v>5</v>
      </c>
      <c r="K122" t="n">
        <v>34.477</v>
      </c>
      <c r="L122" t="n">
        <v>33.434</v>
      </c>
      <c r="M122" t="n">
        <v>32.733</v>
      </c>
      <c r="N122" s="55">
        <f>M122/L122-1</f>
        <v/>
      </c>
      <c r="O122" t="n">
        <v>34.269</v>
      </c>
      <c r="P122" t="n">
        <v>17.422</v>
      </c>
      <c r="Q122" t="n">
        <v>23.989</v>
      </c>
      <c r="R122">
        <f>K122/(C122*2)</f>
        <v/>
      </c>
    </row>
    <row r="123" ht="15.75" customHeight="1">
      <c r="A123" s="39" t="n">
        <v>45717</v>
      </c>
      <c r="C123" t="n">
        <v>48.128</v>
      </c>
      <c r="G123" t="n">
        <v>11.0695</v>
      </c>
      <c r="H123" t="n">
        <v>5</v>
      </c>
      <c r="K123" t="n">
        <v>41.39</v>
      </c>
      <c r="L123" t="n">
        <v>36.867</v>
      </c>
      <c r="M123" t="n">
        <v>36.305</v>
      </c>
      <c r="N123" s="55">
        <f>M123/L123-1</f>
        <v/>
      </c>
      <c r="O123" t="n">
        <v>34.857</v>
      </c>
      <c r="P123" t="n">
        <v>21.945</v>
      </c>
      <c r="Q123" t="n">
        <v>25.112</v>
      </c>
      <c r="R123">
        <f>K123/(C123*2)</f>
        <v/>
      </c>
    </row>
    <row r="124" ht="15.75" customHeight="1">
      <c r="A124" s="39" t="n">
        <v>45748</v>
      </c>
      <c r="C124" t="n">
        <v>34.9975</v>
      </c>
      <c r="G124" t="n">
        <v>8.0495</v>
      </c>
      <c r="H124" t="n">
        <v>5</v>
      </c>
      <c r="K124" t="n">
        <v>30.098</v>
      </c>
      <c r="L124" t="n">
        <v>36.664</v>
      </c>
      <c r="M124" t="n">
        <v>35.811</v>
      </c>
      <c r="N124" s="55">
        <f>M124/L124-1</f>
        <v/>
      </c>
      <c r="O124" t="n">
        <v>35.743</v>
      </c>
      <c r="P124" t="n">
        <v>15.379</v>
      </c>
      <c r="Q124" t="n">
        <v>25.658</v>
      </c>
      <c r="R124">
        <f>K124/(C124*2)</f>
        <v/>
      </c>
    </row>
    <row r="125" ht="15.75" customHeight="1">
      <c r="A125" s="39" t="n">
        <v>45778</v>
      </c>
      <c r="C125" t="n">
        <v>21.9405</v>
      </c>
      <c r="G125" t="n">
        <v>5.0465</v>
      </c>
      <c r="H125" t="n">
        <v>5</v>
      </c>
      <c r="K125" t="n">
        <v>18.869</v>
      </c>
      <c r="L125" t="n">
        <v>15.259</v>
      </c>
      <c r="M125" t="n">
        <v>14.92</v>
      </c>
      <c r="N125" s="55">
        <f>M125/L125-1</f>
        <v/>
      </c>
      <c r="O125" t="n">
        <v>20.131</v>
      </c>
      <c r="P125" t="n">
        <v>18.989</v>
      </c>
      <c r="Q125" t="n">
        <v>18.128</v>
      </c>
      <c r="R125">
        <f>K125/(C125*2)</f>
        <v/>
      </c>
    </row>
    <row r="126" ht="15.75" customHeight="1">
      <c r="A126" s="39" t="n">
        <v>45809</v>
      </c>
      <c r="C126" t="n">
        <v>39.0605</v>
      </c>
      <c r="G126" t="n">
        <v>8.984</v>
      </c>
      <c r="H126" t="n">
        <v>5</v>
      </c>
      <c r="K126" t="n">
        <v>33.592</v>
      </c>
      <c r="L126" t="n">
        <v>32.331</v>
      </c>
      <c r="M126" t="n">
        <v>31.575</v>
      </c>
      <c r="N126" s="55">
        <f>M126/L126-1</f>
        <v/>
      </c>
      <c r="O126" t="n">
        <v>26.678</v>
      </c>
      <c r="P126" t="n">
        <v>20.25</v>
      </c>
      <c r="Q126" t="n">
        <v>22.87</v>
      </c>
      <c r="R126">
        <f>K126/(C126*2)</f>
        <v/>
      </c>
    </row>
    <row r="127" ht="15.75" customHeight="1">
      <c r="A127" s="39" t="n">
        <v>45839</v>
      </c>
      <c r="C127" t="n">
        <v>57.8615</v>
      </c>
      <c r="G127" t="n">
        <v>13.308</v>
      </c>
      <c r="H127" t="n">
        <v>5</v>
      </c>
      <c r="K127" t="n">
        <v>49.761</v>
      </c>
      <c r="L127" t="n">
        <v>34.581</v>
      </c>
      <c r="M127" t="n">
        <v>33.743</v>
      </c>
      <c r="N127" s="55">
        <f>M127/L127-1</f>
        <v/>
      </c>
      <c r="O127" t="n">
        <v>36.372</v>
      </c>
      <c r="P127" t="n">
        <v>35.43</v>
      </c>
      <c r="Q127" t="n">
        <v>20.305</v>
      </c>
      <c r="R127">
        <f>K127/(C127*2)</f>
        <v/>
      </c>
    </row>
    <row r="128" ht="15.75" customHeight="1">
      <c r="A128" s="39" t="n">
        <v>45870</v>
      </c>
      <c r="C128" t="n">
        <v>29.6755</v>
      </c>
      <c r="G128" t="n">
        <v>6.8255</v>
      </c>
      <c r="H128" t="n">
        <v>5</v>
      </c>
      <c r="K128" t="n">
        <v>25.521</v>
      </c>
      <c r="L128" t="n">
        <v>33.56</v>
      </c>
      <c r="M128" t="n">
        <v>32.764</v>
      </c>
      <c r="N128" s="55">
        <f>M128/L128-1</f>
        <v/>
      </c>
      <c r="O128" t="n">
        <v>32.907</v>
      </c>
      <c r="P128" t="n">
        <v>27.391</v>
      </c>
      <c r="Q128" t="n">
        <v>20.728</v>
      </c>
      <c r="R128">
        <f>K128/(C128*2)</f>
        <v/>
      </c>
    </row>
    <row r="129" ht="15.75" customHeight="1">
      <c r="A129" s="39" t="n">
        <v>45901</v>
      </c>
      <c r="C129" t="n">
        <v>25.628</v>
      </c>
      <c r="G129" t="n">
        <v>5.8945</v>
      </c>
      <c r="H129" t="n">
        <v>5</v>
      </c>
      <c r="K129" t="n">
        <v>22.04</v>
      </c>
      <c r="L129" t="n">
        <v>33.472</v>
      </c>
      <c r="M129" t="n">
        <v>32.691</v>
      </c>
      <c r="N129" s="55">
        <f>M129/L129-1</f>
        <v/>
      </c>
      <c r="O129" t="n">
        <v>31.572</v>
      </c>
      <c r="P129" t="n">
        <v>15.959</v>
      </c>
      <c r="Q129" t="n">
        <v>19.817</v>
      </c>
      <c r="R129">
        <f>K129/(C129*2)</f>
        <v/>
      </c>
    </row>
    <row r="130" ht="15.75" customHeight="1">
      <c r="A130" s="39" t="n">
        <v>45931</v>
      </c>
      <c r="C130" t="n">
        <v>48.2895</v>
      </c>
      <c r="G130" t="n">
        <v>11.1065</v>
      </c>
      <c r="H130" t="n">
        <v>5</v>
      </c>
      <c r="K130" t="n">
        <v>41.529</v>
      </c>
      <c r="L130" t="n">
        <v>37.024</v>
      </c>
      <c r="M130" t="n">
        <v>36.16</v>
      </c>
      <c r="N130" s="55">
        <f>M130/L130-1</f>
        <v/>
      </c>
      <c r="O130" t="n">
        <v>31.291</v>
      </c>
      <c r="P130" t="n">
        <v>20.464</v>
      </c>
      <c r="Q130" t="n">
        <v>22.582</v>
      </c>
      <c r="R130">
        <f>K130/(C130*2)</f>
        <v/>
      </c>
    </row>
    <row r="131" ht="15.75" customHeight="1">
      <c r="A131" s="39" t="n">
        <v>45962</v>
      </c>
      <c r="C131" t="n">
        <v>44.5105</v>
      </c>
      <c r="G131" t="n">
        <v>10.2375</v>
      </c>
      <c r="H131" t="n">
        <v>5</v>
      </c>
      <c r="K131" t="n">
        <v>38.279</v>
      </c>
      <c r="L131" t="n">
        <v>39.282</v>
      </c>
      <c r="M131" t="n">
        <v>38.302</v>
      </c>
      <c r="N131" s="55">
        <f>M131/L131-1</f>
        <v/>
      </c>
      <c r="O131" t="n">
        <v>34.009</v>
      </c>
      <c r="P131" t="n">
        <v>19.461</v>
      </c>
      <c r="Q131" t="n">
        <v>26.38</v>
      </c>
      <c r="R131">
        <f>K131/(C131*2)</f>
        <v/>
      </c>
    </row>
    <row r="132" ht="15.75" customHeight="1">
      <c r="A132" s="39" t="n">
        <v>45992</v>
      </c>
      <c r="C132" t="n">
        <v>46.1255</v>
      </c>
      <c r="G132" t="n">
        <v>10.609</v>
      </c>
      <c r="H132" t="n">
        <v>5</v>
      </c>
      <c r="K132" t="n">
        <v>39.668</v>
      </c>
      <c r="L132" t="n">
        <v>36.009</v>
      </c>
      <c r="M132" t="n">
        <v>35.148</v>
      </c>
      <c r="N132" s="55">
        <f>M132/L132-1</f>
        <v/>
      </c>
      <c r="O132" t="n">
        <v>32.428</v>
      </c>
      <c r="P132" t="n">
        <v>23.12</v>
      </c>
      <c r="Q132" t="n">
        <v>28.604</v>
      </c>
      <c r="R132">
        <f>K132/(C132*2)</f>
        <v/>
      </c>
    </row>
    <row r="133" ht="15.75" customHeight="1">
      <c r="A133" s="39" t="n">
        <v>46023</v>
      </c>
      <c r="C133" t="n">
        <v>37.8255</v>
      </c>
      <c r="G133" t="n">
        <v>8.699999999999999</v>
      </c>
      <c r="H133" t="n">
        <v>5</v>
      </c>
      <c r="K133" t="n">
        <v>32.53</v>
      </c>
      <c r="L133" t="n">
        <v>32.033</v>
      </c>
      <c r="M133" t="n">
        <v>31.305</v>
      </c>
      <c r="N133" s="55">
        <f>M133/L133-1</f>
        <v/>
      </c>
      <c r="O133" t="n">
        <v>31.921</v>
      </c>
      <c r="P133" t="n">
        <v>23.617</v>
      </c>
      <c r="Q133" t="n">
        <v>26.005</v>
      </c>
      <c r="R133">
        <f>K133/(C133*2)</f>
        <v/>
      </c>
    </row>
    <row r="134" ht="15.75" customHeight="1">
      <c r="A134" s="39" t="n">
        <v>46054</v>
      </c>
    </row>
    <row r="135" ht="15.75" customHeight="1">
      <c r="A135" s="39" t="n">
        <v>46082</v>
      </c>
    </row>
    <row r="136" ht="15.75" customHeight="1">
      <c r="A136" s="39" t="n">
        <v>46113</v>
      </c>
    </row>
    <row r="137" ht="15.75" customHeight="1">
      <c r="A137" s="39" t="n">
        <v>46143</v>
      </c>
    </row>
    <row r="138" ht="15.75" customHeight="1">
      <c r="A138" s="39" t="n">
        <v>46174</v>
      </c>
    </row>
    <row r="139" ht="15.75" customHeight="1">
      <c r="A139" s="39" t="n">
        <v>46204</v>
      </c>
    </row>
    <row r="140" ht="15.75" customHeight="1">
      <c r="A140" s="39" t="n">
        <v>46235</v>
      </c>
    </row>
    <row r="141" ht="15.75" customHeight="1">
      <c r="A141" s="39" t="n">
        <v>46266</v>
      </c>
    </row>
    <row r="142" ht="15.75" customHeight="1">
      <c r="A142" s="39" t="n">
        <v>46296</v>
      </c>
    </row>
    <row r="143" ht="15.75" customHeight="1">
      <c r="A143" s="39" t="n">
        <v>46327</v>
      </c>
    </row>
    <row r="144" ht="15.75" customHeight="1">
      <c r="A144" s="39" t="n">
        <v>46357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FN14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P5" sqref="P5:Q5"/>
    </sheetView>
  </sheetViews>
  <sheetFormatPr baseColWidth="8" defaultRowHeight="24"/>
  <cols>
    <col width="9.140625" customWidth="1" style="20" min="1" max="1"/>
  </cols>
  <sheetData>
    <row r="1">
      <c r="A1" s="16" t="inlineStr">
        <is>
          <t>COTTONSEED COMPLEX</t>
        </is>
      </c>
    </row>
    <row r="2">
      <c r="A2" s="21" t="inlineStr">
        <is>
          <t>MONTHLY US COTTONSEED CRUSHING</t>
        </is>
      </c>
    </row>
    <row r="3" ht="67.5" customFormat="1" customHeight="1" s="65">
      <c r="A3" s="22" t="n"/>
      <c r="B3" s="41" t="inlineStr">
        <is>
          <t>Capacity</t>
        </is>
      </c>
      <c r="C3" s="42" t="inlineStr">
        <is>
          <t>Seeds Crushed</t>
        </is>
      </c>
      <c r="D3" s="41" t="inlineStr">
        <is>
          <t>Unused Capacity</t>
        </is>
      </c>
      <c r="E3" s="41" t="inlineStr">
        <is>
          <t>Capacity Utilization</t>
        </is>
      </c>
      <c r="F3" s="23" t="n"/>
      <c r="G3" s="41" t="inlineStr">
        <is>
          <t>Cake and Meal Produced</t>
        </is>
      </c>
      <c r="H3" s="41" t="inlineStr">
        <is>
          <t>Cake and Meal on Hand (End of Month)</t>
        </is>
      </c>
      <c r="I3" s="41" t="inlineStr">
        <is>
          <t>Meal Yield</t>
        </is>
      </c>
      <c r="J3" s="23" t="n"/>
      <c r="K3" s="41" t="inlineStr">
        <is>
          <t>Crude Oil Produced</t>
        </is>
      </c>
      <c r="L3" s="41" t="inlineStr">
        <is>
          <t>Crude Processed in Refining</t>
        </is>
      </c>
      <c r="M3" s="41" t="inlineStr">
        <is>
          <t>Once Refined Oil Produced</t>
        </is>
      </c>
      <c r="N3" s="41" t="inlineStr">
        <is>
          <t>Refining Loss</t>
        </is>
      </c>
      <c r="O3" s="41" t="inlineStr">
        <is>
          <t>Once Refined Oil Removed for Use in Processing</t>
        </is>
      </c>
      <c r="P3" s="41" t="inlineStr">
        <is>
          <t>Crude Oil on Hand (End of Month)</t>
        </is>
      </c>
      <c r="Q3" s="41" t="inlineStr">
        <is>
          <t>Refined Oil on Hand (End of Month)</t>
        </is>
      </c>
      <c r="R3" s="41" t="inlineStr">
        <is>
          <t>Oil Yield</t>
        </is>
      </c>
      <c r="S3" s="24" t="n"/>
      <c r="T3" s="24" t="n"/>
      <c r="U3" s="24" t="n"/>
      <c r="V3" s="24" t="n"/>
      <c r="W3" s="24" t="n"/>
      <c r="X3" s="24" t="n"/>
      <c r="Y3" s="24" t="n"/>
      <c r="Z3" s="24" t="n"/>
      <c r="AA3" s="24" t="n"/>
      <c r="AB3" s="24" t="n"/>
      <c r="AC3" s="24" t="n"/>
      <c r="AD3" s="24" t="n"/>
      <c r="AE3" s="24" t="n"/>
      <c r="AF3" s="24" t="n"/>
      <c r="AG3" s="24" t="n"/>
      <c r="AH3" s="24" t="n"/>
      <c r="AI3" s="24" t="n"/>
      <c r="AJ3" s="24" t="n"/>
      <c r="AK3" s="24" t="n"/>
      <c r="AL3" s="24" t="n"/>
      <c r="AM3" s="24" t="n"/>
      <c r="AN3" s="24" t="n"/>
      <c r="AO3" s="24" t="n"/>
      <c r="AP3" s="24" t="n"/>
      <c r="AQ3" s="24" t="n"/>
      <c r="AR3" s="24" t="n"/>
      <c r="AS3" s="24" t="n"/>
      <c r="AT3" s="24" t="n"/>
      <c r="AU3" s="24" t="n"/>
      <c r="AV3" s="24" t="n"/>
      <c r="AW3" s="24" t="n"/>
      <c r="AX3" s="24" t="n"/>
      <c r="AY3" s="24" t="n"/>
      <c r="AZ3" s="24" t="n"/>
      <c r="BA3" s="24" t="n"/>
      <c r="BB3" s="24" t="n"/>
      <c r="BC3" s="24" t="n"/>
      <c r="BD3" s="24" t="n"/>
      <c r="BE3" s="24" t="n"/>
      <c r="BF3" s="24" t="n"/>
      <c r="BG3" s="24" t="n"/>
      <c r="BH3" s="24" t="n"/>
      <c r="BI3" s="24" t="n"/>
      <c r="BJ3" s="24" t="n"/>
      <c r="BK3" s="24" t="n"/>
      <c r="BL3" s="24" t="n"/>
      <c r="BM3" s="24" t="n"/>
      <c r="BN3" s="24" t="n"/>
      <c r="BO3" s="24" t="n"/>
      <c r="BP3" s="24" t="n"/>
      <c r="BQ3" s="24" t="n"/>
      <c r="BR3" s="24" t="n"/>
      <c r="BS3" s="24" t="n"/>
      <c r="BT3" s="24" t="n"/>
      <c r="BU3" s="24" t="n"/>
      <c r="BV3" s="24" t="n"/>
      <c r="BW3" s="24" t="n"/>
      <c r="BX3" s="24" t="n"/>
      <c r="BY3" s="24" t="n"/>
      <c r="BZ3" s="24" t="n"/>
      <c r="CA3" s="24" t="n"/>
      <c r="CB3" s="24" t="n"/>
      <c r="CC3" s="24" t="n"/>
      <c r="CD3" s="24" t="n"/>
      <c r="CE3" s="24" t="n"/>
      <c r="CF3" s="24" t="n"/>
      <c r="CG3" s="24" t="n"/>
      <c r="CH3" s="24" t="n"/>
      <c r="CI3" s="24" t="n"/>
      <c r="CJ3" s="24" t="n"/>
      <c r="CK3" s="24" t="n"/>
      <c r="CL3" s="24" t="n"/>
      <c r="CM3" s="24" t="n"/>
      <c r="CN3" s="24" t="n"/>
      <c r="CO3" s="24" t="n"/>
      <c r="CP3" s="24" t="n"/>
      <c r="CQ3" s="24" t="n"/>
      <c r="CR3" s="24" t="n"/>
      <c r="CS3" s="24" t="n"/>
      <c r="CT3" s="24" t="n"/>
      <c r="CU3" s="24" t="n"/>
      <c r="CV3" s="24" t="n"/>
      <c r="CW3" s="24" t="n"/>
      <c r="CX3" s="24" t="n"/>
      <c r="CY3" s="24" t="n"/>
      <c r="CZ3" s="24" t="n"/>
      <c r="DA3" s="24" t="n"/>
      <c r="DB3" s="24" t="n"/>
      <c r="DC3" s="24" t="n"/>
      <c r="DD3" s="24" t="n"/>
      <c r="DE3" s="24" t="n"/>
      <c r="DF3" s="24" t="n"/>
      <c r="DG3" s="24" t="n"/>
      <c r="DH3" s="24" t="n"/>
      <c r="DI3" s="24" t="n"/>
      <c r="DJ3" s="24" t="n"/>
      <c r="DK3" s="24" t="n"/>
      <c r="DL3" s="24" t="n"/>
      <c r="DM3" s="24" t="n"/>
      <c r="DN3" s="24" t="n"/>
      <c r="DO3" s="24" t="n"/>
      <c r="DP3" s="24" t="n"/>
      <c r="DQ3" s="24" t="n"/>
      <c r="DR3" s="24" t="n"/>
      <c r="DS3" s="24" t="n"/>
      <c r="DT3" s="24" t="n"/>
      <c r="DU3" s="24" t="n"/>
      <c r="DV3" s="24" t="n"/>
      <c r="DW3" s="24" t="n"/>
      <c r="DX3" s="24" t="n"/>
      <c r="DY3" s="24" t="n"/>
      <c r="DZ3" s="24" t="n"/>
      <c r="EA3" s="24" t="n"/>
      <c r="EB3" s="24" t="n"/>
      <c r="EC3" s="24" t="n"/>
      <c r="ED3" s="24" t="n"/>
      <c r="EE3" s="24" t="n"/>
      <c r="EF3" s="24" t="n"/>
      <c r="EG3" s="24" t="n"/>
      <c r="EH3" s="24" t="n"/>
      <c r="EI3" s="24" t="n"/>
      <c r="EJ3" s="24" t="n"/>
      <c r="EK3" s="24" t="n"/>
      <c r="EL3" s="24" t="n"/>
      <c r="EM3" s="24" t="n"/>
      <c r="EN3" s="24" t="n"/>
      <c r="EO3" s="24" t="n"/>
      <c r="EP3" s="24" t="n"/>
      <c r="EQ3" s="24" t="n"/>
      <c r="ER3" s="24" t="n"/>
      <c r="ES3" s="24" t="n"/>
      <c r="ET3" s="24" t="n"/>
      <c r="EU3" s="24" t="n"/>
      <c r="EV3" s="24" t="n"/>
      <c r="EW3" s="24" t="n"/>
      <c r="EX3" s="24" t="n"/>
      <c r="EY3" s="24" t="n"/>
      <c r="EZ3" s="24" t="n"/>
      <c r="FA3" s="24" t="n"/>
      <c r="FB3" s="24" t="n"/>
      <c r="FC3" s="24" t="n"/>
      <c r="FD3" s="24" t="n"/>
      <c r="FE3" s="24" t="n"/>
      <c r="FF3" s="24" t="n"/>
      <c r="FG3" s="24" t="n"/>
      <c r="FH3" s="24" t="n"/>
      <c r="FI3" s="24" t="n"/>
      <c r="FJ3" s="24" t="n"/>
      <c r="FK3" s="24" t="n"/>
      <c r="FL3" s="24" t="n"/>
      <c r="FM3" s="24" t="n"/>
      <c r="FN3" s="24" t="n"/>
    </row>
    <row r="4" customFormat="1" s="30">
      <c r="A4" s="26" t="n"/>
      <c r="B4" s="26" t="inlineStr">
        <is>
          <t>tons/day</t>
        </is>
      </c>
      <c r="C4" s="26" t="inlineStr">
        <is>
          <t>mil lbs</t>
        </is>
      </c>
      <c r="D4" s="26" t="inlineStr">
        <is>
          <t>000 tons</t>
        </is>
      </c>
      <c r="E4" s="26" t="inlineStr">
        <is>
          <t>%</t>
        </is>
      </c>
      <c r="F4" s="27" t="n"/>
      <c r="G4" s="28" t="inlineStr">
        <is>
          <t>000 tons</t>
        </is>
      </c>
      <c r="H4" s="28" t="inlineStr">
        <is>
          <t>000 tons</t>
        </is>
      </c>
      <c r="I4" s="28" t="inlineStr">
        <is>
          <t>%</t>
        </is>
      </c>
      <c r="J4" s="29" t="n"/>
      <c r="K4" s="28" t="inlineStr">
        <is>
          <t>mil lbs</t>
        </is>
      </c>
      <c r="L4" s="28" t="inlineStr">
        <is>
          <t>mil lbs</t>
        </is>
      </c>
      <c r="M4" s="28" t="inlineStr">
        <is>
          <t>mil lbs</t>
        </is>
      </c>
      <c r="N4" s="28" t="inlineStr">
        <is>
          <t>%</t>
        </is>
      </c>
      <c r="O4" s="28" t="inlineStr">
        <is>
          <t>mil lbs</t>
        </is>
      </c>
      <c r="P4" s="28" t="inlineStr">
        <is>
          <t>mil lbs</t>
        </is>
      </c>
      <c r="Q4" s="28" t="inlineStr">
        <is>
          <t>mil lbs</t>
        </is>
      </c>
      <c r="R4" s="28" t="inlineStr">
        <is>
          <t>%</t>
        </is>
      </c>
      <c r="S4" s="19" t="n"/>
      <c r="T4" s="19" t="n"/>
      <c r="U4" s="19" t="n"/>
      <c r="V4" s="19" t="n"/>
      <c r="W4" s="19" t="n"/>
      <c r="X4" s="19" t="n"/>
      <c r="Y4" s="19" t="n"/>
      <c r="Z4" s="19" t="n"/>
      <c r="AA4" s="19" t="n"/>
      <c r="AB4" s="19" t="n"/>
      <c r="AC4" s="19" t="n"/>
      <c r="AD4" s="19" t="n"/>
      <c r="AE4" s="19" t="n"/>
      <c r="AF4" s="19" t="n"/>
      <c r="AG4" s="19" t="n"/>
      <c r="AH4" s="19" t="n"/>
      <c r="AI4" s="19" t="n"/>
      <c r="AJ4" s="19" t="n"/>
      <c r="AK4" s="19" t="n"/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9" t="n"/>
      <c r="BK4" s="19" t="n"/>
      <c r="BL4" s="19" t="n"/>
      <c r="BM4" s="19" t="n"/>
      <c r="BN4" s="19" t="n"/>
      <c r="BO4" s="19" t="n"/>
      <c r="BP4" s="19" t="n"/>
      <c r="BQ4" s="19" t="n"/>
      <c r="BR4" s="19" t="n"/>
      <c r="BS4" s="19" t="n"/>
      <c r="BT4" s="19" t="n"/>
      <c r="BU4" s="19" t="n"/>
      <c r="BV4" s="19" t="n"/>
      <c r="BW4" s="19" t="n"/>
      <c r="BX4" s="19" t="n"/>
      <c r="BY4" s="19" t="n"/>
      <c r="BZ4" s="19" t="n"/>
      <c r="CA4" s="19" t="n"/>
      <c r="CB4" s="19" t="n"/>
      <c r="CC4" s="19" t="n"/>
      <c r="CD4" s="19" t="n"/>
      <c r="CE4" s="19" t="n"/>
      <c r="CF4" s="19" t="n"/>
      <c r="CG4" s="19" t="n"/>
      <c r="CH4" s="19" t="n"/>
      <c r="CI4" s="19" t="n"/>
      <c r="CJ4" s="19" t="n"/>
      <c r="CK4" s="19" t="n"/>
      <c r="CL4" s="19" t="n"/>
      <c r="CM4" s="19" t="n"/>
      <c r="CN4" s="19" t="n"/>
      <c r="CO4" s="19" t="n"/>
      <c r="CP4" s="19" t="n"/>
      <c r="CQ4" s="19" t="n"/>
      <c r="CR4" s="19" t="n"/>
      <c r="CS4" s="19" t="n"/>
      <c r="CT4" s="19" t="n"/>
      <c r="CU4" s="19" t="n"/>
      <c r="CV4" s="19" t="n"/>
      <c r="CW4" s="19" t="n"/>
      <c r="CX4" s="19" t="n"/>
      <c r="CY4" s="19" t="n"/>
      <c r="CZ4" s="19" t="n"/>
      <c r="DA4" s="19" t="n"/>
      <c r="DB4" s="19" t="n"/>
      <c r="DC4" s="19" t="n"/>
      <c r="DD4" s="19" t="n"/>
      <c r="DE4" s="19" t="n"/>
      <c r="DF4" s="19" t="n"/>
      <c r="DG4" s="19" t="n"/>
      <c r="DH4" s="19" t="n"/>
      <c r="DI4" s="19" t="n"/>
      <c r="DJ4" s="19" t="n"/>
      <c r="DK4" s="19" t="n"/>
      <c r="DL4" s="19" t="n"/>
      <c r="DM4" s="19" t="n"/>
      <c r="DN4" s="19" t="n"/>
      <c r="DO4" s="19" t="n"/>
      <c r="DP4" s="19" t="n"/>
      <c r="DQ4" s="19" t="n"/>
      <c r="DR4" s="19" t="n"/>
      <c r="DS4" s="19" t="n"/>
      <c r="DT4" s="19" t="n"/>
      <c r="DU4" s="19" t="n"/>
      <c r="DV4" s="19" t="n"/>
      <c r="DW4" s="19" t="n"/>
      <c r="DX4" s="19" t="n"/>
      <c r="DY4" s="19" t="n"/>
      <c r="DZ4" s="19" t="n"/>
      <c r="EA4" s="19" t="n"/>
      <c r="EB4" s="19" t="n"/>
      <c r="EC4" s="19" t="n"/>
      <c r="ED4" s="19" t="n"/>
      <c r="EE4" s="19" t="n"/>
      <c r="EF4" s="19" t="n"/>
      <c r="EG4" s="19" t="n"/>
      <c r="EH4" s="19" t="n"/>
      <c r="EI4" s="19" t="n"/>
      <c r="EJ4" s="19" t="n"/>
      <c r="EK4" s="19" t="n"/>
      <c r="EL4" s="19" t="n"/>
      <c r="EM4" s="19" t="n"/>
      <c r="EN4" s="19" t="n"/>
      <c r="EO4" s="19" t="n"/>
      <c r="EP4" s="19" t="n"/>
      <c r="EQ4" s="19" t="n"/>
      <c r="ER4" s="19" t="n"/>
      <c r="ES4" s="19" t="n"/>
      <c r="ET4" s="19" t="n"/>
      <c r="EU4" s="19" t="n"/>
      <c r="EV4" s="19" t="n"/>
      <c r="EW4" s="19" t="n"/>
      <c r="EX4" s="19" t="n"/>
      <c r="EY4" s="19" t="n"/>
      <c r="EZ4" s="19" t="n"/>
      <c r="FA4" s="19" t="n"/>
      <c r="FB4" s="19" t="n"/>
      <c r="FC4" s="19" t="n"/>
      <c r="FD4" s="19" t="n"/>
      <c r="FE4" s="19" t="n"/>
      <c r="FF4" s="19" t="n"/>
      <c r="FG4" s="19" t="n"/>
      <c r="FH4" s="19" t="n"/>
      <c r="FI4" s="19" t="n"/>
      <c r="FJ4" s="19" t="n"/>
      <c r="FK4" s="19" t="n"/>
      <c r="FL4" s="19" t="n"/>
      <c r="FM4" s="19" t="n"/>
      <c r="FN4" s="19" t="n"/>
    </row>
    <row r="5">
      <c r="A5" s="39" t="n">
        <v>42125</v>
      </c>
      <c r="C5" t="n">
        <v>141.846</v>
      </c>
      <c r="G5" t="n">
        <v>64.958</v>
      </c>
      <c r="H5" t="n">
        <v>53.074</v>
      </c>
      <c r="K5" t="n">
        <v>43.639</v>
      </c>
      <c r="L5" t="n">
        <v>54.697</v>
      </c>
      <c r="M5" t="n">
        <v>53.547</v>
      </c>
      <c r="O5" t="n">
        <v>51.442</v>
      </c>
      <c r="Q5" t="n">
        <v>43.617</v>
      </c>
    </row>
    <row r="6">
      <c r="A6" s="39" t="n">
        <v>42156</v>
      </c>
      <c r="C6" t="n">
        <v>125.787</v>
      </c>
      <c r="G6" t="n">
        <v>55.528</v>
      </c>
      <c r="H6" t="n">
        <v>56.31</v>
      </c>
      <c r="K6" t="n">
        <v>38.971</v>
      </c>
      <c r="L6" t="n">
        <v>49.09</v>
      </c>
      <c r="M6" t="n">
        <v>48.705</v>
      </c>
      <c r="O6" t="n">
        <v>55.723</v>
      </c>
      <c r="Q6" t="n">
        <v>43.662</v>
      </c>
    </row>
    <row r="7">
      <c r="A7" s="39" t="n">
        <v>42186</v>
      </c>
      <c r="C7" t="n">
        <v>110.345</v>
      </c>
      <c r="G7" t="n">
        <v>49.101</v>
      </c>
      <c r="H7" t="n">
        <v>58.23</v>
      </c>
      <c r="K7" t="n">
        <v>33.035</v>
      </c>
      <c r="L7" t="n">
        <v>52.009</v>
      </c>
      <c r="M7" t="n">
        <v>51.578</v>
      </c>
      <c r="O7" t="n">
        <v>59.45</v>
      </c>
      <c r="Q7" t="n">
        <v>36.572</v>
      </c>
    </row>
    <row r="8">
      <c r="A8" s="39" t="n">
        <v>42217</v>
      </c>
      <c r="C8" t="n">
        <v>97.738</v>
      </c>
      <c r="G8" t="n">
        <v>44.806</v>
      </c>
      <c r="H8" t="n">
        <v>46.45</v>
      </c>
      <c r="K8" t="n">
        <v>29.271</v>
      </c>
      <c r="L8" t="n">
        <v>45.192</v>
      </c>
      <c r="M8" t="n">
        <v>43.886</v>
      </c>
      <c r="O8" t="n">
        <v>43.476</v>
      </c>
      <c r="Q8" t="n">
        <v>36.458</v>
      </c>
    </row>
    <row r="9">
      <c r="A9" s="39" t="n">
        <v>42248</v>
      </c>
      <c r="C9" t="n">
        <v>116.505</v>
      </c>
      <c r="G9" t="n">
        <v>54.485</v>
      </c>
      <c r="H9" t="n">
        <v>42.316</v>
      </c>
      <c r="K9" t="n">
        <v>36.021</v>
      </c>
      <c r="L9" t="n">
        <v>49.427</v>
      </c>
      <c r="M9" t="n">
        <v>47.255</v>
      </c>
      <c r="O9" t="n">
        <v>39.487</v>
      </c>
      <c r="Q9" t="n">
        <v>48.635</v>
      </c>
    </row>
    <row r="10">
      <c r="A10" s="39" t="n">
        <v>42278</v>
      </c>
      <c r="C10" t="n">
        <v>123.06</v>
      </c>
      <c r="G10" t="n">
        <v>58.556</v>
      </c>
      <c r="H10" t="n">
        <v>44.836</v>
      </c>
      <c r="K10" t="n">
        <v>37.719</v>
      </c>
      <c r="L10" t="n">
        <v>50.383</v>
      </c>
      <c r="M10" t="n">
        <v>48.556</v>
      </c>
      <c r="O10" t="n">
        <v>50.839</v>
      </c>
      <c r="Q10" t="n">
        <v>46.67</v>
      </c>
    </row>
    <row r="11">
      <c r="A11" s="39" t="n">
        <v>42309</v>
      </c>
      <c r="C11" t="n">
        <v>135.714</v>
      </c>
      <c r="G11" t="n">
        <v>61.007</v>
      </c>
      <c r="H11" t="n">
        <v>43.407</v>
      </c>
      <c r="K11" t="n">
        <v>41.95</v>
      </c>
      <c r="L11" t="n">
        <v>50.854</v>
      </c>
      <c r="M11" t="n">
        <v>49.486</v>
      </c>
      <c r="O11" t="n">
        <v>44.338</v>
      </c>
      <c r="Q11" t="n">
        <v>47.772</v>
      </c>
    </row>
    <row r="12">
      <c r="A12" s="39" t="n">
        <v>42339</v>
      </c>
      <c r="C12" t="n">
        <v>149.644</v>
      </c>
      <c r="G12" t="n">
        <v>70.04000000000001</v>
      </c>
      <c r="H12" t="n">
        <v>47.977</v>
      </c>
      <c r="K12" t="n">
        <v>46.826</v>
      </c>
      <c r="L12" t="n">
        <v>54.603</v>
      </c>
      <c r="M12" t="n">
        <v>54.02</v>
      </c>
      <c r="O12" t="n">
        <v>44.042</v>
      </c>
      <c r="Q12" t="n">
        <v>49.144</v>
      </c>
    </row>
    <row r="13">
      <c r="A13" s="39" t="n">
        <v>42370</v>
      </c>
      <c r="C13" t="n">
        <v>131.639</v>
      </c>
      <c r="G13" t="n">
        <v>65.905</v>
      </c>
      <c r="H13" t="n">
        <v>43.756</v>
      </c>
      <c r="K13" t="n">
        <v>41.43</v>
      </c>
      <c r="L13" t="n">
        <v>45.126</v>
      </c>
      <c r="M13" t="n">
        <v>44.623</v>
      </c>
      <c r="O13" t="n">
        <v>46.306</v>
      </c>
      <c r="Q13" t="n">
        <v>51.179</v>
      </c>
    </row>
    <row r="14">
      <c r="A14" s="39" t="n">
        <v>42401</v>
      </c>
      <c r="C14" t="n">
        <v>125.631</v>
      </c>
      <c r="G14" t="n">
        <v>57.608</v>
      </c>
      <c r="H14" t="n">
        <v>35.916</v>
      </c>
      <c r="K14" t="n">
        <v>38.433</v>
      </c>
      <c r="L14" t="n">
        <v>44.088</v>
      </c>
      <c r="M14" t="n">
        <v>43.445</v>
      </c>
      <c r="O14" t="n">
        <v>51.081</v>
      </c>
      <c r="Q14" t="n">
        <v>47.302</v>
      </c>
    </row>
    <row r="15">
      <c r="A15" s="39" t="n">
        <v>42430</v>
      </c>
      <c r="C15" t="n">
        <v>142.679</v>
      </c>
      <c r="G15" t="n">
        <v>68.72799999999999</v>
      </c>
      <c r="H15" t="n">
        <v>42.423</v>
      </c>
      <c r="K15" t="n">
        <v>45.265</v>
      </c>
      <c r="L15" t="n">
        <v>53.409</v>
      </c>
      <c r="M15" t="n">
        <v>52.772</v>
      </c>
      <c r="O15" t="n">
        <v>55.817</v>
      </c>
      <c r="Q15" t="n">
        <v>53.985</v>
      </c>
    </row>
    <row r="16">
      <c r="A16" s="39" t="n">
        <v>42461</v>
      </c>
      <c r="C16" t="n">
        <v>132.306</v>
      </c>
      <c r="G16" t="n">
        <v>61.06</v>
      </c>
      <c r="H16" t="n">
        <v>46.96</v>
      </c>
      <c r="K16" t="n">
        <v>39.194</v>
      </c>
      <c r="L16" t="n">
        <v>42.81</v>
      </c>
      <c r="M16" t="n">
        <v>42.199</v>
      </c>
      <c r="O16" t="n">
        <v>55.278</v>
      </c>
      <c r="Q16" t="n">
        <v>48.199</v>
      </c>
    </row>
    <row r="17">
      <c r="A17" s="39" t="n">
        <v>42491</v>
      </c>
      <c r="C17" t="n">
        <v>126.891</v>
      </c>
      <c r="G17" t="n">
        <v>57.448</v>
      </c>
      <c r="H17" t="n">
        <v>53.736</v>
      </c>
      <c r="K17" t="n">
        <v>38.434</v>
      </c>
      <c r="L17" t="n">
        <v>44.374</v>
      </c>
      <c r="M17" t="n">
        <v>43.917</v>
      </c>
      <c r="O17" t="n">
        <v>44.018</v>
      </c>
      <c r="Q17" t="n">
        <v>54.869</v>
      </c>
    </row>
    <row r="18">
      <c r="A18" s="39" t="n">
        <v>42522</v>
      </c>
      <c r="C18" t="n">
        <v>114.374</v>
      </c>
      <c r="G18" t="n">
        <v>51.992</v>
      </c>
      <c r="H18" t="n">
        <v>50.106</v>
      </c>
      <c r="K18" t="n">
        <v>32.182</v>
      </c>
      <c r="L18" t="n">
        <v>37.728</v>
      </c>
      <c r="M18" t="n">
        <v>37.4</v>
      </c>
      <c r="O18" t="n">
        <v>46.009</v>
      </c>
      <c r="Q18" t="n">
        <v>47.026</v>
      </c>
    </row>
    <row r="19">
      <c r="A19" s="39" t="n">
        <v>42552</v>
      </c>
      <c r="H19" t="n">
        <v>34.109</v>
      </c>
      <c r="L19" t="n">
        <v>26.59</v>
      </c>
      <c r="M19" t="n">
        <v>26.18</v>
      </c>
      <c r="O19" t="n">
        <v>37.499</v>
      </c>
      <c r="Q19" t="n">
        <v>43.549</v>
      </c>
    </row>
    <row r="20">
      <c r="A20" s="39" t="n">
        <v>42583</v>
      </c>
      <c r="C20" t="n">
        <v>109.126</v>
      </c>
      <c r="G20" t="n">
        <v>47.094</v>
      </c>
      <c r="H20" t="n">
        <v>22.364</v>
      </c>
      <c r="K20" t="n">
        <v>32.792</v>
      </c>
      <c r="L20" t="n">
        <v>38.906</v>
      </c>
      <c r="M20" t="n">
        <v>38.445</v>
      </c>
      <c r="O20" t="n">
        <v>34.482</v>
      </c>
      <c r="Q20" t="n">
        <v>43.057</v>
      </c>
    </row>
    <row r="21">
      <c r="A21" s="39" t="n">
        <v>42614</v>
      </c>
      <c r="C21" t="n">
        <v>119.113</v>
      </c>
      <c r="G21" t="n">
        <v>54.805</v>
      </c>
      <c r="H21" t="n">
        <v>19.676</v>
      </c>
      <c r="K21" t="n">
        <v>37.298</v>
      </c>
      <c r="L21" t="n">
        <v>38.286</v>
      </c>
      <c r="M21" t="n">
        <v>37.235</v>
      </c>
      <c r="O21" t="n">
        <v>40.747</v>
      </c>
      <c r="Q21" t="n">
        <v>41.547</v>
      </c>
    </row>
    <row r="22">
      <c r="A22" s="39" t="n">
        <v>42644</v>
      </c>
      <c r="C22" t="n">
        <v>141.59</v>
      </c>
      <c r="G22" t="n">
        <v>63.853</v>
      </c>
      <c r="H22" t="n">
        <v>29.753</v>
      </c>
      <c r="K22" t="n">
        <v>42.003</v>
      </c>
      <c r="L22" t="n">
        <v>54.637</v>
      </c>
      <c r="M22" t="n">
        <v>49.851</v>
      </c>
      <c r="O22" t="n">
        <v>39.122</v>
      </c>
      <c r="Q22" t="n">
        <v>47.611</v>
      </c>
    </row>
    <row r="23">
      <c r="A23" s="39" t="n">
        <v>42675</v>
      </c>
      <c r="C23" t="n">
        <v>163.909</v>
      </c>
      <c r="G23" t="n">
        <v>75.937</v>
      </c>
      <c r="H23" t="n">
        <v>34.469</v>
      </c>
      <c r="K23" t="n">
        <v>51.141</v>
      </c>
      <c r="L23" t="n">
        <v>50.007</v>
      </c>
      <c r="M23" t="n">
        <v>48.776</v>
      </c>
      <c r="O23" t="n">
        <v>48.018</v>
      </c>
      <c r="Q23" t="n">
        <v>48.432</v>
      </c>
    </row>
    <row r="24">
      <c r="A24" s="39" t="n">
        <v>42705</v>
      </c>
      <c r="C24" t="n">
        <v>167.631</v>
      </c>
      <c r="G24" t="n">
        <v>76.85299999999999</v>
      </c>
      <c r="H24" t="n">
        <v>33.198</v>
      </c>
      <c r="K24" t="n">
        <v>50.386</v>
      </c>
      <c r="L24" t="n">
        <v>53.081</v>
      </c>
      <c r="M24" t="n">
        <v>51.498</v>
      </c>
      <c r="O24" t="n">
        <v>53.464</v>
      </c>
      <c r="Q24" t="n">
        <v>48.385</v>
      </c>
    </row>
    <row r="25">
      <c r="A25" s="39" t="n">
        <v>42736</v>
      </c>
      <c r="C25" t="n">
        <v>158.515</v>
      </c>
      <c r="G25" t="n">
        <v>71.819</v>
      </c>
      <c r="H25" t="n">
        <v>26.595</v>
      </c>
      <c r="K25" t="n">
        <v>47.923</v>
      </c>
      <c r="L25" t="n">
        <v>46.025</v>
      </c>
      <c r="M25" t="n">
        <v>44.979</v>
      </c>
      <c r="O25" t="n">
        <v>47.935</v>
      </c>
      <c r="Q25" t="n">
        <v>42.143</v>
      </c>
    </row>
    <row r="26">
      <c r="A26" s="39" t="n">
        <v>42767</v>
      </c>
      <c r="C26" t="n">
        <v>152.859</v>
      </c>
      <c r="G26" t="n">
        <v>67.63</v>
      </c>
      <c r="H26" t="n">
        <v>18.465</v>
      </c>
      <c r="K26" t="n">
        <v>47.43</v>
      </c>
      <c r="L26" t="n">
        <v>46.378</v>
      </c>
      <c r="M26" t="n">
        <v>45.281</v>
      </c>
      <c r="O26" t="n">
        <v>42.03</v>
      </c>
      <c r="Q26" t="n">
        <v>43.956</v>
      </c>
    </row>
    <row r="27">
      <c r="A27" s="39" t="n">
        <v>42795</v>
      </c>
      <c r="C27" t="n">
        <v>169.88</v>
      </c>
      <c r="G27" t="n">
        <v>77.648</v>
      </c>
      <c r="H27" t="n">
        <v>19.782</v>
      </c>
      <c r="K27" t="n">
        <v>51.568</v>
      </c>
      <c r="L27" t="n">
        <v>50.515</v>
      </c>
      <c r="M27" t="n">
        <v>49.354</v>
      </c>
      <c r="O27" t="n">
        <v>42.057</v>
      </c>
      <c r="Q27" t="n">
        <v>49.277</v>
      </c>
    </row>
    <row r="28">
      <c r="A28" s="39" t="n">
        <v>42826</v>
      </c>
      <c r="C28" t="n">
        <v>155.733</v>
      </c>
      <c r="G28" t="n">
        <v>69.23999999999999</v>
      </c>
      <c r="H28" t="n">
        <v>31.596</v>
      </c>
      <c r="K28" t="n">
        <v>47.395</v>
      </c>
      <c r="L28" t="n">
        <v>49.667</v>
      </c>
      <c r="M28" t="n">
        <v>48.058</v>
      </c>
      <c r="O28" t="n">
        <v>45.355</v>
      </c>
      <c r="Q28" t="n">
        <v>56.61</v>
      </c>
    </row>
    <row r="29">
      <c r="A29" s="39" t="n">
        <v>42856</v>
      </c>
      <c r="C29" t="n">
        <v>155.704</v>
      </c>
      <c r="G29" t="n">
        <v>67.464</v>
      </c>
      <c r="H29" t="n">
        <v>36.802</v>
      </c>
      <c r="K29" t="n">
        <v>46.922</v>
      </c>
      <c r="L29" t="n">
        <v>35.68</v>
      </c>
      <c r="M29" t="n">
        <v>34.898</v>
      </c>
      <c r="O29" t="n">
        <v>50.11</v>
      </c>
      <c r="Q29" t="n">
        <v>44.537</v>
      </c>
    </row>
    <row r="30">
      <c r="A30" s="39" t="n">
        <v>42887</v>
      </c>
      <c r="C30" t="n">
        <v>144.12</v>
      </c>
      <c r="G30" t="n">
        <v>67.134</v>
      </c>
      <c r="H30" t="n">
        <v>46.58</v>
      </c>
      <c r="K30" t="n">
        <v>43.706</v>
      </c>
      <c r="L30" t="n">
        <v>47.933</v>
      </c>
      <c r="M30" t="n">
        <v>46.38</v>
      </c>
      <c r="O30" t="n">
        <v>42.694</v>
      </c>
      <c r="Q30" t="n">
        <v>49.43</v>
      </c>
    </row>
    <row r="31">
      <c r="A31" s="39" t="n">
        <v>42917</v>
      </c>
      <c r="C31" t="n">
        <v>131.26</v>
      </c>
      <c r="G31" t="n">
        <v>53.645</v>
      </c>
      <c r="H31" t="n">
        <v>39.993</v>
      </c>
      <c r="K31" t="n">
        <v>36</v>
      </c>
      <c r="L31" t="n">
        <v>40.735</v>
      </c>
      <c r="M31" t="n">
        <v>39.141</v>
      </c>
      <c r="O31" t="n">
        <v>51.001</v>
      </c>
      <c r="Q31" t="n">
        <v>41.942</v>
      </c>
    </row>
    <row r="32">
      <c r="A32" s="39" t="n">
        <v>42948</v>
      </c>
      <c r="C32" t="n">
        <v>163.315</v>
      </c>
      <c r="G32" t="n">
        <v>71.27500000000001</v>
      </c>
      <c r="H32" t="n">
        <v>40.923</v>
      </c>
      <c r="K32" t="n">
        <v>46.502</v>
      </c>
      <c r="L32" t="n">
        <v>52.069</v>
      </c>
      <c r="M32" t="n">
        <v>50.362</v>
      </c>
      <c r="O32" t="n">
        <v>46.475</v>
      </c>
      <c r="Q32" t="n">
        <v>46.644</v>
      </c>
    </row>
    <row r="33">
      <c r="A33" s="39" t="n">
        <v>42979</v>
      </c>
      <c r="C33" t="n">
        <v>110.881</v>
      </c>
      <c r="G33" t="n">
        <v>42.795</v>
      </c>
      <c r="H33" t="n">
        <v>27.736</v>
      </c>
      <c r="K33" t="n">
        <v>30.649</v>
      </c>
      <c r="L33" t="n">
        <v>39.936</v>
      </c>
      <c r="M33" t="n">
        <v>38.32</v>
      </c>
      <c r="O33" t="n">
        <v>44.189</v>
      </c>
      <c r="Q33" t="n">
        <v>44.129</v>
      </c>
    </row>
    <row r="34">
      <c r="A34" s="39" t="n">
        <v>43009</v>
      </c>
      <c r="C34" t="n">
        <v>158.687</v>
      </c>
      <c r="G34" t="n">
        <v>70.892</v>
      </c>
      <c r="H34" t="n">
        <v>23.459</v>
      </c>
      <c r="K34" t="n">
        <v>47.196</v>
      </c>
      <c r="L34" t="n">
        <v>55.356</v>
      </c>
      <c r="M34" t="n">
        <v>53.329</v>
      </c>
      <c r="O34" t="n">
        <v>45.295</v>
      </c>
      <c r="Q34" t="n">
        <v>56.158</v>
      </c>
    </row>
    <row r="35">
      <c r="A35" s="39" t="n">
        <v>43040</v>
      </c>
      <c r="C35" t="n">
        <v>174.179</v>
      </c>
      <c r="G35" t="n">
        <v>76.81</v>
      </c>
      <c r="H35" t="n">
        <v>22.798</v>
      </c>
      <c r="K35" t="n">
        <v>52.356</v>
      </c>
      <c r="L35" t="n">
        <v>46.813</v>
      </c>
      <c r="M35" t="n">
        <v>45.544</v>
      </c>
      <c r="O35" t="n">
        <v>44.463</v>
      </c>
      <c r="Q35" t="n">
        <v>54.426</v>
      </c>
    </row>
    <row r="36">
      <c r="A36" s="39" t="n">
        <v>43070</v>
      </c>
      <c r="C36" t="n">
        <v>172.655</v>
      </c>
      <c r="G36" t="n">
        <v>78.349</v>
      </c>
      <c r="H36" t="n">
        <v>15.132</v>
      </c>
      <c r="K36" t="n">
        <v>50.621</v>
      </c>
      <c r="L36" t="n">
        <v>56.65</v>
      </c>
      <c r="M36" t="n">
        <v>54.747</v>
      </c>
      <c r="O36" t="n">
        <v>54.325</v>
      </c>
      <c r="Q36" t="n">
        <v>53.755</v>
      </c>
    </row>
    <row r="37">
      <c r="A37" s="39" t="n">
        <v>43101</v>
      </c>
      <c r="C37" t="n">
        <v>164.724</v>
      </c>
      <c r="G37" t="n">
        <v>73.544</v>
      </c>
      <c r="H37" t="n">
        <v>10.242</v>
      </c>
      <c r="K37" t="n">
        <v>47.16</v>
      </c>
      <c r="L37" t="n">
        <v>43.259</v>
      </c>
      <c r="M37" t="n">
        <v>42.078</v>
      </c>
      <c r="O37" t="n">
        <v>47.285</v>
      </c>
      <c r="Q37" t="n">
        <v>54.15</v>
      </c>
    </row>
    <row r="38">
      <c r="A38" s="39" t="n">
        <v>43132</v>
      </c>
      <c r="C38" t="n">
        <v>154.702</v>
      </c>
      <c r="G38" t="n">
        <v>71.96299999999999</v>
      </c>
      <c r="H38" t="n">
        <v>10.123</v>
      </c>
      <c r="K38" t="n">
        <v>48.252</v>
      </c>
      <c r="L38" t="n">
        <v>50.576</v>
      </c>
      <c r="M38" t="n">
        <v>49.024</v>
      </c>
      <c r="O38" t="n">
        <v>47.407</v>
      </c>
      <c r="Q38" t="n">
        <v>57.187</v>
      </c>
    </row>
    <row r="39">
      <c r="A39" s="39" t="n">
        <v>43160</v>
      </c>
      <c r="C39" t="n">
        <v>151.913</v>
      </c>
      <c r="G39" t="n">
        <v>73.505</v>
      </c>
      <c r="H39" t="n">
        <v>10.429</v>
      </c>
      <c r="K39" t="n">
        <v>48.788</v>
      </c>
      <c r="L39" t="n">
        <v>50.364</v>
      </c>
      <c r="M39" t="n">
        <v>48.78</v>
      </c>
      <c r="O39" t="n">
        <v>49.363</v>
      </c>
      <c r="Q39" t="n">
        <v>59.02</v>
      </c>
    </row>
    <row r="40">
      <c r="A40" s="39" t="n">
        <v>43191</v>
      </c>
      <c r="C40" t="n">
        <v>141.895</v>
      </c>
      <c r="G40" t="n">
        <v>61.531</v>
      </c>
      <c r="H40" t="n">
        <v>12.053</v>
      </c>
      <c r="K40" t="n">
        <v>40.917</v>
      </c>
      <c r="L40" t="n">
        <v>41.81</v>
      </c>
      <c r="M40" t="n">
        <v>40.262</v>
      </c>
      <c r="O40" t="n">
        <v>46.405</v>
      </c>
      <c r="Q40" t="n">
        <v>53.631</v>
      </c>
    </row>
    <row r="41">
      <c r="A41" s="39" t="n">
        <v>43221</v>
      </c>
      <c r="C41" t="n">
        <v>166.3</v>
      </c>
      <c r="G41" t="n">
        <v>70.946</v>
      </c>
      <c r="H41" t="n">
        <v>21.899</v>
      </c>
      <c r="K41" t="n">
        <v>49.346</v>
      </c>
      <c r="L41" t="n">
        <v>52.426</v>
      </c>
      <c r="M41" t="n">
        <v>50.637</v>
      </c>
      <c r="O41" t="n">
        <v>58.025</v>
      </c>
      <c r="Q41" t="n">
        <v>49.74</v>
      </c>
    </row>
    <row r="42">
      <c r="A42" s="39" t="n">
        <v>43252</v>
      </c>
      <c r="C42" t="n">
        <v>156.503</v>
      </c>
      <c r="G42" t="n">
        <v>69.496</v>
      </c>
      <c r="H42" t="n">
        <v>29.621</v>
      </c>
      <c r="K42" t="n">
        <v>46.28</v>
      </c>
      <c r="L42" t="n">
        <v>48.971</v>
      </c>
      <c r="M42" t="n">
        <v>47.313</v>
      </c>
      <c r="O42" t="n">
        <v>48.342</v>
      </c>
      <c r="Q42" t="n">
        <v>50.319</v>
      </c>
    </row>
    <row r="43">
      <c r="A43" s="39" t="n">
        <v>43282</v>
      </c>
      <c r="C43" t="n">
        <v>137.822</v>
      </c>
      <c r="G43" t="n">
        <v>58.47</v>
      </c>
      <c r="H43" t="n">
        <v>26.787</v>
      </c>
      <c r="K43" t="n">
        <v>39.854</v>
      </c>
      <c r="L43" t="n">
        <v>44.043</v>
      </c>
      <c r="M43" t="n">
        <v>42.32</v>
      </c>
      <c r="O43" t="n">
        <v>50.619</v>
      </c>
      <c r="Q43" t="n">
        <v>42.142</v>
      </c>
    </row>
    <row r="44">
      <c r="A44" s="39" t="n">
        <v>43313</v>
      </c>
      <c r="C44" t="n">
        <v>177.9</v>
      </c>
      <c r="G44" t="n">
        <v>76.941</v>
      </c>
      <c r="H44" t="n">
        <v>35.732</v>
      </c>
      <c r="K44" t="n">
        <v>49.724</v>
      </c>
      <c r="L44" t="n">
        <v>47.121</v>
      </c>
      <c r="M44" t="n">
        <v>45.625</v>
      </c>
      <c r="O44" t="n">
        <v>53.071</v>
      </c>
      <c r="Q44" t="n">
        <v>32.5</v>
      </c>
    </row>
    <row r="45">
      <c r="A45" s="39" t="n">
        <v>43344</v>
      </c>
      <c r="C45" t="n">
        <v>157.504</v>
      </c>
      <c r="G45" t="n">
        <v>62.185</v>
      </c>
      <c r="H45" t="n">
        <v>44.809</v>
      </c>
      <c r="K45" t="n">
        <v>40.807</v>
      </c>
      <c r="L45" t="n">
        <v>44.742</v>
      </c>
      <c r="M45" t="n">
        <v>43.278</v>
      </c>
      <c r="O45" t="n">
        <v>49.876</v>
      </c>
      <c r="Q45" t="n">
        <v>32.087</v>
      </c>
    </row>
    <row r="46">
      <c r="A46" s="39" t="n">
        <v>43374</v>
      </c>
      <c r="C46" t="n">
        <v>164.484</v>
      </c>
      <c r="G46" t="n">
        <v>71.169</v>
      </c>
      <c r="H46" t="n">
        <v>51.389</v>
      </c>
      <c r="K46" t="n">
        <v>44.386</v>
      </c>
      <c r="L46" t="n">
        <v>49.442</v>
      </c>
      <c r="M46" t="n">
        <v>47.889</v>
      </c>
      <c r="O46" t="n">
        <v>49.523</v>
      </c>
      <c r="Q46" t="n">
        <v>29.617</v>
      </c>
    </row>
    <row r="47">
      <c r="A47" s="39" t="n">
        <v>43405</v>
      </c>
      <c r="C47" t="n">
        <v>159.198</v>
      </c>
      <c r="G47" t="n">
        <v>65.71299999999999</v>
      </c>
      <c r="H47" t="n">
        <v>45.379</v>
      </c>
      <c r="K47" t="n">
        <v>44.709</v>
      </c>
      <c r="L47" t="n">
        <v>50.636</v>
      </c>
      <c r="M47" t="n">
        <v>48.8</v>
      </c>
      <c r="O47" t="n">
        <v>50.049</v>
      </c>
      <c r="Q47" t="n">
        <v>29.348</v>
      </c>
    </row>
    <row r="48">
      <c r="A48" s="39" t="n">
        <v>43435</v>
      </c>
      <c r="C48" t="n">
        <v>164.636</v>
      </c>
      <c r="G48" t="n">
        <v>72.57899999999999</v>
      </c>
      <c r="H48" t="n">
        <v>39.731</v>
      </c>
      <c r="K48" t="n">
        <v>40.867</v>
      </c>
      <c r="L48" t="n">
        <v>45.709</v>
      </c>
      <c r="M48" t="n">
        <v>44.162</v>
      </c>
      <c r="O48" t="n">
        <v>45.266</v>
      </c>
      <c r="Q48" t="n">
        <v>31.421</v>
      </c>
    </row>
    <row r="49">
      <c r="A49" s="39" t="n">
        <v>43466</v>
      </c>
      <c r="C49" t="n">
        <v>167.644</v>
      </c>
      <c r="G49" t="n">
        <v>79.973</v>
      </c>
      <c r="H49" t="n">
        <v>37.16</v>
      </c>
      <c r="K49" t="n">
        <v>48.266</v>
      </c>
      <c r="L49" t="n">
        <v>51.521</v>
      </c>
      <c r="M49" t="n">
        <v>49.952</v>
      </c>
      <c r="O49" t="n">
        <v>50.486</v>
      </c>
      <c r="Q49" t="n">
        <v>27.101</v>
      </c>
    </row>
    <row r="50">
      <c r="A50" s="39" t="n">
        <v>43497</v>
      </c>
      <c r="C50" t="n">
        <v>136.983</v>
      </c>
      <c r="G50" t="n">
        <v>66.16800000000001</v>
      </c>
      <c r="H50" t="n">
        <v>39.684</v>
      </c>
      <c r="K50" t="n">
        <v>35.153</v>
      </c>
      <c r="L50" t="n">
        <v>38.224</v>
      </c>
      <c r="M50" t="n">
        <v>36.862</v>
      </c>
      <c r="O50" t="n">
        <v>40.861</v>
      </c>
      <c r="Q50" t="n">
        <v>28.123</v>
      </c>
    </row>
    <row r="51">
      <c r="A51" s="39" t="n">
        <v>43525</v>
      </c>
      <c r="C51" t="n">
        <v>158.413</v>
      </c>
      <c r="G51" t="n">
        <v>69.935</v>
      </c>
      <c r="H51" t="n">
        <v>23.696</v>
      </c>
      <c r="K51" t="n">
        <v>42.226</v>
      </c>
      <c r="L51" t="n">
        <v>47.265</v>
      </c>
      <c r="M51" t="n">
        <v>45.661</v>
      </c>
      <c r="O51" t="n">
        <v>46.799</v>
      </c>
      <c r="Q51" t="n">
        <v>31.736</v>
      </c>
    </row>
    <row r="52">
      <c r="A52" s="39" t="n">
        <v>43556</v>
      </c>
      <c r="C52" t="n">
        <v>133.625</v>
      </c>
      <c r="G52" t="n">
        <v>59.88</v>
      </c>
      <c r="H52" t="n">
        <v>25.748</v>
      </c>
      <c r="K52" t="n">
        <v>37.831</v>
      </c>
      <c r="L52" t="n">
        <v>36.511</v>
      </c>
      <c r="M52" t="n">
        <v>35.354</v>
      </c>
      <c r="O52" t="n">
        <v>41.118</v>
      </c>
      <c r="Q52" t="n">
        <v>27.367</v>
      </c>
    </row>
    <row r="53">
      <c r="A53" s="39" t="n">
        <v>43586</v>
      </c>
      <c r="C53" t="n">
        <v>121.057</v>
      </c>
      <c r="G53" t="n">
        <v>55.708</v>
      </c>
      <c r="H53" t="n">
        <v>34.563</v>
      </c>
      <c r="K53" t="n">
        <v>31.983</v>
      </c>
      <c r="L53" t="n">
        <v>39.742</v>
      </c>
      <c r="M53" t="n">
        <v>38.462</v>
      </c>
      <c r="O53" t="n">
        <v>47.041</v>
      </c>
      <c r="Q53" t="n">
        <v>20.945</v>
      </c>
    </row>
    <row r="54">
      <c r="A54" s="39" t="n">
        <v>43617</v>
      </c>
      <c r="C54" t="n">
        <v>122.379</v>
      </c>
      <c r="G54" t="n">
        <v>55.097</v>
      </c>
      <c r="H54" t="n">
        <v>48.402</v>
      </c>
      <c r="K54" t="n">
        <v>35.572</v>
      </c>
      <c r="L54" t="n">
        <v>41.564</v>
      </c>
      <c r="M54" t="n">
        <v>40.296</v>
      </c>
      <c r="O54" t="n">
        <v>38.672</v>
      </c>
      <c r="Q54" t="n">
        <v>24.596</v>
      </c>
    </row>
    <row r="55">
      <c r="A55" s="39" t="n">
        <v>43647</v>
      </c>
      <c r="C55" t="n">
        <v>96.586</v>
      </c>
      <c r="G55" t="n">
        <v>43.108</v>
      </c>
      <c r="H55" t="n">
        <v>39.228</v>
      </c>
      <c r="K55" t="n">
        <v>24.978</v>
      </c>
      <c r="L55" t="n">
        <v>35.114</v>
      </c>
      <c r="M55" t="n">
        <v>33.981</v>
      </c>
      <c r="O55" t="n">
        <v>37.448</v>
      </c>
      <c r="Q55" t="n">
        <v>19.094</v>
      </c>
    </row>
    <row r="56">
      <c r="A56" s="39" t="n">
        <v>43678</v>
      </c>
      <c r="C56" t="n">
        <v>132.991</v>
      </c>
      <c r="G56" t="n">
        <v>51.699</v>
      </c>
      <c r="H56" t="n">
        <v>40.074</v>
      </c>
      <c r="K56" t="n">
        <v>34.377</v>
      </c>
      <c r="L56" t="n">
        <v>40.849</v>
      </c>
      <c r="M56" t="n">
        <v>39.573</v>
      </c>
      <c r="O56" t="n">
        <v>44.74</v>
      </c>
      <c r="Q56" t="n">
        <v>18.203</v>
      </c>
    </row>
    <row r="57">
      <c r="A57" s="39" t="n">
        <v>43709</v>
      </c>
      <c r="C57" t="n">
        <v>132.202</v>
      </c>
      <c r="G57" t="n">
        <v>56.536</v>
      </c>
      <c r="H57" t="n">
        <v>43</v>
      </c>
      <c r="K57" t="n">
        <v>35.425</v>
      </c>
      <c r="L57" t="n">
        <v>42.085</v>
      </c>
      <c r="M57" t="n">
        <v>40.728</v>
      </c>
      <c r="O57" t="n">
        <v>38.362</v>
      </c>
      <c r="Q57" t="n">
        <v>19.901</v>
      </c>
    </row>
    <row r="58">
      <c r="A58" s="39" t="n">
        <v>43739</v>
      </c>
      <c r="C58" t="n">
        <v>145.485</v>
      </c>
      <c r="G58" t="n">
        <v>67.94199999999999</v>
      </c>
      <c r="H58" t="n">
        <v>36.31</v>
      </c>
      <c r="K58" t="n">
        <v>39.876</v>
      </c>
      <c r="L58" t="n">
        <v>44.145</v>
      </c>
      <c r="M58" t="n">
        <v>42.663</v>
      </c>
      <c r="O58" t="n">
        <v>44.235</v>
      </c>
      <c r="Q58" t="n">
        <v>22.131</v>
      </c>
    </row>
    <row r="59">
      <c r="A59" s="39" t="n">
        <v>43770</v>
      </c>
      <c r="C59" t="n">
        <v>166.802</v>
      </c>
      <c r="G59" t="n">
        <v>83.584</v>
      </c>
      <c r="H59" t="n">
        <v>37.279</v>
      </c>
      <c r="K59" t="n">
        <v>46.501</v>
      </c>
      <c r="L59" t="n">
        <v>42.46</v>
      </c>
      <c r="M59" t="n">
        <v>41.245</v>
      </c>
      <c r="O59" t="n">
        <v>36.762</v>
      </c>
      <c r="Q59" t="n">
        <v>28.744</v>
      </c>
    </row>
    <row r="60">
      <c r="A60" s="39" t="n">
        <v>43800</v>
      </c>
      <c r="C60" t="n">
        <v>180.224</v>
      </c>
      <c r="G60" t="n">
        <v>81.474</v>
      </c>
      <c r="H60" t="n">
        <v>30.833</v>
      </c>
      <c r="K60" t="n">
        <v>50.329</v>
      </c>
      <c r="L60" t="n">
        <v>53.311</v>
      </c>
      <c r="M60" t="n">
        <v>51.626</v>
      </c>
      <c r="O60" t="n">
        <v>46.476</v>
      </c>
      <c r="Q60" t="n">
        <v>30.272</v>
      </c>
    </row>
    <row r="61">
      <c r="A61" s="39" t="n">
        <v>43831</v>
      </c>
      <c r="C61" t="n">
        <v>156.04</v>
      </c>
      <c r="G61" t="n">
        <v>68.92400000000001</v>
      </c>
      <c r="H61" t="n">
        <v>20.752</v>
      </c>
      <c r="K61" t="n">
        <v>44.333</v>
      </c>
      <c r="L61" t="n">
        <v>44.568</v>
      </c>
      <c r="M61" t="n">
        <v>43.282</v>
      </c>
      <c r="O61" t="n">
        <v>47.72</v>
      </c>
      <c r="Q61" t="n">
        <v>24.878</v>
      </c>
    </row>
    <row r="62">
      <c r="A62" s="39" t="n">
        <v>43862</v>
      </c>
      <c r="C62" t="n">
        <v>158</v>
      </c>
      <c r="G62" t="n">
        <v>72.583</v>
      </c>
      <c r="H62" t="n">
        <v>25.466</v>
      </c>
      <c r="K62" t="n">
        <v>46.793</v>
      </c>
      <c r="L62" t="n">
        <v>40.316</v>
      </c>
      <c r="M62" t="n">
        <v>39.113</v>
      </c>
      <c r="O62" t="n">
        <v>34.479</v>
      </c>
      <c r="Q62" t="n">
        <v>31.465</v>
      </c>
    </row>
    <row r="63">
      <c r="A63" s="39" t="n">
        <v>43891</v>
      </c>
      <c r="C63" t="n">
        <v>157.799</v>
      </c>
      <c r="G63" t="n">
        <v>70.76000000000001</v>
      </c>
      <c r="H63" t="n">
        <v>24.175</v>
      </c>
      <c r="K63" t="n">
        <v>43.497</v>
      </c>
      <c r="L63" t="n">
        <v>44.506</v>
      </c>
      <c r="M63" t="n">
        <v>43.096</v>
      </c>
      <c r="O63" t="n">
        <v>41.144</v>
      </c>
      <c r="Q63" t="n">
        <v>32.83</v>
      </c>
    </row>
    <row r="64">
      <c r="A64" s="39" t="n">
        <v>43922</v>
      </c>
      <c r="C64" t="n">
        <v>142.392</v>
      </c>
      <c r="G64" t="n">
        <v>62.741</v>
      </c>
      <c r="H64" t="n">
        <v>23.198</v>
      </c>
      <c r="K64" t="n">
        <v>40.994</v>
      </c>
      <c r="L64" t="n">
        <v>36.567</v>
      </c>
      <c r="M64" t="n">
        <v>35.541</v>
      </c>
      <c r="O64" t="n">
        <v>30.304</v>
      </c>
      <c r="Q64" t="n">
        <v>38.495</v>
      </c>
    </row>
    <row r="65">
      <c r="A65" s="39" t="n">
        <v>43952</v>
      </c>
      <c r="C65" t="n">
        <v>93.72499999999999</v>
      </c>
      <c r="G65" t="n">
        <v>39.903</v>
      </c>
      <c r="H65" t="n">
        <v>18.182</v>
      </c>
      <c r="K65" t="n">
        <v>26.346</v>
      </c>
      <c r="L65" t="n">
        <v>36.733</v>
      </c>
      <c r="M65" t="n">
        <v>35.514</v>
      </c>
      <c r="O65" t="n">
        <v>34.259</v>
      </c>
      <c r="Q65" t="n">
        <v>39.389</v>
      </c>
    </row>
    <row r="66">
      <c r="A66" s="39" t="n">
        <v>43983</v>
      </c>
      <c r="C66" t="n">
        <v>130.788</v>
      </c>
      <c r="G66" t="n">
        <v>62.368</v>
      </c>
      <c r="H66" t="n">
        <v>22.527</v>
      </c>
      <c r="K66" t="n">
        <v>37.559</v>
      </c>
      <c r="L66" t="n">
        <v>41.39</v>
      </c>
      <c r="M66" t="n">
        <v>40.048</v>
      </c>
      <c r="O66" t="n">
        <v>41.355</v>
      </c>
      <c r="Q66" t="n">
        <v>40.179</v>
      </c>
    </row>
    <row r="67">
      <c r="A67" s="39" t="n">
        <v>44013</v>
      </c>
      <c r="C67" t="n">
        <v>115.562</v>
      </c>
      <c r="G67" t="n">
        <v>47.302</v>
      </c>
      <c r="H67" t="n">
        <v>19.27</v>
      </c>
      <c r="K67" t="n">
        <v>29.158</v>
      </c>
      <c r="L67" t="n">
        <v>38.589</v>
      </c>
      <c r="M67" t="n">
        <v>37.205</v>
      </c>
      <c r="O67" t="n">
        <v>44.878</v>
      </c>
      <c r="Q67" t="n">
        <v>34.243</v>
      </c>
    </row>
    <row r="68">
      <c r="A68" s="39" t="n">
        <v>44044</v>
      </c>
      <c r="C68" t="n">
        <v>138.562</v>
      </c>
      <c r="G68" t="n">
        <v>61.29</v>
      </c>
      <c r="H68" t="n">
        <v>23.827</v>
      </c>
      <c r="K68" t="n">
        <v>38.257</v>
      </c>
      <c r="L68" t="n">
        <v>40.587</v>
      </c>
      <c r="M68" t="n">
        <v>39.34</v>
      </c>
      <c r="O68" t="n">
        <v>45.385</v>
      </c>
      <c r="Q68" t="n">
        <v>29.404</v>
      </c>
    </row>
    <row r="69">
      <c r="A69" s="39" t="n">
        <v>44075</v>
      </c>
      <c r="C69" t="n">
        <v>148.955</v>
      </c>
      <c r="G69" t="n">
        <v>61.105</v>
      </c>
      <c r="H69" t="n">
        <v>24.872</v>
      </c>
      <c r="K69" t="n">
        <v>37.705</v>
      </c>
      <c r="L69" t="n">
        <v>38.576</v>
      </c>
      <c r="M69" t="n">
        <v>37.592</v>
      </c>
      <c r="O69" t="n">
        <v>39.531</v>
      </c>
      <c r="Q69" t="n">
        <v>27.939</v>
      </c>
    </row>
    <row r="70">
      <c r="A70" s="39" t="n">
        <v>44105</v>
      </c>
      <c r="C70" t="n">
        <v>141.299</v>
      </c>
      <c r="G70" t="n">
        <v>64.119</v>
      </c>
      <c r="H70" t="n">
        <v>24.069</v>
      </c>
      <c r="K70" t="n">
        <v>40.744</v>
      </c>
      <c r="L70" t="n">
        <v>43.771</v>
      </c>
      <c r="M70" t="n">
        <v>42.457</v>
      </c>
      <c r="O70" t="n">
        <v>46.724</v>
      </c>
      <c r="Q70" t="n">
        <v>25.19</v>
      </c>
    </row>
    <row r="71">
      <c r="A71" s="39" t="n">
        <v>44136</v>
      </c>
      <c r="C71" t="n">
        <v>142.892</v>
      </c>
      <c r="G71" t="n">
        <v>62.962</v>
      </c>
      <c r="H71" t="n">
        <v>18.951</v>
      </c>
      <c r="K71" t="n">
        <v>38.619</v>
      </c>
      <c r="L71" t="n">
        <v>45.649</v>
      </c>
      <c r="M71" t="n">
        <v>44.106</v>
      </c>
      <c r="O71" t="n">
        <v>36.494</v>
      </c>
      <c r="Q71" t="n">
        <v>33.522</v>
      </c>
    </row>
    <row r="72">
      <c r="A72" s="39" t="n">
        <v>44166</v>
      </c>
      <c r="C72" t="n">
        <v>158.998</v>
      </c>
      <c r="G72" t="n">
        <v>69.92700000000001</v>
      </c>
      <c r="H72" t="n">
        <v>15.677</v>
      </c>
      <c r="K72" t="n">
        <v>42.474</v>
      </c>
      <c r="L72" t="n">
        <v>35.697</v>
      </c>
      <c r="M72" t="n">
        <v>34.654</v>
      </c>
      <c r="O72" t="n">
        <v>44.584</v>
      </c>
      <c r="Q72" t="n">
        <v>24.337</v>
      </c>
    </row>
    <row r="73">
      <c r="A73" s="39" t="n">
        <v>44197</v>
      </c>
      <c r="C73" t="n">
        <v>139.266</v>
      </c>
      <c r="G73" t="n">
        <v>59.258</v>
      </c>
      <c r="H73" t="n">
        <v>13.461</v>
      </c>
      <c r="K73" t="n">
        <v>37.848</v>
      </c>
      <c r="L73" t="n">
        <v>41.233</v>
      </c>
      <c r="M73" t="n">
        <v>39.883</v>
      </c>
      <c r="O73" t="n">
        <v>38.392</v>
      </c>
      <c r="Q73" t="n">
        <v>26.047</v>
      </c>
    </row>
    <row r="74">
      <c r="A74" s="39" t="n">
        <v>44228</v>
      </c>
      <c r="C74" t="n">
        <v>104.256</v>
      </c>
      <c r="G74" t="n">
        <v>49.642</v>
      </c>
      <c r="H74" t="n">
        <v>18.617</v>
      </c>
      <c r="K74" t="n">
        <v>30.911</v>
      </c>
      <c r="L74" t="n">
        <v>25.578</v>
      </c>
      <c r="M74" t="n">
        <v>24.925</v>
      </c>
      <c r="O74" t="n">
        <v>34.426</v>
      </c>
      <c r="Q74" t="n">
        <v>16.212</v>
      </c>
    </row>
    <row r="75">
      <c r="A75" s="39" t="n">
        <v>44256</v>
      </c>
      <c r="C75" t="n">
        <v>161.253</v>
      </c>
      <c r="G75" t="n">
        <v>70.175</v>
      </c>
      <c r="H75" t="n">
        <v>20.345</v>
      </c>
      <c r="K75" t="n">
        <v>43.654</v>
      </c>
      <c r="L75" t="n">
        <v>44.452</v>
      </c>
      <c r="M75" t="n">
        <v>43.209</v>
      </c>
      <c r="O75" t="n">
        <v>40.352</v>
      </c>
      <c r="Q75" t="n">
        <v>20.989</v>
      </c>
    </row>
    <row r="76">
      <c r="A76" s="39" t="n">
        <v>44287</v>
      </c>
      <c r="C76" t="n">
        <v>95.786</v>
      </c>
      <c r="G76" t="n">
        <v>43.8</v>
      </c>
      <c r="H76" t="n">
        <v>18.773</v>
      </c>
      <c r="K76" t="n">
        <v>27.788</v>
      </c>
      <c r="L76" t="n">
        <v>34.124</v>
      </c>
      <c r="M76" t="n">
        <v>32.897</v>
      </c>
      <c r="O76" t="n">
        <v>35.826</v>
      </c>
      <c r="Q76" t="n">
        <v>19.092</v>
      </c>
    </row>
    <row r="77">
      <c r="A77" s="39" t="n">
        <v>44317</v>
      </c>
      <c r="C77" t="n">
        <v>125.509</v>
      </c>
      <c r="G77" t="n">
        <v>55.035</v>
      </c>
      <c r="H77" t="n">
        <v>36.756</v>
      </c>
      <c r="K77" t="n">
        <v>34.224</v>
      </c>
      <c r="L77" t="n">
        <v>41.001</v>
      </c>
      <c r="M77" t="n">
        <v>39.835</v>
      </c>
      <c r="O77" t="n">
        <v>39.62</v>
      </c>
      <c r="Q77" t="n">
        <v>18.746</v>
      </c>
    </row>
    <row r="78">
      <c r="A78" s="39" t="n">
        <v>44348</v>
      </c>
      <c r="C78" t="n">
        <v>109.373</v>
      </c>
      <c r="G78" t="n">
        <v>46.8</v>
      </c>
      <c r="H78" t="n">
        <v>46.459</v>
      </c>
      <c r="K78" t="n">
        <v>29.336</v>
      </c>
      <c r="L78" t="n">
        <v>40.291</v>
      </c>
      <c r="M78" t="n">
        <v>39.868</v>
      </c>
      <c r="O78" t="n">
        <v>41.656</v>
      </c>
      <c r="Q78" t="n">
        <v>17.786</v>
      </c>
    </row>
    <row r="79">
      <c r="A79" s="39" t="n">
        <v>44378</v>
      </c>
      <c r="C79" t="n">
        <v>96.59399999999999</v>
      </c>
      <c r="G79" t="n">
        <v>41.717</v>
      </c>
      <c r="H79" t="n">
        <v>50.527</v>
      </c>
      <c r="K79" t="n">
        <v>24.274</v>
      </c>
      <c r="L79" t="n">
        <v>33.274</v>
      </c>
      <c r="M79" t="n">
        <v>32.855</v>
      </c>
      <c r="O79" t="n">
        <v>36.807</v>
      </c>
      <c r="Q79" t="n">
        <v>14.55</v>
      </c>
    </row>
    <row r="80">
      <c r="A80" s="39" t="n">
        <v>44409</v>
      </c>
      <c r="C80" t="n">
        <v>115.263</v>
      </c>
      <c r="G80" t="n">
        <v>49.598</v>
      </c>
      <c r="H80" t="n">
        <v>57.833</v>
      </c>
      <c r="K80" t="n">
        <v>27.982</v>
      </c>
      <c r="L80" t="n">
        <v>34.605</v>
      </c>
      <c r="M80" t="n">
        <v>33.445</v>
      </c>
      <c r="O80" t="n">
        <v>34.929</v>
      </c>
      <c r="Q80" t="n">
        <v>13.605</v>
      </c>
    </row>
    <row r="81">
      <c r="A81" s="39" t="n">
        <v>44440</v>
      </c>
      <c r="C81" t="n">
        <v>83.03</v>
      </c>
      <c r="G81" t="n">
        <v>35.538</v>
      </c>
      <c r="H81" t="n">
        <v>39.306</v>
      </c>
      <c r="K81" t="n">
        <v>22.064</v>
      </c>
      <c r="L81" t="n">
        <v>24.609</v>
      </c>
      <c r="M81" t="n">
        <v>23.799</v>
      </c>
      <c r="O81" t="n">
        <v>24.241</v>
      </c>
      <c r="Q81" t="n">
        <v>13.527</v>
      </c>
    </row>
    <row r="82">
      <c r="A82" s="39" t="n">
        <v>44470</v>
      </c>
      <c r="C82" t="n">
        <v>110.594</v>
      </c>
      <c r="G82" t="n">
        <v>49.627</v>
      </c>
      <c r="H82" t="n">
        <v>38.529</v>
      </c>
      <c r="K82" t="n">
        <v>30.632</v>
      </c>
      <c r="L82" t="n">
        <v>38.665</v>
      </c>
      <c r="M82" t="n">
        <v>37.586</v>
      </c>
      <c r="O82" t="n">
        <v>34.064</v>
      </c>
      <c r="Q82" t="n">
        <v>19.552</v>
      </c>
    </row>
    <row r="83">
      <c r="A83" s="39" t="n">
        <v>44501</v>
      </c>
      <c r="C83" t="n">
        <v>135.48</v>
      </c>
      <c r="G83" t="n">
        <v>58.686</v>
      </c>
      <c r="H83" t="n">
        <v>40.931</v>
      </c>
      <c r="K83" t="n">
        <v>35.172</v>
      </c>
      <c r="L83" t="n">
        <v>33.14</v>
      </c>
      <c r="M83" t="n">
        <v>32.28</v>
      </c>
      <c r="O83" t="n">
        <v>37.695</v>
      </c>
      <c r="Q83" t="n">
        <v>15.901</v>
      </c>
    </row>
    <row r="84">
      <c r="A84" s="39" t="n">
        <v>44531</v>
      </c>
      <c r="C84" t="n">
        <v>147.664</v>
      </c>
      <c r="G84" t="n">
        <v>62.493</v>
      </c>
      <c r="H84" t="n">
        <v>33.667</v>
      </c>
      <c r="K84" t="n">
        <v>41.365</v>
      </c>
      <c r="L84" t="n">
        <v>54.528</v>
      </c>
      <c r="M84" t="n">
        <v>53.078</v>
      </c>
      <c r="O84" t="n">
        <v>46.222</v>
      </c>
      <c r="Q84" t="n">
        <v>23.275</v>
      </c>
    </row>
    <row r="85">
      <c r="A85" s="39" t="n">
        <v>44562</v>
      </c>
      <c r="C85" t="n">
        <v>137.324</v>
      </c>
      <c r="G85" t="n">
        <v>60.587</v>
      </c>
      <c r="H85" t="n">
        <v>23.122</v>
      </c>
      <c r="K85" t="n">
        <v>36.453</v>
      </c>
      <c r="L85" t="n">
        <v>40.408</v>
      </c>
      <c r="M85" t="n">
        <v>39.382</v>
      </c>
      <c r="O85" t="n">
        <v>44.859</v>
      </c>
      <c r="Q85" t="n">
        <v>22.857</v>
      </c>
    </row>
    <row r="86">
      <c r="A86" s="39" t="n">
        <v>44593</v>
      </c>
      <c r="C86" t="n">
        <v>143.834</v>
      </c>
      <c r="G86" t="n">
        <v>62.357</v>
      </c>
      <c r="H86" t="n">
        <v>17.442</v>
      </c>
      <c r="K86" t="n">
        <v>40.353</v>
      </c>
      <c r="L86" t="n">
        <v>45.186</v>
      </c>
      <c r="M86" t="n">
        <v>44.334</v>
      </c>
      <c r="O86" t="n">
        <v>41.071</v>
      </c>
      <c r="Q86" t="n">
        <v>25.311</v>
      </c>
    </row>
    <row r="87">
      <c r="A87" s="39" t="n">
        <v>44621</v>
      </c>
      <c r="C87" t="n">
        <v>132.455</v>
      </c>
      <c r="G87" t="n">
        <v>56.954</v>
      </c>
      <c r="H87" t="n">
        <v>8.593</v>
      </c>
      <c r="K87" t="n">
        <v>34.759</v>
      </c>
      <c r="L87" t="n">
        <v>48.588</v>
      </c>
      <c r="M87" t="n">
        <v>47.266</v>
      </c>
      <c r="O87" t="n">
        <v>46.454</v>
      </c>
      <c r="Q87" t="n">
        <v>25.086</v>
      </c>
    </row>
    <row r="88">
      <c r="A88" s="39" t="n">
        <v>44652</v>
      </c>
      <c r="C88" t="n">
        <v>126.849</v>
      </c>
      <c r="G88" t="n">
        <v>56.677</v>
      </c>
      <c r="H88" t="n">
        <v>10.93</v>
      </c>
      <c r="K88" t="n">
        <v>35.304</v>
      </c>
      <c r="L88" t="n">
        <v>43.107</v>
      </c>
      <c r="M88" t="n">
        <v>42.014</v>
      </c>
      <c r="O88" t="n">
        <v>43.418</v>
      </c>
      <c r="Q88" t="n">
        <v>24.748</v>
      </c>
    </row>
    <row r="89">
      <c r="A89" s="39" t="n">
        <v>44682</v>
      </c>
      <c r="C89" t="n">
        <v>145.6</v>
      </c>
      <c r="G89" t="n">
        <v>62.212</v>
      </c>
      <c r="H89" t="n">
        <v>11.439</v>
      </c>
      <c r="K89" t="n">
        <v>39.626</v>
      </c>
      <c r="L89" t="n">
        <v>39.037</v>
      </c>
      <c r="M89" t="n">
        <v>37.984</v>
      </c>
      <c r="O89" t="n">
        <v>41.429</v>
      </c>
      <c r="Q89" t="n">
        <v>22.368</v>
      </c>
    </row>
    <row r="90">
      <c r="A90" s="39" t="n">
        <v>44713</v>
      </c>
      <c r="C90" t="n">
        <v>152.41</v>
      </c>
      <c r="G90" t="n">
        <v>64.715</v>
      </c>
      <c r="H90" t="n">
        <v>22.277</v>
      </c>
      <c r="K90" t="n">
        <v>40.413</v>
      </c>
      <c r="L90" t="n">
        <v>43.435</v>
      </c>
      <c r="M90" t="n">
        <v>42.447</v>
      </c>
      <c r="O90" t="n">
        <v>43.647</v>
      </c>
      <c r="Q90" t="n">
        <v>23.281</v>
      </c>
    </row>
    <row r="91">
      <c r="A91" s="39" t="n">
        <v>44743</v>
      </c>
      <c r="C91" t="n">
        <v>126.481</v>
      </c>
      <c r="G91" t="n">
        <v>53.922</v>
      </c>
      <c r="H91" t="n">
        <v>24.177</v>
      </c>
      <c r="K91" t="n">
        <v>33.305</v>
      </c>
      <c r="L91" t="n">
        <v>38.963</v>
      </c>
      <c r="M91" t="n">
        <v>37.644</v>
      </c>
      <c r="O91" t="n">
        <v>38.511</v>
      </c>
      <c r="Q91" t="n">
        <v>23.466</v>
      </c>
    </row>
    <row r="92">
      <c r="A92" s="39" t="n">
        <v>44774</v>
      </c>
      <c r="C92" t="n">
        <v>125.126</v>
      </c>
      <c r="G92" t="n">
        <v>54.218</v>
      </c>
      <c r="H92" t="n">
        <v>20.497</v>
      </c>
      <c r="K92" t="n">
        <v>34.87</v>
      </c>
      <c r="M92" t="n">
        <v>47.22</v>
      </c>
      <c r="O92" t="n">
        <v>42.559</v>
      </c>
      <c r="Q92" t="n">
        <v>28.938</v>
      </c>
    </row>
    <row r="93">
      <c r="A93" s="39" t="n">
        <v>44805</v>
      </c>
      <c r="H93" t="n">
        <v>22.316</v>
      </c>
      <c r="O93" t="n">
        <v>34.079</v>
      </c>
      <c r="Q93" t="n">
        <v>23.698</v>
      </c>
    </row>
    <row r="94">
      <c r="A94" s="39" t="n">
        <v>44835</v>
      </c>
      <c r="C94" t="n">
        <v>113.241</v>
      </c>
      <c r="G94" t="n">
        <v>51.726</v>
      </c>
      <c r="H94" t="n">
        <v>36.122</v>
      </c>
      <c r="K94" t="n">
        <v>29.255</v>
      </c>
      <c r="L94" t="n">
        <v>40.965</v>
      </c>
      <c r="M94" t="n">
        <v>39.833</v>
      </c>
      <c r="O94" t="n">
        <v>32.272</v>
      </c>
      <c r="Q94" t="n">
        <v>31.66</v>
      </c>
    </row>
    <row r="95">
      <c r="A95" s="39" t="n">
        <v>44866</v>
      </c>
      <c r="C95" t="n">
        <v>128.907</v>
      </c>
      <c r="G95" t="n">
        <v>51.071</v>
      </c>
      <c r="H95" t="n">
        <v>36.043</v>
      </c>
      <c r="K95" t="n">
        <v>33.921</v>
      </c>
      <c r="L95" t="n">
        <v>38.141</v>
      </c>
      <c r="M95" t="n">
        <v>37.089</v>
      </c>
      <c r="O95" t="n">
        <v>34.201</v>
      </c>
      <c r="Q95" t="n">
        <v>35.119</v>
      </c>
    </row>
    <row r="96">
      <c r="A96" s="39" t="n">
        <v>44896</v>
      </c>
      <c r="C96" t="n">
        <v>116.905</v>
      </c>
      <c r="G96" t="n">
        <v>48.103</v>
      </c>
      <c r="H96" t="n">
        <v>31.286</v>
      </c>
      <c r="K96" t="n">
        <v>32.247</v>
      </c>
      <c r="L96" t="n">
        <v>27.617</v>
      </c>
      <c r="M96" t="n">
        <v>27.03</v>
      </c>
      <c r="O96" t="n">
        <v>30.73</v>
      </c>
      <c r="Q96" t="n">
        <v>31.793</v>
      </c>
    </row>
    <row r="97">
      <c r="A97" s="39" t="n">
        <v>44927</v>
      </c>
      <c r="C97" t="n">
        <v>135.468</v>
      </c>
      <c r="G97" t="n">
        <v>59.707</v>
      </c>
      <c r="H97" t="n">
        <v>28.677</v>
      </c>
      <c r="K97" t="n">
        <v>35.898</v>
      </c>
      <c r="L97" t="n">
        <v>37.978</v>
      </c>
      <c r="M97" t="n">
        <v>37.157</v>
      </c>
      <c r="O97" t="n">
        <v>34.839</v>
      </c>
      <c r="Q97" t="n">
        <v>34.245</v>
      </c>
    </row>
    <row r="98">
      <c r="A98" s="39" t="n">
        <v>44958</v>
      </c>
      <c r="C98" t="n">
        <v>127.037</v>
      </c>
      <c r="G98" t="n">
        <v>52.32</v>
      </c>
      <c r="H98" t="n">
        <v>23.208</v>
      </c>
      <c r="K98" t="n">
        <v>35.674</v>
      </c>
      <c r="L98" t="n">
        <v>35.631</v>
      </c>
      <c r="M98" t="n">
        <v>34.778</v>
      </c>
      <c r="O98" t="n">
        <v>36.027</v>
      </c>
      <c r="Q98" t="n">
        <v>34.549</v>
      </c>
    </row>
    <row r="99">
      <c r="A99" s="39" t="n">
        <v>44986</v>
      </c>
      <c r="C99" t="n">
        <v>136.88</v>
      </c>
      <c r="G99" t="n">
        <v>55.723</v>
      </c>
      <c r="H99" t="n">
        <v>23.316</v>
      </c>
      <c r="K99" t="n">
        <v>33.483</v>
      </c>
      <c r="L99" t="n">
        <v>32.132</v>
      </c>
      <c r="M99" t="n">
        <v>31.507</v>
      </c>
      <c r="O99" t="n">
        <v>28.335</v>
      </c>
      <c r="Q99" t="n">
        <v>38.214</v>
      </c>
    </row>
    <row r="100">
      <c r="A100" s="39" t="n">
        <v>45017</v>
      </c>
      <c r="C100" t="n">
        <v>115.598</v>
      </c>
      <c r="G100" t="n">
        <v>47.837</v>
      </c>
      <c r="H100" t="n">
        <v>32.277</v>
      </c>
      <c r="K100" t="n">
        <v>34.139</v>
      </c>
      <c r="L100" t="n">
        <v>32.39</v>
      </c>
      <c r="M100" t="n">
        <v>31.613</v>
      </c>
      <c r="O100" t="n">
        <v>31.01</v>
      </c>
      <c r="Q100" t="n">
        <v>39.105</v>
      </c>
    </row>
    <row r="101">
      <c r="A101" s="39" t="n">
        <v>45047</v>
      </c>
      <c r="C101" t="n">
        <v>77.09999999999999</v>
      </c>
      <c r="G101" t="n">
        <v>36.517</v>
      </c>
      <c r="H101" t="n">
        <v>32.32</v>
      </c>
      <c r="K101" t="n">
        <v>24.744</v>
      </c>
      <c r="L101" t="n">
        <v>25.64</v>
      </c>
      <c r="M101" t="n">
        <v>24.814</v>
      </c>
      <c r="O101" t="n">
        <v>35.364</v>
      </c>
      <c r="Q101" t="n">
        <v>28.969</v>
      </c>
    </row>
    <row r="102">
      <c r="A102" s="39" t="n">
        <v>45078</v>
      </c>
      <c r="C102" t="n">
        <v>112.069</v>
      </c>
      <c r="G102" t="n">
        <v>46.755</v>
      </c>
      <c r="H102" t="n">
        <v>44.954</v>
      </c>
      <c r="K102" t="n">
        <v>28.808</v>
      </c>
      <c r="L102" t="n">
        <v>29.985</v>
      </c>
      <c r="M102" t="n">
        <v>29.262</v>
      </c>
      <c r="O102" t="n">
        <v>28.622</v>
      </c>
      <c r="Q102" t="n">
        <v>31.031</v>
      </c>
    </row>
    <row r="103">
      <c r="A103" s="39" t="n">
        <v>45108</v>
      </c>
      <c r="C103" t="n">
        <v>85.306</v>
      </c>
      <c r="G103" t="n">
        <v>33.807</v>
      </c>
      <c r="H103" t="n">
        <v>33.863</v>
      </c>
      <c r="K103" t="n">
        <v>22.061</v>
      </c>
      <c r="L103" t="n">
        <v>26.595</v>
      </c>
      <c r="M103" t="n">
        <v>25.774</v>
      </c>
      <c r="O103" t="n">
        <v>32.537</v>
      </c>
      <c r="Q103" t="n">
        <v>24.997</v>
      </c>
    </row>
    <row r="104">
      <c r="A104" s="39" t="n">
        <v>45139</v>
      </c>
      <c r="C104" t="n">
        <v>114.845</v>
      </c>
      <c r="G104" t="n">
        <v>52.983</v>
      </c>
      <c r="H104" t="n">
        <v>35.775</v>
      </c>
      <c r="K104" t="n">
        <v>26.651</v>
      </c>
      <c r="L104" t="n">
        <v>30.096</v>
      </c>
      <c r="M104" t="n">
        <v>29.401</v>
      </c>
      <c r="O104" t="n">
        <v>29.774</v>
      </c>
      <c r="Q104" t="n">
        <v>25.25</v>
      </c>
    </row>
    <row r="105">
      <c r="A105" s="39" t="n">
        <v>45170</v>
      </c>
      <c r="C105" t="n">
        <v>116.03</v>
      </c>
      <c r="G105" t="n">
        <v>52.968</v>
      </c>
      <c r="H105" t="n">
        <v>32.561</v>
      </c>
      <c r="K105" t="n">
        <v>28.397</v>
      </c>
      <c r="L105" t="n">
        <v>37.556</v>
      </c>
      <c r="M105" t="n">
        <v>36.499</v>
      </c>
      <c r="O105" t="n">
        <v>39.879</v>
      </c>
      <c r="Q105" t="n">
        <v>22.137</v>
      </c>
    </row>
    <row r="106">
      <c r="A106" s="39" t="n">
        <v>45200</v>
      </c>
      <c r="C106" t="n">
        <v>140.441</v>
      </c>
      <c r="G106" t="n">
        <v>58.103</v>
      </c>
      <c r="H106" t="n">
        <v>31.781</v>
      </c>
      <c r="K106" t="n">
        <v>38.286</v>
      </c>
      <c r="L106" t="n">
        <v>35.925</v>
      </c>
      <c r="M106" t="n">
        <v>34.958</v>
      </c>
      <c r="O106" t="n">
        <v>28.795</v>
      </c>
      <c r="Q106" t="n">
        <v>29.184</v>
      </c>
    </row>
    <row r="107">
      <c r="A107" s="39" t="n">
        <v>45231</v>
      </c>
      <c r="C107" t="n">
        <v>116.56</v>
      </c>
      <c r="G107" t="n">
        <v>50.801</v>
      </c>
      <c r="H107" t="n">
        <v>29.93</v>
      </c>
      <c r="K107" t="n">
        <v>31.122</v>
      </c>
      <c r="L107" t="n">
        <v>27.198</v>
      </c>
      <c r="M107" t="n">
        <v>26.63</v>
      </c>
      <c r="O107" t="n">
        <v>27.223</v>
      </c>
      <c r="Q107" t="n">
        <v>27.843</v>
      </c>
    </row>
    <row r="108">
      <c r="A108" s="39" t="n">
        <v>45261</v>
      </c>
      <c r="C108" t="n">
        <v>133.563</v>
      </c>
      <c r="G108" t="n">
        <v>57.121</v>
      </c>
      <c r="H108" t="n">
        <v>27.93</v>
      </c>
      <c r="K108" t="n">
        <v>35.464</v>
      </c>
      <c r="L108" t="n">
        <v>32.754</v>
      </c>
      <c r="M108" t="n">
        <v>32.029</v>
      </c>
      <c r="O108" t="n">
        <v>28.198</v>
      </c>
      <c r="Q108" t="n">
        <v>33.364</v>
      </c>
    </row>
    <row r="109">
      <c r="A109" s="39" t="n">
        <v>45292</v>
      </c>
      <c r="C109" t="n">
        <v>126.481</v>
      </c>
      <c r="G109" t="n">
        <v>55.894</v>
      </c>
      <c r="H109" t="n">
        <v>21.649</v>
      </c>
      <c r="K109" t="n">
        <v>32.876</v>
      </c>
      <c r="L109" t="n">
        <v>25.732</v>
      </c>
      <c r="M109" t="n">
        <v>25.278</v>
      </c>
      <c r="O109" t="n">
        <v>27.462</v>
      </c>
      <c r="Q109" t="n">
        <v>32.134</v>
      </c>
    </row>
    <row r="110">
      <c r="A110" s="39" t="n">
        <v>45323</v>
      </c>
      <c r="C110" t="n">
        <v>143.599</v>
      </c>
      <c r="G110" t="n">
        <v>60.635</v>
      </c>
      <c r="H110" t="n">
        <v>13.327</v>
      </c>
      <c r="K110" t="n">
        <v>40.648</v>
      </c>
      <c r="L110" t="n">
        <v>43.199</v>
      </c>
      <c r="M110" t="n">
        <v>42.133</v>
      </c>
      <c r="O110" t="n">
        <v>32.199</v>
      </c>
      <c r="Q110" t="n">
        <v>43.251</v>
      </c>
    </row>
    <row r="111">
      <c r="A111" s="39" t="n">
        <v>45352</v>
      </c>
      <c r="C111" t="n">
        <v>132.168</v>
      </c>
      <c r="G111" t="n">
        <v>53.34</v>
      </c>
      <c r="H111" t="n">
        <v>20.41</v>
      </c>
      <c r="K111" t="n">
        <v>36.934</v>
      </c>
      <c r="L111" t="n">
        <v>40.686</v>
      </c>
      <c r="M111" t="n">
        <v>39.524</v>
      </c>
      <c r="O111" t="n">
        <v>34.129</v>
      </c>
      <c r="Q111" t="n">
        <v>49.068</v>
      </c>
    </row>
    <row r="112">
      <c r="A112" s="39" t="n">
        <v>45383</v>
      </c>
      <c r="C112" t="n">
        <v>87.783</v>
      </c>
      <c r="G112" t="n">
        <v>39.421</v>
      </c>
      <c r="H112" t="n">
        <v>14.874</v>
      </c>
      <c r="K112" t="n">
        <v>25.623</v>
      </c>
      <c r="L112" t="n">
        <v>28.858</v>
      </c>
      <c r="M112" t="n">
        <v>27.968</v>
      </c>
      <c r="O112" t="n">
        <v>31.508</v>
      </c>
      <c r="Q112" t="n">
        <v>45.743</v>
      </c>
    </row>
    <row r="113">
      <c r="A113" s="39" t="n">
        <v>45413</v>
      </c>
      <c r="C113" t="n">
        <v>99.61</v>
      </c>
      <c r="G113" t="n">
        <v>45.679</v>
      </c>
      <c r="H113" t="n">
        <v>26.066</v>
      </c>
      <c r="K113" t="n">
        <v>28.123</v>
      </c>
      <c r="L113" t="n">
        <v>31.696</v>
      </c>
      <c r="M113" t="n">
        <v>30.854</v>
      </c>
      <c r="O113" t="n">
        <v>35.612</v>
      </c>
      <c r="Q113" t="n">
        <v>41.66</v>
      </c>
    </row>
    <row r="114">
      <c r="A114" s="39" t="n">
        <v>45444</v>
      </c>
      <c r="C114" t="n">
        <v>76.152</v>
      </c>
      <c r="G114" t="n">
        <v>33.677</v>
      </c>
      <c r="H114" t="n">
        <v>28.965</v>
      </c>
      <c r="K114" t="n">
        <v>19.614</v>
      </c>
      <c r="L114" t="n">
        <v>30.94</v>
      </c>
      <c r="M114" t="n">
        <v>30.125</v>
      </c>
      <c r="O114" t="n">
        <v>33.526</v>
      </c>
      <c r="Q114" t="n">
        <v>36.373</v>
      </c>
    </row>
    <row r="115">
      <c r="A115" s="39" t="n">
        <v>45474</v>
      </c>
      <c r="C115" t="n">
        <v>84.691</v>
      </c>
      <c r="G115" t="n">
        <v>35.275</v>
      </c>
      <c r="H115" t="n">
        <v>29.86</v>
      </c>
      <c r="K115" t="n">
        <v>22.231</v>
      </c>
      <c r="L115" t="n">
        <v>34.067</v>
      </c>
      <c r="M115" t="n">
        <v>32.848</v>
      </c>
      <c r="O115" t="n">
        <v>36.672</v>
      </c>
      <c r="Q115" t="n">
        <v>33.121</v>
      </c>
    </row>
    <row r="116">
      <c r="A116" s="39" t="n">
        <v>45505</v>
      </c>
      <c r="C116" t="n">
        <v>101.995</v>
      </c>
      <c r="G116" t="n">
        <v>44.538</v>
      </c>
      <c r="H116" t="n">
        <v>37.355</v>
      </c>
      <c r="K116" t="n">
        <v>25.858</v>
      </c>
      <c r="L116" t="n">
        <v>34.264</v>
      </c>
      <c r="M116" t="n">
        <v>33.249</v>
      </c>
      <c r="O116" t="n">
        <v>33.608</v>
      </c>
      <c r="Q116" t="n">
        <v>33.943</v>
      </c>
    </row>
    <row r="117">
      <c r="A117" s="39" t="n">
        <v>45536</v>
      </c>
      <c r="C117" t="n">
        <v>80.55200000000001</v>
      </c>
      <c r="G117" t="n">
        <v>33.955</v>
      </c>
      <c r="H117" t="n">
        <v>34.509</v>
      </c>
      <c r="K117" t="n">
        <v>21.926</v>
      </c>
      <c r="L117" t="n">
        <v>25.889</v>
      </c>
      <c r="M117" t="n">
        <v>25.163</v>
      </c>
      <c r="O117" t="n">
        <v>32.182</v>
      </c>
      <c r="Q117" t="n">
        <v>27.493</v>
      </c>
    </row>
    <row r="118">
      <c r="A118" s="39" t="n">
        <v>45566</v>
      </c>
      <c r="C118" t="n">
        <v>110.813</v>
      </c>
      <c r="G118" t="n">
        <v>50.395</v>
      </c>
      <c r="H118" t="n">
        <v>31.166</v>
      </c>
      <c r="K118" t="n">
        <v>27.809</v>
      </c>
      <c r="L118" t="n">
        <v>39.776</v>
      </c>
      <c r="M118" t="n">
        <v>38.665</v>
      </c>
      <c r="O118" t="n">
        <v>36.605</v>
      </c>
      <c r="Q118" t="n">
        <v>30.995</v>
      </c>
    </row>
    <row r="119">
      <c r="A119" s="39" t="n">
        <v>45597</v>
      </c>
      <c r="C119" t="n">
        <v>126.075</v>
      </c>
      <c r="G119" t="n">
        <v>60.803</v>
      </c>
      <c r="H119" t="n">
        <v>44.359</v>
      </c>
      <c r="K119" t="n">
        <v>30.147</v>
      </c>
      <c r="L119" t="n">
        <v>42.055</v>
      </c>
      <c r="M119" t="n">
        <v>40.837</v>
      </c>
      <c r="O119" t="n">
        <v>35.536</v>
      </c>
      <c r="Q119" t="n">
        <v>36.366</v>
      </c>
    </row>
    <row r="120">
      <c r="A120" s="39" t="n">
        <v>45627</v>
      </c>
      <c r="C120" t="n">
        <v>105.944</v>
      </c>
      <c r="G120" t="n">
        <v>48.55</v>
      </c>
      <c r="H120" t="n">
        <v>41.65</v>
      </c>
      <c r="K120" t="n">
        <v>28.571</v>
      </c>
      <c r="L120" t="n">
        <v>31.076</v>
      </c>
      <c r="M120" t="n">
        <v>30.307</v>
      </c>
      <c r="O120" t="n">
        <v>32.417</v>
      </c>
      <c r="Q120" t="n">
        <v>35.115</v>
      </c>
    </row>
    <row r="121">
      <c r="A121" s="39" t="n">
        <v>45658</v>
      </c>
      <c r="C121" t="n">
        <v>116.063</v>
      </c>
      <c r="G121" t="n">
        <v>52.167</v>
      </c>
      <c r="H121" t="n">
        <v>34.979</v>
      </c>
      <c r="K121" t="n">
        <v>30.431</v>
      </c>
      <c r="L121" t="n">
        <v>34.765</v>
      </c>
      <c r="M121" t="n">
        <v>33.799</v>
      </c>
      <c r="O121" t="n">
        <v>35.514</v>
      </c>
      <c r="Q121" t="n">
        <v>35.23</v>
      </c>
    </row>
    <row r="122">
      <c r="A122" s="39" t="n">
        <v>45689</v>
      </c>
      <c r="C122" t="n">
        <v>116.922</v>
      </c>
      <c r="G122" t="n">
        <v>54.219</v>
      </c>
      <c r="H122" t="n">
        <v>45.627</v>
      </c>
      <c r="K122" t="n">
        <v>29.39</v>
      </c>
      <c r="L122" t="n">
        <v>32.543</v>
      </c>
      <c r="M122" t="n">
        <v>31.785</v>
      </c>
      <c r="O122" t="n">
        <v>32.698</v>
      </c>
      <c r="Q122" t="n">
        <v>36.364</v>
      </c>
    </row>
    <row r="123">
      <c r="A123" s="39" t="n">
        <v>45717</v>
      </c>
      <c r="C123" t="n">
        <v>95.081</v>
      </c>
      <c r="G123" t="n">
        <v>42.136</v>
      </c>
      <c r="H123" t="n">
        <v>38.003</v>
      </c>
      <c r="K123" t="n">
        <v>24.49</v>
      </c>
      <c r="L123" t="n">
        <v>32.734</v>
      </c>
      <c r="M123" t="n">
        <v>31.836</v>
      </c>
      <c r="O123" t="n">
        <v>29.816</v>
      </c>
      <c r="Q123" t="n">
        <v>40.897</v>
      </c>
    </row>
    <row r="124">
      <c r="A124" s="39" t="n">
        <v>45748</v>
      </c>
      <c r="C124" t="n">
        <v>79.026</v>
      </c>
      <c r="G124" t="n">
        <v>33.825</v>
      </c>
      <c r="H124" t="n">
        <v>37.264</v>
      </c>
      <c r="K124" t="n">
        <v>22.241</v>
      </c>
      <c r="L124" t="n">
        <v>25.518</v>
      </c>
      <c r="M124" t="n">
        <v>24.735</v>
      </c>
      <c r="O124" t="n">
        <v>31.457</v>
      </c>
      <c r="Q124" t="n">
        <v>34.287</v>
      </c>
    </row>
    <row r="125">
      <c r="A125" s="39" t="n">
        <v>45778</v>
      </c>
      <c r="C125" t="n">
        <v>89.22199999999999</v>
      </c>
      <c r="G125" t="n">
        <v>34.352</v>
      </c>
      <c r="H125" t="n">
        <v>36.451</v>
      </c>
      <c r="K125" t="n">
        <v>22.245</v>
      </c>
      <c r="L125" t="n">
        <v>29.708</v>
      </c>
      <c r="M125" t="n">
        <v>29.065</v>
      </c>
      <c r="O125" t="n">
        <v>38.66</v>
      </c>
      <c r="Q125" t="n">
        <v>37.653</v>
      </c>
    </row>
    <row r="126">
      <c r="A126" s="39" t="n">
        <v>45809</v>
      </c>
      <c r="C126" t="n">
        <v>81.20399999999999</v>
      </c>
      <c r="G126" t="n">
        <v>36.941</v>
      </c>
      <c r="H126" t="n">
        <v>40.308</v>
      </c>
      <c r="K126" t="n">
        <v>19.457</v>
      </c>
      <c r="L126" t="n">
        <v>27.028</v>
      </c>
      <c r="M126" t="n">
        <v>26.352</v>
      </c>
      <c r="O126" t="n">
        <v>39.147</v>
      </c>
      <c r="Q126" t="n">
        <v>28.9</v>
      </c>
    </row>
    <row r="127">
      <c r="A127" s="39" t="n">
        <v>45839</v>
      </c>
      <c r="C127" t="n">
        <v>91.923</v>
      </c>
      <c r="G127" t="n">
        <v>38.702</v>
      </c>
      <c r="H127" t="n">
        <v>46.797</v>
      </c>
      <c r="K127" t="n">
        <v>23.856</v>
      </c>
      <c r="L127" t="n">
        <v>29.632</v>
      </c>
      <c r="M127" t="n">
        <v>28.819</v>
      </c>
      <c r="O127" t="n">
        <v>37.859</v>
      </c>
      <c r="Q127" t="n">
        <v>27.576</v>
      </c>
    </row>
    <row r="128">
      <c r="A128" s="39" t="n">
        <v>45870</v>
      </c>
      <c r="C128" t="n">
        <v>78.52800000000001</v>
      </c>
      <c r="G128" t="n">
        <v>36.43</v>
      </c>
      <c r="H128" t="n">
        <v>49.409</v>
      </c>
      <c r="K128" t="n">
        <v>18.731</v>
      </c>
      <c r="L128" t="n">
        <v>19.902</v>
      </c>
      <c r="M128" t="n">
        <v>19.395</v>
      </c>
      <c r="O128" t="n">
        <v>32.595</v>
      </c>
      <c r="Q128" t="n">
        <v>20.936</v>
      </c>
    </row>
    <row r="129">
      <c r="A129" s="39" t="n">
        <v>45901</v>
      </c>
      <c r="C129" t="n">
        <v>44.402</v>
      </c>
      <c r="G129" t="n">
        <v>22.814</v>
      </c>
      <c r="H129" t="n">
        <v>33.71</v>
      </c>
      <c r="K129" t="n">
        <v>11.869</v>
      </c>
      <c r="L129" t="n">
        <v>16.205</v>
      </c>
      <c r="M129" t="n">
        <v>15.71</v>
      </c>
      <c r="O129" t="n">
        <v>26.548</v>
      </c>
      <c r="Q129" t="n">
        <v>14.826</v>
      </c>
    </row>
    <row r="130">
      <c r="A130" s="39" t="n">
        <v>45931</v>
      </c>
      <c r="C130" t="n">
        <v>70.544</v>
      </c>
      <c r="G130" t="n">
        <v>33.274</v>
      </c>
      <c r="H130" t="n">
        <v>25.653</v>
      </c>
      <c r="K130" t="n">
        <v>18.648</v>
      </c>
      <c r="L130" t="n">
        <v>27.074</v>
      </c>
      <c r="M130" t="n">
        <v>26.384</v>
      </c>
      <c r="O130" t="n">
        <v>30.691</v>
      </c>
      <c r="Q130" t="n">
        <v>17.518</v>
      </c>
    </row>
    <row r="131">
      <c r="A131" s="39" t="n">
        <v>45962</v>
      </c>
      <c r="C131" t="n">
        <v>99.386</v>
      </c>
      <c r="G131" t="n">
        <v>46.119</v>
      </c>
      <c r="H131" t="n">
        <v>21.183</v>
      </c>
      <c r="K131" t="n">
        <v>29.525</v>
      </c>
      <c r="L131" t="n">
        <v>32.184</v>
      </c>
      <c r="M131" t="n">
        <v>31.37</v>
      </c>
      <c r="O131" t="n">
        <v>30.4</v>
      </c>
      <c r="Q131" t="n">
        <v>31.261</v>
      </c>
    </row>
    <row r="132">
      <c r="A132" s="39" t="n">
        <v>45992</v>
      </c>
      <c r="C132" t="n">
        <v>84.506</v>
      </c>
      <c r="G132" t="n">
        <v>38.487</v>
      </c>
      <c r="H132" t="n">
        <v>14.749</v>
      </c>
      <c r="K132" t="n">
        <v>21.745</v>
      </c>
      <c r="L132" t="n">
        <v>25.115</v>
      </c>
      <c r="M132" t="n">
        <v>24.545</v>
      </c>
      <c r="O132" t="n">
        <v>31.47</v>
      </c>
      <c r="Q132" t="n">
        <v>31.399</v>
      </c>
    </row>
    <row r="133">
      <c r="A133" s="39" t="n">
        <v>46023</v>
      </c>
      <c r="C133" t="n">
        <v>61.22</v>
      </c>
      <c r="G133" t="n">
        <v>26.505</v>
      </c>
      <c r="H133" t="n">
        <v>11.75</v>
      </c>
      <c r="K133" t="n">
        <v>16.514</v>
      </c>
      <c r="L133" t="n">
        <v>23.031</v>
      </c>
      <c r="M133" t="n">
        <v>22.406</v>
      </c>
      <c r="O133" t="n">
        <v>32.07</v>
      </c>
      <c r="Q133" t="n">
        <v>30.593</v>
      </c>
    </row>
    <row r="134">
      <c r="A134" s="39" t="n">
        <v>46054</v>
      </c>
    </row>
    <row r="135">
      <c r="A135" s="39" t="n">
        <v>46082</v>
      </c>
    </row>
    <row r="136">
      <c r="A136" s="39" t="n">
        <v>46113</v>
      </c>
    </row>
    <row r="137">
      <c r="A137" s="39" t="n">
        <v>46143</v>
      </c>
    </row>
    <row r="138">
      <c r="A138" s="39" t="n">
        <v>46174</v>
      </c>
    </row>
    <row r="139">
      <c r="A139" s="39" t="n">
        <v>46204</v>
      </c>
    </row>
    <row r="140">
      <c r="A140" s="39" t="n">
        <v>46235</v>
      </c>
    </row>
    <row r="141">
      <c r="A141" s="39" t="n">
        <v>46266</v>
      </c>
    </row>
    <row r="142">
      <c r="A142" s="39" t="n">
        <v>46296</v>
      </c>
    </row>
    <row r="143">
      <c r="A143" s="39" t="n">
        <v>46327</v>
      </c>
    </row>
    <row r="144">
      <c r="A144" s="39" t="n">
        <v>46357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A1:M571"/>
  <sheetViews>
    <sheetView workbookViewId="0">
      <pane xSplit="1" ySplit="3" topLeftCell="B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10" customWidth="1" min="1" max="1"/>
    <col width="12" customWidth="1" min="2" max="14"/>
  </cols>
  <sheetData>
    <row r="1">
      <c r="B1" s="57" t="inlineStr">
        <is>
          <t>Peanuts</t>
        </is>
      </c>
      <c r="E1" s="57" t="inlineStr">
        <is>
          <t>Peanut Meal</t>
        </is>
      </c>
      <c r="I1" s="57" t="inlineStr">
        <is>
          <t>Peanut Oil</t>
        </is>
      </c>
    </row>
    <row r="2">
      <c r="A2" s="58" t="inlineStr">
        <is>
          <t>Date</t>
        </is>
      </c>
      <c r="B2" s="58" t="inlineStr">
        <is>
          <t>Crush</t>
        </is>
      </c>
      <c r="C2" s="58" t="inlineStr">
        <is>
          <t>Stocks at Mills</t>
        </is>
      </c>
      <c r="E2" s="58" t="inlineStr">
        <is>
          <t>Production</t>
        </is>
      </c>
      <c r="F2" s="58" t="inlineStr">
        <is>
          <t>Stocks</t>
        </is>
      </c>
      <c r="G2" s="58" t="inlineStr">
        <is>
          <t>Yield</t>
        </is>
      </c>
      <c r="I2" s="58" t="inlineStr">
        <is>
          <t>Crude Production</t>
        </is>
      </c>
      <c r="J2" s="58" t="inlineStr">
        <is>
          <t>Crude Stocks</t>
        </is>
      </c>
      <c r="K2" s="58" t="inlineStr">
        <is>
          <t>Refined Stocks</t>
        </is>
      </c>
      <c r="L2" s="58" t="inlineStr">
        <is>
          <t>Total Stocks</t>
        </is>
      </c>
      <c r="M2" s="58" t="inlineStr">
        <is>
          <t>Yield</t>
        </is>
      </c>
    </row>
    <row r="3">
      <c r="B3" s="59" t="inlineStr">
        <is>
          <t>000 ST</t>
        </is>
      </c>
      <c r="C3" s="59" t="inlineStr">
        <is>
          <t>000 ST</t>
        </is>
      </c>
      <c r="E3" s="59" t="inlineStr">
        <is>
          <t>000 ST</t>
        </is>
      </c>
      <c r="F3" s="59" t="inlineStr">
        <is>
          <t>000 ST</t>
        </is>
      </c>
      <c r="G3" s="59" t="inlineStr">
        <is>
          <t>000 ST</t>
        </is>
      </c>
      <c r="I3" s="59" t="inlineStr">
        <is>
          <t>mil lbs</t>
        </is>
      </c>
      <c r="J3" s="59" t="inlineStr">
        <is>
          <t>mil lbs</t>
        </is>
      </c>
      <c r="K3" s="59" t="inlineStr">
        <is>
          <t>mil lbs</t>
        </is>
      </c>
      <c r="L3" s="59" t="inlineStr">
        <is>
          <t>mil lbs</t>
        </is>
      </c>
      <c r="M3" s="59" t="inlineStr">
        <is>
          <t>mil lbs</t>
        </is>
      </c>
    </row>
    <row r="4">
      <c r="A4" s="60" t="n">
        <v>29099</v>
      </c>
    </row>
    <row r="5">
      <c r="A5" s="60" t="n">
        <v>29129</v>
      </c>
    </row>
    <row r="6">
      <c r="A6" s="60" t="n">
        <v>29160</v>
      </c>
    </row>
    <row r="7">
      <c r="A7" s="60" t="n">
        <v>29190</v>
      </c>
    </row>
    <row r="8">
      <c r="A8" s="60" t="n">
        <v>29221</v>
      </c>
    </row>
    <row r="9">
      <c r="A9" s="60" t="n">
        <v>29252</v>
      </c>
    </row>
    <row r="10">
      <c r="A10" s="60" t="n">
        <v>29281</v>
      </c>
    </row>
    <row r="11">
      <c r="A11" s="60" t="n">
        <v>29312</v>
      </c>
    </row>
    <row r="12">
      <c r="A12" s="60" t="n">
        <v>29342</v>
      </c>
    </row>
    <row r="13">
      <c r="A13" s="60" t="n">
        <v>29373</v>
      </c>
    </row>
    <row r="14">
      <c r="A14" s="60" t="n">
        <v>29403</v>
      </c>
    </row>
    <row r="15">
      <c r="A15" s="60" t="n">
        <v>29434</v>
      </c>
    </row>
    <row r="16">
      <c r="A16" s="60" t="n">
        <v>29465</v>
      </c>
    </row>
    <row r="17">
      <c r="A17" s="60" t="n">
        <v>29495</v>
      </c>
    </row>
    <row r="18">
      <c r="A18" s="60" t="n">
        <v>29526</v>
      </c>
    </row>
    <row r="19">
      <c r="A19" s="60" t="n">
        <v>29556</v>
      </c>
    </row>
    <row r="20">
      <c r="A20" s="60" t="n">
        <v>29587</v>
      </c>
    </row>
    <row r="21">
      <c r="A21" s="60" t="n">
        <v>29618</v>
      </c>
    </row>
    <row r="22">
      <c r="A22" s="60" t="n">
        <v>29646</v>
      </c>
    </row>
    <row r="23">
      <c r="A23" s="60" t="n">
        <v>29677</v>
      </c>
    </row>
    <row r="24">
      <c r="A24" s="60" t="n">
        <v>29707</v>
      </c>
    </row>
    <row r="25">
      <c r="A25" s="60" t="n">
        <v>29738</v>
      </c>
    </row>
    <row r="26">
      <c r="A26" s="60" t="n">
        <v>29768</v>
      </c>
    </row>
    <row r="27">
      <c r="A27" s="60" t="n">
        <v>29799</v>
      </c>
    </row>
    <row r="28">
      <c r="A28" s="60" t="n">
        <v>29830</v>
      </c>
    </row>
    <row r="29">
      <c r="A29" s="60" t="n">
        <v>29860</v>
      </c>
    </row>
    <row r="30">
      <c r="A30" s="60" t="n">
        <v>29891</v>
      </c>
    </row>
    <row r="31">
      <c r="A31" s="60" t="n">
        <v>29921</v>
      </c>
    </row>
    <row r="32">
      <c r="A32" s="60" t="n">
        <v>29952</v>
      </c>
    </row>
    <row r="33">
      <c r="A33" s="60" t="n">
        <v>29983</v>
      </c>
    </row>
    <row r="34">
      <c r="A34" s="60" t="n">
        <v>30011</v>
      </c>
    </row>
    <row r="35">
      <c r="A35" s="60" t="n">
        <v>30042</v>
      </c>
    </row>
    <row r="36">
      <c r="A36" s="60" t="n">
        <v>30072</v>
      </c>
    </row>
    <row r="37">
      <c r="A37" s="60" t="n">
        <v>30103</v>
      </c>
    </row>
    <row r="38">
      <c r="A38" s="60" t="n">
        <v>30133</v>
      </c>
    </row>
    <row r="39">
      <c r="A39" s="60" t="n">
        <v>30164</v>
      </c>
    </row>
    <row r="40">
      <c r="A40" s="60" t="n">
        <v>30195</v>
      </c>
    </row>
    <row r="41">
      <c r="A41" s="60" t="n">
        <v>30225</v>
      </c>
    </row>
    <row r="42">
      <c r="A42" s="60" t="n">
        <v>30256</v>
      </c>
    </row>
    <row r="43">
      <c r="A43" s="60" t="n">
        <v>30286</v>
      </c>
    </row>
    <row r="44">
      <c r="A44" s="60" t="n">
        <v>30317</v>
      </c>
    </row>
    <row r="45">
      <c r="A45" s="60" t="n">
        <v>30348</v>
      </c>
    </row>
    <row r="46">
      <c r="A46" s="60" t="n">
        <v>30376</v>
      </c>
    </row>
    <row r="47">
      <c r="A47" s="60" t="n">
        <v>30407</v>
      </c>
    </row>
    <row r="48">
      <c r="A48" s="60" t="n">
        <v>30437</v>
      </c>
    </row>
    <row r="49">
      <c r="A49" s="60" t="n">
        <v>30468</v>
      </c>
    </row>
    <row r="50">
      <c r="A50" s="60" t="n">
        <v>30498</v>
      </c>
    </row>
    <row r="51">
      <c r="A51" s="60" t="n">
        <v>30529</v>
      </c>
    </row>
    <row r="52">
      <c r="A52" s="60" t="n">
        <v>30560</v>
      </c>
    </row>
    <row r="53">
      <c r="A53" s="60" t="n">
        <v>30590</v>
      </c>
    </row>
    <row r="54">
      <c r="A54" s="60" t="n">
        <v>30621</v>
      </c>
    </row>
    <row r="55">
      <c r="A55" s="60" t="n">
        <v>30651</v>
      </c>
    </row>
    <row r="56">
      <c r="A56" s="60" t="n">
        <v>30682</v>
      </c>
    </row>
    <row r="57">
      <c r="A57" s="60" t="n">
        <v>30713</v>
      </c>
    </row>
    <row r="58">
      <c r="A58" s="60" t="n">
        <v>30742</v>
      </c>
    </row>
    <row r="59">
      <c r="A59" s="60" t="n">
        <v>30773</v>
      </c>
    </row>
    <row r="60">
      <c r="A60" s="60" t="n">
        <v>30803</v>
      </c>
    </row>
    <row r="61">
      <c r="A61" s="60" t="n">
        <v>30834</v>
      </c>
    </row>
    <row r="62">
      <c r="A62" s="60" t="n">
        <v>30864</v>
      </c>
    </row>
    <row r="63">
      <c r="A63" s="60" t="n">
        <v>30895</v>
      </c>
    </row>
    <row r="64">
      <c r="A64" s="60" t="n">
        <v>30926</v>
      </c>
    </row>
    <row r="65">
      <c r="A65" s="60" t="n">
        <v>30956</v>
      </c>
    </row>
    <row r="66">
      <c r="A66" s="60" t="n">
        <v>30987</v>
      </c>
    </row>
    <row r="67">
      <c r="A67" s="60" t="n">
        <v>31017</v>
      </c>
    </row>
    <row r="68">
      <c r="A68" s="60" t="n">
        <v>31048</v>
      </c>
    </row>
    <row r="69">
      <c r="A69" s="60" t="n">
        <v>31079</v>
      </c>
    </row>
    <row r="70">
      <c r="A70" s="60" t="n">
        <v>31107</v>
      </c>
    </row>
    <row r="71">
      <c r="A71" s="60" t="n">
        <v>31138</v>
      </c>
    </row>
    <row r="72">
      <c r="A72" s="60" t="n">
        <v>31168</v>
      </c>
    </row>
    <row r="73">
      <c r="A73" s="60" t="n">
        <v>31199</v>
      </c>
    </row>
    <row r="74">
      <c r="A74" s="60" t="n">
        <v>31229</v>
      </c>
    </row>
    <row r="75">
      <c r="A75" s="60" t="n">
        <v>31260</v>
      </c>
    </row>
    <row r="76">
      <c r="A76" s="60" t="n">
        <v>31291</v>
      </c>
    </row>
    <row r="77">
      <c r="A77" s="60" t="n">
        <v>31321</v>
      </c>
    </row>
    <row r="78">
      <c r="A78" s="60" t="n">
        <v>31352</v>
      </c>
    </row>
    <row r="79">
      <c r="A79" s="60" t="n">
        <v>31382</v>
      </c>
    </row>
    <row r="80">
      <c r="A80" s="60" t="n">
        <v>31413</v>
      </c>
    </row>
    <row r="81">
      <c r="A81" s="60" t="n">
        <v>31444</v>
      </c>
    </row>
    <row r="82">
      <c r="A82" s="60" t="n">
        <v>31472</v>
      </c>
    </row>
    <row r="83">
      <c r="A83" s="60" t="n">
        <v>31503</v>
      </c>
    </row>
    <row r="84">
      <c r="A84" s="60" t="n">
        <v>31533</v>
      </c>
    </row>
    <row r="85">
      <c r="A85" s="60" t="n">
        <v>31564</v>
      </c>
    </row>
    <row r="86">
      <c r="A86" s="60" t="n">
        <v>31594</v>
      </c>
    </row>
    <row r="87">
      <c r="A87" s="60" t="n">
        <v>31625</v>
      </c>
    </row>
    <row r="88">
      <c r="A88" s="60" t="n">
        <v>31656</v>
      </c>
    </row>
    <row r="89">
      <c r="A89" s="60" t="n">
        <v>31686</v>
      </c>
    </row>
    <row r="90">
      <c r="A90" s="60" t="n">
        <v>31717</v>
      </c>
    </row>
    <row r="91">
      <c r="A91" s="60" t="n">
        <v>31747</v>
      </c>
    </row>
    <row r="92">
      <c r="A92" s="60" t="n">
        <v>31778</v>
      </c>
    </row>
    <row r="93">
      <c r="A93" s="60" t="n">
        <v>31809</v>
      </c>
    </row>
    <row r="94">
      <c r="A94" s="60" t="n">
        <v>31837</v>
      </c>
    </row>
    <row r="95">
      <c r="A95" s="60" t="n">
        <v>31868</v>
      </c>
    </row>
    <row r="96">
      <c r="A96" s="60" t="n">
        <v>31898</v>
      </c>
    </row>
    <row r="97">
      <c r="A97" s="60" t="n">
        <v>31929</v>
      </c>
    </row>
    <row r="98">
      <c r="A98" s="60" t="n">
        <v>31959</v>
      </c>
    </row>
    <row r="99">
      <c r="A99" s="60" t="n">
        <v>31990</v>
      </c>
    </row>
    <row r="100">
      <c r="A100" s="60" t="n">
        <v>32021</v>
      </c>
    </row>
    <row r="101">
      <c r="A101" s="60" t="n">
        <v>32051</v>
      </c>
    </row>
    <row r="102">
      <c r="A102" s="60" t="n">
        <v>32082</v>
      </c>
    </row>
    <row r="103">
      <c r="A103" s="60" t="n">
        <v>32112</v>
      </c>
    </row>
    <row r="104">
      <c r="A104" s="60" t="n">
        <v>32143</v>
      </c>
    </row>
    <row r="105">
      <c r="A105" s="60" t="n">
        <v>32174</v>
      </c>
    </row>
    <row r="106">
      <c r="A106" s="60" t="n">
        <v>32203</v>
      </c>
    </row>
    <row r="107">
      <c r="A107" s="60" t="n">
        <v>32234</v>
      </c>
    </row>
    <row r="108">
      <c r="A108" s="60" t="n">
        <v>32264</v>
      </c>
    </row>
    <row r="109">
      <c r="A109" s="60" t="n">
        <v>32295</v>
      </c>
    </row>
    <row r="110">
      <c r="A110" s="60" t="n">
        <v>32325</v>
      </c>
    </row>
    <row r="111">
      <c r="A111" s="60" t="n">
        <v>32356</v>
      </c>
    </row>
    <row r="112">
      <c r="A112" s="60" t="n">
        <v>32387</v>
      </c>
    </row>
    <row r="113">
      <c r="A113" s="60" t="n">
        <v>32417</v>
      </c>
    </row>
    <row r="114">
      <c r="A114" s="60" t="n">
        <v>32448</v>
      </c>
    </row>
    <row r="115">
      <c r="A115" s="60" t="n">
        <v>32478</v>
      </c>
    </row>
    <row r="116">
      <c r="A116" s="60" t="n">
        <v>32509</v>
      </c>
    </row>
    <row r="117">
      <c r="A117" s="60" t="n">
        <v>32540</v>
      </c>
    </row>
    <row r="118">
      <c r="A118" s="60" t="n">
        <v>32568</v>
      </c>
    </row>
    <row r="119">
      <c r="A119" s="60" t="n">
        <v>32599</v>
      </c>
    </row>
    <row r="120">
      <c r="A120" s="60" t="n">
        <v>32629</v>
      </c>
    </row>
    <row r="121">
      <c r="A121" s="60" t="n">
        <v>32660</v>
      </c>
    </row>
    <row r="122">
      <c r="A122" s="60" t="n">
        <v>32690</v>
      </c>
    </row>
    <row r="123">
      <c r="A123" s="60" t="n">
        <v>32721</v>
      </c>
    </row>
    <row r="124">
      <c r="A124" s="60" t="n">
        <v>32752</v>
      </c>
    </row>
    <row r="125">
      <c r="A125" s="60" t="n">
        <v>32782</v>
      </c>
    </row>
    <row r="126">
      <c r="A126" s="60" t="n">
        <v>32813</v>
      </c>
    </row>
    <row r="127">
      <c r="A127" s="60" t="n">
        <v>32843</v>
      </c>
    </row>
    <row r="128">
      <c r="A128" s="60" t="n">
        <v>32874</v>
      </c>
    </row>
    <row r="129">
      <c r="A129" s="60" t="n">
        <v>32905</v>
      </c>
    </row>
    <row r="130">
      <c r="A130" s="60" t="n">
        <v>32933</v>
      </c>
    </row>
    <row r="131">
      <c r="A131" s="60" t="n">
        <v>32964</v>
      </c>
    </row>
    <row r="132">
      <c r="A132" s="60" t="n">
        <v>32994</v>
      </c>
    </row>
    <row r="133">
      <c r="A133" s="60" t="n">
        <v>33025</v>
      </c>
    </row>
    <row r="134">
      <c r="A134" s="60" t="n">
        <v>33055</v>
      </c>
    </row>
    <row r="135">
      <c r="A135" s="60" t="n">
        <v>33086</v>
      </c>
    </row>
    <row r="136">
      <c r="A136" s="60" t="n">
        <v>33117</v>
      </c>
    </row>
    <row r="137">
      <c r="A137" s="60" t="n">
        <v>33147</v>
      </c>
    </row>
    <row r="138">
      <c r="A138" s="60" t="n">
        <v>33178</v>
      </c>
    </row>
    <row r="139">
      <c r="A139" s="60" t="n">
        <v>33208</v>
      </c>
    </row>
    <row r="140">
      <c r="A140" s="60" t="n">
        <v>33239</v>
      </c>
    </row>
    <row r="141">
      <c r="A141" s="60" t="n">
        <v>33270</v>
      </c>
    </row>
    <row r="142">
      <c r="A142" s="60" t="n">
        <v>33298</v>
      </c>
    </row>
    <row r="143">
      <c r="A143" s="60" t="n">
        <v>33329</v>
      </c>
    </row>
    <row r="144">
      <c r="A144" s="60" t="n">
        <v>33359</v>
      </c>
    </row>
    <row r="145">
      <c r="A145" s="60" t="n">
        <v>33390</v>
      </c>
    </row>
    <row r="146">
      <c r="A146" s="60" t="n">
        <v>33420</v>
      </c>
    </row>
    <row r="147">
      <c r="A147" s="60" t="n">
        <v>33451</v>
      </c>
    </row>
    <row r="148">
      <c r="A148" s="60" t="n">
        <v>33482</v>
      </c>
    </row>
    <row r="149">
      <c r="A149" s="60" t="n">
        <v>33512</v>
      </c>
    </row>
    <row r="150">
      <c r="A150" s="60" t="n">
        <v>33543</v>
      </c>
    </row>
    <row r="151">
      <c r="A151" s="60" t="n">
        <v>33573</v>
      </c>
    </row>
    <row r="152">
      <c r="A152" s="60" t="n">
        <v>33604</v>
      </c>
    </row>
    <row r="153">
      <c r="A153" s="60" t="n">
        <v>33635</v>
      </c>
    </row>
    <row r="154">
      <c r="A154" s="60" t="n">
        <v>33664</v>
      </c>
    </row>
    <row r="155">
      <c r="A155" s="60" t="n">
        <v>33695</v>
      </c>
    </row>
    <row r="156">
      <c r="A156" s="60" t="n">
        <v>33725</v>
      </c>
    </row>
    <row r="157">
      <c r="A157" s="60" t="n">
        <v>33756</v>
      </c>
    </row>
    <row r="158">
      <c r="A158" s="60" t="n">
        <v>33786</v>
      </c>
    </row>
    <row r="159">
      <c r="A159" s="60" t="n">
        <v>33817</v>
      </c>
    </row>
    <row r="160">
      <c r="A160" s="60" t="n">
        <v>33848</v>
      </c>
    </row>
    <row r="161">
      <c r="A161" s="60" t="n">
        <v>33878</v>
      </c>
    </row>
    <row r="162">
      <c r="A162" s="60" t="n">
        <v>33909</v>
      </c>
    </row>
    <row r="163">
      <c r="A163" s="60" t="n">
        <v>33939</v>
      </c>
    </row>
    <row r="164">
      <c r="A164" s="60" t="n">
        <v>33970</v>
      </c>
    </row>
    <row r="165">
      <c r="A165" s="60" t="n">
        <v>34001</v>
      </c>
    </row>
    <row r="166">
      <c r="A166" s="60" t="n">
        <v>34029</v>
      </c>
    </row>
    <row r="167">
      <c r="A167" s="60" t="n">
        <v>34060</v>
      </c>
    </row>
    <row r="168">
      <c r="A168" s="60" t="n">
        <v>34090</v>
      </c>
    </row>
    <row r="169">
      <c r="A169" s="60" t="n">
        <v>34121</v>
      </c>
    </row>
    <row r="170">
      <c r="A170" s="60" t="n">
        <v>34151</v>
      </c>
    </row>
    <row r="171">
      <c r="A171" s="60" t="n">
        <v>34182</v>
      </c>
    </row>
    <row r="172">
      <c r="A172" s="60" t="n">
        <v>34213</v>
      </c>
    </row>
    <row r="173">
      <c r="A173" s="60" t="n">
        <v>34243</v>
      </c>
    </row>
    <row r="174">
      <c r="A174" s="60" t="n">
        <v>34274</v>
      </c>
    </row>
    <row r="175">
      <c r="A175" s="60" t="n">
        <v>34304</v>
      </c>
    </row>
    <row r="176">
      <c r="A176" s="60" t="n">
        <v>34335</v>
      </c>
    </row>
    <row r="177">
      <c r="A177" s="60" t="n">
        <v>34366</v>
      </c>
    </row>
    <row r="178">
      <c r="A178" s="60" t="n">
        <v>34394</v>
      </c>
    </row>
    <row r="179">
      <c r="A179" s="60" t="n">
        <v>34425</v>
      </c>
    </row>
    <row r="180">
      <c r="A180" s="60" t="n">
        <v>34455</v>
      </c>
    </row>
    <row r="181">
      <c r="A181" s="60" t="n">
        <v>34486</v>
      </c>
    </row>
    <row r="182">
      <c r="A182" s="60" t="n">
        <v>34516</v>
      </c>
    </row>
    <row r="183">
      <c r="A183" s="60" t="n">
        <v>34547</v>
      </c>
    </row>
    <row r="184">
      <c r="A184" s="60" t="n">
        <v>34578</v>
      </c>
    </row>
    <row r="185">
      <c r="A185" s="60" t="n">
        <v>34608</v>
      </c>
    </row>
    <row r="186">
      <c r="A186" s="60" t="n">
        <v>34639</v>
      </c>
    </row>
    <row r="187">
      <c r="A187" s="60" t="n">
        <v>34669</v>
      </c>
    </row>
    <row r="188">
      <c r="A188" s="60" t="n">
        <v>34700</v>
      </c>
    </row>
    <row r="189">
      <c r="A189" s="60" t="n">
        <v>34731</v>
      </c>
    </row>
    <row r="190">
      <c r="A190" s="60" t="n">
        <v>34759</v>
      </c>
    </row>
    <row r="191">
      <c r="A191" s="60" t="n">
        <v>34790</v>
      </c>
    </row>
    <row r="192">
      <c r="A192" s="60" t="n">
        <v>34820</v>
      </c>
    </row>
    <row r="193">
      <c r="A193" s="60" t="n">
        <v>34851</v>
      </c>
    </row>
    <row r="194">
      <c r="A194" s="60" t="n">
        <v>34881</v>
      </c>
    </row>
    <row r="195">
      <c r="A195" s="60" t="n">
        <v>34912</v>
      </c>
    </row>
    <row r="196">
      <c r="A196" s="60" t="n">
        <v>34943</v>
      </c>
    </row>
    <row r="197">
      <c r="A197" s="60" t="n">
        <v>34973</v>
      </c>
    </row>
    <row r="198">
      <c r="A198" s="60" t="n">
        <v>35004</v>
      </c>
    </row>
    <row r="199">
      <c r="A199" s="60" t="n">
        <v>35034</v>
      </c>
    </row>
    <row r="200">
      <c r="A200" s="60" t="n">
        <v>35065</v>
      </c>
    </row>
    <row r="201">
      <c r="A201" s="60" t="n">
        <v>35096</v>
      </c>
    </row>
    <row r="202">
      <c r="A202" s="60" t="n">
        <v>35125</v>
      </c>
    </row>
    <row r="203">
      <c r="A203" s="60" t="n">
        <v>35156</v>
      </c>
    </row>
    <row r="204">
      <c r="A204" s="60" t="n">
        <v>35186</v>
      </c>
    </row>
    <row r="205">
      <c r="A205" s="60" t="n">
        <v>35217</v>
      </c>
    </row>
    <row r="206">
      <c r="A206" s="60" t="n">
        <v>35247</v>
      </c>
    </row>
    <row r="207">
      <c r="A207" s="60" t="n">
        <v>35278</v>
      </c>
    </row>
    <row r="208">
      <c r="A208" s="60" t="n">
        <v>35309</v>
      </c>
    </row>
    <row r="209">
      <c r="A209" s="60" t="n">
        <v>35339</v>
      </c>
    </row>
    <row r="210">
      <c r="A210" s="60" t="n">
        <v>35370</v>
      </c>
    </row>
    <row r="211">
      <c r="A211" s="60" t="n">
        <v>35400</v>
      </c>
    </row>
    <row r="212">
      <c r="A212" s="60" t="n">
        <v>35431</v>
      </c>
    </row>
    <row r="213">
      <c r="A213" s="60" t="n">
        <v>35462</v>
      </c>
    </row>
    <row r="214">
      <c r="A214" s="60" t="n">
        <v>35490</v>
      </c>
    </row>
    <row r="215">
      <c r="A215" s="60" t="n">
        <v>35521</v>
      </c>
    </row>
    <row r="216">
      <c r="A216" s="60" t="n">
        <v>35551</v>
      </c>
    </row>
    <row r="217">
      <c r="A217" s="60" t="n">
        <v>35582</v>
      </c>
    </row>
    <row r="218">
      <c r="A218" s="60" t="n">
        <v>35612</v>
      </c>
    </row>
    <row r="219">
      <c r="A219" s="60" t="n">
        <v>35643</v>
      </c>
    </row>
    <row r="220">
      <c r="A220" s="60" t="n">
        <v>35674</v>
      </c>
    </row>
    <row r="221">
      <c r="A221" s="60" t="n">
        <v>35704</v>
      </c>
    </row>
    <row r="222">
      <c r="A222" s="60" t="n">
        <v>35735</v>
      </c>
    </row>
    <row r="223">
      <c r="A223" s="60" t="n">
        <v>35765</v>
      </c>
    </row>
    <row r="224">
      <c r="A224" s="60" t="n">
        <v>35796</v>
      </c>
    </row>
    <row r="225">
      <c r="A225" s="60" t="n">
        <v>35827</v>
      </c>
    </row>
    <row r="226">
      <c r="A226" s="60" t="n">
        <v>35855</v>
      </c>
    </row>
    <row r="227">
      <c r="A227" s="60" t="n">
        <v>35886</v>
      </c>
    </row>
    <row r="228">
      <c r="A228" s="60" t="n">
        <v>35916</v>
      </c>
    </row>
    <row r="229">
      <c r="A229" s="60" t="n">
        <v>35947</v>
      </c>
    </row>
    <row r="230">
      <c r="A230" s="60" t="n">
        <v>35977</v>
      </c>
    </row>
    <row r="231">
      <c r="A231" s="60" t="n">
        <v>36008</v>
      </c>
    </row>
    <row r="232">
      <c r="A232" s="60" t="n">
        <v>36039</v>
      </c>
    </row>
    <row r="233">
      <c r="A233" s="60" t="n">
        <v>36069</v>
      </c>
    </row>
    <row r="234">
      <c r="A234" s="60" t="n">
        <v>36100</v>
      </c>
    </row>
    <row r="235">
      <c r="A235" s="60" t="n">
        <v>36130</v>
      </c>
    </row>
    <row r="236">
      <c r="A236" s="60" t="n">
        <v>36161</v>
      </c>
    </row>
    <row r="237">
      <c r="A237" s="60" t="n">
        <v>36192</v>
      </c>
    </row>
    <row r="238">
      <c r="A238" s="60" t="n">
        <v>36220</v>
      </c>
    </row>
    <row r="239">
      <c r="A239" s="60" t="n">
        <v>36251</v>
      </c>
    </row>
    <row r="240">
      <c r="A240" s="60" t="n">
        <v>36281</v>
      </c>
    </row>
    <row r="241">
      <c r="A241" s="60" t="n">
        <v>36312</v>
      </c>
    </row>
    <row r="242">
      <c r="A242" s="60" t="n">
        <v>36342</v>
      </c>
    </row>
    <row r="243">
      <c r="A243" s="60" t="n">
        <v>36373</v>
      </c>
    </row>
    <row r="244">
      <c r="A244" s="60" t="n">
        <v>36404</v>
      </c>
    </row>
    <row r="245">
      <c r="A245" s="60" t="n">
        <v>36434</v>
      </c>
    </row>
    <row r="246">
      <c r="A246" s="60" t="n">
        <v>36465</v>
      </c>
    </row>
    <row r="247">
      <c r="A247" s="60" t="n">
        <v>36495</v>
      </c>
    </row>
    <row r="248">
      <c r="A248" s="60" t="n">
        <v>36526</v>
      </c>
    </row>
    <row r="249">
      <c r="A249" s="60" t="n">
        <v>36557</v>
      </c>
    </row>
    <row r="250">
      <c r="A250" s="60" t="n">
        <v>36586</v>
      </c>
    </row>
    <row r="251">
      <c r="A251" s="60" t="n">
        <v>36617</v>
      </c>
    </row>
    <row r="252">
      <c r="A252" s="60" t="n">
        <v>36647</v>
      </c>
    </row>
    <row r="253">
      <c r="A253" s="60" t="n">
        <v>36678</v>
      </c>
    </row>
    <row r="254">
      <c r="A254" s="60" t="n">
        <v>36708</v>
      </c>
    </row>
    <row r="255">
      <c r="A255" s="60" t="n">
        <v>36739</v>
      </c>
    </row>
    <row r="256">
      <c r="A256" s="60" t="n">
        <v>36770</v>
      </c>
    </row>
    <row r="257">
      <c r="A257" s="60" t="n">
        <v>36800</v>
      </c>
    </row>
    <row r="258">
      <c r="A258" s="60" t="n">
        <v>36831</v>
      </c>
    </row>
    <row r="259">
      <c r="A259" s="60" t="n">
        <v>36861</v>
      </c>
    </row>
    <row r="260">
      <c r="A260" s="60" t="n">
        <v>36892</v>
      </c>
    </row>
    <row r="261">
      <c r="A261" s="60" t="n">
        <v>36923</v>
      </c>
    </row>
    <row r="262">
      <c r="A262" s="60" t="n">
        <v>36951</v>
      </c>
    </row>
    <row r="263">
      <c r="A263" s="60" t="n">
        <v>36982</v>
      </c>
    </row>
    <row r="264">
      <c r="A264" s="60" t="n">
        <v>37012</v>
      </c>
    </row>
    <row r="265">
      <c r="A265" s="60" t="n">
        <v>37043</v>
      </c>
    </row>
    <row r="266">
      <c r="A266" s="60" t="n">
        <v>37073</v>
      </c>
    </row>
    <row r="267">
      <c r="A267" s="60" t="n">
        <v>37104</v>
      </c>
    </row>
    <row r="268">
      <c r="A268" s="60" t="n">
        <v>37135</v>
      </c>
    </row>
    <row r="269">
      <c r="A269" s="60" t="n">
        <v>37165</v>
      </c>
    </row>
    <row r="270">
      <c r="A270" s="60" t="n">
        <v>37196</v>
      </c>
    </row>
    <row r="271">
      <c r="A271" s="60" t="n">
        <v>37226</v>
      </c>
    </row>
    <row r="272">
      <c r="A272" s="60" t="n">
        <v>37257</v>
      </c>
    </row>
    <row r="273">
      <c r="A273" s="60" t="n">
        <v>37288</v>
      </c>
    </row>
    <row r="274">
      <c r="A274" s="60" t="n">
        <v>37316</v>
      </c>
    </row>
    <row r="275">
      <c r="A275" s="60" t="n">
        <v>37347</v>
      </c>
    </row>
    <row r="276">
      <c r="A276" s="60" t="n">
        <v>37377</v>
      </c>
    </row>
    <row r="277">
      <c r="A277" s="60" t="n">
        <v>37408</v>
      </c>
    </row>
    <row r="278">
      <c r="A278" s="60" t="n">
        <v>37438</v>
      </c>
    </row>
    <row r="279">
      <c r="A279" s="60" t="n">
        <v>37469</v>
      </c>
    </row>
    <row r="280">
      <c r="A280" s="60" t="n">
        <v>37500</v>
      </c>
    </row>
    <row r="281">
      <c r="A281" s="60" t="n">
        <v>37530</v>
      </c>
    </row>
    <row r="282">
      <c r="A282" s="60" t="n">
        <v>37561</v>
      </c>
    </row>
    <row r="283">
      <c r="A283" s="60" t="n">
        <v>37591</v>
      </c>
    </row>
    <row r="284">
      <c r="A284" s="60" t="n">
        <v>37622</v>
      </c>
    </row>
    <row r="285">
      <c r="A285" s="60" t="n">
        <v>37653</v>
      </c>
    </row>
    <row r="286">
      <c r="A286" s="60" t="n">
        <v>37681</v>
      </c>
    </row>
    <row r="287">
      <c r="A287" s="60" t="n">
        <v>37712</v>
      </c>
    </row>
    <row r="288">
      <c r="A288" s="60" t="n">
        <v>37742</v>
      </c>
    </row>
    <row r="289">
      <c r="A289" s="60" t="n">
        <v>37773</v>
      </c>
    </row>
    <row r="290">
      <c r="A290" s="60" t="n">
        <v>37803</v>
      </c>
    </row>
    <row r="291">
      <c r="A291" s="60" t="n">
        <v>37834</v>
      </c>
    </row>
    <row r="292">
      <c r="A292" s="60" t="n">
        <v>37865</v>
      </c>
    </row>
    <row r="293">
      <c r="A293" s="60" t="n">
        <v>37895</v>
      </c>
    </row>
    <row r="294">
      <c r="A294" s="60" t="n">
        <v>37926</v>
      </c>
    </row>
    <row r="295">
      <c r="A295" s="60" t="n">
        <v>37956</v>
      </c>
    </row>
    <row r="296">
      <c r="A296" s="60" t="n">
        <v>37987</v>
      </c>
    </row>
    <row r="297">
      <c r="A297" s="60" t="n">
        <v>38018</v>
      </c>
    </row>
    <row r="298">
      <c r="A298" s="60" t="n">
        <v>38047</v>
      </c>
    </row>
    <row r="299">
      <c r="A299" s="60" t="n">
        <v>38078</v>
      </c>
    </row>
    <row r="300">
      <c r="A300" s="60" t="n">
        <v>38108</v>
      </c>
    </row>
    <row r="301">
      <c r="A301" s="60" t="n">
        <v>38139</v>
      </c>
    </row>
    <row r="302">
      <c r="A302" s="60" t="n">
        <v>38169</v>
      </c>
    </row>
    <row r="303">
      <c r="A303" s="60" t="n">
        <v>38200</v>
      </c>
    </row>
    <row r="304">
      <c r="A304" s="60" t="n">
        <v>38231</v>
      </c>
    </row>
    <row r="305">
      <c r="A305" s="60" t="n">
        <v>38261</v>
      </c>
    </row>
    <row r="306">
      <c r="A306" s="60" t="n">
        <v>38292</v>
      </c>
    </row>
    <row r="307">
      <c r="A307" s="60" t="n">
        <v>38322</v>
      </c>
    </row>
    <row r="308">
      <c r="A308" s="60" t="n">
        <v>38353</v>
      </c>
    </row>
    <row r="309">
      <c r="A309" s="60" t="n">
        <v>38384</v>
      </c>
    </row>
    <row r="310">
      <c r="A310" s="60" t="n">
        <v>38412</v>
      </c>
    </row>
    <row r="311">
      <c r="A311" s="60" t="n">
        <v>38443</v>
      </c>
    </row>
    <row r="312">
      <c r="A312" s="60" t="n">
        <v>38473</v>
      </c>
    </row>
    <row r="313">
      <c r="A313" s="60" t="n">
        <v>38504</v>
      </c>
    </row>
    <row r="314">
      <c r="A314" s="60" t="n">
        <v>38534</v>
      </c>
    </row>
    <row r="315">
      <c r="A315" s="60" t="n">
        <v>38565</v>
      </c>
    </row>
    <row r="316">
      <c r="A316" s="60" t="n">
        <v>38596</v>
      </c>
    </row>
    <row r="317">
      <c r="A317" s="60" t="n">
        <v>38626</v>
      </c>
    </row>
    <row r="318">
      <c r="A318" s="60" t="n">
        <v>38657</v>
      </c>
    </row>
    <row r="319">
      <c r="A319" s="60" t="n">
        <v>38687</v>
      </c>
    </row>
    <row r="320">
      <c r="A320" s="60" t="n">
        <v>38718</v>
      </c>
    </row>
    <row r="321">
      <c r="A321" s="60" t="n">
        <v>38749</v>
      </c>
    </row>
    <row r="322">
      <c r="A322" s="60" t="n">
        <v>38777</v>
      </c>
    </row>
    <row r="323">
      <c r="A323" s="60" t="n">
        <v>38808</v>
      </c>
    </row>
    <row r="324">
      <c r="A324" s="60" t="n">
        <v>38838</v>
      </c>
    </row>
    <row r="325">
      <c r="A325" s="60" t="n">
        <v>38869</v>
      </c>
    </row>
    <row r="326">
      <c r="A326" s="60" t="n">
        <v>38899</v>
      </c>
    </row>
    <row r="327">
      <c r="A327" s="60" t="n">
        <v>38930</v>
      </c>
    </row>
    <row r="328">
      <c r="A328" s="60" t="n">
        <v>38961</v>
      </c>
    </row>
    <row r="329">
      <c r="A329" s="60" t="n">
        <v>38991</v>
      </c>
    </row>
    <row r="330">
      <c r="A330" s="60" t="n">
        <v>39022</v>
      </c>
    </row>
    <row r="331">
      <c r="A331" s="60" t="n">
        <v>39052</v>
      </c>
    </row>
    <row r="332">
      <c r="A332" s="60" t="n">
        <v>39083</v>
      </c>
    </row>
    <row r="333">
      <c r="A333" s="60" t="n">
        <v>39114</v>
      </c>
    </row>
    <row r="334">
      <c r="A334" s="60" t="n">
        <v>39142</v>
      </c>
    </row>
    <row r="335">
      <c r="A335" s="60" t="n">
        <v>39173</v>
      </c>
    </row>
    <row r="336">
      <c r="A336" s="60" t="n">
        <v>39203</v>
      </c>
    </row>
    <row r="337">
      <c r="A337" s="60" t="n">
        <v>39234</v>
      </c>
    </row>
    <row r="338">
      <c r="A338" s="60" t="n">
        <v>39264</v>
      </c>
    </row>
    <row r="339">
      <c r="A339" s="60" t="n">
        <v>39295</v>
      </c>
    </row>
    <row r="340">
      <c r="A340" s="60" t="n">
        <v>39326</v>
      </c>
    </row>
    <row r="341">
      <c r="A341" s="60" t="n">
        <v>39356</v>
      </c>
    </row>
    <row r="342">
      <c r="A342" s="60" t="n">
        <v>39387</v>
      </c>
    </row>
    <row r="343">
      <c r="A343" s="60" t="n">
        <v>39417</v>
      </c>
    </row>
    <row r="344">
      <c r="A344" s="60" t="n">
        <v>39448</v>
      </c>
    </row>
    <row r="345">
      <c r="A345" s="60" t="n">
        <v>39479</v>
      </c>
    </row>
    <row r="346">
      <c r="A346" s="60" t="n">
        <v>39508</v>
      </c>
    </row>
    <row r="347">
      <c r="A347" s="60" t="n">
        <v>39539</v>
      </c>
    </row>
    <row r="348">
      <c r="A348" s="60" t="n">
        <v>39569</v>
      </c>
    </row>
    <row r="349">
      <c r="A349" s="60" t="n">
        <v>39600</v>
      </c>
    </row>
    <row r="350">
      <c r="A350" s="60" t="n">
        <v>39630</v>
      </c>
    </row>
    <row r="351">
      <c r="A351" s="60" t="n">
        <v>39661</v>
      </c>
    </row>
    <row r="352">
      <c r="A352" s="60" t="n">
        <v>39692</v>
      </c>
    </row>
    <row r="353">
      <c r="A353" s="60" t="n">
        <v>39722</v>
      </c>
    </row>
    <row r="354">
      <c r="A354" s="60" t="n">
        <v>39753</v>
      </c>
    </row>
    <row r="355">
      <c r="A355" s="60" t="n">
        <v>39783</v>
      </c>
    </row>
    <row r="356">
      <c r="A356" s="60" t="n">
        <v>39814</v>
      </c>
    </row>
    <row r="357">
      <c r="A357" s="60" t="n">
        <v>39845</v>
      </c>
    </row>
    <row r="358">
      <c r="A358" s="60" t="n">
        <v>39873</v>
      </c>
    </row>
    <row r="359">
      <c r="A359" s="60" t="n">
        <v>39904</v>
      </c>
    </row>
    <row r="360">
      <c r="A360" s="60" t="n">
        <v>39934</v>
      </c>
    </row>
    <row r="361">
      <c r="A361" s="60" t="n">
        <v>39965</v>
      </c>
    </row>
    <row r="362">
      <c r="A362" s="60" t="n">
        <v>39995</v>
      </c>
    </row>
    <row r="363">
      <c r="A363" s="60" t="n">
        <v>40026</v>
      </c>
    </row>
    <row r="364">
      <c r="A364" s="60" t="n">
        <v>40057</v>
      </c>
    </row>
    <row r="365">
      <c r="A365" s="60" t="n">
        <v>40087</v>
      </c>
    </row>
    <row r="366">
      <c r="A366" s="60" t="n">
        <v>40118</v>
      </c>
    </row>
    <row r="367">
      <c r="A367" s="60" t="n">
        <v>40148</v>
      </c>
    </row>
    <row r="368">
      <c r="A368" s="60" t="n">
        <v>40179</v>
      </c>
    </row>
    <row r="369">
      <c r="A369" s="60" t="n">
        <v>40210</v>
      </c>
    </row>
    <row r="370">
      <c r="A370" s="60" t="n">
        <v>40238</v>
      </c>
    </row>
    <row r="371">
      <c r="A371" s="60" t="n">
        <v>40269</v>
      </c>
    </row>
    <row r="372">
      <c r="A372" s="60" t="n">
        <v>40299</v>
      </c>
    </row>
    <row r="373">
      <c r="A373" s="60" t="n">
        <v>40330</v>
      </c>
    </row>
    <row r="374">
      <c r="A374" s="60" t="n">
        <v>40360</v>
      </c>
    </row>
    <row r="375">
      <c r="A375" s="60" t="n">
        <v>40391</v>
      </c>
    </row>
    <row r="376">
      <c r="A376" s="60" t="n">
        <v>40422</v>
      </c>
    </row>
    <row r="377">
      <c r="A377" s="60" t="n">
        <v>40452</v>
      </c>
    </row>
    <row r="378">
      <c r="A378" s="60" t="n">
        <v>40483</v>
      </c>
    </row>
    <row r="379">
      <c r="A379" s="60" t="n">
        <v>40513</v>
      </c>
    </row>
    <row r="380">
      <c r="A380" s="60" t="n">
        <v>40544</v>
      </c>
    </row>
    <row r="381">
      <c r="A381" s="60" t="n">
        <v>40575</v>
      </c>
    </row>
    <row r="382">
      <c r="A382" s="60" t="n">
        <v>40603</v>
      </c>
    </row>
    <row r="383">
      <c r="A383" s="60" t="n">
        <v>40634</v>
      </c>
    </row>
    <row r="384">
      <c r="A384" s="60" t="n">
        <v>40664</v>
      </c>
    </row>
    <row r="385">
      <c r="A385" s="60" t="n">
        <v>40695</v>
      </c>
    </row>
    <row r="386">
      <c r="A386" s="60" t="n">
        <v>40725</v>
      </c>
    </row>
    <row r="387">
      <c r="A387" s="60" t="n">
        <v>40756</v>
      </c>
    </row>
    <row r="388">
      <c r="A388" s="60" t="n">
        <v>40787</v>
      </c>
    </row>
    <row r="389">
      <c r="A389" s="60" t="n">
        <v>40817</v>
      </c>
    </row>
    <row r="390">
      <c r="A390" s="60" t="n">
        <v>40848</v>
      </c>
    </row>
    <row r="391">
      <c r="A391" s="60" t="n">
        <v>40878</v>
      </c>
    </row>
    <row r="392">
      <c r="A392" s="60" t="n">
        <v>40909</v>
      </c>
    </row>
    <row r="393">
      <c r="A393" s="60" t="n">
        <v>40940</v>
      </c>
    </row>
    <row r="394">
      <c r="A394" s="60" t="n">
        <v>40969</v>
      </c>
    </row>
    <row r="395">
      <c r="A395" s="60" t="n">
        <v>41000</v>
      </c>
    </row>
    <row r="396">
      <c r="A396" s="60" t="n">
        <v>41030</v>
      </c>
    </row>
    <row r="397">
      <c r="A397" s="60" t="n">
        <v>41061</v>
      </c>
    </row>
    <row r="398">
      <c r="A398" s="60" t="n">
        <v>41091</v>
      </c>
    </row>
    <row r="399">
      <c r="A399" s="60" t="n">
        <v>41122</v>
      </c>
    </row>
    <row r="400">
      <c r="A400" s="60" t="n">
        <v>41153</v>
      </c>
    </row>
    <row r="401">
      <c r="A401" s="60" t="n">
        <v>41183</v>
      </c>
    </row>
    <row r="402">
      <c r="A402" s="60" t="n">
        <v>41214</v>
      </c>
    </row>
    <row r="403">
      <c r="A403" s="60" t="n">
        <v>41244</v>
      </c>
    </row>
    <row r="404">
      <c r="A404" s="60" t="n">
        <v>41275</v>
      </c>
    </row>
    <row r="405">
      <c r="A405" s="60" t="n">
        <v>41306</v>
      </c>
    </row>
    <row r="406">
      <c r="A406" s="60" t="n">
        <v>41334</v>
      </c>
    </row>
    <row r="407">
      <c r="A407" s="60" t="n">
        <v>41365</v>
      </c>
    </row>
    <row r="408">
      <c r="A408" s="60" t="n">
        <v>41395</v>
      </c>
    </row>
    <row r="409">
      <c r="A409" s="60" t="n">
        <v>41426</v>
      </c>
    </row>
    <row r="410">
      <c r="A410" s="60" t="n">
        <v>41456</v>
      </c>
    </row>
    <row r="411">
      <c r="A411" s="60" t="n">
        <v>41487</v>
      </c>
    </row>
    <row r="412">
      <c r="A412" s="60" t="n">
        <v>41518</v>
      </c>
    </row>
    <row r="413">
      <c r="A413" s="60" t="n">
        <v>41548</v>
      </c>
    </row>
    <row r="414">
      <c r="A414" s="60" t="n">
        <v>41579</v>
      </c>
    </row>
    <row r="415">
      <c r="A415" s="60" t="n">
        <v>41609</v>
      </c>
    </row>
    <row r="416">
      <c r="A416" s="60" t="n">
        <v>41640</v>
      </c>
    </row>
    <row r="417">
      <c r="A417" s="60" t="n">
        <v>41671</v>
      </c>
    </row>
    <row r="418">
      <c r="A418" s="60" t="n">
        <v>41699</v>
      </c>
    </row>
    <row r="419">
      <c r="A419" s="60" t="n">
        <v>41730</v>
      </c>
    </row>
    <row r="420">
      <c r="A420" s="60" t="n">
        <v>41760</v>
      </c>
    </row>
    <row r="421">
      <c r="A421" s="60" t="n">
        <v>41791</v>
      </c>
    </row>
    <row r="422">
      <c r="A422" s="60" t="n">
        <v>41821</v>
      </c>
    </row>
    <row r="423">
      <c r="A423" s="60" t="n">
        <v>41852</v>
      </c>
    </row>
    <row r="424">
      <c r="A424" s="60" t="n">
        <v>41883</v>
      </c>
    </row>
    <row r="425">
      <c r="A425" s="60" t="n">
        <v>41913</v>
      </c>
    </row>
    <row r="426">
      <c r="A426" s="60" t="n">
        <v>41944</v>
      </c>
    </row>
    <row r="427">
      <c r="A427" s="60" t="n">
        <v>41974</v>
      </c>
    </row>
    <row r="428">
      <c r="A428" s="60" t="n">
        <v>42005</v>
      </c>
    </row>
    <row r="429">
      <c r="A429" s="60" t="n">
        <v>42036</v>
      </c>
    </row>
    <row r="430">
      <c r="A430" s="60" t="n">
        <v>42064</v>
      </c>
    </row>
    <row r="431">
      <c r="A431" s="60" t="n">
        <v>42095</v>
      </c>
    </row>
    <row r="432">
      <c r="A432" s="60" t="n">
        <v>42125</v>
      </c>
    </row>
    <row r="433">
      <c r="A433" s="60" t="n">
        <v>42156</v>
      </c>
    </row>
    <row r="434">
      <c r="A434" s="60" t="n">
        <v>42186</v>
      </c>
    </row>
    <row r="435">
      <c r="A435" s="60" t="n">
        <v>42217</v>
      </c>
    </row>
    <row r="436">
      <c r="A436" s="60" t="n">
        <v>42248</v>
      </c>
    </row>
    <row r="437">
      <c r="A437" s="60" t="n">
        <v>42278</v>
      </c>
    </row>
    <row r="438">
      <c r="A438" s="60" t="n">
        <v>42309</v>
      </c>
    </row>
    <row r="439">
      <c r="A439" s="60" t="n">
        <v>42339</v>
      </c>
    </row>
    <row r="440">
      <c r="A440" s="60" t="n">
        <v>42370</v>
      </c>
    </row>
    <row r="441">
      <c r="A441" s="60" t="n">
        <v>42401</v>
      </c>
    </row>
    <row r="442">
      <c r="A442" s="60" t="n">
        <v>42430</v>
      </c>
    </row>
    <row r="443">
      <c r="A443" s="60" t="n">
        <v>42461</v>
      </c>
    </row>
    <row r="444">
      <c r="A444" s="60" t="n">
        <v>42491</v>
      </c>
    </row>
    <row r="445">
      <c r="A445" s="60" t="n">
        <v>42522</v>
      </c>
    </row>
    <row r="446">
      <c r="A446" s="60" t="n">
        <v>42552</v>
      </c>
    </row>
    <row r="447">
      <c r="A447" s="60" t="n">
        <v>42583</v>
      </c>
    </row>
    <row r="448">
      <c r="A448" s="60" t="n">
        <v>42614</v>
      </c>
    </row>
    <row r="449">
      <c r="A449" s="60" t="n">
        <v>42644</v>
      </c>
    </row>
    <row r="450">
      <c r="A450" s="60" t="n">
        <v>42675</v>
      </c>
    </row>
    <row r="451">
      <c r="A451" s="60" t="n">
        <v>42705</v>
      </c>
    </row>
    <row r="452">
      <c r="A452" s="60" t="n">
        <v>42736</v>
      </c>
    </row>
    <row r="453">
      <c r="A453" s="60" t="n">
        <v>42767</v>
      </c>
    </row>
    <row r="454">
      <c r="A454" s="60" t="n">
        <v>42795</v>
      </c>
    </row>
    <row r="455">
      <c r="A455" s="60" t="n">
        <v>42826</v>
      </c>
    </row>
    <row r="456">
      <c r="A456" s="60" t="n">
        <v>42856</v>
      </c>
    </row>
    <row r="457">
      <c r="A457" s="60" t="n">
        <v>42887</v>
      </c>
    </row>
    <row r="458">
      <c r="A458" s="60" t="n">
        <v>42917</v>
      </c>
    </row>
    <row r="459">
      <c r="A459" s="60" t="n">
        <v>42948</v>
      </c>
    </row>
    <row r="460">
      <c r="A460" s="60" t="n">
        <v>42979</v>
      </c>
    </row>
    <row r="461">
      <c r="A461" s="60" t="n">
        <v>43009</v>
      </c>
    </row>
    <row r="462">
      <c r="A462" s="60" t="n">
        <v>43040</v>
      </c>
    </row>
    <row r="463">
      <c r="A463" s="60" t="n">
        <v>43070</v>
      </c>
    </row>
    <row r="464">
      <c r="A464" s="60" t="n">
        <v>43101</v>
      </c>
    </row>
    <row r="465">
      <c r="A465" s="60" t="n">
        <v>43132</v>
      </c>
    </row>
    <row r="466">
      <c r="A466" s="60" t="n">
        <v>43160</v>
      </c>
    </row>
    <row r="467">
      <c r="A467" s="60" t="n">
        <v>43191</v>
      </c>
    </row>
    <row r="468">
      <c r="A468" s="60" t="n">
        <v>43221</v>
      </c>
    </row>
    <row r="469">
      <c r="A469" s="60" t="n">
        <v>43252</v>
      </c>
    </row>
    <row r="470">
      <c r="A470" s="60" t="n">
        <v>43282</v>
      </c>
    </row>
    <row r="471">
      <c r="A471" s="60" t="n">
        <v>43313</v>
      </c>
    </row>
    <row r="472">
      <c r="A472" s="60" t="n">
        <v>43344</v>
      </c>
    </row>
    <row r="473">
      <c r="A473" s="60" t="n">
        <v>43374</v>
      </c>
    </row>
    <row r="474">
      <c r="A474" s="60" t="n">
        <v>43405</v>
      </c>
    </row>
    <row r="475">
      <c r="A475" s="60" t="n">
        <v>43435</v>
      </c>
    </row>
    <row r="476">
      <c r="A476" s="60" t="n">
        <v>43466</v>
      </c>
    </row>
    <row r="477">
      <c r="A477" s="60" t="n">
        <v>43497</v>
      </c>
    </row>
    <row r="478">
      <c r="A478" s="60" t="n">
        <v>43525</v>
      </c>
    </row>
    <row r="479">
      <c r="A479" s="60" t="n">
        <v>43556</v>
      </c>
    </row>
    <row r="480">
      <c r="A480" s="60" t="n">
        <v>43586</v>
      </c>
    </row>
    <row r="481">
      <c r="A481" s="60" t="n">
        <v>43617</v>
      </c>
    </row>
    <row r="482">
      <c r="A482" s="60" t="n">
        <v>43647</v>
      </c>
    </row>
    <row r="483">
      <c r="A483" s="60" t="n">
        <v>43678</v>
      </c>
    </row>
    <row r="484">
      <c r="A484" s="60" t="n">
        <v>43709</v>
      </c>
    </row>
    <row r="485">
      <c r="A485" s="60" t="n">
        <v>43739</v>
      </c>
    </row>
    <row r="486">
      <c r="A486" s="60" t="n">
        <v>43770</v>
      </c>
    </row>
    <row r="487">
      <c r="A487" s="60" t="n">
        <v>43800</v>
      </c>
    </row>
    <row r="488">
      <c r="A488" s="60" t="n">
        <v>43831</v>
      </c>
    </row>
    <row r="489">
      <c r="A489" s="60" t="n">
        <v>43862</v>
      </c>
    </row>
    <row r="490">
      <c r="A490" s="60" t="n">
        <v>43891</v>
      </c>
    </row>
    <row r="491">
      <c r="A491" s="60" t="n">
        <v>43922</v>
      </c>
    </row>
    <row r="492">
      <c r="A492" s="60" t="n">
        <v>43952</v>
      </c>
    </row>
    <row r="493">
      <c r="A493" s="60" t="n">
        <v>43983</v>
      </c>
    </row>
    <row r="494">
      <c r="A494" s="60" t="n">
        <v>44013</v>
      </c>
    </row>
    <row r="495">
      <c r="A495" s="60" t="n">
        <v>44044</v>
      </c>
    </row>
    <row r="496">
      <c r="A496" s="60" t="n">
        <v>44075</v>
      </c>
    </row>
    <row r="497">
      <c r="A497" s="60" t="n">
        <v>44105</v>
      </c>
    </row>
    <row r="498">
      <c r="A498" s="60" t="n">
        <v>44136</v>
      </c>
    </row>
    <row r="499">
      <c r="A499" s="60" t="n">
        <v>44166</v>
      </c>
    </row>
    <row r="500">
      <c r="A500" s="60" t="n">
        <v>44197</v>
      </c>
    </row>
    <row r="501">
      <c r="A501" s="60" t="n">
        <v>44228</v>
      </c>
    </row>
    <row r="502">
      <c r="A502" s="60" t="n">
        <v>44256</v>
      </c>
    </row>
    <row r="503">
      <c r="A503" s="60" t="n">
        <v>44287</v>
      </c>
    </row>
    <row r="504">
      <c r="A504" s="60" t="n">
        <v>44317</v>
      </c>
    </row>
    <row r="505">
      <c r="A505" s="60" t="n">
        <v>44348</v>
      </c>
    </row>
    <row r="506">
      <c r="A506" s="60" t="n">
        <v>44378</v>
      </c>
    </row>
    <row r="507">
      <c r="A507" s="60" t="n">
        <v>44409</v>
      </c>
    </row>
    <row r="508">
      <c r="A508" s="60" t="n">
        <v>44440</v>
      </c>
    </row>
    <row r="509">
      <c r="A509" s="60" t="n">
        <v>44470</v>
      </c>
    </row>
    <row r="510">
      <c r="A510" s="60" t="n">
        <v>44501</v>
      </c>
    </row>
    <row r="511">
      <c r="A511" s="60" t="n">
        <v>44531</v>
      </c>
    </row>
    <row r="512">
      <c r="A512" s="60" t="n">
        <v>44562</v>
      </c>
    </row>
    <row r="513">
      <c r="A513" s="60" t="n">
        <v>44593</v>
      </c>
    </row>
    <row r="514">
      <c r="A514" s="60" t="n">
        <v>44621</v>
      </c>
    </row>
    <row r="515">
      <c r="A515" s="60" t="n">
        <v>44652</v>
      </c>
    </row>
    <row r="516">
      <c r="A516" s="60" t="n">
        <v>44682</v>
      </c>
    </row>
    <row r="517">
      <c r="A517" s="60" t="n">
        <v>44713</v>
      </c>
    </row>
    <row r="518">
      <c r="A518" s="60" t="n">
        <v>44743</v>
      </c>
    </row>
    <row r="519">
      <c r="A519" s="60" t="n">
        <v>44774</v>
      </c>
    </row>
    <row r="520">
      <c r="A520" s="60" t="n">
        <v>44805</v>
      </c>
    </row>
    <row r="521">
      <c r="A521" s="60" t="n">
        <v>44835</v>
      </c>
    </row>
    <row r="522">
      <c r="A522" s="60" t="n">
        <v>44866</v>
      </c>
    </row>
    <row r="523">
      <c r="A523" s="60" t="n">
        <v>44896</v>
      </c>
    </row>
    <row r="524">
      <c r="A524" s="60" t="n">
        <v>44927</v>
      </c>
    </row>
    <row r="525">
      <c r="A525" s="60" t="n">
        <v>44958</v>
      </c>
    </row>
    <row r="526">
      <c r="A526" s="60" t="n">
        <v>44986</v>
      </c>
    </row>
    <row r="527">
      <c r="A527" s="60" t="n">
        <v>45017</v>
      </c>
    </row>
    <row r="528">
      <c r="A528" s="60" t="n">
        <v>45047</v>
      </c>
    </row>
    <row r="529">
      <c r="A529" s="60" t="n">
        <v>45078</v>
      </c>
    </row>
    <row r="530">
      <c r="A530" s="60" t="n">
        <v>45108</v>
      </c>
    </row>
    <row r="531">
      <c r="A531" s="60" t="n">
        <v>45139</v>
      </c>
    </row>
    <row r="532">
      <c r="A532" s="60" t="n">
        <v>45170</v>
      </c>
    </row>
    <row r="533">
      <c r="A533" s="60" t="n">
        <v>45200</v>
      </c>
    </row>
    <row r="534">
      <c r="A534" s="60" t="n">
        <v>45231</v>
      </c>
    </row>
    <row r="535">
      <c r="A535" s="60" t="n">
        <v>45261</v>
      </c>
    </row>
    <row r="536">
      <c r="A536" s="60" t="n">
        <v>45292</v>
      </c>
    </row>
    <row r="537">
      <c r="A537" s="60" t="n">
        <v>45323</v>
      </c>
    </row>
    <row r="538">
      <c r="A538" s="60" t="n">
        <v>45352</v>
      </c>
    </row>
    <row r="539">
      <c r="A539" s="60" t="n">
        <v>45383</v>
      </c>
    </row>
    <row r="540">
      <c r="A540" s="60" t="n">
        <v>45413</v>
      </c>
    </row>
    <row r="541">
      <c r="A541" s="60" t="n">
        <v>45444</v>
      </c>
    </row>
    <row r="542">
      <c r="A542" s="60" t="n">
        <v>45474</v>
      </c>
    </row>
    <row r="543">
      <c r="A543" s="60" t="n">
        <v>45505</v>
      </c>
    </row>
    <row r="544">
      <c r="A544" s="60" t="n">
        <v>45536</v>
      </c>
    </row>
    <row r="545">
      <c r="A545" s="60" t="n">
        <v>45566</v>
      </c>
    </row>
    <row r="546">
      <c r="A546" s="60" t="n">
        <v>45597</v>
      </c>
    </row>
    <row r="547">
      <c r="A547" s="60" t="n">
        <v>45627</v>
      </c>
    </row>
    <row r="548">
      <c r="A548" s="60" t="n">
        <v>45658</v>
      </c>
    </row>
    <row r="549">
      <c r="A549" s="60" t="n">
        <v>45689</v>
      </c>
    </row>
    <row r="550">
      <c r="A550" s="60" t="n">
        <v>45717</v>
      </c>
    </row>
    <row r="551">
      <c r="A551" s="60" t="n">
        <v>45748</v>
      </c>
    </row>
    <row r="552">
      <c r="A552" s="60" t="n">
        <v>45778</v>
      </c>
    </row>
    <row r="553">
      <c r="A553" s="60" t="n">
        <v>45809</v>
      </c>
    </row>
    <row r="554">
      <c r="A554" s="60" t="n">
        <v>45839</v>
      </c>
    </row>
    <row r="555">
      <c r="A555" s="60" t="n">
        <v>45870</v>
      </c>
    </row>
    <row r="556">
      <c r="A556" s="60" t="n">
        <v>45901</v>
      </c>
    </row>
    <row r="557">
      <c r="A557" s="60" t="n">
        <v>45931</v>
      </c>
    </row>
    <row r="558">
      <c r="A558" s="60" t="n">
        <v>45962</v>
      </c>
    </row>
    <row r="559">
      <c r="A559" s="60" t="n">
        <v>45992</v>
      </c>
    </row>
    <row r="560">
      <c r="A560" s="60" t="n">
        <v>46023</v>
      </c>
    </row>
    <row r="561">
      <c r="A561" s="60" t="n">
        <v>46054</v>
      </c>
    </row>
    <row r="562">
      <c r="A562" s="60" t="n">
        <v>46082</v>
      </c>
    </row>
    <row r="563">
      <c r="A563" s="60" t="n">
        <v>46113</v>
      </c>
    </row>
    <row r="564">
      <c r="A564" s="60" t="n">
        <v>46143</v>
      </c>
    </row>
    <row r="565">
      <c r="A565" s="60" t="n">
        <v>46174</v>
      </c>
    </row>
    <row r="566">
      <c r="A566" s="60" t="n">
        <v>46204</v>
      </c>
    </row>
    <row r="567">
      <c r="A567" s="60" t="n">
        <v>46235</v>
      </c>
    </row>
    <row r="568">
      <c r="A568" s="60" t="n">
        <v>46266</v>
      </c>
    </row>
    <row r="569">
      <c r="A569" s="60" t="n">
        <v>46296</v>
      </c>
    </row>
    <row r="570">
      <c r="A570" s="60" t="n">
        <v>46327</v>
      </c>
    </row>
    <row r="571">
      <c r="A571" s="60" t="n">
        <v>46357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AE747"/>
  <sheetViews>
    <sheetView workbookViewId="0">
      <pane xSplit="1" ySplit="2" topLeftCell="B542" activePane="bottomRight" state="frozen"/>
      <selection pane="topRight" activeCell="B1" sqref="B1"/>
      <selection pane="bottomLeft" activeCell="A3" sqref="A3"/>
      <selection pane="bottomRight" activeCell="D561" sqref="D561"/>
    </sheetView>
  </sheetViews>
  <sheetFormatPr baseColWidth="8" defaultRowHeight="15"/>
  <cols>
    <col width="9.140625" customWidth="1" style="5" min="1" max="1"/>
    <col width="11.42578125" customWidth="1" style="5" min="2" max="9"/>
    <col width="11.42578125" customWidth="1" style="8" min="10" max="10"/>
    <col width="11.42578125" customWidth="1" style="5" min="11" max="13"/>
    <col width="9.140625" customWidth="1" style="5" min="14" max="16"/>
    <col width="9.140625" customWidth="1" min="17" max="17"/>
    <col width="9.140625" customWidth="1" style="5" min="18" max="23"/>
    <col width="9.140625" customWidth="1" style="5" min="24" max="16384"/>
  </cols>
  <sheetData>
    <row r="1" ht="38.25" customFormat="1" customHeight="1" s="11">
      <c r="B1" s="11" t="inlineStr">
        <is>
          <t>NOPA Crush</t>
        </is>
      </c>
      <c r="C1" s="11" t="inlineStr">
        <is>
          <t>Meal Production</t>
        </is>
      </c>
      <c r="D1" s="11" t="inlineStr">
        <is>
          <t>Oil Production</t>
        </is>
      </c>
      <c r="E1" s="11" t="inlineStr">
        <is>
          <t>Meal Yield</t>
        </is>
      </c>
      <c r="F1" s="11" t="inlineStr">
        <is>
          <t>Oil Yield</t>
        </is>
      </c>
      <c r="G1" s="11" t="inlineStr">
        <is>
          <t>Meal Exports</t>
        </is>
      </c>
      <c r="H1" s="11" t="inlineStr">
        <is>
          <t>Oil Stocks</t>
        </is>
      </c>
      <c r="J1" s="11" t="inlineStr">
        <is>
          <t>Census / NASS - NOPA</t>
        </is>
      </c>
      <c r="K1" s="11" t="inlineStr">
        <is>
          <t>Non-NOPA Portion</t>
        </is>
      </c>
      <c r="M1" s="11" t="inlineStr">
        <is>
          <t>NOPA Daily Capacity</t>
        </is>
      </c>
      <c r="N1" s="11" t="inlineStr">
        <is>
          <t>NOPA Annual Capacity</t>
        </is>
      </c>
      <c r="O1" s="11" t="inlineStr">
        <is>
          <t>US Daily Capacity</t>
        </is>
      </c>
      <c r="P1" s="11" t="inlineStr">
        <is>
          <t>US Annual Capacity</t>
        </is>
      </c>
    </row>
    <row r="2" ht="13.5" customFormat="1" customHeight="1" s="9">
      <c r="A2" s="10" t="n"/>
      <c r="B2" s="10" t="inlineStr">
        <is>
          <t>mil bu</t>
        </is>
      </c>
      <c r="C2" s="10" t="inlineStr">
        <is>
          <t>000 tons</t>
        </is>
      </c>
      <c r="D2" s="10" t="inlineStr">
        <is>
          <t>mil lbs</t>
        </is>
      </c>
      <c r="E2" s="10" t="inlineStr">
        <is>
          <t>lbs/bu</t>
        </is>
      </c>
      <c r="F2" s="10" t="inlineStr">
        <is>
          <t>lbs/bu</t>
        </is>
      </c>
      <c r="G2" s="10" t="inlineStr">
        <is>
          <t>000 tons</t>
        </is>
      </c>
      <c r="H2" s="10" t="inlineStr">
        <is>
          <t>mil lbs</t>
        </is>
      </c>
      <c r="I2" s="10" t="n"/>
      <c r="J2" s="10" t="inlineStr">
        <is>
          <t>mil bu</t>
        </is>
      </c>
      <c r="K2" s="10" t="n"/>
      <c r="L2" s="10" t="n"/>
      <c r="M2" s="10" t="inlineStr">
        <is>
          <t>mil bu/day</t>
        </is>
      </c>
      <c r="N2" s="10" t="inlineStr">
        <is>
          <t>mil bu/yr</t>
        </is>
      </c>
      <c r="O2" s="10" t="inlineStr">
        <is>
          <t>mil bu/day</t>
        </is>
      </c>
      <c r="P2" s="10" t="inlineStr">
        <is>
          <t>mil bu/yr</t>
        </is>
      </c>
      <c r="Q2" s="10" t="n"/>
      <c r="R2" s="10" t="n"/>
      <c r="S2" s="10" t="n"/>
    </row>
    <row r="3" ht="13.5" customHeight="1">
      <c r="A3" s="6" t="n">
        <v>29099</v>
      </c>
      <c r="B3" s="8" t="n">
        <v>75.5</v>
      </c>
      <c r="C3" s="8" t="n"/>
      <c r="D3" s="8" t="n">
        <v>845.1</v>
      </c>
      <c r="F3" s="12">
        <f>D3/B3</f>
        <v/>
      </c>
      <c r="G3" s="8" t="n"/>
      <c r="H3" s="8" t="n">
        <v>215.4</v>
      </c>
      <c r="J3" s="8">
        <f>('Census Crush'!$B2*36.7437/1000)-B3</f>
        <v/>
      </c>
      <c r="K3" s="7">
        <f>J3/('Census Crush'!$B2*36.7437/1000)</f>
        <v/>
      </c>
      <c r="Q3" s="56">
        <f>B3/31</f>
        <v/>
      </c>
    </row>
    <row r="4" ht="13.5" customHeight="1">
      <c r="A4" s="6" t="n">
        <v>29129</v>
      </c>
      <c r="B4" s="8" t="n">
        <v>95.5</v>
      </c>
      <c r="C4" s="8" t="n"/>
      <c r="D4" s="8" t="n">
        <v>1017.6</v>
      </c>
      <c r="F4" s="12">
        <f>D4/B4</f>
        <v/>
      </c>
      <c r="G4" s="8" t="n"/>
      <c r="H4" s="8" t="n">
        <v>222.6</v>
      </c>
      <c r="J4" s="8">
        <f>('Census Crush'!$B3*36.7437/1000)-B4</f>
        <v/>
      </c>
      <c r="K4" s="7">
        <f>J4/('Census Crush'!$B3*36.7437/1000)</f>
        <v/>
      </c>
      <c r="Q4" s="56">
        <f>B4/31</f>
        <v/>
      </c>
    </row>
    <row r="5" ht="13.5" customHeight="1">
      <c r="A5" s="6" t="n">
        <v>29160</v>
      </c>
      <c r="B5" s="8" t="n">
        <v>101</v>
      </c>
      <c r="C5" s="8" t="n"/>
      <c r="D5" s="8" t="n">
        <v>1063.8</v>
      </c>
      <c r="F5" s="12">
        <f>D5/B5</f>
        <v/>
      </c>
      <c r="G5" s="8" t="n"/>
      <c r="H5" s="8" t="n">
        <v>246.3</v>
      </c>
      <c r="J5" s="8">
        <f>('Census Crush'!$B4*36.7437/1000)-B5</f>
        <v/>
      </c>
      <c r="K5" s="7">
        <f>J5/('Census Crush'!$B4*36.7437/1000)</f>
        <v/>
      </c>
      <c r="Q5" s="56">
        <f>B5/31</f>
        <v/>
      </c>
    </row>
    <row r="6" ht="13.5" customHeight="1">
      <c r="A6" s="6" t="n">
        <v>29190</v>
      </c>
      <c r="B6" s="8" t="n">
        <v>104.1</v>
      </c>
      <c r="C6" s="8" t="n"/>
      <c r="D6" s="8" t="n">
        <v>1097</v>
      </c>
      <c r="F6" s="12">
        <f>D6/B6</f>
        <v/>
      </c>
      <c r="G6" s="8" t="n"/>
      <c r="H6" s="8" t="n">
        <v>352.8</v>
      </c>
      <c r="J6" s="8">
        <f>('Census Crush'!$B5*36.7437/1000)-B6</f>
        <v/>
      </c>
      <c r="K6" s="7">
        <f>J6/('Census Crush'!$B5*36.7437/1000)</f>
        <v/>
      </c>
      <c r="Q6" s="56">
        <f>B6/31</f>
        <v/>
      </c>
    </row>
    <row r="7" ht="13.5" customHeight="1">
      <c r="A7" s="6" t="n">
        <v>29221</v>
      </c>
      <c r="B7" s="8" t="n">
        <v>104.6</v>
      </c>
      <c r="C7" s="8" t="n"/>
      <c r="D7" s="8" t="n">
        <v>1106</v>
      </c>
      <c r="F7" s="12">
        <f>D7/B7</f>
        <v/>
      </c>
      <c r="G7" s="8" t="n"/>
      <c r="H7" s="8" t="n">
        <v>356.7</v>
      </c>
      <c r="J7" s="8">
        <f>('Census Crush'!$B6*36.7437/1000)-B7</f>
        <v/>
      </c>
      <c r="K7" s="7">
        <f>J7/('Census Crush'!$B6*36.7437/1000)</f>
        <v/>
      </c>
      <c r="Q7" s="56">
        <f>B7/31</f>
        <v/>
      </c>
    </row>
    <row r="8" ht="13.5" customHeight="1">
      <c r="A8" s="6" t="n">
        <v>29252</v>
      </c>
      <c r="B8" s="8" t="n">
        <v>98.90000000000001</v>
      </c>
      <c r="C8" s="8" t="n"/>
      <c r="D8" s="8" t="n">
        <v>1054.4</v>
      </c>
      <c r="F8" s="12">
        <f>D8/B8</f>
        <v/>
      </c>
      <c r="G8" s="8" t="n"/>
      <c r="H8" s="8" t="n">
        <v>391.8</v>
      </c>
      <c r="J8" s="8">
        <f>('Census Crush'!$B7*36.7437/1000)-B8</f>
        <v/>
      </c>
      <c r="K8" s="7">
        <f>J8/('Census Crush'!$B7*36.7437/1000)</f>
        <v/>
      </c>
      <c r="Q8" s="56">
        <f>B8/29</f>
        <v/>
      </c>
    </row>
    <row r="9" ht="13.5" customHeight="1">
      <c r="A9" s="6" t="n">
        <v>29281</v>
      </c>
      <c r="B9" s="8" t="n">
        <v>101.4</v>
      </c>
      <c r="C9" s="8" t="n"/>
      <c r="D9" s="8" t="n">
        <v>1092.2</v>
      </c>
      <c r="F9" s="12">
        <f>D9/B9</f>
        <v/>
      </c>
      <c r="G9" s="8" t="n"/>
      <c r="H9" s="8" t="n">
        <v>447.5</v>
      </c>
      <c r="J9" s="8">
        <f>('Census Crush'!$B8*36.7437/1000)-B9</f>
        <v/>
      </c>
      <c r="K9" s="7">
        <f>J9/('Census Crush'!$B8*36.7437/1000)</f>
        <v/>
      </c>
      <c r="Q9" s="56">
        <f>B9/31</f>
        <v/>
      </c>
    </row>
    <row r="10" ht="13.5" customHeight="1">
      <c r="A10" s="6" t="n">
        <v>29312</v>
      </c>
      <c r="B10" s="8" t="n">
        <v>91.40000000000001</v>
      </c>
      <c r="C10" s="8" t="n"/>
      <c r="D10" s="8" t="n">
        <v>988.8</v>
      </c>
      <c r="F10" s="12">
        <f>D10/B10</f>
        <v/>
      </c>
      <c r="G10" s="8" t="n"/>
      <c r="H10" s="8" t="n">
        <v>436.6</v>
      </c>
      <c r="J10" s="8">
        <f>('Census Crush'!$B9*36.7437/1000)-B10</f>
        <v/>
      </c>
      <c r="K10" s="7">
        <f>J10/('Census Crush'!$B9*36.7437/1000)</f>
        <v/>
      </c>
      <c r="Q10" s="56">
        <f>B10/30</f>
        <v/>
      </c>
    </row>
    <row r="11" ht="13.5" customHeight="1">
      <c r="A11" s="6" t="n">
        <v>29342</v>
      </c>
      <c r="B11" s="8" t="n">
        <v>93.2</v>
      </c>
      <c r="C11" s="8" t="n"/>
      <c r="D11" s="8" t="n">
        <v>1012.5</v>
      </c>
      <c r="F11" s="12">
        <f>D11/B11</f>
        <v/>
      </c>
      <c r="G11" s="8" t="n"/>
      <c r="H11" s="8" t="n">
        <v>481.6</v>
      </c>
      <c r="J11" s="8">
        <f>('Census Crush'!$B10*36.7437/1000)-B11</f>
        <v/>
      </c>
      <c r="K11" s="7">
        <f>J11/('Census Crush'!$B10*36.7437/1000)</f>
        <v/>
      </c>
      <c r="Q11" s="56">
        <f>B11/31</f>
        <v/>
      </c>
    </row>
    <row r="12" ht="13.5" customHeight="1">
      <c r="A12" s="6" t="n">
        <v>29373</v>
      </c>
      <c r="B12" s="8" t="n">
        <v>81.90000000000001</v>
      </c>
      <c r="C12" s="8" t="n"/>
      <c r="D12" s="8" t="n">
        <v>884.9</v>
      </c>
      <c r="F12" s="12">
        <f>D12/B12</f>
        <v/>
      </c>
      <c r="G12" s="8" t="n"/>
      <c r="H12" s="8" t="n">
        <v>521.5</v>
      </c>
      <c r="J12" s="8">
        <f>('Census Crush'!$B11*36.7437/1000)-B12</f>
        <v/>
      </c>
      <c r="K12" s="7">
        <f>J12/('Census Crush'!$B11*36.7437/1000)</f>
        <v/>
      </c>
      <c r="Q12" s="56">
        <f>B12/30</f>
        <v/>
      </c>
    </row>
    <row r="13" ht="13.5" customHeight="1">
      <c r="A13" s="6" t="n">
        <v>29403</v>
      </c>
      <c r="B13" s="8" t="n">
        <v>84.09999999999999</v>
      </c>
      <c r="C13" s="8" t="n"/>
      <c r="D13" s="8" t="n">
        <v>919.6</v>
      </c>
      <c r="F13" s="12">
        <f>D13/B13</f>
        <v/>
      </c>
      <c r="G13" s="8" t="n"/>
      <c r="H13" s="8" t="n">
        <v>558.8</v>
      </c>
      <c r="J13" s="8">
        <f>('Census Crush'!$B12*36.7437/1000)-B13</f>
        <v/>
      </c>
      <c r="K13" s="7">
        <f>J13/('Census Crush'!$B12*36.7437/1000)</f>
        <v/>
      </c>
      <c r="Q13" s="56">
        <f>B13/31</f>
        <v/>
      </c>
    </row>
    <row r="14" ht="13.5" customHeight="1">
      <c r="A14" s="6" t="n">
        <v>29434</v>
      </c>
      <c r="B14" s="8" t="n">
        <v>82.09999999999999</v>
      </c>
      <c r="C14" s="8" t="n"/>
      <c r="D14" s="8" t="n">
        <v>896</v>
      </c>
      <c r="F14" s="12">
        <f>D14/B14</f>
        <v/>
      </c>
      <c r="G14" s="8" t="n"/>
      <c r="H14" s="8" t="n">
        <v>578.1</v>
      </c>
      <c r="J14" s="8">
        <f>('Census Crush'!$B13*36.7437/1000)-B14</f>
        <v/>
      </c>
      <c r="K14" s="7">
        <f>J14/('Census Crush'!$B13*36.7437/1000)</f>
        <v/>
      </c>
      <c r="Q14" s="56">
        <f>B14/31</f>
        <v/>
      </c>
    </row>
    <row r="15" ht="13.5" customHeight="1">
      <c r="A15" s="6" t="n">
        <v>29465</v>
      </c>
      <c r="B15" s="8" t="n">
        <v>80.8</v>
      </c>
      <c r="C15" s="8" t="n"/>
      <c r="D15" s="8" t="n">
        <v>886.3</v>
      </c>
      <c r="F15" s="12">
        <f>D15/B15</f>
        <v/>
      </c>
      <c r="G15" s="8" t="n"/>
      <c r="H15" s="8" t="n">
        <v>544.1</v>
      </c>
      <c r="J15" s="8">
        <f>('Census Crush'!$B14*36.7437/1000)-B15</f>
        <v/>
      </c>
      <c r="K15" s="7">
        <f>J15/('Census Crush'!$B14*36.7437/1000)</f>
        <v/>
      </c>
      <c r="Q15" s="56">
        <f>B15/30</f>
        <v/>
      </c>
    </row>
    <row r="16" ht="13.5" customHeight="1">
      <c r="A16" s="6" t="n">
        <v>29495</v>
      </c>
      <c r="B16" s="8" t="n">
        <v>98.90000000000001</v>
      </c>
      <c r="C16" s="8" t="n"/>
      <c r="D16" s="8" t="n">
        <v>1067.6</v>
      </c>
      <c r="F16" s="12">
        <f>D16/B16</f>
        <v/>
      </c>
      <c r="G16" s="8" t="n"/>
      <c r="H16" s="8" t="n">
        <v>665.4</v>
      </c>
      <c r="J16" s="8">
        <f>('Census Crush'!$B15*36.7437/1000)-B16</f>
        <v/>
      </c>
      <c r="K16" s="7">
        <f>J16/('Census Crush'!$B15*36.7437/1000)</f>
        <v/>
      </c>
      <c r="Q16" s="56">
        <f>B16/31</f>
        <v/>
      </c>
    </row>
    <row r="17" ht="13.5" customHeight="1">
      <c r="A17" s="6" t="n">
        <v>29526</v>
      </c>
      <c r="B17" s="8" t="n">
        <v>96.7</v>
      </c>
      <c r="C17" s="8" t="n"/>
      <c r="D17" s="8" t="n">
        <v>1054.4</v>
      </c>
      <c r="F17" s="12">
        <f>D17/B17</f>
        <v/>
      </c>
      <c r="G17" s="8" t="n"/>
      <c r="H17" s="8" t="n">
        <v>796.9</v>
      </c>
      <c r="J17" s="8">
        <f>('Census Crush'!$B16*36.7437/1000)-B17</f>
        <v/>
      </c>
      <c r="K17" s="7">
        <f>J17/('Census Crush'!$B16*36.7437/1000)</f>
        <v/>
      </c>
      <c r="Q17" s="56">
        <f>B17/30</f>
        <v/>
      </c>
    </row>
    <row r="18" ht="13.5" customHeight="1">
      <c r="A18" s="6" t="n">
        <v>29556</v>
      </c>
      <c r="B18" s="8" t="n">
        <v>93.09999999999999</v>
      </c>
      <c r="C18" s="8" t="n"/>
      <c r="D18" s="8" t="n">
        <v>1014.7</v>
      </c>
      <c r="F18" s="12">
        <f>D18/B18</f>
        <v/>
      </c>
      <c r="G18" s="8" t="n"/>
      <c r="H18" s="8" t="n">
        <v>807.3</v>
      </c>
      <c r="J18" s="8">
        <f>('Census Crush'!$B17*36.7437/1000)-B18</f>
        <v/>
      </c>
      <c r="K18" s="7">
        <f>J18/('Census Crush'!$B17*36.7437/1000)</f>
        <v/>
      </c>
      <c r="Q18" s="56">
        <f>B18/31</f>
        <v/>
      </c>
    </row>
    <row r="19" ht="13.5" customHeight="1">
      <c r="A19" s="6" t="n">
        <v>29587</v>
      </c>
      <c r="B19" s="8" t="n">
        <v>91.7</v>
      </c>
      <c r="C19" s="8" t="n"/>
      <c r="D19" s="8" t="n">
        <v>994.6</v>
      </c>
      <c r="F19" s="12">
        <f>D19/B19</f>
        <v/>
      </c>
      <c r="G19" s="8" t="n"/>
      <c r="H19" s="8" t="n">
        <v>945.8</v>
      </c>
      <c r="J19" s="8">
        <f>('Census Crush'!$B18*36.7437/1000)-B19</f>
        <v/>
      </c>
      <c r="K19" s="7">
        <f>J19/('Census Crush'!$B18*36.7437/1000)</f>
        <v/>
      </c>
      <c r="Q19" s="56">
        <f>B19/31</f>
        <v/>
      </c>
    </row>
    <row r="20" ht="13.5" customHeight="1">
      <c r="A20" s="6" t="n">
        <v>29618</v>
      </c>
      <c r="B20" s="8" t="n">
        <v>78.40000000000001</v>
      </c>
      <c r="C20" s="8" t="n"/>
      <c r="D20" s="8" t="n">
        <v>872.7</v>
      </c>
      <c r="F20" s="12">
        <f>D20/B20</f>
        <v/>
      </c>
      <c r="G20" s="8" t="n"/>
      <c r="H20" s="8" t="n">
        <v>998.4</v>
      </c>
      <c r="J20" s="8">
        <f>('Census Crush'!$B19*36.7437/1000)-B20</f>
        <v/>
      </c>
      <c r="K20" s="7">
        <f>J20/('Census Crush'!$B19*36.7437/1000)</f>
        <v/>
      </c>
      <c r="Q20" s="56">
        <f>B20/28</f>
        <v/>
      </c>
    </row>
    <row r="21" ht="13.5" customHeight="1">
      <c r="A21" s="6" t="n">
        <v>29646</v>
      </c>
      <c r="B21" s="8" t="n">
        <v>89.09999999999999</v>
      </c>
      <c r="C21" s="8" t="n"/>
      <c r="D21" s="8" t="n">
        <v>992.3</v>
      </c>
      <c r="F21" s="12">
        <f>D21/B21</f>
        <v/>
      </c>
      <c r="G21" s="8" t="n"/>
      <c r="H21" s="8" t="n">
        <v>1010.6</v>
      </c>
      <c r="J21" s="8">
        <f>('Census Crush'!$B20*36.7437/1000)-B21</f>
        <v/>
      </c>
      <c r="K21" s="7">
        <f>J21/('Census Crush'!$B20*36.7437/1000)</f>
        <v/>
      </c>
      <c r="Q21" s="56">
        <f>B21/31</f>
        <v/>
      </c>
    </row>
    <row r="22" ht="13.5" customHeight="1">
      <c r="A22" s="6" t="n">
        <v>29677</v>
      </c>
      <c r="B22" s="8" t="n">
        <v>84.5</v>
      </c>
      <c r="C22" s="8" t="n"/>
      <c r="D22" s="8" t="n">
        <v>943</v>
      </c>
      <c r="F22" s="12">
        <f>D22/B22</f>
        <v/>
      </c>
      <c r="G22" s="8" t="n"/>
      <c r="H22" s="8" t="n">
        <v>1062.5</v>
      </c>
      <c r="J22" s="8">
        <f>('Census Crush'!$B21*36.7437/1000)-B22</f>
        <v/>
      </c>
      <c r="K22" s="7">
        <f>J22/('Census Crush'!$B21*36.7437/1000)</f>
        <v/>
      </c>
      <c r="Q22" s="56">
        <f>B22/30</f>
        <v/>
      </c>
    </row>
    <row r="23" ht="13.5" customHeight="1">
      <c r="A23" s="6" t="n">
        <v>29707</v>
      </c>
      <c r="B23" s="8" t="n">
        <v>82.3</v>
      </c>
      <c r="C23" s="8" t="n"/>
      <c r="D23" s="8" t="n">
        <v>911.9</v>
      </c>
      <c r="F23" s="12">
        <f>D23/B23</f>
        <v/>
      </c>
      <c r="G23" s="8" t="n"/>
      <c r="H23" s="8" t="n">
        <v>1181.1</v>
      </c>
      <c r="J23" s="8">
        <f>('Census Crush'!$B22*36.7437/1000)-B23</f>
        <v/>
      </c>
      <c r="K23" s="7">
        <f>J23/('Census Crush'!$B22*36.7437/1000)</f>
        <v/>
      </c>
      <c r="Q23" s="56">
        <f>B23/31</f>
        <v/>
      </c>
    </row>
    <row r="24" ht="13.5" customHeight="1">
      <c r="A24" s="6" t="n">
        <v>29738</v>
      </c>
      <c r="B24" s="8" t="n">
        <v>72.3</v>
      </c>
      <c r="C24" s="8" t="n"/>
      <c r="D24" s="8" t="n">
        <v>809.5</v>
      </c>
      <c r="F24" s="12">
        <f>D24/B24</f>
        <v/>
      </c>
      <c r="G24" s="8" t="n"/>
      <c r="H24" s="8" t="n">
        <v>1137.4</v>
      </c>
      <c r="J24" s="8">
        <f>('Census Crush'!$B23*36.7437/1000)-B24</f>
        <v/>
      </c>
      <c r="K24" s="7">
        <f>J24/('Census Crush'!$B23*36.7437/1000)</f>
        <v/>
      </c>
      <c r="Q24" s="56">
        <f>B24/30</f>
        <v/>
      </c>
    </row>
    <row r="25" ht="13.5" customHeight="1">
      <c r="A25" s="6" t="n">
        <v>29768</v>
      </c>
      <c r="B25" s="8" t="n">
        <v>72.3</v>
      </c>
      <c r="C25" s="8" t="n"/>
      <c r="D25" s="8" t="n">
        <v>812.6</v>
      </c>
      <c r="F25" s="12">
        <f>D25/B25</f>
        <v/>
      </c>
      <c r="G25" s="8" t="n"/>
      <c r="H25" s="8" t="n">
        <v>1114.4</v>
      </c>
      <c r="J25" s="8">
        <f>('Census Crush'!$B24*36.7437/1000)-B25</f>
        <v/>
      </c>
      <c r="K25" s="7">
        <f>J25/('Census Crush'!$B24*36.7437/1000)</f>
        <v/>
      </c>
      <c r="Q25" s="56">
        <f>B25/31</f>
        <v/>
      </c>
    </row>
    <row r="26" ht="13.5" customHeight="1">
      <c r="A26" s="6" t="n">
        <v>29799</v>
      </c>
      <c r="B26" s="8" t="n">
        <v>73.8</v>
      </c>
      <c r="C26" s="8" t="n"/>
      <c r="D26" s="8" t="n">
        <v>830</v>
      </c>
      <c r="F26" s="12">
        <f>D26/B26</f>
        <v/>
      </c>
      <c r="G26" s="8" t="n"/>
      <c r="H26" s="8" t="n">
        <v>1029.2</v>
      </c>
      <c r="J26" s="8">
        <f>('Census Crush'!$B25*36.7437/1000)-B26</f>
        <v/>
      </c>
      <c r="K26" s="7">
        <f>J26/('Census Crush'!$B25*36.7437/1000)</f>
        <v/>
      </c>
      <c r="Q26" s="56">
        <f>B26/31</f>
        <v/>
      </c>
    </row>
    <row r="27" ht="13.5" customHeight="1">
      <c r="A27" s="6" t="n">
        <v>29830</v>
      </c>
      <c r="B27" s="8" t="n">
        <v>76.09999999999999</v>
      </c>
      <c r="C27" s="8" t="n"/>
      <c r="D27" s="8" t="n">
        <v>849.6</v>
      </c>
      <c r="F27" s="12">
        <f>D27/B27</f>
        <v/>
      </c>
      <c r="G27" s="8" t="n"/>
      <c r="H27" s="8" t="n">
        <v>1047.2</v>
      </c>
      <c r="J27" s="8">
        <f>('Census Crush'!$B26*36.7437/1000)-B27</f>
        <v/>
      </c>
      <c r="K27" s="7">
        <f>J27/('Census Crush'!$B26*36.7437/1000)</f>
        <v/>
      </c>
      <c r="Q27" s="56">
        <f>B27/30</f>
        <v/>
      </c>
    </row>
    <row r="28" ht="13.5" customHeight="1">
      <c r="A28" s="6" t="n">
        <v>29860</v>
      </c>
      <c r="B28" s="8" t="n">
        <v>104.3</v>
      </c>
      <c r="C28" s="8" t="n"/>
      <c r="D28" s="8" t="n">
        <v>1120.6</v>
      </c>
      <c r="F28" s="12">
        <f>D28/B28</f>
        <v/>
      </c>
      <c r="G28" s="8" t="n"/>
      <c r="H28" s="8" t="n">
        <v>1076.7</v>
      </c>
      <c r="J28" s="8">
        <f>('Census Crush'!$B27*36.7437/1000)-B28</f>
        <v/>
      </c>
      <c r="K28" s="7">
        <f>J28/('Census Crush'!$B27*36.7437/1000)</f>
        <v/>
      </c>
      <c r="M28" s="14" t="n">
        <v>3.983870967741935</v>
      </c>
      <c r="N28" s="15">
        <f>M28*355</f>
        <v/>
      </c>
      <c r="Q28" s="56">
        <f>B28/31</f>
        <v/>
      </c>
    </row>
    <row r="29" ht="13.5" customHeight="1">
      <c r="A29" s="6" t="n">
        <v>29891</v>
      </c>
      <c r="B29" s="8" t="n">
        <v>96</v>
      </c>
      <c r="C29" s="8" t="n"/>
      <c r="D29" s="8" t="n">
        <v>998.7</v>
      </c>
      <c r="F29" s="12">
        <f>D29/B29</f>
        <v/>
      </c>
      <c r="G29" s="8" t="n"/>
      <c r="H29" s="8" t="n">
        <v>1212.6</v>
      </c>
      <c r="J29" s="8">
        <f>('Census Crush'!$B28*36.7437/1000)-B29</f>
        <v/>
      </c>
      <c r="K29" s="7">
        <f>J29/('Census Crush'!$B28*36.7437/1000)</f>
        <v/>
      </c>
      <c r="M29" s="14" t="n">
        <v>3.983333333333333</v>
      </c>
      <c r="N29" s="15">
        <f>M29*355</f>
        <v/>
      </c>
      <c r="Q29" s="56">
        <f>B29/30</f>
        <v/>
      </c>
    </row>
    <row r="30" ht="13.5" customHeight="1">
      <c r="A30" s="6" t="n">
        <v>29921</v>
      </c>
      <c r="B30" s="8" t="n">
        <v>102.4</v>
      </c>
      <c r="C30" s="8" t="n"/>
      <c r="D30" s="8" t="n">
        <v>1065</v>
      </c>
      <c r="F30" s="12">
        <f>D30/B30</f>
        <v/>
      </c>
      <c r="G30" s="8" t="n"/>
      <c r="H30" s="8" t="n">
        <v>1277.5</v>
      </c>
      <c r="J30" s="8">
        <f>('Census Crush'!$B29*36.7437/1000)-B30</f>
        <v/>
      </c>
      <c r="K30" s="7">
        <f>J30/('Census Crush'!$B29*36.7437/1000)</f>
        <v/>
      </c>
      <c r="M30" s="14" t="n">
        <v>3.983870967741935</v>
      </c>
      <c r="N30" s="15">
        <f>M30*355</f>
        <v/>
      </c>
      <c r="Q30" s="56">
        <f>B30/31</f>
        <v/>
      </c>
    </row>
    <row r="31" ht="13.5" customHeight="1">
      <c r="A31" s="6" t="n">
        <v>29952</v>
      </c>
      <c r="B31" s="8" t="n">
        <v>94.2</v>
      </c>
      <c r="C31" s="8" t="n"/>
      <c r="D31" s="8" t="n">
        <v>999.9</v>
      </c>
      <c r="F31" s="12">
        <f>D31/B31</f>
        <v/>
      </c>
      <c r="G31" s="8" t="n"/>
      <c r="H31" s="8" t="n">
        <v>1407.1</v>
      </c>
      <c r="J31" s="8">
        <f>('Census Crush'!$B30*36.7437/1000)-B31</f>
        <v/>
      </c>
      <c r="K31" s="7">
        <f>J31/('Census Crush'!$B30*36.7437/1000)</f>
        <v/>
      </c>
      <c r="M31" s="14" t="n">
        <v>4.061290322580645</v>
      </c>
      <c r="N31" s="15">
        <f>M31*355</f>
        <v/>
      </c>
      <c r="Q31" s="56">
        <f>B31/31</f>
        <v/>
      </c>
    </row>
    <row r="32" ht="13.5" customHeight="1">
      <c r="A32" s="6" t="n">
        <v>29983</v>
      </c>
      <c r="B32" s="8" t="n">
        <v>85.8</v>
      </c>
      <c r="C32" s="8" t="n"/>
      <c r="D32" s="8" t="n">
        <v>903.7</v>
      </c>
      <c r="F32" s="12">
        <f>D32/B32</f>
        <v/>
      </c>
      <c r="G32" s="8" t="n"/>
      <c r="H32" s="8" t="n">
        <v>1345.5</v>
      </c>
      <c r="J32" s="8">
        <f>('Census Crush'!$B31*36.7437/1000)-B32</f>
        <v/>
      </c>
      <c r="K32" s="7">
        <f>J32/('Census Crush'!$B31*36.7437/1000)</f>
        <v/>
      </c>
      <c r="M32" s="14" t="n">
        <v>4.060714285714286</v>
      </c>
      <c r="N32" s="15">
        <f>M32*355</f>
        <v/>
      </c>
      <c r="Q32" s="56">
        <f>B32/28</f>
        <v/>
      </c>
    </row>
    <row r="33" ht="13.5" customHeight="1">
      <c r="A33" s="6" t="n">
        <v>30011</v>
      </c>
      <c r="B33" s="8" t="n">
        <v>84.59999999999999</v>
      </c>
      <c r="C33" s="8" t="n"/>
      <c r="D33" s="8" t="n">
        <v>904.6</v>
      </c>
      <c r="F33" s="12">
        <f>D33/B33</f>
        <v/>
      </c>
      <c r="G33" s="8" t="n"/>
      <c r="H33" s="8" t="n">
        <v>1313.2</v>
      </c>
      <c r="J33" s="8">
        <f>('Census Crush'!$B32*36.7437/1000)-B33</f>
        <v/>
      </c>
      <c r="K33" s="7">
        <f>J33/('Census Crush'!$B32*36.7437/1000)</f>
        <v/>
      </c>
      <c r="M33" s="14" t="n">
        <v>4.061290322580645</v>
      </c>
      <c r="N33" s="15">
        <f>M33*355</f>
        <v/>
      </c>
      <c r="Q33" s="56">
        <f>B33/31</f>
        <v/>
      </c>
    </row>
    <row r="34" ht="13.5" customHeight="1">
      <c r="A34" s="6" t="n">
        <v>30042</v>
      </c>
      <c r="B34" s="8" t="n">
        <v>79.8</v>
      </c>
      <c r="C34" s="8" t="n"/>
      <c r="D34" s="8" t="n">
        <v>847.8</v>
      </c>
      <c r="F34" s="12">
        <f>D34/B34</f>
        <v/>
      </c>
      <c r="G34" s="8" t="n"/>
      <c r="H34" s="8" t="n">
        <v>1266</v>
      </c>
      <c r="J34" s="8">
        <f>('Census Crush'!$B33*36.7437/1000)-B34</f>
        <v/>
      </c>
      <c r="K34" s="7">
        <f>J34/('Census Crush'!$B33*36.7437/1000)</f>
        <v/>
      </c>
      <c r="M34" s="14" t="n">
        <v>4.046666666666667</v>
      </c>
      <c r="N34" s="15">
        <f>M34*355</f>
        <v/>
      </c>
      <c r="Q34" s="56">
        <f>B34/30</f>
        <v/>
      </c>
    </row>
    <row r="35" ht="13.5" customHeight="1">
      <c r="A35" s="6" t="n">
        <v>30072</v>
      </c>
      <c r="B35" s="8" t="n">
        <v>86.40000000000001</v>
      </c>
      <c r="C35" s="8" t="n"/>
      <c r="D35" s="8" t="n">
        <v>924</v>
      </c>
      <c r="F35" s="12">
        <f>D35/B35</f>
        <v/>
      </c>
      <c r="G35" s="8" t="n"/>
      <c r="H35" s="8" t="n">
        <v>1216</v>
      </c>
      <c r="J35" s="8">
        <f>('Census Crush'!$B34*36.7437/1000)-B35</f>
        <v/>
      </c>
      <c r="K35" s="7">
        <f>J35/('Census Crush'!$B34*36.7437/1000)</f>
        <v/>
      </c>
      <c r="M35" s="14" t="n">
        <v>4.04516129032258</v>
      </c>
      <c r="N35" s="15">
        <f>M35*355</f>
        <v/>
      </c>
      <c r="Q35" s="56">
        <f>B35/31</f>
        <v/>
      </c>
    </row>
    <row r="36" ht="13.5" customHeight="1">
      <c r="A36" s="6" t="n">
        <v>30103</v>
      </c>
      <c r="B36" s="8" t="n">
        <v>76.3</v>
      </c>
      <c r="C36" s="8" t="n"/>
      <c r="D36" s="8" t="n">
        <v>815</v>
      </c>
      <c r="F36" s="12">
        <f>D36/B36</f>
        <v/>
      </c>
      <c r="G36" s="8" t="n"/>
      <c r="H36" s="8" t="n">
        <v>1083.3</v>
      </c>
      <c r="J36" s="8">
        <f>('Census Crush'!$B35*36.7437/1000)-B36</f>
        <v/>
      </c>
      <c r="K36" s="7">
        <f>J36/('Census Crush'!$B35*36.7437/1000)</f>
        <v/>
      </c>
      <c r="M36" s="14" t="n">
        <v>4.046666666666667</v>
      </c>
      <c r="N36" s="15">
        <f>M36*355</f>
        <v/>
      </c>
      <c r="Q36" s="56">
        <f>B36/30</f>
        <v/>
      </c>
    </row>
    <row r="37" ht="13.5" customHeight="1">
      <c r="A37" s="6" t="n">
        <v>30133</v>
      </c>
      <c r="B37" s="8" t="n">
        <v>69.90000000000001</v>
      </c>
      <c r="C37" s="8" t="n"/>
      <c r="D37" s="8" t="n">
        <v>764.4</v>
      </c>
      <c r="F37" s="12">
        <f>D37/B37</f>
        <v/>
      </c>
      <c r="G37" s="8" t="n"/>
      <c r="H37" s="8" t="n">
        <v>878.9</v>
      </c>
      <c r="J37" s="8">
        <f>('Census Crush'!$B36*36.7437/1000)-B37</f>
        <v/>
      </c>
      <c r="K37" s="7">
        <f>J37/('Census Crush'!$B36*36.7437/1000)</f>
        <v/>
      </c>
      <c r="M37" s="14" t="n">
        <v>4.106451612903226</v>
      </c>
      <c r="N37" s="15">
        <f>M37*355</f>
        <v/>
      </c>
      <c r="Q37" s="56">
        <f>B37/31</f>
        <v/>
      </c>
    </row>
    <row r="38" ht="13.5" customHeight="1">
      <c r="A38" s="6" t="n">
        <v>30164</v>
      </c>
      <c r="B38" s="8" t="n">
        <v>67.5</v>
      </c>
      <c r="C38" s="8" t="n"/>
      <c r="D38" s="8" t="n">
        <v>732.3</v>
      </c>
      <c r="F38" s="12">
        <f>D38/B38</f>
        <v/>
      </c>
      <c r="G38" s="8" t="n"/>
      <c r="H38" s="8" t="n">
        <v>701.6</v>
      </c>
      <c r="J38" s="8">
        <f>('Census Crush'!$B37*36.7437/1000)-B38</f>
        <v/>
      </c>
      <c r="K38" s="7">
        <f>J38/('Census Crush'!$B37*36.7437/1000)</f>
        <v/>
      </c>
      <c r="M38" s="14" t="n">
        <v>4.090322580645161</v>
      </c>
      <c r="N38" s="15">
        <f>M38*355</f>
        <v/>
      </c>
      <c r="Q38" s="56">
        <f>B38/31</f>
        <v/>
      </c>
    </row>
    <row r="39" ht="13.5" customHeight="1">
      <c r="A39" s="6" t="n">
        <v>30195</v>
      </c>
      <c r="B39" s="8" t="n">
        <v>75</v>
      </c>
      <c r="C39" s="8" t="n"/>
      <c r="D39" s="8" t="n">
        <v>802.1</v>
      </c>
      <c r="F39" s="12">
        <f>D39/B39</f>
        <v/>
      </c>
      <c r="G39" s="8" t="n"/>
      <c r="H39" s="8" t="n">
        <v>573.8</v>
      </c>
      <c r="J39" s="8">
        <f>('Census Crush'!$B38*36.7437/1000)-B39</f>
        <v/>
      </c>
      <c r="K39" s="7">
        <f>J39/('Census Crush'!$B38*36.7437/1000)</f>
        <v/>
      </c>
      <c r="M39" s="14" t="n">
        <v>4.09</v>
      </c>
      <c r="N39" s="15">
        <f>M39*355</f>
        <v/>
      </c>
      <c r="Q39" s="56">
        <f>B39/30</f>
        <v/>
      </c>
    </row>
    <row r="40" ht="13.5" customHeight="1">
      <c r="A40" s="6" t="n">
        <v>30225</v>
      </c>
      <c r="B40" s="8" t="n">
        <v>98.40000000000001</v>
      </c>
      <c r="C40" s="8" t="n"/>
      <c r="D40" s="8" t="n">
        <v>1075.2</v>
      </c>
      <c r="F40" s="12">
        <f>D40/B40</f>
        <v/>
      </c>
      <c r="G40" s="8" t="n"/>
      <c r="H40" s="8" t="n">
        <v>646.1</v>
      </c>
      <c r="J40" s="8">
        <f>('Census Crush'!$B39*36.7437/1000)-B40</f>
        <v/>
      </c>
      <c r="K40" s="7">
        <f>J40/('Census Crush'!$B39*36.7437/1000)</f>
        <v/>
      </c>
      <c r="M40" s="14" t="n">
        <v>4.112903225806452</v>
      </c>
      <c r="N40" s="15">
        <f>M40*355</f>
        <v/>
      </c>
      <c r="Q40" s="56">
        <f>B40/31</f>
        <v/>
      </c>
    </row>
    <row r="41" ht="13.5" customHeight="1">
      <c r="A41" s="6" t="n">
        <v>30256</v>
      </c>
      <c r="B41" s="8" t="n">
        <v>107.6</v>
      </c>
      <c r="C41" s="8" t="n"/>
      <c r="D41" s="8" t="n">
        <v>1135.9</v>
      </c>
      <c r="F41" s="12">
        <f>D41/B41</f>
        <v/>
      </c>
      <c r="G41" s="8" t="n"/>
      <c r="H41" s="8" t="n">
        <v>702.4</v>
      </c>
      <c r="J41" s="8">
        <f>('Census Crush'!$B40*36.7437/1000)-B41</f>
        <v/>
      </c>
      <c r="K41" s="7">
        <f>J41/('Census Crush'!$B40*36.7437/1000)</f>
        <v/>
      </c>
      <c r="M41" s="14" t="n">
        <v>4.06</v>
      </c>
      <c r="N41" s="15">
        <f>M41*355</f>
        <v/>
      </c>
      <c r="Q41" s="56">
        <f>B41/30</f>
        <v/>
      </c>
    </row>
    <row r="42" ht="13.5" customHeight="1">
      <c r="A42" s="6" t="n">
        <v>30286</v>
      </c>
      <c r="B42" s="8" t="n">
        <v>111.6</v>
      </c>
      <c r="C42" s="8" t="n"/>
      <c r="D42" s="8" t="n">
        <v>1183.2</v>
      </c>
      <c r="F42" s="12">
        <f>D42/B42</f>
        <v/>
      </c>
      <c r="G42" s="8" t="n"/>
      <c r="H42" s="8" t="n">
        <v>862.3</v>
      </c>
      <c r="J42" s="8">
        <f>('Census Crush'!$B41*36.7437/1000)-B42</f>
        <v/>
      </c>
      <c r="K42" s="7">
        <f>J42/('Census Crush'!$B41*36.7437/1000)</f>
        <v/>
      </c>
      <c r="M42" s="14" t="n">
        <v>4.087096774193548</v>
      </c>
      <c r="N42" s="15">
        <f>M42*355</f>
        <v/>
      </c>
      <c r="Q42" s="56">
        <f>B42/31</f>
        <v/>
      </c>
    </row>
    <row r="43" ht="13.5" customHeight="1">
      <c r="A43" s="6" t="n">
        <v>30317</v>
      </c>
      <c r="B43" s="8" t="n">
        <v>110</v>
      </c>
      <c r="C43" s="8" t="n"/>
      <c r="D43" s="8" t="n">
        <v>1163.5</v>
      </c>
      <c r="F43" s="12">
        <f>D43/B43</f>
        <v/>
      </c>
      <c r="G43" s="8" t="n"/>
      <c r="H43" s="8" t="n">
        <v>936.7</v>
      </c>
      <c r="J43" s="8">
        <f>('Census Crush'!$B42*36.7437/1000)-B43</f>
        <v/>
      </c>
      <c r="K43" s="7">
        <f>J43/('Census Crush'!$B42*36.7437/1000)</f>
        <v/>
      </c>
      <c r="M43" s="14" t="n">
        <v>4.16774193548387</v>
      </c>
      <c r="N43" s="15">
        <f>M43*355</f>
        <v/>
      </c>
      <c r="Q43" s="56">
        <f>B43/31</f>
        <v/>
      </c>
    </row>
    <row r="44" ht="13.5" customHeight="1">
      <c r="A44" s="6" t="n">
        <v>30348</v>
      </c>
      <c r="B44" s="8" t="n">
        <v>92.8</v>
      </c>
      <c r="C44" s="8" t="n"/>
      <c r="D44" s="8" t="n">
        <v>990.9</v>
      </c>
      <c r="F44" s="12">
        <f>D44/B44</f>
        <v/>
      </c>
      <c r="G44" s="8" t="n"/>
      <c r="H44" s="8" t="n">
        <v>1008.7</v>
      </c>
      <c r="J44" s="8">
        <f>('Census Crush'!$B43*36.7437/1000)-B44</f>
        <v/>
      </c>
      <c r="K44" s="7">
        <f>J44/('Census Crush'!$B43*36.7437/1000)</f>
        <v/>
      </c>
      <c r="M44" s="14" t="n">
        <v>4.167857142857143</v>
      </c>
      <c r="N44" s="15">
        <f>M44*355</f>
        <v/>
      </c>
      <c r="Q44" s="56">
        <f>B44/28</f>
        <v/>
      </c>
    </row>
    <row r="45" ht="13.5" customHeight="1">
      <c r="A45" s="6" t="n">
        <v>30376</v>
      </c>
      <c r="B45" s="8" t="n">
        <v>94.40000000000001</v>
      </c>
      <c r="C45" s="8" t="n"/>
      <c r="D45" s="8" t="n">
        <v>1011.3</v>
      </c>
      <c r="F45" s="12">
        <f>D45/B45</f>
        <v/>
      </c>
      <c r="G45" s="8" t="n"/>
      <c r="H45" s="8" t="n">
        <v>1026.7</v>
      </c>
      <c r="J45" s="8">
        <f>('Census Crush'!$B44*36.7437/1000)-B45</f>
        <v/>
      </c>
      <c r="K45" s="7">
        <f>J45/('Census Crush'!$B44*36.7437/1000)</f>
        <v/>
      </c>
      <c r="M45" s="14" t="n">
        <v>4.16774193548387</v>
      </c>
      <c r="N45" s="15">
        <f>M45*355</f>
        <v/>
      </c>
      <c r="Q45" s="56">
        <f>B45/31</f>
        <v/>
      </c>
    </row>
    <row r="46" ht="13.5" customHeight="1">
      <c r="A46" s="6" t="n">
        <v>30407</v>
      </c>
      <c r="B46" s="8" t="n">
        <v>81.7</v>
      </c>
      <c r="C46" s="8" t="n"/>
      <c r="D46" s="8" t="n">
        <v>882.1</v>
      </c>
      <c r="F46" s="12">
        <f>D46/B46</f>
        <v/>
      </c>
      <c r="G46" s="8" t="n"/>
      <c r="H46" s="8" t="n">
        <v>928</v>
      </c>
      <c r="J46" s="8">
        <f>('Census Crush'!$B45*36.7437/1000)-B46</f>
        <v/>
      </c>
      <c r="K46" s="7">
        <f>J46/('Census Crush'!$B45*36.7437/1000)</f>
        <v/>
      </c>
      <c r="M46" s="14" t="n">
        <v>4.09</v>
      </c>
      <c r="N46" s="15">
        <f>M46*355</f>
        <v/>
      </c>
      <c r="Q46" s="56">
        <f>B46/30</f>
        <v/>
      </c>
    </row>
    <row r="47" ht="13.5" customHeight="1">
      <c r="A47" s="6" t="n">
        <v>30437</v>
      </c>
      <c r="B47" s="8" t="n">
        <v>83.2</v>
      </c>
      <c r="C47" s="8" t="n"/>
      <c r="D47" s="8" t="n">
        <v>898.3</v>
      </c>
      <c r="F47" s="12">
        <f>D47/B47</f>
        <v/>
      </c>
      <c r="G47" s="8" t="n"/>
      <c r="H47" s="8" t="n">
        <v>844</v>
      </c>
      <c r="J47" s="8">
        <f>('Census Crush'!$B46*36.7437/1000)-B47</f>
        <v/>
      </c>
      <c r="K47" s="7">
        <f>J47/('Census Crush'!$B46*36.7437/1000)</f>
        <v/>
      </c>
      <c r="M47" s="14" t="n">
        <v>4.135483870967741</v>
      </c>
      <c r="N47" s="15">
        <f>M47*355</f>
        <v/>
      </c>
      <c r="Q47" s="56">
        <f>B47/31</f>
        <v/>
      </c>
    </row>
    <row r="48" ht="13.5" customHeight="1">
      <c r="A48" s="6" t="n">
        <v>30468</v>
      </c>
      <c r="B48" s="8" t="n">
        <v>81.5</v>
      </c>
      <c r="C48" s="8" t="n"/>
      <c r="D48" s="8" t="n">
        <v>883.3</v>
      </c>
      <c r="F48" s="12">
        <f>D48/B48</f>
        <v/>
      </c>
      <c r="G48" s="8" t="n"/>
      <c r="H48" s="8" t="n">
        <v>811.8</v>
      </c>
      <c r="J48" s="8">
        <f>('Census Crush'!$B47*36.7437/1000)-B48</f>
        <v/>
      </c>
      <c r="K48" s="7">
        <f>J48/('Census Crush'!$B47*36.7437/1000)</f>
        <v/>
      </c>
      <c r="M48" s="14" t="n">
        <v>4.136666666666667</v>
      </c>
      <c r="N48" s="15">
        <f>M48*355</f>
        <v/>
      </c>
      <c r="Q48" s="56">
        <f>B48/30</f>
        <v/>
      </c>
    </row>
    <row r="49" ht="13.5" customHeight="1">
      <c r="A49" s="6" t="n">
        <v>30498</v>
      </c>
      <c r="B49" s="8" t="n">
        <v>81.59999999999999</v>
      </c>
      <c r="C49" s="8" t="n"/>
      <c r="D49" s="8" t="n">
        <v>886.1</v>
      </c>
      <c r="F49" s="12">
        <f>D49/B49</f>
        <v/>
      </c>
      <c r="G49" s="8" t="n"/>
      <c r="H49" s="8" t="n">
        <v>779.6</v>
      </c>
      <c r="J49" s="8">
        <f>('Census Crush'!$B48*36.7437/1000)-B49</f>
        <v/>
      </c>
      <c r="K49" s="7">
        <f>J49/('Census Crush'!$B48*36.7437/1000)</f>
        <v/>
      </c>
      <c r="M49" s="14" t="n">
        <v>4.103225806451613</v>
      </c>
      <c r="N49" s="15">
        <f>M49*355</f>
        <v/>
      </c>
      <c r="Q49" s="56">
        <f>B49/31</f>
        <v/>
      </c>
    </row>
    <row r="50" ht="13.5" customHeight="1">
      <c r="A50" s="6" t="n">
        <v>30529</v>
      </c>
      <c r="B50" s="8" t="n">
        <v>85</v>
      </c>
      <c r="C50" s="8" t="n"/>
      <c r="D50" s="8" t="n">
        <v>921.4</v>
      </c>
      <c r="F50" s="12">
        <f>D50/B50</f>
        <v/>
      </c>
      <c r="G50" s="8" t="n"/>
      <c r="H50" s="8" t="n">
        <v>698.8</v>
      </c>
      <c r="J50" s="8">
        <f>('Census Crush'!$B49*36.7437/1000)-B50</f>
        <v/>
      </c>
      <c r="K50" s="7">
        <f>J50/('Census Crush'!$B49*36.7437/1000)</f>
        <v/>
      </c>
      <c r="M50" s="14" t="n">
        <v>4.103225806451613</v>
      </c>
      <c r="N50" s="15">
        <f>M50*355</f>
        <v/>
      </c>
      <c r="Q50" s="56">
        <f>B50/31</f>
        <v/>
      </c>
    </row>
    <row r="51" ht="13.5" customHeight="1">
      <c r="A51" s="6" t="n">
        <v>30560</v>
      </c>
      <c r="B51" s="8" t="n">
        <v>86.09999999999999</v>
      </c>
      <c r="C51" s="8" t="n"/>
      <c r="D51" s="8" t="n">
        <v>941.6</v>
      </c>
      <c r="F51" s="12">
        <f>D51/B51</f>
        <v/>
      </c>
      <c r="G51" s="8" t="n"/>
      <c r="H51" s="8" t="n">
        <v>648.2</v>
      </c>
      <c r="J51" s="8">
        <f>('Census Crush'!$B50*36.7437/1000)-B51</f>
        <v/>
      </c>
      <c r="K51" s="7">
        <f>J51/('Census Crush'!$B50*36.7437/1000)</f>
        <v/>
      </c>
      <c r="M51" s="14" t="n">
        <v>4.103333333333333</v>
      </c>
      <c r="N51" s="15">
        <f>M51*355</f>
        <v/>
      </c>
      <c r="Q51" s="56">
        <f>B51/30</f>
        <v/>
      </c>
    </row>
    <row r="52" ht="13.5" customHeight="1">
      <c r="A52" s="6" t="n">
        <v>30590</v>
      </c>
      <c r="B52" s="8" t="n">
        <v>95.7</v>
      </c>
      <c r="C52" s="8" t="n"/>
      <c r="D52" s="8" t="n">
        <v>1072</v>
      </c>
      <c r="F52" s="12">
        <f>D52/B52</f>
        <v/>
      </c>
      <c r="G52" s="8" t="n"/>
      <c r="H52" s="8" t="n">
        <v>775.5</v>
      </c>
      <c r="J52" s="8">
        <f>('Census Crush'!$B51*36.7437/1000)-B52</f>
        <v/>
      </c>
      <c r="K52" s="7">
        <f>J52/('Census Crush'!$B51*36.7437/1000)</f>
        <v/>
      </c>
      <c r="M52" s="14" t="n">
        <v>4.132258064516129</v>
      </c>
      <c r="N52" s="15">
        <f>M52*355</f>
        <v/>
      </c>
      <c r="Q52" s="56">
        <f>B52/31</f>
        <v/>
      </c>
    </row>
    <row r="53" ht="13.5" customHeight="1">
      <c r="A53" s="6" t="n">
        <v>30621</v>
      </c>
      <c r="B53" s="8" t="n">
        <v>86.2</v>
      </c>
      <c r="C53" s="8" t="n"/>
      <c r="D53" s="8" t="n">
        <v>959.3</v>
      </c>
      <c r="F53" s="12">
        <f>D53/B53</f>
        <v/>
      </c>
      <c r="G53" s="8" t="n"/>
      <c r="H53" s="8" t="n">
        <v>880.8</v>
      </c>
      <c r="J53" s="8">
        <f>('Census Crush'!$B52*36.7437/1000)-B53</f>
        <v/>
      </c>
      <c r="K53" s="7">
        <f>J53/('Census Crush'!$B52*36.7437/1000)</f>
        <v/>
      </c>
      <c r="M53" s="14" t="n">
        <v>4.133333333333334</v>
      </c>
      <c r="N53" s="15">
        <f>M53*355</f>
        <v/>
      </c>
      <c r="Q53" s="56">
        <f>B53/30</f>
        <v/>
      </c>
    </row>
    <row r="54" ht="13.5" customHeight="1">
      <c r="A54" s="6" t="n">
        <v>30651</v>
      </c>
      <c r="B54" s="8" t="n">
        <v>89.5</v>
      </c>
      <c r="C54" s="8" t="n"/>
      <c r="D54" s="8" t="n">
        <v>990.8</v>
      </c>
      <c r="F54" s="12">
        <f>D54/B54</f>
        <v/>
      </c>
      <c r="G54" s="8" t="n"/>
      <c r="H54" s="8" t="n">
        <v>1026.8</v>
      </c>
      <c r="J54" s="8">
        <f>('Census Crush'!$B53*36.7437/1000)-B54</f>
        <v/>
      </c>
      <c r="K54" s="7">
        <f>J54/('Census Crush'!$B53*36.7437/1000)</f>
        <v/>
      </c>
      <c r="M54" s="14" t="n">
        <v>4.132258064516129</v>
      </c>
      <c r="N54" s="15">
        <f>M54*355</f>
        <v/>
      </c>
      <c r="Q54" s="56">
        <f>B54/31</f>
        <v/>
      </c>
    </row>
    <row r="55" ht="13.5" customHeight="1">
      <c r="A55" s="6" t="n">
        <v>30682</v>
      </c>
      <c r="B55" s="8" t="n">
        <v>93.90000000000001</v>
      </c>
      <c r="C55" s="8" t="n"/>
      <c r="D55" s="8" t="n">
        <v>1050.9</v>
      </c>
      <c r="F55" s="12">
        <f>D55/B55</f>
        <v/>
      </c>
      <c r="G55" s="8" t="n"/>
      <c r="H55" s="8" t="n">
        <v>1047.9</v>
      </c>
      <c r="J55" s="8">
        <f>('Census Crush'!$B54*36.7437/1000)-B55</f>
        <v/>
      </c>
      <c r="K55" s="7">
        <f>J55/('Census Crush'!$B54*36.7437/1000)</f>
        <v/>
      </c>
      <c r="M55" s="14" t="n">
        <v>4.138709677419355</v>
      </c>
      <c r="N55" s="15">
        <f>M55*355</f>
        <v/>
      </c>
      <c r="Q55" s="56">
        <f>B55/31</f>
        <v/>
      </c>
    </row>
    <row r="56" ht="13.5" customHeight="1">
      <c r="A56" s="6" t="n">
        <v>30713</v>
      </c>
      <c r="B56" s="8" t="n">
        <v>79.09999999999999</v>
      </c>
      <c r="C56" s="8" t="n"/>
      <c r="D56" s="8" t="n">
        <v>890</v>
      </c>
      <c r="F56" s="12">
        <f>D56/B56</f>
        <v/>
      </c>
      <c r="G56" s="8" t="n"/>
      <c r="H56" s="8" t="n">
        <v>884.5</v>
      </c>
      <c r="J56" s="8">
        <f>('Census Crush'!$B55*36.7437/1000)-B56</f>
        <v/>
      </c>
      <c r="K56" s="7">
        <f>J56/('Census Crush'!$B55*36.7437/1000)</f>
        <v/>
      </c>
      <c r="M56" s="14" t="n">
        <v>4.141379310344828</v>
      </c>
      <c r="N56" s="15">
        <f>M56*355</f>
        <v/>
      </c>
      <c r="Q56" s="56">
        <f>B56/29</f>
        <v/>
      </c>
    </row>
    <row r="57" ht="13.5" customHeight="1">
      <c r="A57" s="6" t="n">
        <v>30742</v>
      </c>
      <c r="B57" s="8" t="n">
        <v>86</v>
      </c>
      <c r="C57" s="8" t="n"/>
      <c r="D57" s="8" t="n">
        <v>966</v>
      </c>
      <c r="F57" s="12">
        <f>D57/B57</f>
        <v/>
      </c>
      <c r="G57" s="8" t="n"/>
      <c r="H57" s="8" t="n">
        <v>811.3</v>
      </c>
      <c r="J57" s="8">
        <f>('Census Crush'!$B56*36.7437/1000)-B57</f>
        <v/>
      </c>
      <c r="K57" s="7">
        <f>J57/('Census Crush'!$B56*36.7437/1000)</f>
        <v/>
      </c>
      <c r="M57" s="14" t="n">
        <v>4.138709677419355</v>
      </c>
      <c r="N57" s="15">
        <f>M57*355</f>
        <v/>
      </c>
      <c r="Q57" s="56">
        <f>B57/31</f>
        <v/>
      </c>
    </row>
    <row r="58" ht="13.5" customHeight="1">
      <c r="A58" s="6" t="n">
        <v>30773</v>
      </c>
      <c r="B58" s="8" t="n">
        <v>74.59999999999999</v>
      </c>
      <c r="C58" s="8" t="n"/>
      <c r="D58" s="8" t="n">
        <v>838.9</v>
      </c>
      <c r="F58" s="12">
        <f>D58/B58</f>
        <v/>
      </c>
      <c r="G58" s="8" t="n"/>
      <c r="H58" s="8" t="n">
        <v>698.9</v>
      </c>
      <c r="J58" s="8">
        <f>('Census Crush'!$B57*36.7437/1000)-B58</f>
        <v/>
      </c>
      <c r="K58" s="7">
        <f>J58/('Census Crush'!$B57*36.7437/1000)</f>
        <v/>
      </c>
      <c r="M58" s="14" t="n">
        <v>4.056666666666667</v>
      </c>
      <c r="N58" s="15">
        <f>M58*355</f>
        <v/>
      </c>
      <c r="Q58" s="56">
        <f>B58/30</f>
        <v/>
      </c>
    </row>
    <row r="59" ht="13.5" customHeight="1">
      <c r="A59" s="6" t="n">
        <v>30803</v>
      </c>
      <c r="B59" s="8" t="n">
        <v>79.2</v>
      </c>
      <c r="C59" s="8" t="n"/>
      <c r="D59" s="8" t="n">
        <v>898.1</v>
      </c>
      <c r="F59" s="12">
        <f>D59/B59</f>
        <v/>
      </c>
      <c r="G59" s="8" t="n"/>
      <c r="H59" s="8" t="n">
        <v>593</v>
      </c>
      <c r="J59" s="8">
        <f>('Census Crush'!$B58*36.7437/1000)-B59</f>
        <v/>
      </c>
      <c r="K59" s="7">
        <f>J59/('Census Crush'!$B58*36.7437/1000)</f>
        <v/>
      </c>
      <c r="M59" s="14" t="n">
        <v>4.058064516129032</v>
      </c>
      <c r="N59" s="15">
        <f>M59*355</f>
        <v/>
      </c>
      <c r="Q59" s="56">
        <f>B59/31</f>
        <v/>
      </c>
    </row>
    <row r="60" ht="13.5" customHeight="1">
      <c r="A60" s="6" t="n">
        <v>30834</v>
      </c>
      <c r="B60" s="8" t="n">
        <v>70.3</v>
      </c>
      <c r="C60" s="8" t="n"/>
      <c r="D60" s="8" t="n">
        <v>795.7</v>
      </c>
      <c r="F60" s="12">
        <f>D60/B60</f>
        <v/>
      </c>
      <c r="G60" s="8" t="n"/>
      <c r="H60" s="8" t="n">
        <v>411.5</v>
      </c>
      <c r="J60" s="8">
        <f>('Census Crush'!$B59*36.7437/1000)-B60</f>
        <v/>
      </c>
      <c r="K60" s="7">
        <f>J60/('Census Crush'!$B59*36.7437/1000)</f>
        <v/>
      </c>
      <c r="M60" s="14" t="n">
        <v>4.056666666666667</v>
      </c>
      <c r="N60" s="15">
        <f>M60*355</f>
        <v/>
      </c>
      <c r="Q60" s="56">
        <f>B60/30</f>
        <v/>
      </c>
    </row>
    <row r="61" ht="13.5" customHeight="1">
      <c r="A61" s="6" t="n">
        <v>30864</v>
      </c>
      <c r="B61" s="8" t="n">
        <v>68.90000000000001</v>
      </c>
      <c r="C61" s="8" t="n"/>
      <c r="D61" s="8" t="n">
        <v>788.8</v>
      </c>
      <c r="F61" s="12">
        <f>D61/B61</f>
        <v/>
      </c>
      <c r="G61" s="8" t="n"/>
      <c r="H61" s="8" t="n">
        <v>408.1</v>
      </c>
      <c r="J61" s="8">
        <f>('Census Crush'!$B60*36.7437/1000)-B61</f>
        <v/>
      </c>
      <c r="K61" s="7">
        <f>J61/('Census Crush'!$B60*36.7437/1000)</f>
        <v/>
      </c>
      <c r="M61" s="14" t="n">
        <v>4.054838709677419</v>
      </c>
      <c r="N61" s="15">
        <f>M61*355</f>
        <v/>
      </c>
      <c r="Q61" s="56">
        <f>B61/31</f>
        <v/>
      </c>
    </row>
    <row r="62" ht="13.5" customHeight="1">
      <c r="A62" s="6" t="n">
        <v>30895</v>
      </c>
      <c r="B62" s="8" t="n">
        <v>71</v>
      </c>
      <c r="C62" s="8" t="n"/>
      <c r="D62" s="8" t="n">
        <v>812</v>
      </c>
      <c r="F62" s="12">
        <f>D62/B62</f>
        <v/>
      </c>
      <c r="G62" s="8" t="n"/>
      <c r="H62" s="8" t="n">
        <v>337.7</v>
      </c>
      <c r="J62" s="8">
        <f>('Census Crush'!$B61*36.7437/1000)-B62</f>
        <v/>
      </c>
      <c r="K62" s="7">
        <f>J62/('Census Crush'!$B61*36.7437/1000)</f>
        <v/>
      </c>
      <c r="M62" s="14" t="n">
        <v>4.054838709677419</v>
      </c>
      <c r="N62" s="15">
        <f>M62*355</f>
        <v/>
      </c>
      <c r="Q62" s="56">
        <f>B62/31</f>
        <v/>
      </c>
    </row>
    <row r="63" ht="13.5" customHeight="1">
      <c r="A63" s="6" t="n">
        <v>30926</v>
      </c>
      <c r="B63" s="8" t="n">
        <v>65.40000000000001</v>
      </c>
      <c r="C63" s="8" t="n"/>
      <c r="D63" s="8" t="n">
        <v>753.9</v>
      </c>
      <c r="F63" s="12">
        <f>D63/B63</f>
        <v/>
      </c>
      <c r="G63" s="8" t="n"/>
      <c r="H63" s="8" t="n">
        <v>272.4</v>
      </c>
      <c r="J63" s="8">
        <f>('Census Crush'!$B62*36.7437/1000)-B63</f>
        <v/>
      </c>
      <c r="K63" s="7">
        <f>J63/('Census Crush'!$B62*36.7437/1000)</f>
        <v/>
      </c>
      <c r="M63" s="14" t="n">
        <v>4.053333333333333</v>
      </c>
      <c r="N63" s="15">
        <f>M63*355</f>
        <v/>
      </c>
      <c r="Q63" s="56">
        <f>B63/30</f>
        <v/>
      </c>
    </row>
    <row r="64" ht="13.5" customHeight="1">
      <c r="A64" s="6" t="n">
        <v>30956</v>
      </c>
      <c r="B64" s="8" t="n">
        <v>76</v>
      </c>
      <c r="C64" s="8" t="n"/>
      <c r="D64" s="8" t="n">
        <v>836.9</v>
      </c>
      <c r="F64" s="12">
        <f>D64/B64</f>
        <v/>
      </c>
      <c r="G64" s="8" t="n"/>
      <c r="H64" s="8" t="n">
        <v>163</v>
      </c>
      <c r="J64" s="8">
        <f>('Census Crush'!$B63*36.7437/1000)-B64</f>
        <v/>
      </c>
      <c r="K64" s="7">
        <f>J64/('Census Crush'!$B63*36.7437/1000)</f>
        <v/>
      </c>
      <c r="M64" s="14" t="n">
        <v>3.564516129032258</v>
      </c>
      <c r="N64" s="15">
        <f>M64*355</f>
        <v/>
      </c>
      <c r="Q64" s="56">
        <f>B64/31</f>
        <v/>
      </c>
    </row>
    <row r="65" ht="13.5" customHeight="1">
      <c r="A65" s="6" t="n">
        <v>30987</v>
      </c>
      <c r="B65" s="8" t="n">
        <v>84.3</v>
      </c>
      <c r="C65" s="8" t="n"/>
      <c r="D65" s="8" t="n">
        <v>916.6</v>
      </c>
      <c r="F65" s="12">
        <f>D65/B65</f>
        <v/>
      </c>
      <c r="G65" s="8" t="n"/>
      <c r="H65" s="8" t="n">
        <v>168</v>
      </c>
      <c r="J65" s="8">
        <f>('Census Crush'!$B64*36.7437/1000)-B65</f>
        <v/>
      </c>
      <c r="K65" s="7">
        <f>J65/('Census Crush'!$B64*36.7437/1000)</f>
        <v/>
      </c>
      <c r="M65" s="14" t="n">
        <v>3.566666666666667</v>
      </c>
      <c r="N65" s="15">
        <f>M65*355</f>
        <v/>
      </c>
      <c r="Q65" s="56">
        <f>B65/30</f>
        <v/>
      </c>
    </row>
    <row r="66" ht="13.5" customHeight="1">
      <c r="A66" s="6" t="n">
        <v>31017</v>
      </c>
      <c r="B66" s="8" t="n">
        <v>86.3</v>
      </c>
      <c r="C66" s="8" t="n"/>
      <c r="D66" s="8" t="n">
        <v>938.3</v>
      </c>
      <c r="F66" s="12">
        <f>D66/B66</f>
        <v/>
      </c>
      <c r="G66" s="8" t="n"/>
      <c r="H66" s="8" t="n">
        <v>234</v>
      </c>
      <c r="J66" s="8">
        <f>('Census Crush'!$B65*36.7437/1000)-B66</f>
        <v/>
      </c>
      <c r="K66" s="7">
        <f>J66/('Census Crush'!$B65*36.7437/1000)</f>
        <v/>
      </c>
      <c r="M66" s="14" t="n">
        <v>3.564516129032258</v>
      </c>
      <c r="N66" s="15">
        <f>M66*355</f>
        <v/>
      </c>
      <c r="Q66" s="56">
        <f>B66/31</f>
        <v/>
      </c>
    </row>
    <row r="67" ht="13.5" customHeight="1">
      <c r="A67" s="6" t="n">
        <v>31048</v>
      </c>
      <c r="B67" s="8" t="n">
        <v>82.59999999999999</v>
      </c>
      <c r="C67" s="8" t="n"/>
      <c r="D67" s="8" t="n">
        <v>890.9</v>
      </c>
      <c r="F67" s="12">
        <f>D67/B67</f>
        <v/>
      </c>
      <c r="G67" s="8" t="n"/>
      <c r="H67" s="8" t="n">
        <v>256.9</v>
      </c>
      <c r="J67" s="8">
        <f>('Census Crush'!$B66*36.7437/1000)-B67</f>
        <v/>
      </c>
      <c r="K67" s="7">
        <f>J67/('Census Crush'!$B66*36.7437/1000)</f>
        <v/>
      </c>
      <c r="M67" s="14" t="n">
        <v>3.6</v>
      </c>
      <c r="N67" s="15">
        <f>M67*355</f>
        <v/>
      </c>
      <c r="Q67" s="56">
        <f>B67/31</f>
        <v/>
      </c>
    </row>
    <row r="68" ht="13.5" customHeight="1">
      <c r="A68" s="6" t="n">
        <v>31079</v>
      </c>
      <c r="B68" s="8" t="n">
        <v>68.3</v>
      </c>
      <c r="C68" s="8" t="n"/>
      <c r="D68" s="8" t="n">
        <v>745</v>
      </c>
      <c r="F68" s="12">
        <f>D68/B68</f>
        <v/>
      </c>
      <c r="G68" s="8" t="n"/>
      <c r="H68" s="8" t="n">
        <v>169.8</v>
      </c>
      <c r="J68" s="8">
        <f>('Census Crush'!$B67*36.7437/1000)-B68</f>
        <v/>
      </c>
      <c r="K68" s="7">
        <f>J68/('Census Crush'!$B67*36.7437/1000)</f>
        <v/>
      </c>
      <c r="M68" s="14" t="n">
        <v>3.6</v>
      </c>
      <c r="N68" s="15">
        <f>M68*355</f>
        <v/>
      </c>
      <c r="Q68" s="56">
        <f>B68/28</f>
        <v/>
      </c>
    </row>
    <row r="69" ht="13.5" customHeight="1">
      <c r="A69" s="6" t="n">
        <v>31107</v>
      </c>
      <c r="B69" s="8" t="n">
        <v>73.8</v>
      </c>
      <c r="C69" s="8" t="n"/>
      <c r="D69" s="8" t="n">
        <v>817.1</v>
      </c>
      <c r="F69" s="12">
        <f>D69/B69</f>
        <v/>
      </c>
      <c r="G69" s="8" t="n"/>
      <c r="H69" s="8" t="n">
        <v>197.3</v>
      </c>
      <c r="J69" s="8">
        <f>('Census Crush'!$B68*36.7437/1000)-B69</f>
        <v/>
      </c>
      <c r="K69" s="7">
        <f>J69/('Census Crush'!$B68*36.7437/1000)</f>
        <v/>
      </c>
      <c r="M69" s="14" t="n">
        <v>3.6</v>
      </c>
      <c r="N69" s="15">
        <f>M69*355</f>
        <v/>
      </c>
      <c r="Q69" s="56">
        <f>B69/31</f>
        <v/>
      </c>
    </row>
    <row r="70" ht="13.5" customHeight="1">
      <c r="A70" s="6" t="n">
        <v>31138</v>
      </c>
      <c r="B70" s="8" t="n">
        <v>74.09999999999999</v>
      </c>
      <c r="C70" s="8" t="n"/>
      <c r="D70" s="8" t="n">
        <v>820.6</v>
      </c>
      <c r="F70" s="12">
        <f>D70/B70</f>
        <v/>
      </c>
      <c r="G70" s="8" t="n"/>
      <c r="H70" s="8" t="n">
        <v>167.5</v>
      </c>
      <c r="J70" s="8">
        <f>('Census Crush'!$B69*36.7437/1000)-B70</f>
        <v/>
      </c>
      <c r="K70" s="7">
        <f>J70/('Census Crush'!$B69*36.7437/1000)</f>
        <v/>
      </c>
      <c r="M70" s="14" t="n">
        <v>3.576666666666667</v>
      </c>
      <c r="N70" s="15">
        <f>M70*355</f>
        <v/>
      </c>
      <c r="Q70" s="56">
        <f>B70/30</f>
        <v/>
      </c>
    </row>
    <row r="71" ht="13.5" customHeight="1">
      <c r="A71" s="6" t="n">
        <v>31168</v>
      </c>
      <c r="B71" s="8" t="n">
        <v>79.2</v>
      </c>
      <c r="C71" s="8" t="n"/>
      <c r="D71" s="8" t="n">
        <v>874.1</v>
      </c>
      <c r="F71" s="12">
        <f>D71/B71</f>
        <v/>
      </c>
      <c r="G71" s="8" t="n"/>
      <c r="H71" s="8" t="n">
        <v>177.9</v>
      </c>
      <c r="J71" s="8">
        <f>('Census Crush'!$B70*36.7437/1000)-B71</f>
        <v/>
      </c>
      <c r="K71" s="7">
        <f>J71/('Census Crush'!$B70*36.7437/1000)</f>
        <v/>
      </c>
      <c r="M71" s="14" t="n">
        <v>3.57741935483871</v>
      </c>
      <c r="N71" s="15">
        <f>M71*355</f>
        <v/>
      </c>
      <c r="Q71" s="56">
        <f>B71/31</f>
        <v/>
      </c>
    </row>
    <row r="72" ht="13.5" customHeight="1">
      <c r="A72" s="6" t="n">
        <v>31199</v>
      </c>
      <c r="B72" s="8" t="n">
        <v>71.59999999999999</v>
      </c>
      <c r="C72" s="8" t="n"/>
      <c r="D72" s="8" t="n">
        <v>784.8</v>
      </c>
      <c r="F72" s="12">
        <f>D72/B72</f>
        <v/>
      </c>
      <c r="G72" s="8" t="n"/>
      <c r="H72" s="8" t="n">
        <v>184.9</v>
      </c>
      <c r="J72" s="8">
        <f>('Census Crush'!$B71*36.7437/1000)-B72</f>
        <v/>
      </c>
      <c r="K72" s="7">
        <f>J72/('Census Crush'!$B71*36.7437/1000)</f>
        <v/>
      </c>
      <c r="M72" s="14" t="n">
        <v>3.576666666666667</v>
      </c>
      <c r="N72" s="15">
        <f>M72*355</f>
        <v/>
      </c>
      <c r="Q72" s="56">
        <f>B72/30</f>
        <v/>
      </c>
    </row>
    <row r="73" ht="13.5" customHeight="1">
      <c r="A73" s="6" t="n">
        <v>31229</v>
      </c>
      <c r="B73" s="8" t="n">
        <v>71.3</v>
      </c>
      <c r="C73" s="8" t="n"/>
      <c r="D73" s="8" t="n">
        <v>795</v>
      </c>
      <c r="F73" s="12">
        <f>D73/B73</f>
        <v/>
      </c>
      <c r="G73" s="8" t="n"/>
      <c r="H73" s="8" t="n">
        <v>211.4</v>
      </c>
      <c r="J73" s="8">
        <f>('Census Crush'!$B72*36.7437/1000)-B73</f>
        <v/>
      </c>
      <c r="K73" s="7">
        <f>J73/('Census Crush'!$B72*36.7437/1000)</f>
        <v/>
      </c>
      <c r="M73" s="14" t="n">
        <v>3.580645161290323</v>
      </c>
      <c r="N73" s="15">
        <f>M73*355</f>
        <v/>
      </c>
      <c r="Q73" s="56">
        <f>B73/31</f>
        <v/>
      </c>
    </row>
    <row r="74" ht="13.5" customHeight="1">
      <c r="A74" s="6" t="n">
        <v>31260</v>
      </c>
      <c r="B74" s="8" t="n">
        <v>67.7</v>
      </c>
      <c r="C74" s="8" t="n"/>
      <c r="D74" s="8" t="n">
        <v>761.3</v>
      </c>
      <c r="F74" s="12">
        <f>D74/B74</f>
        <v/>
      </c>
      <c r="G74" s="8" t="n"/>
      <c r="H74" s="8" t="n">
        <v>191</v>
      </c>
      <c r="J74" s="8">
        <f>('Census Crush'!$B73*36.7437/1000)-B74</f>
        <v/>
      </c>
      <c r="K74" s="7">
        <f>J74/('Census Crush'!$B73*36.7437/1000)</f>
        <v/>
      </c>
      <c r="M74" s="14" t="n">
        <v>3.580645161290323</v>
      </c>
      <c r="N74" s="15">
        <f>M74*355</f>
        <v/>
      </c>
      <c r="Q74" s="56">
        <f>B74/31</f>
        <v/>
      </c>
    </row>
    <row r="75" ht="13.5" customHeight="1">
      <c r="A75" s="6" t="n">
        <v>31291</v>
      </c>
      <c r="B75" s="8" t="n">
        <v>65.09999999999999</v>
      </c>
      <c r="C75" s="8" t="n"/>
      <c r="D75" s="8" t="n">
        <v>728.2</v>
      </c>
      <c r="F75" s="12">
        <f>D75/B75</f>
        <v/>
      </c>
      <c r="G75" s="8" t="n"/>
      <c r="H75" s="8" t="n">
        <v>175.6</v>
      </c>
      <c r="J75" s="8">
        <f>('Census Crush'!$B74*36.7437/1000)-B75</f>
        <v/>
      </c>
      <c r="K75" s="7">
        <f>J75/('Census Crush'!$B74*36.7437/1000)</f>
        <v/>
      </c>
      <c r="M75" s="14" t="n">
        <v>3.58</v>
      </c>
      <c r="N75" s="15">
        <f>M75*355</f>
        <v/>
      </c>
      <c r="Q75" s="56">
        <f>B75/30</f>
        <v/>
      </c>
    </row>
    <row r="76" ht="13.5" customHeight="1">
      <c r="A76" s="6" t="n">
        <v>31321</v>
      </c>
      <c r="B76" s="8" t="n">
        <v>80.40000000000001</v>
      </c>
      <c r="C76" s="8" t="n"/>
      <c r="D76" s="8" t="n">
        <v>886</v>
      </c>
      <c r="F76" s="12">
        <f>D76/B76</f>
        <v/>
      </c>
      <c r="G76" s="8" t="n"/>
      <c r="H76" s="8" t="n">
        <v>158.4</v>
      </c>
      <c r="J76" s="8">
        <f>('Census Crush'!$B75*36.7437/1000)-B76</f>
        <v/>
      </c>
      <c r="K76" s="7">
        <f>J76/('Census Crush'!$B75*36.7437/1000)</f>
        <v/>
      </c>
      <c r="M76" s="14" t="n">
        <v>3.6</v>
      </c>
      <c r="N76" s="15">
        <f>M76*355</f>
        <v/>
      </c>
      <c r="Q76" s="56">
        <f>B76/31</f>
        <v/>
      </c>
    </row>
    <row r="77" ht="13.5" customHeight="1">
      <c r="A77" s="6" t="n">
        <v>31352</v>
      </c>
      <c r="B77" s="8" t="n">
        <v>82.8</v>
      </c>
      <c r="C77" s="8" t="n"/>
      <c r="D77" s="8" t="n">
        <v>902.4</v>
      </c>
      <c r="F77" s="12">
        <f>D77/B77</f>
        <v/>
      </c>
      <c r="G77" s="8" t="n"/>
      <c r="H77" s="8" t="n">
        <v>246</v>
      </c>
      <c r="J77" s="8">
        <f>('Census Crush'!$B76*36.7437/1000)-B77</f>
        <v/>
      </c>
      <c r="K77" s="7">
        <f>J77/('Census Crush'!$B76*36.7437/1000)</f>
        <v/>
      </c>
      <c r="M77" s="14" t="n">
        <v>3.6</v>
      </c>
      <c r="N77" s="15">
        <f>M77*355</f>
        <v/>
      </c>
      <c r="Q77" s="56">
        <f>B77/30</f>
        <v/>
      </c>
    </row>
    <row r="78" ht="13.5" customHeight="1">
      <c r="A78" s="6" t="n">
        <v>31382</v>
      </c>
      <c r="B78" s="8" t="n">
        <v>85.675</v>
      </c>
      <c r="C78" s="8" t="n">
        <v>2020.01</v>
      </c>
      <c r="D78" s="8" t="n">
        <v>932.518</v>
      </c>
      <c r="E78" s="12">
        <f>(C78*2)/B78</f>
        <v/>
      </c>
      <c r="F78" s="12">
        <f>D78/B78</f>
        <v/>
      </c>
      <c r="G78" s="8" t="n">
        <v>473.554</v>
      </c>
      <c r="H78" s="8" t="n">
        <v>326.371</v>
      </c>
      <c r="J78" s="8">
        <f>('Census Crush'!$B77*36.7437/1000)-B78</f>
        <v/>
      </c>
      <c r="K78" s="7">
        <f>J78/('Census Crush'!$B77*36.7437/1000)</f>
        <v/>
      </c>
      <c r="M78" s="14" t="n">
        <v>3.599290322580645</v>
      </c>
      <c r="N78" s="15">
        <f>M78*355</f>
        <v/>
      </c>
      <c r="Q78" s="56">
        <f>B78/31</f>
        <v/>
      </c>
    </row>
    <row r="79" ht="13.5" customHeight="1">
      <c r="A79" s="6" t="n">
        <v>31413</v>
      </c>
      <c r="B79" s="8" t="n">
        <v>84.85299999999999</v>
      </c>
      <c r="C79" s="8" t="n">
        <v>1996.871</v>
      </c>
      <c r="D79" s="8" t="n">
        <v>927.6079999999999</v>
      </c>
      <c r="E79" s="12">
        <f>(C79*2)/B79</f>
        <v/>
      </c>
      <c r="F79" s="12">
        <f>D79/B79</f>
        <v/>
      </c>
      <c r="G79" s="8" t="n">
        <v>397.472</v>
      </c>
      <c r="H79" s="8" t="n">
        <v>371.24</v>
      </c>
      <c r="J79" s="8">
        <f>('Census Crush'!$B78*36.7437/1000)-B79</f>
        <v/>
      </c>
      <c r="K79" s="7">
        <f>J79/('Census Crush'!$B78*36.7437/1000)</f>
        <v/>
      </c>
      <c r="M79" s="14" t="n">
        <v>3.637032258064516</v>
      </c>
      <c r="N79" s="15">
        <f>M79*355</f>
        <v/>
      </c>
      <c r="Q79" s="56">
        <f>B79/31</f>
        <v/>
      </c>
    </row>
    <row r="80" ht="13.5" customHeight="1">
      <c r="A80" s="6" t="n">
        <v>31444</v>
      </c>
      <c r="B80" s="8" t="n">
        <v>69.471</v>
      </c>
      <c r="C80" s="8" t="n">
        <v>1640.404</v>
      </c>
      <c r="D80" s="8" t="n">
        <v>762.377</v>
      </c>
      <c r="E80" s="12">
        <f>(C80*2)/B80</f>
        <v/>
      </c>
      <c r="F80" s="12">
        <f>D80/B80</f>
        <v/>
      </c>
      <c r="G80" s="8" t="n">
        <v>390.687</v>
      </c>
      <c r="H80" s="8" t="n">
        <v>341.976</v>
      </c>
      <c r="J80" s="8">
        <f>('Census Crush'!$B79*36.7437/1000)-B80</f>
        <v/>
      </c>
      <c r="K80" s="7">
        <f>J80/('Census Crush'!$B79*36.7437/1000)</f>
        <v/>
      </c>
      <c r="M80" s="14" t="n">
        <v>3.637035714285715</v>
      </c>
      <c r="N80" s="15">
        <f>M80*355</f>
        <v/>
      </c>
      <c r="Q80" s="56">
        <f>B80/28</f>
        <v/>
      </c>
    </row>
    <row r="81" ht="13.5" customHeight="1">
      <c r="A81" s="6" t="n">
        <v>31472</v>
      </c>
      <c r="B81" s="8" t="n">
        <v>78.363</v>
      </c>
      <c r="C81" s="8" t="n">
        <v>1845.92</v>
      </c>
      <c r="D81" s="8" t="n">
        <v>861.737</v>
      </c>
      <c r="E81" s="12">
        <f>(C81*2)/B81</f>
        <v/>
      </c>
      <c r="F81" s="12">
        <f>D81/B81</f>
        <v/>
      </c>
      <c r="G81" s="8" t="n">
        <v>323.444</v>
      </c>
      <c r="H81" s="8" t="n">
        <v>392.905</v>
      </c>
      <c r="J81" s="8">
        <f>('Census Crush'!$B80*36.7437/1000)-B81</f>
        <v/>
      </c>
      <c r="K81" s="7">
        <f>J81/('Census Crush'!$B80*36.7437/1000)</f>
        <v/>
      </c>
      <c r="M81" s="14" t="n">
        <v>3.637032258064516</v>
      </c>
      <c r="N81" s="15">
        <f>M81*355</f>
        <v/>
      </c>
      <c r="Q81" s="56">
        <f>B81/31</f>
        <v/>
      </c>
    </row>
    <row r="82" ht="13.5" customHeight="1">
      <c r="A82" s="6" t="n">
        <v>31503</v>
      </c>
      <c r="B82" s="8" t="n">
        <v>72.44199999999999</v>
      </c>
      <c r="C82" s="8" t="n">
        <v>1722.072</v>
      </c>
      <c r="D82" s="8" t="n">
        <v>790.928</v>
      </c>
      <c r="E82" s="12">
        <f>(C82*2)/B82</f>
        <v/>
      </c>
      <c r="F82" s="12">
        <f>D82/B82</f>
        <v/>
      </c>
      <c r="G82" s="8" t="n">
        <v>312.976</v>
      </c>
      <c r="H82" s="8" t="n">
        <v>366.113</v>
      </c>
      <c r="J82" s="8">
        <f>('Census Crush'!$B81*36.7437/1000)-B82</f>
        <v/>
      </c>
      <c r="K82" s="7">
        <f>J82/('Census Crush'!$B81*36.7437/1000)</f>
        <v/>
      </c>
      <c r="M82" s="14" t="n">
        <v>3.621266666666667</v>
      </c>
      <c r="N82" s="15">
        <f>M82*355</f>
        <v/>
      </c>
      <c r="Q82" s="56">
        <f>B82/30</f>
        <v/>
      </c>
    </row>
    <row r="83" ht="13.5" customHeight="1">
      <c r="A83" s="6" t="n">
        <v>31533</v>
      </c>
      <c r="B83" s="8" t="n">
        <v>75.027</v>
      </c>
      <c r="C83" s="8" t="n">
        <v>1775.059</v>
      </c>
      <c r="D83" s="8" t="n">
        <v>830.104</v>
      </c>
      <c r="E83" s="12">
        <f>(C83*2)/B83</f>
        <v/>
      </c>
      <c r="F83" s="12">
        <f>D83/B83</f>
        <v/>
      </c>
      <c r="G83" s="8" t="n">
        <v>297.91</v>
      </c>
      <c r="H83" s="8" t="n">
        <v>498.344</v>
      </c>
      <c r="J83" s="8">
        <f>('Census Crush'!$B82*36.7437/1000)-B83</f>
        <v/>
      </c>
      <c r="K83" s="7">
        <f>J83/('Census Crush'!$B82*36.7437/1000)</f>
        <v/>
      </c>
      <c r="M83" s="14" t="n">
        <v>3.621258064516129</v>
      </c>
      <c r="N83" s="15">
        <f>M83*355</f>
        <v/>
      </c>
      <c r="Q83" s="56">
        <f>B83/31</f>
        <v/>
      </c>
    </row>
    <row r="84" ht="13.5" customHeight="1">
      <c r="A84" s="6" t="n">
        <v>31564</v>
      </c>
      <c r="B84" s="8" t="n">
        <v>66.66200000000001</v>
      </c>
      <c r="C84" s="8" t="n">
        <v>1570.937</v>
      </c>
      <c r="D84" s="8" t="n">
        <v>755.117</v>
      </c>
      <c r="E84" s="12">
        <f>(C84*2)/B84</f>
        <v/>
      </c>
      <c r="F84" s="12">
        <f>D84/B84</f>
        <v/>
      </c>
      <c r="G84" s="8" t="n">
        <v>250.449</v>
      </c>
      <c r="H84" s="8" t="n">
        <v>422.681</v>
      </c>
      <c r="J84" s="8">
        <f>('Census Crush'!$B83*36.7437/1000)-B84</f>
        <v/>
      </c>
      <c r="K84" s="7">
        <f>J84/('Census Crush'!$B83*36.7437/1000)</f>
        <v/>
      </c>
      <c r="M84" s="14" t="n">
        <v>3.621266666666667</v>
      </c>
      <c r="N84" s="15">
        <f>M84*355</f>
        <v/>
      </c>
      <c r="Q84" s="56">
        <f>B84/30</f>
        <v/>
      </c>
    </row>
    <row r="85" ht="13.5" customHeight="1">
      <c r="A85" s="6" t="n">
        <v>31594</v>
      </c>
      <c r="B85" s="8" t="n">
        <v>72.816</v>
      </c>
      <c r="C85" s="8" t="n">
        <v>1720.821</v>
      </c>
      <c r="D85" s="8" t="n">
        <v>787.797</v>
      </c>
      <c r="E85" s="12">
        <f>(C85*2)/B85</f>
        <v/>
      </c>
      <c r="F85" s="12">
        <f>D85/B85</f>
        <v/>
      </c>
      <c r="G85" s="8" t="n">
        <v>297.641</v>
      </c>
      <c r="H85" s="8" t="n">
        <v>455.936</v>
      </c>
      <c r="J85" s="8">
        <f>('Census Crush'!$B84*36.7437/1000)-B85</f>
        <v/>
      </c>
      <c r="K85" s="7">
        <f>J85/('Census Crush'!$B84*36.7437/1000)</f>
        <v/>
      </c>
      <c r="M85" s="14" t="n">
        <v>3.637064516129032</v>
      </c>
      <c r="N85" s="15">
        <f>M85*355</f>
        <v/>
      </c>
      <c r="Q85" s="56">
        <f>B85/31</f>
        <v/>
      </c>
    </row>
    <row r="86" ht="13.5" customHeight="1">
      <c r="A86" s="6" t="n">
        <v>31625</v>
      </c>
      <c r="B86" s="8" t="n">
        <v>69.816</v>
      </c>
      <c r="C86" s="8" t="n">
        <v>1658.531</v>
      </c>
      <c r="D86" s="8" t="n">
        <v>767.611</v>
      </c>
      <c r="E86" s="12">
        <f>(C86*2)/B86</f>
        <v/>
      </c>
      <c r="F86" s="12">
        <f>D86/B86</f>
        <v/>
      </c>
      <c r="G86" s="8" t="n">
        <v>207.668</v>
      </c>
      <c r="H86" s="8" t="n">
        <v>383.873</v>
      </c>
      <c r="J86" s="8">
        <f>('Census Crush'!$B85*36.7437/1000)-B86</f>
        <v/>
      </c>
      <c r="K86" s="7">
        <f>J86/('Census Crush'!$B85*36.7437/1000)</f>
        <v/>
      </c>
      <c r="M86" s="14" t="n">
        <v>3.637064516129032</v>
      </c>
      <c r="N86" s="15">
        <f>M86*355</f>
        <v/>
      </c>
      <c r="Q86" s="56">
        <f>B86/31</f>
        <v/>
      </c>
    </row>
    <row r="87" ht="13.5" customHeight="1">
      <c r="A87" s="6" t="n">
        <v>31656</v>
      </c>
      <c r="B87" s="8" t="n">
        <v>69.298</v>
      </c>
      <c r="C87" s="8" t="n">
        <v>1637.948</v>
      </c>
      <c r="D87" s="8" t="n">
        <v>775.989</v>
      </c>
      <c r="E87" s="12">
        <f>(C87*2)/B87</f>
        <v/>
      </c>
      <c r="F87" s="12">
        <f>D87/B87</f>
        <v/>
      </c>
      <c r="G87" s="8" t="n">
        <v>222.688</v>
      </c>
      <c r="H87" s="8" t="n">
        <v>303.118</v>
      </c>
      <c r="J87" s="8">
        <f>('Census Crush'!$B86*36.7437/1000)-B87</f>
        <v/>
      </c>
      <c r="K87" s="7">
        <f>J87/('Census Crush'!$B86*36.7437/1000)</f>
        <v/>
      </c>
      <c r="M87" s="14" t="n">
        <v>3.637066666666667</v>
      </c>
      <c r="N87" s="15">
        <f>M87*355</f>
        <v/>
      </c>
      <c r="Q87" s="56">
        <f>B87/30</f>
        <v/>
      </c>
    </row>
    <row r="88" ht="13.5" customHeight="1">
      <c r="A88" s="6" t="n">
        <v>31686</v>
      </c>
      <c r="B88" s="8" t="n">
        <v>92.69</v>
      </c>
      <c r="C88" s="8" t="n">
        <v>2163.98</v>
      </c>
      <c r="D88" s="8" t="n">
        <v>1009.196</v>
      </c>
      <c r="E88" s="12">
        <f>(C88*2)/B88</f>
        <v/>
      </c>
      <c r="F88" s="12">
        <f>D88/B88</f>
        <v/>
      </c>
      <c r="G88" s="8" t="n">
        <v>433.421</v>
      </c>
      <c r="H88" s="8" t="n">
        <v>367.661</v>
      </c>
      <c r="J88" s="8">
        <f>('Census Crush'!$B87*36.7437/1000)-B88</f>
        <v/>
      </c>
      <c r="K88" s="7">
        <f>J88/('Census Crush'!$B87*36.7437/1000)</f>
        <v/>
      </c>
      <c r="M88" s="14" t="n">
        <v>3.600709677419355</v>
      </c>
      <c r="N88" s="15">
        <f>M88*355</f>
        <v/>
      </c>
      <c r="Q88" s="56">
        <f>B88/31</f>
        <v/>
      </c>
    </row>
    <row r="89" ht="13.5" customHeight="1">
      <c r="A89" s="6" t="n">
        <v>31717</v>
      </c>
      <c r="B89" s="8" t="n">
        <v>95.056</v>
      </c>
      <c r="C89" s="8" t="n">
        <v>2226.224</v>
      </c>
      <c r="D89" s="8" t="n">
        <v>1019.74</v>
      </c>
      <c r="E89" s="12">
        <f>(C89*2)/B89</f>
        <v/>
      </c>
      <c r="F89" s="12">
        <f>D89/B89</f>
        <v/>
      </c>
      <c r="G89" s="8" t="n">
        <v>523.53</v>
      </c>
      <c r="H89" s="8" t="n">
        <v>537.169</v>
      </c>
      <c r="J89" s="8">
        <f>('Census Crush'!$B88*36.7437/1000)-B89</f>
        <v/>
      </c>
      <c r="K89" s="7">
        <f>J89/('Census Crush'!$B88*36.7437/1000)</f>
        <v/>
      </c>
      <c r="M89" s="14" t="n">
        <v>3.6007</v>
      </c>
      <c r="N89" s="15">
        <f>M89*355</f>
        <v/>
      </c>
      <c r="Q89" s="56">
        <f>B89/30</f>
        <v/>
      </c>
    </row>
    <row r="90" ht="13.5" customHeight="1">
      <c r="A90" s="6" t="n">
        <v>31747</v>
      </c>
      <c r="B90" s="8" t="n">
        <v>93.11499999999999</v>
      </c>
      <c r="C90" s="8" t="n">
        <v>2173.639</v>
      </c>
      <c r="D90" s="8" t="n">
        <v>997.604</v>
      </c>
      <c r="E90" s="12">
        <f>(C90*2)/B90</f>
        <v/>
      </c>
      <c r="F90" s="12">
        <f>D90/B90</f>
        <v/>
      </c>
      <c r="G90" s="8" t="n">
        <v>468.102</v>
      </c>
      <c r="H90" s="8" t="n">
        <v>605.658</v>
      </c>
      <c r="J90" s="8">
        <f>('Census Crush'!$B89*36.7437/1000)-B90</f>
        <v/>
      </c>
      <c r="K90" s="7">
        <f>J90/('Census Crush'!$B89*36.7437/1000)</f>
        <v/>
      </c>
      <c r="M90" s="14" t="n">
        <v>3.600709677419355</v>
      </c>
      <c r="N90" s="15">
        <f>M90*355</f>
        <v/>
      </c>
      <c r="Q90" s="56">
        <f>B90/31</f>
        <v/>
      </c>
    </row>
    <row r="91" ht="13.5" customHeight="1">
      <c r="A91" s="6" t="n">
        <v>31778</v>
      </c>
      <c r="B91" s="8" t="n">
        <v>95.866</v>
      </c>
      <c r="C91" s="8" t="n">
        <v>2253.549</v>
      </c>
      <c r="D91" s="8" t="n">
        <v>1033.348</v>
      </c>
      <c r="E91" s="12">
        <f>(C91*2)/B91</f>
        <v/>
      </c>
      <c r="F91" s="12">
        <f>D91/B91</f>
        <v/>
      </c>
      <c r="G91" s="8" t="n">
        <v>496.496</v>
      </c>
      <c r="H91" s="8" t="n">
        <v>747.851</v>
      </c>
      <c r="J91" s="8">
        <f>('Census Crush'!$B90*36.7437/1000)-B91</f>
        <v/>
      </c>
      <c r="K91" s="7">
        <f>J91/('Census Crush'!$B90*36.7437/1000)</f>
        <v/>
      </c>
      <c r="M91" s="14" t="n">
        <v>3.696258064516129</v>
      </c>
      <c r="N91" s="15">
        <f>M91*355</f>
        <v/>
      </c>
      <c r="Q91" s="56">
        <f>B91/31</f>
        <v/>
      </c>
    </row>
    <row r="92" ht="13.5" customHeight="1">
      <c r="A92" s="6" t="n">
        <v>31809</v>
      </c>
      <c r="B92" s="8" t="n">
        <v>88.333</v>
      </c>
      <c r="C92" s="8" t="n">
        <v>2081.76</v>
      </c>
      <c r="D92" s="8" t="n">
        <v>960.0940000000001</v>
      </c>
      <c r="E92" s="12">
        <f>(C92*2)/B92</f>
        <v/>
      </c>
      <c r="F92" s="12">
        <f>D92/B92</f>
        <v/>
      </c>
      <c r="G92" s="8" t="n">
        <v>587.9589999999999</v>
      </c>
      <c r="H92" s="8" t="n">
        <v>864.138</v>
      </c>
      <c r="J92" s="8">
        <f>('Census Crush'!$B91*36.7437/1000)-B92</f>
        <v/>
      </c>
      <c r="K92" s="7">
        <f>J92/('Census Crush'!$B91*36.7437/1000)</f>
        <v/>
      </c>
      <c r="M92" s="14" t="n">
        <v>3.696285714285714</v>
      </c>
      <c r="N92" s="15">
        <f>M92*355</f>
        <v/>
      </c>
      <c r="Q92" s="56">
        <f>B92/28</f>
        <v/>
      </c>
    </row>
    <row r="93" ht="13.5" customHeight="1">
      <c r="A93" s="6" t="n">
        <v>31837</v>
      </c>
      <c r="B93" s="8" t="n">
        <v>92.367</v>
      </c>
      <c r="C93" s="8" t="n">
        <v>2167.316</v>
      </c>
      <c r="D93" s="8" t="n">
        <v>1002.444</v>
      </c>
      <c r="E93" s="12">
        <f>(C93*2)/B93</f>
        <v/>
      </c>
      <c r="F93" s="12">
        <f>D93/B93</f>
        <v/>
      </c>
      <c r="G93" s="8" t="n">
        <v>496.997</v>
      </c>
      <c r="H93" s="8" t="n">
        <v>864.4109999999999</v>
      </c>
      <c r="J93" s="8">
        <f>('Census Crush'!$B92*36.7437/1000)-B93</f>
        <v/>
      </c>
      <c r="K93" s="7">
        <f>J93/('Census Crush'!$B92*36.7437/1000)</f>
        <v/>
      </c>
      <c r="M93" s="14" t="n">
        <v>3.696258064516129</v>
      </c>
      <c r="N93" s="15">
        <f>M93*355</f>
        <v/>
      </c>
      <c r="Q93" s="56">
        <f>B93/31</f>
        <v/>
      </c>
    </row>
    <row r="94" ht="13.5" customHeight="1">
      <c r="A94" s="6" t="n">
        <v>31868</v>
      </c>
      <c r="B94" s="8" t="n">
        <v>83.232</v>
      </c>
      <c r="C94" s="8" t="n">
        <v>1964.562</v>
      </c>
      <c r="D94" s="8" t="n">
        <v>913.245</v>
      </c>
      <c r="E94" s="12">
        <f>(C94*2)/B94</f>
        <v/>
      </c>
      <c r="F94" s="12">
        <f>D94/B94</f>
        <v/>
      </c>
      <c r="G94" s="8" t="n">
        <v>334.671</v>
      </c>
      <c r="H94" s="8" t="n">
        <v>923.365</v>
      </c>
      <c r="J94" s="8">
        <f>('Census Crush'!$B93*36.7437/1000)-B94</f>
        <v/>
      </c>
      <c r="K94" s="7">
        <f>J94/('Census Crush'!$B93*36.7437/1000)</f>
        <v/>
      </c>
      <c r="M94" s="14" t="n">
        <v>3.722033333333334</v>
      </c>
      <c r="N94" s="15">
        <f>M94*355</f>
        <v/>
      </c>
      <c r="Q94" s="56">
        <f>B94/30</f>
        <v/>
      </c>
    </row>
    <row r="95" ht="13.5" customHeight="1">
      <c r="A95" s="6" t="n">
        <v>31898</v>
      </c>
      <c r="B95" s="8" t="n">
        <v>81.074</v>
      </c>
      <c r="C95" s="8" t="n">
        <v>1908.635</v>
      </c>
      <c r="D95" s="8" t="n">
        <v>883.6180000000001</v>
      </c>
      <c r="E95" s="12">
        <f>(C95*2)/B95</f>
        <v/>
      </c>
      <c r="F95" s="12">
        <f>D95/B95</f>
        <v/>
      </c>
      <c r="G95" s="8" t="n">
        <v>320.228</v>
      </c>
      <c r="H95" s="8" t="n">
        <v>946.659</v>
      </c>
      <c r="J95" s="8">
        <f>('Census Crush'!$B94*36.7437/1000)-B95</f>
        <v/>
      </c>
      <c r="K95" s="7">
        <f>J95/('Census Crush'!$B94*36.7437/1000)</f>
        <v/>
      </c>
      <c r="M95" s="14" t="n">
        <v>3.722064516129032</v>
      </c>
      <c r="N95" s="15">
        <f>M95*355</f>
        <v/>
      </c>
      <c r="Q95" s="56">
        <f>B95/31</f>
        <v/>
      </c>
    </row>
    <row r="96" ht="13.5" customHeight="1">
      <c r="A96" s="6" t="n">
        <v>31929</v>
      </c>
      <c r="B96" s="8" t="n">
        <v>75.92</v>
      </c>
      <c r="C96" s="8" t="n">
        <v>1763.07</v>
      </c>
      <c r="D96" s="8" t="n">
        <v>826.992</v>
      </c>
      <c r="E96" s="12">
        <f>(C96*2)/B96</f>
        <v/>
      </c>
      <c r="F96" s="12">
        <f>D96/B96</f>
        <v/>
      </c>
      <c r="G96" s="8" t="n">
        <v>265.556</v>
      </c>
      <c r="H96" s="8" t="n">
        <v>965.616</v>
      </c>
      <c r="J96" s="8">
        <f>('Census Crush'!$B95*36.7437/1000)-B96</f>
        <v/>
      </c>
      <c r="K96" s="7">
        <f>J96/('Census Crush'!$B95*36.7437/1000)</f>
        <v/>
      </c>
      <c r="M96" s="14" t="n">
        <v>3.722033333333334</v>
      </c>
      <c r="N96" s="15">
        <f>M96*355</f>
        <v/>
      </c>
      <c r="Q96" s="56">
        <f>B96/30</f>
        <v/>
      </c>
    </row>
    <row r="97" ht="13.5" customHeight="1">
      <c r="A97" s="6" t="n">
        <v>31959</v>
      </c>
      <c r="B97" s="8" t="n">
        <v>80.851</v>
      </c>
      <c r="C97" s="8" t="n">
        <v>1901.205</v>
      </c>
      <c r="D97" s="8" t="n">
        <v>885.946</v>
      </c>
      <c r="E97" s="12">
        <f>(C97*2)/B97</f>
        <v/>
      </c>
      <c r="F97" s="12">
        <f>D97/B97</f>
        <v/>
      </c>
      <c r="G97" s="8" t="n">
        <v>256.219</v>
      </c>
      <c r="H97" s="8" t="n">
        <v>910.043</v>
      </c>
      <c r="J97" s="8">
        <f>('Census Crush'!$B96*36.7437/1000)-B97</f>
        <v/>
      </c>
      <c r="K97" s="7">
        <f>J97/('Census Crush'!$B96*36.7437/1000)</f>
        <v/>
      </c>
      <c r="M97" s="14" t="n">
        <v>3.750483870967742</v>
      </c>
      <c r="N97" s="15">
        <f>M97*355</f>
        <v/>
      </c>
      <c r="Q97" s="56">
        <f>B97/31</f>
        <v/>
      </c>
    </row>
    <row r="98" ht="13.5" customHeight="1">
      <c r="A98" s="6" t="n">
        <v>31990</v>
      </c>
      <c r="B98" s="8" t="n">
        <v>75.577</v>
      </c>
      <c r="C98" s="8" t="n">
        <v>1787.38</v>
      </c>
      <c r="D98" s="8" t="n">
        <v>832.449</v>
      </c>
      <c r="E98" s="12">
        <f>(C98*2)/B98</f>
        <v/>
      </c>
      <c r="F98" s="12">
        <f>D98/B98</f>
        <v/>
      </c>
      <c r="G98" s="8" t="n">
        <v>174.307</v>
      </c>
      <c r="H98" s="8" t="n">
        <v>766.604</v>
      </c>
      <c r="J98" s="8">
        <f>('Census Crush'!$B97*36.7437/1000)-B98</f>
        <v/>
      </c>
      <c r="K98" s="7">
        <f>J98/('Census Crush'!$B97*36.7437/1000)</f>
        <v/>
      </c>
      <c r="M98" s="14" t="n">
        <v>3.750483870967742</v>
      </c>
      <c r="N98" s="15">
        <f>M98*355</f>
        <v/>
      </c>
      <c r="Q98" s="56">
        <f>B98/31</f>
        <v/>
      </c>
    </row>
    <row r="99" ht="13.5" customHeight="1">
      <c r="A99" s="6" t="n">
        <v>32021</v>
      </c>
      <c r="B99" s="8" t="n">
        <v>70.68000000000001</v>
      </c>
      <c r="C99" s="8" t="n">
        <v>1674.867</v>
      </c>
      <c r="D99" s="8" t="n">
        <v>782.52</v>
      </c>
      <c r="E99" s="12">
        <f>(C99*2)/B99</f>
        <v/>
      </c>
      <c r="F99" s="12">
        <f>D99/B99</f>
        <v/>
      </c>
      <c r="G99" s="8" t="n">
        <v>130.857</v>
      </c>
      <c r="H99" s="8" t="n">
        <v>630.923</v>
      </c>
      <c r="J99" s="8">
        <f>('Census Crush'!$B98*36.7437/1000)-B99</f>
        <v/>
      </c>
      <c r="K99" s="7">
        <f>J99/('Census Crush'!$B98*36.7437/1000)</f>
        <v/>
      </c>
      <c r="M99" s="14" t="n">
        <v>3.7502</v>
      </c>
      <c r="N99" s="15">
        <f>M99*355</f>
        <v/>
      </c>
      <c r="Q99" s="56">
        <f>B99/30</f>
        <v/>
      </c>
    </row>
    <row r="100" ht="13.5" customHeight="1">
      <c r="A100" s="6" t="n">
        <v>32051</v>
      </c>
      <c r="B100" s="8" t="n">
        <v>87.36</v>
      </c>
      <c r="C100" s="8" t="n">
        <v>2076.469</v>
      </c>
      <c r="D100" s="8" t="n">
        <v>939.696</v>
      </c>
      <c r="E100" s="12">
        <f>(C100*2)/B100</f>
        <v/>
      </c>
      <c r="F100" s="12">
        <f>D100/B100</f>
        <v/>
      </c>
      <c r="G100" s="8" t="n">
        <v>365.138</v>
      </c>
      <c r="H100" s="8" t="n">
        <v>650.028</v>
      </c>
      <c r="J100" s="8">
        <f>('Census Crush'!$B99*36.7437/1000)-B100</f>
        <v/>
      </c>
      <c r="K100" s="7">
        <f>J100/('Census Crush'!$B99*36.7437/1000)</f>
        <v/>
      </c>
      <c r="M100" s="14" t="n">
        <v>3.811193548387097</v>
      </c>
      <c r="N100" s="15">
        <f>M100*355</f>
        <v/>
      </c>
      <c r="Q100" s="56">
        <f>B100/31</f>
        <v/>
      </c>
    </row>
    <row r="101" ht="13.5" customHeight="1">
      <c r="A101" s="6" t="n">
        <v>32082</v>
      </c>
      <c r="B101" s="8" t="n">
        <v>95.40300000000001</v>
      </c>
      <c r="C101" s="8" t="n">
        <v>2275.133</v>
      </c>
      <c r="D101" s="8" t="n">
        <v>1041.613</v>
      </c>
      <c r="E101" s="12">
        <f>(C101*2)/B101</f>
        <v/>
      </c>
      <c r="F101" s="12">
        <f>D101/B101</f>
        <v/>
      </c>
      <c r="G101" s="8" t="n">
        <v>578.75</v>
      </c>
      <c r="H101" s="8" t="n">
        <v>741.894</v>
      </c>
      <c r="J101" s="8">
        <f>('Census Crush'!$B100*36.7437/1000)-B101</f>
        <v/>
      </c>
      <c r="K101" s="7">
        <f>J101/('Census Crush'!$B100*36.7437/1000)</f>
        <v/>
      </c>
      <c r="M101" s="14" t="n">
        <v>3.8112</v>
      </c>
      <c r="N101" s="15">
        <f>M101*355</f>
        <v/>
      </c>
      <c r="Q101" s="56">
        <f>B101/30</f>
        <v/>
      </c>
    </row>
    <row r="102" ht="13.5" customHeight="1">
      <c r="A102" s="6" t="n">
        <v>32112</v>
      </c>
      <c r="B102" s="8" t="n">
        <v>94.32899999999999</v>
      </c>
      <c r="C102" s="8" t="n">
        <v>2252.898</v>
      </c>
      <c r="D102" s="8" t="n">
        <v>1033.38</v>
      </c>
      <c r="E102" s="12">
        <f>(C102*2)/B102</f>
        <v/>
      </c>
      <c r="F102" s="12">
        <f>D102/B102</f>
        <v/>
      </c>
      <c r="G102" s="8" t="n">
        <v>652.2859999999999</v>
      </c>
      <c r="H102" s="8" t="n">
        <v>773.061</v>
      </c>
      <c r="J102" s="8">
        <f>('Census Crush'!$B101*36.7437/1000)-B102</f>
        <v/>
      </c>
      <c r="K102" s="7">
        <f>J102/('Census Crush'!$B101*36.7437/1000)</f>
        <v/>
      </c>
      <c r="M102" s="14" t="n">
        <v>3.811193548387097</v>
      </c>
      <c r="N102" s="15">
        <f>M102*355</f>
        <v/>
      </c>
      <c r="Q102" s="56">
        <f>B102/31</f>
        <v/>
      </c>
    </row>
    <row r="103" ht="13.5" customHeight="1">
      <c r="A103" s="6" t="n">
        <v>32143</v>
      </c>
      <c r="B103" s="8" t="n">
        <v>91.251</v>
      </c>
      <c r="C103" s="8" t="n">
        <v>2173.81</v>
      </c>
      <c r="D103" s="8" t="n">
        <v>1006.428</v>
      </c>
      <c r="E103" s="12">
        <f>(C103*2)/B103</f>
        <v/>
      </c>
      <c r="F103" s="12">
        <f>D103/B103</f>
        <v/>
      </c>
      <c r="G103" s="8" t="n">
        <v>491.141</v>
      </c>
      <c r="H103" s="8" t="n">
        <v>903.5599999999999</v>
      </c>
      <c r="J103" s="8">
        <f>('Census Crush'!$B102*36.7437/1000)-B103</f>
        <v/>
      </c>
      <c r="K103" s="7">
        <f>J103/('Census Crush'!$B102*36.7437/1000)</f>
        <v/>
      </c>
      <c r="M103" s="14" t="n">
        <v>3.849483870967742</v>
      </c>
      <c r="N103" s="15">
        <f>M103*355</f>
        <v/>
      </c>
      <c r="Q103" s="56">
        <f>B103/31</f>
        <v/>
      </c>
    </row>
    <row r="104" ht="13.5" customHeight="1">
      <c r="A104" s="6" t="n">
        <v>32174</v>
      </c>
      <c r="B104" s="8" t="n">
        <v>84.32299999999999</v>
      </c>
      <c r="C104" s="8" t="n">
        <v>2012.142</v>
      </c>
      <c r="D104" s="8" t="n">
        <v>932.0940000000001</v>
      </c>
      <c r="E104" s="12">
        <f>(C104*2)/B104</f>
        <v/>
      </c>
      <c r="F104" s="12">
        <f>D104/B104</f>
        <v/>
      </c>
      <c r="G104" s="8" t="n">
        <v>547.794</v>
      </c>
      <c r="H104" s="8" t="n">
        <v>918.241</v>
      </c>
      <c r="J104" s="8">
        <f>('Census Crush'!$B103*36.7437/1000)-B104</f>
        <v/>
      </c>
      <c r="K104" s="7">
        <f>J104/('Census Crush'!$B103*36.7437/1000)</f>
        <v/>
      </c>
      <c r="M104" s="14" t="n">
        <v>3.84948275862069</v>
      </c>
      <c r="N104" s="15">
        <f>M104*355</f>
        <v/>
      </c>
      <c r="Q104" s="56">
        <f>B104/29</f>
        <v/>
      </c>
    </row>
    <row r="105" ht="13.5" customHeight="1">
      <c r="A105" s="6" t="n">
        <v>32203</v>
      </c>
      <c r="B105" s="8" t="n">
        <v>91.233</v>
      </c>
      <c r="C105" s="8" t="n">
        <v>2180.019</v>
      </c>
      <c r="D105" s="8" t="n">
        <v>1010.567</v>
      </c>
      <c r="E105" s="12">
        <f>(C105*2)/B105</f>
        <v/>
      </c>
      <c r="F105" s="12">
        <f>D105/B105</f>
        <v/>
      </c>
      <c r="G105" s="8" t="n">
        <v>582.717</v>
      </c>
      <c r="H105" s="8" t="n">
        <v>882.7859999999999</v>
      </c>
      <c r="J105" s="8">
        <f>('Census Crush'!$B104*36.7437/1000)-B105</f>
        <v/>
      </c>
      <c r="K105" s="7">
        <f>J105/('Census Crush'!$B104*36.7437/1000)</f>
        <v/>
      </c>
      <c r="M105" s="14" t="n">
        <v>3.849483870967742</v>
      </c>
      <c r="N105" s="15">
        <f>M105*355</f>
        <v/>
      </c>
      <c r="Q105" s="56">
        <f>B105/31</f>
        <v/>
      </c>
    </row>
    <row r="106" ht="13.5" customHeight="1">
      <c r="A106" s="6" t="n">
        <v>32234</v>
      </c>
      <c r="B106" s="8" t="n">
        <v>87.664</v>
      </c>
      <c r="C106" s="8" t="n">
        <v>2089.459</v>
      </c>
      <c r="D106" s="8" t="n">
        <v>972.485</v>
      </c>
      <c r="E106" s="12">
        <f>(C106*2)/B106</f>
        <v/>
      </c>
      <c r="F106" s="12">
        <f>D106/B106</f>
        <v/>
      </c>
      <c r="G106" s="8" t="n">
        <v>414.611</v>
      </c>
      <c r="H106" s="8" t="n">
        <v>940.3</v>
      </c>
      <c r="J106" s="8">
        <f>('Census Crush'!$B105*36.7437/1000)-B106</f>
        <v/>
      </c>
      <c r="K106" s="7">
        <f>J106/('Census Crush'!$B105*36.7437/1000)</f>
        <v/>
      </c>
      <c r="M106" s="14" t="n">
        <v>3.832833333333333</v>
      </c>
      <c r="N106" s="15">
        <f>M106*355</f>
        <v/>
      </c>
      <c r="Q106" s="56">
        <f>B106/30</f>
        <v/>
      </c>
    </row>
    <row r="107" ht="13.5" customHeight="1">
      <c r="A107" s="6" t="n">
        <v>32264</v>
      </c>
      <c r="B107" s="8" t="n">
        <v>82.477</v>
      </c>
      <c r="C107" s="8" t="n">
        <v>1966.37</v>
      </c>
      <c r="D107" s="8" t="n">
        <v>919.092</v>
      </c>
      <c r="E107" s="12">
        <f>(C107*2)/B107</f>
        <v/>
      </c>
      <c r="F107" s="12">
        <f>D107/B107</f>
        <v/>
      </c>
      <c r="G107" s="8" t="n">
        <v>474.201</v>
      </c>
      <c r="H107" s="8" t="n">
        <v>917.144</v>
      </c>
      <c r="J107" s="8">
        <f>('Census Crush'!$B106*36.7437/1000)-B107</f>
        <v/>
      </c>
      <c r="K107" s="7">
        <f>J107/('Census Crush'!$B106*36.7437/1000)</f>
        <v/>
      </c>
      <c r="M107" s="14" t="n">
        <v>3.832838709677419</v>
      </c>
      <c r="N107" s="15">
        <f>M107*355</f>
        <v/>
      </c>
      <c r="Q107" s="56">
        <f>B107/31</f>
        <v/>
      </c>
    </row>
    <row r="108" ht="13.5" customHeight="1">
      <c r="A108" s="6" t="n">
        <v>32295</v>
      </c>
      <c r="B108" s="8" t="n">
        <v>75.13500000000001</v>
      </c>
      <c r="C108" s="8" t="n">
        <v>1792.927</v>
      </c>
      <c r="D108" s="8" t="n">
        <v>842.433</v>
      </c>
      <c r="E108" s="12">
        <f>(C108*2)/B108</f>
        <v/>
      </c>
      <c r="F108" s="12">
        <f>D108/B108</f>
        <v/>
      </c>
      <c r="G108" s="8" t="n">
        <v>201.061</v>
      </c>
      <c r="H108" s="8" t="n">
        <v>838.681</v>
      </c>
      <c r="J108" s="8">
        <f>('Census Crush'!$B107*36.7437/1000)-B108</f>
        <v/>
      </c>
      <c r="K108" s="7">
        <f>J108/('Census Crush'!$B107*36.7437/1000)</f>
        <v/>
      </c>
      <c r="M108" s="14" t="n">
        <v>3.832833333333333</v>
      </c>
      <c r="N108" s="15">
        <f>M108*355</f>
        <v/>
      </c>
      <c r="Q108" s="56">
        <f>B108/30</f>
        <v/>
      </c>
    </row>
    <row r="109" ht="13.5" customHeight="1">
      <c r="A109" s="6" t="n">
        <v>32325</v>
      </c>
      <c r="B109" s="8" t="n">
        <v>76.569</v>
      </c>
      <c r="C109" s="8" t="n">
        <v>1835.24</v>
      </c>
      <c r="D109" s="8" t="n">
        <v>866.742</v>
      </c>
      <c r="E109" s="12">
        <f>(C109*2)/B109</f>
        <v/>
      </c>
      <c r="F109" s="12">
        <f>D109/B109</f>
        <v/>
      </c>
      <c r="G109" s="8" t="n">
        <v>269.26</v>
      </c>
      <c r="H109" s="8" t="n">
        <v>775.4109999999999</v>
      </c>
      <c r="J109" s="8">
        <f>('Census Crush'!$B108*36.7437/1000)-B109</f>
        <v/>
      </c>
      <c r="K109" s="7">
        <f>J109/('Census Crush'!$B108*36.7437/1000)</f>
        <v/>
      </c>
      <c r="M109" s="14" t="n">
        <v>3.833064516129032</v>
      </c>
      <c r="N109" s="15">
        <f>M109*355</f>
        <v/>
      </c>
      <c r="Q109" s="56">
        <f>B109/31</f>
        <v/>
      </c>
    </row>
    <row r="110" ht="13.5" customHeight="1">
      <c r="A110" s="6" t="n">
        <v>32356</v>
      </c>
      <c r="B110" s="8" t="n">
        <v>71.334</v>
      </c>
      <c r="C110" s="8" t="n">
        <v>1704.132</v>
      </c>
      <c r="D110" s="8" t="n">
        <v>798.276</v>
      </c>
      <c r="E110" s="12">
        <f>(C110*2)/B110</f>
        <v/>
      </c>
      <c r="F110" s="12">
        <f>D110/B110</f>
        <v/>
      </c>
      <c r="G110" s="8" t="n">
        <v>265.575</v>
      </c>
      <c r="H110" s="8" t="n">
        <v>638.527</v>
      </c>
      <c r="J110" s="8">
        <f>('Census Crush'!$B109*36.7437/1000)-B110</f>
        <v/>
      </c>
      <c r="K110" s="7">
        <f>J110/('Census Crush'!$B109*36.7437/1000)</f>
        <v/>
      </c>
      <c r="M110" s="14" t="n">
        <v>3.833064516129032</v>
      </c>
      <c r="N110" s="15">
        <f>M110*355</f>
        <v/>
      </c>
      <c r="Q110" s="56">
        <f>B110/31</f>
        <v/>
      </c>
    </row>
    <row r="111" ht="13.5" customHeight="1">
      <c r="A111" s="6" t="n">
        <v>32387</v>
      </c>
      <c r="B111" s="8" t="n">
        <v>70.289</v>
      </c>
      <c r="C111" s="8" t="n">
        <v>1670.381</v>
      </c>
      <c r="D111" s="8" t="n">
        <v>795.106</v>
      </c>
      <c r="E111" s="12">
        <f>(C111*2)/B111</f>
        <v/>
      </c>
      <c r="F111" s="12">
        <f>D111/B111</f>
        <v/>
      </c>
      <c r="G111" s="8" t="n">
        <v>217.038</v>
      </c>
      <c r="H111" s="8" t="n">
        <v>592.26</v>
      </c>
      <c r="J111" s="8">
        <f>('Census Crush'!$B110*36.7437/1000)-B111</f>
        <v/>
      </c>
      <c r="K111" s="7">
        <f>J111/('Census Crush'!$B110*36.7437/1000)</f>
        <v/>
      </c>
      <c r="M111" s="14" t="n">
        <v>3.833066666666667</v>
      </c>
      <c r="N111" s="15">
        <f>M111*355</f>
        <v/>
      </c>
      <c r="Q111" s="56">
        <f>B111/30</f>
        <v/>
      </c>
    </row>
    <row r="112" ht="13.5" customHeight="1">
      <c r="A112" s="6" t="n">
        <v>32417</v>
      </c>
      <c r="B112" s="8" t="n">
        <v>79.878</v>
      </c>
      <c r="C112" s="8" t="n">
        <v>1886.779</v>
      </c>
      <c r="D112" s="8" t="n">
        <v>889.765</v>
      </c>
      <c r="E112" s="12">
        <f>(C112*2)/B112</f>
        <v/>
      </c>
      <c r="F112" s="12">
        <f>D112/B112</f>
        <v/>
      </c>
      <c r="G112" s="8" t="n">
        <v>248.808</v>
      </c>
      <c r="H112" s="8" t="n">
        <v>616.6</v>
      </c>
      <c r="J112" s="8">
        <f>('Census Crush'!$B111*36.7437/1000)-B112</f>
        <v/>
      </c>
      <c r="K112" s="7">
        <f>J112/('Census Crush'!$B111*36.7437/1000)</f>
        <v/>
      </c>
      <c r="M112" s="14" t="n">
        <v>3.818967741935484</v>
      </c>
      <c r="N112" s="15">
        <f>M112*355</f>
        <v/>
      </c>
      <c r="Q112" s="56">
        <f>B112/31</f>
        <v/>
      </c>
    </row>
    <row r="113" ht="13.5" customHeight="1">
      <c r="A113" s="6" t="n">
        <v>32448</v>
      </c>
      <c r="B113" s="8" t="n">
        <v>86.04600000000001</v>
      </c>
      <c r="C113" s="8" t="n">
        <v>2042.146</v>
      </c>
      <c r="D113" s="8" t="n">
        <v>951.1079999999999</v>
      </c>
      <c r="E113" s="12">
        <f>(C113*2)/B113</f>
        <v/>
      </c>
      <c r="F113" s="12">
        <f>D113/B113</f>
        <v/>
      </c>
      <c r="G113" s="8" t="n">
        <v>366.356</v>
      </c>
      <c r="H113" s="8" t="n">
        <v>720.417</v>
      </c>
      <c r="J113" s="8">
        <f>('Census Crush'!$B112*36.7437/1000)-B113</f>
        <v/>
      </c>
      <c r="K113" s="7">
        <f>J113/('Census Crush'!$B112*36.7437/1000)</f>
        <v/>
      </c>
      <c r="M113" s="14" t="n">
        <v>3.818966666666667</v>
      </c>
      <c r="N113" s="15">
        <f>M113*355</f>
        <v/>
      </c>
      <c r="Q113" s="56">
        <f>B113/30</f>
        <v/>
      </c>
    </row>
    <row r="114" ht="13.5" customHeight="1">
      <c r="A114" s="6" t="n">
        <v>32478</v>
      </c>
      <c r="B114" s="8" t="n">
        <v>86.696</v>
      </c>
      <c r="C114" s="8" t="n">
        <v>2053.915</v>
      </c>
      <c r="D114" s="8" t="n">
        <v>946.093</v>
      </c>
      <c r="E114" s="12">
        <f>(C114*2)/B114</f>
        <v/>
      </c>
      <c r="F114" s="12">
        <f>D114/B114</f>
        <v/>
      </c>
      <c r="G114" s="8" t="n">
        <v>405.75</v>
      </c>
      <c r="H114" s="8" t="n">
        <v>833.478</v>
      </c>
      <c r="J114" s="8">
        <f>('Census Crush'!$B113*36.7437/1000)-B114</f>
        <v/>
      </c>
      <c r="K114" s="7">
        <f>J114/('Census Crush'!$B113*36.7437/1000)</f>
        <v/>
      </c>
      <c r="M114" s="14" t="n">
        <v>3.818935483870968</v>
      </c>
      <c r="N114" s="15">
        <f>M114*355</f>
        <v/>
      </c>
      <c r="Q114" s="56">
        <f>B114/31</f>
        <v/>
      </c>
    </row>
    <row r="115" ht="13.5" customHeight="1">
      <c r="A115" s="6" t="n">
        <v>32509</v>
      </c>
      <c r="B115" s="8" t="n">
        <v>86.22199999999999</v>
      </c>
      <c r="C115" s="8" t="n">
        <v>2046.314</v>
      </c>
      <c r="D115" s="8" t="n">
        <v>960.728</v>
      </c>
      <c r="E115" s="12">
        <f>(C115*2)/B115</f>
        <v/>
      </c>
      <c r="F115" s="12">
        <f>D115/B115</f>
        <v/>
      </c>
      <c r="G115" s="8" t="n">
        <v>420.453</v>
      </c>
      <c r="H115" s="8" t="n">
        <v>965.295</v>
      </c>
      <c r="J115" s="8">
        <f>('Census Crush'!$B114*36.7437/1000)-B115</f>
        <v/>
      </c>
      <c r="K115" s="7">
        <f>J115/('Census Crush'!$B114*36.7437/1000)</f>
        <v/>
      </c>
      <c r="M115" s="14" t="n">
        <v>3.846709677419355</v>
      </c>
      <c r="N115" s="15">
        <f>M115*355</f>
        <v/>
      </c>
      <c r="Q115" s="56">
        <f>B115/31</f>
        <v/>
      </c>
    </row>
    <row r="116" ht="13.5" customHeight="1">
      <c r="A116" s="6" t="n">
        <v>32540</v>
      </c>
      <c r="B116" s="8" t="n">
        <v>72.70399999999999</v>
      </c>
      <c r="C116" s="8" t="n">
        <v>1720.377</v>
      </c>
      <c r="D116" s="8" t="n">
        <v>796.569</v>
      </c>
      <c r="E116" s="12">
        <f>(C116*2)/B116</f>
        <v/>
      </c>
      <c r="F116" s="12">
        <f>D116/B116</f>
        <v/>
      </c>
      <c r="G116" s="8" t="n">
        <v>409.46</v>
      </c>
      <c r="H116" s="8" t="n">
        <v>991.776</v>
      </c>
      <c r="J116" s="8">
        <f>('Census Crush'!$B115*36.7437/1000)-B116</f>
        <v/>
      </c>
      <c r="K116" s="7">
        <f>J116/('Census Crush'!$B115*36.7437/1000)</f>
        <v/>
      </c>
      <c r="M116" s="14" t="n">
        <v>3.84675</v>
      </c>
      <c r="N116" s="15">
        <f>M116*355</f>
        <v/>
      </c>
      <c r="Q116" s="56">
        <f>B116/28</f>
        <v/>
      </c>
    </row>
    <row r="117" ht="13.5" customHeight="1">
      <c r="A117" s="6" t="n">
        <v>32568</v>
      </c>
      <c r="B117" s="8" t="n">
        <v>78.28</v>
      </c>
      <c r="C117" s="8" t="n">
        <v>1855.504</v>
      </c>
      <c r="D117" s="8" t="n">
        <v>881.008</v>
      </c>
      <c r="E117" s="12">
        <f>(C117*2)/B117</f>
        <v/>
      </c>
      <c r="F117" s="12">
        <f>D117/B117</f>
        <v/>
      </c>
      <c r="G117" s="8" t="n">
        <v>366.299</v>
      </c>
      <c r="H117" s="8" t="n">
        <v>980.5839999999999</v>
      </c>
      <c r="J117" s="8">
        <f>('Census Crush'!$B116*36.7437/1000)-B117</f>
        <v/>
      </c>
      <c r="K117" s="7">
        <f>J117/('Census Crush'!$B116*36.7437/1000)</f>
        <v/>
      </c>
      <c r="M117" s="14" t="n">
        <v>3.846709677419355</v>
      </c>
      <c r="N117" s="15">
        <f>M117*355</f>
        <v/>
      </c>
      <c r="Q117" s="56">
        <f>B117/31</f>
        <v/>
      </c>
    </row>
    <row r="118" ht="13.5" customHeight="1">
      <c r="A118" s="6" t="n">
        <v>32599</v>
      </c>
      <c r="B118" s="8" t="n">
        <v>75.86</v>
      </c>
      <c r="C118" s="8" t="n">
        <v>1799.555</v>
      </c>
      <c r="D118" s="8" t="n">
        <v>854.7380000000001</v>
      </c>
      <c r="E118" s="12">
        <f>(C118*2)/B118</f>
        <v/>
      </c>
      <c r="F118" s="12">
        <f>D118/B118</f>
        <v/>
      </c>
      <c r="G118" s="8" t="n">
        <v>309.522</v>
      </c>
      <c r="H118" s="8" t="n">
        <v>1000.897</v>
      </c>
      <c r="J118" s="8">
        <f>('Census Crush'!$B117*36.7437/1000)-B118</f>
        <v/>
      </c>
      <c r="K118" s="7">
        <f>J118/('Census Crush'!$B117*36.7437/1000)</f>
        <v/>
      </c>
      <c r="M118" s="14" t="n">
        <v>3.859033333333334</v>
      </c>
      <c r="N118" s="15">
        <f>M118*355</f>
        <v/>
      </c>
      <c r="Q118" s="56">
        <f>B118/30</f>
        <v/>
      </c>
    </row>
    <row r="119" ht="13.5" customHeight="1">
      <c r="A119" s="6" t="n">
        <v>32629</v>
      </c>
      <c r="B119" s="8" t="n">
        <v>73.67</v>
      </c>
      <c r="C119" s="8" t="n">
        <v>1856.606</v>
      </c>
      <c r="D119" s="8" t="n">
        <v>835.5119999999999</v>
      </c>
      <c r="E119" s="12">
        <f>(C119*2)/B119</f>
        <v/>
      </c>
      <c r="F119" s="12">
        <f>D119/B119</f>
        <v/>
      </c>
      <c r="G119" s="8" t="n">
        <v>214.271</v>
      </c>
      <c r="H119" s="8" t="n">
        <v>988.731</v>
      </c>
      <c r="J119" s="8">
        <f>('Census Crush'!$B118*36.7437/1000)-B119</f>
        <v/>
      </c>
      <c r="K119" s="7">
        <f>J119/('Census Crush'!$B118*36.7437/1000)</f>
        <v/>
      </c>
      <c r="M119" s="14" t="n">
        <v>3.859064516129032</v>
      </c>
      <c r="N119" s="15">
        <f>M119*355</f>
        <v/>
      </c>
      <c r="Q119" s="56">
        <f>B119/31</f>
        <v/>
      </c>
    </row>
    <row r="120" ht="13.5" customHeight="1">
      <c r="A120" s="6" t="n">
        <v>32660</v>
      </c>
      <c r="B120" s="8" t="n">
        <v>65.72499999999999</v>
      </c>
      <c r="C120" s="8" t="n">
        <v>1556.377</v>
      </c>
      <c r="D120" s="8" t="n">
        <v>743.837</v>
      </c>
      <c r="E120" s="12">
        <f>(C120*2)/B120</f>
        <v/>
      </c>
      <c r="F120" s="12">
        <f>D120/B120</f>
        <v/>
      </c>
      <c r="G120" s="8" t="n">
        <v>120.458</v>
      </c>
      <c r="H120" s="8" t="n">
        <v>923.811</v>
      </c>
      <c r="J120" s="8">
        <f>('Census Crush'!$B119*36.7437/1000)-B120</f>
        <v/>
      </c>
      <c r="K120" s="7">
        <f>J120/('Census Crush'!$B119*36.7437/1000)</f>
        <v/>
      </c>
      <c r="M120" s="14" t="n">
        <v>3.859033333333334</v>
      </c>
      <c r="N120" s="15">
        <f>M120*355</f>
        <v/>
      </c>
      <c r="Q120" s="56">
        <f>B120/30</f>
        <v/>
      </c>
    </row>
    <row r="121" ht="13.5" customHeight="1">
      <c r="A121" s="6" t="n">
        <v>32690</v>
      </c>
      <c r="B121" s="8" t="n">
        <v>64.31399999999999</v>
      </c>
      <c r="C121" s="8" t="n">
        <v>1543.573</v>
      </c>
      <c r="D121" s="8" t="n">
        <v>740.592</v>
      </c>
      <c r="E121" s="12">
        <f>(C121*2)/B121</f>
        <v/>
      </c>
      <c r="F121" s="12">
        <f>D121/B121</f>
        <v/>
      </c>
      <c r="G121" s="8" t="n">
        <v>63.694</v>
      </c>
      <c r="H121" s="8" t="n">
        <v>793.343</v>
      </c>
      <c r="J121" s="8">
        <f>('Census Crush'!$B120*36.7437/1000)-B121</f>
        <v/>
      </c>
      <c r="K121" s="7">
        <f>J121/('Census Crush'!$B120*36.7437/1000)</f>
        <v/>
      </c>
      <c r="M121" s="14" t="n">
        <v>3.668032258064516</v>
      </c>
      <c r="N121" s="15">
        <f>M121*355</f>
        <v/>
      </c>
      <c r="Q121" s="56">
        <f>B121/31</f>
        <v/>
      </c>
    </row>
    <row r="122" ht="13.5" customHeight="1">
      <c r="A122" s="6" t="n">
        <v>32721</v>
      </c>
      <c r="B122" s="8" t="n">
        <v>68.574</v>
      </c>
      <c r="C122" s="8" t="n">
        <v>1623.294</v>
      </c>
      <c r="D122" s="8" t="n">
        <v>776.285</v>
      </c>
      <c r="E122" s="12">
        <f>(C122*2)/B122</f>
        <v/>
      </c>
      <c r="F122" s="12">
        <f>D122/B122</f>
        <v/>
      </c>
      <c r="G122" s="8" t="n">
        <v>60.416</v>
      </c>
      <c r="H122" s="8" t="n">
        <v>587.001</v>
      </c>
      <c r="J122" s="8">
        <f>('Census Crush'!$B121*36.7437/1000)-B122</f>
        <v/>
      </c>
      <c r="K122" s="7">
        <f>J122/('Census Crush'!$B121*36.7437/1000)</f>
        <v/>
      </c>
      <c r="M122" s="14" t="n">
        <v>3.668032258064516</v>
      </c>
      <c r="N122" s="15">
        <f>M122*355</f>
        <v/>
      </c>
      <c r="Q122" s="56">
        <f>B122/31</f>
        <v/>
      </c>
    </row>
    <row r="123" ht="13.5" customHeight="1">
      <c r="A123" s="6" t="n">
        <v>32752</v>
      </c>
      <c r="B123" s="8" t="n">
        <v>64.919</v>
      </c>
      <c r="C123" s="8" t="n">
        <v>1536.527</v>
      </c>
      <c r="D123" s="8" t="n">
        <v>742.099</v>
      </c>
      <c r="E123" s="12">
        <f>(C123*2)/B123</f>
        <v/>
      </c>
      <c r="F123" s="12">
        <f>D123/B123</f>
        <v/>
      </c>
      <c r="G123" s="8" t="n">
        <v>89.57899999999999</v>
      </c>
      <c r="H123" s="8" t="n">
        <v>458.467</v>
      </c>
      <c r="J123" s="8">
        <f>('Census Crush'!$B122*36.7437/1000)-B123</f>
        <v/>
      </c>
      <c r="K123" s="7">
        <f>J123/('Census Crush'!$B122*36.7437/1000)</f>
        <v/>
      </c>
      <c r="M123" s="14" t="n">
        <v>3.668033333333333</v>
      </c>
      <c r="N123" s="15">
        <f>M123*355</f>
        <v/>
      </c>
      <c r="Q123" s="56">
        <f>B123/30</f>
        <v/>
      </c>
    </row>
    <row r="124" ht="13.5" customHeight="1">
      <c r="A124" s="6" t="n">
        <v>32782</v>
      </c>
      <c r="B124" s="8" t="n">
        <v>79.746</v>
      </c>
      <c r="C124" s="8" t="n">
        <v>1900.955</v>
      </c>
      <c r="D124" s="8" t="n">
        <v>893.842</v>
      </c>
      <c r="E124" s="12">
        <f>(C124*2)/B124</f>
        <v/>
      </c>
      <c r="F124" s="12">
        <f>D124/B124</f>
        <v/>
      </c>
      <c r="G124" s="8" t="n">
        <v>231.699</v>
      </c>
      <c r="H124" s="8" t="n">
        <v>442.255</v>
      </c>
      <c r="J124" s="8">
        <f>('Census Crush'!$B123*36.7437/1000)-B124</f>
        <v/>
      </c>
      <c r="K124" s="7">
        <f>J124/('Census Crush'!$B123*36.7437/1000)</f>
        <v/>
      </c>
      <c r="M124" s="14" t="n">
        <v>3.755806451612903</v>
      </c>
      <c r="N124" s="15">
        <f>M124*355</f>
        <v/>
      </c>
      <c r="Q124" s="56">
        <f>B124/31</f>
        <v/>
      </c>
    </row>
    <row r="125" ht="13.5" customHeight="1">
      <c r="A125" s="6" t="n">
        <v>32813</v>
      </c>
      <c r="B125" s="8" t="n">
        <v>88.473</v>
      </c>
      <c r="C125" s="8" t="n">
        <v>2110.129</v>
      </c>
      <c r="D125" s="8" t="n">
        <v>977.655</v>
      </c>
      <c r="E125" s="12">
        <f>(C125*2)/B125</f>
        <v/>
      </c>
      <c r="F125" s="12">
        <f>D125/B125</f>
        <v/>
      </c>
      <c r="G125" s="8" t="n">
        <v>387.731</v>
      </c>
      <c r="H125" s="8" t="n">
        <v>357.282</v>
      </c>
      <c r="J125" s="8">
        <f>('Census Crush'!$B124*36.7437/1000)-B125</f>
        <v/>
      </c>
      <c r="K125" s="7">
        <f>J125/('Census Crush'!$B124*36.7437/1000)</f>
        <v/>
      </c>
      <c r="M125" s="14" t="n">
        <v>3.7558</v>
      </c>
      <c r="N125" s="15">
        <f>M125*355</f>
        <v/>
      </c>
      <c r="Q125" s="56">
        <f>B125/30</f>
        <v/>
      </c>
    </row>
    <row r="126" ht="13.5" customHeight="1">
      <c r="A126" s="6" t="n">
        <v>32843</v>
      </c>
      <c r="B126" s="8" t="n">
        <v>88.801</v>
      </c>
      <c r="C126" s="8" t="n">
        <v>2115.983</v>
      </c>
      <c r="D126" s="8" t="n">
        <v>986.333</v>
      </c>
      <c r="E126" s="12">
        <f>(C126*2)/B126</f>
        <v/>
      </c>
      <c r="F126" s="12">
        <f>D126/B126</f>
        <v/>
      </c>
      <c r="G126" s="8" t="n">
        <v>309.042</v>
      </c>
      <c r="H126" s="8" t="n">
        <v>423.832</v>
      </c>
      <c r="J126" s="8">
        <f>('Census Crush'!$B125*36.7437/1000)-B126</f>
        <v/>
      </c>
      <c r="K126" s="7">
        <f>J126/('Census Crush'!$B125*36.7437/1000)</f>
        <v/>
      </c>
      <c r="M126" s="14" t="n">
        <v>3.755806451612903</v>
      </c>
      <c r="N126" s="15">
        <f>M126*355</f>
        <v/>
      </c>
      <c r="Q126" s="56">
        <f>B126/31</f>
        <v/>
      </c>
    </row>
    <row r="127" ht="13.5" customHeight="1">
      <c r="A127" s="6" t="n">
        <v>32874</v>
      </c>
      <c r="B127" s="8" t="n">
        <v>90.298</v>
      </c>
      <c r="C127" s="8" t="n">
        <v>2142.773</v>
      </c>
      <c r="D127" s="8" t="n">
        <v>1008.343</v>
      </c>
      <c r="E127" s="12">
        <f>(C127*2)/B127</f>
        <v/>
      </c>
      <c r="F127" s="12">
        <f>D127/B127</f>
        <v/>
      </c>
      <c r="G127" s="8" t="n">
        <v>357.829</v>
      </c>
      <c r="H127" s="8" t="n">
        <v>460.196</v>
      </c>
      <c r="J127" s="8">
        <f>('Census Crush'!$B126*36.7437/1000)-B127</f>
        <v/>
      </c>
      <c r="K127" s="7">
        <f>J127/('Census Crush'!$B126*36.7437/1000)</f>
        <v/>
      </c>
      <c r="M127" s="14" t="n">
        <v>3.739290322580645</v>
      </c>
      <c r="N127" s="15">
        <f>M127*355</f>
        <v/>
      </c>
      <c r="Q127" s="56">
        <f>B127/31</f>
        <v/>
      </c>
    </row>
    <row r="128" ht="13.5" customHeight="1">
      <c r="A128" s="6" t="n">
        <v>32905</v>
      </c>
      <c r="B128" s="8" t="n">
        <v>77.871</v>
      </c>
      <c r="C128" s="8" t="n">
        <v>1850.89</v>
      </c>
      <c r="D128" s="8" t="n">
        <v>885.135</v>
      </c>
      <c r="E128" s="12">
        <f>(C128*2)/B128</f>
        <v/>
      </c>
      <c r="F128" s="12">
        <f>D128/B128</f>
        <v/>
      </c>
      <c r="G128" s="8" t="n">
        <v>289.988</v>
      </c>
      <c r="H128" s="8" t="n">
        <v>449.882</v>
      </c>
      <c r="J128" s="8">
        <f>('Census Crush'!$B127*36.7437/1000)-B128</f>
        <v/>
      </c>
      <c r="K128" s="7">
        <f>J128/('Census Crush'!$B127*36.7437/1000)</f>
        <v/>
      </c>
      <c r="M128" s="14" t="n">
        <v>3.738178571428571</v>
      </c>
      <c r="N128" s="15">
        <f>M128*355</f>
        <v/>
      </c>
      <c r="Q128" s="56">
        <f>B128/28</f>
        <v/>
      </c>
    </row>
    <row r="129" ht="13.5" customHeight="1">
      <c r="A129" s="6" t="n">
        <v>32933</v>
      </c>
      <c r="B129" s="8" t="n">
        <v>86.018</v>
      </c>
      <c r="C129" s="8" t="n">
        <v>2049.01</v>
      </c>
      <c r="D129" s="8" t="n">
        <v>968.158</v>
      </c>
      <c r="E129" s="12">
        <f>(C129*2)/B129</f>
        <v/>
      </c>
      <c r="F129" s="12">
        <f>D129/B129</f>
        <v/>
      </c>
      <c r="G129" s="8" t="n">
        <v>217.66</v>
      </c>
      <c r="H129" s="8" t="n">
        <v>418.02</v>
      </c>
      <c r="J129" s="8">
        <f>('Census Crush'!$B128*36.7437/1000)-B129</f>
        <v/>
      </c>
      <c r="K129" s="7">
        <f>J129/('Census Crush'!$B128*36.7437/1000)</f>
        <v/>
      </c>
      <c r="M129" s="14" t="n">
        <v>3.739258064516129</v>
      </c>
      <c r="N129" s="15">
        <f>M129*355</f>
        <v/>
      </c>
      <c r="Q129" s="56">
        <f>B129/31</f>
        <v/>
      </c>
    </row>
    <row r="130" ht="13.5" customHeight="1">
      <c r="A130" s="6" t="n">
        <v>32964</v>
      </c>
      <c r="B130" s="8" t="n">
        <v>79.154</v>
      </c>
      <c r="C130" s="8" t="n">
        <v>1882.342</v>
      </c>
      <c r="D130" s="8" t="n">
        <v>887.9450000000001</v>
      </c>
      <c r="E130" s="12">
        <f>(C130*2)/B130</f>
        <v/>
      </c>
      <c r="F130" s="12">
        <f>D130/B130</f>
        <v/>
      </c>
      <c r="G130" s="8" t="n">
        <v>224.595</v>
      </c>
      <c r="H130" s="8" t="n">
        <v>434.075</v>
      </c>
      <c r="J130" s="8">
        <f>('Census Crush'!$B129*36.7437/1000)-B130</f>
        <v/>
      </c>
      <c r="K130" s="7">
        <f>J130/('Census Crush'!$B129*36.7437/1000)</f>
        <v/>
      </c>
      <c r="M130" s="14" t="n">
        <v>3.8</v>
      </c>
      <c r="N130" s="15">
        <f>M130*355</f>
        <v/>
      </c>
      <c r="Q130" s="56">
        <f>B130/30</f>
        <v/>
      </c>
    </row>
    <row r="131" ht="13.5" customHeight="1">
      <c r="A131" s="6" t="n">
        <v>32994</v>
      </c>
      <c r="B131" s="8" t="n">
        <v>77.488</v>
      </c>
      <c r="C131" s="8" t="n">
        <v>1840.59</v>
      </c>
      <c r="D131" s="8" t="n">
        <v>875.595</v>
      </c>
      <c r="E131" s="12">
        <f>(C131*2)/B131</f>
        <v/>
      </c>
      <c r="F131" s="12">
        <f>D131/B131</f>
        <v/>
      </c>
      <c r="G131" s="8" t="n">
        <v>201.216</v>
      </c>
      <c r="H131" s="8" t="n">
        <v>437.641</v>
      </c>
      <c r="J131" s="8">
        <f>('Census Crush'!$B130*36.7437/1000)-B131</f>
        <v/>
      </c>
      <c r="K131" s="7">
        <f>J131/('Census Crush'!$B130*36.7437/1000)</f>
        <v/>
      </c>
      <c r="M131" s="14" t="n">
        <v>3.8</v>
      </c>
      <c r="N131" s="15">
        <f>M131*355</f>
        <v/>
      </c>
      <c r="Q131" s="56">
        <f>B131/31</f>
        <v/>
      </c>
    </row>
    <row r="132" ht="13.5" customHeight="1">
      <c r="A132" s="6" t="n">
        <v>33025</v>
      </c>
      <c r="B132" s="8" t="n">
        <v>77.514</v>
      </c>
      <c r="C132" s="8" t="n">
        <v>1837.016</v>
      </c>
      <c r="D132" s="8" t="n">
        <v>876.36</v>
      </c>
      <c r="E132" s="12">
        <f>(C132*2)/B132</f>
        <v/>
      </c>
      <c r="F132" s="12">
        <f>D132/B132</f>
        <v/>
      </c>
      <c r="G132" s="8" t="n">
        <v>168.792</v>
      </c>
      <c r="H132" s="8" t="n">
        <v>415.798</v>
      </c>
      <c r="J132" s="8">
        <f>('Census Crush'!$B131*36.7437/1000)-B132</f>
        <v/>
      </c>
      <c r="K132" s="7">
        <f>J132/('Census Crush'!$B131*36.7437/1000)</f>
        <v/>
      </c>
      <c r="M132" s="14" t="n">
        <v>3.8</v>
      </c>
      <c r="N132" s="15">
        <f>M132*355</f>
        <v/>
      </c>
      <c r="Q132" s="56">
        <f>B132/30</f>
        <v/>
      </c>
    </row>
    <row r="133" ht="13.5" customHeight="1">
      <c r="A133" s="6" t="n">
        <v>33055</v>
      </c>
      <c r="B133" s="8" t="n">
        <v>79.55800000000001</v>
      </c>
      <c r="C133" s="8" t="n">
        <v>1899.08</v>
      </c>
      <c r="D133" s="8" t="n">
        <v>899.8819999999999</v>
      </c>
      <c r="E133" s="12">
        <f>(C133*2)/B133</f>
        <v/>
      </c>
      <c r="F133" s="12">
        <f>D133/B133</f>
        <v/>
      </c>
      <c r="G133" s="8" t="n">
        <v>194.295</v>
      </c>
      <c r="H133" s="8" t="n">
        <v>411.517</v>
      </c>
      <c r="J133" s="8">
        <f>('Census Crush'!$B132*36.7437/1000)-B133</f>
        <v/>
      </c>
      <c r="K133" s="7">
        <f>J133/('Census Crush'!$B132*36.7437/1000)</f>
        <v/>
      </c>
      <c r="M133" s="14" t="n">
        <v>3.806838709677419</v>
      </c>
      <c r="N133" s="15">
        <f>M133*355</f>
        <v/>
      </c>
      <c r="Q133" s="56">
        <f>B133/31</f>
        <v/>
      </c>
    </row>
    <row r="134" ht="13.5" customHeight="1">
      <c r="A134" s="6" t="n">
        <v>33086</v>
      </c>
      <c r="B134" s="8" t="n">
        <v>84.965</v>
      </c>
      <c r="C134" s="8" t="n">
        <v>2016.938</v>
      </c>
      <c r="D134" s="8" t="n">
        <v>970.752</v>
      </c>
      <c r="E134" s="12">
        <f>(C134*2)/B134</f>
        <v/>
      </c>
      <c r="F134" s="12">
        <f>D134/B134</f>
        <v/>
      </c>
      <c r="G134" s="8" t="n">
        <v>197.877</v>
      </c>
      <c r="H134" s="8" t="n">
        <v>444.93</v>
      </c>
      <c r="J134" s="8">
        <f>('Census Crush'!$B133*36.7437/1000)-B134</f>
        <v/>
      </c>
      <c r="K134" s="7">
        <f>J134/('Census Crush'!$B133*36.7437/1000)</f>
        <v/>
      </c>
      <c r="M134" s="14" t="n">
        <v>3.806774193548387</v>
      </c>
      <c r="N134" s="15">
        <f>M134*355</f>
        <v/>
      </c>
      <c r="Q134" s="56">
        <f>B134/31</f>
        <v/>
      </c>
    </row>
    <row r="135" ht="13.5" customHeight="1">
      <c r="A135" s="6" t="n">
        <v>33117</v>
      </c>
      <c r="B135" s="8" t="n">
        <v>79.164</v>
      </c>
      <c r="C135" s="8" t="n">
        <v>1882.029</v>
      </c>
      <c r="D135" s="8" t="n">
        <v>898.062</v>
      </c>
      <c r="E135" s="12">
        <f>(C135*2)/B135</f>
        <v/>
      </c>
      <c r="F135" s="12">
        <f>D135/B135</f>
        <v/>
      </c>
      <c r="G135" s="8" t="n">
        <v>197.533</v>
      </c>
      <c r="H135" s="8" t="n">
        <v>455.785</v>
      </c>
      <c r="J135" s="8">
        <f>('Census Crush'!$B134*36.7437/1000)-B135</f>
        <v/>
      </c>
      <c r="K135" s="7">
        <f>J135/('Census Crush'!$B134*36.7437/1000)</f>
        <v/>
      </c>
      <c r="M135" s="14" t="n">
        <v>3.806766666666667</v>
      </c>
      <c r="N135" s="15">
        <f>M135*355</f>
        <v/>
      </c>
      <c r="Q135" s="56">
        <f>B135/30</f>
        <v/>
      </c>
    </row>
    <row r="136" ht="13.5" customHeight="1">
      <c r="A136" s="6" t="n">
        <v>33147</v>
      </c>
      <c r="B136" s="8" t="n">
        <v>91.804</v>
      </c>
      <c r="C136" s="8" t="n">
        <v>2164.63</v>
      </c>
      <c r="D136" s="8" t="n">
        <v>1016.828</v>
      </c>
      <c r="E136" s="12">
        <f>(C136*2)/B136</f>
        <v/>
      </c>
      <c r="F136" s="12">
        <f>D136/B136</f>
        <v/>
      </c>
      <c r="G136" s="8" t="n">
        <v>373.699</v>
      </c>
      <c r="H136" s="8" t="n">
        <v>438.221</v>
      </c>
      <c r="J136" s="8">
        <f>('Census Crush'!$B135*36.7437/1000)-B136</f>
        <v/>
      </c>
      <c r="K136" s="7">
        <f>J136/('Census Crush'!$B135*36.7437/1000)</f>
        <v/>
      </c>
      <c r="M136" s="14" t="n">
        <v>3.82141935483871</v>
      </c>
      <c r="N136" s="15">
        <f>M136*355</f>
        <v/>
      </c>
      <c r="Q136" s="56">
        <f>B136/31</f>
        <v/>
      </c>
    </row>
    <row r="137" ht="13.5" customHeight="1">
      <c r="A137" s="6" t="n">
        <v>33178</v>
      </c>
      <c r="B137" s="8" t="n">
        <v>91.465</v>
      </c>
      <c r="C137" s="8" t="n">
        <v>2164.789</v>
      </c>
      <c r="D137" s="8" t="n">
        <v>1018.199</v>
      </c>
      <c r="E137" s="12">
        <f>(C137*2)/B137</f>
        <v/>
      </c>
      <c r="F137" s="12">
        <f>D137/B137</f>
        <v/>
      </c>
      <c r="G137" s="8" t="n">
        <v>311.193</v>
      </c>
      <c r="H137" s="8" t="n">
        <v>458.942</v>
      </c>
      <c r="J137" s="8">
        <f>('Census Crush'!$B136*36.7437/1000)-B137</f>
        <v/>
      </c>
      <c r="K137" s="7">
        <f>J137/('Census Crush'!$B136*36.7437/1000)</f>
        <v/>
      </c>
      <c r="M137" s="14" t="n">
        <v>3.821433333333333</v>
      </c>
      <c r="N137" s="15">
        <f>M137*355</f>
        <v/>
      </c>
      <c r="Q137" s="56">
        <f>B137/30</f>
        <v/>
      </c>
    </row>
    <row r="138" ht="13.5" customHeight="1">
      <c r="A138" s="6" t="n">
        <v>33208</v>
      </c>
      <c r="B138" s="8" t="n">
        <v>88.682</v>
      </c>
      <c r="C138" s="8" t="n">
        <v>2094.324</v>
      </c>
      <c r="D138" s="8" t="n">
        <v>989.085</v>
      </c>
      <c r="E138" s="12">
        <f>(C138*2)/B138</f>
        <v/>
      </c>
      <c r="F138" s="12">
        <f>D138/B138</f>
        <v/>
      </c>
      <c r="G138" s="8" t="n">
        <v>297.14</v>
      </c>
      <c r="H138" s="8" t="n">
        <v>530.079</v>
      </c>
      <c r="J138" s="8">
        <f>('Census Crush'!$B137*36.7437/1000)-B138</f>
        <v/>
      </c>
      <c r="K138" s="7">
        <f>J138/('Census Crush'!$B137*36.7437/1000)</f>
        <v/>
      </c>
      <c r="M138" s="14" t="n">
        <v>3.82141935483871</v>
      </c>
      <c r="N138" s="15">
        <f>M138*355</f>
        <v/>
      </c>
      <c r="Q138" s="56">
        <f>B138/31</f>
        <v/>
      </c>
    </row>
    <row r="139" ht="13.5" customHeight="1">
      <c r="A139" s="6" t="n">
        <v>33239</v>
      </c>
      <c r="B139" s="8" t="n">
        <v>88.099</v>
      </c>
      <c r="C139" s="8" t="n">
        <v>2088.78</v>
      </c>
      <c r="D139" s="8" t="n">
        <v>987.591</v>
      </c>
      <c r="E139" s="12">
        <f>(C139*2)/B139</f>
        <v/>
      </c>
      <c r="F139" s="12">
        <f>D139/B139</f>
        <v/>
      </c>
      <c r="G139" s="8" t="n">
        <v>296.704</v>
      </c>
      <c r="H139" s="8" t="n">
        <v>532.438</v>
      </c>
      <c r="J139" s="8">
        <f>('Census Crush'!$B138*36.7437/1000)-B139</f>
        <v/>
      </c>
      <c r="K139" s="7">
        <f>J139/('Census Crush'!$B138*36.7437/1000)</f>
        <v/>
      </c>
      <c r="M139" s="14" t="n">
        <v>3.857</v>
      </c>
      <c r="N139" s="15">
        <f>M139*355</f>
        <v/>
      </c>
      <c r="Q139" s="56">
        <f>B139/31</f>
        <v/>
      </c>
    </row>
    <row r="140" ht="13.5" customHeight="1">
      <c r="A140" s="6" t="n">
        <v>33270</v>
      </c>
      <c r="B140" s="8" t="n">
        <v>76.861</v>
      </c>
      <c r="C140" s="8" t="n">
        <v>1819.384</v>
      </c>
      <c r="D140" s="8" t="n">
        <v>862.682</v>
      </c>
      <c r="E140" s="12">
        <f>(C140*2)/B140</f>
        <v/>
      </c>
      <c r="F140" s="12">
        <f>D140/B140</f>
        <v/>
      </c>
      <c r="G140" s="8" t="n">
        <v>333.292</v>
      </c>
      <c r="H140" s="8" t="n">
        <v>562.484</v>
      </c>
      <c r="J140" s="8">
        <f>('Census Crush'!$B139*36.7437/1000)-B140</f>
        <v/>
      </c>
      <c r="K140" s="7">
        <f>J140/('Census Crush'!$B139*36.7437/1000)</f>
        <v/>
      </c>
      <c r="M140" s="14" t="n">
        <v>3.856964285714286</v>
      </c>
      <c r="N140" s="15">
        <f>M140*355</f>
        <v/>
      </c>
      <c r="Q140" s="56">
        <f>B140/28</f>
        <v/>
      </c>
    </row>
    <row r="141" ht="13.5" customHeight="1">
      <c r="A141" s="6" t="n">
        <v>33298</v>
      </c>
      <c r="B141" s="8" t="n">
        <v>85.02500000000001</v>
      </c>
      <c r="C141" s="8" t="n">
        <v>2009.474</v>
      </c>
      <c r="D141" s="8" t="n">
        <v>962.139</v>
      </c>
      <c r="E141" s="12">
        <f>(C141*2)/B141</f>
        <v/>
      </c>
      <c r="F141" s="12">
        <f>D141/B141</f>
        <v/>
      </c>
      <c r="G141" s="8" t="n">
        <v>236.477</v>
      </c>
      <c r="H141" s="8" t="n">
        <v>642.908</v>
      </c>
      <c r="J141" s="8">
        <f>('Census Crush'!$B140*36.7437/1000)-B141</f>
        <v/>
      </c>
      <c r="K141" s="7">
        <f>J141/('Census Crush'!$B140*36.7437/1000)</f>
        <v/>
      </c>
      <c r="M141" s="14" t="n">
        <v>3.856967741935484</v>
      </c>
      <c r="N141" s="15">
        <f>M141*355</f>
        <v/>
      </c>
      <c r="Q141" s="56">
        <f>B141/31</f>
        <v/>
      </c>
    </row>
    <row r="142" ht="13.5" customHeight="1">
      <c r="A142" s="6" t="n">
        <v>33329</v>
      </c>
      <c r="B142" s="8" t="n">
        <v>82.117</v>
      </c>
      <c r="C142" s="8" t="n">
        <v>1940.36</v>
      </c>
      <c r="D142" s="8" t="n">
        <v>929.0650000000001</v>
      </c>
      <c r="E142" s="12">
        <f>(C142*2)/B142</f>
        <v/>
      </c>
      <c r="F142" s="12">
        <f>D142/B142</f>
        <v/>
      </c>
      <c r="G142" s="8" t="n">
        <v>234.309</v>
      </c>
      <c r="H142" s="8" t="n">
        <v>666.3819999999999</v>
      </c>
      <c r="J142" s="8">
        <f>('Census Crush'!$B141*36.7437/1000)-B142</f>
        <v/>
      </c>
      <c r="K142" s="7">
        <f>J142/('Census Crush'!$B141*36.7437/1000)</f>
        <v/>
      </c>
      <c r="M142" s="14" t="n">
        <v>3.822766666666667</v>
      </c>
      <c r="N142" s="15">
        <f>M142*355</f>
        <v/>
      </c>
      <c r="Q142" s="56">
        <f>B142/30</f>
        <v/>
      </c>
    </row>
    <row r="143" ht="13.5" customHeight="1">
      <c r="A143" s="6" t="n">
        <v>33359</v>
      </c>
      <c r="B143" s="8" t="n">
        <v>77.937</v>
      </c>
      <c r="C143" s="8" t="n">
        <v>1842.184</v>
      </c>
      <c r="D143" s="8" t="n">
        <v>883.596</v>
      </c>
      <c r="E143" s="12">
        <f>(C143*2)/B143</f>
        <v/>
      </c>
      <c r="F143" s="12">
        <f>D143/B143</f>
        <v/>
      </c>
      <c r="G143" s="8" t="n">
        <v>227.276</v>
      </c>
      <c r="H143" s="8" t="n">
        <v>642.783</v>
      </c>
      <c r="J143" s="8">
        <f>('Census Crush'!$B142*36.7437/1000)-B143</f>
        <v/>
      </c>
      <c r="K143" s="7">
        <f>J143/('Census Crush'!$B142*36.7437/1000)</f>
        <v/>
      </c>
      <c r="M143" s="14" t="n">
        <v>3.822741935483871</v>
      </c>
      <c r="N143" s="15">
        <f>M143*355</f>
        <v/>
      </c>
      <c r="Q143" s="56">
        <f>B143/31</f>
        <v/>
      </c>
    </row>
    <row r="144" ht="13.5" customHeight="1">
      <c r="A144" s="6" t="n">
        <v>33390</v>
      </c>
      <c r="B144" s="8" t="n">
        <v>75.482</v>
      </c>
      <c r="C144" s="8" t="n">
        <v>1796.022</v>
      </c>
      <c r="D144" s="8" t="n">
        <v>870.7380000000001</v>
      </c>
      <c r="E144" s="12">
        <f>(C144*2)/B144</f>
        <v/>
      </c>
      <c r="F144" s="12">
        <f>D144/B144</f>
        <v/>
      </c>
      <c r="G144" s="8" t="n">
        <v>154.698</v>
      </c>
      <c r="H144" s="8" t="n">
        <v>568.677</v>
      </c>
      <c r="J144" s="8">
        <f>('Census Crush'!$B143*36.7437/1000)-B144</f>
        <v/>
      </c>
      <c r="K144" s="7">
        <f>J144/('Census Crush'!$B143*36.7437/1000)</f>
        <v/>
      </c>
      <c r="M144" s="14" t="n">
        <v>3.8228</v>
      </c>
      <c r="N144" s="15">
        <f>M144*355</f>
        <v/>
      </c>
      <c r="Q144" s="56">
        <f>B144/30</f>
        <v/>
      </c>
    </row>
    <row r="145" ht="13.5" customHeight="1">
      <c r="A145" s="6" t="n">
        <v>33420</v>
      </c>
      <c r="B145" s="8" t="n">
        <v>83.786</v>
      </c>
      <c r="C145" s="8" t="n">
        <v>1976.505</v>
      </c>
      <c r="D145" s="8" t="n">
        <v>951.794</v>
      </c>
      <c r="E145" s="12">
        <f>(C145*2)/B145</f>
        <v/>
      </c>
      <c r="F145" s="12">
        <f>D145/B145</f>
        <v/>
      </c>
      <c r="G145" s="8" t="n">
        <v>391.211</v>
      </c>
      <c r="H145" s="8" t="n">
        <v>551.754</v>
      </c>
      <c r="J145" s="8">
        <f>('Census Crush'!$B144*36.7437/1000)-B145</f>
        <v/>
      </c>
      <c r="K145" s="7">
        <f>J145/('Census Crush'!$B144*36.7437/1000)</f>
        <v/>
      </c>
      <c r="M145" s="14" t="n">
        <v>3.827387096774193</v>
      </c>
      <c r="N145" s="15">
        <f>M145*355</f>
        <v/>
      </c>
      <c r="Q145" s="56">
        <f>B145/31</f>
        <v/>
      </c>
    </row>
    <row r="146" ht="13.5" customHeight="1">
      <c r="A146" s="6" t="n">
        <v>33451</v>
      </c>
      <c r="B146" s="8" t="n">
        <v>88.44499999999999</v>
      </c>
      <c r="C146" s="8" t="n">
        <v>2092.78</v>
      </c>
      <c r="D146" s="8" t="n">
        <v>1008.734</v>
      </c>
      <c r="E146" s="12">
        <f>(C146*2)/B146</f>
        <v/>
      </c>
      <c r="F146" s="12">
        <f>D146/B146</f>
        <v/>
      </c>
      <c r="G146" s="8" t="n">
        <v>248.625</v>
      </c>
      <c r="H146" s="8" t="n">
        <v>533.018</v>
      </c>
      <c r="J146" s="8">
        <f>('Census Crush'!$B145*36.7437/1000)-B146</f>
        <v/>
      </c>
      <c r="K146" s="7">
        <f>J146/('Census Crush'!$B145*36.7437/1000)</f>
        <v/>
      </c>
      <c r="M146" s="14" t="n">
        <v>3.827354838709677</v>
      </c>
      <c r="N146" s="15">
        <f>M146*355</f>
        <v/>
      </c>
      <c r="Q146" s="56">
        <f>B146/31</f>
        <v/>
      </c>
    </row>
    <row r="147" ht="13.5" customHeight="1">
      <c r="A147" s="6" t="n">
        <v>33482</v>
      </c>
      <c r="B147" s="8" t="n">
        <v>84.104</v>
      </c>
      <c r="C147" s="8" t="n">
        <v>1993.768</v>
      </c>
      <c r="D147" s="8" t="n">
        <v>961.1079999999999</v>
      </c>
      <c r="E147" s="12">
        <f>(C147*2)/B147</f>
        <v/>
      </c>
      <c r="F147" s="12">
        <f>D147/B147</f>
        <v/>
      </c>
      <c r="G147" s="8" t="n">
        <v>322.458</v>
      </c>
      <c r="H147" s="8" t="n">
        <v>511.162</v>
      </c>
      <c r="J147" s="8">
        <f>('Census Crush'!$B146*36.7437/1000)-B147</f>
        <v/>
      </c>
      <c r="K147" s="7">
        <f>J147/('Census Crush'!$B146*36.7437/1000)</f>
        <v/>
      </c>
      <c r="M147" s="14" t="n">
        <v>3.827366666666667</v>
      </c>
      <c r="N147" s="15">
        <f>M147*355</f>
        <v/>
      </c>
      <c r="Q147" s="56">
        <f>B147/30</f>
        <v/>
      </c>
    </row>
    <row r="148" ht="13.5" customHeight="1">
      <c r="A148" s="6" t="n">
        <v>33512</v>
      </c>
      <c r="B148" s="8" t="n">
        <v>92.93899999999999</v>
      </c>
      <c r="C148" s="8" t="n">
        <v>2203.481</v>
      </c>
      <c r="D148" s="8" t="n">
        <v>1061.826</v>
      </c>
      <c r="E148" s="12">
        <f>(C148*2)/B148</f>
        <v/>
      </c>
      <c r="F148" s="12">
        <f>D148/B148</f>
        <v/>
      </c>
      <c r="G148" s="8" t="n">
        <v>409.699</v>
      </c>
      <c r="H148" s="8" t="n">
        <v>559.306</v>
      </c>
      <c r="J148" s="8">
        <f>('Census Crush'!$B147*36.7437/1000)-B148</f>
        <v/>
      </c>
      <c r="K148" s="7">
        <f>J148/('Census Crush'!$B147*36.7437/1000)</f>
        <v/>
      </c>
      <c r="M148" s="14" t="n">
        <v>3.871193548387097</v>
      </c>
      <c r="N148" s="15">
        <f>M148*355</f>
        <v/>
      </c>
      <c r="Q148" s="56">
        <f>B148/31</f>
        <v/>
      </c>
    </row>
    <row r="149" ht="13.5" customHeight="1">
      <c r="A149" s="6" t="n">
        <v>33543</v>
      </c>
      <c r="B149" s="8" t="n">
        <v>92.366</v>
      </c>
      <c r="C149" s="8" t="n">
        <v>2197.241</v>
      </c>
      <c r="D149" s="8" t="n">
        <v>1047.742</v>
      </c>
      <c r="E149" s="12">
        <f>(C149*2)/B149</f>
        <v/>
      </c>
      <c r="F149" s="12">
        <f>D149/B149</f>
        <v/>
      </c>
      <c r="G149" s="8" t="n">
        <v>375.92</v>
      </c>
      <c r="H149" s="8" t="n">
        <v>627.542</v>
      </c>
      <c r="J149" s="8">
        <f>('Census Crush'!$B148*36.7437/1000)-B149</f>
        <v/>
      </c>
      <c r="K149" s="7">
        <f>J149/('Census Crush'!$B148*36.7437/1000)</f>
        <v/>
      </c>
      <c r="M149" s="14" t="n">
        <v>3.8712</v>
      </c>
      <c r="N149" s="15">
        <f>M149*355</f>
        <v/>
      </c>
      <c r="Q149" s="56">
        <f>B149/30</f>
        <v/>
      </c>
    </row>
    <row r="150" ht="13.5" customHeight="1">
      <c r="A150" s="6" t="n">
        <v>33573</v>
      </c>
      <c r="B150" s="8" t="n">
        <v>93.53400000000001</v>
      </c>
      <c r="C150" s="8" t="n">
        <v>2224.183</v>
      </c>
      <c r="D150" s="8" t="n">
        <v>1064.969</v>
      </c>
      <c r="E150" s="12">
        <f>(C150*2)/B150</f>
        <v/>
      </c>
      <c r="F150" s="12">
        <f>D150/B150</f>
        <v/>
      </c>
      <c r="G150" s="8" t="n">
        <v>371.67</v>
      </c>
      <c r="H150" s="8" t="n">
        <v>763.729</v>
      </c>
      <c r="J150" s="8">
        <f>('Census Crush'!$B149*36.7437/1000)-B150</f>
        <v/>
      </c>
      <c r="K150" s="7">
        <f>J150/('Census Crush'!$B149*36.7437/1000)</f>
        <v/>
      </c>
      <c r="M150" s="14" t="n">
        <v>3.871193548387097</v>
      </c>
      <c r="N150" s="15">
        <f>M150*355</f>
        <v/>
      </c>
      <c r="Q150" s="56">
        <f>B150/31</f>
        <v/>
      </c>
    </row>
    <row r="151" ht="13.5" customHeight="1">
      <c r="A151" s="6" t="n">
        <v>33604</v>
      </c>
      <c r="B151" s="8" t="n">
        <v>94.839</v>
      </c>
      <c r="C151" s="8" t="n">
        <v>2255.554</v>
      </c>
      <c r="D151" s="8" t="n">
        <v>1082.688</v>
      </c>
      <c r="E151" s="12">
        <f>(C151*2)/B151</f>
        <v/>
      </c>
      <c r="F151" s="12">
        <f>D151/B151</f>
        <v/>
      </c>
      <c r="G151" s="8" t="n">
        <v>429.784</v>
      </c>
      <c r="H151" s="8" t="n">
        <v>782.897</v>
      </c>
      <c r="J151" s="8">
        <f>('Census Crush'!$B150*36.7437/1000)-B151</f>
        <v/>
      </c>
      <c r="K151" s="7">
        <f>J151/('Census Crush'!$B150*36.7437/1000)</f>
        <v/>
      </c>
      <c r="M151" s="14" t="n">
        <v>3.939483870967742</v>
      </c>
      <c r="N151" s="15">
        <f>M151*355</f>
        <v/>
      </c>
      <c r="Q151" s="56">
        <f>B151/31</f>
        <v/>
      </c>
    </row>
    <row r="152" ht="13.5" customHeight="1">
      <c r="A152" s="6" t="n">
        <v>33635</v>
      </c>
      <c r="B152" s="8" t="n">
        <v>85.43000000000001</v>
      </c>
      <c r="C152" s="8" t="n">
        <v>2028.324</v>
      </c>
      <c r="D152" s="8" t="n">
        <v>979.053</v>
      </c>
      <c r="E152" s="12">
        <f>(C152*2)/B152</f>
        <v/>
      </c>
      <c r="F152" s="12">
        <f>D152/B152</f>
        <v/>
      </c>
      <c r="G152" s="8" t="n">
        <v>358.278</v>
      </c>
      <c r="H152" s="8" t="n">
        <v>862.122</v>
      </c>
      <c r="J152" s="8">
        <f>('Census Crush'!$B151*36.7437/1000)-B152</f>
        <v/>
      </c>
      <c r="K152" s="7">
        <f>J152/('Census Crush'!$B151*36.7437/1000)</f>
        <v/>
      </c>
      <c r="M152" s="14" t="n">
        <v>3.93948275862069</v>
      </c>
      <c r="N152" s="15">
        <f>M152*355</f>
        <v/>
      </c>
      <c r="Q152" s="56">
        <f>B152/29</f>
        <v/>
      </c>
    </row>
    <row r="153" ht="13.5" customHeight="1">
      <c r="A153" s="6" t="n">
        <v>33664</v>
      </c>
      <c r="B153" s="8" t="n">
        <v>90.437</v>
      </c>
      <c r="C153" s="8" t="n">
        <v>2145.834</v>
      </c>
      <c r="D153" s="8" t="n">
        <v>1042.359</v>
      </c>
      <c r="E153" s="12">
        <f>(C153*2)/B153</f>
        <v/>
      </c>
      <c r="F153" s="12">
        <f>D153/B153</f>
        <v/>
      </c>
      <c r="G153" s="8" t="n">
        <v>313.718</v>
      </c>
      <c r="H153" s="8" t="n">
        <v>914.2430000000001</v>
      </c>
      <c r="J153" s="8">
        <f>('Census Crush'!$B152*36.7437/1000)-B153</f>
        <v/>
      </c>
      <c r="K153" s="7">
        <f>J153/('Census Crush'!$B152*36.7437/1000)</f>
        <v/>
      </c>
      <c r="M153" s="14" t="n">
        <v>3.939483870967742</v>
      </c>
      <c r="N153" s="15">
        <f>M153*355</f>
        <v/>
      </c>
      <c r="Q153" s="56">
        <f>B153/31</f>
        <v/>
      </c>
    </row>
    <row r="154" ht="13.5" customHeight="1">
      <c r="A154" s="6" t="n">
        <v>33695</v>
      </c>
      <c r="B154" s="8" t="n">
        <v>85.718</v>
      </c>
      <c r="C154" s="8" t="n">
        <v>2034.049</v>
      </c>
      <c r="D154" s="8" t="n">
        <v>990.408</v>
      </c>
      <c r="E154" s="12">
        <f>(C154*2)/B154</f>
        <v/>
      </c>
      <c r="F154" s="12">
        <f>D154/B154</f>
        <v/>
      </c>
      <c r="G154" s="8" t="n">
        <v>277.637</v>
      </c>
      <c r="H154" s="8" t="n">
        <v>952.106</v>
      </c>
      <c r="J154" s="8">
        <f>('Census Crush'!$B153*36.7437/1000)-B154</f>
        <v/>
      </c>
      <c r="K154" s="7">
        <f>J154/('Census Crush'!$B153*36.7437/1000)</f>
        <v/>
      </c>
      <c r="M154" s="14" t="n">
        <v>3.9866</v>
      </c>
      <c r="N154" s="15">
        <f>M154*355</f>
        <v/>
      </c>
      <c r="Q154" s="56">
        <f>B154/30</f>
        <v/>
      </c>
    </row>
    <row r="155" ht="13.5" customHeight="1">
      <c r="A155" s="6" t="n">
        <v>33725</v>
      </c>
      <c r="B155" s="8" t="n">
        <v>79.246</v>
      </c>
      <c r="C155" s="8" t="n">
        <v>1882.246</v>
      </c>
      <c r="D155" s="8" t="n">
        <v>915.063</v>
      </c>
      <c r="E155" s="12">
        <f>(C155*2)/B155</f>
        <v/>
      </c>
      <c r="F155" s="12">
        <f>D155/B155</f>
        <v/>
      </c>
      <c r="G155" s="8" t="n">
        <v>152.508</v>
      </c>
      <c r="H155" s="8" t="n">
        <v>934.788</v>
      </c>
      <c r="J155" s="8">
        <f>('Census Crush'!$B154*36.7437/1000)-B155</f>
        <v/>
      </c>
      <c r="K155" s="7">
        <f>J155/('Census Crush'!$B154*36.7437/1000)</f>
        <v/>
      </c>
      <c r="M155" s="14" t="n">
        <v>3.986580645161291</v>
      </c>
      <c r="N155" s="15">
        <f>M155*355</f>
        <v/>
      </c>
      <c r="Q155" s="56">
        <f>B155/31</f>
        <v/>
      </c>
    </row>
    <row r="156" ht="13.5" customHeight="1">
      <c r="A156" s="6" t="n">
        <v>33756</v>
      </c>
      <c r="B156" s="8" t="n">
        <v>83.607</v>
      </c>
      <c r="C156" s="8" t="n">
        <v>1983.355</v>
      </c>
      <c r="D156" s="8" t="n">
        <v>968.737</v>
      </c>
      <c r="E156" s="12">
        <f>(C156*2)/B156</f>
        <v/>
      </c>
      <c r="F156" s="12">
        <f>D156/B156</f>
        <v/>
      </c>
      <c r="G156" s="8" t="n">
        <v>332.017</v>
      </c>
      <c r="H156" s="8" t="n">
        <v>902.856</v>
      </c>
      <c r="J156" s="8">
        <f>('Census Crush'!$B155*36.7437/1000)-B156</f>
        <v/>
      </c>
      <c r="K156" s="7">
        <f>J156/('Census Crush'!$B155*36.7437/1000)</f>
        <v/>
      </c>
      <c r="M156" s="14" t="n">
        <v>3.9866</v>
      </c>
      <c r="N156" s="15">
        <f>M156*355</f>
        <v/>
      </c>
      <c r="Q156" s="56">
        <f>B156/30</f>
        <v/>
      </c>
    </row>
    <row r="157" ht="13.5" customHeight="1">
      <c r="A157" s="6" t="n">
        <v>33786</v>
      </c>
      <c r="B157" s="8" t="n">
        <v>89.06999999999999</v>
      </c>
      <c r="C157" s="8" t="n">
        <v>2114.898</v>
      </c>
      <c r="D157" s="8" t="n">
        <v>1032.377</v>
      </c>
      <c r="E157" s="12">
        <f>(C157*2)/B157</f>
        <v/>
      </c>
      <c r="F157" s="12">
        <f>D157/B157</f>
        <v/>
      </c>
      <c r="G157" s="8" t="n">
        <v>380.599</v>
      </c>
      <c r="H157" s="8" t="n">
        <v>904.475</v>
      </c>
      <c r="J157" s="8">
        <f>('Census Crush'!$B156*36.7437/1000)-B157</f>
        <v/>
      </c>
      <c r="K157" s="7">
        <f>J157/('Census Crush'!$B156*36.7437/1000)</f>
        <v/>
      </c>
      <c r="M157" s="14" t="n">
        <v>3.958322580645161</v>
      </c>
      <c r="N157" s="15">
        <f>M157*355</f>
        <v/>
      </c>
      <c r="Q157" s="56">
        <f>B157/31</f>
        <v/>
      </c>
    </row>
    <row r="158" ht="13.5" customHeight="1">
      <c r="A158" s="6" t="n">
        <v>33817</v>
      </c>
      <c r="B158" s="8" t="n">
        <v>89.346</v>
      </c>
      <c r="C158" s="8" t="n">
        <v>2118.51</v>
      </c>
      <c r="D158" s="8" t="n">
        <v>1034.246</v>
      </c>
      <c r="E158" s="12">
        <f>(C158*2)/B158</f>
        <v/>
      </c>
      <c r="F158" s="12">
        <f>D158/B158</f>
        <v/>
      </c>
      <c r="G158" s="8" t="n">
        <v>317.273</v>
      </c>
      <c r="H158" s="8" t="n">
        <v>896.302</v>
      </c>
      <c r="J158" s="8">
        <f>('Census Crush'!$B157*36.7437/1000)-B158</f>
        <v/>
      </c>
      <c r="K158" s="7">
        <f>J158/('Census Crush'!$B157*36.7437/1000)</f>
        <v/>
      </c>
      <c r="M158" s="14" t="n">
        <v>3.958322580645161</v>
      </c>
      <c r="N158" s="15">
        <f>M158*355</f>
        <v/>
      </c>
      <c r="Q158" s="56">
        <f>B158/31</f>
        <v/>
      </c>
    </row>
    <row r="159" ht="13.5" customHeight="1">
      <c r="A159" s="6" t="n">
        <v>33848</v>
      </c>
      <c r="B159" s="8" t="n">
        <v>87.06699999999999</v>
      </c>
      <c r="C159" s="8" t="n">
        <v>2062.779</v>
      </c>
      <c r="D159" s="8" t="n">
        <v>1002.119</v>
      </c>
      <c r="E159" s="12">
        <f>(C159*2)/B159</f>
        <v/>
      </c>
      <c r="F159" s="12">
        <f>D159/B159</f>
        <v/>
      </c>
      <c r="G159" s="8" t="n">
        <v>418.772</v>
      </c>
      <c r="H159" s="8" t="n">
        <v>843.207</v>
      </c>
      <c r="J159" s="8">
        <f>('Census Crush'!$B158*36.7437/1000)-B159</f>
        <v/>
      </c>
      <c r="K159" s="7">
        <f>J159/('Census Crush'!$B158*36.7437/1000)</f>
        <v/>
      </c>
      <c r="M159" s="14" t="n">
        <v>3.827366666666667</v>
      </c>
      <c r="N159" s="15">
        <f>M159*355</f>
        <v/>
      </c>
      <c r="Q159" s="56">
        <f>B159/30</f>
        <v/>
      </c>
    </row>
    <row r="160" ht="13.5" customHeight="1">
      <c r="A160" s="6" t="n">
        <v>33878</v>
      </c>
      <c r="B160" s="8" t="n">
        <v>96.021</v>
      </c>
      <c r="C160" s="8" t="n">
        <v>2257.686</v>
      </c>
      <c r="D160" s="8" t="n">
        <v>1047.023</v>
      </c>
      <c r="E160" s="12">
        <f>(C160*2)/B160</f>
        <v/>
      </c>
      <c r="F160" s="12">
        <f>D160/B160</f>
        <v/>
      </c>
      <c r="G160" s="8" t="n">
        <v>376.433</v>
      </c>
      <c r="H160" s="8" t="n">
        <v>795.968</v>
      </c>
      <c r="J160" s="8">
        <f>('Census Crush'!$B159*36.7437/1000)-B160</f>
        <v/>
      </c>
      <c r="K160" s="7">
        <f>J160/('Census Crush'!$B159*36.7437/1000)</f>
        <v/>
      </c>
      <c r="M160" s="14" t="n">
        <v>3.975806451612903</v>
      </c>
      <c r="N160" s="15">
        <f>M160*355</f>
        <v/>
      </c>
      <c r="Q160" s="56">
        <f>B160/31</f>
        <v/>
      </c>
    </row>
    <row r="161" ht="13.5" customHeight="1">
      <c r="A161" s="6" t="n">
        <v>33909</v>
      </c>
      <c r="B161" s="8" t="n">
        <v>95.376</v>
      </c>
      <c r="C161" s="8" t="n">
        <v>2270.622</v>
      </c>
      <c r="D161" s="8" t="n">
        <v>1022.67</v>
      </c>
      <c r="E161" s="12">
        <f>(C161*2)/B161</f>
        <v/>
      </c>
      <c r="F161" s="12">
        <f>D161/B161</f>
        <v/>
      </c>
      <c r="G161" s="8" t="n">
        <v>321.939</v>
      </c>
      <c r="H161" s="8" t="n">
        <v>788.912</v>
      </c>
      <c r="J161" s="8">
        <f>('Census Crush'!$B160*36.7437/1000)-B161</f>
        <v/>
      </c>
      <c r="K161" s="7">
        <f>J161/('Census Crush'!$B160*36.7437/1000)</f>
        <v/>
      </c>
      <c r="M161" s="14" t="n">
        <v>3.975833333333334</v>
      </c>
      <c r="N161" s="15">
        <f>M161*355</f>
        <v/>
      </c>
      <c r="Q161" s="56">
        <f>B161/30</f>
        <v/>
      </c>
    </row>
    <row r="162" ht="13.5" customHeight="1">
      <c r="A162" s="6" t="n">
        <v>33939</v>
      </c>
      <c r="B162" s="8" t="n">
        <v>97.004</v>
      </c>
      <c r="C162" s="8" t="n">
        <v>2322.532</v>
      </c>
      <c r="D162" s="8" t="n">
        <v>1044.615</v>
      </c>
      <c r="E162" s="12">
        <f>(C162*2)/B162</f>
        <v/>
      </c>
      <c r="F162" s="12">
        <f>D162/B162</f>
        <v/>
      </c>
      <c r="G162" s="8" t="n">
        <v>362.598</v>
      </c>
      <c r="H162" s="8" t="n">
        <v>830.9109999999999</v>
      </c>
      <c r="J162" s="8">
        <f>('Census Crush'!$B161*36.7437/1000)-B162</f>
        <v/>
      </c>
      <c r="K162" s="7">
        <f>J162/('Census Crush'!$B161*36.7437/1000)</f>
        <v/>
      </c>
      <c r="M162" s="14" t="n">
        <v>3.87116129032258</v>
      </c>
      <c r="N162" s="15">
        <f>M162*355</f>
        <v/>
      </c>
      <c r="Q162" s="56">
        <f>B162/31</f>
        <v/>
      </c>
    </row>
    <row r="163" ht="13.5" customHeight="1">
      <c r="A163" s="6" t="n">
        <v>33970</v>
      </c>
      <c r="B163" s="8" t="n">
        <v>98.69499999999999</v>
      </c>
      <c r="C163" s="8" t="n">
        <v>2351.123</v>
      </c>
      <c r="D163" s="8" t="n">
        <v>1056.225</v>
      </c>
      <c r="E163" s="12">
        <f>(C163*2)/B163</f>
        <v/>
      </c>
      <c r="F163" s="12">
        <f>D163/B163</f>
        <v/>
      </c>
      <c r="G163" s="8" t="n">
        <v>365.642</v>
      </c>
      <c r="H163" s="8" t="n">
        <v>894.773</v>
      </c>
      <c r="J163" s="8">
        <f>('Census Crush'!$B162*36.7437/1000)-B163</f>
        <v/>
      </c>
      <c r="K163" s="7">
        <f>J163/('Census Crush'!$B162*36.7437/1000)</f>
        <v/>
      </c>
      <c r="M163" s="14" t="n">
        <v>3.994451612903226</v>
      </c>
      <c r="N163" s="15">
        <f>M163*355</f>
        <v/>
      </c>
      <c r="Q163" s="56">
        <f>B163/31</f>
        <v/>
      </c>
    </row>
    <row r="164" ht="13.5" customHeight="1">
      <c r="A164" s="6" t="n">
        <v>34001</v>
      </c>
      <c r="B164" s="8" t="n">
        <v>85.82599999999999</v>
      </c>
      <c r="C164" s="8" t="n">
        <v>2040.521</v>
      </c>
      <c r="D164" s="8" t="n">
        <v>925.922</v>
      </c>
      <c r="E164" s="12">
        <f>(C164*2)/B164</f>
        <v/>
      </c>
      <c r="F164" s="12">
        <f>D164/B164</f>
        <v/>
      </c>
      <c r="G164" s="8" t="n">
        <v>314.378</v>
      </c>
      <c r="H164" s="8" t="n">
        <v>872.9880000000001</v>
      </c>
      <c r="J164" s="8">
        <f>('Census Crush'!$B163*36.7437/1000)-B164</f>
        <v/>
      </c>
      <c r="K164" s="7">
        <f>J164/('Census Crush'!$B163*36.7437/1000)</f>
        <v/>
      </c>
      <c r="M164" s="14" t="n">
        <v>3.994428571428571</v>
      </c>
      <c r="N164" s="15">
        <f>M164*355</f>
        <v/>
      </c>
      <c r="Q164" s="56">
        <f>B164/28</f>
        <v/>
      </c>
    </row>
    <row r="165" ht="13.5" customHeight="1">
      <c r="A165" s="6" t="n">
        <v>34029</v>
      </c>
      <c r="B165" s="8" t="n">
        <v>93.824</v>
      </c>
      <c r="C165" s="8" t="n">
        <v>2234.064</v>
      </c>
      <c r="D165" s="8" t="n">
        <v>1015.488</v>
      </c>
      <c r="E165" s="12">
        <f>(C165*2)/B165</f>
        <v/>
      </c>
      <c r="F165" s="12">
        <f>D165/B165</f>
        <v/>
      </c>
      <c r="G165" s="8" t="n">
        <v>255.968</v>
      </c>
      <c r="H165" s="8" t="n">
        <v>847.524</v>
      </c>
      <c r="J165" s="8">
        <f>('Census Crush'!$B164*36.7437/1000)-B165</f>
        <v/>
      </c>
      <c r="K165" s="7">
        <f>J165/('Census Crush'!$B164*36.7437/1000)</f>
        <v/>
      </c>
      <c r="M165" s="14" t="n">
        <v>3.994451612903226</v>
      </c>
      <c r="N165" s="15">
        <f>M165*355</f>
        <v/>
      </c>
      <c r="Q165" s="56">
        <f>B165/31</f>
        <v/>
      </c>
    </row>
    <row r="166" ht="13.5" customHeight="1">
      <c r="A166" s="6" t="n">
        <v>34060</v>
      </c>
      <c r="B166" s="8" t="n">
        <v>87.72</v>
      </c>
      <c r="C166" s="8" t="n">
        <v>2089.056</v>
      </c>
      <c r="D166" s="8" t="n">
        <v>954.95</v>
      </c>
      <c r="E166" s="12">
        <f>(C166*2)/B166</f>
        <v/>
      </c>
      <c r="F166" s="12">
        <f>D166/B166</f>
        <v/>
      </c>
      <c r="G166" s="8" t="n">
        <v>287.717</v>
      </c>
      <c r="H166" s="8" t="n">
        <v>841.49</v>
      </c>
      <c r="J166" s="8">
        <f>('Census Crush'!$B165*36.7437/1000)-B166</f>
        <v/>
      </c>
      <c r="K166" s="7">
        <f>J166/('Census Crush'!$B165*36.7437/1000)</f>
        <v/>
      </c>
      <c r="M166" s="14" t="n">
        <v>4.004966666666666</v>
      </c>
      <c r="N166" s="15">
        <f>M166*355</f>
        <v/>
      </c>
      <c r="Q166" s="56">
        <f>B166/30</f>
        <v/>
      </c>
    </row>
    <row r="167" ht="13.5" customHeight="1">
      <c r="A167" s="6" t="n">
        <v>34090</v>
      </c>
      <c r="B167" s="8" t="n">
        <v>87.349</v>
      </c>
      <c r="C167" s="8" t="n">
        <v>2078.107</v>
      </c>
      <c r="D167" s="8" t="n">
        <v>946.708</v>
      </c>
      <c r="E167" s="12">
        <f>(C167*2)/B167</f>
        <v/>
      </c>
      <c r="F167" s="12">
        <f>D167/B167</f>
        <v/>
      </c>
      <c r="G167" s="8" t="n">
        <v>200.915</v>
      </c>
      <c r="H167" s="8" t="n">
        <v>803.217</v>
      </c>
      <c r="J167" s="8">
        <f>('Census Crush'!$B166*36.7437/1000)-B167</f>
        <v/>
      </c>
      <c r="K167" s="7">
        <f>J167/('Census Crush'!$B166*36.7437/1000)</f>
        <v/>
      </c>
      <c r="M167" s="14" t="n">
        <v>4.005032258064516</v>
      </c>
      <c r="N167" s="15">
        <f>M167*355</f>
        <v/>
      </c>
      <c r="Q167" s="56">
        <f>B167/31</f>
        <v/>
      </c>
    </row>
    <row r="168" ht="13.5" customHeight="1">
      <c r="A168" s="6" t="n">
        <v>34121</v>
      </c>
      <c r="B168" s="8" t="n">
        <v>82.371</v>
      </c>
      <c r="C168" s="8" t="n">
        <v>1958.851</v>
      </c>
      <c r="D168" s="8" t="n">
        <v>895.895</v>
      </c>
      <c r="E168" s="12">
        <f>(C168*2)/B168</f>
        <v/>
      </c>
      <c r="F168" s="12">
        <f>D168/B168</f>
        <v/>
      </c>
      <c r="G168" s="8" t="n">
        <v>206.465</v>
      </c>
      <c r="H168" s="8" t="n">
        <v>776.226</v>
      </c>
      <c r="J168" s="8">
        <f>('Census Crush'!$B167*36.7437/1000)-B168</f>
        <v/>
      </c>
      <c r="K168" s="7">
        <f>J168/('Census Crush'!$B167*36.7437/1000)</f>
        <v/>
      </c>
      <c r="M168" s="14" t="n">
        <v>4.005</v>
      </c>
      <c r="N168" s="15">
        <f>M168*355</f>
        <v/>
      </c>
      <c r="Q168" s="56">
        <f>B168/30</f>
        <v/>
      </c>
    </row>
    <row r="169" ht="13.5" customHeight="1">
      <c r="A169" s="6" t="n">
        <v>34151</v>
      </c>
      <c r="B169" s="8" t="n">
        <v>82.634</v>
      </c>
      <c r="C169" s="8" t="n">
        <v>1965.788</v>
      </c>
      <c r="D169" s="8" t="n">
        <v>902.542</v>
      </c>
      <c r="E169" s="12">
        <f>(C169*2)/B169</f>
        <v/>
      </c>
      <c r="F169" s="12">
        <f>D169/B169</f>
        <v/>
      </c>
      <c r="G169" s="8" t="n">
        <v>173.66</v>
      </c>
      <c r="H169" s="8" t="n">
        <v>717.921</v>
      </c>
      <c r="J169" s="8">
        <f>('Census Crush'!$B168*36.7437/1000)-B169</f>
        <v/>
      </c>
      <c r="K169" s="7">
        <f>J169/('Census Crush'!$B168*36.7437/1000)</f>
        <v/>
      </c>
      <c r="M169" s="14" t="n">
        <v>4.023193548387097</v>
      </c>
      <c r="N169" s="15">
        <f>M169*355</f>
        <v/>
      </c>
      <c r="Q169" s="56">
        <f>B169/31</f>
        <v/>
      </c>
    </row>
    <row r="170" ht="13.5" customHeight="1">
      <c r="A170" s="6" t="n">
        <v>34182</v>
      </c>
      <c r="B170" s="8" t="n">
        <v>81.036</v>
      </c>
      <c r="C170" s="8" t="n">
        <v>1926.448</v>
      </c>
      <c r="D170" s="8" t="n">
        <v>887.177</v>
      </c>
      <c r="E170" s="12">
        <f>(C170*2)/B170</f>
        <v/>
      </c>
      <c r="F170" s="12">
        <f>D170/B170</f>
        <v/>
      </c>
      <c r="G170" s="8" t="n">
        <v>226.522</v>
      </c>
      <c r="H170" s="8" t="n">
        <v>577.55</v>
      </c>
      <c r="J170" s="8">
        <f>('Census Crush'!$B169*36.7437/1000)-B170</f>
        <v/>
      </c>
      <c r="K170" s="7">
        <f>J170/('Census Crush'!$B169*36.7437/1000)</f>
        <v/>
      </c>
      <c r="M170" s="14" t="n">
        <v>4.023193548387097</v>
      </c>
      <c r="N170" s="15">
        <f>M170*355</f>
        <v/>
      </c>
      <c r="Q170" s="56">
        <f>B170/31</f>
        <v/>
      </c>
    </row>
    <row r="171" ht="13.5" customHeight="1">
      <c r="A171" s="6" t="n">
        <v>34213</v>
      </c>
      <c r="B171" s="8" t="n">
        <v>82.307</v>
      </c>
      <c r="C171" s="8" t="n">
        <v>1978.864</v>
      </c>
      <c r="D171" s="8" t="n">
        <v>906.047</v>
      </c>
      <c r="E171" s="12">
        <f>(C171*2)/B171</f>
        <v/>
      </c>
      <c r="F171" s="12">
        <f>D171/B171</f>
        <v/>
      </c>
      <c r="G171" s="8" t="n">
        <v>277.433</v>
      </c>
      <c r="H171" s="8" t="n">
        <v>465.003</v>
      </c>
      <c r="J171" s="8">
        <f>('Census Crush'!$B170*36.7437/1000)-B171</f>
        <v/>
      </c>
      <c r="K171" s="7">
        <f>J171/('Census Crush'!$B170*36.7437/1000)</f>
        <v/>
      </c>
      <c r="M171" s="14" t="n">
        <v>4.0232</v>
      </c>
      <c r="N171" s="15">
        <f>M171*355</f>
        <v/>
      </c>
      <c r="Q171" s="56">
        <f>B171/30</f>
        <v/>
      </c>
    </row>
    <row r="172" ht="13.5" customHeight="1">
      <c r="A172" s="6" t="n">
        <v>34243</v>
      </c>
      <c r="B172" s="8" t="n">
        <v>94.75700000000001</v>
      </c>
      <c r="C172" s="8" t="n">
        <v>2242.163</v>
      </c>
      <c r="D172" s="8" t="n">
        <v>1038.268</v>
      </c>
      <c r="E172" s="12">
        <f>(C172*2)/B172</f>
        <v/>
      </c>
      <c r="F172" s="12">
        <f>D172/B172</f>
        <v/>
      </c>
      <c r="G172" s="8" t="n">
        <v>347.387</v>
      </c>
      <c r="H172" s="8" t="n">
        <v>519.777</v>
      </c>
      <c r="J172" s="8">
        <f>('Census Crush'!$B171*36.7437/1000)-B172</f>
        <v/>
      </c>
      <c r="K172" s="7">
        <f>J172/('Census Crush'!$B171*36.7437/1000)</f>
        <v/>
      </c>
      <c r="M172" s="14" t="n">
        <v>4.041806451612904</v>
      </c>
      <c r="N172" s="15">
        <f>M172*355</f>
        <v/>
      </c>
      <c r="Q172" s="56">
        <f>B172/31</f>
        <v/>
      </c>
    </row>
    <row r="173" ht="13.5" customHeight="1">
      <c r="A173" s="6" t="n">
        <v>34274</v>
      </c>
      <c r="B173" s="8" t="n">
        <v>95.351</v>
      </c>
      <c r="C173" s="8" t="n">
        <v>2263.416</v>
      </c>
      <c r="D173" s="8" t="n">
        <v>1030.963</v>
      </c>
      <c r="E173" s="12">
        <f>(C173*2)/B173</f>
        <v/>
      </c>
      <c r="F173" s="12">
        <f>D173/B173</f>
        <v/>
      </c>
      <c r="G173" s="8" t="n">
        <v>355.482</v>
      </c>
      <c r="H173" s="8" t="n">
        <v>504.043</v>
      </c>
      <c r="J173" s="8">
        <f>('Census Crush'!$B172*36.7437/1000)-B173</f>
        <v/>
      </c>
      <c r="K173" s="7">
        <f>J173/('Census Crush'!$B172*36.7437/1000)</f>
        <v/>
      </c>
      <c r="M173" s="14" t="n">
        <v>4.041766666666667</v>
      </c>
      <c r="N173" s="15">
        <f>M173*355</f>
        <v/>
      </c>
      <c r="Q173" s="56">
        <f>B173/30</f>
        <v/>
      </c>
    </row>
    <row r="174" ht="13.5" customHeight="1">
      <c r="A174" s="6" t="n">
        <v>34304</v>
      </c>
      <c r="B174" s="8" t="n">
        <v>96.874</v>
      </c>
      <c r="C174" s="8" t="n">
        <v>2287.703</v>
      </c>
      <c r="D174" s="8" t="n">
        <v>1038.618</v>
      </c>
      <c r="E174" s="12">
        <f>(C174*2)/B174</f>
        <v/>
      </c>
      <c r="F174" s="12">
        <f>D174/B174</f>
        <v/>
      </c>
      <c r="G174" s="8" t="n">
        <v>424.18</v>
      </c>
      <c r="H174" s="8" t="n">
        <v>443.358</v>
      </c>
      <c r="J174" s="8">
        <f>('Census Crush'!$B173*36.7437/1000)-B174</f>
        <v/>
      </c>
      <c r="K174" s="7">
        <f>J174/('Census Crush'!$B173*36.7437/1000)</f>
        <v/>
      </c>
      <c r="M174" s="14" t="n">
        <v>4.041806451612904</v>
      </c>
      <c r="N174" s="15">
        <f>M174*355</f>
        <v/>
      </c>
      <c r="Q174" s="56">
        <f>B174/31</f>
        <v/>
      </c>
    </row>
    <row r="175" ht="13.5" customHeight="1">
      <c r="A175" s="6" t="n">
        <v>34335</v>
      </c>
      <c r="B175" s="8" t="n">
        <v>93.22799999999999</v>
      </c>
      <c r="C175" s="8" t="n">
        <v>2218.486</v>
      </c>
      <c r="D175" s="8" t="n">
        <v>1009.014</v>
      </c>
      <c r="E175" s="12">
        <f>(C175*2)/B175</f>
        <v/>
      </c>
      <c r="F175" s="12">
        <f>D175/B175</f>
        <v/>
      </c>
      <c r="G175" s="8" t="n">
        <v>285.409</v>
      </c>
      <c r="H175" s="8" t="n">
        <v>481.238</v>
      </c>
      <c r="J175" s="8">
        <f>('Census Crush'!$B174*36.7437/1000)-B175</f>
        <v/>
      </c>
      <c r="K175" s="7">
        <f>J175/('Census Crush'!$B174*36.7437/1000)</f>
        <v/>
      </c>
      <c r="M175" s="14" t="n">
        <v>4.048451612903226</v>
      </c>
      <c r="N175" s="15">
        <f>M175*355</f>
        <v/>
      </c>
      <c r="Q175" s="56">
        <f>B175/31</f>
        <v/>
      </c>
    </row>
    <row r="176" ht="13.5" customHeight="1">
      <c r="A176" s="6" t="n">
        <v>34366</v>
      </c>
      <c r="B176" s="8" t="n">
        <v>85.72799999999999</v>
      </c>
      <c r="C176" s="8" t="n">
        <v>2040.677</v>
      </c>
      <c r="D176" s="8" t="n">
        <v>929.434</v>
      </c>
      <c r="E176" s="12">
        <f>(C176*2)/B176</f>
        <v/>
      </c>
      <c r="F176" s="12">
        <f>D176/B176</f>
        <v/>
      </c>
      <c r="G176" s="8" t="n">
        <v>296.578</v>
      </c>
      <c r="H176" s="8" t="n">
        <v>486.237</v>
      </c>
      <c r="J176" s="8">
        <f>('Census Crush'!$B175*36.7437/1000)-B176</f>
        <v/>
      </c>
      <c r="K176" s="7">
        <f>J176/('Census Crush'!$B175*36.7437/1000)</f>
        <v/>
      </c>
      <c r="M176" s="14" t="n">
        <v>4.048392857142857</v>
      </c>
      <c r="N176" s="15">
        <f>M176*355</f>
        <v/>
      </c>
      <c r="Q176" s="56">
        <f>B176/28</f>
        <v/>
      </c>
    </row>
    <row r="177" ht="13.5" customHeight="1">
      <c r="A177" s="6" t="n">
        <v>34394</v>
      </c>
      <c r="B177" s="8" t="n">
        <v>91.929</v>
      </c>
      <c r="C177" s="8" t="n">
        <v>2190.249</v>
      </c>
      <c r="D177" s="8" t="n">
        <v>999.54</v>
      </c>
      <c r="E177" s="12">
        <f>(C177*2)/B177</f>
        <v/>
      </c>
      <c r="F177" s="12">
        <f>D177/B177</f>
        <v/>
      </c>
      <c r="G177" s="8" t="n">
        <v>296.761</v>
      </c>
      <c r="H177" s="8" t="n">
        <v>481.721</v>
      </c>
      <c r="J177" s="8">
        <f>('Census Crush'!$B176*36.7437/1000)-B177</f>
        <v/>
      </c>
      <c r="K177" s="7">
        <f>J177/('Census Crush'!$B176*36.7437/1000)</f>
        <v/>
      </c>
      <c r="M177" s="14" t="n">
        <v>4.048451612903226</v>
      </c>
      <c r="N177" s="15">
        <f>M177*355</f>
        <v/>
      </c>
      <c r="Q177" s="56">
        <f>B177/31</f>
        <v/>
      </c>
    </row>
    <row r="178" ht="13.5" customHeight="1">
      <c r="A178" s="6" t="n">
        <v>34425</v>
      </c>
      <c r="B178" s="8" t="n">
        <v>87.352</v>
      </c>
      <c r="C178" s="8" t="n">
        <v>2083.816</v>
      </c>
      <c r="D178" s="8" t="n">
        <v>955.144</v>
      </c>
      <c r="E178" s="12">
        <f>(C178*2)/B178</f>
        <v/>
      </c>
      <c r="F178" s="12">
        <f>D178/B178</f>
        <v/>
      </c>
      <c r="G178" s="8" t="n">
        <v>250.593</v>
      </c>
      <c r="H178" s="8" t="n">
        <v>517.681</v>
      </c>
      <c r="J178" s="8">
        <f>('Census Crush'!$B177*36.7437/1000)-B178</f>
        <v/>
      </c>
      <c r="K178" s="7">
        <f>J178/('Census Crush'!$B177*36.7437/1000)</f>
        <v/>
      </c>
      <c r="M178" s="14" t="n">
        <v>4.060766666666667</v>
      </c>
      <c r="N178" s="15">
        <f>M178*355</f>
        <v/>
      </c>
      <c r="Q178" s="56">
        <f>B178/30</f>
        <v/>
      </c>
    </row>
    <row r="179" ht="13.5" customHeight="1">
      <c r="A179" s="6" t="n">
        <v>34455</v>
      </c>
      <c r="B179" s="8" t="n">
        <v>83.453</v>
      </c>
      <c r="C179" s="8" t="n">
        <v>1986.133</v>
      </c>
      <c r="D179" s="8" t="n">
        <v>915.798</v>
      </c>
      <c r="E179" s="12">
        <f>(C179*2)/B179</f>
        <v/>
      </c>
      <c r="F179" s="12">
        <f>D179/B179</f>
        <v/>
      </c>
      <c r="G179" s="8" t="n">
        <v>235.965</v>
      </c>
      <c r="H179" s="8" t="n">
        <v>492.055</v>
      </c>
      <c r="J179" s="8">
        <f>('Census Crush'!$B178*36.7437/1000)-B179</f>
        <v/>
      </c>
      <c r="K179" s="7">
        <f>J179/('Census Crush'!$B178*36.7437/1000)</f>
        <v/>
      </c>
      <c r="M179" s="14" t="n">
        <v>4.060709677419355</v>
      </c>
      <c r="N179" s="15">
        <f>M179*355</f>
        <v/>
      </c>
      <c r="Q179" s="56">
        <f>B179/31</f>
        <v/>
      </c>
    </row>
    <row r="180" ht="13.5" customHeight="1">
      <c r="A180" s="6" t="n">
        <v>34486</v>
      </c>
      <c r="B180" s="8" t="n">
        <v>79.04000000000001</v>
      </c>
      <c r="C180" s="8" t="n">
        <v>1898.506</v>
      </c>
      <c r="D180" s="8" t="n">
        <v>876.331</v>
      </c>
      <c r="E180" s="12">
        <f>(C180*2)/B180</f>
        <v/>
      </c>
      <c r="F180" s="12">
        <f>D180/B180</f>
        <v/>
      </c>
      <c r="G180" s="8" t="n">
        <v>198.01</v>
      </c>
      <c r="H180" s="8" t="n">
        <v>475.839</v>
      </c>
      <c r="J180" s="8">
        <f>('Census Crush'!$B179*36.7437/1000)-B180</f>
        <v/>
      </c>
      <c r="K180" s="7">
        <f>J180/('Census Crush'!$B179*36.7437/1000)</f>
        <v/>
      </c>
      <c r="M180" s="14" t="n">
        <v>4.060766666666667</v>
      </c>
      <c r="N180" s="15">
        <f>M180*355</f>
        <v/>
      </c>
      <c r="Q180" s="56">
        <f>B180/30</f>
        <v/>
      </c>
    </row>
    <row r="181" ht="13.5" customHeight="1">
      <c r="A181" s="6" t="n">
        <v>34516</v>
      </c>
      <c r="B181" s="8" t="n">
        <v>82.416</v>
      </c>
      <c r="C181" s="8" t="n">
        <v>1961.858</v>
      </c>
      <c r="D181" s="8" t="n">
        <v>901.825</v>
      </c>
      <c r="E181" s="12">
        <f>(C181*2)/B181</f>
        <v/>
      </c>
      <c r="F181" s="12">
        <f>D181/B181</f>
        <v/>
      </c>
      <c r="G181" s="8" t="n">
        <v>157.535</v>
      </c>
      <c r="H181" s="8" t="n">
        <v>548.0170000000001</v>
      </c>
      <c r="J181" s="8">
        <f>('Census Crush'!$B180*36.7437/1000)-B181</f>
        <v/>
      </c>
      <c r="K181" s="7">
        <f>J181/('Census Crush'!$B180*36.7437/1000)</f>
        <v/>
      </c>
      <c r="M181" s="14" t="n">
        <v>4.058612903225806</v>
      </c>
      <c r="N181" s="15">
        <f>M181*355</f>
        <v/>
      </c>
      <c r="Q181" s="56">
        <f>B181/31</f>
        <v/>
      </c>
    </row>
    <row r="182" ht="13.5" customHeight="1">
      <c r="A182" s="6" t="n">
        <v>34547</v>
      </c>
      <c r="B182" s="8" t="n">
        <v>87.61499999999999</v>
      </c>
      <c r="C182" s="8" t="n">
        <v>2086.122</v>
      </c>
      <c r="D182" s="8" t="n">
        <v>965.604</v>
      </c>
      <c r="E182" s="12">
        <f>(C182*2)/B182</f>
        <v/>
      </c>
      <c r="F182" s="12">
        <f>D182/B182</f>
        <v/>
      </c>
      <c r="G182" s="8" t="n">
        <v>295.519</v>
      </c>
      <c r="H182" s="8" t="n">
        <v>477.726</v>
      </c>
      <c r="J182" s="8">
        <f>('Census Crush'!$B181*36.7437/1000)-B182</f>
        <v/>
      </c>
      <c r="K182" s="7">
        <f>J182/('Census Crush'!$B181*36.7437/1000)</f>
        <v/>
      </c>
      <c r="M182" s="14" t="n">
        <v>4.058580645161291</v>
      </c>
      <c r="N182" s="15">
        <f>M182*355</f>
        <v/>
      </c>
      <c r="Q182" s="56">
        <f>B182/31</f>
        <v/>
      </c>
    </row>
    <row r="183" ht="13.5" customHeight="1">
      <c r="A183" s="6" t="n">
        <v>34578</v>
      </c>
      <c r="B183" s="8" t="n">
        <v>87.352</v>
      </c>
      <c r="C183" s="8" t="n">
        <v>2077.463</v>
      </c>
      <c r="D183" s="8" t="n">
        <v>970.24</v>
      </c>
      <c r="E183" s="12">
        <f>(C183*2)/B183</f>
        <v/>
      </c>
      <c r="F183" s="12">
        <f>D183/B183</f>
        <v/>
      </c>
      <c r="G183" s="8" t="n">
        <v>226.918</v>
      </c>
      <c r="H183" s="8" t="n">
        <v>388.274</v>
      </c>
      <c r="J183" s="8">
        <f>('Census Crush'!$B182*36.7437/1000)-B183</f>
        <v/>
      </c>
      <c r="K183" s="7">
        <f>J183/('Census Crush'!$B182*36.7437/1000)</f>
        <v/>
      </c>
      <c r="M183" s="14" t="n">
        <v>4.058633333333334</v>
      </c>
      <c r="N183" s="15">
        <f>M183*355</f>
        <v/>
      </c>
      <c r="Q183" s="56">
        <f>B183/30</f>
        <v/>
      </c>
    </row>
    <row r="184" ht="13.5" customHeight="1">
      <c r="A184" s="6" t="n">
        <v>34608</v>
      </c>
      <c r="B184" s="8" t="n">
        <v>99.274</v>
      </c>
      <c r="C184" s="8" t="n">
        <v>2341.275</v>
      </c>
      <c r="D184" s="8" t="n">
        <v>1108.879</v>
      </c>
      <c r="E184" s="12">
        <f>(C184*2)/B184</f>
        <v/>
      </c>
      <c r="F184" s="12">
        <f>D184/B184</f>
        <v/>
      </c>
      <c r="G184" s="8" t="n">
        <v>252.824</v>
      </c>
      <c r="H184" s="8" t="n">
        <v>369.245</v>
      </c>
      <c r="J184" s="8">
        <f>('Census Crush'!$B183*36.7437/1000)-B184</f>
        <v/>
      </c>
      <c r="K184" s="7">
        <f>J184/('Census Crush'!$B183*36.7437/1000)</f>
        <v/>
      </c>
      <c r="M184" s="14" t="n">
        <v>4.072870967741935</v>
      </c>
      <c r="N184" s="15">
        <f>M184*355</f>
        <v/>
      </c>
      <c r="Q184" s="56">
        <f>B184/31</f>
        <v/>
      </c>
    </row>
    <row r="185" ht="13.5" customHeight="1">
      <c r="A185" s="6" t="n">
        <v>34639</v>
      </c>
      <c r="B185" s="8" t="n">
        <v>103.153</v>
      </c>
      <c r="C185" s="8" t="n">
        <v>2442.709</v>
      </c>
      <c r="D185" s="8" t="n">
        <v>1135.345</v>
      </c>
      <c r="E185" s="12">
        <f>(C185*2)/B185</f>
        <v/>
      </c>
      <c r="F185" s="12">
        <f>D185/B185</f>
        <v/>
      </c>
      <c r="G185" s="8" t="n">
        <v>373.356</v>
      </c>
      <c r="H185" s="8" t="n">
        <v>399.778</v>
      </c>
      <c r="J185" s="8">
        <f>('Census Crush'!$B184*36.7437/1000)-B185</f>
        <v/>
      </c>
      <c r="K185" s="7">
        <f>J185/('Census Crush'!$B184*36.7437/1000)</f>
        <v/>
      </c>
      <c r="M185" s="14" t="n">
        <v>4.072866666666667</v>
      </c>
      <c r="N185" s="15">
        <f>M185*355</f>
        <v/>
      </c>
      <c r="Q185" s="56">
        <f>B185/30</f>
        <v/>
      </c>
    </row>
    <row r="186" ht="13.5" customHeight="1">
      <c r="A186" s="6" t="n">
        <v>34669</v>
      </c>
      <c r="B186" s="8" t="n">
        <v>107.421</v>
      </c>
      <c r="C186" s="8" t="n">
        <v>2531.353</v>
      </c>
      <c r="D186" s="8" t="n">
        <v>1182.096</v>
      </c>
      <c r="E186" s="12">
        <f>(C186*2)/B186</f>
        <v/>
      </c>
      <c r="F186" s="12">
        <f>D186/B186</f>
        <v/>
      </c>
      <c r="G186" s="8" t="n">
        <v>373.509</v>
      </c>
      <c r="H186" s="8" t="n">
        <v>382.629</v>
      </c>
      <c r="J186" s="8">
        <f>('Census Crush'!$B185*36.7437/1000)-B186</f>
        <v/>
      </c>
      <c r="K186" s="7">
        <f>J186/('Census Crush'!$B185*36.7437/1000)</f>
        <v/>
      </c>
      <c r="M186" s="14" t="n">
        <v>4.072870967741935</v>
      </c>
      <c r="N186" s="15">
        <f>M186*355</f>
        <v/>
      </c>
      <c r="Q186" s="56">
        <f>B186/31</f>
        <v/>
      </c>
    </row>
    <row r="187" ht="13.5" customHeight="1">
      <c r="A187" s="6" t="n">
        <v>34700</v>
      </c>
      <c r="B187" s="8" t="n">
        <v>126.586</v>
      </c>
      <c r="C187" s="8" t="n">
        <v>2992.784</v>
      </c>
      <c r="D187" s="8" t="n">
        <v>1397.372</v>
      </c>
      <c r="E187" s="12">
        <f>(C187*2)/B187</f>
        <v/>
      </c>
      <c r="F187" s="12">
        <f>D187/B187</f>
        <v/>
      </c>
      <c r="G187" s="8" t="n">
        <v>655.0069999999999</v>
      </c>
      <c r="H187" s="8" t="n">
        <v>485.624</v>
      </c>
      <c r="J187" s="8">
        <f>('Census Crush'!$B186*36.7437/1000)-B187</f>
        <v/>
      </c>
      <c r="K187" s="7">
        <f>J187/('Census Crush'!$B186*36.7437/1000)</f>
        <v/>
      </c>
      <c r="M187" s="14" t="n">
        <v>4.791193548387096</v>
      </c>
      <c r="N187" s="15">
        <f>M187*355</f>
        <v/>
      </c>
      <c r="Q187" s="56">
        <f>B187/31</f>
        <v/>
      </c>
    </row>
    <row r="188" ht="13.5" customHeight="1">
      <c r="A188" s="6" t="n">
        <v>34731</v>
      </c>
      <c r="B188" s="8" t="n">
        <v>115.569</v>
      </c>
      <c r="C188" s="8" t="n">
        <v>2736.442</v>
      </c>
      <c r="D188" s="8" t="n">
        <v>1283.613</v>
      </c>
      <c r="E188" s="12">
        <f>(C188*2)/B188</f>
        <v/>
      </c>
      <c r="F188" s="12">
        <f>D188/B188</f>
        <v/>
      </c>
      <c r="G188" s="8" t="n">
        <v>558.623</v>
      </c>
      <c r="H188" s="8" t="n">
        <v>475.624</v>
      </c>
      <c r="J188" s="8">
        <f>('Census Crush'!$B187*36.7437/1000)-B188</f>
        <v/>
      </c>
      <c r="K188" s="7">
        <f>J188/('Census Crush'!$B187*36.7437/1000)</f>
        <v/>
      </c>
      <c r="M188" s="14" t="n">
        <v>4.79125</v>
      </c>
      <c r="N188" s="15">
        <f>M188*355</f>
        <v/>
      </c>
      <c r="Q188" s="56">
        <f>B188/28</f>
        <v/>
      </c>
    </row>
    <row r="189" ht="13.5" customHeight="1">
      <c r="A189" s="6" t="n">
        <v>34759</v>
      </c>
      <c r="B189" s="8" t="n">
        <v>126.59</v>
      </c>
      <c r="C189" s="8" t="n">
        <v>3000.442</v>
      </c>
      <c r="D189" s="8" t="n">
        <v>1410.173</v>
      </c>
      <c r="E189" s="12">
        <f>(C189*2)/B189</f>
        <v/>
      </c>
      <c r="F189" s="12">
        <f>D189/B189</f>
        <v/>
      </c>
      <c r="G189" s="8" t="n">
        <v>606.1609999999999</v>
      </c>
      <c r="H189" s="8" t="n">
        <v>425.799</v>
      </c>
      <c r="J189" s="8">
        <f>('Census Crush'!$B188*36.7437/1000)-B189</f>
        <v/>
      </c>
      <c r="K189" s="7">
        <f>J189/('Census Crush'!$B188*36.7437/1000)</f>
        <v/>
      </c>
      <c r="M189" s="14" t="n">
        <v>4.791193548387096</v>
      </c>
      <c r="N189" s="15">
        <f>M189*355</f>
        <v/>
      </c>
      <c r="Q189" s="56">
        <f>B189/31</f>
        <v/>
      </c>
    </row>
    <row r="190" ht="13.5" customHeight="1">
      <c r="A190" s="6" t="n">
        <v>34790</v>
      </c>
      <c r="B190" s="8" t="n">
        <v>118.942</v>
      </c>
      <c r="C190" s="8" t="n">
        <v>2783.279</v>
      </c>
      <c r="D190" s="8" t="n">
        <v>1333.37</v>
      </c>
      <c r="E190" s="12">
        <f>(C190*2)/B190</f>
        <v/>
      </c>
      <c r="F190" s="12">
        <f>D190/B190</f>
        <v/>
      </c>
      <c r="G190" s="8" t="n">
        <v>438.131</v>
      </c>
      <c r="H190" s="8" t="n">
        <v>459.558</v>
      </c>
      <c r="J190" s="8">
        <f>('Census Crush'!$B189*36.7437/1000)-B190</f>
        <v/>
      </c>
      <c r="K190" s="7">
        <f>J190/('Census Crush'!$B189*36.7437/1000)</f>
        <v/>
      </c>
      <c r="M190" s="14" t="n">
        <v>4.8531</v>
      </c>
      <c r="N190" s="15">
        <f>M190*355</f>
        <v/>
      </c>
      <c r="Q190" s="56">
        <f>B190/30</f>
        <v/>
      </c>
    </row>
    <row r="191" ht="13.5" customHeight="1">
      <c r="A191" s="6" t="n">
        <v>34820</v>
      </c>
      <c r="B191" s="8" t="n">
        <v>112.841</v>
      </c>
      <c r="C191" s="8" t="n">
        <v>2671.322</v>
      </c>
      <c r="D191" s="8" t="n">
        <v>1256.269</v>
      </c>
      <c r="E191" s="12">
        <f>(C191*2)/B191</f>
        <v/>
      </c>
      <c r="F191" s="12">
        <f>D191/B191</f>
        <v/>
      </c>
      <c r="G191" s="8" t="n">
        <v>356.843</v>
      </c>
      <c r="H191" s="8" t="n">
        <v>443.909</v>
      </c>
      <c r="J191" s="8">
        <f>('Census Crush'!$B190*36.7437/1000)-B191</f>
        <v/>
      </c>
      <c r="K191" s="7">
        <f>J191/('Census Crush'!$B190*36.7437/1000)</f>
        <v/>
      </c>
      <c r="M191" s="14" t="n">
        <v>4.853096774193548</v>
      </c>
      <c r="N191" s="15">
        <f>M191*355</f>
        <v/>
      </c>
      <c r="Q191" s="56">
        <f>B191/31</f>
        <v/>
      </c>
    </row>
    <row r="192" ht="13.5" customHeight="1">
      <c r="A192" s="6" t="n">
        <v>34851</v>
      </c>
      <c r="B192" s="8" t="n">
        <v>104.393</v>
      </c>
      <c r="C192" s="8" t="n">
        <v>2462.176</v>
      </c>
      <c r="D192" s="8" t="n">
        <v>1167.912</v>
      </c>
      <c r="E192" s="12">
        <f>(C192*2)/B192</f>
        <v/>
      </c>
      <c r="F192" s="12">
        <f>D192/B192</f>
        <v/>
      </c>
      <c r="G192" s="8" t="n">
        <v>294.626</v>
      </c>
      <c r="H192" s="8" t="n">
        <v>419.001</v>
      </c>
      <c r="J192" s="8">
        <f>('Census Crush'!$B191*36.7437/1000)-B192</f>
        <v/>
      </c>
      <c r="K192" s="7">
        <f>J192/('Census Crush'!$B191*36.7437/1000)</f>
        <v/>
      </c>
      <c r="M192" s="14" t="n">
        <v>4.8531</v>
      </c>
      <c r="N192" s="15">
        <f>M192*355</f>
        <v/>
      </c>
      <c r="Q192" s="56">
        <f>B192/30</f>
        <v/>
      </c>
    </row>
    <row r="193" ht="13.5" customHeight="1">
      <c r="A193" s="6" t="n">
        <v>34881</v>
      </c>
      <c r="B193" s="8" t="n">
        <v>107.785</v>
      </c>
      <c r="C193" s="8" t="n">
        <v>2553.144</v>
      </c>
      <c r="D193" s="8" t="n">
        <v>1208.303</v>
      </c>
      <c r="E193" s="12">
        <f>(C193*2)/B193</f>
        <v/>
      </c>
      <c r="F193" s="12">
        <f>D193/B193</f>
        <v/>
      </c>
      <c r="G193" s="8" t="n">
        <v>352.953</v>
      </c>
      <c r="H193" s="8" t="n">
        <v>452.591</v>
      </c>
      <c r="J193" s="8">
        <f>('Census Crush'!$B192*36.7437/1000)-B193</f>
        <v/>
      </c>
      <c r="K193" s="7">
        <f>J193/('Census Crush'!$B192*36.7437/1000)</f>
        <v/>
      </c>
      <c r="M193" s="14" t="n">
        <v>4.862451612903225</v>
      </c>
      <c r="N193" s="15">
        <f>M193*355</f>
        <v/>
      </c>
      <c r="Q193" s="56">
        <f>B193/31</f>
        <v/>
      </c>
    </row>
    <row r="194" ht="13.5" customHeight="1">
      <c r="A194" s="6" t="n">
        <v>34912</v>
      </c>
      <c r="B194" s="8" t="n">
        <v>108.127</v>
      </c>
      <c r="C194" s="8" t="n">
        <v>2553.735</v>
      </c>
      <c r="D194" s="8" t="n">
        <v>1221.231</v>
      </c>
      <c r="E194" s="12">
        <f>(C194*2)/B194</f>
        <v/>
      </c>
      <c r="F194" s="12">
        <f>D194/B194</f>
        <v/>
      </c>
      <c r="G194" s="8" t="n">
        <v>401.81</v>
      </c>
      <c r="H194" s="8" t="n">
        <v>425.014</v>
      </c>
      <c r="J194" s="8">
        <f>('Census Crush'!$B193*36.7437/1000)-B194</f>
        <v/>
      </c>
      <c r="K194" s="7">
        <f>J194/('Census Crush'!$B193*36.7437/1000)</f>
        <v/>
      </c>
      <c r="M194" s="14" t="n">
        <v>4.862451612903225</v>
      </c>
      <c r="N194" s="15">
        <f>M194*355</f>
        <v/>
      </c>
      <c r="Q194" s="56">
        <f>B194/31</f>
        <v/>
      </c>
    </row>
    <row r="195" ht="13.5" customHeight="1">
      <c r="A195" s="6" t="n">
        <v>34943</v>
      </c>
      <c r="B195" s="8" t="n">
        <v>106.506</v>
      </c>
      <c r="C195" s="8" t="n">
        <v>2520.14</v>
      </c>
      <c r="D195" s="8" t="n">
        <v>1200.904</v>
      </c>
      <c r="E195" s="12">
        <f>(C195*2)/B195</f>
        <v/>
      </c>
      <c r="F195" s="12">
        <f>D195/B195</f>
        <v/>
      </c>
      <c r="G195" s="8" t="n">
        <v>313.222</v>
      </c>
      <c r="H195" s="8" t="n">
        <v>431.01</v>
      </c>
      <c r="J195" s="8">
        <f>('Census Crush'!$B194*36.7437/1000)-B195</f>
        <v/>
      </c>
      <c r="K195" s="7">
        <f>J195/('Census Crush'!$B194*36.7437/1000)</f>
        <v/>
      </c>
      <c r="M195" s="14" t="n">
        <v>4.862433333333333</v>
      </c>
      <c r="N195" s="15">
        <f>M195*355</f>
        <v/>
      </c>
      <c r="Q195" s="56">
        <f>B195/30</f>
        <v/>
      </c>
    </row>
    <row r="196" ht="13.5" customHeight="1">
      <c r="A196" s="6" t="n">
        <v>34973</v>
      </c>
      <c r="B196" s="8" t="n">
        <v>120.005</v>
      </c>
      <c r="C196" s="8" t="n">
        <v>2875.973</v>
      </c>
      <c r="D196" s="8" t="n">
        <v>1353.716</v>
      </c>
      <c r="E196" s="12">
        <f>(C196*2)/B196</f>
        <v/>
      </c>
      <c r="F196" s="12">
        <f>D196/B196</f>
        <v/>
      </c>
      <c r="G196" s="8" t="n">
        <v>500.788</v>
      </c>
      <c r="H196" s="8" t="n">
        <v>482.171</v>
      </c>
      <c r="J196" s="8">
        <f>('Census Crush'!$B195*36.7437/1000)-B196</f>
        <v/>
      </c>
      <c r="K196" s="7">
        <f>J196/('Census Crush'!$B195*36.7437/1000)</f>
        <v/>
      </c>
      <c r="M196" s="14" t="n">
        <v>4.823225806451613</v>
      </c>
      <c r="N196" s="15">
        <f>M196*355</f>
        <v/>
      </c>
      <c r="Q196" s="56">
        <f>B196/31</f>
        <v/>
      </c>
    </row>
    <row r="197" ht="13.5" customHeight="1">
      <c r="A197" s="6" t="n">
        <v>35004</v>
      </c>
      <c r="B197" s="8" t="n">
        <v>121.902</v>
      </c>
      <c r="C197" s="8" t="n">
        <v>2912.498</v>
      </c>
      <c r="D197" s="8" t="n">
        <v>1350.137</v>
      </c>
      <c r="E197" s="12">
        <f>(C197*2)/B197</f>
        <v/>
      </c>
      <c r="F197" s="12">
        <f>D197/B197</f>
        <v/>
      </c>
      <c r="G197" s="8" t="n">
        <v>526.741</v>
      </c>
      <c r="H197" s="8" t="n">
        <v>431.005</v>
      </c>
      <c r="J197" s="8">
        <f>('Census Crush'!$B196*36.7437/1000)-B197</f>
        <v/>
      </c>
      <c r="K197" s="7">
        <f>J197/('Census Crush'!$B196*36.7437/1000)</f>
        <v/>
      </c>
      <c r="M197" s="14" t="n">
        <v>4.8232</v>
      </c>
      <c r="N197" s="15">
        <f>M197*355</f>
        <v/>
      </c>
      <c r="Q197" s="56">
        <f>B197/30</f>
        <v/>
      </c>
    </row>
    <row r="198" ht="13.5" customHeight="1">
      <c r="A198" s="6" t="n">
        <v>35034</v>
      </c>
      <c r="B198" s="8" t="n">
        <v>123.912</v>
      </c>
      <c r="C198" s="8" t="n">
        <v>2950.637</v>
      </c>
      <c r="D198" s="8" t="n">
        <v>1378.057</v>
      </c>
      <c r="E198" s="12">
        <f>(C198*2)/B198</f>
        <v/>
      </c>
      <c r="F198" s="12">
        <f>D198/B198</f>
        <v/>
      </c>
      <c r="G198" s="8" t="n">
        <v>473.448</v>
      </c>
      <c r="H198" s="8" t="n">
        <v>588.6079999999999</v>
      </c>
      <c r="J198" s="8">
        <f>('Census Crush'!$B197*36.7437/1000)-B198</f>
        <v/>
      </c>
      <c r="K198" s="7">
        <f>J198/('Census Crush'!$B197*36.7437/1000)</f>
        <v/>
      </c>
      <c r="M198" s="14" t="n">
        <v>4.823225806451613</v>
      </c>
      <c r="N198" s="15">
        <f>M198*355</f>
        <v/>
      </c>
      <c r="Q198" s="56">
        <f>B198/31</f>
        <v/>
      </c>
    </row>
    <row r="199" ht="13.5" customHeight="1">
      <c r="A199" s="6" t="n">
        <v>35065</v>
      </c>
      <c r="B199" s="8" t="n">
        <v>122.119</v>
      </c>
      <c r="C199" s="8" t="n">
        <v>2910.055</v>
      </c>
      <c r="D199" s="8" t="n">
        <v>1348.769</v>
      </c>
      <c r="E199" s="12">
        <f>(C199*2)/B199</f>
        <v/>
      </c>
      <c r="F199" s="12">
        <f>D199/B199</f>
        <v/>
      </c>
      <c r="G199" s="8" t="n">
        <v>603.623</v>
      </c>
      <c r="H199" s="8" t="n">
        <v>681.134</v>
      </c>
      <c r="J199" s="8">
        <f>('Census Crush'!$B198*36.7437/1000)-B199</f>
        <v/>
      </c>
      <c r="K199" s="7">
        <f>J199/('Census Crush'!$B198*36.7437/1000)</f>
        <v/>
      </c>
      <c r="M199" s="14" t="n">
        <v>4.882129032258065</v>
      </c>
      <c r="N199" s="15">
        <f>M199*355</f>
        <v/>
      </c>
      <c r="Q199" s="56">
        <f>B199/31</f>
        <v/>
      </c>
    </row>
    <row r="200" ht="13.5" customHeight="1">
      <c r="A200" s="6" t="n">
        <v>35096</v>
      </c>
      <c r="B200" s="8" t="n">
        <v>109.89</v>
      </c>
      <c r="C200" s="8" t="n">
        <v>2619.747</v>
      </c>
      <c r="D200" s="8" t="n">
        <v>1218.858</v>
      </c>
      <c r="E200" s="12">
        <f>(C200*2)/B200</f>
        <v/>
      </c>
      <c r="F200" s="12">
        <f>D200/B200</f>
        <v/>
      </c>
      <c r="G200" s="8" t="n">
        <v>547.957</v>
      </c>
      <c r="H200" s="8" t="n">
        <v>666.237</v>
      </c>
      <c r="J200" s="8">
        <f>('Census Crush'!$B199*36.7437/1000)-B200</f>
        <v/>
      </c>
      <c r="K200" s="7">
        <f>J200/('Census Crush'!$B199*36.7437/1000)</f>
        <v/>
      </c>
      <c r="M200" s="14" t="n">
        <v>4.882137931034483</v>
      </c>
      <c r="N200" s="15">
        <f>M200*355</f>
        <v/>
      </c>
      <c r="Q200" s="56">
        <f>B200/29</f>
        <v/>
      </c>
    </row>
    <row r="201" ht="13.5" customHeight="1">
      <c r="A201" s="6" t="n">
        <v>35125</v>
      </c>
      <c r="B201" s="8" t="n">
        <v>114.346</v>
      </c>
      <c r="C201" s="8" t="n">
        <v>2722.694</v>
      </c>
      <c r="D201" s="8" t="n">
        <v>1284.427</v>
      </c>
      <c r="E201" s="12">
        <f>(C201*2)/B201</f>
        <v/>
      </c>
      <c r="F201" s="12">
        <f>D201/B201</f>
        <v/>
      </c>
      <c r="G201" s="8" t="n">
        <v>381.37</v>
      </c>
      <c r="H201" s="8" t="n">
        <v>689.7809999999999</v>
      </c>
      <c r="J201" s="8">
        <f>('Census Crush'!$B200*36.7437/1000)-B201</f>
        <v/>
      </c>
      <c r="K201" s="7">
        <f>J201/('Census Crush'!$B200*36.7437/1000)</f>
        <v/>
      </c>
      <c r="M201" s="14" t="n">
        <v>4.882129032258065</v>
      </c>
      <c r="N201" s="15">
        <f>M201*355</f>
        <v/>
      </c>
      <c r="Q201" s="56">
        <f>B201/31</f>
        <v/>
      </c>
    </row>
    <row r="202" ht="13.5" customHeight="1">
      <c r="A202" s="6" t="n">
        <v>35156</v>
      </c>
      <c r="B202" s="8" t="n">
        <v>111.454</v>
      </c>
      <c r="C202" s="8" t="n">
        <v>2661.075</v>
      </c>
      <c r="D202" s="8" t="n">
        <v>1259.083</v>
      </c>
      <c r="E202" s="12">
        <f>(C202*2)/B202</f>
        <v/>
      </c>
      <c r="F202" s="12">
        <f>D202/B202</f>
        <v/>
      </c>
      <c r="G202" s="8" t="n">
        <v>341.94</v>
      </c>
      <c r="H202" s="8" t="n">
        <v>745.064</v>
      </c>
      <c r="J202" s="8">
        <f>('Census Crush'!$B201*36.7437/1000)-B202</f>
        <v/>
      </c>
      <c r="K202" s="7">
        <f>J202/('Census Crush'!$B201*36.7437/1000)</f>
        <v/>
      </c>
      <c r="M202" s="14" t="n">
        <v>4.899033333333334</v>
      </c>
      <c r="N202" s="15">
        <f>M202*355</f>
        <v/>
      </c>
      <c r="Q202" s="56">
        <f>B202/30</f>
        <v/>
      </c>
    </row>
    <row r="203" ht="13.5" customHeight="1">
      <c r="A203" s="6" t="n">
        <v>35186</v>
      </c>
      <c r="B203" s="8" t="n">
        <v>104.992</v>
      </c>
      <c r="C203" s="8" t="n">
        <v>2503.158</v>
      </c>
      <c r="D203" s="8" t="n">
        <v>1186.892</v>
      </c>
      <c r="E203" s="12">
        <f>(C203*2)/B203</f>
        <v/>
      </c>
      <c r="F203" s="12">
        <f>D203/B203</f>
        <v/>
      </c>
      <c r="G203" s="8" t="n">
        <v>329.787</v>
      </c>
      <c r="H203" s="8" t="n">
        <v>693.189</v>
      </c>
      <c r="J203" s="8">
        <f>('Census Crush'!$B202*36.7437/1000)-B203</f>
        <v/>
      </c>
      <c r="K203" s="7">
        <f>J203/('Census Crush'!$B202*36.7437/1000)</f>
        <v/>
      </c>
      <c r="M203" s="14" t="n">
        <v>4.899064516129033</v>
      </c>
      <c r="N203" s="15">
        <f>M203*355</f>
        <v/>
      </c>
      <c r="Q203" s="56">
        <f>B203/31</f>
        <v/>
      </c>
    </row>
    <row r="204" ht="13.5" customHeight="1">
      <c r="A204" s="6" t="n">
        <v>35217</v>
      </c>
      <c r="B204" s="8" t="n">
        <v>106.552</v>
      </c>
      <c r="C204" s="8" t="n">
        <v>2530.869</v>
      </c>
      <c r="D204" s="8" t="n">
        <v>1209.413</v>
      </c>
      <c r="E204" s="12">
        <f>(C204*2)/B204</f>
        <v/>
      </c>
      <c r="F204" s="12">
        <f>D204/B204</f>
        <v/>
      </c>
      <c r="G204" s="8" t="n">
        <v>364.51</v>
      </c>
      <c r="H204" s="8" t="n">
        <v>1732.413</v>
      </c>
      <c r="J204" s="8">
        <f>('Census Crush'!$B203*36.7437/1000)-B204</f>
        <v/>
      </c>
      <c r="K204" s="7">
        <f>J204/('Census Crush'!$B203*36.7437/1000)</f>
        <v/>
      </c>
      <c r="M204" s="14" t="n">
        <v>4.899033333333334</v>
      </c>
      <c r="N204" s="15">
        <f>M204*355</f>
        <v/>
      </c>
      <c r="Q204" s="56">
        <f>B204/30</f>
        <v/>
      </c>
    </row>
    <row r="205" ht="13.5" customHeight="1">
      <c r="A205" s="6" t="n">
        <v>35247</v>
      </c>
      <c r="B205" s="8" t="n">
        <v>111.104</v>
      </c>
      <c r="C205" s="8" t="n">
        <v>2661.737</v>
      </c>
      <c r="D205" s="8" t="n">
        <v>1268.106</v>
      </c>
      <c r="E205" s="12">
        <f>(C205*2)/B205</f>
        <v/>
      </c>
      <c r="F205" s="12">
        <f>D205/B205</f>
        <v/>
      </c>
      <c r="G205" s="8" t="n">
        <v>485.189</v>
      </c>
      <c r="H205" s="8" t="n">
        <v>1864.141</v>
      </c>
      <c r="J205" s="8">
        <f>('Census Crush'!$B204*36.7437/1000)-B205</f>
        <v/>
      </c>
      <c r="K205" s="7">
        <f>J205/('Census Crush'!$B204*36.7437/1000)</f>
        <v/>
      </c>
      <c r="M205" s="14" t="n">
        <v>4.883096774193548</v>
      </c>
      <c r="N205" s="15">
        <f>M205*355</f>
        <v/>
      </c>
      <c r="Q205" s="56">
        <f>B205/31</f>
        <v/>
      </c>
    </row>
    <row r="206" ht="13.5" customHeight="1">
      <c r="A206" s="6" t="n">
        <v>35278</v>
      </c>
      <c r="B206" s="8" t="n">
        <v>104.192</v>
      </c>
      <c r="C206" s="8" t="n">
        <v>2479.169</v>
      </c>
      <c r="D206" s="8" t="n">
        <v>1181.729</v>
      </c>
      <c r="E206" s="12">
        <f>(C206*2)/B206</f>
        <v/>
      </c>
      <c r="F206" s="12">
        <f>D206/B206</f>
        <v/>
      </c>
      <c r="G206" s="8" t="n">
        <v>375.336</v>
      </c>
      <c r="H206" s="8" t="n">
        <v>1874.936</v>
      </c>
      <c r="J206" s="8">
        <f>('Census Crush'!$B205*36.7437/1000)-B206</f>
        <v/>
      </c>
      <c r="K206" s="7">
        <f>J206/('Census Crush'!$B205*36.7437/1000)</f>
        <v/>
      </c>
      <c r="M206" s="14" t="n">
        <v>4.883096774193548</v>
      </c>
      <c r="N206" s="15">
        <f>M206*355</f>
        <v/>
      </c>
      <c r="Q206" s="56">
        <f>B206/31</f>
        <v/>
      </c>
    </row>
    <row r="207" ht="13.5" customHeight="1">
      <c r="A207" s="6" t="n">
        <v>35309</v>
      </c>
      <c r="B207" s="8" t="n">
        <v>99.29900000000001</v>
      </c>
      <c r="C207" s="8" t="n">
        <v>2381.602</v>
      </c>
      <c r="D207" s="8" t="n">
        <v>1136.025</v>
      </c>
      <c r="E207" s="12">
        <f>(C207*2)/B207</f>
        <v/>
      </c>
      <c r="F207" s="12">
        <f>D207/B207</f>
        <v/>
      </c>
      <c r="G207" s="8" t="n">
        <v>288.089</v>
      </c>
      <c r="H207" s="8" t="n">
        <v>1760.717</v>
      </c>
      <c r="J207" s="8">
        <f>('Census Crush'!$B206*36.7437/1000)-B207</f>
        <v/>
      </c>
      <c r="K207" s="7">
        <f>J207/('Census Crush'!$B206*36.7437/1000)</f>
        <v/>
      </c>
      <c r="M207" s="14" t="n">
        <v>4.883133333333333</v>
      </c>
      <c r="N207" s="15">
        <f>M207*355</f>
        <v/>
      </c>
      <c r="Q207" s="56">
        <f>B207/30</f>
        <v/>
      </c>
    </row>
    <row r="208" ht="13.5" customHeight="1">
      <c r="A208" s="6" t="n">
        <v>35339</v>
      </c>
      <c r="B208" s="8" t="n">
        <v>125.6</v>
      </c>
      <c r="C208" s="8" t="n">
        <v>2959.943</v>
      </c>
      <c r="D208" s="8" t="n">
        <v>1392.482</v>
      </c>
      <c r="E208" s="12">
        <f>(C208*2)/B208</f>
        <v/>
      </c>
      <c r="F208" s="12">
        <f>D208/B208</f>
        <v/>
      </c>
      <c r="G208" s="8" t="n">
        <v>706.932</v>
      </c>
      <c r="H208" s="8" t="n">
        <v>1742.099</v>
      </c>
      <c r="J208" s="8">
        <f>('Census Crush'!$B207*36.7437/1000)-B208</f>
        <v/>
      </c>
      <c r="K208" s="7">
        <f>J208/('Census Crush'!$B207*36.7437/1000)</f>
        <v/>
      </c>
      <c r="M208" s="14" t="n">
        <v>4.952709677419355</v>
      </c>
      <c r="N208" s="15">
        <f>M208*355</f>
        <v/>
      </c>
      <c r="Q208" s="56">
        <f>B208/31</f>
        <v/>
      </c>
    </row>
    <row r="209" ht="13.5" customHeight="1">
      <c r="A209" s="6" t="n">
        <v>35370</v>
      </c>
      <c r="B209" s="8" t="n">
        <v>130.842</v>
      </c>
      <c r="C209" s="8" t="n">
        <v>3097.96</v>
      </c>
      <c r="D209" s="8" t="n">
        <v>1411.281</v>
      </c>
      <c r="E209" s="12">
        <f>(C209*2)/B209</f>
        <v/>
      </c>
      <c r="F209" s="12">
        <f>D209/B209</f>
        <v/>
      </c>
      <c r="G209" s="8" t="n">
        <v>609.478</v>
      </c>
      <c r="H209" s="8" t="n">
        <v>1630.459</v>
      </c>
      <c r="J209" s="8">
        <f>('Census Crush'!$B208*36.7437/1000)-B209</f>
        <v/>
      </c>
      <c r="K209" s="7">
        <f>J209/('Census Crush'!$B208*36.7437/1000)</f>
        <v/>
      </c>
      <c r="M209" s="14" t="n">
        <v>5.0201</v>
      </c>
      <c r="N209" s="15">
        <f>M209*355</f>
        <v/>
      </c>
      <c r="Q209" s="56">
        <f>B209/30</f>
        <v/>
      </c>
    </row>
    <row r="210" ht="13.5" customHeight="1">
      <c r="A210" s="6" t="n">
        <v>35400</v>
      </c>
      <c r="B210" s="8" t="n">
        <v>135.551</v>
      </c>
      <c r="C210" s="8" t="n">
        <v>3203.103</v>
      </c>
      <c r="D210" s="8" t="n">
        <v>1478.325</v>
      </c>
      <c r="E210" s="12">
        <f>(C210*2)/B210</f>
        <v/>
      </c>
      <c r="F210" s="12">
        <f>D210/B210</f>
        <v/>
      </c>
      <c r="G210" s="8" t="n">
        <v>692.6849999999999</v>
      </c>
      <c r="H210" s="8" t="n">
        <v>1715.801</v>
      </c>
      <c r="J210" s="8">
        <f>('Census Crush'!$B209*36.7437/1000)-B210</f>
        <v/>
      </c>
      <c r="K210" s="7">
        <f>J210/('Census Crush'!$B209*36.7437/1000)</f>
        <v/>
      </c>
      <c r="M210" s="14" t="n">
        <v>5.020096774193548</v>
      </c>
      <c r="N210" s="15">
        <f>M210*355</f>
        <v/>
      </c>
      <c r="Q210" s="56">
        <f>B210/31</f>
        <v/>
      </c>
    </row>
    <row r="211" ht="13.5" customHeight="1">
      <c r="A211" s="6" t="n">
        <v>35431</v>
      </c>
      <c r="B211" s="8" t="n">
        <v>135.169</v>
      </c>
      <c r="C211" s="8" t="n">
        <v>3203.601</v>
      </c>
      <c r="D211" s="8" t="n">
        <v>1459.247</v>
      </c>
      <c r="E211" s="12">
        <f>(C211*2)/B211</f>
        <v/>
      </c>
      <c r="F211" s="12">
        <f>D211/B211</f>
        <v/>
      </c>
      <c r="G211" s="8" t="n">
        <v>662.6</v>
      </c>
      <c r="H211" s="8" t="n">
        <v>1865.148</v>
      </c>
      <c r="J211" s="8">
        <f>('Census Crush'!$B210*36.7437/1000)-B211</f>
        <v/>
      </c>
      <c r="K211" s="7">
        <f>J211/('Census Crush'!$B210*36.7437/1000)</f>
        <v/>
      </c>
      <c r="M211" s="14" t="n">
        <v>5.073838709677419</v>
      </c>
      <c r="N211" s="15">
        <f>M211*355</f>
        <v/>
      </c>
      <c r="Q211" s="56">
        <f>B211/31</f>
        <v/>
      </c>
    </row>
    <row r="212" ht="13.5" customHeight="1">
      <c r="A212" s="6" t="n">
        <v>35462</v>
      </c>
      <c r="B212" s="8" t="n">
        <v>123.217</v>
      </c>
      <c r="C212" s="8" t="n">
        <v>2921.833</v>
      </c>
      <c r="D212" s="8" t="n">
        <v>1335.136</v>
      </c>
      <c r="E212" s="12">
        <f>(C212*2)/B212</f>
        <v/>
      </c>
      <c r="F212" s="12">
        <f>D212/B212</f>
        <v/>
      </c>
      <c r="G212" s="8" t="n">
        <v>727.913</v>
      </c>
      <c r="H212" s="8" t="n">
        <v>1894.258</v>
      </c>
      <c r="J212" s="8">
        <f>('Census Crush'!$B211*36.7437/1000)-B212</f>
        <v/>
      </c>
      <c r="K212" s="7">
        <f>J212/('Census Crush'!$B211*36.7437/1000)</f>
        <v/>
      </c>
      <c r="M212" s="14" t="n">
        <v>5.255035714285714</v>
      </c>
      <c r="N212" s="15">
        <f>M212*355</f>
        <v/>
      </c>
      <c r="Q212" s="56">
        <f>B212/28</f>
        <v/>
      </c>
    </row>
    <row r="213" ht="13.5" customHeight="1">
      <c r="A213" s="6" t="n">
        <v>35490</v>
      </c>
      <c r="B213" s="8" t="n">
        <v>128.191</v>
      </c>
      <c r="C213" s="8" t="n">
        <v>3034.021</v>
      </c>
      <c r="D213" s="8" t="n">
        <v>1394.453</v>
      </c>
      <c r="E213" s="12">
        <f>(C213*2)/B213</f>
        <v/>
      </c>
      <c r="F213" s="12">
        <f>D213/B213</f>
        <v/>
      </c>
      <c r="G213" s="8" t="n">
        <v>588.712</v>
      </c>
      <c r="H213" s="8" t="n">
        <v>1810.207</v>
      </c>
      <c r="J213" s="8">
        <f>('Census Crush'!$B212*36.7437/1000)-B213</f>
        <v/>
      </c>
      <c r="K213" s="7">
        <f>J213/('Census Crush'!$B212*36.7437/1000)</f>
        <v/>
      </c>
      <c r="M213" s="14" t="n">
        <v>5.073838709677419</v>
      </c>
      <c r="N213" s="15">
        <f>M213*355</f>
        <v/>
      </c>
      <c r="Q213" s="56">
        <f>B213/31</f>
        <v/>
      </c>
    </row>
    <row r="214" ht="13.5" customHeight="1">
      <c r="A214" s="6" t="n">
        <v>35521</v>
      </c>
      <c r="B214" s="8" t="n">
        <v>112.459</v>
      </c>
      <c r="C214" s="8" t="n">
        <v>2661.886</v>
      </c>
      <c r="D214" s="8" t="n">
        <v>1236.19</v>
      </c>
      <c r="E214" s="12">
        <f>(C214*2)/B214</f>
        <v/>
      </c>
      <c r="F214" s="12">
        <f>D214/B214</f>
        <v/>
      </c>
      <c r="G214" s="8" t="n">
        <v>416.109</v>
      </c>
      <c r="H214" s="8" t="n">
        <v>1792.937</v>
      </c>
      <c r="J214" s="8">
        <f>('Census Crush'!$B213*36.7437/1000)-B214</f>
        <v/>
      </c>
      <c r="K214" s="7">
        <f>J214/('Census Crush'!$B213*36.7437/1000)</f>
        <v/>
      </c>
      <c r="M214" s="14" t="n">
        <v>5.091966666666666</v>
      </c>
      <c r="N214" s="15">
        <f>M214*355</f>
        <v/>
      </c>
      <c r="Q214" s="56">
        <f>B214/30</f>
        <v/>
      </c>
    </row>
    <row r="215" ht="13.5" customHeight="1">
      <c r="A215" s="6" t="n">
        <v>35551</v>
      </c>
      <c r="B215" s="8" t="n">
        <v>108.168</v>
      </c>
      <c r="C215" s="8" t="n">
        <v>2562.025</v>
      </c>
      <c r="D215" s="8" t="n">
        <v>1194.34</v>
      </c>
      <c r="E215" s="12">
        <f>(C215*2)/B215</f>
        <v/>
      </c>
      <c r="F215" s="12">
        <f>D215/B215</f>
        <v/>
      </c>
      <c r="G215" s="8" t="n">
        <v>288.456</v>
      </c>
      <c r="H215" s="8" t="n">
        <v>1750.869</v>
      </c>
      <c r="J215" s="8">
        <f>('Census Crush'!$B214*36.7437/1000)-B215</f>
        <v/>
      </c>
      <c r="K215" s="7">
        <f>J215/('Census Crush'!$B214*36.7437/1000)</f>
        <v/>
      </c>
      <c r="M215" s="14" t="n">
        <v>5.092032258064516</v>
      </c>
      <c r="N215" s="15">
        <f>M215*355</f>
        <v/>
      </c>
      <c r="Q215" s="56">
        <f>B215/31</f>
        <v/>
      </c>
    </row>
    <row r="216" ht="13.5" customHeight="1">
      <c r="A216" s="6" t="n">
        <v>35582</v>
      </c>
      <c r="B216" s="8" t="n">
        <v>106.445</v>
      </c>
      <c r="C216" s="8" t="n">
        <v>2519.781</v>
      </c>
      <c r="D216" s="8" t="n">
        <v>1167.738</v>
      </c>
      <c r="E216" s="12">
        <f>(C216*2)/B216</f>
        <v/>
      </c>
      <c r="F216" s="12">
        <f>D216/B216</f>
        <v/>
      </c>
      <c r="G216" s="8" t="n">
        <v>253.177</v>
      </c>
      <c r="H216" s="8" t="n">
        <v>1746.534</v>
      </c>
      <c r="J216" s="8">
        <f>('Census Crush'!$B215*36.7437/1000)-B216</f>
        <v/>
      </c>
      <c r="K216" s="7">
        <f>J216/('Census Crush'!$B215*36.7437/1000)</f>
        <v/>
      </c>
      <c r="M216" s="14" t="n">
        <v>5.091966666666666</v>
      </c>
      <c r="N216" s="15">
        <f>M216*355</f>
        <v/>
      </c>
      <c r="Q216" s="56">
        <f>B216/30</f>
        <v/>
      </c>
    </row>
    <row r="217" ht="13.5" customHeight="1">
      <c r="A217" s="6" t="n">
        <v>35612</v>
      </c>
      <c r="B217" s="8" t="n">
        <v>104.897</v>
      </c>
      <c r="C217" s="8" t="n">
        <v>2494.753</v>
      </c>
      <c r="D217" s="8" t="n">
        <v>1170.106</v>
      </c>
      <c r="E217" s="12">
        <f>(C217*2)/B217</f>
        <v/>
      </c>
      <c r="F217" s="12">
        <f>D217/B217</f>
        <v/>
      </c>
      <c r="G217" s="8" t="n">
        <v>311.334</v>
      </c>
      <c r="H217" s="8" t="n">
        <v>1703.899</v>
      </c>
      <c r="J217" s="8">
        <f>('Census Crush'!$B216*36.7437/1000)-B217</f>
        <v/>
      </c>
      <c r="K217" s="7">
        <f>J217/('Census Crush'!$B216*36.7437/1000)</f>
        <v/>
      </c>
      <c r="M217" s="14" t="n">
        <v>5.142387096774193</v>
      </c>
      <c r="N217" s="15">
        <f>M217*355</f>
        <v/>
      </c>
      <c r="Q217" s="56">
        <f>B217/31</f>
        <v/>
      </c>
    </row>
    <row r="218" ht="13.5" customHeight="1">
      <c r="A218" s="6" t="n">
        <v>35643</v>
      </c>
      <c r="B218" s="8" t="n">
        <v>103.146</v>
      </c>
      <c r="C218" s="8" t="n">
        <v>2442.382</v>
      </c>
      <c r="D218" s="8" t="n">
        <v>1141.043</v>
      </c>
      <c r="E218" s="12">
        <f>(C218*2)/B218</f>
        <v/>
      </c>
      <c r="F218" s="12">
        <f>D218/B218</f>
        <v/>
      </c>
      <c r="G218" s="8" t="n">
        <v>172.227</v>
      </c>
      <c r="H218" s="8" t="n">
        <v>1386.242</v>
      </c>
      <c r="J218" s="8">
        <f>('Census Crush'!$B217*36.7437/1000)-B218</f>
        <v/>
      </c>
      <c r="K218" s="7">
        <f>J218/('Census Crush'!$B217*36.7437/1000)</f>
        <v/>
      </c>
      <c r="M218" s="14" t="n">
        <v>5.142387096774193</v>
      </c>
      <c r="N218" s="15">
        <f>M218*355</f>
        <v/>
      </c>
      <c r="Q218" s="56">
        <f>B218/31</f>
        <v/>
      </c>
    </row>
    <row r="219" ht="13.5" customHeight="1">
      <c r="A219" s="6" t="n">
        <v>35674</v>
      </c>
      <c r="B219" s="8" t="n">
        <v>109.356</v>
      </c>
      <c r="C219" s="8" t="n">
        <v>2578.458</v>
      </c>
      <c r="D219" s="8" t="n">
        <v>1222.721</v>
      </c>
      <c r="E219" s="12">
        <f>(C219*2)/B219</f>
        <v/>
      </c>
      <c r="F219" s="12">
        <f>D219/B219</f>
        <v/>
      </c>
      <c r="G219" s="8" t="n">
        <v>256.509</v>
      </c>
      <c r="H219" s="8" t="n">
        <v>1190.715</v>
      </c>
      <c r="J219" s="8">
        <f>('Census Crush'!$B218*36.7437/1000)-B219</f>
        <v/>
      </c>
      <c r="K219" s="7">
        <f>J219/('Census Crush'!$B218*36.7437/1000)</f>
        <v/>
      </c>
      <c r="M219" s="14" t="n">
        <v>5.142433333333333</v>
      </c>
      <c r="N219" s="15">
        <f>M219*355</f>
        <v/>
      </c>
      <c r="Q219" s="56">
        <f>B219/30</f>
        <v/>
      </c>
    </row>
    <row r="220" ht="13.5" customHeight="1">
      <c r="A220" s="6" t="n">
        <v>35704</v>
      </c>
      <c r="B220" s="8" t="n">
        <v>140.309</v>
      </c>
      <c r="C220" s="8" t="n">
        <v>3308.783</v>
      </c>
      <c r="D220" s="8" t="n">
        <v>1576.108</v>
      </c>
      <c r="E220" s="12">
        <f>(C220*2)/B220</f>
        <v/>
      </c>
      <c r="F220" s="12">
        <f>D220/B220</f>
        <v/>
      </c>
      <c r="G220" s="8" t="n">
        <v>861.1799999999999</v>
      </c>
      <c r="H220" s="8" t="n">
        <v>1260.822</v>
      </c>
      <c r="J220" s="8">
        <f>('Census Crush'!$B219*36.7437/1000)-B220</f>
        <v/>
      </c>
      <c r="K220" s="7">
        <f>J220/('Census Crush'!$B219*36.7437/1000)</f>
        <v/>
      </c>
      <c r="M220" s="14" t="n">
        <v>5.26141935483871</v>
      </c>
      <c r="N220" s="15">
        <f>M220*355</f>
        <v/>
      </c>
      <c r="Q220" s="56">
        <f>B220/31</f>
        <v/>
      </c>
    </row>
    <row r="221" ht="13.5" customHeight="1">
      <c r="A221" s="6" t="n">
        <v>35735</v>
      </c>
      <c r="B221" s="8" t="n">
        <v>140.23</v>
      </c>
      <c r="C221" s="8" t="n">
        <v>3319.584</v>
      </c>
      <c r="D221" s="8" t="n">
        <v>1558.567</v>
      </c>
      <c r="E221" s="12">
        <f>(C221*2)/B221</f>
        <v/>
      </c>
      <c r="F221" s="12">
        <f>D221/B221</f>
        <v/>
      </c>
      <c r="G221" s="8" t="n">
        <v>812.241</v>
      </c>
      <c r="H221" s="8" t="n">
        <v>1216.242</v>
      </c>
      <c r="J221" s="8">
        <f>('Census Crush'!$B220*36.7437/1000)-B221</f>
        <v/>
      </c>
      <c r="K221" s="7">
        <f>J221/('Census Crush'!$B220*36.7437/1000)</f>
        <v/>
      </c>
      <c r="M221" s="14" t="n">
        <v>5.261466666666666</v>
      </c>
      <c r="N221" s="15">
        <f>M221*355</f>
        <v/>
      </c>
      <c r="Q221" s="56">
        <f>B221/30</f>
        <v/>
      </c>
    </row>
    <row r="222" ht="13.5" customHeight="1">
      <c r="A222" s="6" t="n">
        <v>35765</v>
      </c>
      <c r="B222" s="8" t="n">
        <v>148.156</v>
      </c>
      <c r="C222" s="8" t="n">
        <v>3499.639</v>
      </c>
      <c r="D222" s="8" t="n">
        <v>1646.158</v>
      </c>
      <c r="E222" s="12">
        <f>(C222*2)/B222</f>
        <v/>
      </c>
      <c r="F222" s="12">
        <f>D222/B222</f>
        <v/>
      </c>
      <c r="G222" s="8" t="n">
        <v>1052.76</v>
      </c>
      <c r="H222" s="8" t="n">
        <v>1323.108</v>
      </c>
      <c r="J222" s="8">
        <f>('Census Crush'!$B221*36.7437/1000)-B222</f>
        <v/>
      </c>
      <c r="K222" s="7">
        <f>J222/('Census Crush'!$B221*36.7437/1000)</f>
        <v/>
      </c>
      <c r="M222" s="14" t="n">
        <v>5.26141935483871</v>
      </c>
      <c r="N222" s="15">
        <f>M222*355</f>
        <v/>
      </c>
      <c r="Q222" s="56">
        <f>B222/31</f>
        <v/>
      </c>
    </row>
    <row r="223" ht="13.5" customHeight="1">
      <c r="A223" s="6" t="n">
        <v>35796</v>
      </c>
      <c r="B223" s="8" t="n">
        <v>148.57</v>
      </c>
      <c r="C223" s="8" t="n">
        <v>3516.775</v>
      </c>
      <c r="D223" s="8" t="n">
        <v>1662.374</v>
      </c>
      <c r="E223" s="12">
        <f>(C223*2)/B223</f>
        <v/>
      </c>
      <c r="F223" s="12">
        <f>D223/B223</f>
        <v/>
      </c>
      <c r="G223" s="8" t="n">
        <v>1082.887</v>
      </c>
      <c r="H223" s="8" t="n">
        <v>1470.951</v>
      </c>
      <c r="J223" s="8">
        <f>('Census Crush'!$B222*36.7437/1000)-B223</f>
        <v/>
      </c>
      <c r="K223" s="7">
        <f>J223/('Census Crush'!$B222*36.7437/1000)</f>
        <v/>
      </c>
      <c r="M223" s="14" t="n">
        <v>5.436387096774193</v>
      </c>
      <c r="N223" s="15">
        <f>M223*355</f>
        <v/>
      </c>
      <c r="Q223" s="56">
        <f>B223/31</f>
        <v/>
      </c>
    </row>
    <row r="224" ht="13.5" customHeight="1">
      <c r="A224" s="6" t="n">
        <v>35827</v>
      </c>
      <c r="B224" s="8" t="n">
        <v>135.533</v>
      </c>
      <c r="C224" s="8" t="n">
        <v>3219.839</v>
      </c>
      <c r="D224" s="8" t="n">
        <v>1501.852</v>
      </c>
      <c r="E224" s="12">
        <f>(C224*2)/B224</f>
        <v/>
      </c>
      <c r="F224" s="12">
        <f>D224/B224</f>
        <v/>
      </c>
      <c r="G224" s="8" t="n">
        <v>1050.439</v>
      </c>
      <c r="H224" s="8" t="n">
        <v>1426.472</v>
      </c>
      <c r="J224" s="8">
        <f>('Census Crush'!$B223*36.7437/1000)-B224</f>
        <v/>
      </c>
      <c r="K224" s="7">
        <f>J224/('Census Crush'!$B223*36.7437/1000)</f>
        <v/>
      </c>
      <c r="M224" s="14" t="n">
        <v>5.630535714285714</v>
      </c>
      <c r="N224" s="15">
        <f>M224*355</f>
        <v/>
      </c>
      <c r="Q224" s="56">
        <f>B224/28</f>
        <v/>
      </c>
    </row>
    <row r="225" ht="13.5" customHeight="1">
      <c r="A225" s="6" t="n">
        <v>35855</v>
      </c>
      <c r="B225" s="8" t="n">
        <v>143.915</v>
      </c>
      <c r="C225" s="8" t="n">
        <v>3411.017</v>
      </c>
      <c r="D225" s="8" t="n">
        <v>1628.439</v>
      </c>
      <c r="E225" s="12">
        <f>(C225*2)/B225</f>
        <v/>
      </c>
      <c r="F225" s="12">
        <f>D225/B225</f>
        <v/>
      </c>
      <c r="G225" s="8" t="n">
        <v>936.711</v>
      </c>
      <c r="H225" s="8" t="n">
        <v>1364.042</v>
      </c>
      <c r="J225" s="8">
        <f>('Census Crush'!$B224*36.7437/1000)-B225</f>
        <v/>
      </c>
      <c r="K225" s="7">
        <f>J225/('Census Crush'!$B224*36.7437/1000)</f>
        <v/>
      </c>
      <c r="M225" s="14" t="n">
        <v>5.436387096774193</v>
      </c>
      <c r="N225" s="15">
        <f>M225*355</f>
        <v/>
      </c>
      <c r="Q225" s="56">
        <f>B225/31</f>
        <v/>
      </c>
    </row>
    <row r="226" ht="13.5" customHeight="1">
      <c r="A226" s="6" t="n">
        <v>35886</v>
      </c>
      <c r="B226" s="8" t="n">
        <v>131.001</v>
      </c>
      <c r="C226" s="8" t="n">
        <v>3101.717</v>
      </c>
      <c r="D226" s="8" t="n">
        <v>1500.754</v>
      </c>
      <c r="E226" s="12">
        <f>(C226*2)/B226</f>
        <v/>
      </c>
      <c r="F226" s="12">
        <f>D226/B226</f>
        <v/>
      </c>
      <c r="G226" s="8" t="n">
        <v>654.48</v>
      </c>
      <c r="H226" s="8" t="n">
        <v>1405.002</v>
      </c>
      <c r="J226" s="8">
        <f>('Census Crush'!$B225*36.7437/1000)-B226</f>
        <v/>
      </c>
      <c r="K226" s="7">
        <f>J226/('Census Crush'!$B225*36.7437/1000)</f>
        <v/>
      </c>
      <c r="M226" s="14" t="n">
        <v>5.488933333333334</v>
      </c>
      <c r="N226" s="15">
        <f>M226*355</f>
        <v/>
      </c>
      <c r="Q226" s="56">
        <f>B226/30</f>
        <v/>
      </c>
    </row>
    <row r="227" ht="13.5" customHeight="1">
      <c r="A227" s="6" t="n">
        <v>35916</v>
      </c>
      <c r="B227" s="8" t="n">
        <v>120.998</v>
      </c>
      <c r="C227" s="8" t="n">
        <v>2886.313</v>
      </c>
      <c r="D227" s="8" t="n">
        <v>1392.02</v>
      </c>
      <c r="E227" s="12">
        <f>(C227*2)/B227</f>
        <v/>
      </c>
      <c r="F227" s="12">
        <f>D227/B227</f>
        <v/>
      </c>
      <c r="G227" s="8" t="n">
        <v>468.868</v>
      </c>
      <c r="H227" s="8" t="n">
        <v>1417.707</v>
      </c>
      <c r="J227" s="8">
        <f>('Census Crush'!$B226*36.7437/1000)-B227</f>
        <v/>
      </c>
      <c r="K227" s="7">
        <f>J227/('Census Crush'!$B226*36.7437/1000)</f>
        <v/>
      </c>
      <c r="M227" s="14" t="n">
        <v>5.488967741935483</v>
      </c>
      <c r="N227" s="15">
        <f>M227*355</f>
        <v/>
      </c>
      <c r="Q227" s="56">
        <f>B227/31</f>
        <v/>
      </c>
    </row>
    <row r="228" ht="13.5" customHeight="1">
      <c r="A228" s="6" t="n">
        <v>35947</v>
      </c>
      <c r="B228" s="8" t="n">
        <v>114.291</v>
      </c>
      <c r="C228" s="8" t="n">
        <v>2719.722</v>
      </c>
      <c r="D228" s="8" t="n">
        <v>1308.347</v>
      </c>
      <c r="E228" s="12">
        <f>(C228*2)/B228</f>
        <v/>
      </c>
      <c r="F228" s="12">
        <f>D228/B228</f>
        <v/>
      </c>
      <c r="G228" s="8" t="n">
        <v>356.449</v>
      </c>
      <c r="H228" s="8" t="n">
        <v>1390.233</v>
      </c>
      <c r="J228" s="8">
        <f>('Census Crush'!$B227*36.7437/1000)-B228</f>
        <v/>
      </c>
      <c r="K228" s="7">
        <f>J228/('Census Crush'!$B227*36.7437/1000)</f>
        <v/>
      </c>
      <c r="M228" s="14" t="n">
        <v>5.488933333333334</v>
      </c>
      <c r="N228" s="15">
        <f>M228*355</f>
        <v/>
      </c>
      <c r="Q228" s="56">
        <f>B228/30</f>
        <v/>
      </c>
    </row>
    <row r="229" ht="13.5" customHeight="1">
      <c r="A229" s="6" t="n">
        <v>35977</v>
      </c>
      <c r="B229" s="8" t="n">
        <v>121.065</v>
      </c>
      <c r="C229" s="8" t="n">
        <v>2876.733</v>
      </c>
      <c r="D229" s="8" t="n">
        <v>1382.743</v>
      </c>
      <c r="E229" s="12">
        <f>(C229*2)/B229</f>
        <v/>
      </c>
      <c r="F229" s="12">
        <f>D229/B229</f>
        <v/>
      </c>
      <c r="G229" s="8" t="n">
        <v>364.145</v>
      </c>
      <c r="H229" s="8" t="n">
        <v>1364.791</v>
      </c>
      <c r="J229" s="8">
        <f>('Census Crush'!$B228*36.7437/1000)-B229</f>
        <v/>
      </c>
      <c r="K229" s="7">
        <f>J229/('Census Crush'!$B228*36.7437/1000)</f>
        <v/>
      </c>
      <c r="M229" s="14" t="n">
        <v>5.484193548387096</v>
      </c>
      <c r="N229" s="15">
        <f>M229*355</f>
        <v/>
      </c>
      <c r="Q229" s="56">
        <f>B229/31</f>
        <v/>
      </c>
    </row>
    <row r="230" ht="13.5" customHeight="1">
      <c r="A230" s="6" t="n">
        <v>36008</v>
      </c>
      <c r="B230" s="8" t="n">
        <v>109.264</v>
      </c>
      <c r="C230" s="8" t="n">
        <v>2614.697</v>
      </c>
      <c r="D230" s="8" t="n">
        <v>1261.657</v>
      </c>
      <c r="E230" s="12">
        <f>(C230*2)/B230</f>
        <v/>
      </c>
      <c r="F230" s="12">
        <f>D230/B230</f>
        <v/>
      </c>
      <c r="G230" s="8" t="n">
        <v>277.717</v>
      </c>
      <c r="H230" s="8" t="n">
        <v>1156.08</v>
      </c>
      <c r="J230" s="8">
        <f>('Census Crush'!$B229*36.7437/1000)-B230</f>
        <v/>
      </c>
      <c r="K230" s="7">
        <f>J230/('Census Crush'!$B229*36.7437/1000)</f>
        <v/>
      </c>
      <c r="M230" s="14" t="n">
        <v>5.48416129032258</v>
      </c>
      <c r="N230" s="15">
        <f>M230*355</f>
        <v/>
      </c>
      <c r="Q230" s="56">
        <f>B230/31</f>
        <v/>
      </c>
    </row>
    <row r="231" ht="13.5" customHeight="1">
      <c r="A231" s="6" t="n">
        <v>36039</v>
      </c>
      <c r="B231" s="8" t="n">
        <v>121.555</v>
      </c>
      <c r="C231" s="8" t="n">
        <v>2872.33</v>
      </c>
      <c r="D231" s="8" t="n">
        <v>1389.545</v>
      </c>
      <c r="E231" s="12">
        <f>(C231*2)/B231</f>
        <v/>
      </c>
      <c r="F231" s="12">
        <f>D231/B231</f>
        <v/>
      </c>
      <c r="G231" s="8" t="n">
        <v>377.67</v>
      </c>
      <c r="H231" s="8" t="n">
        <v>956.2329999999999</v>
      </c>
      <c r="J231" s="8">
        <f>('Census Crush'!$B230*36.7437/1000)-B231</f>
        <v/>
      </c>
      <c r="K231" s="7">
        <f>J231/('Census Crush'!$B230*36.7437/1000)</f>
        <v/>
      </c>
      <c r="M231" s="14" t="n">
        <v>5.484166666666667</v>
      </c>
      <c r="N231" s="15">
        <f>M231*355</f>
        <v/>
      </c>
      <c r="Q231" s="56">
        <f>B231/30</f>
        <v/>
      </c>
    </row>
    <row r="232" ht="13.5" customHeight="1">
      <c r="A232" s="6" t="n">
        <v>36069</v>
      </c>
      <c r="B232" s="8" t="n">
        <v>142.531</v>
      </c>
      <c r="C232" s="8" t="n">
        <v>3369.73</v>
      </c>
      <c r="D232" s="8" t="n">
        <v>1605.291</v>
      </c>
      <c r="E232" s="12">
        <f>(C232*2)/B232</f>
        <v/>
      </c>
      <c r="F232" s="12">
        <f>D232/B232</f>
        <v/>
      </c>
      <c r="G232" s="8" t="n">
        <v>653.649</v>
      </c>
      <c r="H232" s="8" t="n">
        <v>1061.522</v>
      </c>
      <c r="J232" s="8">
        <f>('Census Crush'!$B231*36.7437/1000)-B232</f>
        <v/>
      </c>
      <c r="K232" s="7">
        <f>J232/('Census Crush'!$B231*36.7437/1000)</f>
        <v/>
      </c>
      <c r="M232" s="14" t="n">
        <v>5.406064516129032</v>
      </c>
      <c r="N232" s="15">
        <f>M232*355</f>
        <v/>
      </c>
      <c r="Q232" s="56">
        <f>B232/31</f>
        <v/>
      </c>
    </row>
    <row r="233" ht="13.5" customHeight="1">
      <c r="A233" s="6" t="n">
        <v>36100</v>
      </c>
      <c r="B233" s="8" t="n">
        <v>140.589</v>
      </c>
      <c r="C233" s="8" t="n">
        <v>3315.133</v>
      </c>
      <c r="D233" s="8" t="n">
        <v>1575.447</v>
      </c>
      <c r="E233" s="12">
        <f>(C233*2)/B233</f>
        <v/>
      </c>
      <c r="F233" s="12">
        <f>D233/B233</f>
        <v/>
      </c>
      <c r="G233" s="8" t="n">
        <v>699.306</v>
      </c>
      <c r="H233" s="8" t="n">
        <v>963.4930000000001</v>
      </c>
      <c r="J233" s="8">
        <f>('Census Crush'!$B232*36.7437/1000)-B233</f>
        <v/>
      </c>
      <c r="K233" s="7">
        <f>J233/('Census Crush'!$B232*36.7437/1000)</f>
        <v/>
      </c>
      <c r="M233" s="14" t="n">
        <v>5.406099999999999</v>
      </c>
      <c r="N233" s="15">
        <f>M233*355</f>
        <v/>
      </c>
      <c r="Q233" s="56">
        <f>B233/30</f>
        <v/>
      </c>
    </row>
    <row r="234" ht="13.5" customHeight="1">
      <c r="A234" s="6" t="n">
        <v>36130</v>
      </c>
      <c r="B234" s="8" t="n">
        <v>141.094</v>
      </c>
      <c r="C234" s="8" t="n">
        <v>3331.613</v>
      </c>
      <c r="D234" s="8" t="n">
        <v>1578.793</v>
      </c>
      <c r="E234" s="12">
        <f>(C234*2)/B234</f>
        <v/>
      </c>
      <c r="F234" s="12">
        <f>D234/B234</f>
        <v/>
      </c>
      <c r="G234" s="8" t="n">
        <v>626.152</v>
      </c>
      <c r="H234" s="8" t="n">
        <v>905.035</v>
      </c>
      <c r="J234" s="8">
        <f>('Census Crush'!$B233*36.7437/1000)-B234</f>
        <v/>
      </c>
      <c r="K234" s="7">
        <f>J234/('Census Crush'!$B233*36.7437/1000)</f>
        <v/>
      </c>
      <c r="M234" s="14" t="n">
        <v>5.406064516129032</v>
      </c>
      <c r="N234" s="15">
        <f>M234*355</f>
        <v/>
      </c>
      <c r="Q234" s="56">
        <f>B234/31</f>
        <v/>
      </c>
    </row>
    <row r="235" ht="13.5" customHeight="1">
      <c r="A235" s="6" t="n">
        <v>36161</v>
      </c>
      <c r="B235" s="8" t="n">
        <v>133.883</v>
      </c>
      <c r="C235" s="8" t="n">
        <v>3158.411</v>
      </c>
      <c r="D235" s="8" t="n">
        <v>1508.854</v>
      </c>
      <c r="E235" s="12">
        <f>(C235*2)/B235</f>
        <v/>
      </c>
      <c r="F235" s="12">
        <f>D235/B235</f>
        <v/>
      </c>
      <c r="G235" s="8" t="n">
        <v>535.822</v>
      </c>
      <c r="H235" s="8" t="n">
        <v>1055.316</v>
      </c>
      <c r="J235" s="8">
        <f>('Census Crush'!$B234*36.7437/1000)-B235</f>
        <v/>
      </c>
      <c r="K235" s="7">
        <f>J235/('Census Crush'!$B234*36.7437/1000)</f>
        <v/>
      </c>
      <c r="M235" s="14" t="n">
        <v>5.429709677419355</v>
      </c>
      <c r="N235" s="15">
        <f>M235*355</f>
        <v/>
      </c>
      <c r="Q235" s="56">
        <f>B235/31</f>
        <v/>
      </c>
    </row>
    <row r="236" ht="13.5" customHeight="1">
      <c r="A236" s="6" t="n">
        <v>36192</v>
      </c>
      <c r="B236" s="8" t="n">
        <v>125.137</v>
      </c>
      <c r="C236" s="8" t="n">
        <v>2955.293</v>
      </c>
      <c r="D236" s="8" t="n">
        <v>1415.545</v>
      </c>
      <c r="E236" s="12">
        <f>(C236*2)/B236</f>
        <v/>
      </c>
      <c r="F236" s="12">
        <f>D236/B236</f>
        <v/>
      </c>
      <c r="G236" s="8" t="n">
        <v>626.9109999999999</v>
      </c>
      <c r="H236" s="8" t="n">
        <v>1190.853</v>
      </c>
      <c r="J236" s="8">
        <f>('Census Crush'!$B235*36.7437/1000)-B236</f>
        <v/>
      </c>
      <c r="K236" s="7">
        <f>J236/('Census Crush'!$B235*36.7437/1000)</f>
        <v/>
      </c>
      <c r="M236" s="14" t="n">
        <v>5.623678571428571</v>
      </c>
      <c r="N236" s="15">
        <f>M236*355</f>
        <v/>
      </c>
      <c r="Q236" s="56">
        <f>B236/28</f>
        <v/>
      </c>
    </row>
    <row r="237" ht="13.5" customHeight="1">
      <c r="A237" s="6" t="n">
        <v>36220</v>
      </c>
      <c r="B237" s="8" t="n">
        <v>136.536</v>
      </c>
      <c r="C237" s="8" t="n">
        <v>3218.926</v>
      </c>
      <c r="D237" s="8" t="n">
        <v>1556.721</v>
      </c>
      <c r="E237" s="12">
        <f>(C237*2)/B237</f>
        <v/>
      </c>
      <c r="F237" s="12">
        <f>D237/B237</f>
        <v/>
      </c>
      <c r="G237" s="8" t="n">
        <v>628.3579999999999</v>
      </c>
      <c r="H237" s="8" t="n">
        <v>1257.733</v>
      </c>
      <c r="J237" s="8">
        <f>('Census Crush'!$B236*36.7437/1000)-B237</f>
        <v/>
      </c>
      <c r="K237" s="7">
        <f>J237/('Census Crush'!$B236*36.7437/1000)</f>
        <v/>
      </c>
      <c r="M237" s="14" t="n">
        <v>5.429709677419355</v>
      </c>
      <c r="N237" s="15">
        <f>M237*355</f>
        <v/>
      </c>
      <c r="Q237" s="56">
        <f>B237/31</f>
        <v/>
      </c>
    </row>
    <row r="238" ht="13.5" customHeight="1">
      <c r="A238" s="6" t="n">
        <v>36251</v>
      </c>
      <c r="B238" s="8" t="n">
        <v>125.703</v>
      </c>
      <c r="C238" s="8" t="n">
        <v>2974.511</v>
      </c>
      <c r="D238" s="8" t="n">
        <v>1430.65</v>
      </c>
      <c r="E238" s="12">
        <f>(C238*2)/B238</f>
        <v/>
      </c>
      <c r="F238" s="12">
        <f>D238/B238</f>
        <v/>
      </c>
      <c r="G238" s="8" t="n">
        <v>455.641</v>
      </c>
      <c r="H238" s="8" t="n">
        <v>1181.697</v>
      </c>
      <c r="J238" s="8">
        <f>('Census Crush'!$B237*36.7437/1000)-B238</f>
        <v/>
      </c>
      <c r="K238" s="7">
        <f>J238/('Census Crush'!$B237*36.7437/1000)</f>
        <v/>
      </c>
      <c r="M238" s="14" t="n">
        <v>5.531266666666666</v>
      </c>
      <c r="N238" s="15">
        <f>M238*355</f>
        <v/>
      </c>
      <c r="Q238" s="56">
        <f>B238/30</f>
        <v/>
      </c>
    </row>
    <row r="239" ht="13.5" customHeight="1">
      <c r="A239" s="6" t="n">
        <v>36281</v>
      </c>
      <c r="B239" s="8" t="n">
        <v>125.329</v>
      </c>
      <c r="C239" s="8" t="n">
        <v>2965.238</v>
      </c>
      <c r="D239" s="8" t="n">
        <v>1413.911</v>
      </c>
      <c r="E239" s="12">
        <f>(C239*2)/B239</f>
        <v/>
      </c>
      <c r="F239" s="12">
        <f>D239/B239</f>
        <v/>
      </c>
      <c r="G239" s="8" t="n">
        <v>390.455</v>
      </c>
      <c r="H239" s="8" t="n">
        <v>1260.704</v>
      </c>
      <c r="J239" s="8">
        <f>('Census Crush'!$B238*36.7437/1000)-B239</f>
        <v/>
      </c>
      <c r="K239" s="7">
        <f>J239/('Census Crush'!$B238*36.7437/1000)</f>
        <v/>
      </c>
      <c r="M239" s="14" t="n">
        <v>5.531290322580645</v>
      </c>
      <c r="N239" s="15">
        <f>M239*355</f>
        <v/>
      </c>
      <c r="Q239" s="56">
        <f>B239/31</f>
        <v/>
      </c>
    </row>
    <row r="240" ht="13.5" customHeight="1">
      <c r="A240" s="6" t="n">
        <v>36312</v>
      </c>
      <c r="B240" s="8" t="n">
        <v>117.917</v>
      </c>
      <c r="C240" s="8" t="n">
        <v>2779.482</v>
      </c>
      <c r="D240" s="8" t="n">
        <v>1355.675</v>
      </c>
      <c r="E240" s="12">
        <f>(C240*2)/B240</f>
        <v/>
      </c>
      <c r="F240" s="12">
        <f>D240/B240</f>
        <v/>
      </c>
      <c r="G240" s="8" t="n">
        <v>407.609</v>
      </c>
      <c r="H240" s="8" t="n">
        <v>1208.234</v>
      </c>
      <c r="J240" s="8">
        <f>('Census Crush'!$B239*36.7437/1000)-B240</f>
        <v/>
      </c>
      <c r="K240" s="7">
        <f>J240/('Census Crush'!$B239*36.7437/1000)</f>
        <v/>
      </c>
      <c r="M240" s="14" t="n">
        <v>5.531266666666666</v>
      </c>
      <c r="N240" s="15">
        <f>M240*355</f>
        <v/>
      </c>
      <c r="Q240" s="56">
        <f>B240/30</f>
        <v/>
      </c>
    </row>
    <row r="241" ht="13.5" customHeight="1">
      <c r="A241" s="6" t="n">
        <v>36342</v>
      </c>
      <c r="B241" s="8" t="n">
        <v>126.109</v>
      </c>
      <c r="C241" s="8" t="n">
        <v>2980.797</v>
      </c>
      <c r="D241" s="8" t="n">
        <v>1442.351</v>
      </c>
      <c r="E241" s="12">
        <f>(C241*2)/B241</f>
        <v/>
      </c>
      <c r="F241" s="12">
        <f>D241/B241</f>
        <v/>
      </c>
      <c r="G241" s="8" t="n">
        <v>383.405</v>
      </c>
      <c r="H241" s="8" t="n">
        <v>1234.23</v>
      </c>
      <c r="J241" s="8">
        <f>('Census Crush'!$B240*36.7437/1000)-B241</f>
        <v/>
      </c>
      <c r="K241" s="7">
        <f>J241/('Census Crush'!$B240*36.7437/1000)</f>
        <v/>
      </c>
      <c r="M241" s="14" t="n">
        <v>5.56758064516129</v>
      </c>
      <c r="N241" s="15">
        <f>M241*355</f>
        <v/>
      </c>
      <c r="Q241" s="56">
        <f>B241/31</f>
        <v/>
      </c>
    </row>
    <row r="242" ht="13.5" customHeight="1">
      <c r="A242" s="6" t="n">
        <v>36373</v>
      </c>
      <c r="B242" s="8" t="n">
        <v>125.712</v>
      </c>
      <c r="C242" s="8" t="n">
        <v>2972.357</v>
      </c>
      <c r="D242" s="8" t="n">
        <v>1443.846</v>
      </c>
      <c r="E242" s="12">
        <f>(C242*2)/B242</f>
        <v/>
      </c>
      <c r="F242" s="12">
        <f>D242/B242</f>
        <v/>
      </c>
      <c r="G242" s="8" t="n">
        <v>514.956</v>
      </c>
      <c r="H242" s="8" t="n">
        <v>1205.939</v>
      </c>
      <c r="J242" s="8">
        <f>('Census Crush'!$B241*36.7437/1000)-B242</f>
        <v/>
      </c>
      <c r="K242" s="7">
        <f>J242/('Census Crush'!$B241*36.7437/1000)</f>
        <v/>
      </c>
      <c r="M242" s="14" t="n">
        <v>5.56758064516129</v>
      </c>
      <c r="N242" s="15">
        <f>M242*355</f>
        <v/>
      </c>
      <c r="Q242" s="56">
        <f>B242/31</f>
        <v/>
      </c>
    </row>
    <row r="243" ht="13.5" customHeight="1">
      <c r="A243" s="6" t="n">
        <v>36404</v>
      </c>
      <c r="B243" s="8" t="n">
        <v>132.164</v>
      </c>
      <c r="C243" s="8" t="n">
        <v>3128.731</v>
      </c>
      <c r="D243" s="8" t="n">
        <v>1518.72</v>
      </c>
      <c r="E243" s="12">
        <f>(C243*2)/B243</f>
        <v/>
      </c>
      <c r="F243" s="12">
        <f>D243/B243</f>
        <v/>
      </c>
      <c r="G243" s="8" t="n">
        <v>503.075</v>
      </c>
      <c r="H243" s="8" t="n">
        <v>1208.217</v>
      </c>
      <c r="J243" s="8">
        <f>('Census Crush'!$B242*36.7437/1000)-B243</f>
        <v/>
      </c>
      <c r="K243" s="7">
        <f>J243/('Census Crush'!$B242*36.7437/1000)</f>
        <v/>
      </c>
      <c r="M243" s="14" t="n">
        <v>5.567566666666666</v>
      </c>
      <c r="N243" s="15">
        <f>M243*355</f>
        <v/>
      </c>
      <c r="Q243" s="56">
        <f>B243/30</f>
        <v/>
      </c>
    </row>
    <row r="244" ht="13.5" customHeight="1">
      <c r="A244" s="6" t="n">
        <v>36434</v>
      </c>
      <c r="B244" s="8" t="n">
        <v>148.868</v>
      </c>
      <c r="C244" s="8" t="n">
        <v>3533.91</v>
      </c>
      <c r="D244" s="8" t="n">
        <v>1682.905</v>
      </c>
      <c r="E244" s="12">
        <f>(C244*2)/B244</f>
        <v/>
      </c>
      <c r="F244" s="12">
        <f>D244/B244</f>
        <v/>
      </c>
      <c r="G244" s="8" t="n">
        <v>605.843</v>
      </c>
      <c r="H244" s="8" t="n">
        <v>1249.234</v>
      </c>
      <c r="J244" s="8">
        <f>('Census Crush'!$B243*36.7437/1000)-B244</f>
        <v/>
      </c>
      <c r="K244" s="7">
        <f>J244/('Census Crush'!$B243*36.7437/1000)</f>
        <v/>
      </c>
      <c r="M244" s="14" t="n">
        <v>5.695967741935483</v>
      </c>
      <c r="N244" s="15">
        <f>M244*355</f>
        <v/>
      </c>
      <c r="Q244" s="56">
        <f>B244/31</f>
        <v/>
      </c>
    </row>
    <row r="245" ht="13.5" customHeight="1">
      <c r="A245" s="6" t="n">
        <v>36465</v>
      </c>
      <c r="B245" s="8" t="n">
        <v>140.917</v>
      </c>
      <c r="C245" s="8" t="n">
        <v>3354.655</v>
      </c>
      <c r="D245" s="8" t="n">
        <v>1587.962</v>
      </c>
      <c r="E245" s="12">
        <f>(C245*2)/B245</f>
        <v/>
      </c>
      <c r="F245" s="12">
        <f>D245/B245</f>
        <v/>
      </c>
      <c r="G245" s="8" t="n">
        <v>749.655</v>
      </c>
      <c r="H245" s="8" t="n">
        <v>1259.896</v>
      </c>
      <c r="J245" s="8">
        <f>('Census Crush'!$B244*36.7437/1000)-B245</f>
        <v/>
      </c>
      <c r="K245" s="7">
        <f>J245/('Census Crush'!$B244*36.7437/1000)</f>
        <v/>
      </c>
      <c r="M245" s="14" t="n">
        <v>5.695933333333333</v>
      </c>
      <c r="N245" s="15">
        <f>M245*355</f>
        <v/>
      </c>
      <c r="Q245" s="56">
        <f>B245/30</f>
        <v/>
      </c>
    </row>
    <row r="246" ht="13.5" customHeight="1">
      <c r="A246" s="6" t="n">
        <v>36495</v>
      </c>
      <c r="B246" s="8" t="n">
        <v>140.742</v>
      </c>
      <c r="C246" s="8" t="n">
        <v>3358.097</v>
      </c>
      <c r="D246" s="8" t="n">
        <v>1583.265</v>
      </c>
      <c r="E246" s="12">
        <f>(C246*2)/B246</f>
        <v/>
      </c>
      <c r="F246" s="12">
        <f>D246/B246</f>
        <v/>
      </c>
      <c r="G246" s="8" t="n">
        <v>652.499</v>
      </c>
      <c r="H246" s="8" t="n">
        <v>1374.768</v>
      </c>
      <c r="J246" s="8">
        <f>('Census Crush'!$B245*36.7437/1000)-B246</f>
        <v/>
      </c>
      <c r="K246" s="7">
        <f>J246/('Census Crush'!$B245*36.7437/1000)</f>
        <v/>
      </c>
      <c r="M246" s="14" t="n">
        <v>5.695967741935483</v>
      </c>
      <c r="N246" s="15">
        <f>M246*355</f>
        <v/>
      </c>
      <c r="Q246" s="56">
        <f>B246/31</f>
        <v/>
      </c>
    </row>
    <row r="247" ht="13.5" customHeight="1">
      <c r="A247" s="6" t="n">
        <v>36526</v>
      </c>
      <c r="B247" s="8" t="n">
        <v>138.166</v>
      </c>
      <c r="C247" s="8" t="n">
        <v>3298.994</v>
      </c>
      <c r="D247" s="8" t="n">
        <v>1568.499</v>
      </c>
      <c r="E247" s="12">
        <f>(C247*2)/B247</f>
        <v/>
      </c>
      <c r="F247" s="12">
        <f>D247/B247</f>
        <v/>
      </c>
      <c r="G247" s="8" t="n">
        <v>560.51</v>
      </c>
      <c r="H247" s="8" t="n">
        <v>1582.602</v>
      </c>
      <c r="J247" s="8">
        <f>('Census Crush'!$B246*36.7437/1000)-B247</f>
        <v/>
      </c>
      <c r="K247" s="7">
        <f>J247/('Census Crush'!$B246*36.7437/1000)</f>
        <v/>
      </c>
      <c r="M247" s="14" t="n">
        <v>5.71558064516129</v>
      </c>
      <c r="N247" s="15">
        <f>M247*355</f>
        <v/>
      </c>
      <c r="Q247" s="56">
        <f>B247/31</f>
        <v/>
      </c>
    </row>
    <row r="248" ht="13.5" customHeight="1">
      <c r="A248" s="6" t="n">
        <v>36557</v>
      </c>
      <c r="B248" s="8" t="n">
        <v>123.359</v>
      </c>
      <c r="C248" s="8" t="n">
        <v>2947.556</v>
      </c>
      <c r="D248" s="8" t="n">
        <v>1407.921</v>
      </c>
      <c r="E248" s="12">
        <f>(C248*2)/B248</f>
        <v/>
      </c>
      <c r="F248" s="12">
        <f>D248/B248</f>
        <v/>
      </c>
      <c r="G248" s="8" t="n">
        <v>436.395</v>
      </c>
      <c r="H248" s="8" t="n">
        <v>1662.539</v>
      </c>
      <c r="J248" s="8">
        <f>('Census Crush'!$B247*36.7437/1000)-B248</f>
        <v/>
      </c>
      <c r="K248" s="7">
        <f>J248/('Census Crush'!$B247*36.7437/1000)</f>
        <v/>
      </c>
      <c r="M248" s="14" t="n">
        <v>5.715586206896552</v>
      </c>
      <c r="N248" s="15">
        <f>M248*355</f>
        <v/>
      </c>
      <c r="Q248" s="56">
        <f>B248/29</f>
        <v/>
      </c>
    </row>
    <row r="249" ht="13.5" customHeight="1">
      <c r="A249" s="6" t="n">
        <v>36586</v>
      </c>
      <c r="B249" s="8" t="n">
        <v>128.28</v>
      </c>
      <c r="C249" s="8" t="n">
        <v>3064.968</v>
      </c>
      <c r="D249" s="8" t="n">
        <v>1467.08</v>
      </c>
      <c r="E249" s="12">
        <f>(C249*2)/B249</f>
        <v/>
      </c>
      <c r="F249" s="12">
        <f>D249/B249</f>
        <v/>
      </c>
      <c r="G249" s="8" t="n">
        <v>494.847</v>
      </c>
      <c r="H249" s="8" t="n">
        <v>1629.5</v>
      </c>
      <c r="J249" s="8">
        <f>('Census Crush'!$B248*36.7437/1000)-B249</f>
        <v/>
      </c>
      <c r="K249" s="7">
        <f>J249/('Census Crush'!$B248*36.7437/1000)</f>
        <v/>
      </c>
      <c r="M249" s="14" t="n">
        <v>5.71558064516129</v>
      </c>
      <c r="N249" s="15">
        <f>M249*355</f>
        <v/>
      </c>
      <c r="Q249" s="56">
        <f>B249/31</f>
        <v/>
      </c>
    </row>
    <row r="250" ht="13.5" customHeight="1">
      <c r="A250" s="6" t="n">
        <v>36617</v>
      </c>
      <c r="B250" s="8" t="n">
        <v>118.646</v>
      </c>
      <c r="C250" s="8" t="n">
        <v>2833.945</v>
      </c>
      <c r="D250" s="8" t="n">
        <v>1358.147</v>
      </c>
      <c r="E250" s="12">
        <f>(C250*2)/B250</f>
        <v/>
      </c>
      <c r="F250" s="12">
        <f>D250/B250</f>
        <v/>
      </c>
      <c r="G250" s="8" t="n">
        <v>295.729</v>
      </c>
      <c r="H250" s="8" t="n">
        <v>1613.793</v>
      </c>
      <c r="J250" s="8">
        <f>('Census Crush'!$B249*36.7437/1000)-B250</f>
        <v/>
      </c>
      <c r="K250" s="7">
        <f>J250/('Census Crush'!$B249*36.7437/1000)</f>
        <v/>
      </c>
      <c r="M250" s="14" t="n">
        <v>5.595766666666666</v>
      </c>
      <c r="N250" s="15">
        <f>M250*355</f>
        <v/>
      </c>
      <c r="Q250" s="56">
        <f>B250/30</f>
        <v/>
      </c>
    </row>
    <row r="251" ht="13.5" customHeight="1">
      <c r="A251" s="6" t="n">
        <v>36647</v>
      </c>
      <c r="B251" s="8" t="n">
        <v>120.587</v>
      </c>
      <c r="C251" s="8" t="n">
        <v>2875.541</v>
      </c>
      <c r="D251" s="8" t="n">
        <v>1381.569</v>
      </c>
      <c r="E251" s="12">
        <f>(C251*2)/B251</f>
        <v/>
      </c>
      <c r="F251" s="12">
        <f>D251/B251</f>
        <v/>
      </c>
      <c r="G251" s="8" t="n">
        <v>352.763</v>
      </c>
      <c r="H251" s="8" t="n">
        <v>1553.824</v>
      </c>
      <c r="J251" s="8">
        <f>('Census Crush'!$B250*36.7437/1000)-B251</f>
        <v/>
      </c>
      <c r="K251" s="7">
        <f>J251/('Census Crush'!$B250*36.7437/1000)</f>
        <v/>
      </c>
      <c r="M251" s="14" t="n">
        <v>5.560741935483871</v>
      </c>
      <c r="N251" s="15">
        <f>M251*355</f>
        <v/>
      </c>
      <c r="Q251" s="56">
        <f>B251/31</f>
        <v/>
      </c>
    </row>
    <row r="252" ht="13.5" customHeight="1">
      <c r="A252" s="6" t="n">
        <v>36678</v>
      </c>
      <c r="B252" s="8" t="n">
        <v>115.939</v>
      </c>
      <c r="C252" s="8" t="n">
        <v>2798.819</v>
      </c>
      <c r="D252" s="8" t="n">
        <v>1344.571</v>
      </c>
      <c r="E252" s="12">
        <f>(C252*2)/B252</f>
        <v/>
      </c>
      <c r="F252" s="12">
        <f>D252/B252</f>
        <v/>
      </c>
      <c r="G252" s="8" t="n">
        <v>342.438</v>
      </c>
      <c r="H252" s="8" t="n">
        <v>1566.659</v>
      </c>
      <c r="J252" s="8">
        <f>('Census Crush'!$B251*36.7437/1000)-B252</f>
        <v/>
      </c>
      <c r="K252" s="7">
        <f>J252/('Census Crush'!$B251*36.7437/1000)</f>
        <v/>
      </c>
      <c r="M252" s="14" t="n">
        <v>5.526333333333333</v>
      </c>
      <c r="N252" s="15">
        <f>M252*355</f>
        <v/>
      </c>
      <c r="Q252" s="56">
        <f>B252/30</f>
        <v/>
      </c>
    </row>
    <row r="253" ht="13.5" customHeight="1">
      <c r="A253" s="6" t="n">
        <v>36708</v>
      </c>
      <c r="B253" s="8" t="n">
        <v>128.337</v>
      </c>
      <c r="C253" s="8" t="n">
        <v>3063.782</v>
      </c>
      <c r="D253" s="8" t="n">
        <v>1470.296</v>
      </c>
      <c r="E253" s="12">
        <f>(C253*2)/B253</f>
        <v/>
      </c>
      <c r="F253" s="12">
        <f>D253/B253</f>
        <v/>
      </c>
      <c r="G253" s="8" t="n">
        <v>422.079</v>
      </c>
      <c r="H253" s="8" t="n">
        <v>1625.883</v>
      </c>
      <c r="J253" s="8">
        <f>('Census Crush'!$B252*36.7437/1000)-B253</f>
        <v/>
      </c>
      <c r="K253" s="7">
        <f>J253/('Census Crush'!$B252*36.7437/1000)</f>
        <v/>
      </c>
      <c r="M253" s="14" t="n">
        <v>5.25458064516129</v>
      </c>
      <c r="N253" s="15">
        <f>M253*355</f>
        <v/>
      </c>
      <c r="Q253" s="56">
        <f>B253/31</f>
        <v/>
      </c>
    </row>
    <row r="254" ht="13.5" customHeight="1">
      <c r="A254" s="6" t="n">
        <v>36739</v>
      </c>
      <c r="B254" s="8" t="n">
        <v>119.522</v>
      </c>
      <c r="C254" s="8" t="n">
        <v>2851.313</v>
      </c>
      <c r="D254" s="8" t="n">
        <v>1373.155</v>
      </c>
      <c r="E254" s="12">
        <f>(C254*2)/B254</f>
        <v/>
      </c>
      <c r="F254" s="12">
        <f>D254/B254</f>
        <v/>
      </c>
      <c r="G254" s="8" t="n">
        <v>393.634</v>
      </c>
      <c r="H254" s="8" t="n">
        <v>1622.87</v>
      </c>
      <c r="J254" s="8">
        <f>('Census Crush'!$B253*36.7437/1000)-B254</f>
        <v/>
      </c>
      <c r="K254" s="7">
        <f>J254/('Census Crush'!$B253*36.7437/1000)</f>
        <v/>
      </c>
      <c r="M254" s="14" t="n">
        <v>5.25458064516129</v>
      </c>
      <c r="N254" s="15">
        <f>M254*355</f>
        <v/>
      </c>
      <c r="Q254" s="56">
        <f>B254/31</f>
        <v/>
      </c>
    </row>
    <row r="255" ht="13.5" customHeight="1">
      <c r="A255" s="6" t="n">
        <v>36770</v>
      </c>
      <c r="B255" s="8" t="n">
        <v>127.178</v>
      </c>
      <c r="C255" s="8" t="n">
        <v>3013.55</v>
      </c>
      <c r="D255" s="8" t="n">
        <v>1454.572</v>
      </c>
      <c r="E255" s="12">
        <f>(C255*2)/B255</f>
        <v/>
      </c>
      <c r="F255" s="12">
        <f>D255/B255</f>
        <v/>
      </c>
      <c r="G255" s="8" t="n">
        <v>432.381</v>
      </c>
      <c r="H255" s="8" t="n">
        <v>1619.387</v>
      </c>
      <c r="J255" s="8">
        <f>('Census Crush'!$B254*36.7437/1000)-B255</f>
        <v/>
      </c>
      <c r="K255" s="7">
        <f>J255/('Census Crush'!$B254*36.7437/1000)</f>
        <v/>
      </c>
      <c r="M255" s="14" t="n">
        <v>5.254566666666666</v>
      </c>
      <c r="N255" s="15">
        <f>M255*355</f>
        <v/>
      </c>
      <c r="Q255" s="56">
        <f>B255/30</f>
        <v/>
      </c>
    </row>
    <row r="256" ht="13.5" customHeight="1">
      <c r="A256" s="6" t="n">
        <v>36800</v>
      </c>
      <c r="B256" s="8" t="n">
        <v>145.726</v>
      </c>
      <c r="C256" s="8" t="n">
        <v>3481.294</v>
      </c>
      <c r="D256" s="8" t="n">
        <v>1645.157</v>
      </c>
      <c r="E256" s="12">
        <f>(C256*2)/B256</f>
        <v/>
      </c>
      <c r="F256" s="12">
        <f>D256/B256</f>
        <v/>
      </c>
      <c r="G256" s="8" t="n">
        <v>725.532</v>
      </c>
      <c r="H256" s="8" t="n">
        <v>1741.775</v>
      </c>
      <c r="J256" s="8">
        <f>('Census Crush'!$B255*36.7437/1000)-B256</f>
        <v/>
      </c>
      <c r="K256" s="7">
        <f>J256/('Census Crush'!$B255*36.7437/1000)</f>
        <v/>
      </c>
      <c r="M256" s="14" t="n">
        <v>5.256935483870968</v>
      </c>
      <c r="N256" s="15">
        <f>M256*355</f>
        <v/>
      </c>
      <c r="Q256" s="56">
        <f>B256/31</f>
        <v/>
      </c>
    </row>
    <row r="257" ht="13.5" customHeight="1">
      <c r="A257" s="6" t="n">
        <v>36831</v>
      </c>
      <c r="B257" s="8" t="n">
        <v>140.11</v>
      </c>
      <c r="C257" s="8" t="n">
        <v>3346.406</v>
      </c>
      <c r="D257" s="8" t="n">
        <v>1566.641</v>
      </c>
      <c r="E257" s="12">
        <f>(C257*2)/B257</f>
        <v/>
      </c>
      <c r="F257" s="12">
        <f>D257/B257</f>
        <v/>
      </c>
      <c r="G257" s="8" t="n">
        <v>705.941</v>
      </c>
      <c r="H257" s="8" t="n">
        <v>1782.367</v>
      </c>
      <c r="J257" s="8">
        <f>('Census Crush'!$B256*36.7437/1000)-B257</f>
        <v/>
      </c>
      <c r="K257" s="7">
        <f>J257/('Census Crush'!$B256*36.7437/1000)</f>
        <v/>
      </c>
      <c r="M257" s="14" t="n">
        <v>5.256933333333333</v>
      </c>
      <c r="N257" s="15">
        <f>M257*355</f>
        <v/>
      </c>
      <c r="Q257" s="56">
        <f>B257/30</f>
        <v/>
      </c>
    </row>
    <row r="258" ht="13.5" customHeight="1">
      <c r="A258" s="6" t="n">
        <v>36861</v>
      </c>
      <c r="B258" s="8" t="n">
        <v>138.449</v>
      </c>
      <c r="C258" s="8" t="n">
        <v>3302.574</v>
      </c>
      <c r="D258" s="8" t="n">
        <v>1552.276</v>
      </c>
      <c r="E258" s="12">
        <f>(C258*2)/B258</f>
        <v/>
      </c>
      <c r="F258" s="12">
        <f>D258/B258</f>
        <v/>
      </c>
      <c r="G258" s="8" t="n">
        <v>561.333</v>
      </c>
      <c r="H258" s="8" t="n">
        <v>1811.824</v>
      </c>
      <c r="J258" s="8">
        <f>('Census Crush'!$B257*36.7437/1000)-B258</f>
        <v/>
      </c>
      <c r="K258" s="7">
        <f>J258/('Census Crush'!$B257*36.7437/1000)</f>
        <v/>
      </c>
      <c r="M258" s="14" t="n">
        <v>5.256935483870968</v>
      </c>
      <c r="N258" s="15">
        <f>M258*355</f>
        <v/>
      </c>
      <c r="Q258" s="56">
        <f>B258/31</f>
        <v/>
      </c>
    </row>
    <row r="259" ht="13.5" customHeight="1">
      <c r="A259" s="6" t="n">
        <v>36892</v>
      </c>
      <c r="B259" s="8" t="n">
        <v>142.872</v>
      </c>
      <c r="C259" s="8" t="n">
        <v>3372.066</v>
      </c>
      <c r="D259" s="8" t="n">
        <v>1586.898</v>
      </c>
      <c r="E259" s="12">
        <f>(C259*2)/B259</f>
        <v/>
      </c>
      <c r="F259" s="12">
        <f>D259/B259</f>
        <v/>
      </c>
      <c r="G259" s="8" t="n">
        <v>614.08</v>
      </c>
      <c r="H259" s="8" t="n">
        <v>1938.84</v>
      </c>
      <c r="J259" s="8">
        <f>('Census Crush'!$B258*36.7437/1000)-B259</f>
        <v/>
      </c>
      <c r="K259" s="7">
        <f>J259/('Census Crush'!$B258*36.7437/1000)</f>
        <v/>
      </c>
      <c r="M259" s="14" t="n">
        <v>5.225677419354839</v>
      </c>
      <c r="N259" s="15">
        <f>M259*355</f>
        <v/>
      </c>
      <c r="Q259" s="56">
        <f>B259/31</f>
        <v/>
      </c>
    </row>
    <row r="260" ht="13.5" customHeight="1">
      <c r="A260" s="6" t="n">
        <v>36923</v>
      </c>
      <c r="B260" s="8" t="n">
        <v>124.945</v>
      </c>
      <c r="C260" s="8" t="n">
        <v>2994.177</v>
      </c>
      <c r="D260" s="8" t="n">
        <v>1405.839</v>
      </c>
      <c r="E260" s="12">
        <f>(C260*2)/B260</f>
        <v/>
      </c>
      <c r="F260" s="12">
        <f>D260/B260</f>
        <v/>
      </c>
      <c r="G260" s="8" t="n">
        <v>594.153</v>
      </c>
      <c r="H260" s="8" t="n">
        <v>1925.886</v>
      </c>
      <c r="J260" s="8">
        <f>('Census Crush'!$B259*36.7437/1000)-B260</f>
        <v/>
      </c>
      <c r="K260" s="7">
        <f>J260/('Census Crush'!$B259*36.7437/1000)</f>
        <v/>
      </c>
      <c r="M260" s="14" t="n">
        <v>5.225678571428571</v>
      </c>
      <c r="N260" s="15">
        <f>M260*355</f>
        <v/>
      </c>
      <c r="Q260" s="56">
        <f>B260/28</f>
        <v/>
      </c>
    </row>
    <row r="261" ht="13.5" customHeight="1">
      <c r="A261" s="6" t="n">
        <v>36951</v>
      </c>
      <c r="B261" s="8" t="n">
        <v>137.869</v>
      </c>
      <c r="C261" s="8" t="n">
        <v>3311.527</v>
      </c>
      <c r="D261" s="8" t="n">
        <v>1568.251</v>
      </c>
      <c r="E261" s="12">
        <f>(C261*2)/B261</f>
        <v/>
      </c>
      <c r="F261" s="12">
        <f>D261/B261</f>
        <v/>
      </c>
      <c r="G261" s="8" t="n">
        <v>663.694</v>
      </c>
      <c r="H261" s="8" t="n">
        <v>1946.072</v>
      </c>
      <c r="J261" s="8">
        <f>('Census Crush'!$B260*36.7437/1000)-B261</f>
        <v/>
      </c>
      <c r="K261" s="7">
        <f>J261/('Census Crush'!$B260*36.7437/1000)</f>
        <v/>
      </c>
      <c r="M261" s="14" t="n">
        <v>5.225677419354839</v>
      </c>
      <c r="N261" s="15">
        <f>M261*355</f>
        <v/>
      </c>
      <c r="Q261" s="56">
        <f>B261/31</f>
        <v/>
      </c>
    </row>
    <row r="262" ht="13.5" customHeight="1">
      <c r="A262" s="6" t="n">
        <v>36982</v>
      </c>
      <c r="B262" s="8" t="n">
        <v>128.035</v>
      </c>
      <c r="C262" s="8" t="n">
        <v>3072.292</v>
      </c>
      <c r="D262" s="8" t="n">
        <v>1458.022</v>
      </c>
      <c r="E262" s="12">
        <f>(C262*2)/B262</f>
        <v/>
      </c>
      <c r="F262" s="12">
        <f>D262/B262</f>
        <v/>
      </c>
      <c r="G262" s="8" t="n">
        <v>504</v>
      </c>
      <c r="H262" s="8" t="n">
        <v>1991.145</v>
      </c>
      <c r="J262" s="8">
        <f>('Census Crush'!$B261*36.7437/1000)-B262</f>
        <v/>
      </c>
      <c r="K262" s="7">
        <f>J262/('Census Crush'!$B261*36.7437/1000)</f>
        <v/>
      </c>
      <c r="M262" s="14" t="n">
        <v>5.229033333333334</v>
      </c>
      <c r="N262" s="15">
        <f>M262*355</f>
        <v/>
      </c>
      <c r="Q262" s="56">
        <f>B262/30</f>
        <v/>
      </c>
    </row>
    <row r="263" ht="13.5" customHeight="1">
      <c r="A263" s="6" t="n">
        <v>37012</v>
      </c>
      <c r="B263" s="8" t="n">
        <v>128.611</v>
      </c>
      <c r="C263" s="8" t="n">
        <v>3091.647</v>
      </c>
      <c r="D263" s="8" t="n">
        <v>1457.163</v>
      </c>
      <c r="E263" s="12">
        <f>(C263*2)/B263</f>
        <v/>
      </c>
      <c r="F263" s="12">
        <f>D263/B263</f>
        <v/>
      </c>
      <c r="G263" s="8" t="n">
        <v>453.837</v>
      </c>
      <c r="H263" s="8" t="n">
        <v>2060.452</v>
      </c>
      <c r="J263" s="8">
        <f>('Census Crush'!$B262*36.7437/1000)-B263</f>
        <v/>
      </c>
      <c r="K263" s="7">
        <f>J263/('Census Crush'!$B262*36.7437/1000)</f>
        <v/>
      </c>
      <c r="M263" s="14" t="n">
        <v>5.229032258064516</v>
      </c>
      <c r="N263" s="15">
        <f>M263*355</f>
        <v/>
      </c>
      <c r="Q263" s="56">
        <f>B263/31</f>
        <v/>
      </c>
    </row>
    <row r="264" ht="13.5" customHeight="1">
      <c r="A264" s="6" t="n">
        <v>37043</v>
      </c>
      <c r="B264" s="8" t="n">
        <v>124.234</v>
      </c>
      <c r="C264" s="8" t="n">
        <v>2998.033</v>
      </c>
      <c r="D264" s="8" t="n">
        <v>1422.203</v>
      </c>
      <c r="E264" s="12">
        <f>(C264*2)/B264</f>
        <v/>
      </c>
      <c r="F264" s="12">
        <f>D264/B264</f>
        <v/>
      </c>
      <c r="G264" s="8" t="n">
        <v>470.971</v>
      </c>
      <c r="H264" s="8" t="n">
        <v>2036.755</v>
      </c>
      <c r="J264" s="8">
        <f>('Census Crush'!$B263*36.7437/1000)-B264</f>
        <v/>
      </c>
      <c r="K264" s="7">
        <f>J264/('Census Crush'!$B263*36.7437/1000)</f>
        <v/>
      </c>
      <c r="M264" s="14" t="n">
        <v>5.229033333333334</v>
      </c>
      <c r="N264" s="15">
        <f>M264*355</f>
        <v/>
      </c>
      <c r="Q264" s="56">
        <f>B264/30</f>
        <v/>
      </c>
    </row>
    <row r="265" ht="13.5" customHeight="1">
      <c r="A265" s="6" t="n">
        <v>37073</v>
      </c>
      <c r="B265" s="8" t="n">
        <v>132.49</v>
      </c>
      <c r="C265" s="8" t="n">
        <v>3181.042</v>
      </c>
      <c r="D265" s="8" t="n">
        <v>1506.194</v>
      </c>
      <c r="E265" s="12">
        <f>(C265*2)/B265</f>
        <v/>
      </c>
      <c r="F265" s="12">
        <f>D265/B265</f>
        <v/>
      </c>
      <c r="G265" s="8" t="n">
        <v>520.499</v>
      </c>
      <c r="H265" s="8" t="n">
        <v>2333.689</v>
      </c>
      <c r="J265" s="8">
        <f>('Census Crush'!$B264*36.7437/1000)-B265</f>
        <v/>
      </c>
      <c r="K265" s="7">
        <f>J265/('Census Crush'!$B264*36.7437/1000)</f>
        <v/>
      </c>
      <c r="M265" s="14" t="n">
        <v>5.226354838709677</v>
      </c>
      <c r="N265" s="15">
        <f>M265*355</f>
        <v/>
      </c>
      <c r="Q265" s="56">
        <f>B265/31</f>
        <v/>
      </c>
    </row>
    <row r="266" ht="13.5" customHeight="1">
      <c r="A266" s="6" t="n">
        <v>37104</v>
      </c>
      <c r="B266" s="8" t="n">
        <v>128.852</v>
      </c>
      <c r="C266" s="8" t="n">
        <v>3092.995</v>
      </c>
      <c r="D266" s="8" t="n">
        <v>1471.239</v>
      </c>
      <c r="E266" s="12">
        <f>(C266*2)/B266</f>
        <v/>
      </c>
      <c r="F266" s="12">
        <f>D266/B266</f>
        <v/>
      </c>
      <c r="G266" s="8" t="n">
        <v>619.498</v>
      </c>
      <c r="H266" s="8" t="n">
        <v>2289.311</v>
      </c>
      <c r="J266" s="8">
        <f>('Census Crush'!$B265*36.7437/1000)-B266</f>
        <v/>
      </c>
      <c r="K266" s="7">
        <f>J266/('Census Crush'!$B265*36.7437/1000)</f>
        <v/>
      </c>
      <c r="M266" s="14" t="n">
        <v>5.226354838709677</v>
      </c>
      <c r="N266" s="15">
        <f>M266*355</f>
        <v/>
      </c>
      <c r="Q266" s="56">
        <f>B266/31</f>
        <v/>
      </c>
    </row>
    <row r="267" ht="13.5" customHeight="1">
      <c r="A267" s="6" t="n">
        <v>37135</v>
      </c>
      <c r="B267" s="8" t="n">
        <v>124.624</v>
      </c>
      <c r="C267" s="8" t="n">
        <v>2983.805</v>
      </c>
      <c r="D267" s="8" t="n">
        <v>1426.853</v>
      </c>
      <c r="E267" s="12">
        <f>(C267*2)/B267</f>
        <v/>
      </c>
      <c r="F267" s="12">
        <f>D267/B267</f>
        <v/>
      </c>
      <c r="G267" s="8" t="n">
        <v>408.379</v>
      </c>
      <c r="H267" s="8" t="n">
        <v>2289.953</v>
      </c>
      <c r="J267" s="8">
        <f>('Census Crush'!$B266*36.7437/1000)-B267</f>
        <v/>
      </c>
      <c r="K267" s="7">
        <f>J267/('Census Crush'!$B266*36.7437/1000)</f>
        <v/>
      </c>
      <c r="M267" s="14" t="n">
        <v>5.226333333333333</v>
      </c>
      <c r="N267" s="15">
        <f>M267*355</f>
        <v/>
      </c>
      <c r="Q267" s="56">
        <f>B267/30</f>
        <v/>
      </c>
    </row>
    <row r="268" ht="13.5" customHeight="1">
      <c r="A268" s="6" t="n">
        <v>37165</v>
      </c>
      <c r="B268" s="8" t="n">
        <v>146.535</v>
      </c>
      <c r="C268" s="8" t="n">
        <v>3472.187</v>
      </c>
      <c r="D268" s="8" t="n">
        <v>1653.13</v>
      </c>
      <c r="E268" s="12">
        <f>(C268*2)/B268</f>
        <v/>
      </c>
      <c r="F268" s="12">
        <f>D268/B268</f>
        <v/>
      </c>
      <c r="G268" s="8" t="n">
        <v>666.379</v>
      </c>
      <c r="H268" s="8" t="n">
        <v>2179.969</v>
      </c>
      <c r="J268" s="8">
        <f>('Census Crush'!$B267*36.7437/1000)-B268</f>
        <v/>
      </c>
      <c r="K268" s="7">
        <f>J268/('Census Crush'!$B267*36.7437/1000)</f>
        <v/>
      </c>
      <c r="M268" s="14" t="n">
        <v>5.268064516129033</v>
      </c>
      <c r="N268" s="15">
        <f>M268*355</f>
        <v/>
      </c>
      <c r="Q268" s="56">
        <f>B268/31</f>
        <v/>
      </c>
    </row>
    <row r="269" ht="13.5" customHeight="1">
      <c r="A269" s="6" t="n">
        <v>37196</v>
      </c>
      <c r="B269" s="8" t="n">
        <v>144.674</v>
      </c>
      <c r="C269" s="8" t="n">
        <v>3440.043</v>
      </c>
      <c r="D269" s="8" t="n">
        <v>1598.704</v>
      </c>
      <c r="E269" s="12">
        <f>(C269*2)/B269</f>
        <v/>
      </c>
      <c r="F269" s="12">
        <f>D269/B269</f>
        <v/>
      </c>
      <c r="G269" s="8" t="n">
        <v>633.598</v>
      </c>
      <c r="H269" s="8" t="n">
        <v>2234.689</v>
      </c>
      <c r="J269" s="8">
        <f>('Census Crush'!$B268*36.7437/1000)-B269</f>
        <v/>
      </c>
      <c r="K269" s="7">
        <f>J269/('Census Crush'!$B268*36.7437/1000)</f>
        <v/>
      </c>
      <c r="M269" s="14" t="n">
        <v>5.268066666666667</v>
      </c>
      <c r="N269" s="15">
        <f>M269*355</f>
        <v/>
      </c>
      <c r="Q269" s="56">
        <f>B269/30</f>
        <v/>
      </c>
    </row>
    <row r="270" ht="13.5" customHeight="1">
      <c r="A270" s="6" t="n">
        <v>37226</v>
      </c>
      <c r="B270" s="8" t="n">
        <v>148.771</v>
      </c>
      <c r="C270" s="8" t="n">
        <v>3539.941</v>
      </c>
      <c r="D270" s="8" t="n">
        <v>1659.455</v>
      </c>
      <c r="E270" s="12">
        <f>(C270*2)/B270</f>
        <v/>
      </c>
      <c r="F270" s="12">
        <f>D270/B270</f>
        <v/>
      </c>
      <c r="G270" s="8" t="n">
        <v>728.173</v>
      </c>
      <c r="H270" s="8" t="n">
        <v>2322.385</v>
      </c>
      <c r="J270" s="8">
        <f>('Census Crush'!$B269*36.7437/1000)-B270</f>
        <v/>
      </c>
      <c r="K270" s="7">
        <f>J270/('Census Crush'!$B269*36.7437/1000)</f>
        <v/>
      </c>
      <c r="M270" s="14" t="n">
        <v>5.268064516129033</v>
      </c>
      <c r="N270" s="15">
        <f>M270*355</f>
        <v/>
      </c>
      <c r="Q270" s="56">
        <f>B270/31</f>
        <v/>
      </c>
    </row>
    <row r="271" ht="13.5" customHeight="1">
      <c r="A271" s="6" t="n">
        <v>37257</v>
      </c>
      <c r="B271" s="8" t="n">
        <v>151.04</v>
      </c>
      <c r="C271" s="8" t="n">
        <v>3604.87</v>
      </c>
      <c r="D271" s="8" t="n">
        <v>1680.681</v>
      </c>
      <c r="E271" s="12">
        <f>(C271*2)/B271</f>
        <v/>
      </c>
      <c r="F271" s="12">
        <f>D271/B271</f>
        <v/>
      </c>
      <c r="G271" s="8" t="n">
        <v>721.4109999999999</v>
      </c>
      <c r="H271" s="8" t="n">
        <v>2457.37</v>
      </c>
      <c r="J271" s="8">
        <f>('Census Crush'!$B270*36.7437/1000)-B271</f>
        <v/>
      </c>
      <c r="K271" s="7">
        <f>J271/('Census Crush'!$B270*36.7437/1000)</f>
        <v/>
      </c>
      <c r="M271" s="14" t="n">
        <v>5.294322580645161</v>
      </c>
      <c r="N271" s="15">
        <f>M271*355</f>
        <v/>
      </c>
      <c r="Q271" s="56">
        <f>B271/31</f>
        <v/>
      </c>
    </row>
    <row r="272" ht="13.5" customHeight="1">
      <c r="A272" s="6" t="n">
        <v>37288</v>
      </c>
      <c r="B272" s="8" t="n">
        <v>134.968</v>
      </c>
      <c r="C272" s="8" t="n">
        <v>3211.575</v>
      </c>
      <c r="D272" s="8" t="n">
        <v>1509.737</v>
      </c>
      <c r="E272" s="12">
        <f>(C272*2)/B272</f>
        <v/>
      </c>
      <c r="F272" s="12">
        <f>D272/B272</f>
        <v/>
      </c>
      <c r="G272" s="8" t="n">
        <v>727.609</v>
      </c>
      <c r="H272" s="8" t="n">
        <v>2306.861</v>
      </c>
      <c r="J272" s="8">
        <f>('Census Crush'!$B271*36.7437/1000)-B272</f>
        <v/>
      </c>
      <c r="K272" s="7">
        <f>J272/('Census Crush'!$B271*36.7437/1000)</f>
        <v/>
      </c>
      <c r="M272" s="14" t="n">
        <v>5.294321428571429</v>
      </c>
      <c r="N272" s="15">
        <f>M272*355</f>
        <v/>
      </c>
      <c r="Q272" s="56">
        <f>B272/28</f>
        <v/>
      </c>
    </row>
    <row r="273" ht="13.5" customHeight="1">
      <c r="A273" s="6" t="n">
        <v>37316</v>
      </c>
      <c r="B273" s="8" t="n">
        <v>145.374</v>
      </c>
      <c r="C273" s="8" t="n">
        <v>3480.806</v>
      </c>
      <c r="D273" s="8" t="n">
        <v>1636.921</v>
      </c>
      <c r="E273" s="12">
        <f>(C273*2)/B273</f>
        <v/>
      </c>
      <c r="F273" s="12">
        <f>D273/B273</f>
        <v/>
      </c>
      <c r="G273" s="8" t="n">
        <v>618.984</v>
      </c>
      <c r="H273" s="8" t="n">
        <v>2404.912</v>
      </c>
      <c r="J273" s="8">
        <f>('Census Crush'!$B272*36.7437/1000)-B273</f>
        <v/>
      </c>
      <c r="K273" s="7">
        <f>J273/('Census Crush'!$B272*36.7437/1000)</f>
        <v/>
      </c>
      <c r="M273" s="14" t="n">
        <v>5.294322580645161</v>
      </c>
      <c r="N273" s="15">
        <f>M273*355</f>
        <v/>
      </c>
      <c r="Q273" s="56">
        <f>B273/31</f>
        <v/>
      </c>
    </row>
    <row r="274" ht="13.5" customHeight="1">
      <c r="A274" s="6" t="n">
        <v>37347</v>
      </c>
      <c r="B274" s="8" t="n">
        <v>135.398</v>
      </c>
      <c r="C274" s="8" t="n">
        <v>3223.055</v>
      </c>
      <c r="D274" s="8" t="n">
        <v>1527.365</v>
      </c>
      <c r="E274" s="12">
        <f>(C274*2)/B274</f>
        <v/>
      </c>
      <c r="F274" s="12">
        <f>D274/B274</f>
        <v/>
      </c>
      <c r="G274" s="8" t="n">
        <v>460.749</v>
      </c>
      <c r="H274" s="8" t="n">
        <v>2284.878</v>
      </c>
      <c r="J274" s="8">
        <f>('Census Crush'!$B273*36.7437/1000)-B274</f>
        <v/>
      </c>
      <c r="K274" s="7">
        <f>J274/('Census Crush'!$B273*36.7437/1000)</f>
        <v/>
      </c>
      <c r="M274" s="14" t="n">
        <v>5.3068</v>
      </c>
      <c r="N274" s="15">
        <f>M274*355</f>
        <v/>
      </c>
      <c r="Q274" s="56">
        <f>B274/30</f>
        <v/>
      </c>
    </row>
    <row r="275" ht="13.5" customHeight="1">
      <c r="A275" s="6" t="n">
        <v>37377</v>
      </c>
      <c r="B275" s="8" t="n">
        <v>136.042</v>
      </c>
      <c r="C275" s="8" t="n">
        <v>3230.754</v>
      </c>
      <c r="D275" s="8" t="n">
        <v>1534.877</v>
      </c>
      <c r="E275" s="12">
        <f>(C275*2)/B275</f>
        <v/>
      </c>
      <c r="F275" s="12">
        <f>D275/B275</f>
        <v/>
      </c>
      <c r="G275" s="8" t="n">
        <v>471.799</v>
      </c>
      <c r="H275" s="8" t="n">
        <v>2422.015</v>
      </c>
      <c r="J275" s="8">
        <f>('Census Crush'!$B274*36.7437/1000)-B275</f>
        <v/>
      </c>
      <c r="K275" s="7">
        <f>J275/('Census Crush'!$B274*36.7437/1000)</f>
        <v/>
      </c>
      <c r="M275" s="14" t="n">
        <v>5.306806451612903</v>
      </c>
      <c r="N275" s="15">
        <f>M275*355</f>
        <v/>
      </c>
      <c r="Q275" s="56">
        <f>B275/31</f>
        <v/>
      </c>
    </row>
    <row r="276" ht="13.5" customHeight="1">
      <c r="A276" s="6" t="n">
        <v>37408</v>
      </c>
      <c r="B276" s="8" t="n">
        <v>130.629</v>
      </c>
      <c r="C276" s="8" t="n">
        <v>3098.062</v>
      </c>
      <c r="D276" s="8" t="n">
        <v>1475.85</v>
      </c>
      <c r="E276" s="12">
        <f>(C276*2)/B276</f>
        <v/>
      </c>
      <c r="F276" s="12">
        <f>D276/B276</f>
        <v/>
      </c>
      <c r="G276" s="8" t="n">
        <v>403.298</v>
      </c>
      <c r="H276" s="8" t="n">
        <v>2212.168</v>
      </c>
      <c r="J276" s="8">
        <f>('Census Crush'!$B275*36.7437/1000)-B276</f>
        <v/>
      </c>
      <c r="K276" s="7">
        <f>J276/('Census Crush'!$B275*36.7437/1000)</f>
        <v/>
      </c>
      <c r="M276" s="14" t="n">
        <v>5.3068</v>
      </c>
      <c r="N276" s="15">
        <f>M276*355</f>
        <v/>
      </c>
      <c r="Q276" s="56">
        <f>B276/30</f>
        <v/>
      </c>
    </row>
    <row r="277" ht="13.5" customHeight="1">
      <c r="A277" s="6" t="n">
        <v>37438</v>
      </c>
      <c r="B277" s="8" t="n">
        <v>125.931</v>
      </c>
      <c r="C277" s="8" t="n">
        <v>2989.942</v>
      </c>
      <c r="D277" s="8" t="n">
        <v>1430.301</v>
      </c>
      <c r="E277" s="12">
        <f>(C277*2)/B277</f>
        <v/>
      </c>
      <c r="F277" s="12">
        <f>D277/B277</f>
        <v/>
      </c>
      <c r="G277" s="8" t="n">
        <v>337.908</v>
      </c>
      <c r="H277" s="8" t="n">
        <v>2138.08</v>
      </c>
      <c r="J277" s="8">
        <f>('Census Crush'!$B276*36.7437/1000)-B277</f>
        <v/>
      </c>
      <c r="K277" s="7">
        <f>J277/('Census Crush'!$B276*36.7437/1000)</f>
        <v/>
      </c>
      <c r="M277" s="14" t="n">
        <v>5.230322580645161</v>
      </c>
      <c r="N277" s="15">
        <f>M277*355</f>
        <v/>
      </c>
      <c r="Q277" s="56">
        <f>B277/31</f>
        <v/>
      </c>
    </row>
    <row r="278" ht="13.5" customHeight="1">
      <c r="A278" s="6" t="n">
        <v>37469</v>
      </c>
      <c r="B278" s="8" t="n">
        <v>126.086</v>
      </c>
      <c r="C278" s="8" t="n">
        <v>2995.861</v>
      </c>
      <c r="D278" s="8" t="n">
        <v>1433.173</v>
      </c>
      <c r="E278" s="12">
        <f>(C278*2)/B278</f>
        <v/>
      </c>
      <c r="F278" s="12">
        <f>D278/B278</f>
        <v/>
      </c>
      <c r="G278" s="8" t="n">
        <v>306.206</v>
      </c>
      <c r="H278" s="8" t="n">
        <v>2050.293</v>
      </c>
      <c r="J278" s="8">
        <f>('Census Crush'!$B277*36.7437/1000)-B278</f>
        <v/>
      </c>
      <c r="K278" s="7">
        <f>J278/('Census Crush'!$B277*36.7437/1000)</f>
        <v/>
      </c>
      <c r="M278" s="14" t="n">
        <v>5.230322580645161</v>
      </c>
      <c r="N278" s="15">
        <f>M278*355</f>
        <v/>
      </c>
      <c r="Q278" s="56">
        <f>B278/31</f>
        <v/>
      </c>
    </row>
    <row r="279" ht="13.5" customHeight="1">
      <c r="A279" s="6" t="n">
        <v>37500</v>
      </c>
      <c r="B279" s="8" t="n">
        <v>119.741</v>
      </c>
      <c r="C279" s="8" t="n">
        <v>2860.98</v>
      </c>
      <c r="D279" s="8" t="n">
        <v>1375.719</v>
      </c>
      <c r="E279" s="12">
        <f>(C279*2)/B279</f>
        <v/>
      </c>
      <c r="F279" s="12">
        <f>D279/B279</f>
        <v/>
      </c>
      <c r="G279" s="8" t="n">
        <v>300.992</v>
      </c>
      <c r="H279" s="8" t="n">
        <v>1901.234</v>
      </c>
      <c r="J279" s="8">
        <f>('Census Crush'!$B278*36.7437/1000)-B279</f>
        <v/>
      </c>
      <c r="K279" s="7">
        <f>J279/('Census Crush'!$B278*36.7437/1000)</f>
        <v/>
      </c>
      <c r="M279" s="14" t="n">
        <v>5.230333333333333</v>
      </c>
      <c r="N279" s="15">
        <f>M279*355</f>
        <v/>
      </c>
      <c r="Q279" s="56">
        <f>B279/30</f>
        <v/>
      </c>
    </row>
    <row r="280" ht="13.5" customHeight="1">
      <c r="A280" s="6" t="n">
        <v>37530</v>
      </c>
      <c r="B280" s="8" t="n">
        <v>144.759</v>
      </c>
      <c r="C280" s="8" t="n">
        <v>3391.538</v>
      </c>
      <c r="D280" s="8" t="n">
        <v>1654.901</v>
      </c>
      <c r="E280" s="12">
        <f>(C280*2)/B280</f>
        <v/>
      </c>
      <c r="F280" s="12">
        <f>D280/B280</f>
        <v/>
      </c>
      <c r="G280" s="8" t="n">
        <v>508.901</v>
      </c>
      <c r="H280" s="8" t="n">
        <v>1886.11</v>
      </c>
      <c r="J280" s="8">
        <f>('Census Crush'!$B279*36.7437/1000)-B280</f>
        <v/>
      </c>
      <c r="K280" s="7">
        <f>J280/('Census Crush'!$B279*36.7437/1000)</f>
        <v/>
      </c>
      <c r="M280" s="14" t="n">
        <v>5.233451612903226</v>
      </c>
      <c r="N280" s="15">
        <f>M280*355</f>
        <v/>
      </c>
      <c r="Q280" s="56">
        <f>B280/31</f>
        <v/>
      </c>
    </row>
    <row r="281" ht="13.5" customHeight="1">
      <c r="A281" s="6" t="n">
        <v>37561</v>
      </c>
      <c r="B281" s="8" t="n">
        <v>141.566</v>
      </c>
      <c r="C281" s="8" t="n">
        <v>3322.604</v>
      </c>
      <c r="D281" s="8" t="n">
        <v>1605.304</v>
      </c>
      <c r="E281" s="12">
        <f>(C281*2)/B281</f>
        <v/>
      </c>
      <c r="F281" s="12">
        <f>D281/B281</f>
        <v/>
      </c>
      <c r="G281" s="8" t="n">
        <v>529.223</v>
      </c>
      <c r="H281" s="8" t="n">
        <v>1845.99</v>
      </c>
      <c r="J281" s="8">
        <f>('Census Crush'!$B280*36.7437/1000)-B281</f>
        <v/>
      </c>
      <c r="K281" s="7">
        <f>J281/('Census Crush'!$B280*36.7437/1000)</f>
        <v/>
      </c>
      <c r="M281" s="14" t="n">
        <v>5.233466666666667</v>
      </c>
      <c r="N281" s="15">
        <f>M281*355</f>
        <v/>
      </c>
      <c r="Q281" s="56">
        <f>B281/30</f>
        <v/>
      </c>
    </row>
    <row r="282" ht="13.5" customHeight="1">
      <c r="A282" s="6" t="n">
        <v>37591</v>
      </c>
      <c r="B282" s="8" t="n">
        <v>145.09</v>
      </c>
      <c r="C282" s="8" t="n">
        <v>3411.058</v>
      </c>
      <c r="D282" s="8" t="n">
        <v>1655.215</v>
      </c>
      <c r="E282" s="12">
        <f>(C282*2)/B282</f>
        <v/>
      </c>
      <c r="F282" s="12">
        <f>D282/B282</f>
        <v/>
      </c>
      <c r="G282" s="8" t="n">
        <v>789.873</v>
      </c>
      <c r="H282" s="8" t="n">
        <v>1966.418</v>
      </c>
      <c r="J282" s="8">
        <f>('Census Crush'!$B281*36.7437/1000)-B282</f>
        <v/>
      </c>
      <c r="K282" s="7">
        <f>J282/('Census Crush'!$B281*36.7437/1000)</f>
        <v/>
      </c>
      <c r="M282" s="14" t="n">
        <v>5.233451612903226</v>
      </c>
      <c r="N282" s="15">
        <f>M282*355</f>
        <v/>
      </c>
      <c r="Q282" s="56">
        <f>B282/31</f>
        <v/>
      </c>
    </row>
    <row r="283" ht="13.5" customHeight="1">
      <c r="A283" s="6" t="n">
        <v>37622</v>
      </c>
      <c r="B283" s="8" t="n">
        <v>138.489</v>
      </c>
      <c r="C283" s="8" t="n">
        <v>3256.134</v>
      </c>
      <c r="D283" s="8" t="n">
        <v>1572.181</v>
      </c>
      <c r="E283" s="12">
        <f>(C283*2)/B283</f>
        <v/>
      </c>
      <c r="F283" s="12">
        <f>D283/B283</f>
        <v/>
      </c>
      <c r="G283" s="8" t="n">
        <v>537.5549999999999</v>
      </c>
      <c r="H283" s="8" t="n">
        <v>1924.338</v>
      </c>
      <c r="J283" s="8">
        <f>('Census Crush'!$B282*36.7437/1000)-B283</f>
        <v/>
      </c>
      <c r="K283" s="7">
        <f>J283/('Census Crush'!$B282*36.7437/1000)</f>
        <v/>
      </c>
      <c r="M283" s="14" t="n">
        <v>5.238806451612903</v>
      </c>
      <c r="N283" s="15">
        <f>M283*355</f>
        <v/>
      </c>
      <c r="Q283" s="56">
        <f>B283/31</f>
        <v/>
      </c>
    </row>
    <row r="284" ht="13.5" customHeight="1">
      <c r="A284" s="6" t="n">
        <v>37653</v>
      </c>
      <c r="B284" s="8" t="n">
        <v>125.089</v>
      </c>
      <c r="C284" s="8" t="n">
        <v>2926.503</v>
      </c>
      <c r="D284" s="8" t="n">
        <v>1434.402</v>
      </c>
      <c r="E284" s="12">
        <f>(C284*2)/B284</f>
        <v/>
      </c>
      <c r="F284" s="12">
        <f>D284/B284</f>
        <v/>
      </c>
      <c r="G284" s="8" t="n">
        <v>465.546</v>
      </c>
      <c r="H284" s="8" t="n">
        <v>1833.381</v>
      </c>
      <c r="J284" s="8">
        <f>('Census Crush'!$B283*36.7437/1000)-B284</f>
        <v/>
      </c>
      <c r="K284" s="7">
        <f>J284/('Census Crush'!$B283*36.7437/1000)</f>
        <v/>
      </c>
      <c r="M284" s="14" t="n">
        <v>5.238785714285714</v>
      </c>
      <c r="N284" s="15">
        <f>M284*355</f>
        <v/>
      </c>
      <c r="Q284" s="56">
        <f>B284/28</f>
        <v/>
      </c>
    </row>
    <row r="285" ht="13.5" customHeight="1">
      <c r="A285" s="6" t="n">
        <v>37681</v>
      </c>
      <c r="B285" s="8" t="n">
        <v>138.126</v>
      </c>
      <c r="C285" s="8" t="n">
        <v>3252.577</v>
      </c>
      <c r="D285" s="8" t="n">
        <v>1586.149</v>
      </c>
      <c r="E285" s="12">
        <f>(C285*2)/B285</f>
        <v/>
      </c>
      <c r="F285" s="12">
        <f>D285/B285</f>
        <v/>
      </c>
      <c r="G285" s="8" t="n">
        <v>422.775</v>
      </c>
      <c r="H285" s="8" t="n">
        <v>1759.817</v>
      </c>
      <c r="J285" s="8">
        <f>('Census Crush'!$B284*36.7437/1000)-B285</f>
        <v/>
      </c>
      <c r="K285" s="7">
        <f>J285/('Census Crush'!$B284*36.7437/1000)</f>
        <v/>
      </c>
      <c r="M285" s="14" t="n">
        <v>5.238806451612903</v>
      </c>
      <c r="N285" s="15">
        <f>M285*355</f>
        <v/>
      </c>
      <c r="Q285" s="56">
        <f>B285/31</f>
        <v/>
      </c>
    </row>
    <row r="286" ht="13.5" customHeight="1">
      <c r="A286" s="6" t="n">
        <v>37712</v>
      </c>
      <c r="B286" s="8" t="n">
        <v>123.119</v>
      </c>
      <c r="C286" s="8" t="n">
        <v>2893.059</v>
      </c>
      <c r="D286" s="8" t="n">
        <v>1408.955</v>
      </c>
      <c r="E286" s="12">
        <f>(C286*2)/B286</f>
        <v/>
      </c>
      <c r="F286" s="12">
        <f>D286/B286</f>
        <v/>
      </c>
      <c r="G286" s="8" t="n">
        <v>356.472</v>
      </c>
      <c r="H286" s="8" t="n">
        <v>1692.61</v>
      </c>
      <c r="J286" s="8">
        <f>('Census Crush'!$B285*36.7437/1000)-B286</f>
        <v/>
      </c>
      <c r="K286" s="7">
        <f>J286/('Census Crush'!$B285*36.7437/1000)</f>
        <v/>
      </c>
      <c r="M286" s="14" t="n">
        <v>5.241766666666666</v>
      </c>
      <c r="N286" s="15">
        <f>M286*355</f>
        <v/>
      </c>
      <c r="Q286" s="56">
        <f>B286/30</f>
        <v/>
      </c>
    </row>
    <row r="287" ht="13.5" customHeight="1">
      <c r="A287" s="6" t="n">
        <v>37742</v>
      </c>
      <c r="B287" s="8" t="n">
        <v>125.413</v>
      </c>
      <c r="C287" s="8" t="n">
        <v>2954.787</v>
      </c>
      <c r="D287" s="8" t="n">
        <v>1442.584</v>
      </c>
      <c r="E287" s="12">
        <f>(C287*2)/B287</f>
        <v/>
      </c>
      <c r="F287" s="12">
        <f>D287/B287</f>
        <v/>
      </c>
      <c r="G287" s="8" t="n">
        <v>289.506</v>
      </c>
      <c r="H287" s="8" t="n">
        <v>1575.175</v>
      </c>
      <c r="J287" s="8">
        <f>('Census Crush'!$B286*36.7437/1000)-B287</f>
        <v/>
      </c>
      <c r="K287" s="7">
        <f>J287/('Census Crush'!$B286*36.7437/1000)</f>
        <v/>
      </c>
      <c r="M287" s="14" t="n">
        <v>5.241774193548387</v>
      </c>
      <c r="N287" s="15">
        <f>M287*355</f>
        <v/>
      </c>
      <c r="Q287" s="56">
        <f>B287/31</f>
        <v/>
      </c>
    </row>
    <row r="288" ht="13.5" customHeight="1">
      <c r="A288" s="6" t="n">
        <v>37773</v>
      </c>
      <c r="B288" s="8" t="n">
        <v>117.662</v>
      </c>
      <c r="C288" s="8" t="n">
        <v>2785.01</v>
      </c>
      <c r="D288" s="8" t="n">
        <v>1364.305</v>
      </c>
      <c r="E288" s="12">
        <f>(C288*2)/B288</f>
        <v/>
      </c>
      <c r="F288" s="12">
        <f>D288/B288</f>
        <v/>
      </c>
      <c r="G288" s="8" t="n">
        <v>205.167</v>
      </c>
      <c r="H288" s="8" t="n">
        <v>1466.739</v>
      </c>
      <c r="J288" s="8">
        <f>('Census Crush'!$B287*36.7437/1000)-B288</f>
        <v/>
      </c>
      <c r="K288" s="7">
        <f>J288/('Census Crush'!$B287*36.7437/1000)</f>
        <v/>
      </c>
      <c r="M288" s="14" t="n">
        <v>5.241766666666666</v>
      </c>
      <c r="N288" s="15">
        <f>M288*355</f>
        <v/>
      </c>
      <c r="Q288" s="56">
        <f>B288/30</f>
        <v/>
      </c>
    </row>
    <row r="289" ht="13.5" customHeight="1">
      <c r="A289" s="6" t="n">
        <v>37803</v>
      </c>
      <c r="B289" s="8" t="n">
        <v>125.76</v>
      </c>
      <c r="C289" s="8" t="n">
        <v>2972.698</v>
      </c>
      <c r="D289" s="8" t="n">
        <v>1452.874</v>
      </c>
      <c r="E289" s="12">
        <f>(C289*2)/B289</f>
        <v/>
      </c>
      <c r="F289" s="12">
        <f>D289/B289</f>
        <v/>
      </c>
      <c r="G289" s="8" t="n">
        <v>258.201</v>
      </c>
      <c r="H289" s="8" t="n">
        <v>1286.816</v>
      </c>
      <c r="J289" s="8">
        <f>('Census Crush'!$B288*36.7437/1000)-B289</f>
        <v/>
      </c>
      <c r="K289" s="7">
        <f>J289/('Census Crush'!$B288*36.7437/1000)</f>
        <v/>
      </c>
      <c r="M289" s="14" t="n">
        <v>5.102870967741935</v>
      </c>
      <c r="N289" s="15">
        <f>M289*355</f>
        <v/>
      </c>
      <c r="Q289" s="56">
        <f>B289/31</f>
        <v/>
      </c>
    </row>
    <row r="290" ht="13.5" customHeight="1">
      <c r="A290" s="6" t="n">
        <v>37834</v>
      </c>
      <c r="B290" s="8" t="n">
        <v>121.222</v>
      </c>
      <c r="C290" s="8" t="n">
        <v>2859.081</v>
      </c>
      <c r="D290" s="8" t="n">
        <v>1402.781</v>
      </c>
      <c r="E290" s="12">
        <f>(C290*2)/B290</f>
        <v/>
      </c>
      <c r="F290" s="12">
        <f>D290/B290</f>
        <v/>
      </c>
      <c r="G290" s="8" t="n">
        <v>322.746</v>
      </c>
      <c r="H290" s="8" t="n">
        <v>1218.399</v>
      </c>
      <c r="J290" s="8">
        <f>('Census Crush'!$B289*36.7437/1000)-B290</f>
        <v/>
      </c>
      <c r="K290" s="7">
        <f>J290/('Census Crush'!$B289*36.7437/1000)</f>
        <v/>
      </c>
      <c r="M290" s="14" t="n">
        <v>5.102870967741935</v>
      </c>
      <c r="N290" s="15">
        <f>M290*355</f>
        <v/>
      </c>
      <c r="Q290" s="56">
        <f>B290/31</f>
        <v/>
      </c>
    </row>
    <row r="291" ht="13.5" customHeight="1">
      <c r="A291" s="6" t="n">
        <v>37865</v>
      </c>
      <c r="B291" s="8" t="n">
        <v>123.173</v>
      </c>
      <c r="C291" s="8" t="n">
        <v>2899.334</v>
      </c>
      <c r="D291" s="8" t="n">
        <v>1404.068</v>
      </c>
      <c r="E291" s="12">
        <f>(C291*2)/B291</f>
        <v/>
      </c>
      <c r="F291" s="12">
        <f>D291/B291</f>
        <v/>
      </c>
      <c r="G291" s="8" t="n">
        <v>300.653</v>
      </c>
      <c r="H291" s="8" t="n">
        <v>1080.14</v>
      </c>
      <c r="J291" s="8">
        <f>('Census Crush'!$B290*36.7437/1000)-B291</f>
        <v/>
      </c>
      <c r="K291" s="7">
        <f>J291/('Census Crush'!$B290*36.7437/1000)</f>
        <v/>
      </c>
      <c r="M291" s="14" t="n">
        <v>5.1029</v>
      </c>
      <c r="N291" s="15">
        <f>M291*355</f>
        <v/>
      </c>
      <c r="Q291" s="56">
        <f>B291/30</f>
        <v/>
      </c>
    </row>
    <row r="292" ht="13.5" customHeight="1">
      <c r="A292" s="6" t="n">
        <v>37895</v>
      </c>
      <c r="B292" s="8" t="n">
        <v>141.57</v>
      </c>
      <c r="C292" s="8" t="n">
        <v>3340.973</v>
      </c>
      <c r="D292" s="8" t="n">
        <v>1588.965</v>
      </c>
      <c r="E292" s="12">
        <f>(C292*2)/B292</f>
        <v/>
      </c>
      <c r="F292" s="12">
        <f>D292/B292</f>
        <v/>
      </c>
      <c r="G292" s="8" t="n">
        <v>457.204</v>
      </c>
      <c r="H292" s="8" t="n">
        <v>1043.633</v>
      </c>
      <c r="J292" s="8">
        <f>('Census Crush'!$B291*36.7437/1000)-B292</f>
        <v/>
      </c>
      <c r="K292" s="7">
        <f>J292/('Census Crush'!$B291*36.7437/1000)</f>
        <v/>
      </c>
      <c r="M292" s="14" t="n">
        <v>5.113935483870968</v>
      </c>
      <c r="N292" s="15">
        <f>M292*355</f>
        <v/>
      </c>
      <c r="Q292" s="56">
        <f>B292/31</f>
        <v/>
      </c>
    </row>
    <row r="293" ht="13.5" customHeight="1">
      <c r="A293" s="6" t="n">
        <v>37926</v>
      </c>
      <c r="B293" s="8" t="n">
        <v>140.294</v>
      </c>
      <c r="C293" s="8" t="n">
        <v>3331.424</v>
      </c>
      <c r="D293" s="8" t="n">
        <v>1561.878</v>
      </c>
      <c r="E293" s="12">
        <f>(C293*2)/B293</f>
        <v/>
      </c>
      <c r="F293" s="12">
        <f>D293/B293</f>
        <v/>
      </c>
      <c r="G293" s="8" t="n">
        <v>489.485</v>
      </c>
      <c r="H293" s="8" t="n">
        <v>1126.184</v>
      </c>
      <c r="J293" s="8">
        <f>('Census Crush'!$B292*36.7437/1000)-B293</f>
        <v/>
      </c>
      <c r="K293" s="7">
        <f>J293/('Census Crush'!$B292*36.7437/1000)</f>
        <v/>
      </c>
      <c r="M293" s="14" t="n">
        <v>5.113933333333334</v>
      </c>
      <c r="N293" s="15">
        <f>M293*355</f>
        <v/>
      </c>
      <c r="Q293" s="56">
        <f>B293/30</f>
        <v/>
      </c>
    </row>
    <row r="294" ht="13.5" customHeight="1">
      <c r="A294" s="6" t="n">
        <v>37956</v>
      </c>
      <c r="B294" s="8" t="n">
        <v>138.403</v>
      </c>
      <c r="C294" s="8" t="n">
        <v>3292.242</v>
      </c>
      <c r="D294" s="8" t="n">
        <v>1534.537</v>
      </c>
      <c r="E294" s="12">
        <f>(C294*2)/B294</f>
        <v/>
      </c>
      <c r="F294" s="12">
        <f>D294/B294</f>
        <v/>
      </c>
      <c r="G294" s="8" t="n">
        <v>566.226</v>
      </c>
      <c r="H294" s="8" t="n">
        <v>1203.343</v>
      </c>
      <c r="J294" s="8">
        <f>('Census Crush'!$B293*36.7437/1000)-B294</f>
        <v/>
      </c>
      <c r="K294" s="7">
        <f>J294/('Census Crush'!$B293*36.7437/1000)</f>
        <v/>
      </c>
      <c r="M294" s="14" t="n">
        <v>5.113935483870968</v>
      </c>
      <c r="N294" s="15">
        <f>M294*355</f>
        <v/>
      </c>
      <c r="Q294" s="56">
        <f>B294/31</f>
        <v/>
      </c>
    </row>
    <row r="295" ht="13.5" customHeight="1">
      <c r="A295" s="6" t="n">
        <v>37987</v>
      </c>
      <c r="B295" s="8" t="n">
        <v>138.05</v>
      </c>
      <c r="C295" s="8" t="n">
        <v>3283.012</v>
      </c>
      <c r="D295" s="8" t="n">
        <v>1545.645</v>
      </c>
      <c r="E295" s="12">
        <f>(C295*2)/B295</f>
        <v/>
      </c>
      <c r="F295" s="12">
        <f>D295/B295</f>
        <v/>
      </c>
      <c r="G295" s="8" t="n">
        <v>495.9</v>
      </c>
      <c r="H295" s="8" t="n">
        <v>1147.85</v>
      </c>
      <c r="J295" s="8">
        <f>('Census Crush'!$B294*36.7437/1000)-B295</f>
        <v/>
      </c>
      <c r="K295" s="7">
        <f>J295/('Census Crush'!$B294*36.7437/1000)</f>
        <v/>
      </c>
      <c r="M295" s="14" t="n">
        <v>5.240516129032257</v>
      </c>
      <c r="N295" s="15">
        <f>M295*355</f>
        <v/>
      </c>
      <c r="Q295" s="56">
        <f>B295/31</f>
        <v/>
      </c>
    </row>
    <row r="296" ht="13.5" customHeight="1">
      <c r="A296" s="6" t="n">
        <v>38018</v>
      </c>
      <c r="B296" s="8" t="n">
        <v>124.154</v>
      </c>
      <c r="C296" s="8" t="n">
        <v>2957.868</v>
      </c>
      <c r="D296" s="8" t="n">
        <v>1390.751</v>
      </c>
      <c r="E296" s="12">
        <f>(C296*2)/B296</f>
        <v/>
      </c>
      <c r="F296" s="12">
        <f>D296/B296</f>
        <v/>
      </c>
      <c r="G296" s="8" t="n">
        <v>358.371</v>
      </c>
      <c r="H296" s="8" t="n">
        <v>1507.386</v>
      </c>
      <c r="J296" s="8">
        <f>('Census Crush'!$B295*36.7437/1000)-B296</f>
        <v/>
      </c>
      <c r="K296" s="7">
        <f>J296/('Census Crush'!$B295*36.7437/1000)</f>
        <v/>
      </c>
      <c r="M296" s="14" t="n">
        <v>5.23896551724138</v>
      </c>
      <c r="N296" s="15">
        <f>M296*355</f>
        <v/>
      </c>
      <c r="Q296" s="56">
        <f>B296/29</f>
        <v/>
      </c>
    </row>
    <row r="297" ht="13.5" customHeight="1">
      <c r="A297" s="6" t="n">
        <v>38047</v>
      </c>
      <c r="B297" s="8" t="n">
        <v>121.429</v>
      </c>
      <c r="C297" s="8" t="n">
        <v>2886.703</v>
      </c>
      <c r="D297" s="8" t="n">
        <v>1376.086</v>
      </c>
      <c r="E297" s="12">
        <f>(C297*2)/B297</f>
        <v/>
      </c>
      <c r="F297" s="12">
        <f>D297/B297</f>
        <v/>
      </c>
      <c r="G297" s="8" t="n">
        <v>245.887</v>
      </c>
      <c r="H297" s="8" t="n">
        <v>1392.092</v>
      </c>
      <c r="J297" s="8">
        <f>('Census Crush'!$B296*36.7437/1000)-B297</f>
        <v/>
      </c>
      <c r="K297" s="7">
        <f>J297/('Census Crush'!$B296*36.7437/1000)</f>
        <v/>
      </c>
      <c r="M297" s="14" t="n">
        <v>5.240516129032257</v>
      </c>
      <c r="N297" s="15">
        <f>M297*355</f>
        <v/>
      </c>
      <c r="Q297" s="56">
        <f>B297/31</f>
        <v/>
      </c>
    </row>
    <row r="298" ht="13.5" customHeight="1">
      <c r="A298" s="6" t="n">
        <v>38078</v>
      </c>
      <c r="B298" s="8" t="n">
        <v>105.373</v>
      </c>
      <c r="C298" s="8" t="n">
        <v>2506.882</v>
      </c>
      <c r="D298" s="8" t="n">
        <v>1189.111</v>
      </c>
      <c r="E298" s="12">
        <f>(C298*2)/B298</f>
        <v/>
      </c>
      <c r="F298" s="12">
        <f>D298/B298</f>
        <v/>
      </c>
      <c r="G298" s="8" t="n">
        <v>129.014</v>
      </c>
      <c r="H298" s="8" t="n">
        <v>1214.508</v>
      </c>
      <c r="J298" s="8">
        <f>('Census Crush'!$B297*36.7437/1000)-B298</f>
        <v/>
      </c>
      <c r="K298" s="7">
        <f>J298/('Census Crush'!$B297*36.7437/1000)</f>
        <v/>
      </c>
      <c r="M298" s="14" t="n">
        <v>5.2403</v>
      </c>
      <c r="N298" s="15">
        <f>M298*355</f>
        <v/>
      </c>
      <c r="Q298" s="56">
        <f>B298/30</f>
        <v/>
      </c>
    </row>
    <row r="299" ht="13.5" customHeight="1">
      <c r="A299" s="6" t="n">
        <v>38108</v>
      </c>
      <c r="B299" s="8" t="n">
        <v>109.916</v>
      </c>
      <c r="C299" s="8" t="n">
        <v>2610.143</v>
      </c>
      <c r="D299" s="8" t="n">
        <v>1244.216</v>
      </c>
      <c r="E299" s="12">
        <f>(C299*2)/B299</f>
        <v/>
      </c>
      <c r="F299" s="12">
        <f>D299/B299</f>
        <v/>
      </c>
      <c r="G299" s="8" t="n">
        <v>117.075</v>
      </c>
      <c r="H299" s="8" t="n">
        <v>1193.665</v>
      </c>
      <c r="J299" s="8">
        <f>('Census Crush'!$B298*36.7437/1000)-B299</f>
        <v/>
      </c>
      <c r="K299" s="7">
        <f>J299/('Census Crush'!$B298*36.7437/1000)</f>
        <v/>
      </c>
      <c r="M299" s="14" t="n">
        <v>5.240322580645161</v>
      </c>
      <c r="N299" s="15">
        <f>M299*355</f>
        <v/>
      </c>
      <c r="Q299" s="56">
        <f>B299/31</f>
        <v/>
      </c>
    </row>
    <row r="300" ht="13.5" customHeight="1">
      <c r="A300" s="6" t="n">
        <v>38139</v>
      </c>
      <c r="B300" s="8" t="n">
        <v>102.421</v>
      </c>
      <c r="C300" s="8" t="n">
        <v>2442.682</v>
      </c>
      <c r="D300" s="8" t="n">
        <v>1165.85</v>
      </c>
      <c r="E300" s="12">
        <f>(C300*2)/B300</f>
        <v/>
      </c>
      <c r="F300" s="12">
        <f>D300/B300</f>
        <v/>
      </c>
      <c r="G300" s="8" t="n">
        <v>73.833</v>
      </c>
      <c r="H300" s="8" t="n">
        <v>1145.138</v>
      </c>
      <c r="J300" s="8">
        <f>('Census Crush'!$B299*36.7437/1000)-B300</f>
        <v/>
      </c>
      <c r="K300" s="7">
        <f>J300/('Census Crush'!$B299*36.7437/1000)</f>
        <v/>
      </c>
      <c r="M300" s="14" t="n">
        <v>5.2403</v>
      </c>
      <c r="N300" s="15">
        <f>M300*355</f>
        <v/>
      </c>
      <c r="Q300" s="56">
        <f>B300/30</f>
        <v/>
      </c>
    </row>
    <row r="301" ht="13.5" customHeight="1">
      <c r="A301" s="6" t="n">
        <v>38169</v>
      </c>
      <c r="B301" s="8" t="n">
        <v>108.66</v>
      </c>
      <c r="C301" s="8" t="n">
        <v>2588.404</v>
      </c>
      <c r="D301" s="8" t="n">
        <v>1235.888</v>
      </c>
      <c r="E301" s="12">
        <f>(C301*2)/B301</f>
        <v/>
      </c>
      <c r="F301" s="12">
        <f>D301/B301</f>
        <v/>
      </c>
      <c r="G301" s="8" t="n">
        <v>90.461</v>
      </c>
      <c r="H301" s="8" t="n">
        <v>1022.985</v>
      </c>
      <c r="J301" s="8">
        <f>('Census Crush'!$B300*36.7437/1000)-B301</f>
        <v/>
      </c>
      <c r="K301" s="7">
        <f>J301/('Census Crush'!$B300*36.7437/1000)</f>
        <v/>
      </c>
      <c r="M301" s="14" t="n">
        <v>5.243483870967742</v>
      </c>
      <c r="N301" s="15">
        <f>M301*355</f>
        <v/>
      </c>
      <c r="Q301" s="56">
        <f>B301/31</f>
        <v/>
      </c>
    </row>
    <row r="302" ht="13.5" customHeight="1">
      <c r="A302" s="6" t="n">
        <v>38200</v>
      </c>
      <c r="B302" s="8" t="n">
        <v>96.494</v>
      </c>
      <c r="C302" s="8" t="n">
        <v>2314.626</v>
      </c>
      <c r="D302" s="8" t="n">
        <v>1118.631</v>
      </c>
      <c r="E302" s="12">
        <f>(C302*2)/B302</f>
        <v/>
      </c>
      <c r="F302" s="12">
        <f>D302/B302</f>
        <v/>
      </c>
      <c r="G302" s="8" t="n">
        <v>46.213</v>
      </c>
      <c r="H302" s="8" t="n">
        <v>868.556</v>
      </c>
      <c r="J302" s="8">
        <f>('Census Crush'!$B301*36.7437/1000)-B302</f>
        <v/>
      </c>
      <c r="K302" s="7">
        <f>J302/('Census Crush'!$B301*36.7437/1000)</f>
        <v/>
      </c>
      <c r="M302" s="14" t="n">
        <v>5.243451612903225</v>
      </c>
      <c r="N302" s="15">
        <f>M302*355</f>
        <v/>
      </c>
      <c r="Q302" s="56">
        <f>B302/31</f>
        <v/>
      </c>
    </row>
    <row r="303" ht="13.5" customHeight="1">
      <c r="A303" s="6" t="n">
        <v>38231</v>
      </c>
      <c r="B303" s="8" t="n">
        <v>113.969</v>
      </c>
      <c r="C303" s="8" t="n">
        <v>2699.884</v>
      </c>
      <c r="D303" s="8" t="n">
        <v>1313.162</v>
      </c>
      <c r="E303" s="12">
        <f>(C303*2)/B303</f>
        <v/>
      </c>
      <c r="F303" s="12">
        <f>D303/B303</f>
        <v/>
      </c>
      <c r="G303" s="8" t="n">
        <v>111.667</v>
      </c>
      <c r="H303" s="8" t="n">
        <v>797.369</v>
      </c>
      <c r="J303" s="8">
        <f>('Census Crush'!$B302*36.7437/1000)-B303</f>
        <v/>
      </c>
      <c r="K303" s="7">
        <f>J303/('Census Crush'!$B302*36.7437/1000)</f>
        <v/>
      </c>
      <c r="M303" s="14" t="n">
        <v>5.2435</v>
      </c>
      <c r="N303" s="15">
        <f>M303*355</f>
        <v/>
      </c>
      <c r="Q303" s="56">
        <f>B303/30</f>
        <v/>
      </c>
    </row>
    <row r="304" ht="13.5" customHeight="1">
      <c r="A304" s="6" t="n">
        <v>38261</v>
      </c>
      <c r="B304" s="8" t="n">
        <v>148.136</v>
      </c>
      <c r="C304" s="8" t="n">
        <v>3500.666</v>
      </c>
      <c r="D304" s="8" t="n">
        <v>1685.494</v>
      </c>
      <c r="E304" s="12">
        <f>(C304*2)/B304</f>
        <v/>
      </c>
      <c r="F304" s="12">
        <f>D304/B304</f>
        <v/>
      </c>
      <c r="G304" s="8" t="n">
        <v>479.675</v>
      </c>
      <c r="H304" s="8" t="n">
        <v>882.451</v>
      </c>
      <c r="J304" s="8">
        <f>('Census Crush'!$B303*36.7437/1000)-B304</f>
        <v/>
      </c>
      <c r="K304" s="7">
        <f>J304/('Census Crush'!$B303*36.7437/1000)</f>
        <v/>
      </c>
      <c r="M304" s="14" t="n">
        <v>5.327225806451613</v>
      </c>
      <c r="N304" s="15">
        <f>M304*355</f>
        <v/>
      </c>
      <c r="Q304" s="56">
        <f>B304/31</f>
        <v/>
      </c>
    </row>
    <row r="305" ht="13.5" customHeight="1">
      <c r="A305" s="6" t="n">
        <v>38292</v>
      </c>
      <c r="B305" s="8" t="n">
        <v>144.383</v>
      </c>
      <c r="C305" s="8" t="n">
        <v>3413.017</v>
      </c>
      <c r="D305" s="8" t="n">
        <v>1620.105</v>
      </c>
      <c r="E305" s="12">
        <f>(C305*2)/B305</f>
        <v/>
      </c>
      <c r="F305" s="12">
        <f>D305/B305</f>
        <v/>
      </c>
      <c r="G305" s="8" t="n">
        <v>604.564</v>
      </c>
      <c r="H305" s="8" t="n">
        <v>886.2859999999999</v>
      </c>
      <c r="J305" s="8">
        <f>('Census Crush'!$B304*36.7437/1000)-B305</f>
        <v/>
      </c>
      <c r="K305" s="7">
        <f>J305/('Census Crush'!$B304*36.7437/1000)</f>
        <v/>
      </c>
      <c r="M305" s="14" t="n">
        <v>5.3272</v>
      </c>
      <c r="N305" s="15">
        <f>M305*355</f>
        <v/>
      </c>
      <c r="Q305" s="56">
        <f>B305/30</f>
        <v/>
      </c>
    </row>
    <row r="306" ht="13.5" customHeight="1">
      <c r="A306" s="6" t="n">
        <v>38322</v>
      </c>
      <c r="B306" s="8" t="n">
        <v>143.389</v>
      </c>
      <c r="C306" s="8" t="n">
        <v>3393.629</v>
      </c>
      <c r="D306" s="8" t="n">
        <v>1617.177</v>
      </c>
      <c r="E306" s="12">
        <f>(C306*2)/B306</f>
        <v/>
      </c>
      <c r="F306" s="12">
        <f>D306/B306</f>
        <v/>
      </c>
      <c r="G306" s="8" t="n">
        <v>572.651</v>
      </c>
      <c r="H306" s="8" t="n">
        <v>973.3869999999999</v>
      </c>
      <c r="J306" s="8">
        <f>('Census Crush'!$B305*36.7437/1000)-B306</f>
        <v/>
      </c>
      <c r="K306" s="7">
        <f>J306/('Census Crush'!$B305*36.7437/1000)</f>
        <v/>
      </c>
      <c r="M306" s="14" t="n">
        <v>5.339193548387096</v>
      </c>
      <c r="N306" s="15">
        <f>M306*355</f>
        <v/>
      </c>
      <c r="Q306" s="56">
        <f>B306/31</f>
        <v/>
      </c>
    </row>
    <row r="307" ht="13.5" customHeight="1">
      <c r="A307" s="6" t="n">
        <v>38353</v>
      </c>
      <c r="B307" s="8" t="n">
        <v>141.379</v>
      </c>
      <c r="C307" s="8" t="n">
        <v>3364.378</v>
      </c>
      <c r="D307" s="8" t="n">
        <v>1604.882</v>
      </c>
      <c r="E307" s="12">
        <f>(C307*2)/B307</f>
        <v/>
      </c>
      <c r="F307" s="12">
        <f>D307/B307</f>
        <v/>
      </c>
      <c r="G307" s="8" t="n">
        <v>531.981</v>
      </c>
      <c r="H307" s="8" t="n">
        <v>1216.911</v>
      </c>
      <c r="J307" s="8">
        <f>('Census Crush'!$B306*36.7437/1000)-B307</f>
        <v/>
      </c>
      <c r="K307" s="7">
        <f>J307/('Census Crush'!$B306*36.7437/1000)</f>
        <v/>
      </c>
      <c r="M307" s="14" t="n">
        <v>5.339193548387096</v>
      </c>
      <c r="N307" s="15">
        <f>M307*355</f>
        <v/>
      </c>
      <c r="Q307" s="56">
        <f>B307/31</f>
        <v/>
      </c>
    </row>
    <row r="308" ht="13.5" customHeight="1">
      <c r="A308" s="6" t="n">
        <v>38384</v>
      </c>
      <c r="B308" s="8" t="n">
        <v>131.116</v>
      </c>
      <c r="C308" s="8" t="n">
        <v>3123.448</v>
      </c>
      <c r="D308" s="8" t="n">
        <v>1498.961</v>
      </c>
      <c r="E308" s="12">
        <f>(C308*2)/B308</f>
        <v/>
      </c>
      <c r="F308" s="12">
        <f>D308/B308</f>
        <v/>
      </c>
      <c r="G308" s="8" t="n">
        <v>495.575</v>
      </c>
      <c r="H308" s="8" t="n">
        <v>1247.501</v>
      </c>
      <c r="J308" s="8">
        <f>('Census Crush'!$B307*36.7437/1000)-B308</f>
        <v/>
      </c>
      <c r="K308" s="7">
        <f>J308/('Census Crush'!$B307*36.7437/1000)</f>
        <v/>
      </c>
      <c r="M308" s="14" t="n">
        <v>5.339214285714285</v>
      </c>
      <c r="N308" s="15">
        <f>M308*355</f>
        <v/>
      </c>
      <c r="Q308" s="56">
        <f>B308/28</f>
        <v/>
      </c>
    </row>
    <row r="309" ht="13.5" customHeight="1">
      <c r="A309" s="6" t="n">
        <v>38412</v>
      </c>
      <c r="B309" s="8" t="n">
        <v>141.813</v>
      </c>
      <c r="C309" s="8" t="n">
        <v>3379.698</v>
      </c>
      <c r="D309" s="8" t="n">
        <v>1621.041</v>
      </c>
      <c r="E309" s="12">
        <f>(C309*2)/B309</f>
        <v/>
      </c>
      <c r="F309" s="12">
        <f>D309/B309</f>
        <v/>
      </c>
      <c r="G309" s="8" t="n">
        <v>454.246</v>
      </c>
      <c r="H309" s="8" t="n">
        <v>1369.362</v>
      </c>
      <c r="J309" s="8">
        <f>('Census Crush'!$B308*36.7437/1000)-B309</f>
        <v/>
      </c>
      <c r="K309" s="7">
        <f>J309/('Census Crush'!$B308*36.7437/1000)</f>
        <v/>
      </c>
      <c r="M309" s="14" t="n">
        <v>5.339193548387096</v>
      </c>
      <c r="N309" s="15">
        <f>M309*355</f>
        <v/>
      </c>
      <c r="Q309" s="56">
        <f>B309/31</f>
        <v/>
      </c>
    </row>
    <row r="310" ht="13.5" customHeight="1">
      <c r="A310" s="6" t="n">
        <v>38443</v>
      </c>
      <c r="B310" s="8" t="n">
        <v>134.185</v>
      </c>
      <c r="C310" s="8" t="n">
        <v>3194.905</v>
      </c>
      <c r="D310" s="8" t="n">
        <v>1528.401</v>
      </c>
      <c r="E310" s="12">
        <f>(C310*2)/B310</f>
        <v/>
      </c>
      <c r="F310" s="12">
        <f>D310/B310</f>
        <v/>
      </c>
      <c r="G310" s="8" t="n">
        <v>417.783</v>
      </c>
      <c r="H310" s="8" t="n">
        <v>1476.698</v>
      </c>
      <c r="J310" s="8">
        <f>('Census Crush'!$B309*36.7437/1000)-B310</f>
        <v/>
      </c>
      <c r="K310" s="7">
        <f>J310/('Census Crush'!$B309*36.7437/1000)</f>
        <v/>
      </c>
      <c r="M310" s="14" t="n">
        <v>5.338399999999999</v>
      </c>
      <c r="N310" s="15">
        <f>M310*355</f>
        <v/>
      </c>
      <c r="Q310" s="56">
        <f>B310/30</f>
        <v/>
      </c>
    </row>
    <row r="311" ht="13.5" customHeight="1">
      <c r="A311" s="6" t="n">
        <v>38473</v>
      </c>
      <c r="B311" s="8" t="n">
        <v>136.693</v>
      </c>
      <c r="C311" s="8" t="n">
        <v>3245.52</v>
      </c>
      <c r="D311" s="8" t="n">
        <v>1559.42</v>
      </c>
      <c r="E311" s="12">
        <f>(C311*2)/B311</f>
        <v/>
      </c>
      <c r="F311" s="12">
        <f>D311/B311</f>
        <v/>
      </c>
      <c r="G311" s="8" t="n">
        <v>330.692</v>
      </c>
      <c r="H311" s="8" t="n">
        <v>1571.296</v>
      </c>
      <c r="J311" s="8">
        <f>('Census Crush'!$B310*36.7437/1000)-B311</f>
        <v/>
      </c>
      <c r="K311" s="7">
        <f>J311/('Census Crush'!$B310*36.7437/1000)</f>
        <v/>
      </c>
      <c r="M311" s="14" t="n">
        <v>5.33841935483871</v>
      </c>
      <c r="N311" s="15">
        <f>M311*355</f>
        <v/>
      </c>
      <c r="Q311" s="56">
        <f>B311/31</f>
        <v/>
      </c>
    </row>
    <row r="312" ht="13.5" customHeight="1">
      <c r="A312" s="6" t="n">
        <v>38504</v>
      </c>
      <c r="B312" s="8" t="n">
        <v>125.257</v>
      </c>
      <c r="C312" s="8" t="n">
        <v>2985.353</v>
      </c>
      <c r="D312" s="8" t="n">
        <v>1563.877</v>
      </c>
      <c r="E312" s="12">
        <f>(C312*2)/B312</f>
        <v/>
      </c>
      <c r="F312" s="12">
        <f>D312/B312</f>
        <v/>
      </c>
      <c r="G312" s="8" t="n">
        <v>393.451</v>
      </c>
      <c r="H312" s="8" t="n">
        <v>1563.877</v>
      </c>
      <c r="J312" s="8">
        <f>('Census Crush'!$B311*36.7437/1000)-B312</f>
        <v/>
      </c>
      <c r="K312" s="7">
        <f>J312/('Census Crush'!$B311*36.7437/1000)</f>
        <v/>
      </c>
      <c r="M312" s="14" t="n">
        <v>5.338399999999999</v>
      </c>
      <c r="N312" s="15">
        <f>M312*355</f>
        <v/>
      </c>
      <c r="Q312" s="56">
        <f>B312/30</f>
        <v/>
      </c>
    </row>
    <row r="313" ht="13.5" customHeight="1">
      <c r="A313" s="6" t="n">
        <v>38534</v>
      </c>
      <c r="B313" s="8" t="n">
        <v>133.787</v>
      </c>
      <c r="C313" s="8" t="n">
        <v>3176.793</v>
      </c>
      <c r="D313" s="8" t="n">
        <v>1526.185</v>
      </c>
      <c r="E313" s="12">
        <f>(C313*2)/B313</f>
        <v/>
      </c>
      <c r="F313" s="12">
        <f>D313/B313</f>
        <v/>
      </c>
      <c r="G313" s="8" t="n">
        <v>383.643</v>
      </c>
      <c r="H313" s="8" t="n">
        <v>1575.961</v>
      </c>
      <c r="J313" s="8">
        <f>('Census Crush'!$B312*36.7437/1000)-B313</f>
        <v/>
      </c>
      <c r="K313" s="7">
        <f>J313/('Census Crush'!$B312*36.7437/1000)</f>
        <v/>
      </c>
      <c r="M313" s="14" t="n">
        <v>5.342064516129033</v>
      </c>
      <c r="N313" s="15">
        <f>M313*355</f>
        <v/>
      </c>
      <c r="Q313" s="56">
        <f>B313/31</f>
        <v/>
      </c>
    </row>
    <row r="314" ht="13.5" customHeight="1">
      <c r="A314" s="6" t="n">
        <v>38565</v>
      </c>
      <c r="B314" s="8" t="n">
        <v>123.213</v>
      </c>
      <c r="C314" s="8" t="n">
        <v>2941.385</v>
      </c>
      <c r="D314" s="8" t="n">
        <v>1409.602</v>
      </c>
      <c r="E314" s="12">
        <f>(C314*2)/B314</f>
        <v/>
      </c>
      <c r="F314" s="12">
        <f>D314/B314</f>
        <v/>
      </c>
      <c r="G314" s="8" t="n">
        <v>325.53</v>
      </c>
      <c r="H314" s="8" t="n">
        <v>1412.193</v>
      </c>
      <c r="J314" s="8">
        <f>('Census Crush'!$B313*36.7437/1000)-B314</f>
        <v/>
      </c>
      <c r="K314" s="7">
        <f>J314/('Census Crush'!$B313*36.7437/1000)</f>
        <v/>
      </c>
      <c r="M314" s="14" t="n">
        <v>5.342064516129033</v>
      </c>
      <c r="N314" s="15">
        <f>M314*355</f>
        <v/>
      </c>
      <c r="Q314" s="56">
        <f>B314/31</f>
        <v/>
      </c>
    </row>
    <row r="315" ht="13.5" customHeight="1">
      <c r="A315" s="6" t="n">
        <v>38596</v>
      </c>
      <c r="B315" s="8" t="n">
        <v>127.101</v>
      </c>
      <c r="C315" s="8" t="n">
        <v>3000.819</v>
      </c>
      <c r="D315" s="8" t="n">
        <v>1468.8</v>
      </c>
      <c r="E315" s="12">
        <f>(C315*2)/B315</f>
        <v/>
      </c>
      <c r="F315" s="12">
        <f>D315/B315</f>
        <v/>
      </c>
      <c r="G315" s="8" t="n">
        <v>282.869</v>
      </c>
      <c r="H315" s="8" t="n">
        <v>1374.458</v>
      </c>
      <c r="J315" s="8">
        <f>('Census Crush'!$B314*36.7437/1000)-B315</f>
        <v/>
      </c>
      <c r="K315" s="7">
        <f>J315/('Census Crush'!$B314*36.7437/1000)</f>
        <v/>
      </c>
      <c r="M315" s="14" t="n">
        <v>5.342066666666667</v>
      </c>
      <c r="N315" s="15">
        <f>M315*355</f>
        <v/>
      </c>
      <c r="Q315" s="56">
        <f>B315/30</f>
        <v/>
      </c>
    </row>
    <row r="316" ht="13.5" customHeight="1">
      <c r="A316" s="6" t="n">
        <v>38626</v>
      </c>
      <c r="B316" s="8" t="n">
        <v>150.859</v>
      </c>
      <c r="C316" s="8" t="n">
        <v>3531.741</v>
      </c>
      <c r="D316" s="8" t="n">
        <v>1757.227</v>
      </c>
      <c r="E316" s="12">
        <f>(C316*2)/B316</f>
        <v/>
      </c>
      <c r="F316" s="12">
        <f>D316/B316</f>
        <v/>
      </c>
      <c r="G316" s="8" t="n">
        <v>413.447</v>
      </c>
      <c r="H316" s="8" t="n">
        <v>1495.141</v>
      </c>
      <c r="J316" s="8">
        <f>('Census Crush'!$B315*36.7437/1000)-B316</f>
        <v/>
      </c>
      <c r="K316" s="7">
        <f>J316/('Census Crush'!$B315*36.7437/1000)</f>
        <v/>
      </c>
      <c r="M316" s="14" t="n">
        <v>5.263645161290323</v>
      </c>
      <c r="N316" s="15">
        <f>M316*355</f>
        <v/>
      </c>
      <c r="Q316" s="56">
        <f>B316/31</f>
        <v/>
      </c>
    </row>
    <row r="317" ht="13.5" customHeight="1">
      <c r="A317" s="6" t="n">
        <v>38657</v>
      </c>
      <c r="B317" s="8" t="n">
        <v>144.933</v>
      </c>
      <c r="C317" s="8" t="n">
        <v>3398.769</v>
      </c>
      <c r="D317" s="8" t="n">
        <v>1679.284</v>
      </c>
      <c r="E317" s="12">
        <f>(C317*2)/B317</f>
        <v/>
      </c>
      <c r="F317" s="12">
        <f>D317/B317</f>
        <v/>
      </c>
      <c r="G317" s="8" t="n">
        <v>615.466</v>
      </c>
      <c r="H317" s="8" t="n">
        <v>1608.231</v>
      </c>
      <c r="J317" s="8">
        <f>('Census Crush'!$B316*36.7437/1000)-B317</f>
        <v/>
      </c>
      <c r="K317" s="7">
        <f>J317/('Census Crush'!$B316*36.7437/1000)</f>
        <v/>
      </c>
      <c r="M317" s="14" t="n">
        <v>5.263666666666666</v>
      </c>
      <c r="N317" s="15">
        <f>M317*355</f>
        <v/>
      </c>
      <c r="Q317" s="56">
        <f>B317/30</f>
        <v/>
      </c>
    </row>
    <row r="318" ht="13.5" customHeight="1">
      <c r="A318" s="6" t="n">
        <v>38687</v>
      </c>
      <c r="B318" s="8" t="n">
        <v>142.245</v>
      </c>
      <c r="C318" s="8" t="n">
        <v>3348.487</v>
      </c>
      <c r="D318" s="8" t="n">
        <v>1656.5</v>
      </c>
      <c r="E318" s="12">
        <f>(C318*2)/B318</f>
        <v/>
      </c>
      <c r="F318" s="12">
        <f>D318/B318</f>
        <v/>
      </c>
      <c r="G318" s="8" t="n">
        <v>417.437</v>
      </c>
      <c r="H318" s="8" t="n">
        <v>1829.485</v>
      </c>
      <c r="J318" s="8">
        <f>('Census Crush'!$B317*36.7437/1000)-B318</f>
        <v/>
      </c>
      <c r="K318" s="7">
        <f>J318/('Census Crush'!$B317*36.7437/1000)</f>
        <v/>
      </c>
      <c r="M318" s="14" t="n">
        <v>5.263645161290323</v>
      </c>
      <c r="N318" s="15">
        <f>M318*355</f>
        <v/>
      </c>
      <c r="Q318" s="56">
        <f>B318/31</f>
        <v/>
      </c>
    </row>
    <row r="319" ht="13.5" customHeight="1">
      <c r="A319" s="6" t="n">
        <v>38718</v>
      </c>
      <c r="B319" s="8" t="n">
        <v>145.646</v>
      </c>
      <c r="C319" s="8" t="n">
        <v>3423.248</v>
      </c>
      <c r="D319" s="8" t="n">
        <v>1695.3</v>
      </c>
      <c r="E319" s="12">
        <f>(C319*2)/B319</f>
        <v/>
      </c>
      <c r="F319" s="12">
        <f>D319/B319</f>
        <v/>
      </c>
      <c r="G319" s="8" t="n">
        <v>543.468</v>
      </c>
      <c r="H319" s="8" t="n">
        <v>2056.687</v>
      </c>
      <c r="J319" s="8">
        <f>('Census Crush'!$B318*36.7437/1000)-B319</f>
        <v/>
      </c>
      <c r="K319" s="7">
        <f>J319/('Census Crush'!$B318*36.7437/1000)</f>
        <v/>
      </c>
      <c r="M319" s="14" t="n">
        <v>5.253774193548387</v>
      </c>
      <c r="N319" s="15">
        <f>M319*355</f>
        <v/>
      </c>
      <c r="Q319" s="56">
        <f>B319/31</f>
        <v/>
      </c>
    </row>
    <row r="320" ht="13.5" customHeight="1">
      <c r="A320" s="6" t="n">
        <v>38749</v>
      </c>
      <c r="B320" s="8" t="n">
        <v>129.994</v>
      </c>
      <c r="C320" s="8" t="n">
        <v>3062.802</v>
      </c>
      <c r="D320" s="8" t="n">
        <v>1525.272</v>
      </c>
      <c r="E320" s="12">
        <f>(C320*2)/B320</f>
        <v/>
      </c>
      <c r="F320" s="12">
        <f>D320/B320</f>
        <v/>
      </c>
      <c r="G320" s="8" t="n">
        <v>462.242</v>
      </c>
      <c r="H320" s="8" t="n">
        <v>2316.491</v>
      </c>
      <c r="J320" s="8">
        <f>('Census Crush'!$B319*36.7437/1000)-B320</f>
        <v/>
      </c>
      <c r="K320" s="7">
        <f>J320/('Census Crush'!$B319*36.7437/1000)</f>
        <v/>
      </c>
      <c r="M320" s="14" t="n">
        <v>5.253785714285714</v>
      </c>
      <c r="N320" s="15">
        <f>M320*355</f>
        <v/>
      </c>
      <c r="Q320" s="56">
        <f>B320/28</f>
        <v/>
      </c>
    </row>
    <row r="321" ht="13.5" customHeight="1">
      <c r="A321" s="6" t="n">
        <v>38777</v>
      </c>
      <c r="B321" s="8" t="n">
        <v>142.852</v>
      </c>
      <c r="C321" s="8" t="n">
        <v>3368.023</v>
      </c>
      <c r="D321" s="8" t="n">
        <v>1679.51</v>
      </c>
      <c r="E321" s="12">
        <f>(C321*2)/B321</f>
        <v/>
      </c>
      <c r="F321" s="12">
        <f>D321/B321</f>
        <v/>
      </c>
      <c r="G321" s="8" t="n">
        <v>511.785</v>
      </c>
      <c r="H321" s="8" t="n">
        <v>2392.804</v>
      </c>
      <c r="J321" s="8">
        <f>('Census Crush'!$B320*36.7437/1000)-B321</f>
        <v/>
      </c>
      <c r="K321" s="7">
        <f>J321/('Census Crush'!$B320*36.7437/1000)</f>
        <v/>
      </c>
      <c r="M321" s="14" t="n">
        <v>5.253774193548387</v>
      </c>
      <c r="N321" s="15">
        <f>M321*355</f>
        <v/>
      </c>
      <c r="Q321" s="56">
        <f>B321/31</f>
        <v/>
      </c>
    </row>
    <row r="322" ht="13.5" customHeight="1">
      <c r="A322" s="6" t="n">
        <v>38808</v>
      </c>
      <c r="B322" s="8" t="n">
        <v>130.773</v>
      </c>
      <c r="C322" s="8" t="n">
        <v>3087.131</v>
      </c>
      <c r="D322" s="8" t="n">
        <v>1539.829</v>
      </c>
      <c r="E322" s="12">
        <f>(C322*2)/B322</f>
        <v/>
      </c>
      <c r="F322" s="12">
        <f>D322/B322</f>
        <v/>
      </c>
      <c r="G322" s="8" t="n">
        <v>446.576</v>
      </c>
      <c r="H322" s="8" t="n">
        <v>2350.055</v>
      </c>
      <c r="J322" s="8">
        <f>('Census Crush'!$B321*36.7437/1000)-B322</f>
        <v/>
      </c>
      <c r="K322" s="7">
        <f>J322/('Census Crush'!$B321*36.7437/1000)</f>
        <v/>
      </c>
      <c r="M322" s="14" t="n">
        <v>5.304866666666666</v>
      </c>
      <c r="N322" s="15">
        <f>M322*355</f>
        <v/>
      </c>
      <c r="Q322" s="56">
        <f>B322/30</f>
        <v/>
      </c>
    </row>
    <row r="323" ht="13.5" customHeight="1">
      <c r="A323" s="6" t="n">
        <v>38838</v>
      </c>
      <c r="B323" s="8" t="n">
        <v>138.631</v>
      </c>
      <c r="C323" s="8" t="n">
        <v>3290.206</v>
      </c>
      <c r="D323" s="8" t="n">
        <v>1631.923</v>
      </c>
      <c r="E323" s="12">
        <f>(C323*2)/B323</f>
        <v/>
      </c>
      <c r="F323" s="12">
        <f>D323/B323</f>
        <v/>
      </c>
      <c r="G323" s="8" t="n">
        <v>482.406</v>
      </c>
      <c r="H323" s="8" t="n">
        <v>2494.541</v>
      </c>
      <c r="J323" s="8">
        <f>('Census Crush'!$B322*36.7437/1000)-B323</f>
        <v/>
      </c>
      <c r="K323" s="7">
        <f>J323/('Census Crush'!$B322*36.7437/1000)</f>
        <v/>
      </c>
      <c r="M323" s="14" t="n">
        <v>5.304870967741936</v>
      </c>
      <c r="N323" s="15">
        <f>M323*355</f>
        <v/>
      </c>
      <c r="Q323" s="56">
        <f>B323/31</f>
        <v/>
      </c>
    </row>
    <row r="324" ht="13.5" customHeight="1">
      <c r="A324" s="6" t="n">
        <v>38869</v>
      </c>
      <c r="B324" s="8" t="n">
        <v>131.326</v>
      </c>
      <c r="C324" s="8" t="n">
        <v>3097.604</v>
      </c>
      <c r="D324" s="8" t="n">
        <v>1542.863</v>
      </c>
      <c r="E324" s="12">
        <f>(C324*2)/B324</f>
        <v/>
      </c>
      <c r="F324" s="12">
        <f>D324/B324</f>
        <v/>
      </c>
      <c r="G324" s="8" t="n">
        <v>377.266</v>
      </c>
      <c r="H324" s="8" t="n">
        <v>2542.499</v>
      </c>
      <c r="J324" s="8">
        <f>('Census Crush'!$B323*36.7437/1000)-B324</f>
        <v/>
      </c>
      <c r="K324" s="7">
        <f>J324/('Census Crush'!$B323*36.7437/1000)</f>
        <v/>
      </c>
      <c r="M324" s="14" t="n">
        <v>5.304866666666666</v>
      </c>
      <c r="N324" s="15">
        <f>M324*355</f>
        <v/>
      </c>
      <c r="Q324" s="56">
        <f>B324/30</f>
        <v/>
      </c>
    </row>
    <row r="325" ht="13.5" customHeight="1">
      <c r="A325" s="6" t="n">
        <v>38899</v>
      </c>
      <c r="B325" s="8" t="n">
        <v>142.626</v>
      </c>
      <c r="C325" s="8" t="n">
        <v>3358.667</v>
      </c>
      <c r="D325" s="8" t="n">
        <v>1675.84</v>
      </c>
      <c r="E325" s="12">
        <f>(C325*2)/B325</f>
        <v/>
      </c>
      <c r="F325" s="12">
        <f>D325/B325</f>
        <v/>
      </c>
      <c r="G325" s="8" t="n">
        <v>565.744</v>
      </c>
      <c r="H325" s="8" t="n">
        <v>2688.008</v>
      </c>
      <c r="J325" s="8">
        <f>('Census Crush'!$B324*36.7437/1000)-B325</f>
        <v/>
      </c>
      <c r="K325" s="7">
        <f>J325/('Census Crush'!$B324*36.7437/1000)</f>
        <v/>
      </c>
      <c r="M325" s="14" t="n">
        <v>5.324290322580645</v>
      </c>
      <c r="N325" s="15">
        <f>M325*355</f>
        <v/>
      </c>
      <c r="Q325" s="56">
        <f>B325/31</f>
        <v/>
      </c>
    </row>
    <row r="326" ht="13.5" customHeight="1">
      <c r="A326" s="6" t="n">
        <v>38930</v>
      </c>
      <c r="B326" s="8" t="n">
        <v>134.609</v>
      </c>
      <c r="C326" s="8" t="n">
        <v>3170.777</v>
      </c>
      <c r="D326" s="8" t="n">
        <v>1564.351</v>
      </c>
      <c r="E326" s="12">
        <f>(C326*2)/B326</f>
        <v/>
      </c>
      <c r="F326" s="12">
        <f>D326/B326</f>
        <v/>
      </c>
      <c r="G326" s="8" t="n">
        <v>480.326</v>
      </c>
      <c r="H326" s="8" t="n">
        <v>2678.026</v>
      </c>
      <c r="J326" s="8">
        <f>('Census Crush'!$B325*36.7437/1000)-B326</f>
        <v/>
      </c>
      <c r="K326" s="7">
        <f>J326/('Census Crush'!$B325*36.7437/1000)</f>
        <v/>
      </c>
      <c r="M326" s="14" t="n">
        <v>5.324290322580645</v>
      </c>
      <c r="N326" s="15">
        <f>M326*355</f>
        <v/>
      </c>
      <c r="Q326" s="56">
        <f>B326/31</f>
        <v/>
      </c>
    </row>
    <row r="327" ht="13.5" customHeight="1">
      <c r="A327" s="6" t="n">
        <v>38961</v>
      </c>
      <c r="B327" s="8" t="n">
        <v>137.32</v>
      </c>
      <c r="C327" s="8" t="n">
        <v>3233.489</v>
      </c>
      <c r="D327" s="8" t="n">
        <v>1613.1</v>
      </c>
      <c r="E327" s="12">
        <f>(C327*2)/B327</f>
        <v/>
      </c>
      <c r="F327" s="12">
        <f>D327/B327</f>
        <v/>
      </c>
      <c r="G327" s="8" t="n">
        <v>418.085</v>
      </c>
      <c r="H327" s="8" t="n">
        <v>2630.098</v>
      </c>
      <c r="J327" s="8">
        <f>('Census Crush'!$B326*36.7437/1000)-B327</f>
        <v/>
      </c>
      <c r="K327" s="7">
        <f>J327/('Census Crush'!$B326*36.7437/1000)</f>
        <v/>
      </c>
      <c r="M327" s="14" t="n">
        <v>5.3243</v>
      </c>
      <c r="N327" s="15">
        <f>M327*355</f>
        <v/>
      </c>
      <c r="Q327" s="56">
        <f>B327/30</f>
        <v/>
      </c>
    </row>
    <row r="328" ht="13.5" customHeight="1">
      <c r="A328" s="6" t="n">
        <v>38991</v>
      </c>
      <c r="B328" s="8" t="n">
        <v>154.984</v>
      </c>
      <c r="C328" s="8" t="n">
        <v>3658.16</v>
      </c>
      <c r="D328" s="8" t="n">
        <v>1764.832</v>
      </c>
      <c r="E328" s="12">
        <f>(C328*2)/B328</f>
        <v/>
      </c>
      <c r="F328" s="12">
        <f>D328/B328</f>
        <v/>
      </c>
      <c r="G328" s="8" t="n">
        <v>490.852</v>
      </c>
      <c r="H328" s="8" t="n">
        <v>2629.689</v>
      </c>
      <c r="J328" s="8">
        <f>('Census Crush'!$B327*36.7437/1000)-B328</f>
        <v/>
      </c>
      <c r="K328" s="7">
        <f>J328/('Census Crush'!$B327*36.7437/1000)</f>
        <v/>
      </c>
      <c r="M328" s="14" t="n">
        <v>5.346258064516129</v>
      </c>
      <c r="N328" s="15">
        <f>M328*355</f>
        <v/>
      </c>
      <c r="Q328" s="56">
        <f>B328/31</f>
        <v/>
      </c>
    </row>
    <row r="329" ht="13.5" customHeight="1">
      <c r="A329" s="6" t="n">
        <v>39022</v>
      </c>
      <c r="B329" s="8" t="n">
        <v>148.198</v>
      </c>
      <c r="C329" s="8" t="n">
        <v>3506.549</v>
      </c>
      <c r="D329" s="8" t="n">
        <v>1658.329</v>
      </c>
      <c r="E329" s="12">
        <f>(C329*2)/B329</f>
        <v/>
      </c>
      <c r="F329" s="12">
        <f>D329/B329</f>
        <v/>
      </c>
      <c r="G329" s="8" t="n">
        <v>540.29</v>
      </c>
      <c r="H329" s="8" t="n">
        <v>2694.219</v>
      </c>
      <c r="J329" s="8">
        <f>('Census Crush'!$B328*36.7437/1000)-B329</f>
        <v/>
      </c>
      <c r="K329" s="7">
        <f>J329/('Census Crush'!$B328*36.7437/1000)</f>
        <v/>
      </c>
      <c r="M329" s="14" t="n">
        <v>5.346233333333333</v>
      </c>
      <c r="N329" s="15">
        <f>M329*355</f>
        <v/>
      </c>
      <c r="Q329" s="56">
        <f>B329/30</f>
        <v/>
      </c>
    </row>
    <row r="330" ht="13.5" customHeight="1">
      <c r="A330" s="6" t="n">
        <v>39052</v>
      </c>
      <c r="B330" s="8" t="n">
        <v>149.162</v>
      </c>
      <c r="C330" s="8" t="n">
        <v>3528.08</v>
      </c>
      <c r="D330" s="8" t="n">
        <v>1686.204</v>
      </c>
      <c r="E330" s="12">
        <f>(C330*2)/B330</f>
        <v/>
      </c>
      <c r="F330" s="12">
        <f>D330/B330</f>
        <v/>
      </c>
      <c r="G330" s="8" t="n">
        <v>514.5</v>
      </c>
      <c r="H330" s="8" t="n">
        <v>2605.86</v>
      </c>
      <c r="J330" s="8">
        <f>('Census Crush'!$B329*36.7437/1000)-B330</f>
        <v/>
      </c>
      <c r="K330" s="7">
        <f>J330/('Census Crush'!$B329*36.7437/1000)</f>
        <v/>
      </c>
      <c r="M330" s="14" t="n">
        <v>5.346258064516129</v>
      </c>
      <c r="N330" s="15">
        <f>M330*355</f>
        <v/>
      </c>
      <c r="Q330" s="56">
        <f>B330/31</f>
        <v/>
      </c>
    </row>
    <row r="331" ht="13.5" customHeight="1">
      <c r="A331" s="6" t="n">
        <v>39083</v>
      </c>
      <c r="B331" s="8" t="n">
        <v>148.858</v>
      </c>
      <c r="C331" s="8" t="n">
        <v>3530.335</v>
      </c>
      <c r="D331" s="8" t="n">
        <v>1682.01</v>
      </c>
      <c r="E331" s="12">
        <f>(C331*2)/B331</f>
        <v/>
      </c>
      <c r="F331" s="12">
        <f>D331/B331</f>
        <v/>
      </c>
      <c r="G331" s="8" t="n">
        <v>563.744</v>
      </c>
      <c r="H331" s="8" t="n">
        <v>2738.523</v>
      </c>
      <c r="J331" s="8">
        <f>('Census Crush'!$B330*36.7437/1000)-B331</f>
        <v/>
      </c>
      <c r="K331" s="7">
        <f>J331/('Census Crush'!$B330*36.7437/1000)</f>
        <v/>
      </c>
      <c r="M331" s="14" t="n">
        <v>5.359032258064516</v>
      </c>
      <c r="N331" s="15">
        <f>M331*355</f>
        <v/>
      </c>
      <c r="Q331" s="56">
        <f>B331/31</f>
        <v/>
      </c>
    </row>
    <row r="332" ht="13.5" customHeight="1">
      <c r="A332" s="6" t="n">
        <v>39114</v>
      </c>
      <c r="B332" s="8" t="n">
        <v>130.779</v>
      </c>
      <c r="C332" s="8" t="n">
        <v>3105.823</v>
      </c>
      <c r="D332" s="8" t="n">
        <v>1483.596</v>
      </c>
      <c r="E332" s="12">
        <f>(C332*2)/B332</f>
        <v/>
      </c>
      <c r="F332" s="12">
        <f>D332/B332</f>
        <v/>
      </c>
      <c r="G332" s="8" t="n">
        <v>488.642</v>
      </c>
      <c r="H332" s="8" t="n">
        <v>2819.675</v>
      </c>
      <c r="J332" s="8">
        <f>('Census Crush'!$B331*36.7437/1000)-B332</f>
        <v/>
      </c>
      <c r="K332" s="7">
        <f>J332/('Census Crush'!$B331*36.7437/1000)</f>
        <v/>
      </c>
      <c r="M332" s="14" t="n">
        <v>5.359035714285715</v>
      </c>
      <c r="N332" s="15">
        <f>M332*355</f>
        <v/>
      </c>
      <c r="Q332" s="56">
        <f>B332/28</f>
        <v/>
      </c>
    </row>
    <row r="333" ht="13.5" customHeight="1">
      <c r="A333" s="6" t="n">
        <v>39142</v>
      </c>
      <c r="B333" s="8" t="n">
        <v>147.991</v>
      </c>
      <c r="C333" s="8" t="n">
        <v>3519.783</v>
      </c>
      <c r="D333" s="8" t="n">
        <v>1683.468</v>
      </c>
      <c r="E333" s="12">
        <f>(C333*2)/B333</f>
        <v/>
      </c>
      <c r="F333" s="12">
        <f>D333/B333</f>
        <v/>
      </c>
      <c r="G333" s="8" t="n">
        <v>483.046</v>
      </c>
      <c r="H333" s="8" t="n">
        <v>2933.422</v>
      </c>
      <c r="J333" s="8">
        <f>('Census Crush'!$B332*36.7437/1000)-B333</f>
        <v/>
      </c>
      <c r="K333" s="7">
        <f>J333/('Census Crush'!$B332*36.7437/1000)</f>
        <v/>
      </c>
      <c r="M333" s="14" t="n">
        <v>5.359032258064516</v>
      </c>
      <c r="N333" s="15">
        <f>M333*355</f>
        <v/>
      </c>
      <c r="Q333" s="56">
        <f>B333/31</f>
        <v/>
      </c>
    </row>
    <row r="334" ht="13.5" customHeight="1">
      <c r="A334" s="6" t="n">
        <v>39173</v>
      </c>
      <c r="B334" s="8" t="n">
        <v>138.72</v>
      </c>
      <c r="C334" s="8" t="n">
        <v>3283.545</v>
      </c>
      <c r="D334" s="8" t="n">
        <v>1562.327</v>
      </c>
      <c r="E334" s="12">
        <f>(C334*2)/B334</f>
        <v/>
      </c>
      <c r="F334" s="12">
        <f>D334/B334</f>
        <v/>
      </c>
      <c r="G334" s="8" t="n">
        <v>451.801</v>
      </c>
      <c r="H334" s="8" t="n">
        <v>2901.935</v>
      </c>
      <c r="J334" s="8">
        <f>('Census Crush'!$B333*36.7437/1000)-B334</f>
        <v/>
      </c>
      <c r="K334" s="7">
        <f>J334/('Census Crush'!$B333*36.7437/1000)</f>
        <v/>
      </c>
      <c r="M334" s="14" t="n">
        <v>5.333200000000001</v>
      </c>
      <c r="N334" s="15">
        <f>M334*355</f>
        <v/>
      </c>
      <c r="Q334" s="56">
        <f>B334/30</f>
        <v/>
      </c>
    </row>
    <row r="335" ht="13.5" customHeight="1">
      <c r="A335" s="6" t="n">
        <v>39203</v>
      </c>
      <c r="B335" s="8" t="n">
        <v>143.354</v>
      </c>
      <c r="C335" s="8" t="n">
        <v>3409.297</v>
      </c>
      <c r="D335" s="8" t="n">
        <v>1635.86</v>
      </c>
      <c r="E335" s="12">
        <f>(C335*2)/B335</f>
        <v/>
      </c>
      <c r="F335" s="12">
        <f>D335/B335</f>
        <v/>
      </c>
      <c r="G335" s="8" t="n">
        <v>400.474</v>
      </c>
      <c r="H335" s="8" t="n">
        <v>2923.588</v>
      </c>
      <c r="J335" s="8">
        <f>('Census Crush'!$B334*36.7437/1000)-B335</f>
        <v/>
      </c>
      <c r="K335" s="7">
        <f>J335/('Census Crush'!$B334*36.7437/1000)</f>
        <v/>
      </c>
      <c r="M335" s="14" t="n">
        <v>5.333193548387097</v>
      </c>
      <c r="N335" s="15">
        <f>M335*355</f>
        <v/>
      </c>
      <c r="Q335" s="56">
        <f>B335/31</f>
        <v/>
      </c>
    </row>
    <row r="336" ht="13.5" customHeight="1">
      <c r="A336" s="6" t="n">
        <v>39234</v>
      </c>
      <c r="B336" s="8" t="n">
        <v>141.583</v>
      </c>
      <c r="C336" s="8" t="n">
        <v>3354.26</v>
      </c>
      <c r="D336" s="8" t="n">
        <v>1619.38</v>
      </c>
      <c r="E336" s="12">
        <f>(C336*2)/B336</f>
        <v/>
      </c>
      <c r="F336" s="12">
        <f>D336/B336</f>
        <v/>
      </c>
      <c r="G336" s="8" t="n">
        <v>453.261</v>
      </c>
      <c r="H336" s="8" t="n">
        <v>2951.379</v>
      </c>
      <c r="J336" s="8">
        <f>('Census Crush'!$B335*36.7437/1000)-B336</f>
        <v/>
      </c>
      <c r="K336" s="7">
        <f>J336/('Census Crush'!$B335*36.7437/1000)</f>
        <v/>
      </c>
      <c r="M336" s="14" t="n">
        <v>5.333200000000001</v>
      </c>
      <c r="N336" s="15">
        <f>M336*355</f>
        <v/>
      </c>
      <c r="Q336" s="56">
        <f>B336/30</f>
        <v/>
      </c>
    </row>
    <row r="337" ht="13.5" customHeight="1">
      <c r="A337" s="6" t="n">
        <v>39264</v>
      </c>
      <c r="B337" s="8" t="n">
        <v>142.524</v>
      </c>
      <c r="C337" s="8" t="n">
        <v>3373.985</v>
      </c>
      <c r="D337" s="8" t="n">
        <v>1627.031</v>
      </c>
      <c r="E337" s="12">
        <f>(C337*2)/B337</f>
        <v/>
      </c>
      <c r="F337" s="12">
        <f>D337/B337</f>
        <v/>
      </c>
      <c r="G337" s="8" t="n">
        <v>481.033</v>
      </c>
      <c r="H337" s="8" t="n">
        <v>2835.371</v>
      </c>
      <c r="J337" s="8">
        <f>('Census Crush'!$B336*36.7437/1000)-B337</f>
        <v/>
      </c>
      <c r="K337" s="7">
        <f>J337/('Census Crush'!$B336*36.7437/1000)</f>
        <v/>
      </c>
      <c r="M337" s="14" t="n">
        <v>5.354548387096774</v>
      </c>
      <c r="N337" s="15">
        <f>M337*355</f>
        <v/>
      </c>
      <c r="Q337" s="56">
        <f>B337/31</f>
        <v/>
      </c>
    </row>
    <row r="338" ht="13.5" customHeight="1">
      <c r="A338" s="6" t="n">
        <v>39295</v>
      </c>
      <c r="B338" s="8" t="n">
        <v>137.564</v>
      </c>
      <c r="C338" s="8" t="n">
        <v>3252.298</v>
      </c>
      <c r="D338" s="8" t="n">
        <v>1568.507</v>
      </c>
      <c r="E338" s="12">
        <f>(C338*2)/B338</f>
        <v/>
      </c>
      <c r="F338" s="12">
        <f>D338/B338</f>
        <v/>
      </c>
      <c r="G338" s="8" t="n">
        <v>457.535</v>
      </c>
      <c r="H338" s="8" t="n">
        <v>2701.712</v>
      </c>
      <c r="J338" s="8">
        <f>('Census Crush'!$B337*36.7437/1000)-B338</f>
        <v/>
      </c>
      <c r="K338" s="7">
        <f>J338/('Census Crush'!$B337*36.7437/1000)</f>
        <v/>
      </c>
      <c r="M338" s="14" t="n">
        <v>5.354548387096774</v>
      </c>
      <c r="N338" s="15">
        <f>M338*355</f>
        <v/>
      </c>
      <c r="Q338" s="56">
        <f>B338/31</f>
        <v/>
      </c>
    </row>
    <row r="339" ht="13.5" customHeight="1">
      <c r="A339" s="6" t="n">
        <v>39326</v>
      </c>
      <c r="B339" s="8" t="n">
        <v>139.829</v>
      </c>
      <c r="C339" s="8" t="n">
        <v>3311.323</v>
      </c>
      <c r="D339" s="8" t="n">
        <v>1602.011</v>
      </c>
      <c r="E339" s="12">
        <f>(C339*2)/B339</f>
        <v/>
      </c>
      <c r="F339" s="12">
        <f>D339/B339</f>
        <v/>
      </c>
      <c r="G339" s="8" t="n">
        <v>401.076</v>
      </c>
      <c r="H339" s="8" t="n">
        <v>2561.36</v>
      </c>
      <c r="J339" s="8">
        <f>('Census Crush'!$B338*36.7437/1000)-B339</f>
        <v/>
      </c>
      <c r="K339" s="7">
        <f>J339/('Census Crush'!$B338*36.7437/1000)</f>
        <v/>
      </c>
      <c r="M339" s="14" t="n">
        <v>5.354533333333333</v>
      </c>
      <c r="N339" s="15">
        <f>M339*355</f>
        <v/>
      </c>
      <c r="Q339" s="56">
        <f>B339/30</f>
        <v/>
      </c>
    </row>
    <row r="340" ht="13.5" customHeight="1">
      <c r="A340" s="6" t="n">
        <v>39356</v>
      </c>
      <c r="B340" s="8" t="n">
        <v>154.974</v>
      </c>
      <c r="C340" s="8" t="n">
        <v>3642.595</v>
      </c>
      <c r="D340" s="8" t="n">
        <v>1777.24</v>
      </c>
      <c r="E340" s="12">
        <f>(C340*2)/B340</f>
        <v/>
      </c>
      <c r="F340" s="12">
        <f>D340/B340</f>
        <v/>
      </c>
      <c r="G340" s="8" t="n">
        <v>562.42</v>
      </c>
      <c r="H340" s="8" t="n">
        <v>2679.798</v>
      </c>
      <c r="J340" s="8">
        <f>('Census Crush'!$B339*36.7437/1000)-B340</f>
        <v/>
      </c>
      <c r="K340" s="7">
        <f>J340/('Census Crush'!$B339*36.7437/1000)</f>
        <v/>
      </c>
      <c r="M340" s="14" t="n">
        <v>5.376161290322581</v>
      </c>
      <c r="N340" s="15">
        <f>M340*355</f>
        <v/>
      </c>
      <c r="Q340" s="56">
        <f>B340/31</f>
        <v/>
      </c>
    </row>
    <row r="341" ht="13.5" customHeight="1">
      <c r="A341" s="6" t="n">
        <v>39387</v>
      </c>
      <c r="B341" s="8" t="n">
        <v>146.748</v>
      </c>
      <c r="C341" s="8" t="n">
        <v>3471.063</v>
      </c>
      <c r="D341" s="8" t="n">
        <v>1685.79</v>
      </c>
      <c r="E341" s="12">
        <f>(C341*2)/B341</f>
        <v/>
      </c>
      <c r="F341" s="12">
        <f>D341/B341</f>
        <v/>
      </c>
      <c r="G341" s="8" t="n">
        <v>399.199</v>
      </c>
      <c r="H341" s="8" t="n">
        <v>2689.359</v>
      </c>
      <c r="J341" s="8">
        <f>('Census Crush'!$B340*36.7437/1000)-B341</f>
        <v/>
      </c>
      <c r="K341" s="7">
        <f>J341/('Census Crush'!$B340*36.7437/1000)</f>
        <v/>
      </c>
      <c r="M341" s="14" t="n">
        <v>5.376166666666666</v>
      </c>
      <c r="N341" s="15">
        <f>M341*355</f>
        <v/>
      </c>
      <c r="Q341" s="56">
        <f>B341/30</f>
        <v/>
      </c>
    </row>
    <row r="342" ht="13.5" customHeight="1">
      <c r="A342" s="6" t="n">
        <v>39417</v>
      </c>
      <c r="B342" s="8" t="n">
        <v>155.907</v>
      </c>
      <c r="C342" s="8" t="n">
        <v>3690.422</v>
      </c>
      <c r="D342" s="8" t="n">
        <v>1795.881</v>
      </c>
      <c r="E342" s="12">
        <f>(C342*2)/B342</f>
        <v/>
      </c>
      <c r="F342" s="12">
        <f>D342/B342</f>
        <v/>
      </c>
      <c r="G342" s="8" t="n">
        <v>678.952</v>
      </c>
      <c r="H342" s="8" t="n">
        <v>2712.428</v>
      </c>
      <c r="J342" s="8">
        <f>('Census Crush'!$B341*36.7437/1000)-B342</f>
        <v/>
      </c>
      <c r="K342" s="7">
        <f>J342/('Census Crush'!$B341*36.7437/1000)</f>
        <v/>
      </c>
      <c r="M342" s="14" t="n">
        <v>5.376161290322581</v>
      </c>
      <c r="N342" s="15">
        <f>M342*355</f>
        <v/>
      </c>
      <c r="Q342" s="56">
        <f>B342/31</f>
        <v/>
      </c>
    </row>
    <row r="343" ht="13.5" customHeight="1">
      <c r="A343" s="6" t="n">
        <v>39448</v>
      </c>
      <c r="B343" s="8" t="n">
        <v>152.439</v>
      </c>
      <c r="C343" s="8" t="n">
        <v>3600.919</v>
      </c>
      <c r="D343" s="8" t="n">
        <v>1762.8</v>
      </c>
      <c r="E343" s="12">
        <f>(C343*2)/B343</f>
        <v/>
      </c>
      <c r="F343" s="12">
        <f>D343/B343</f>
        <v/>
      </c>
      <c r="G343" s="8" t="n">
        <v>745.154</v>
      </c>
      <c r="H343" s="8" t="n">
        <v>2817.798</v>
      </c>
      <c r="J343" s="8">
        <f>('Census Crush'!$B342*36.7437/1000)-B343</f>
        <v/>
      </c>
      <c r="K343" s="7">
        <f>J343/('Census Crush'!$B342*36.7437/1000)</f>
        <v/>
      </c>
      <c r="M343" s="14" t="n">
        <v>5.531322580645162</v>
      </c>
      <c r="N343" s="15">
        <f>M343*355</f>
        <v/>
      </c>
      <c r="Q343" s="56">
        <f>B343/31</f>
        <v/>
      </c>
    </row>
    <row r="344" ht="13.5" customHeight="1">
      <c r="A344" s="6" t="n">
        <v>39479</v>
      </c>
      <c r="B344" s="8" t="n">
        <v>138.923</v>
      </c>
      <c r="C344" s="8" t="n">
        <v>3288.166</v>
      </c>
      <c r="D344" s="8" t="n">
        <v>1608.568</v>
      </c>
      <c r="E344" s="12">
        <f>(C344*2)/B344</f>
        <v/>
      </c>
      <c r="F344" s="12">
        <f>D344/B344</f>
        <v/>
      </c>
      <c r="G344" s="8" t="n">
        <v>590.742</v>
      </c>
      <c r="H344" s="8" t="n">
        <v>2717.431</v>
      </c>
      <c r="J344" s="8">
        <f>('Census Crush'!$B343*36.7437/1000)-B344</f>
        <v/>
      </c>
      <c r="K344" s="7">
        <f>J344/('Census Crush'!$B343*36.7437/1000)</f>
        <v/>
      </c>
      <c r="M344" s="14" t="n">
        <v>5.531310344827586</v>
      </c>
      <c r="N344" s="15">
        <f>M344*355</f>
        <v/>
      </c>
      <c r="Q344" s="56">
        <f>B344/29</f>
        <v/>
      </c>
    </row>
    <row r="345" ht="13.5" customHeight="1">
      <c r="A345" s="6" t="n">
        <v>39508</v>
      </c>
      <c r="B345" s="8" t="n">
        <v>148.165</v>
      </c>
      <c r="C345" s="8" t="n">
        <v>3510.857</v>
      </c>
      <c r="D345" s="8" t="n">
        <v>1725.725</v>
      </c>
      <c r="E345" s="12">
        <f>(C345*2)/B345</f>
        <v/>
      </c>
      <c r="F345" s="12">
        <f>D345/B345</f>
        <v/>
      </c>
      <c r="G345" s="8" t="n">
        <v>644.265</v>
      </c>
      <c r="H345" s="8" t="n">
        <v>2529.267</v>
      </c>
      <c r="J345" s="8">
        <f>('Census Crush'!$B344*36.7437/1000)-B345</f>
        <v/>
      </c>
      <c r="K345" s="7">
        <f>J345/('Census Crush'!$B344*36.7437/1000)</f>
        <v/>
      </c>
      <c r="M345" s="14" t="n">
        <v>5.531322580645162</v>
      </c>
      <c r="N345" s="15">
        <f>M345*355</f>
        <v/>
      </c>
      <c r="Q345" s="56">
        <f>B345/31</f>
        <v/>
      </c>
    </row>
    <row r="346" ht="13.5" customHeight="1">
      <c r="A346" s="6" t="n">
        <v>39539</v>
      </c>
      <c r="B346" s="8" t="n">
        <v>139.966</v>
      </c>
      <c r="C346" s="8" t="n">
        <v>3310.89</v>
      </c>
      <c r="D346" s="8" t="n">
        <v>1631.879</v>
      </c>
      <c r="E346" s="12">
        <f>(C346*2)/B346</f>
        <v/>
      </c>
      <c r="F346" s="12">
        <f>D346/B346</f>
        <v/>
      </c>
      <c r="G346" s="8" t="n">
        <v>697.439</v>
      </c>
      <c r="H346" s="8" t="n">
        <v>2409.429</v>
      </c>
      <c r="J346" s="8">
        <f>('Census Crush'!$B345*36.7437/1000)-B346</f>
        <v/>
      </c>
      <c r="K346" s="7">
        <f>J346/('Census Crush'!$B345*36.7437/1000)</f>
        <v/>
      </c>
      <c r="M346" s="14" t="n">
        <v>5.443866666666667</v>
      </c>
      <c r="N346" s="15">
        <f>M346*355</f>
        <v/>
      </c>
      <c r="Q346" s="56">
        <f>B346/30</f>
        <v/>
      </c>
    </row>
    <row r="347" ht="13.5" customHeight="1">
      <c r="A347" s="6" t="n">
        <v>39569</v>
      </c>
      <c r="B347" s="8" t="n">
        <v>144.002</v>
      </c>
      <c r="C347" s="8" t="n">
        <v>3408.2</v>
      </c>
      <c r="D347" s="8" t="n">
        <v>1680.765</v>
      </c>
      <c r="E347" s="12">
        <f>(C347*2)/B347</f>
        <v/>
      </c>
      <c r="F347" s="12">
        <f>D347/B347</f>
        <v/>
      </c>
      <c r="G347" s="8" t="n">
        <v>623.2859999999999</v>
      </c>
      <c r="H347" s="8" t="n">
        <v>2489.178</v>
      </c>
      <c r="J347" s="8">
        <f>('Census Crush'!$B346*36.7437/1000)-B347</f>
        <v/>
      </c>
      <c r="K347" s="7">
        <f>J347/('Census Crush'!$B346*36.7437/1000)</f>
        <v/>
      </c>
      <c r="M347" s="14" t="n">
        <v>5.443838709677419</v>
      </c>
      <c r="N347" s="15">
        <f>M347*355</f>
        <v/>
      </c>
      <c r="Q347" s="56">
        <f>B347/31</f>
        <v/>
      </c>
    </row>
    <row r="348" ht="13.5" customHeight="1">
      <c r="A348" s="6" t="n">
        <v>39600</v>
      </c>
      <c r="B348" s="8" t="n">
        <v>133.513</v>
      </c>
      <c r="C348" s="8" t="n">
        <v>3161.727</v>
      </c>
      <c r="D348" s="8" t="n">
        <v>1558.38</v>
      </c>
      <c r="E348" s="12">
        <f>(C348*2)/B348</f>
        <v/>
      </c>
      <c r="F348" s="12">
        <f>D348/B348</f>
        <v/>
      </c>
      <c r="G348" s="8" t="n">
        <v>545.134</v>
      </c>
      <c r="H348" s="8" t="n">
        <v>2449.303</v>
      </c>
      <c r="J348" s="8">
        <f>('Census Crush'!$B347*36.7437/1000)-B348</f>
        <v/>
      </c>
      <c r="K348" s="7">
        <f>J348/('Census Crush'!$B347*36.7437/1000)</f>
        <v/>
      </c>
      <c r="M348" s="14" t="n">
        <v>5.443866666666667</v>
      </c>
      <c r="N348" s="15">
        <f>M348*355</f>
        <v/>
      </c>
      <c r="Q348" s="56">
        <f>B348/30</f>
        <v/>
      </c>
    </row>
    <row r="349" ht="13.5" customHeight="1">
      <c r="A349" s="6" t="n">
        <v>39630</v>
      </c>
      <c r="B349" s="8" t="n">
        <v>133.034</v>
      </c>
      <c r="C349" s="8" t="n">
        <v>3152.333</v>
      </c>
      <c r="D349" s="8" t="n">
        <v>1551.655</v>
      </c>
      <c r="E349" s="12">
        <f>(C349*2)/B349</f>
        <v/>
      </c>
      <c r="F349" s="12">
        <f>D349/B349</f>
        <v/>
      </c>
      <c r="G349" s="8" t="n">
        <v>563.989</v>
      </c>
      <c r="H349" s="8" t="n">
        <v>2367.017</v>
      </c>
      <c r="J349" s="8">
        <f>('Census Crush'!$B348*36.7437/1000)-B349</f>
        <v/>
      </c>
      <c r="K349" s="7">
        <f>J349/('Census Crush'!$B348*36.7437/1000)</f>
        <v/>
      </c>
      <c r="M349" s="14" t="n">
        <v>5.472354838709678</v>
      </c>
      <c r="N349" s="15">
        <f>M349*355</f>
        <v/>
      </c>
      <c r="Q349" s="56">
        <f>B349/31</f>
        <v/>
      </c>
    </row>
    <row r="350" ht="13.5" customHeight="1">
      <c r="A350" s="6" t="n">
        <v>39661</v>
      </c>
      <c r="B350" s="8" t="n">
        <v>121.681</v>
      </c>
      <c r="C350" s="8" t="n">
        <v>2875.527</v>
      </c>
      <c r="D350" s="8" t="n">
        <v>1431.728</v>
      </c>
      <c r="E350" s="12">
        <f>(C350*2)/B350</f>
        <v/>
      </c>
      <c r="F350" s="12">
        <f>D350/B350</f>
        <v/>
      </c>
      <c r="G350" s="8" t="n">
        <v>354.055</v>
      </c>
      <c r="H350" s="8" t="n">
        <v>2152.31</v>
      </c>
      <c r="J350" s="8">
        <f>('Census Crush'!$B349*36.7437/1000)-B350</f>
        <v/>
      </c>
      <c r="K350" s="7">
        <f>J350/('Census Crush'!$B349*36.7437/1000)</f>
        <v/>
      </c>
      <c r="M350" s="14" t="n">
        <v>5.472354838709678</v>
      </c>
      <c r="N350" s="15">
        <f>M350*355</f>
        <v/>
      </c>
      <c r="Q350" s="56">
        <f>B350/31</f>
        <v/>
      </c>
    </row>
    <row r="351" ht="13.5" customHeight="1">
      <c r="A351" s="6" t="n">
        <v>39692</v>
      </c>
      <c r="B351" s="8" t="n">
        <v>120.376</v>
      </c>
      <c r="C351" s="8" t="n">
        <v>2871.76</v>
      </c>
      <c r="D351" s="8" t="n">
        <v>1398.248</v>
      </c>
      <c r="E351" s="12">
        <f>(C351*2)/B351</f>
        <v/>
      </c>
      <c r="F351" s="12">
        <f>D351/B351</f>
        <v/>
      </c>
      <c r="G351" s="8" t="n">
        <v>307.305</v>
      </c>
      <c r="H351" s="8" t="n">
        <v>1988.027</v>
      </c>
      <c r="J351" s="8">
        <f>('Census Crush'!$B350*36.7437/1000)-B351</f>
        <v/>
      </c>
      <c r="K351" s="7">
        <f>J351/('Census Crush'!$B350*36.7437/1000)</f>
        <v/>
      </c>
      <c r="M351" s="14" t="n">
        <v>5.472366666666667</v>
      </c>
      <c r="N351" s="15">
        <f>M351*355</f>
        <v/>
      </c>
      <c r="Q351" s="56">
        <f>B351/30</f>
        <v/>
      </c>
    </row>
    <row r="352" ht="13.5" customHeight="1">
      <c r="A352" s="6" t="n">
        <v>39722</v>
      </c>
      <c r="B352" s="8" t="n">
        <v>143.397</v>
      </c>
      <c r="C352" s="8" t="n">
        <v>3344.374</v>
      </c>
      <c r="D352" s="8" t="n">
        <v>1655.55</v>
      </c>
      <c r="E352" s="12">
        <f>(C352*2)/B352</f>
        <v/>
      </c>
      <c r="F352" s="12">
        <f>D352/B352</f>
        <v/>
      </c>
      <c r="G352" s="8" t="n">
        <v>581.175</v>
      </c>
      <c r="H352" s="8" t="n">
        <v>1983.871</v>
      </c>
      <c r="J352" s="8">
        <f>('Census Crush'!$B351*36.7437/1000)-B352</f>
        <v/>
      </c>
      <c r="K352" s="7">
        <f>J352/('Census Crush'!$B351*36.7437/1000)</f>
        <v/>
      </c>
      <c r="M352" s="14" t="n">
        <v>5.568677419354838</v>
      </c>
      <c r="N352" s="15">
        <f>M352*355</f>
        <v/>
      </c>
      <c r="Q352" s="56">
        <f>B352/31</f>
        <v/>
      </c>
    </row>
    <row r="353" ht="13.5" customHeight="1">
      <c r="A353" s="6" t="n">
        <v>39753</v>
      </c>
      <c r="B353" s="8" t="n">
        <v>139.419</v>
      </c>
      <c r="C353" s="8" t="n">
        <v>3273.099</v>
      </c>
      <c r="D353" s="8" t="n">
        <v>1570.401</v>
      </c>
      <c r="E353" s="12">
        <f>(C353*2)/B353</f>
        <v/>
      </c>
      <c r="F353" s="12">
        <f>D353/B353</f>
        <v/>
      </c>
      <c r="G353" s="8" t="n">
        <v>409.459</v>
      </c>
      <c r="H353" s="8" t="n">
        <v>2042.415</v>
      </c>
      <c r="J353" s="8">
        <f>('Census Crush'!$B352*36.7437/1000)-B353</f>
        <v/>
      </c>
      <c r="K353" s="7">
        <f>J353/('Census Crush'!$B352*36.7437/1000)</f>
        <v/>
      </c>
      <c r="M353" s="14" t="n">
        <v>5.568700000000001</v>
      </c>
      <c r="N353" s="15">
        <f>M353*355</f>
        <v/>
      </c>
      <c r="Q353" s="56">
        <f>B353/30</f>
        <v/>
      </c>
    </row>
    <row r="354" ht="13.5" customHeight="1">
      <c r="A354" s="6" t="n">
        <v>39783</v>
      </c>
      <c r="B354" s="8" t="n">
        <v>134.787</v>
      </c>
      <c r="C354" s="8" t="n">
        <v>3176.257</v>
      </c>
      <c r="D354" s="8" t="n">
        <v>1531.62</v>
      </c>
      <c r="E354" s="12">
        <f>(C354*2)/B354</f>
        <v/>
      </c>
      <c r="F354" s="12">
        <f>D354/B354</f>
        <v/>
      </c>
      <c r="G354" s="8" t="n">
        <v>607.705</v>
      </c>
      <c r="H354" s="8" t="n">
        <v>2175.836</v>
      </c>
      <c r="J354" s="8">
        <f>('Census Crush'!$B353*36.7437/1000)-B354</f>
        <v/>
      </c>
      <c r="K354" s="7">
        <f>J354/('Census Crush'!$B353*36.7437/1000)</f>
        <v/>
      </c>
      <c r="M354" s="14" t="n">
        <v>5.568677419354838</v>
      </c>
      <c r="N354" s="15">
        <f>M354*355</f>
        <v/>
      </c>
      <c r="Q354" s="56">
        <f>B354/31</f>
        <v/>
      </c>
    </row>
    <row r="355" ht="13.5" customHeight="1">
      <c r="A355" s="6" t="n">
        <v>39814</v>
      </c>
      <c r="B355" s="8" t="n">
        <v>139.1</v>
      </c>
      <c r="C355" s="8" t="n">
        <v>3285.729</v>
      </c>
      <c r="D355" s="8" t="n">
        <v>1572.033</v>
      </c>
      <c r="E355" s="12">
        <f>(C355*2)/B355</f>
        <v/>
      </c>
      <c r="F355" s="12">
        <f>D355/B355</f>
        <v/>
      </c>
      <c r="G355" s="8" t="n">
        <v>600.823</v>
      </c>
      <c r="H355" s="8" t="n">
        <v>2393.524</v>
      </c>
      <c r="J355" s="8">
        <f>('Census Crush'!$B354*36.7437/1000)-B355</f>
        <v/>
      </c>
      <c r="K355" s="7">
        <f>J355/('Census Crush'!$B354*36.7437/1000)</f>
        <v/>
      </c>
      <c r="M355" s="14" t="n">
        <v>5.587064516129033</v>
      </c>
      <c r="N355" s="15">
        <f>M355*355</f>
        <v/>
      </c>
      <c r="Q355" s="56">
        <f>B355/31</f>
        <v/>
      </c>
    </row>
    <row r="356" ht="13.5" customHeight="1">
      <c r="A356" s="6" t="n">
        <v>39845</v>
      </c>
      <c r="B356" s="8" t="n">
        <v>128.668</v>
      </c>
      <c r="C356" s="8" t="n">
        <v>3032.33</v>
      </c>
      <c r="D356" s="8" t="n">
        <v>1468.096</v>
      </c>
      <c r="E356" s="12">
        <f>(C356*2)/B356</f>
        <v/>
      </c>
      <c r="F356" s="12">
        <f>D356/B356</f>
        <v/>
      </c>
      <c r="G356" s="8" t="n">
        <v>649.9930000000001</v>
      </c>
      <c r="H356" s="8" t="n">
        <v>2500.911</v>
      </c>
      <c r="J356" s="8">
        <f>('Census Crush'!$B355*36.7437/1000)-B356</f>
        <v/>
      </c>
      <c r="K356" s="7">
        <f>J356/('Census Crush'!$B355*36.7437/1000)</f>
        <v/>
      </c>
      <c r="M356" s="14" t="n">
        <v>5.587071428571428</v>
      </c>
      <c r="N356" s="15">
        <f>M356*355</f>
        <v/>
      </c>
      <c r="Q356" s="56">
        <f>B356/28</f>
        <v/>
      </c>
    </row>
    <row r="357" ht="13.5" customHeight="1">
      <c r="A357" s="6" t="n">
        <v>39873</v>
      </c>
      <c r="B357" s="8" t="n">
        <v>137.257</v>
      </c>
      <c r="C357" s="8" t="n">
        <v>3249.691</v>
      </c>
      <c r="D357" s="8" t="n">
        <v>1567.074</v>
      </c>
      <c r="E357" s="12">
        <f>(C357*2)/B357</f>
        <v/>
      </c>
      <c r="F357" s="12">
        <f>D357/B357</f>
        <v/>
      </c>
      <c r="G357" s="8" t="n">
        <v>504.329</v>
      </c>
      <c r="H357" s="8" t="n">
        <v>2592.504</v>
      </c>
      <c r="J357" s="8">
        <f>('Census Crush'!$B356*36.7437/1000)-B357</f>
        <v/>
      </c>
      <c r="K357" s="7">
        <f>J357/('Census Crush'!$B356*36.7437/1000)</f>
        <v/>
      </c>
      <c r="M357" s="14" t="n">
        <v>5.587064516129033</v>
      </c>
      <c r="N357" s="15">
        <f>M357*355</f>
        <v/>
      </c>
      <c r="Q357" s="56">
        <f>B357/31</f>
        <v/>
      </c>
    </row>
    <row r="358" ht="13.5" customHeight="1">
      <c r="A358" s="6" t="n">
        <v>39904</v>
      </c>
      <c r="B358" s="8" t="n">
        <v>134.115</v>
      </c>
      <c r="C358" s="8" t="n">
        <v>3185.614</v>
      </c>
      <c r="D358" s="8" t="n">
        <v>1520.535</v>
      </c>
      <c r="E358" s="12">
        <f>(C358*2)/B358</f>
        <v/>
      </c>
      <c r="F358" s="12">
        <f>D358/B358</f>
        <v/>
      </c>
      <c r="G358" s="8" t="n">
        <v>632.9160000000001</v>
      </c>
      <c r="H358" s="8" t="n">
        <v>2709.954</v>
      </c>
      <c r="J358" s="8">
        <f>('Census Crush'!$B357*36.7437/1000)-B358</f>
        <v/>
      </c>
      <c r="K358" s="7">
        <f>J358/('Census Crush'!$B357*36.7437/1000)</f>
        <v/>
      </c>
      <c r="M358" s="14" t="n">
        <v>5.589766666666667</v>
      </c>
      <c r="N358" s="15">
        <f>M358*355</f>
        <v/>
      </c>
      <c r="Q358" s="56">
        <f>B358/30</f>
        <v/>
      </c>
    </row>
    <row r="359" ht="13.5" customHeight="1">
      <c r="A359" s="6" t="n">
        <v>39934</v>
      </c>
      <c r="B359" s="8" t="n">
        <v>142.169</v>
      </c>
      <c r="C359" s="8" t="n">
        <v>3377.254</v>
      </c>
      <c r="D359" s="8" t="n">
        <v>1629.353</v>
      </c>
      <c r="E359" s="12">
        <f>(C359*2)/B359</f>
        <v/>
      </c>
      <c r="F359" s="12">
        <f>D359/B359</f>
        <v/>
      </c>
      <c r="G359" s="8" t="n">
        <v>612.688</v>
      </c>
      <c r="H359" s="8" t="n">
        <v>2695.944</v>
      </c>
      <c r="J359" s="8">
        <f>('Census Crush'!$B358*36.7437/1000)-B359</f>
        <v/>
      </c>
      <c r="K359" s="7">
        <f>J359/('Census Crush'!$B358*36.7437/1000)</f>
        <v/>
      </c>
      <c r="M359" s="14" t="n">
        <v>5.589774193548386</v>
      </c>
      <c r="N359" s="15">
        <f>M359*355</f>
        <v/>
      </c>
      <c r="Q359" s="56">
        <f>B359/31</f>
        <v/>
      </c>
    </row>
    <row r="360" ht="13.5" customHeight="1">
      <c r="A360" s="6" t="n">
        <v>39965</v>
      </c>
      <c r="B360" s="8" t="n">
        <v>133.145</v>
      </c>
      <c r="C360" s="8" t="n">
        <v>3147.241</v>
      </c>
      <c r="D360" s="8" t="n">
        <v>1530.366</v>
      </c>
      <c r="E360" s="12">
        <f>(C360*2)/B360</f>
        <v/>
      </c>
      <c r="F360" s="12">
        <f>D360/B360</f>
        <v/>
      </c>
      <c r="G360" s="8" t="n">
        <v>608.912</v>
      </c>
      <c r="H360" s="8" t="n">
        <v>2907.181</v>
      </c>
      <c r="J360" s="8">
        <f>('Census Crush'!$B359*36.7437/1000)-B360</f>
        <v/>
      </c>
      <c r="K360" s="7">
        <f>J360/('Census Crush'!$B359*36.7437/1000)</f>
        <v/>
      </c>
      <c r="M360" s="14" t="n">
        <v>5.589766666666667</v>
      </c>
      <c r="N360" s="15">
        <f>M360*355</f>
        <v/>
      </c>
      <c r="Q360" s="56">
        <f>B360/30</f>
        <v/>
      </c>
    </row>
    <row r="361" ht="13.5" customHeight="1">
      <c r="A361" s="6" t="n">
        <v>39995</v>
      </c>
      <c r="B361" s="8" t="n">
        <v>120.92</v>
      </c>
      <c r="C361" s="8" t="n">
        <v>2872.432</v>
      </c>
      <c r="D361" s="8" t="n">
        <v>1394.372</v>
      </c>
      <c r="E361" s="12">
        <f>(C361*2)/B361</f>
        <v/>
      </c>
      <c r="F361" s="12">
        <f>D361/B361</f>
        <v/>
      </c>
      <c r="G361" s="8" t="n">
        <v>413.833</v>
      </c>
      <c r="H361" s="8" t="n">
        <v>2804.037</v>
      </c>
      <c r="J361" s="8">
        <f>('Census Crush'!$B360*36.7437/1000)-B361</f>
        <v/>
      </c>
      <c r="K361" s="7">
        <f>J361/('Census Crush'!$B360*36.7437/1000)</f>
        <v/>
      </c>
      <c r="M361" s="14" t="n">
        <v>5.545064516129032</v>
      </c>
      <c r="N361" s="15">
        <f>M361*355</f>
        <v/>
      </c>
      <c r="Q361" s="56">
        <f>B361/31</f>
        <v/>
      </c>
    </row>
    <row r="362" ht="13.5" customHeight="1">
      <c r="A362" s="6" t="n">
        <v>40026</v>
      </c>
      <c r="B362" s="8" t="n">
        <v>112.617</v>
      </c>
      <c r="C362" s="8" t="n">
        <v>2669.971</v>
      </c>
      <c r="D362" s="8" t="n">
        <v>1299.179</v>
      </c>
      <c r="E362" s="12">
        <f>(C362*2)/B362</f>
        <v/>
      </c>
      <c r="F362" s="12">
        <f>D362/B362</f>
        <v/>
      </c>
      <c r="G362" s="8" t="n">
        <v>261</v>
      </c>
      <c r="H362" s="8" t="n">
        <v>2520.132</v>
      </c>
      <c r="J362" s="8">
        <f>('Census Crush'!$B361*36.7437/1000)-B362</f>
        <v/>
      </c>
      <c r="K362" s="7">
        <f>J362/('Census Crush'!$B361*36.7437/1000)</f>
        <v/>
      </c>
      <c r="M362" s="14" t="n">
        <v>5.545064516129032</v>
      </c>
      <c r="N362" s="15">
        <f>M362*355</f>
        <v/>
      </c>
      <c r="Q362" s="56">
        <f>B362/31</f>
        <v/>
      </c>
    </row>
    <row r="363" ht="13.5" customHeight="1">
      <c r="A363" s="6" t="n">
        <v>40057</v>
      </c>
      <c r="B363" s="8" t="n">
        <v>107.379</v>
      </c>
      <c r="C363" s="8" t="n">
        <v>2520.026</v>
      </c>
      <c r="D363" s="8" t="n">
        <v>1239.697</v>
      </c>
      <c r="E363" s="12">
        <f>(C363*2)/B363</f>
        <v/>
      </c>
      <c r="F363" s="12">
        <f>D363/B363</f>
        <v/>
      </c>
      <c r="G363" s="8" t="n">
        <v>328.768</v>
      </c>
      <c r="H363" s="8" t="n">
        <v>2261.944</v>
      </c>
      <c r="J363" s="8">
        <f>('Census Crush'!$B362*36.7437/1000)-B363</f>
        <v/>
      </c>
      <c r="K363" s="7">
        <f>J363/('Census Crush'!$B362*36.7437/1000)</f>
        <v/>
      </c>
      <c r="M363" s="14" t="n">
        <v>5.545066666666667</v>
      </c>
      <c r="N363" s="15">
        <f>M363*355</f>
        <v/>
      </c>
      <c r="Q363" s="56">
        <f>B363/30</f>
        <v/>
      </c>
    </row>
    <row r="364" ht="13.5" customHeight="1">
      <c r="A364" s="6" t="n">
        <v>40087</v>
      </c>
      <c r="B364" s="8" t="n">
        <v>155.262</v>
      </c>
      <c r="C364" s="8" t="n">
        <v>3630.421</v>
      </c>
      <c r="D364" s="8" t="n">
        <v>1743.906</v>
      </c>
      <c r="E364" s="12">
        <f>(C364*2)/B364</f>
        <v/>
      </c>
      <c r="F364" s="12">
        <f>D364/B364</f>
        <v/>
      </c>
      <c r="G364" s="8" t="n">
        <v>702.121</v>
      </c>
      <c r="H364" s="8" t="n">
        <v>2286.064</v>
      </c>
      <c r="J364" s="8">
        <f>('Census Crush'!$B363*36.7437/1000)-B364</f>
        <v/>
      </c>
      <c r="K364" s="7">
        <f>J364/('Census Crush'!$B363*36.7437/1000)</f>
        <v/>
      </c>
      <c r="M364" s="14" t="n">
        <v>5.576967741935484</v>
      </c>
      <c r="N364" s="15">
        <f>M364*355</f>
        <v/>
      </c>
      <c r="Q364" s="56">
        <f>B364/31</f>
        <v/>
      </c>
    </row>
    <row r="365" ht="13.5" customHeight="1">
      <c r="A365" s="6" t="n">
        <v>40118</v>
      </c>
      <c r="B365" s="8" t="n">
        <v>160.259</v>
      </c>
      <c r="C365" s="8" t="n">
        <v>3770</v>
      </c>
      <c r="D365" s="8" t="n">
        <v>1769.8</v>
      </c>
      <c r="E365" s="12">
        <f>(C365*2)/B365</f>
        <v/>
      </c>
      <c r="F365" s="12">
        <f>D365/B365</f>
        <v/>
      </c>
      <c r="G365" s="8" t="n">
        <v>981.5650000000001</v>
      </c>
      <c r="H365" s="8" t="n">
        <v>2410.862</v>
      </c>
      <c r="J365" s="8">
        <f>('Census Crush'!$B364*36.7437/1000)-B365</f>
        <v/>
      </c>
      <c r="K365" s="7">
        <f>J365/('Census Crush'!$B364*36.7437/1000)</f>
        <v/>
      </c>
      <c r="M365" s="14" t="n">
        <v>5.576966666666666</v>
      </c>
      <c r="N365" s="15">
        <f>M365*355</f>
        <v/>
      </c>
      <c r="Q365" s="56">
        <f>B365/30</f>
        <v/>
      </c>
    </row>
    <row r="366" ht="13.5" customHeight="1">
      <c r="A366" s="6" t="n">
        <v>40148</v>
      </c>
      <c r="B366" s="8" t="n">
        <v>164.377</v>
      </c>
      <c r="C366" s="8" t="n">
        <v>3864.764</v>
      </c>
      <c r="D366" s="8" t="n">
        <v>1814.492</v>
      </c>
      <c r="E366" s="12">
        <f>(C366*2)/B366</f>
        <v/>
      </c>
      <c r="F366" s="12">
        <f>D366/B366</f>
        <v/>
      </c>
      <c r="G366" s="8" t="n">
        <v>1282.225</v>
      </c>
      <c r="H366" s="8" t="n">
        <v>2594.393</v>
      </c>
      <c r="J366" s="8">
        <f>('Census Crush'!$B365*36.7437/1000)-B366</f>
        <v/>
      </c>
      <c r="K366" s="7">
        <f>J366/('Census Crush'!$B365*36.7437/1000)</f>
        <v/>
      </c>
      <c r="M366" s="14" t="n">
        <v>5.576967741935484</v>
      </c>
      <c r="N366" s="15">
        <f>M366*355</f>
        <v/>
      </c>
      <c r="Q366" s="56">
        <f>B366/31</f>
        <v/>
      </c>
    </row>
    <row r="367" ht="13.5" customHeight="1">
      <c r="A367" s="6" t="n">
        <v>40179</v>
      </c>
      <c r="B367" s="8" t="n">
        <v>162.397</v>
      </c>
      <c r="C367" s="8" t="n">
        <v>3813.747</v>
      </c>
      <c r="D367" s="8" t="n">
        <v>1804.694</v>
      </c>
      <c r="E367" s="12">
        <f>(C367*2)/B367</f>
        <v/>
      </c>
      <c r="F367" s="12">
        <f>D367/B367</f>
        <v/>
      </c>
      <c r="G367" s="8" t="n">
        <v>1074.142</v>
      </c>
      <c r="H367" s="8" t="n">
        <v>2694.723</v>
      </c>
      <c r="J367" s="8">
        <f>('Census Crush'!$B366*36.7437/1000)-B367</f>
        <v/>
      </c>
      <c r="K367" s="7">
        <f>J367/('Census Crush'!$B366*36.7437/1000)</f>
        <v/>
      </c>
      <c r="M367" s="14" t="n">
        <v>5.70216129032258</v>
      </c>
      <c r="N367" s="15">
        <f>M367*355</f>
        <v/>
      </c>
      <c r="Q367" s="56">
        <f>B367/31</f>
        <v/>
      </c>
    </row>
    <row r="368" ht="13.5" customHeight="1">
      <c r="A368" s="6" t="n">
        <v>40210</v>
      </c>
      <c r="B368" s="8" t="n">
        <v>148.351</v>
      </c>
      <c r="C368" s="8" t="n">
        <v>3502.321</v>
      </c>
      <c r="D368" s="8" t="n">
        <v>1635.895</v>
      </c>
      <c r="E368" s="12">
        <f>(C368*2)/B368</f>
        <v/>
      </c>
      <c r="F368" s="12">
        <f>D368/B368</f>
        <v/>
      </c>
      <c r="G368" s="8" t="n">
        <v>906.793</v>
      </c>
      <c r="H368" s="8" t="n">
        <v>2851.965</v>
      </c>
      <c r="J368" s="8">
        <f>('Census Crush'!$B367*36.7437/1000)-B368</f>
        <v/>
      </c>
      <c r="K368" s="7">
        <f>J368/('Census Crush'!$B367*36.7437/1000)</f>
        <v/>
      </c>
      <c r="M368" s="14" t="n">
        <v>5.702178571428571</v>
      </c>
      <c r="N368" s="15">
        <f>M368*355</f>
        <v/>
      </c>
      <c r="Q368" s="56">
        <f>B368/28</f>
        <v/>
      </c>
    </row>
    <row r="369" ht="13.5" customHeight="1">
      <c r="A369" s="6" t="n">
        <v>40238</v>
      </c>
      <c r="B369" s="8" t="n">
        <v>149.627</v>
      </c>
      <c r="C369" s="8" t="n">
        <v>3519.272</v>
      </c>
      <c r="D369" s="8" t="n">
        <v>1668.392</v>
      </c>
      <c r="E369" s="12">
        <f>(C369*2)/B369</f>
        <v/>
      </c>
      <c r="F369" s="12">
        <f>D369/B369</f>
        <v/>
      </c>
      <c r="G369" s="8" t="n">
        <v>910.765</v>
      </c>
      <c r="H369" s="8" t="n">
        <v>2738.352</v>
      </c>
      <c r="J369" s="8">
        <f>('Census Crush'!$B368*36.7437/1000)-B369</f>
        <v/>
      </c>
      <c r="K369" s="7">
        <f>J369/('Census Crush'!$B368*36.7437/1000)</f>
        <v/>
      </c>
      <c r="M369" s="14" t="n">
        <v>5.70216129032258</v>
      </c>
      <c r="N369" s="15">
        <f>M369*355</f>
        <v/>
      </c>
      <c r="Q369" s="56">
        <f>B369/31</f>
        <v/>
      </c>
    </row>
    <row r="370" ht="13.5" customHeight="1">
      <c r="A370" s="6" t="n">
        <v>40269</v>
      </c>
      <c r="B370" s="8" t="n">
        <v>131.719</v>
      </c>
      <c r="C370" s="8" t="n">
        <v>3087.579</v>
      </c>
      <c r="D370" s="8" t="n">
        <v>1474.391</v>
      </c>
      <c r="E370" s="12">
        <f>(C370*2)/B370</f>
        <v/>
      </c>
      <c r="F370" s="12">
        <f>D370/B370</f>
        <v/>
      </c>
      <c r="G370" s="8" t="n">
        <v>705.314</v>
      </c>
      <c r="H370" s="8" t="n">
        <v>2811.507</v>
      </c>
      <c r="J370" s="8">
        <f>('Census Crush'!$B369*36.7437/1000)-B370</f>
        <v/>
      </c>
      <c r="K370" s="7">
        <f>J370/('Census Crush'!$B369*36.7437/1000)</f>
        <v/>
      </c>
      <c r="M370" s="14" t="n">
        <v>5.70216129032258</v>
      </c>
      <c r="N370" s="15">
        <f>M370*355</f>
        <v/>
      </c>
      <c r="Q370" s="56">
        <f>B370/30</f>
        <v/>
      </c>
    </row>
    <row r="371" ht="13.5" customHeight="1">
      <c r="A371" s="6" t="n">
        <v>40299</v>
      </c>
      <c r="B371" s="8" t="n">
        <v>127.815</v>
      </c>
      <c r="C371" s="8" t="n">
        <v>3014.901</v>
      </c>
      <c r="D371" s="8" t="n">
        <v>1430.532</v>
      </c>
      <c r="E371" s="12">
        <f>(C371*2)/B371</f>
        <v/>
      </c>
      <c r="F371" s="12">
        <f>D371/B371</f>
        <v/>
      </c>
      <c r="G371" s="8" t="n">
        <v>398.802</v>
      </c>
      <c r="H371" s="8" t="n">
        <v>2905.566</v>
      </c>
      <c r="J371" s="8">
        <f>('Census Crush'!$B370*36.7437/1000)-B371</f>
        <v/>
      </c>
      <c r="K371" s="7">
        <f>J371/('Census Crush'!$B370*36.7437/1000)</f>
        <v/>
      </c>
      <c r="M371" s="14" t="n">
        <v>5.58216129032258</v>
      </c>
      <c r="N371" s="15">
        <f>M371*355</f>
        <v/>
      </c>
      <c r="Q371" s="56">
        <f>B371/31</f>
        <v/>
      </c>
    </row>
    <row r="372" ht="13.5" customHeight="1">
      <c r="A372" s="6" t="n">
        <v>40330</v>
      </c>
      <c r="B372" s="8" t="n">
        <v>126.241</v>
      </c>
      <c r="C372" s="8" t="n">
        <v>2698.823</v>
      </c>
      <c r="D372" s="8" t="n">
        <v>1414.245</v>
      </c>
      <c r="E372" s="12">
        <f>(C372*2)/B372</f>
        <v/>
      </c>
      <c r="F372" s="12">
        <f>D372/B372</f>
        <v/>
      </c>
      <c r="G372" s="8" t="n">
        <v>501.441</v>
      </c>
      <c r="H372" s="8" t="n">
        <v>3036.082</v>
      </c>
      <c r="J372" s="8">
        <f>('Census Crush'!$B371*36.7437/1000)-B372</f>
        <v/>
      </c>
      <c r="K372" s="7">
        <f>J372/('Census Crush'!$B371*36.7437/1000)</f>
        <v/>
      </c>
      <c r="M372" s="14" t="n">
        <v>5.58216129032258</v>
      </c>
      <c r="N372" s="15">
        <f>M372*355</f>
        <v/>
      </c>
      <c r="Q372" s="56">
        <f>B372/30</f>
        <v/>
      </c>
    </row>
    <row r="373" ht="13.5" customHeight="1">
      <c r="A373" s="6" t="n">
        <v>40360</v>
      </c>
      <c r="B373" s="8" t="n">
        <v>124.181</v>
      </c>
      <c r="C373" s="8" t="n">
        <v>2930.98</v>
      </c>
      <c r="D373" s="8" t="n">
        <v>1390.596</v>
      </c>
      <c r="E373" s="12">
        <f>(C373*2)/B373</f>
        <v/>
      </c>
      <c r="F373" s="12">
        <f>D373/B373</f>
        <v/>
      </c>
      <c r="G373" s="8" t="n">
        <v>407.279</v>
      </c>
      <c r="H373" s="8" t="n">
        <v>3026.196</v>
      </c>
      <c r="J373" s="8">
        <f>('Census Crush'!$B372*36.7437/1000)-B373</f>
        <v/>
      </c>
      <c r="K373" s="7">
        <f>J373/('Census Crush'!$B372*36.7437/1000)</f>
        <v/>
      </c>
      <c r="M373" s="14" t="n">
        <v>5.58216129032258</v>
      </c>
      <c r="N373" s="15">
        <f>M373*355</f>
        <v/>
      </c>
      <c r="Q373" s="56">
        <f>B373/31</f>
        <v/>
      </c>
    </row>
    <row r="374" ht="13.5" customHeight="1">
      <c r="A374" s="6" t="n">
        <v>40391</v>
      </c>
      <c r="B374" s="8" t="n">
        <v>122.397</v>
      </c>
      <c r="C374" s="8" t="n">
        <v>2818.295</v>
      </c>
      <c r="D374" s="8" t="n">
        <v>1372.146</v>
      </c>
      <c r="E374" s="12">
        <f>(C374*2)/B374</f>
        <v/>
      </c>
      <c r="F374" s="12">
        <f>D374/B374</f>
        <v/>
      </c>
      <c r="G374" s="8" t="n">
        <v>453.346</v>
      </c>
      <c r="H374" s="8" t="n">
        <v>2818.295</v>
      </c>
      <c r="J374" s="8">
        <f>('Census Crush'!$B373*36.7437/1000)-B374</f>
        <v/>
      </c>
      <c r="K374" s="7">
        <f>J374/('Census Crush'!$B373*36.7437/1000)</f>
        <v/>
      </c>
      <c r="M374" s="14" t="n">
        <v>5.58216129032258</v>
      </c>
      <c r="N374" s="15">
        <f>M374*355</f>
        <v/>
      </c>
      <c r="Q374" s="56">
        <f>B374/31</f>
        <v/>
      </c>
    </row>
    <row r="375" ht="13.5" customHeight="1">
      <c r="A375" s="6" t="n">
        <v>40422</v>
      </c>
      <c r="B375" s="8" t="n">
        <v>124.917</v>
      </c>
      <c r="C375" s="8" t="n">
        <v>2924.266</v>
      </c>
      <c r="D375" s="8" t="n">
        <v>1427.965</v>
      </c>
      <c r="E375" s="12">
        <f>(C375*2)/B375</f>
        <v/>
      </c>
      <c r="F375" s="12">
        <f>D375/B375</f>
        <v/>
      </c>
      <c r="G375" s="8" t="n">
        <v>361.89</v>
      </c>
      <c r="H375" s="8" t="n">
        <v>2765.159</v>
      </c>
      <c r="J375" s="8">
        <f>('Census Crush'!$B374*36.7437/1000)-B375</f>
        <v/>
      </c>
      <c r="K375" s="7">
        <f>J375/('Census Crush'!$B374*36.7437/1000)</f>
        <v/>
      </c>
      <c r="M375" s="14" t="n">
        <v>5.58216129032258</v>
      </c>
      <c r="N375" s="15">
        <f>M375*355</f>
        <v/>
      </c>
      <c r="Q375" s="56">
        <f>B375/30</f>
        <v/>
      </c>
    </row>
    <row r="376" ht="13.5" customHeight="1">
      <c r="A376" s="6" t="n">
        <v>40452</v>
      </c>
      <c r="B376" s="8" t="n">
        <v>151.864</v>
      </c>
      <c r="C376" s="8" t="n">
        <v>3598.934</v>
      </c>
      <c r="D376" s="8" t="n">
        <v>1738.441</v>
      </c>
      <c r="E376" s="12">
        <f>(C376*2)/B376</f>
        <v/>
      </c>
      <c r="F376" s="12">
        <f>D376/B376</f>
        <v/>
      </c>
      <c r="G376" s="8" t="n">
        <v>641.187</v>
      </c>
      <c r="H376" s="8" t="n">
        <v>2821.264</v>
      </c>
      <c r="J376" s="8">
        <f>('Census Crush'!$B375*36.7437/1000)-B376</f>
        <v/>
      </c>
      <c r="K376" s="7">
        <f>J376/('Census Crush'!$B375*36.7437/1000)</f>
        <v/>
      </c>
      <c r="M376" s="14" t="n">
        <v>5.58216129032258</v>
      </c>
      <c r="N376" s="15">
        <f>M376*355</f>
        <v/>
      </c>
      <c r="Q376" s="56">
        <f>B376/31</f>
        <v/>
      </c>
    </row>
    <row r="377" ht="13.5" customHeight="1">
      <c r="A377" s="6" t="n">
        <v>40483</v>
      </c>
      <c r="B377" s="8" t="n">
        <v>148.867</v>
      </c>
      <c r="C377" s="8" t="n">
        <v>3562.981</v>
      </c>
      <c r="D377" s="8" t="n">
        <v>1708.431</v>
      </c>
      <c r="E377" s="12">
        <f>(C377*2)/B377</f>
        <v/>
      </c>
      <c r="F377" s="12">
        <f>D377/B377</f>
        <v/>
      </c>
      <c r="G377" s="8" t="n">
        <v>764.066</v>
      </c>
      <c r="H377" s="8" t="n">
        <v>2830.51</v>
      </c>
      <c r="J377" s="8">
        <f>('Census Crush'!$B376*36.7437/1000)-B377</f>
        <v/>
      </c>
      <c r="K377" s="7">
        <f>J377/('Census Crush'!$B376*36.7437/1000)</f>
        <v/>
      </c>
      <c r="M377" s="14" t="n">
        <v>5.58216129032258</v>
      </c>
      <c r="N377" s="15">
        <f>M377*355</f>
        <v/>
      </c>
      <c r="Q377" s="56">
        <f>B377/30</f>
        <v/>
      </c>
    </row>
    <row r="378" ht="13.5" customHeight="1">
      <c r="A378" s="6" t="n">
        <v>40513</v>
      </c>
      <c r="B378" s="8" t="n">
        <v>145.537</v>
      </c>
      <c r="C378" s="8" t="n">
        <v>3509.696</v>
      </c>
      <c r="D378" s="8" t="n">
        <v>1678.07</v>
      </c>
      <c r="E378" s="12">
        <f>(C378*2)/B378</f>
        <v/>
      </c>
      <c r="F378" s="12">
        <f>D378/B378</f>
        <v/>
      </c>
      <c r="G378" s="8" t="n">
        <v>599.145</v>
      </c>
      <c r="H378" s="8" t="n">
        <v>3020.307</v>
      </c>
      <c r="J378" s="8">
        <f>('Census Crush'!$B377*36.7437/1000)-B378</f>
        <v/>
      </c>
      <c r="K378" s="7">
        <f>J378/('Census Crush'!$B377*36.7437/1000)</f>
        <v/>
      </c>
      <c r="M378" s="14" t="n">
        <v>5.58216129032258</v>
      </c>
      <c r="N378" s="15">
        <f>M378*355</f>
        <v/>
      </c>
      <c r="Q378" s="56">
        <f>B378/31</f>
        <v/>
      </c>
    </row>
    <row r="379" ht="13.5" customHeight="1">
      <c r="A379" s="6" t="n">
        <v>40544</v>
      </c>
      <c r="B379" s="8" t="n">
        <v>144.635</v>
      </c>
      <c r="C379" s="8" t="n">
        <v>3460.422</v>
      </c>
      <c r="D379" s="8" t="n">
        <v>1670.312</v>
      </c>
      <c r="E379" s="12">
        <f>(C379*2)/B379</f>
        <v/>
      </c>
      <c r="F379" s="12">
        <f>D379/B379</f>
        <v/>
      </c>
      <c r="G379" s="8" t="n">
        <v>834.42</v>
      </c>
      <c r="H379" s="8" t="n">
        <v>3098.405</v>
      </c>
      <c r="J379" s="8">
        <f>('Census Crush'!$B378*36.7437/1000)-B379</f>
        <v/>
      </c>
      <c r="K379" s="7">
        <f>J379/('Census Crush'!$B378*36.7437/1000)</f>
        <v/>
      </c>
      <c r="M379" s="14" t="n">
        <v>5.58216129032258</v>
      </c>
      <c r="N379" s="15">
        <f>M379*355</f>
        <v/>
      </c>
      <c r="Q379" s="56">
        <f>B379/31</f>
        <v/>
      </c>
    </row>
    <row r="380" ht="13.5" customHeight="1">
      <c r="A380" s="6" t="n">
        <v>40575</v>
      </c>
      <c r="B380" s="8" t="n">
        <v>124.884</v>
      </c>
      <c r="C380" s="8" t="n">
        <v>3006.098</v>
      </c>
      <c r="D380" s="8" t="n">
        <v>1452.466</v>
      </c>
      <c r="E380" s="12">
        <f>(C380*2)/B380</f>
        <v/>
      </c>
      <c r="F380" s="12">
        <f>D380/B380</f>
        <v/>
      </c>
      <c r="G380" s="8" t="n">
        <v>663.586</v>
      </c>
      <c r="H380" s="8" t="n">
        <v>3101.877</v>
      </c>
      <c r="J380" s="8">
        <f>('Census Crush'!$B379*36.7437/1000)-B380</f>
        <v/>
      </c>
      <c r="K380" s="7">
        <f>J380/('Census Crush'!$B379*36.7437/1000)</f>
        <v/>
      </c>
      <c r="M380" s="14" t="n">
        <v>5.58216129032258</v>
      </c>
      <c r="N380" s="15">
        <f>M380*355</f>
        <v/>
      </c>
      <c r="Q380" s="56">
        <f>B380/28</f>
        <v/>
      </c>
    </row>
    <row r="381" ht="13.5" customHeight="1">
      <c r="A381" s="6" t="n">
        <v>40603</v>
      </c>
      <c r="B381" s="8" t="n">
        <v>134.391</v>
      </c>
      <c r="C381" s="8" t="n">
        <v>3227.871</v>
      </c>
      <c r="D381" s="8" t="n">
        <v>1565.116</v>
      </c>
      <c r="E381" s="12">
        <f>(C381*2)/B381</f>
        <v/>
      </c>
      <c r="F381" s="12">
        <f>D381/B381</f>
        <v/>
      </c>
      <c r="G381" s="8" t="n">
        <v>518.861</v>
      </c>
      <c r="H381" s="8" t="n">
        <v>3059.793</v>
      </c>
      <c r="J381" s="8">
        <f>('Census Crush'!$B380*36.7437/1000)-B381</f>
        <v/>
      </c>
      <c r="K381" s="7">
        <f>J381/('Census Crush'!$B380*36.7437/1000)</f>
        <v/>
      </c>
      <c r="M381" s="14" t="n">
        <v>5.58216129032258</v>
      </c>
      <c r="N381" s="15">
        <f>M381*355</f>
        <v/>
      </c>
      <c r="Q381" s="56">
        <f>B381/31</f>
        <v/>
      </c>
    </row>
    <row r="382" ht="13.5" customHeight="1">
      <c r="A382" s="6" t="n">
        <v>40634</v>
      </c>
      <c r="B382" s="8" t="n">
        <v>121.33</v>
      </c>
      <c r="C382" s="8" t="n">
        <v>2922.874</v>
      </c>
      <c r="D382" s="8" t="n">
        <v>1421.5</v>
      </c>
      <c r="E382" s="12">
        <f>(C382*2)/B382</f>
        <v/>
      </c>
      <c r="F382" s="12">
        <f>D382/B382</f>
        <v/>
      </c>
      <c r="G382" s="8" t="n">
        <v>580.01</v>
      </c>
      <c r="H382" s="8" t="n">
        <v>2694.432</v>
      </c>
      <c r="J382" s="8">
        <f>('Census Crush'!$B381*36.7437/1000)-B382</f>
        <v/>
      </c>
      <c r="K382" s="7">
        <f>J382/('Census Crush'!$B381*36.7437/1000)</f>
        <v/>
      </c>
      <c r="M382" s="14" t="n">
        <v>5.522161290322581</v>
      </c>
      <c r="N382" s="15">
        <f>M382*355</f>
        <v/>
      </c>
      <c r="Q382" s="56">
        <f>B382/30</f>
        <v/>
      </c>
    </row>
    <row r="383" ht="13.5" customHeight="1">
      <c r="A383" s="6" t="n">
        <v>40664</v>
      </c>
      <c r="B383" s="8" t="n">
        <v>120.319</v>
      </c>
      <c r="C383" s="8" t="n">
        <v>2905.301</v>
      </c>
      <c r="D383" s="8" t="n">
        <v>1403.866</v>
      </c>
      <c r="E383" s="12">
        <f>(C383*2)/B383</f>
        <v/>
      </c>
      <c r="F383" s="12">
        <f>D383/B383</f>
        <v/>
      </c>
      <c r="G383" s="8" t="n">
        <v>334.211</v>
      </c>
      <c r="H383" s="8" t="n">
        <v>2709.719</v>
      </c>
      <c r="J383" s="8">
        <f>('Census Crush'!$B382*36.7437/1000)-B383</f>
        <v/>
      </c>
      <c r="K383" s="7">
        <f>J383/('Census Crush'!$B382*36.7437/1000)</f>
        <v/>
      </c>
      <c r="M383" s="14" t="n">
        <v>5.522161290322581</v>
      </c>
      <c r="N383" s="15">
        <f>M383*355</f>
        <v/>
      </c>
      <c r="Q383" s="56">
        <f>B383/31</f>
        <v/>
      </c>
    </row>
    <row r="384" ht="13.5" customHeight="1">
      <c r="A384" s="6" t="n">
        <v>40695</v>
      </c>
      <c r="B384" s="8" t="n">
        <v>117.718</v>
      </c>
      <c r="C384" s="8" t="n">
        <v>2827.665</v>
      </c>
      <c r="D384" s="8" t="n">
        <v>1378.119</v>
      </c>
      <c r="E384" s="12">
        <f>(C384*2)/B384</f>
        <v/>
      </c>
      <c r="F384" s="12">
        <f>D384/B384</f>
        <v/>
      </c>
      <c r="G384" s="8" t="n">
        <v>372.819</v>
      </c>
      <c r="H384" s="8" t="n">
        <v>2587.568</v>
      </c>
      <c r="J384" s="8">
        <f>('Census Crush'!$B383*36.7437/1000)-B384</f>
        <v/>
      </c>
      <c r="K384" s="7">
        <f>J384/('Census Crush'!$B383*36.7437/1000)</f>
        <v/>
      </c>
      <c r="M384" s="14" t="n">
        <v>5.522161290322581</v>
      </c>
      <c r="N384" s="15">
        <f>M384*355</f>
        <v/>
      </c>
      <c r="Q384" s="56">
        <f>B384/30</f>
        <v/>
      </c>
    </row>
    <row r="385" ht="13.5" customHeight="1">
      <c r="A385" s="6" t="n">
        <v>40725</v>
      </c>
      <c r="B385" s="8" t="n">
        <v>122.952</v>
      </c>
      <c r="C385" s="8" t="n">
        <v>2936.33</v>
      </c>
      <c r="D385" s="8" t="n">
        <v>1436.571</v>
      </c>
      <c r="E385" s="12">
        <f>(C385*2)/B385</f>
        <v/>
      </c>
      <c r="F385" s="12">
        <f>D385/B385</f>
        <v/>
      </c>
      <c r="G385" s="8" t="n">
        <v>386.812</v>
      </c>
      <c r="H385" s="8" t="n">
        <v>2530.01</v>
      </c>
      <c r="J385" s="8">
        <f>('Census Crush'!$B384*36.7437/1000)-B385</f>
        <v/>
      </c>
      <c r="K385" s="7">
        <f>J385/('Census Crush'!$B384*36.7437/1000)</f>
        <v/>
      </c>
      <c r="M385" s="14" t="n">
        <v>5.522161290322581</v>
      </c>
      <c r="N385" s="15">
        <f>M385*355</f>
        <v/>
      </c>
      <c r="Q385" s="56">
        <f>B385/31</f>
        <v/>
      </c>
    </row>
    <row r="386" ht="13.5" customHeight="1">
      <c r="A386" s="6" t="n">
        <v>40756</v>
      </c>
      <c r="B386" s="8" t="n">
        <v>118.767</v>
      </c>
      <c r="C386" s="8" t="n">
        <v>2852.254</v>
      </c>
      <c r="D386" s="8" t="n">
        <v>1386.071</v>
      </c>
      <c r="E386" s="12">
        <f>(C386*2)/B386</f>
        <v/>
      </c>
      <c r="F386" s="12">
        <f>D386/B386</f>
        <v/>
      </c>
      <c r="G386" s="8" t="n">
        <v>473.297</v>
      </c>
      <c r="H386" s="8" t="n">
        <v>2312.954</v>
      </c>
      <c r="M386" s="14" t="n">
        <v>5.522161290322581</v>
      </c>
      <c r="N386" s="15">
        <f>M386*355</f>
        <v/>
      </c>
      <c r="Q386" s="56">
        <f>B386/31</f>
        <v/>
      </c>
    </row>
    <row r="387" ht="13.5" customHeight="1">
      <c r="A387" s="6" t="n">
        <v>40787</v>
      </c>
      <c r="B387" s="8" t="n">
        <v>110.313</v>
      </c>
      <c r="C387" s="8" t="n">
        <v>2639.998</v>
      </c>
      <c r="D387" s="8" t="n">
        <v>1290.933</v>
      </c>
      <c r="E387" s="12">
        <f>(C387*2)/B387</f>
        <v/>
      </c>
      <c r="F387" s="12">
        <f>D387/B387</f>
        <v/>
      </c>
      <c r="G387" s="8" t="n">
        <v>300.347</v>
      </c>
      <c r="H387" s="8" t="n">
        <v>1950.42</v>
      </c>
      <c r="M387" s="14" t="n">
        <v>5.522161290322581</v>
      </c>
      <c r="N387" s="15">
        <f>M387*355</f>
        <v/>
      </c>
      <c r="Q387" s="56">
        <f>B387/30</f>
        <v/>
      </c>
    </row>
    <row r="388" ht="13.5" customHeight="1">
      <c r="A388" s="6" t="n">
        <v>40817</v>
      </c>
      <c r="B388" s="8" t="n">
        <v>141.179</v>
      </c>
      <c r="C388" s="8" t="n">
        <v>3362.935</v>
      </c>
      <c r="D388" s="8" t="n">
        <v>1632.282</v>
      </c>
      <c r="E388" s="12">
        <f>(C388*2)/B388</f>
        <v/>
      </c>
      <c r="F388" s="12">
        <f>D388/B388</f>
        <v/>
      </c>
      <c r="G388" s="8" t="n">
        <v>578.146</v>
      </c>
      <c r="H388" s="8" t="n">
        <v>1876.09</v>
      </c>
      <c r="M388" s="14" t="n">
        <v>5.522161290322581</v>
      </c>
      <c r="N388" s="15">
        <f>M388*355</f>
        <v/>
      </c>
      <c r="Q388" s="56">
        <f>B388/31</f>
        <v/>
      </c>
    </row>
    <row r="389" ht="13.5" customHeight="1">
      <c r="A389" s="6" t="n">
        <v>40848</v>
      </c>
      <c r="B389" s="8" t="n">
        <v>141.277</v>
      </c>
      <c r="C389" s="8" t="n">
        <v>3377.543</v>
      </c>
      <c r="D389" s="8" t="n">
        <v>1598.032</v>
      </c>
      <c r="E389" s="12">
        <f>(C389*2)/B389</f>
        <v/>
      </c>
      <c r="F389" s="12">
        <f>D389/B389</f>
        <v/>
      </c>
      <c r="G389" s="8" t="n">
        <v>673.304</v>
      </c>
      <c r="H389" s="8" t="n">
        <v>1855.291</v>
      </c>
      <c r="M389" s="14" t="n">
        <v>5.522161290322581</v>
      </c>
      <c r="N389" s="15">
        <f>M389*355</f>
        <v/>
      </c>
      <c r="Q389" s="56">
        <f>B389/30</f>
        <v/>
      </c>
    </row>
    <row r="390" ht="13.5" customHeight="1">
      <c r="A390" s="6" t="n">
        <v>40878</v>
      </c>
      <c r="B390" s="8" t="n">
        <v>145.42</v>
      </c>
      <c r="C390" s="8" t="n">
        <v>3479.736</v>
      </c>
      <c r="D390" s="8" t="n">
        <v>1651.919</v>
      </c>
      <c r="E390" s="12">
        <f>(C390*2)/B390</f>
        <v/>
      </c>
      <c r="F390" s="12">
        <f>D390/B390</f>
        <v/>
      </c>
      <c r="G390" s="8" t="n">
        <v>608.159</v>
      </c>
      <c r="H390" s="8" t="n">
        <v>1938.031</v>
      </c>
      <c r="M390" s="14" t="n">
        <v>5.522161290322581</v>
      </c>
      <c r="N390" s="15">
        <f>M390*355</f>
        <v/>
      </c>
      <c r="Q390" s="56">
        <f>B390/31</f>
        <v/>
      </c>
    </row>
    <row r="391" ht="13.5" customHeight="1">
      <c r="A391" s="6" t="n">
        <v>40909</v>
      </c>
      <c r="B391" s="8" t="n">
        <v>142.813</v>
      </c>
      <c r="C391" s="8" t="n">
        <v>3424.132</v>
      </c>
      <c r="D391" s="8" t="n">
        <v>1634.298</v>
      </c>
      <c r="E391" s="12">
        <f>(C391*2)/B391</f>
        <v/>
      </c>
      <c r="F391" s="12">
        <f>D391/B391</f>
        <v/>
      </c>
      <c r="G391" s="8" t="n">
        <v>585.623</v>
      </c>
      <c r="H391" s="8" t="n">
        <v>2098.226</v>
      </c>
      <c r="M391" s="14" t="n">
        <v>5.522161290322581</v>
      </c>
      <c r="N391" s="15">
        <f>M391*355</f>
        <v/>
      </c>
      <c r="Q391" s="56">
        <f>B391/31</f>
        <v/>
      </c>
    </row>
    <row r="392" ht="13.5" customHeight="1">
      <c r="A392" s="6" t="n">
        <v>40940</v>
      </c>
      <c r="B392" s="8" t="n">
        <v>136.35</v>
      </c>
      <c r="C392" s="8" t="n">
        <v>3269.243</v>
      </c>
      <c r="D392" s="8" t="n">
        <v>1568.724</v>
      </c>
      <c r="E392" s="12">
        <f>(C392*2)/B392</f>
        <v/>
      </c>
      <c r="F392" s="12">
        <f>D392/B392</f>
        <v/>
      </c>
      <c r="G392" s="8" t="n">
        <v>658.542</v>
      </c>
      <c r="H392" s="8" t="n">
        <v>2242.258</v>
      </c>
      <c r="M392" s="14" t="n">
        <v>5.454161290322581</v>
      </c>
      <c r="N392" s="15">
        <f>M392*355</f>
        <v/>
      </c>
      <c r="Q392" s="56">
        <f>B392/29</f>
        <v/>
      </c>
    </row>
    <row r="393" ht="13.5" customHeight="1">
      <c r="A393" s="6" t="n">
        <v>40969</v>
      </c>
      <c r="B393" s="8" t="n">
        <v>140.534</v>
      </c>
      <c r="C393" s="8" t="n">
        <v>3368.823</v>
      </c>
      <c r="D393" s="8" t="n">
        <v>1622.998</v>
      </c>
      <c r="E393" s="12">
        <f>(C393*2)/B393</f>
        <v/>
      </c>
      <c r="F393" s="12">
        <f>D393/B393</f>
        <v/>
      </c>
      <c r="G393" s="8" t="n">
        <v>681.533</v>
      </c>
      <c r="H393" s="8" t="n">
        <v>2363.202</v>
      </c>
      <c r="M393" s="14" t="n">
        <v>5.454161290322581</v>
      </c>
      <c r="N393" s="15">
        <f>M393*355</f>
        <v/>
      </c>
      <c r="Q393" s="56">
        <f>B393/31</f>
        <v/>
      </c>
    </row>
    <row r="394" ht="13.5" customHeight="1">
      <c r="A394" s="6" t="n">
        <v>41000</v>
      </c>
      <c r="B394" s="8" t="n">
        <v>131.708</v>
      </c>
      <c r="C394" s="8" t="n">
        <v>3166.012</v>
      </c>
      <c r="D394" s="8" t="n">
        <v>1519.882</v>
      </c>
      <c r="E394" s="12">
        <f>(C394*2)/B394</f>
        <v/>
      </c>
      <c r="F394" s="12">
        <f>D394/B394</f>
        <v/>
      </c>
      <c r="G394" s="8" t="n">
        <v>607.598</v>
      </c>
      <c r="H394" s="8" t="n">
        <v>2384.942</v>
      </c>
      <c r="M394" s="14" t="n">
        <v>5.454161290322581</v>
      </c>
      <c r="N394" s="15">
        <f>M394*355</f>
        <v/>
      </c>
      <c r="Q394" s="56">
        <f>B394/30</f>
        <v/>
      </c>
    </row>
    <row r="395" ht="13.5" customHeight="1">
      <c r="A395" s="6" t="n">
        <v>41030</v>
      </c>
      <c r="B395" s="8" t="n">
        <v>138.266</v>
      </c>
      <c r="C395" s="8" t="n">
        <v>3316.442</v>
      </c>
      <c r="D395" s="8" t="n">
        <v>1596.969</v>
      </c>
      <c r="E395" s="12">
        <f>(C395*2)/B395</f>
        <v/>
      </c>
      <c r="F395" s="12">
        <f>D395/B395</f>
        <v/>
      </c>
      <c r="G395" s="8" t="n">
        <v>723.1319999999999</v>
      </c>
      <c r="H395" s="8" t="n">
        <v>2312.358</v>
      </c>
      <c r="M395" s="14" t="n">
        <v>5.454161290322581</v>
      </c>
      <c r="N395" s="15">
        <f>M395*355</f>
        <v/>
      </c>
      <c r="Q395" s="56">
        <f>B395/31</f>
        <v/>
      </c>
    </row>
    <row r="396" ht="13.5" customHeight="1">
      <c r="A396" s="6" t="n">
        <v>41061</v>
      </c>
      <c r="B396" s="8" t="n">
        <v>134.156</v>
      </c>
      <c r="C396" s="8" t="n">
        <v>3225.121</v>
      </c>
      <c r="D396" s="8" t="n">
        <v>1547.436</v>
      </c>
      <c r="E396" s="12">
        <f>(C396*2)/B396</f>
        <v/>
      </c>
      <c r="F396" s="12">
        <f>D396/B396</f>
        <v/>
      </c>
      <c r="G396" s="8" t="n">
        <v>585.504</v>
      </c>
      <c r="H396" s="8" t="n">
        <v>2306.128</v>
      </c>
      <c r="M396" s="14" t="n">
        <v>5.454161290322581</v>
      </c>
      <c r="N396" s="15">
        <f>M396*355</f>
        <v/>
      </c>
      <c r="Q396" s="56">
        <f>B396/30</f>
        <v/>
      </c>
    </row>
    <row r="397" ht="13.5" customHeight="1">
      <c r="A397" s="6" t="n">
        <v>41091</v>
      </c>
      <c r="B397" s="8" t="n">
        <v>137.38</v>
      </c>
      <c r="C397" s="8" t="n">
        <v>3300.592</v>
      </c>
      <c r="D397" s="8" t="n">
        <v>1594.052</v>
      </c>
      <c r="E397" s="12">
        <f>(C397*2)/B397</f>
        <v/>
      </c>
      <c r="F397" s="12">
        <f>D397/B397</f>
        <v/>
      </c>
      <c r="G397" s="8" t="n">
        <v>653.26</v>
      </c>
      <c r="H397" s="8" t="n">
        <v>2345.227</v>
      </c>
      <c r="M397" s="14" t="n">
        <v>5.454161290322581</v>
      </c>
      <c r="N397" s="15">
        <f>M397*355</f>
        <v/>
      </c>
      <c r="Q397" s="56">
        <f>B397/31</f>
        <v/>
      </c>
    </row>
    <row r="398" ht="13.5" customHeight="1">
      <c r="A398" s="6" t="n">
        <v>41122</v>
      </c>
      <c r="B398" s="8" t="n">
        <v>124.773</v>
      </c>
      <c r="C398" s="8" t="n">
        <v>3003.265</v>
      </c>
      <c r="D398" s="8" t="n">
        <v>1460.079</v>
      </c>
      <c r="E398" s="12">
        <f>(C398*2)/B398</f>
        <v/>
      </c>
      <c r="F398" s="12">
        <f>D398/B398</f>
        <v/>
      </c>
      <c r="G398" s="8" t="n">
        <v>613.196</v>
      </c>
      <c r="H398" s="8" t="n">
        <v>2168.477</v>
      </c>
      <c r="M398" s="14" t="n">
        <v>5.454161290322581</v>
      </c>
      <c r="N398" s="15">
        <f>M398*355</f>
        <v/>
      </c>
      <c r="Q398" s="56">
        <f>B398/31</f>
        <v/>
      </c>
    </row>
    <row r="399" ht="13.5" customHeight="1">
      <c r="A399" s="6" t="n">
        <v>41153</v>
      </c>
      <c r="B399" s="8" t="n">
        <v>119.732</v>
      </c>
      <c r="C399" s="8" t="n">
        <v>2842.421</v>
      </c>
      <c r="D399" s="8" t="n">
        <v>1399.699</v>
      </c>
      <c r="E399" s="12">
        <f>(C399*2)/B399</f>
        <v/>
      </c>
      <c r="F399" s="12">
        <f>D399/B399</f>
        <v/>
      </c>
      <c r="G399" s="8" t="n">
        <v>379.72</v>
      </c>
      <c r="H399" s="8" t="n">
        <v>2042.991</v>
      </c>
      <c r="M399" s="14" t="n">
        <v>5.454161290322581</v>
      </c>
      <c r="N399" s="15">
        <f>M399*355</f>
        <v/>
      </c>
      <c r="Q399" s="56">
        <f>B399/30</f>
        <v/>
      </c>
    </row>
    <row r="400" ht="13.5" customHeight="1">
      <c r="A400" s="6" t="n">
        <v>41183</v>
      </c>
      <c r="B400" s="8" t="n">
        <v>153.536</v>
      </c>
      <c r="C400" s="8" t="n">
        <v>3628.909</v>
      </c>
      <c r="D400" s="8" t="n">
        <v>1805.675</v>
      </c>
      <c r="E400" s="12">
        <f>(C400*2)/B400</f>
        <v/>
      </c>
      <c r="F400" s="12">
        <f>D400/B400</f>
        <v/>
      </c>
      <c r="G400" s="8" t="n">
        <v>819.7859999999999</v>
      </c>
      <c r="H400" s="8" t="n">
        <v>2187.678</v>
      </c>
      <c r="M400" s="14" t="n">
        <v>5.454161290322581</v>
      </c>
      <c r="N400" s="15">
        <f>M400*355</f>
        <v/>
      </c>
      <c r="Q400" s="56">
        <f>B400/31</f>
        <v/>
      </c>
    </row>
    <row r="401" ht="13.5" customHeight="1">
      <c r="A401" s="6" t="n">
        <v>41214</v>
      </c>
      <c r="B401" s="8" t="n">
        <v>157.308</v>
      </c>
      <c r="C401" s="8" t="n">
        <v>3746.715</v>
      </c>
      <c r="D401" s="8" t="n">
        <v>1830.51</v>
      </c>
      <c r="E401" s="12">
        <f>(C401*2)/B401</f>
        <v/>
      </c>
      <c r="F401" s="12">
        <f>D401/B401</f>
        <v/>
      </c>
      <c r="G401" s="8" t="n">
        <v>1039.965</v>
      </c>
      <c r="H401" s="8" t="n">
        <v>2384.756</v>
      </c>
      <c r="M401" s="14" t="n">
        <v>5.454161290322581</v>
      </c>
      <c r="N401" s="15">
        <f>M401*355</f>
        <v/>
      </c>
      <c r="Q401" s="56">
        <f>B401/30</f>
        <v/>
      </c>
    </row>
    <row r="402" ht="13.5" customHeight="1">
      <c r="A402" s="6" t="n">
        <v>41244</v>
      </c>
      <c r="B402" s="8" t="n">
        <v>159.899</v>
      </c>
      <c r="C402" s="8" t="n">
        <v>3794.894</v>
      </c>
      <c r="D402" s="8" t="n">
        <v>1864.943</v>
      </c>
      <c r="E402" s="12">
        <f>(C402*2)/B402</f>
        <v/>
      </c>
      <c r="F402" s="12">
        <f>D402/B402</f>
        <v/>
      </c>
      <c r="G402" s="8" t="n">
        <v>801.245</v>
      </c>
      <c r="H402" s="8" t="n">
        <v>2600.204</v>
      </c>
      <c r="M402" s="14" t="n">
        <v>5.454161290322581</v>
      </c>
      <c r="N402" s="15">
        <f>M402*355</f>
        <v/>
      </c>
      <c r="Q402" s="56">
        <f>B402/31</f>
        <v/>
      </c>
    </row>
    <row r="403" ht="13.5" customHeight="1">
      <c r="A403" s="6" t="n">
        <v>41275</v>
      </c>
      <c r="B403" s="8" t="n">
        <v>158.195</v>
      </c>
      <c r="C403" s="8" t="n">
        <v>3762.18</v>
      </c>
      <c r="D403" s="8" t="n">
        <v>1859.8</v>
      </c>
      <c r="E403" s="12">
        <f>(C403*2)/B403</f>
        <v/>
      </c>
      <c r="F403" s="12">
        <f>D403/B403</f>
        <v/>
      </c>
      <c r="G403" s="8" t="n">
        <v>1117.561</v>
      </c>
      <c r="H403" s="8" t="n">
        <v>2822.982</v>
      </c>
      <c r="M403" s="14" t="n">
        <v>5.454161290322581</v>
      </c>
      <c r="N403" s="15">
        <f>M403*355</f>
        <v/>
      </c>
      <c r="Q403" s="56">
        <f>B403/31</f>
        <v/>
      </c>
    </row>
    <row r="404" ht="13.5" customHeight="1">
      <c r="A404" s="6" t="n">
        <v>41306</v>
      </c>
      <c r="B404" s="8" t="n">
        <v>136.322</v>
      </c>
      <c r="C404" s="8" t="n">
        <v>3234.589</v>
      </c>
      <c r="D404" s="8" t="n">
        <v>1599.9</v>
      </c>
      <c r="E404" s="12">
        <f>(C404*2)/B404</f>
        <v/>
      </c>
      <c r="F404" s="12">
        <f>D404/B404</f>
        <v/>
      </c>
      <c r="G404" s="8" t="n">
        <v>765.659</v>
      </c>
      <c r="H404" s="8" t="n">
        <v>2790.051</v>
      </c>
      <c r="M404" s="14" t="n">
        <v>5.454161290322581</v>
      </c>
      <c r="N404" s="15">
        <f>M404*355</f>
        <v/>
      </c>
      <c r="Q404" s="56">
        <f>B404/28</f>
        <v/>
      </c>
    </row>
    <row r="405" ht="13.5" customHeight="1">
      <c r="A405" s="6" t="n">
        <v>41334</v>
      </c>
      <c r="B405" s="8" t="n">
        <v>137.08</v>
      </c>
      <c r="C405" s="8" t="n">
        <v>3270.547</v>
      </c>
      <c r="D405" s="8" t="n">
        <v>1637</v>
      </c>
      <c r="E405" s="12">
        <f>(C405*2)/B405</f>
        <v/>
      </c>
      <c r="F405" s="12">
        <f>D405/B405</f>
        <v/>
      </c>
      <c r="G405" s="8" t="n">
        <v>638.327</v>
      </c>
      <c r="H405" s="8" t="n">
        <v>2764.888</v>
      </c>
      <c r="M405" s="14" t="n">
        <v>5.454161290322581</v>
      </c>
      <c r="N405" s="15">
        <f>M405*355</f>
        <v/>
      </c>
      <c r="Q405" s="56">
        <f>B405/31</f>
        <v/>
      </c>
    </row>
    <row r="406" ht="13.5" customHeight="1">
      <c r="A406" s="6" t="n">
        <v>41365</v>
      </c>
      <c r="B406" s="8" t="n">
        <v>120.113</v>
      </c>
      <c r="C406" s="8" t="n">
        <v>2861.365</v>
      </c>
      <c r="D406" s="8" t="n">
        <v>1423.9</v>
      </c>
      <c r="E406" s="12">
        <f>(C406*2)/B406</f>
        <v/>
      </c>
      <c r="F406" s="12">
        <f>D406/B406</f>
        <v/>
      </c>
      <c r="G406" s="8" t="n">
        <v>506.429</v>
      </c>
      <c r="H406" s="8" t="n">
        <v>2637.636</v>
      </c>
      <c r="M406" s="14" t="n">
        <v>5.454161290322581</v>
      </c>
      <c r="N406" s="15">
        <f>M406*355</f>
        <v/>
      </c>
      <c r="Q406" s="56">
        <f>B406/30</f>
        <v/>
      </c>
    </row>
    <row r="407" ht="13.5" customHeight="1">
      <c r="A407" s="6" t="n">
        <v>41395</v>
      </c>
      <c r="B407" s="8" t="n">
        <v>122.631</v>
      </c>
      <c r="C407" s="8" t="n">
        <v>2912.26</v>
      </c>
      <c r="D407" s="8" t="n">
        <v>1461.9</v>
      </c>
      <c r="E407" s="12">
        <f>(C407*2)/B407</f>
        <v/>
      </c>
      <c r="F407" s="12">
        <f>D407/B407</f>
        <v/>
      </c>
      <c r="G407" s="8" t="n">
        <v>425.742</v>
      </c>
      <c r="H407" s="8" t="n">
        <v>2468.997</v>
      </c>
      <c r="M407" s="14" t="n">
        <v>5.454161290322581</v>
      </c>
      <c r="N407" s="15">
        <f>M407*355</f>
        <v/>
      </c>
      <c r="Q407" s="56">
        <f>B407/31</f>
        <v/>
      </c>
    </row>
    <row r="408" ht="13.5" customHeight="1">
      <c r="A408" s="6" t="n">
        <v>41426</v>
      </c>
      <c r="B408" s="8" t="n">
        <v>119.051</v>
      </c>
      <c r="C408" s="8" t="n">
        <v>2835.149</v>
      </c>
      <c r="D408" s="8" t="n">
        <v>1419.5</v>
      </c>
      <c r="E408" s="12">
        <f>(C408*2)/B408</f>
        <v/>
      </c>
      <c r="F408" s="12">
        <f>D408/B408</f>
        <v/>
      </c>
      <c r="G408" s="8" t="n">
        <v>415.331</v>
      </c>
      <c r="H408" s="8" t="n">
        <v>2297.642</v>
      </c>
      <c r="M408" s="14" t="n">
        <v>5.454161290322581</v>
      </c>
      <c r="N408" s="15">
        <f>M408*355</f>
        <v/>
      </c>
      <c r="Q408" s="56">
        <f>B408/30</f>
        <v/>
      </c>
    </row>
    <row r="409" ht="13.5" customHeight="1">
      <c r="A409" s="6" t="n">
        <v>41456</v>
      </c>
      <c r="B409" s="8" t="n">
        <v>116.338</v>
      </c>
      <c r="C409" s="8" t="n">
        <v>2765.335</v>
      </c>
      <c r="D409" s="8" t="n">
        <v>1387.6</v>
      </c>
      <c r="E409" s="12">
        <f>(C409*2)/B409</f>
        <v/>
      </c>
      <c r="F409" s="12">
        <f>D409/B409</f>
        <v/>
      </c>
      <c r="G409" s="8" t="n">
        <v>351.536</v>
      </c>
      <c r="H409" s="8" t="n">
        <v>2049.897</v>
      </c>
      <c r="M409" s="14" t="n">
        <v>5.454161290322581</v>
      </c>
      <c r="N409" s="15">
        <f>M409*355</f>
        <v/>
      </c>
      <c r="Q409" s="56">
        <f>B409/31</f>
        <v/>
      </c>
    </row>
    <row r="410" ht="13.5" customHeight="1">
      <c r="A410" s="6" t="n">
        <v>41487</v>
      </c>
      <c r="B410" s="8" t="n">
        <v>110.502</v>
      </c>
      <c r="C410" s="8" t="n">
        <v>2634.794</v>
      </c>
      <c r="D410" s="8" t="n">
        <v>1317.2</v>
      </c>
      <c r="E410" s="12">
        <f>(C410*2)/B410</f>
        <v/>
      </c>
      <c r="F410" s="12">
        <f>D410/B410</f>
        <v/>
      </c>
      <c r="G410" s="8" t="n">
        <v>306.684</v>
      </c>
      <c r="H410" s="8" t="n">
        <v>1668.539</v>
      </c>
      <c r="M410" s="14" t="n">
        <v>5.454161290322581</v>
      </c>
      <c r="N410" s="15">
        <f>M410*355</f>
        <v/>
      </c>
      <c r="Q410" s="56">
        <f>B410/31</f>
        <v/>
      </c>
    </row>
    <row r="411" ht="13.5" customHeight="1">
      <c r="A411" s="6" t="n">
        <v>41518</v>
      </c>
      <c r="B411" s="8" t="n">
        <v>108.68</v>
      </c>
      <c r="C411" s="8" t="n">
        <v>2582.772</v>
      </c>
      <c r="D411" s="8" t="n">
        <v>1293.8</v>
      </c>
      <c r="E411" s="12">
        <f>(C411*2)/B411</f>
        <v/>
      </c>
      <c r="F411" s="12">
        <f>D411/B411</f>
        <v/>
      </c>
      <c r="G411" s="8" t="n">
        <v>306.226</v>
      </c>
      <c r="H411" s="8" t="n">
        <v>1372.282</v>
      </c>
      <c r="M411" s="14" t="n">
        <v>5.454161290322581</v>
      </c>
      <c r="N411" s="15">
        <f>M411*355</f>
        <v/>
      </c>
      <c r="Q411" s="56">
        <f>B411/30</f>
        <v/>
      </c>
    </row>
    <row r="412" ht="13.5" customHeight="1">
      <c r="A412" s="6" t="n">
        <v>41548</v>
      </c>
      <c r="B412" s="8" t="n">
        <v>157.063</v>
      </c>
      <c r="C412" s="8" t="n">
        <v>3687.669</v>
      </c>
      <c r="D412" s="8" t="n">
        <v>1827.6</v>
      </c>
      <c r="E412" s="12">
        <f>(C412*2)/B412</f>
        <v/>
      </c>
      <c r="F412" s="12">
        <f>D412/B412</f>
        <v/>
      </c>
      <c r="G412" s="8" t="n">
        <v>701.802</v>
      </c>
      <c r="H412" s="8" t="n">
        <v>1377.34</v>
      </c>
      <c r="M412" s="14" t="n">
        <v>5.454161290322581</v>
      </c>
      <c r="N412" s="15">
        <f>M412*355</f>
        <v/>
      </c>
      <c r="Q412" s="56">
        <f>B412/31</f>
        <v/>
      </c>
    </row>
    <row r="413" ht="13.5" customHeight="1">
      <c r="A413" s="6" t="n">
        <v>41579</v>
      </c>
      <c r="B413" s="8" t="n">
        <v>160.145</v>
      </c>
      <c r="C413" s="8" t="n">
        <v>3781.519</v>
      </c>
      <c r="D413" s="8" t="n">
        <v>1847</v>
      </c>
      <c r="E413" s="12">
        <f>(C413*2)/B413</f>
        <v/>
      </c>
      <c r="F413" s="12">
        <f>D413/B413</f>
        <v/>
      </c>
      <c r="G413" s="8" t="n">
        <v>813.323</v>
      </c>
      <c r="H413" s="8" t="n">
        <v>1485.613</v>
      </c>
      <c r="M413" s="14" t="n">
        <v>5.454161290322581</v>
      </c>
      <c r="N413" s="15">
        <f>M413*355</f>
        <v/>
      </c>
      <c r="Q413" s="56">
        <f>B413/30</f>
        <v/>
      </c>
    </row>
    <row r="414" ht="13.5" customHeight="1">
      <c r="A414" s="6" t="n">
        <v>41609</v>
      </c>
      <c r="B414" s="8" t="n">
        <v>165.384</v>
      </c>
      <c r="C414" s="8" t="n">
        <v>3879.619</v>
      </c>
      <c r="D414" s="8" t="n">
        <v>1897.2</v>
      </c>
      <c r="E414" s="12">
        <f>(C414*2)/B414</f>
        <v/>
      </c>
      <c r="F414" s="12">
        <f>D414/B414</f>
        <v/>
      </c>
      <c r="G414" s="8" t="n">
        <v>1005.302</v>
      </c>
      <c r="H414" s="8" t="n">
        <v>1681.223</v>
      </c>
      <c r="M414" s="14" t="n">
        <v>5.454161290322581</v>
      </c>
      <c r="N414" s="15">
        <f>M414*355</f>
        <v/>
      </c>
      <c r="Q414" s="56">
        <f>B414/31</f>
        <v/>
      </c>
    </row>
    <row r="415" ht="13.5" customHeight="1">
      <c r="A415" s="6" t="n">
        <v>41640</v>
      </c>
      <c r="B415" s="8" t="n">
        <v>156.943</v>
      </c>
      <c r="C415" s="8" t="n">
        <v>3708.703</v>
      </c>
      <c r="D415" s="8" t="n">
        <v>1813.7</v>
      </c>
      <c r="E415" s="12">
        <f>(C415*2)/B415</f>
        <v/>
      </c>
      <c r="F415" s="12">
        <f>D415/B415</f>
        <v/>
      </c>
      <c r="G415" s="8" t="n">
        <v>787.961</v>
      </c>
      <c r="H415" s="8" t="n">
        <v>1794.11</v>
      </c>
      <c r="M415" s="14" t="n">
        <v>5.454161290322581</v>
      </c>
      <c r="N415" s="15">
        <f>M415*355</f>
        <v/>
      </c>
      <c r="Q415" s="56">
        <f>B415/31</f>
        <v/>
      </c>
    </row>
    <row r="416" ht="13.5" customHeight="1">
      <c r="A416" s="6" t="n">
        <v>41671</v>
      </c>
      <c r="B416" s="8" t="n">
        <v>141.612</v>
      </c>
      <c r="C416" s="8" t="n">
        <v>3348.18</v>
      </c>
      <c r="D416" s="8" t="n">
        <v>1646.1</v>
      </c>
      <c r="E416" s="12">
        <f>(C416*2)/B416</f>
        <v/>
      </c>
      <c r="F416" s="12">
        <f>D416/B416</f>
        <v/>
      </c>
      <c r="G416" s="8" t="n">
        <v>714.231</v>
      </c>
      <c r="H416" s="8" t="n">
        <v>1892.943</v>
      </c>
      <c r="M416" s="14" t="n">
        <v>5.454161290322581</v>
      </c>
      <c r="N416" s="15">
        <f>M416*355</f>
        <v/>
      </c>
      <c r="Q416" s="56">
        <f>B416/28</f>
        <v/>
      </c>
    </row>
    <row r="417" ht="13.5" customHeight="1">
      <c r="A417" s="6" t="n">
        <v>41699</v>
      </c>
      <c r="B417" s="8" t="n">
        <v>153.84</v>
      </c>
      <c r="C417" s="8" t="n">
        <v>3636.275</v>
      </c>
      <c r="D417" s="8" t="n">
        <v>1791.2</v>
      </c>
      <c r="E417" s="12">
        <f>(C417*2)/B417</f>
        <v/>
      </c>
      <c r="F417" s="12">
        <f>D417/B417</f>
        <v/>
      </c>
      <c r="G417" s="8" t="n">
        <v>798.883</v>
      </c>
      <c r="H417" s="8" t="n">
        <v>2022.565</v>
      </c>
      <c r="M417" s="14" t="n">
        <v>5.454161290322581</v>
      </c>
      <c r="N417" s="15">
        <f>M417*355</f>
        <v/>
      </c>
      <c r="Q417" s="56">
        <f>B417/31</f>
        <v/>
      </c>
    </row>
    <row r="418" ht="13.5" customHeight="1">
      <c r="A418" s="6" t="n">
        <v>41730</v>
      </c>
      <c r="B418" s="8" t="n">
        <v>132.667</v>
      </c>
      <c r="C418" s="8" t="n">
        <v>3152.024</v>
      </c>
      <c r="D418" s="8" t="n">
        <v>1555.5</v>
      </c>
      <c r="E418" s="12">
        <f>(C418*2)/B418</f>
        <v/>
      </c>
      <c r="F418" s="12">
        <f>D418/B418</f>
        <v/>
      </c>
      <c r="G418" s="8" t="n">
        <v>670.455</v>
      </c>
      <c r="H418" s="8" t="n">
        <v>2057.635</v>
      </c>
      <c r="M418" s="14" t="n">
        <v>5.454161290322581</v>
      </c>
      <c r="N418" s="15">
        <f>M418*355</f>
        <v/>
      </c>
      <c r="Q418" s="56">
        <f>B418/30</f>
        <v/>
      </c>
    </row>
    <row r="419" ht="13.5" customHeight="1">
      <c r="A419" s="6" t="n">
        <v>41760</v>
      </c>
      <c r="B419" s="8" t="n">
        <v>128.824</v>
      </c>
      <c r="C419" s="8" t="n">
        <v>3043.732</v>
      </c>
      <c r="D419" s="8" t="n">
        <v>1520.8</v>
      </c>
      <c r="E419" s="12">
        <f>(C419*2)/B419</f>
        <v/>
      </c>
      <c r="F419" s="12">
        <f>D419/B419</f>
        <v/>
      </c>
      <c r="G419" s="8" t="n">
        <v>465.301</v>
      </c>
      <c r="H419" s="8" t="n">
        <v>1970.136</v>
      </c>
      <c r="M419" s="14" t="n">
        <v>5.454161290322581</v>
      </c>
      <c r="N419" s="15">
        <f>M419*355</f>
        <v/>
      </c>
      <c r="Q419" s="56">
        <f>B419/31</f>
        <v/>
      </c>
    </row>
    <row r="420" ht="13.5" customHeight="1">
      <c r="A420" s="6" t="n">
        <v>41791</v>
      </c>
      <c r="B420" s="8" t="n">
        <v>118.718</v>
      </c>
      <c r="C420" s="8" t="n">
        <v>2805.412</v>
      </c>
      <c r="D420" s="8" t="n">
        <v>1401.1</v>
      </c>
      <c r="E420" s="12">
        <f>(C420*2)/B420</f>
        <v/>
      </c>
      <c r="F420" s="12">
        <f>D420/B420</f>
        <v/>
      </c>
      <c r="G420" s="8" t="n">
        <v>388.112</v>
      </c>
      <c r="H420" s="8" t="n">
        <v>1847.041</v>
      </c>
      <c r="M420" s="14" t="n">
        <v>5.454161290322581</v>
      </c>
      <c r="N420" s="15">
        <f>M420*355</f>
        <v/>
      </c>
      <c r="Q420" s="56">
        <f>B420/30</f>
        <v/>
      </c>
    </row>
    <row r="421" ht="13.5" customHeight="1">
      <c r="A421" s="6" t="n">
        <v>41821</v>
      </c>
      <c r="B421" s="8" t="n">
        <v>119.62</v>
      </c>
      <c r="C421" s="8" t="n">
        <v>2818.018</v>
      </c>
      <c r="D421" s="8" t="n">
        <v>1422</v>
      </c>
      <c r="E421" s="12">
        <f>(C421*2)/B421</f>
        <v/>
      </c>
      <c r="F421" s="12">
        <f>D421/B421</f>
        <v/>
      </c>
      <c r="G421" s="8" t="n">
        <v>391.781</v>
      </c>
      <c r="H421" s="8" t="n">
        <v>1589.079</v>
      </c>
      <c r="M421" s="14" t="n">
        <v>5.454161290322581</v>
      </c>
      <c r="N421" s="15">
        <f>M421*355</f>
        <v/>
      </c>
      <c r="Q421" s="56">
        <f>B421/31</f>
        <v/>
      </c>
    </row>
    <row r="422" ht="13.5" customHeight="1">
      <c r="A422" s="6" t="n">
        <v>41852</v>
      </c>
      <c r="B422" s="8" t="n">
        <v>110.633</v>
      </c>
      <c r="C422" s="8" t="n">
        <v>2604.177</v>
      </c>
      <c r="D422" s="8" t="n">
        <v>1304.3</v>
      </c>
      <c r="E422" s="12">
        <f>(C422*2)/B422</f>
        <v/>
      </c>
      <c r="F422" s="12">
        <f>D422/B422</f>
        <v/>
      </c>
      <c r="G422" s="8" t="n">
        <v>263.44</v>
      </c>
      <c r="H422" s="8" t="n">
        <v>1213.503</v>
      </c>
      <c r="M422" s="14" t="n">
        <v>5.454161290322581</v>
      </c>
      <c r="N422" s="15">
        <f>M422*355</f>
        <v/>
      </c>
      <c r="Q422" s="56">
        <f>B422/31</f>
        <v/>
      </c>
    </row>
    <row r="423" ht="13.5" customHeight="1">
      <c r="A423" s="6" t="n">
        <v>41883</v>
      </c>
      <c r="B423" s="8" t="n">
        <v>99.97</v>
      </c>
      <c r="C423" s="8" t="n">
        <v>2345.688</v>
      </c>
      <c r="D423" s="8" t="n">
        <v>1174.4</v>
      </c>
      <c r="E423" s="12">
        <f>(C423*2)/B423</f>
        <v/>
      </c>
      <c r="F423" s="12">
        <f>D423/B423</f>
        <v/>
      </c>
      <c r="G423" s="8" t="n">
        <v>308.515</v>
      </c>
      <c r="H423" s="8" t="n">
        <v>936.88</v>
      </c>
      <c r="M423" s="14" t="n">
        <v>5.454161290322581</v>
      </c>
      <c r="N423" s="15">
        <f>M423*355</f>
        <v/>
      </c>
      <c r="Q423" s="56">
        <f>B423/30</f>
        <v/>
      </c>
    </row>
    <row r="424" ht="13.5" customHeight="1">
      <c r="A424" s="6" t="n">
        <v>41913</v>
      </c>
      <c r="B424" s="8" t="n">
        <v>157.96</v>
      </c>
      <c r="C424" s="8" t="n">
        <v>3719.487</v>
      </c>
      <c r="D424" s="8" t="n">
        <v>1803.9</v>
      </c>
      <c r="E424" s="12">
        <f>(C424*2)/B424</f>
        <v/>
      </c>
      <c r="F424" s="12">
        <f>D424/B424</f>
        <v/>
      </c>
      <c r="G424" s="8" t="n">
        <v>707.934</v>
      </c>
      <c r="H424" s="8" t="n">
        <v>966.062</v>
      </c>
      <c r="M424" s="14" t="n">
        <v>5.454161290322581</v>
      </c>
      <c r="N424" s="15">
        <f>M424*355</f>
        <v/>
      </c>
      <c r="Q424" s="56">
        <f>B424/31</f>
        <v/>
      </c>
    </row>
    <row r="425" ht="13.5" customHeight="1">
      <c r="A425" s="6" t="n">
        <v>41944</v>
      </c>
      <c r="B425" s="8" t="n">
        <v>161.211</v>
      </c>
      <c r="C425" s="8" t="n">
        <v>3796.425</v>
      </c>
      <c r="D425" s="8" t="n">
        <v>1790.2</v>
      </c>
      <c r="E425" s="12">
        <f>(C425*2)/B425</f>
        <v/>
      </c>
      <c r="F425" s="12">
        <f>D425/B425</f>
        <v/>
      </c>
      <c r="G425" s="8" t="n">
        <v>834.987</v>
      </c>
      <c r="H425" s="8" t="n">
        <v>1004.582</v>
      </c>
      <c r="M425" s="14" t="n">
        <v>5.454161290322581</v>
      </c>
      <c r="N425" s="15">
        <f>M425*355</f>
        <v/>
      </c>
      <c r="Q425" s="56">
        <f>B425/30</f>
        <v/>
      </c>
    </row>
    <row r="426" ht="13.5" customHeight="1">
      <c r="A426" s="6" t="n">
        <v>41974</v>
      </c>
      <c r="B426" s="8" t="n">
        <v>165.383</v>
      </c>
      <c r="C426" s="8" t="n">
        <v>3906.004</v>
      </c>
      <c r="D426" s="8" t="n">
        <v>1849.4</v>
      </c>
      <c r="E426" s="12">
        <f>(C426*2)/B426</f>
        <v/>
      </c>
      <c r="F426" s="12">
        <f>D426/B426</f>
        <v/>
      </c>
      <c r="G426" s="8" t="n">
        <v>1004.548</v>
      </c>
      <c r="H426" s="8" t="n">
        <v>1067.564</v>
      </c>
      <c r="M426" s="14" t="n">
        <v>5.454161290322581</v>
      </c>
      <c r="N426" s="15">
        <f>M426*355</f>
        <v/>
      </c>
      <c r="Q426" s="56">
        <f>B426/31</f>
        <v/>
      </c>
    </row>
    <row r="427" ht="13.5" customHeight="1">
      <c r="A427" s="6" t="n">
        <v>42005</v>
      </c>
      <c r="B427" s="8" t="n">
        <v>162.675</v>
      </c>
      <c r="C427" s="8" t="n">
        <v>3850.273</v>
      </c>
      <c r="D427" s="8" t="n">
        <v>1823.9</v>
      </c>
      <c r="E427" s="12">
        <f>(C427*2)/B427</f>
        <v/>
      </c>
      <c r="F427" s="12">
        <f>D427/B427</f>
        <v/>
      </c>
      <c r="G427" s="8" t="n">
        <v>1012.383</v>
      </c>
      <c r="H427" s="8" t="n">
        <v>1228.065</v>
      </c>
      <c r="M427" s="14" t="n">
        <v>5.454161290322581</v>
      </c>
      <c r="N427" s="15">
        <f>M427*355</f>
        <v/>
      </c>
      <c r="Q427" s="56">
        <f>B427/31</f>
        <v/>
      </c>
    </row>
    <row r="428" ht="13.5" customHeight="1">
      <c r="A428" s="6" t="n">
        <v>42036</v>
      </c>
      <c r="B428" s="8" t="n">
        <v>146.97</v>
      </c>
      <c r="C428" s="8" t="n">
        <v>3477.925</v>
      </c>
      <c r="D428" s="8" t="n">
        <v>1653.4</v>
      </c>
      <c r="E428" s="12">
        <f>(C428*2)/B428</f>
        <v/>
      </c>
      <c r="F428" s="12">
        <f>D428/B428</f>
        <v/>
      </c>
      <c r="G428" s="8" t="n">
        <v>791.532</v>
      </c>
      <c r="H428" s="8" t="n">
        <v>1322.055</v>
      </c>
      <c r="M428" s="14" t="n">
        <v>5.454161290322581</v>
      </c>
      <c r="N428" s="15">
        <f>M428*355</f>
        <v/>
      </c>
      <c r="Q428" s="56">
        <f>B428/28</f>
        <v/>
      </c>
    </row>
    <row r="429" ht="13.5" customHeight="1">
      <c r="A429" s="6" t="n">
        <v>42064</v>
      </c>
      <c r="B429" s="8" t="n">
        <v>162.822</v>
      </c>
      <c r="C429" s="8" t="n">
        <v>3858.52</v>
      </c>
      <c r="D429" s="8" t="n">
        <v>1822.6</v>
      </c>
      <c r="E429" s="12">
        <f>(C429*2)/B429</f>
        <v/>
      </c>
      <c r="F429" s="12">
        <f>D429/B429</f>
        <v/>
      </c>
      <c r="G429" s="8" t="n">
        <v>757.165</v>
      </c>
      <c r="H429" s="8" t="n">
        <v>1419.543</v>
      </c>
      <c r="M429" s="14" t="n">
        <v>5.454161290322581</v>
      </c>
      <c r="N429" s="15">
        <f>M429*355</f>
        <v/>
      </c>
      <c r="Q429" s="56">
        <f>B429/31</f>
        <v/>
      </c>
    </row>
    <row r="430" ht="13.5" customHeight="1">
      <c r="A430" s="6" t="n">
        <v>42095</v>
      </c>
      <c r="B430" s="8" t="n">
        <v>150.363</v>
      </c>
      <c r="C430" s="8" t="n">
        <v>3581.772</v>
      </c>
      <c r="D430" s="8" t="n">
        <v>1698.4</v>
      </c>
      <c r="E430" s="12">
        <f>(C430*2)/B430</f>
        <v/>
      </c>
      <c r="F430" s="12">
        <f>D430/B430</f>
        <v/>
      </c>
      <c r="G430" s="8" t="n">
        <v>799.3150000000001</v>
      </c>
      <c r="H430" s="8" t="n">
        <v>1440.985</v>
      </c>
      <c r="M430" s="14" t="n">
        <v>5.454161290322581</v>
      </c>
      <c r="N430" s="15">
        <f>M430*355</f>
        <v/>
      </c>
      <c r="Q430" s="56">
        <f>B430/30</f>
        <v/>
      </c>
    </row>
    <row r="431" ht="13.5" customHeight="1">
      <c r="A431" s="6" t="n">
        <v>42125</v>
      </c>
      <c r="B431" s="8" t="n">
        <v>148.416</v>
      </c>
      <c r="C431" s="8" t="n">
        <v>3536.593</v>
      </c>
      <c r="D431" s="8" t="n">
        <v>1682.3</v>
      </c>
      <c r="E431" s="12">
        <f>(C431*2)/B431</f>
        <v/>
      </c>
      <c r="F431" s="12">
        <f>D431/B431</f>
        <v/>
      </c>
      <c r="G431" s="8" t="n">
        <v>551.146</v>
      </c>
      <c r="H431" s="8" t="n">
        <v>1577.803</v>
      </c>
      <c r="J431" s="8">
        <f>soy_crush!D5-B431</f>
        <v/>
      </c>
      <c r="K431" s="13">
        <f>J431/B431</f>
        <v/>
      </c>
      <c r="M431" s="14" t="n">
        <v>5.454161290322581</v>
      </c>
      <c r="N431" s="15">
        <f>M431*355</f>
        <v/>
      </c>
      <c r="Q431" s="56">
        <f>B431/31</f>
        <v/>
      </c>
      <c r="T431" s="5" t="n">
        <v>1754.179</v>
      </c>
      <c r="V431" s="5" t="n">
        <v>1439.683</v>
      </c>
      <c r="W431" s="5" t="n">
        <v>1400.207</v>
      </c>
      <c r="Y431" s="5" t="n">
        <v>1348.234</v>
      </c>
      <c r="Z431" s="5" t="n">
        <v>269.522</v>
      </c>
      <c r="AA431" s="5" t="n">
        <v>1078.712</v>
      </c>
      <c r="AB431" s="5" t="n">
        <v>1812.875</v>
      </c>
      <c r="AC431" s="5" t="n">
        <v>1054.953</v>
      </c>
      <c r="AD431" s="5" t="n">
        <v>376.449</v>
      </c>
      <c r="AE431" s="5" t="n">
        <v>503.198</v>
      </c>
    </row>
    <row r="432" ht="13.5" customHeight="1">
      <c r="A432" s="6" t="n">
        <v>42156</v>
      </c>
      <c r="B432" s="8" t="n">
        <v>142.473</v>
      </c>
      <c r="C432" s="8" t="n">
        <v>3387.575</v>
      </c>
      <c r="D432" s="8" t="n">
        <v>1614.3</v>
      </c>
      <c r="E432" s="12">
        <f>(C432*2)/B432</f>
        <v/>
      </c>
      <c r="F432" s="12">
        <f>D432/B432</f>
        <v/>
      </c>
      <c r="G432" s="8" t="n">
        <v>596.573</v>
      </c>
      <c r="H432" s="8" t="n">
        <v>1573.926</v>
      </c>
      <c r="J432" s="8">
        <f>soy_crush!D6-B432</f>
        <v/>
      </c>
      <c r="K432" s="13">
        <f>J432/B432</f>
        <v/>
      </c>
      <c r="M432" s="14" t="n">
        <v>5.454161290322581</v>
      </c>
      <c r="N432" s="15">
        <f>M432*355</f>
        <v/>
      </c>
      <c r="Q432" s="56">
        <f>B432/30</f>
        <v/>
      </c>
      <c r="T432" s="5" t="n">
        <v>1708.286</v>
      </c>
      <c r="V432" s="5" t="n">
        <v>1499.818</v>
      </c>
      <c r="W432" s="5" t="n">
        <v>1458.282</v>
      </c>
      <c r="Y432" s="5" t="n">
        <v>1448.372</v>
      </c>
      <c r="Z432" s="5" t="n">
        <v>289.447</v>
      </c>
      <c r="AA432" s="5" t="n">
        <v>1158.925</v>
      </c>
      <c r="AB432" s="5" t="n">
        <v>1773.201</v>
      </c>
      <c r="AC432" s="5" t="n">
        <v>1027.209</v>
      </c>
      <c r="AD432" s="5" t="n">
        <v>380.046</v>
      </c>
      <c r="AE432" s="5" t="n">
        <v>479.131</v>
      </c>
    </row>
    <row r="433" ht="13.5" customHeight="1">
      <c r="A433" s="6" t="n">
        <v>42186</v>
      </c>
      <c r="B433" s="8" t="n">
        <v>145.227</v>
      </c>
      <c r="C433" s="8" t="n">
        <v>3448.928</v>
      </c>
      <c r="D433" s="8" t="n">
        <v>1631.8</v>
      </c>
      <c r="E433" s="12">
        <f>(C433*2)/B433</f>
        <v/>
      </c>
      <c r="F433" s="12">
        <f>D433/B433</f>
        <v/>
      </c>
      <c r="G433" s="8" t="n">
        <v>590.582</v>
      </c>
      <c r="H433" s="8" t="n">
        <v>1624.312</v>
      </c>
      <c r="J433" s="8">
        <f>soy_crush!D7-B433</f>
        <v/>
      </c>
      <c r="K433" s="13">
        <f>J433/B433</f>
        <v/>
      </c>
      <c r="M433" s="14" t="n">
        <v>5.454161290322581</v>
      </c>
      <c r="N433" s="15">
        <f>M433*355</f>
        <v/>
      </c>
      <c r="Q433" s="56">
        <f>B433/31</f>
        <v/>
      </c>
      <c r="T433" s="5" t="n">
        <v>1738.053</v>
      </c>
      <c r="V433" s="5" t="n">
        <v>1462.35</v>
      </c>
      <c r="W433" s="5" t="n">
        <v>1425.963</v>
      </c>
      <c r="Y433" s="5" t="n">
        <v>1410.582</v>
      </c>
      <c r="Z433" s="5" t="n">
        <v>321.77</v>
      </c>
      <c r="AA433" s="5" t="n">
        <v>1088.812</v>
      </c>
      <c r="AB433" s="5" t="n">
        <v>1791.738</v>
      </c>
      <c r="AC433" s="5" t="n">
        <v>993.484</v>
      </c>
      <c r="AD433" s="5" t="n">
        <v>354.715</v>
      </c>
      <c r="AE433" s="5" t="n">
        <v>542.328</v>
      </c>
    </row>
    <row r="434" ht="13.5" customHeight="1">
      <c r="A434" s="6" t="n">
        <v>42217</v>
      </c>
      <c r="B434" s="8" t="n">
        <v>135.304</v>
      </c>
      <c r="C434" s="8" t="n">
        <v>3209.125</v>
      </c>
      <c r="D434" s="8" t="n">
        <v>1532.72</v>
      </c>
      <c r="E434" s="12">
        <f>(C434*2)/B434</f>
        <v/>
      </c>
      <c r="F434" s="12">
        <f>D434/B434</f>
        <v/>
      </c>
      <c r="G434" s="8" t="n">
        <v>491.51</v>
      </c>
      <c r="H434" s="8" t="n">
        <v>1480.17</v>
      </c>
      <c r="J434" s="8">
        <f>soy_crush!D8-B434</f>
        <v/>
      </c>
      <c r="K434" s="13">
        <f>J434/B434</f>
        <v/>
      </c>
      <c r="M434" s="14" t="n">
        <v>5.454161290322581</v>
      </c>
      <c r="N434" s="15">
        <f>M434*355</f>
        <v/>
      </c>
      <c r="Q434" s="56">
        <f>B434/31</f>
        <v/>
      </c>
      <c r="T434" s="5" t="n">
        <v>1626.655</v>
      </c>
      <c r="U434" s="5" t="n">
        <v>116.726</v>
      </c>
      <c r="V434" s="5" t="n">
        <v>1437.891</v>
      </c>
      <c r="W434" s="5" t="n">
        <v>1406.585</v>
      </c>
      <c r="Y434" s="5" t="n">
        <v>1394.52</v>
      </c>
      <c r="Z434" s="5" t="n">
        <v>276.717</v>
      </c>
      <c r="AA434" s="5" t="n">
        <v>1117.803</v>
      </c>
      <c r="AB434" s="5" t="n">
        <v>1661.276</v>
      </c>
      <c r="AC434" s="5" t="n">
        <v>823.426</v>
      </c>
      <c r="AD434" s="5" t="n">
        <v>338.446</v>
      </c>
      <c r="AE434" s="5" t="n">
        <v>506.114</v>
      </c>
    </row>
    <row r="435" ht="13.5" customHeight="1">
      <c r="A435" s="6" t="n">
        <v>42248</v>
      </c>
      <c r="B435" s="8" t="n">
        <v>126.704</v>
      </c>
      <c r="C435" s="8" t="n">
        <v>2996.997</v>
      </c>
      <c r="D435" s="8" t="n">
        <v>1451.01</v>
      </c>
      <c r="E435" s="12">
        <f>(C435*2)/B435</f>
        <v/>
      </c>
      <c r="F435" s="12">
        <f>D435/B435</f>
        <v/>
      </c>
      <c r="G435" s="8" t="n">
        <v>502.32</v>
      </c>
      <c r="H435" s="8" t="n">
        <v>1354.702</v>
      </c>
      <c r="J435" s="8">
        <f>soy_crush!D9-B435</f>
        <v/>
      </c>
      <c r="K435" s="13">
        <f>J435/B435</f>
        <v/>
      </c>
      <c r="M435" s="14" t="n">
        <v>5.454161290322581</v>
      </c>
      <c r="N435" s="15">
        <f>M435*355</f>
        <v/>
      </c>
      <c r="Q435" s="56">
        <f>B435/30</f>
        <v/>
      </c>
      <c r="T435" s="5" t="n">
        <v>1531.282</v>
      </c>
      <c r="V435" s="5" t="n">
        <v>1435.64</v>
      </c>
      <c r="W435" s="5" t="n">
        <v>1396.101</v>
      </c>
      <c r="Y435" s="5" t="n">
        <v>1344.392</v>
      </c>
      <c r="Z435" s="5" t="n">
        <v>245.642</v>
      </c>
      <c r="AA435" s="5" t="n">
        <v>1098.75</v>
      </c>
      <c r="AB435" s="5" t="n">
        <v>1516.385</v>
      </c>
      <c r="AC435" s="5" t="n">
        <v>736.754</v>
      </c>
      <c r="AD435" s="5" t="n">
        <v>338.433</v>
      </c>
      <c r="AE435" s="5" t="n">
        <v>504.07</v>
      </c>
    </row>
    <row r="436" ht="13.5" customHeight="1">
      <c r="A436" s="6" t="n">
        <v>42278</v>
      </c>
      <c r="B436" s="8" t="n">
        <v>158.895</v>
      </c>
      <c r="C436" s="8" t="n">
        <v>3730.238</v>
      </c>
      <c r="D436" s="8" t="n">
        <v>1843.51</v>
      </c>
      <c r="E436" s="12">
        <f>(C436*2)/B436</f>
        <v/>
      </c>
      <c r="F436" s="12">
        <f>D436/B436</f>
        <v/>
      </c>
      <c r="G436" s="8" t="n">
        <v>644.069</v>
      </c>
      <c r="H436" s="8" t="n">
        <v>1407.815</v>
      </c>
      <c r="J436" s="8">
        <f>soy_crush!D10-B436</f>
        <v/>
      </c>
      <c r="K436" s="13">
        <f>J436/B436</f>
        <v/>
      </c>
      <c r="M436" s="14" t="n">
        <v>5.454161290322581</v>
      </c>
      <c r="N436" s="15">
        <f>M436*355</f>
        <v/>
      </c>
      <c r="Q436" s="56">
        <f>B436/31</f>
        <v/>
      </c>
      <c r="T436" s="5" t="n">
        <v>1962.937</v>
      </c>
      <c r="V436" s="5" t="n">
        <v>1610.904</v>
      </c>
      <c r="W436" s="5" t="n">
        <v>1575.91</v>
      </c>
      <c r="Y436" s="5" t="n">
        <v>1530.33</v>
      </c>
      <c r="Z436" s="5" t="n">
        <v>272.262</v>
      </c>
      <c r="AA436" s="5" t="n">
        <v>1258.068</v>
      </c>
      <c r="AB436" s="5" t="n">
        <v>1569.861</v>
      </c>
      <c r="AC436" s="5" t="n">
        <v>747.77</v>
      </c>
      <c r="AD436" s="5" t="n">
        <v>370.508</v>
      </c>
      <c r="AE436" s="5" t="n">
        <v>552.0890000000001</v>
      </c>
    </row>
    <row r="437" ht="13.5" customHeight="1">
      <c r="A437" s="6" t="n">
        <v>42309</v>
      </c>
      <c r="B437" s="8" t="n">
        <v>156.134</v>
      </c>
      <c r="C437" s="8" t="n">
        <v>3688.885</v>
      </c>
      <c r="D437" s="8" t="n">
        <v>1801.65</v>
      </c>
      <c r="E437" s="12">
        <f>(C437*2)/B437</f>
        <v/>
      </c>
      <c r="F437" s="12">
        <f>D437/B437</f>
        <v/>
      </c>
      <c r="G437" s="8" t="n">
        <v>848.441</v>
      </c>
      <c r="H437" s="8" t="n">
        <v>1476.989</v>
      </c>
      <c r="J437" s="8">
        <f>soy_crush!D11-B437</f>
        <v/>
      </c>
      <c r="K437" s="13">
        <f>J437/B437</f>
        <v/>
      </c>
      <c r="M437" s="14" t="n">
        <v>5.454161290322581</v>
      </c>
      <c r="N437" s="15">
        <f>M437*355</f>
        <v/>
      </c>
      <c r="Q437" s="56">
        <f>B437/30</f>
        <v/>
      </c>
      <c r="T437" s="5" t="n">
        <v>1901.853</v>
      </c>
      <c r="U437" s="5" t="n">
        <v>90.941</v>
      </c>
      <c r="V437" s="5" t="n">
        <v>1461.965</v>
      </c>
      <c r="W437" s="5" t="n">
        <v>1433.449</v>
      </c>
      <c r="Y437" s="5" t="n">
        <v>1390.793</v>
      </c>
      <c r="Z437" s="5" t="n">
        <v>269.683</v>
      </c>
      <c r="AA437" s="5" t="n">
        <v>1121.11</v>
      </c>
      <c r="AB437" s="5" t="n">
        <v>1545.181</v>
      </c>
      <c r="AC437" s="5" t="n">
        <v>750.725</v>
      </c>
      <c r="AD437" s="5" t="n">
        <v>420.677</v>
      </c>
      <c r="AE437" s="5" t="n">
        <v>527.407</v>
      </c>
    </row>
    <row r="438" ht="13.5" customHeight="1">
      <c r="A438" s="6" t="n">
        <v>42339</v>
      </c>
      <c r="B438" s="8" t="n">
        <v>157.711</v>
      </c>
      <c r="C438" s="8" t="n">
        <v>3719.204</v>
      </c>
      <c r="D438" s="8" t="n">
        <v>1834.03</v>
      </c>
      <c r="E438" s="12">
        <f>(C438*2)/B438</f>
        <v/>
      </c>
      <c r="F438" s="12">
        <f>D438/B438</f>
        <v/>
      </c>
      <c r="G438" s="8" t="n">
        <v>839.874</v>
      </c>
      <c r="H438" s="8" t="n">
        <v>1481.085</v>
      </c>
      <c r="J438" s="8">
        <f>soy_crush!D12-B438</f>
        <v/>
      </c>
      <c r="K438" s="13">
        <f>J438/B438</f>
        <v/>
      </c>
      <c r="M438" s="14" t="n">
        <v>5.454161290322581</v>
      </c>
      <c r="N438" s="15">
        <f>M438*355</f>
        <v/>
      </c>
      <c r="Q438" s="56">
        <f>B438/31</f>
        <v/>
      </c>
      <c r="T438" s="5" t="n">
        <v>1929.027</v>
      </c>
      <c r="U438" s="5" t="n">
        <v>112.27</v>
      </c>
      <c r="V438" s="5" t="n">
        <v>1445.949</v>
      </c>
      <c r="W438" s="5" t="n">
        <v>1401.107</v>
      </c>
      <c r="Y438" s="5" t="n">
        <v>1337.705</v>
      </c>
      <c r="Z438" s="5" t="n">
        <v>283.908</v>
      </c>
      <c r="AA438" s="5" t="n">
        <v>1053.797</v>
      </c>
      <c r="AB438" s="5" t="n">
        <v>1576.849</v>
      </c>
      <c r="AC438" s="5" t="n">
        <v>778.789</v>
      </c>
      <c r="AD438" s="5" t="n">
        <v>395.661</v>
      </c>
      <c r="AE438" s="5" t="n">
        <v>493.868</v>
      </c>
    </row>
    <row r="439" ht="13.5" customHeight="1">
      <c r="A439" s="6" t="n">
        <v>42370</v>
      </c>
      <c r="B439" s="8" t="n">
        <v>150.453</v>
      </c>
      <c r="C439" s="8" t="n">
        <v>3560.987</v>
      </c>
      <c r="D439" s="8" t="n">
        <v>1758.38</v>
      </c>
      <c r="E439" s="12">
        <f>(C439*2)/B439</f>
        <v/>
      </c>
      <c r="F439" s="12">
        <f>D439/B439</f>
        <v/>
      </c>
      <c r="G439" s="8" t="n">
        <v>686.4930000000001</v>
      </c>
      <c r="H439" s="8" t="n">
        <v>1581.636</v>
      </c>
      <c r="J439" s="8">
        <f>soy_crush!D13-B439</f>
        <v/>
      </c>
      <c r="K439" s="13">
        <f>J439/B439</f>
        <v/>
      </c>
      <c r="M439" s="14" t="n">
        <v>5.454161290322581</v>
      </c>
      <c r="N439" s="15">
        <f>M439*355</f>
        <v/>
      </c>
      <c r="Q439" s="56">
        <f>B439/31</f>
        <v/>
      </c>
      <c r="T439" s="5" t="n">
        <v>1864.887</v>
      </c>
      <c r="V439" s="5" t="n">
        <v>1277.782</v>
      </c>
      <c r="W439" s="5" t="n">
        <v>1236.602</v>
      </c>
      <c r="Y439" s="5" t="n">
        <v>1283.248</v>
      </c>
      <c r="Z439" s="5" t="n">
        <v>233.637</v>
      </c>
      <c r="AA439" s="5" t="n">
        <v>1049.611</v>
      </c>
      <c r="AB439" s="5" t="n">
        <v>1724.459</v>
      </c>
      <c r="AC439" s="5" t="n">
        <v>890.95</v>
      </c>
      <c r="AD439" s="5" t="n">
        <v>386.338</v>
      </c>
      <c r="AE439" s="5" t="n">
        <v>492.283</v>
      </c>
    </row>
    <row r="440" ht="13.5" customHeight="1">
      <c r="A440" s="6" t="n">
        <v>42401</v>
      </c>
      <c r="B440" s="8" t="n">
        <v>146.181</v>
      </c>
      <c r="C440" s="8" t="n">
        <v>3473.746</v>
      </c>
      <c r="D440" s="8" t="n">
        <v>1708.04</v>
      </c>
      <c r="E440" s="12">
        <f>(C440*2)/B440</f>
        <v/>
      </c>
      <c r="F440" s="12">
        <f>D440/B440</f>
        <v/>
      </c>
      <c r="G440" s="8" t="n">
        <v>686.999</v>
      </c>
      <c r="H440" s="8" t="n">
        <v>1792.052</v>
      </c>
      <c r="J440" s="8">
        <f>soy_crush!D14-B440</f>
        <v/>
      </c>
      <c r="K440" s="13">
        <f>J440/B440</f>
        <v/>
      </c>
      <c r="M440" s="14" t="n">
        <v>5.454161290322581</v>
      </c>
      <c r="N440" s="15">
        <f>M440*355</f>
        <v/>
      </c>
      <c r="Q440" s="56">
        <f>B440/29</f>
        <v/>
      </c>
      <c r="T440" s="5" t="n">
        <v>1795.866</v>
      </c>
      <c r="U440" s="5" t="n">
        <v>107.789</v>
      </c>
      <c r="V440" s="5" t="n">
        <v>1344.388</v>
      </c>
      <c r="W440" s="5" t="n">
        <v>1306.085</v>
      </c>
      <c r="Y440" s="5" t="n">
        <v>1336.284</v>
      </c>
      <c r="Z440" s="5" t="n">
        <v>223.637</v>
      </c>
      <c r="AA440" s="5" t="n">
        <v>1112.647</v>
      </c>
      <c r="AB440" s="5" t="n">
        <v>1880.21</v>
      </c>
      <c r="AC440" s="5" t="n">
        <v>976.8</v>
      </c>
      <c r="AD440" s="5" t="n">
        <v>399.967</v>
      </c>
      <c r="AE440" s="5" t="n">
        <v>532.1369999999999</v>
      </c>
    </row>
    <row r="441" ht="13.5" customHeight="1">
      <c r="A441" s="6" t="n">
        <v>42430</v>
      </c>
      <c r="B441" s="8" t="n">
        <v>156.69</v>
      </c>
      <c r="C441" s="8" t="n">
        <v>3713.469</v>
      </c>
      <c r="D441" s="8" t="n">
        <v>1840.53</v>
      </c>
      <c r="E441" s="12">
        <f>(C441*2)/B441</f>
        <v/>
      </c>
      <c r="F441" s="12">
        <f>D441/B441</f>
        <v/>
      </c>
      <c r="G441" s="8" t="n">
        <v>779.1</v>
      </c>
      <c r="H441" s="8" t="n">
        <v>1858.814</v>
      </c>
      <c r="J441" s="8">
        <f>soy_crush!D15-B441</f>
        <v/>
      </c>
      <c r="K441" s="13">
        <f>J441/B441</f>
        <v/>
      </c>
      <c r="M441" s="14" t="n">
        <v>5.454161290322581</v>
      </c>
      <c r="N441" s="15">
        <f>M441*355</f>
        <v/>
      </c>
      <c r="Q441" s="56">
        <f>B441/31</f>
        <v/>
      </c>
      <c r="T441" s="5" t="n">
        <v>1943.537</v>
      </c>
      <c r="U441" s="5" t="n">
        <v>116.869</v>
      </c>
      <c r="V441" s="5" t="n">
        <v>1438.379</v>
      </c>
      <c r="W441" s="5" t="n">
        <v>1404.133</v>
      </c>
      <c r="Y441" s="5" t="n">
        <v>1404.906</v>
      </c>
      <c r="Z441" s="5" t="n">
        <v>265.469</v>
      </c>
      <c r="AA441" s="5" t="n">
        <v>1139.437</v>
      </c>
      <c r="AB441" s="5" t="n">
        <v>1956.599</v>
      </c>
      <c r="AC441" s="5" t="n">
        <v>1013.888</v>
      </c>
      <c r="AD441" s="5" t="n">
        <v>368.327</v>
      </c>
      <c r="AE441" s="5" t="n">
        <v>522.128</v>
      </c>
    </row>
    <row r="442" ht="13.5" customHeight="1">
      <c r="A442" s="6" t="n">
        <v>42461</v>
      </c>
      <c r="B442" s="8" t="n">
        <v>147.614</v>
      </c>
      <c r="C442" s="8" t="n">
        <v>3506.181</v>
      </c>
      <c r="D442" s="8" t="n">
        <v>1729.81</v>
      </c>
      <c r="E442" s="12">
        <f>(C442*2)/B442</f>
        <v/>
      </c>
      <c r="F442" s="12">
        <f>D442/B442</f>
        <v/>
      </c>
      <c r="G442" s="8" t="n">
        <v>769.035</v>
      </c>
      <c r="H442" s="8" t="n">
        <v>1942.728</v>
      </c>
      <c r="J442" s="8">
        <f>soy_crush!D16-B442</f>
        <v/>
      </c>
      <c r="K442" s="13">
        <f>J442/B442</f>
        <v/>
      </c>
      <c r="M442" s="14" t="n">
        <v>5.454161290322581</v>
      </c>
      <c r="N442" s="15">
        <f>M442*355</f>
        <v/>
      </c>
      <c r="Q442" s="56">
        <f>B442/30</f>
        <v/>
      </c>
      <c r="T442" s="5" t="n">
        <v>1840.263</v>
      </c>
      <c r="U442" s="5" t="n">
        <v>89.374</v>
      </c>
      <c r="V442" s="5" t="n">
        <v>1385.229</v>
      </c>
      <c r="W442" s="5" t="n">
        <v>1352.235</v>
      </c>
      <c r="Y442" s="5" t="n">
        <v>1359.441</v>
      </c>
      <c r="Z442" s="5" t="n">
        <v>259.093</v>
      </c>
      <c r="AA442" s="5" t="n">
        <v>1100.348</v>
      </c>
      <c r="AB442" s="5" t="n">
        <v>2048.554</v>
      </c>
      <c r="AC442" s="5" t="n">
        <v>1033.659</v>
      </c>
      <c r="AD442" s="5" t="n">
        <v>371.464</v>
      </c>
      <c r="AE442" s="5" t="n">
        <v>563.957</v>
      </c>
    </row>
    <row r="443" ht="13.5" customHeight="1">
      <c r="A443" s="6" t="n">
        <v>42491</v>
      </c>
      <c r="B443" s="8" t="n">
        <v>152.28</v>
      </c>
      <c r="C443" s="8" t="n">
        <v>3615.581</v>
      </c>
      <c r="D443" s="8" t="n">
        <v>1786.13</v>
      </c>
      <c r="E443" s="12">
        <f>(C443*2)/B443</f>
        <v/>
      </c>
      <c r="F443" s="12">
        <f>D443/B443</f>
        <v/>
      </c>
      <c r="G443" s="8" t="n">
        <v>682.5</v>
      </c>
      <c r="H443" s="8" t="n">
        <v>1993.563</v>
      </c>
      <c r="J443" s="8">
        <f>soy_crush!D17-B443</f>
        <v/>
      </c>
      <c r="K443" s="13">
        <f>J443/B443</f>
        <v/>
      </c>
      <c r="M443" s="14" t="n">
        <v>5.454161290322581</v>
      </c>
      <c r="N443" s="15">
        <f>M443*355</f>
        <v/>
      </c>
      <c r="Q443" s="56">
        <f>B443/31</f>
        <v/>
      </c>
      <c r="T443" s="5" t="n">
        <v>1876.184</v>
      </c>
      <c r="U443" s="5" t="n">
        <v>123.277</v>
      </c>
      <c r="V443" s="5" t="n">
        <v>1474.278</v>
      </c>
      <c r="W443" s="5" t="n">
        <v>1439.174</v>
      </c>
      <c r="Y443" s="5" t="n">
        <v>1418.293</v>
      </c>
      <c r="Z443" s="5" t="n">
        <v>326.931</v>
      </c>
      <c r="AA443" s="5" t="n">
        <v>1091.362</v>
      </c>
      <c r="AB443" s="5" t="n">
        <v>2063.24</v>
      </c>
      <c r="AC443" s="5" t="n">
        <v>1001.7</v>
      </c>
      <c r="AD443" s="5" t="n">
        <v>402.898</v>
      </c>
      <c r="AE443" s="5" t="n">
        <v>609.886</v>
      </c>
    </row>
    <row r="444" ht="13.5" customHeight="1">
      <c r="A444" s="6" t="n">
        <v>42522</v>
      </c>
      <c r="B444" s="8" t="n">
        <v>145.05</v>
      </c>
      <c r="C444" s="8" t="n">
        <v>3436.907</v>
      </c>
      <c r="D444" s="8" t="n">
        <v>1691.66</v>
      </c>
      <c r="E444" s="12">
        <f>(C444*2)/B444</f>
        <v/>
      </c>
      <c r="F444" s="12">
        <f>D444/B444</f>
        <v/>
      </c>
      <c r="G444" s="8" t="n">
        <v>594.71</v>
      </c>
      <c r="H444" s="8" t="n">
        <v>1984.976</v>
      </c>
      <c r="J444" s="8">
        <f>soy_crush!D18-B444</f>
        <v/>
      </c>
      <c r="K444" s="13">
        <f>J444/B444</f>
        <v/>
      </c>
      <c r="M444" s="14" t="n">
        <v>5.454161290322581</v>
      </c>
      <c r="N444" s="15">
        <f>M444*355</f>
        <v/>
      </c>
      <c r="Q444" s="56">
        <f>B444/30</f>
        <v/>
      </c>
      <c r="T444" s="5" t="n">
        <v>1787.234</v>
      </c>
      <c r="U444" s="5" t="n">
        <v>130.024</v>
      </c>
      <c r="V444" s="5" t="n">
        <v>1407.282</v>
      </c>
      <c r="W444" s="5" t="n">
        <v>1373.898</v>
      </c>
      <c r="Y444" s="5" t="n">
        <v>1383.757</v>
      </c>
      <c r="Z444" s="5" t="n">
        <v>323.537</v>
      </c>
      <c r="AA444" s="5" t="n">
        <v>1060.22</v>
      </c>
      <c r="AB444" s="5" t="n">
        <v>2042.738</v>
      </c>
      <c r="AC444" s="5" t="n">
        <v>941.373</v>
      </c>
      <c r="AD444" s="5" t="n">
        <v>381.396</v>
      </c>
      <c r="AE444" s="5" t="n">
        <v>675.586</v>
      </c>
    </row>
    <row r="445" ht="13.5" customHeight="1">
      <c r="A445" s="6" t="n">
        <v>42552</v>
      </c>
      <c r="B445" s="8" t="n">
        <v>143.715</v>
      </c>
      <c r="C445" s="8" t="n">
        <v>3425.417</v>
      </c>
      <c r="D445" s="8" t="n">
        <v>1686.83</v>
      </c>
      <c r="E445" s="12">
        <f>(C445*2)/B445</f>
        <v/>
      </c>
      <c r="F445" s="12">
        <f>D445/B445</f>
        <v/>
      </c>
      <c r="G445" s="8" t="n">
        <v>579.417</v>
      </c>
      <c r="H445" s="8" t="n">
        <v>1743.184</v>
      </c>
      <c r="J445" s="8">
        <f>soy_crush!D19-B445</f>
        <v/>
      </c>
      <c r="K445" s="13">
        <f>J445/B445</f>
        <v/>
      </c>
      <c r="M445" s="14" t="n">
        <v>5.454161290322581</v>
      </c>
      <c r="N445" s="15">
        <f>M445*355</f>
        <v/>
      </c>
      <c r="Q445" s="56">
        <f>B445/31</f>
        <v/>
      </c>
      <c r="T445" s="5" t="n">
        <v>1789.356</v>
      </c>
      <c r="U445" s="5" t="n">
        <v>125.305</v>
      </c>
      <c r="V445" s="5" t="n">
        <v>1469.747</v>
      </c>
      <c r="W445" s="5" t="n">
        <v>1435.608</v>
      </c>
      <c r="Y445" s="5" t="n">
        <v>1418.803</v>
      </c>
      <c r="Z445" s="5" t="n">
        <v>357.622</v>
      </c>
      <c r="AA445" s="5" t="n">
        <v>1061.181</v>
      </c>
      <c r="AB445" s="5" t="n">
        <v>1865.797</v>
      </c>
      <c r="AC445" s="5" t="n">
        <v>823.753</v>
      </c>
      <c r="AD445" s="5" t="n">
        <v>348.481</v>
      </c>
      <c r="AE445" s="5" t="n">
        <v>662.609</v>
      </c>
    </row>
    <row r="446" ht="13.5" customHeight="1">
      <c r="A446" s="6" t="n">
        <v>42583</v>
      </c>
      <c r="B446" s="8" t="n">
        <v>131.822</v>
      </c>
      <c r="C446" s="8" t="n">
        <v>3133.262</v>
      </c>
      <c r="D446" s="8" t="n">
        <v>1557.12</v>
      </c>
      <c r="E446" s="12">
        <f>(C446*2)/B446</f>
        <v/>
      </c>
      <c r="F446" s="12">
        <f>D446/B446</f>
        <v/>
      </c>
      <c r="G446" s="8" t="n">
        <v>574.802</v>
      </c>
      <c r="H446" s="8" t="n">
        <v>1620.279</v>
      </c>
      <c r="J446" s="8">
        <f>soy_crush!D20-B446</f>
        <v/>
      </c>
      <c r="K446" s="13">
        <f>J446/B446</f>
        <v/>
      </c>
      <c r="M446" s="14" t="n">
        <v>5.454161290322581</v>
      </c>
      <c r="N446" s="15">
        <f>M446*355</f>
        <v/>
      </c>
      <c r="Q446" s="56">
        <f>B446/31</f>
        <v/>
      </c>
      <c r="T446" s="5" t="n">
        <v>1642.478</v>
      </c>
      <c r="U446" s="5" t="n">
        <v>113.176</v>
      </c>
      <c r="V446" s="5" t="n">
        <v>1455.355</v>
      </c>
      <c r="W446" s="5" t="n">
        <v>1426.954</v>
      </c>
      <c r="Y446" s="5" t="n">
        <v>1535.765</v>
      </c>
      <c r="Z446" s="5" t="n">
        <v>360.198</v>
      </c>
      <c r="AA446" s="5" t="n">
        <v>1175.567</v>
      </c>
      <c r="AB446" s="5" t="n">
        <v>1666.531</v>
      </c>
      <c r="AC446" s="5" t="n">
        <v>705.836</v>
      </c>
      <c r="AD446" s="5" t="n">
        <v>319.212</v>
      </c>
      <c r="AE446" s="5" t="n">
        <v>681.074</v>
      </c>
    </row>
    <row r="447" ht="13.5" customHeight="1">
      <c r="A447" s="6" t="n">
        <v>42614</v>
      </c>
      <c r="B447" s="8" t="n">
        <v>130.235</v>
      </c>
      <c r="C447" s="8" t="n">
        <v>3078.587</v>
      </c>
      <c r="D447" s="8" t="n">
        <v>1531.09</v>
      </c>
      <c r="E447" s="12">
        <f>(C447*2)/B447</f>
        <v/>
      </c>
      <c r="F447" s="12">
        <f>D447/B447</f>
        <v/>
      </c>
      <c r="G447" s="8" t="n">
        <v>439.605</v>
      </c>
      <c r="H447" s="8" t="n">
        <v>1375.953</v>
      </c>
      <c r="J447" s="8">
        <f>soy_crush!D21-B447</f>
        <v/>
      </c>
      <c r="K447" s="13">
        <f>J447/B447</f>
        <v/>
      </c>
      <c r="M447" s="14" t="n">
        <v>5.454161290322581</v>
      </c>
      <c r="N447" s="15">
        <f>M447*355</f>
        <v/>
      </c>
      <c r="Q447" s="56">
        <f>B447/30</f>
        <v/>
      </c>
      <c r="T447" s="5" t="n">
        <v>1616.609</v>
      </c>
      <c r="U447" s="5" t="n">
        <v>132.793</v>
      </c>
      <c r="V447" s="5" t="n">
        <v>1397.555</v>
      </c>
      <c r="W447" s="5" t="n">
        <v>1368.461</v>
      </c>
      <c r="Y447" s="5" t="n">
        <v>1388.248</v>
      </c>
      <c r="Z447" s="5" t="n">
        <v>286.877</v>
      </c>
      <c r="AA447" s="5" t="n">
        <v>1101.371</v>
      </c>
      <c r="AB447" s="5" t="n">
        <v>1417.4</v>
      </c>
      <c r="AC447" s="5" t="n">
        <v>600.477</v>
      </c>
      <c r="AD447" s="5" t="n">
        <v>269.413</v>
      </c>
      <c r="AE447" s="5" t="n">
        <v>556.996</v>
      </c>
    </row>
    <row r="448" ht="13.5" customHeight="1">
      <c r="A448" s="6" t="n">
        <v>42644</v>
      </c>
      <c r="B448" s="8" t="n">
        <v>164.641</v>
      </c>
      <c r="C448" s="8" t="n">
        <v>3840.864</v>
      </c>
      <c r="D448" s="8" t="n">
        <v>1911.92</v>
      </c>
      <c r="E448" s="12">
        <f>(C448*2)/B448</f>
        <v/>
      </c>
      <c r="F448" s="12">
        <f>D448/B448</f>
        <v/>
      </c>
      <c r="G448" s="8" t="n">
        <v>562.1799999999999</v>
      </c>
      <c r="H448" s="8" t="n">
        <v>1343.069</v>
      </c>
      <c r="J448" s="8">
        <f>soy_crush!D22-B448</f>
        <v/>
      </c>
      <c r="K448" s="13">
        <f>J448/B448</f>
        <v/>
      </c>
      <c r="M448" s="14" t="n">
        <v>5.471461290322581</v>
      </c>
      <c r="N448" s="15">
        <f>M448*355</f>
        <v/>
      </c>
      <c r="Q448" s="56">
        <f>B448/31</f>
        <v/>
      </c>
      <c r="T448" s="5" t="n">
        <v>2028.518</v>
      </c>
      <c r="V448" s="5" t="n">
        <v>1580.814</v>
      </c>
      <c r="W448" s="5" t="n">
        <v>1542.749</v>
      </c>
      <c r="Y448" s="5" t="n">
        <v>1579.541</v>
      </c>
      <c r="Z448" s="5" t="n">
        <v>341.093</v>
      </c>
      <c r="AA448" s="5" t="n">
        <v>1238.448</v>
      </c>
      <c r="AB448" s="5" t="n">
        <v>1437.483</v>
      </c>
      <c r="AC448" s="5" t="n">
        <v>592.33</v>
      </c>
      <c r="AD448" s="5" t="n">
        <v>357.828</v>
      </c>
      <c r="AE448" s="5" t="n">
        <v>527.704</v>
      </c>
    </row>
    <row r="449" ht="13.5" customHeight="1">
      <c r="A449" s="6" t="n">
        <v>42675</v>
      </c>
      <c r="B449" s="8" t="n">
        <v>160.752</v>
      </c>
      <c r="C449" s="8" t="n">
        <v>3766.462</v>
      </c>
      <c r="D449" s="8" t="n">
        <v>1855.97</v>
      </c>
      <c r="E449" s="12">
        <f>(C449*2)/B449</f>
        <v/>
      </c>
      <c r="F449" s="12">
        <f>D449/B449</f>
        <v/>
      </c>
      <c r="G449" s="8" t="n">
        <v>804.332</v>
      </c>
      <c r="H449" s="8" t="n">
        <v>1338.641</v>
      </c>
      <c r="J449" s="8">
        <f>soy_crush!D23-B449</f>
        <v/>
      </c>
      <c r="K449" s="13">
        <f>J449/B449</f>
        <v/>
      </c>
      <c r="M449" s="14" t="n">
        <v>5.471461290322581</v>
      </c>
      <c r="N449" s="15">
        <f>M449*355</f>
        <v/>
      </c>
      <c r="Q449" s="56">
        <f>B449/30</f>
        <v/>
      </c>
      <c r="T449" s="5" t="n">
        <v>1961.256</v>
      </c>
      <c r="U449" s="5" t="n">
        <v>114.49</v>
      </c>
      <c r="V449" s="5" t="n">
        <v>1471.587</v>
      </c>
      <c r="W449" s="5" t="n">
        <v>1438.84</v>
      </c>
      <c r="Y449" s="5" t="n">
        <v>1463.62</v>
      </c>
      <c r="Z449" s="5" t="n">
        <v>316.103</v>
      </c>
      <c r="AA449" s="5" t="n">
        <v>1147.517</v>
      </c>
      <c r="AB449" s="5" t="n">
        <v>1473.201</v>
      </c>
      <c r="AC449" s="5" t="n">
        <v>618.3200000000001</v>
      </c>
      <c r="AD449" s="5" t="n">
        <v>307.51</v>
      </c>
      <c r="AE449" s="5" t="n">
        <v>528.987</v>
      </c>
    </row>
    <row r="450" ht="13.5" customHeight="1">
      <c r="A450" s="6" t="n">
        <v>42705</v>
      </c>
      <c r="B450" s="8" t="n">
        <v>160.176</v>
      </c>
      <c r="C450" s="8" t="n">
        <v>3751.238</v>
      </c>
      <c r="D450" s="8" t="n">
        <v>1860.69</v>
      </c>
      <c r="E450" s="12">
        <f>(C450*2)/B450</f>
        <v/>
      </c>
      <c r="F450" s="12">
        <f>D450/B450</f>
        <v/>
      </c>
      <c r="G450" s="8" t="n">
        <v>949.615</v>
      </c>
      <c r="H450" s="8" t="n">
        <v>1433.947</v>
      </c>
      <c r="J450" s="8">
        <f>soy_crush!D24-B450</f>
        <v/>
      </c>
      <c r="K450" s="13">
        <f>J450/B450</f>
        <v/>
      </c>
      <c r="M450" s="14" t="n">
        <v>5.471461290322581</v>
      </c>
      <c r="N450" s="15">
        <f>M450*355</f>
        <v/>
      </c>
      <c r="Q450" s="56">
        <f>B450/31</f>
        <v/>
      </c>
      <c r="T450" s="5" t="n">
        <v>1950.176</v>
      </c>
      <c r="U450" s="5" t="n">
        <v>120.2</v>
      </c>
      <c r="V450" s="5" t="n">
        <v>1440.556</v>
      </c>
      <c r="W450" s="5" t="n">
        <v>1406.505</v>
      </c>
      <c r="Y450" s="5" t="n">
        <v>1376.935</v>
      </c>
      <c r="Z450" s="5" t="n">
        <v>292.938</v>
      </c>
      <c r="AA450" s="5" t="n">
        <v>1083.997</v>
      </c>
      <c r="AB450" s="5" t="n">
        <v>1505.351</v>
      </c>
      <c r="AC450" s="5" t="n">
        <v>632.124</v>
      </c>
      <c r="AD450" s="5" t="n">
        <v>366.919</v>
      </c>
      <c r="AE450" s="5" t="n">
        <v>569.607</v>
      </c>
    </row>
    <row r="451" ht="13.5" customHeight="1">
      <c r="A451" s="6" t="n">
        <v>42736</v>
      </c>
      <c r="B451" s="8" t="n">
        <v>160.621</v>
      </c>
      <c r="C451" s="8" t="n">
        <v>3770.034</v>
      </c>
      <c r="D451" s="8" t="n">
        <v>1870.54</v>
      </c>
      <c r="E451" s="12">
        <f>(C451*2)/B451</f>
        <v/>
      </c>
      <c r="F451" s="12">
        <f>D451/B451</f>
        <v/>
      </c>
      <c r="G451" s="8" t="n">
        <v>891.143</v>
      </c>
      <c r="H451" s="8" t="n">
        <v>1628.794</v>
      </c>
      <c r="J451" s="8">
        <f>soy_crush!D25-B451</f>
        <v/>
      </c>
      <c r="K451" s="13">
        <f>J451/B451</f>
        <v/>
      </c>
      <c r="M451" s="14" t="n">
        <v>5.471461290322581</v>
      </c>
      <c r="N451" s="15">
        <f>M451*355</f>
        <v/>
      </c>
      <c r="Q451" s="56">
        <f>B451/31</f>
        <v/>
      </c>
      <c r="T451" s="5" t="n">
        <v>1982.893</v>
      </c>
      <c r="U451" s="5" t="n">
        <v>89.685</v>
      </c>
      <c r="V451" s="5" t="n">
        <v>1370.226</v>
      </c>
      <c r="W451" s="5" t="n">
        <v>1324.754</v>
      </c>
      <c r="Y451" s="5" t="n">
        <v>1262.052</v>
      </c>
      <c r="Z451" s="5" t="n">
        <v>195.89</v>
      </c>
      <c r="AA451" s="5" t="n">
        <v>1066.162</v>
      </c>
      <c r="AB451" s="5" t="n">
        <v>1731.033</v>
      </c>
      <c r="AC451" s="5" t="n">
        <v>794.2809999999999</v>
      </c>
      <c r="AD451" s="5" t="n">
        <v>394.664</v>
      </c>
      <c r="AE451" s="5" t="n">
        <v>611.951</v>
      </c>
    </row>
    <row r="452" ht="13.5" customHeight="1">
      <c r="A452" s="6" t="n">
        <v>42767</v>
      </c>
      <c r="B452" s="8" t="n">
        <v>142.792</v>
      </c>
      <c r="C452" s="8" t="n">
        <v>3355.689</v>
      </c>
      <c r="D452" s="8" t="n">
        <v>1667.68</v>
      </c>
      <c r="E452" s="12">
        <f>(C452*2)/B452</f>
        <v/>
      </c>
      <c r="F452" s="12">
        <f>D452/B452</f>
        <v/>
      </c>
      <c r="G452" s="8" t="n">
        <v>738.825</v>
      </c>
      <c r="H452" s="8" t="n">
        <v>1770.06</v>
      </c>
      <c r="J452" s="8">
        <f>soy_crush!D26-B452</f>
        <v/>
      </c>
      <c r="K452" s="13">
        <f>J452/B452</f>
        <v/>
      </c>
      <c r="M452" s="14" t="n">
        <v>5.471461290322581</v>
      </c>
      <c r="N452" s="15">
        <f>M452*355</f>
        <v/>
      </c>
      <c r="Q452" s="56">
        <f>B452/28</f>
        <v/>
      </c>
      <c r="T452" s="5" t="n">
        <v>1757.03</v>
      </c>
      <c r="U452" s="5" t="n">
        <v>75.09999999999999</v>
      </c>
      <c r="V452" s="5" t="n">
        <v>1301.503</v>
      </c>
      <c r="W452" s="5" t="n">
        <v>1263.314</v>
      </c>
      <c r="Y452" s="5" t="n">
        <v>1214.787</v>
      </c>
      <c r="Z452" s="5" t="n">
        <v>206.253</v>
      </c>
      <c r="AA452" s="5" t="n">
        <v>1008.534</v>
      </c>
      <c r="AB452" s="5" t="n">
        <v>1801.761</v>
      </c>
      <c r="AC452" s="5" t="n">
        <v>861.399</v>
      </c>
      <c r="AD452" s="5" t="n">
        <v>411.556</v>
      </c>
      <c r="AE452" s="5" t="n">
        <v>595.312</v>
      </c>
    </row>
    <row r="453" ht="13.5" customHeight="1">
      <c r="A453" s="6" t="n">
        <v>42795</v>
      </c>
      <c r="B453" s="8" t="n">
        <v>153.06</v>
      </c>
      <c r="C453" s="8" t="n">
        <v>3600.609</v>
      </c>
      <c r="D453" s="8" t="n">
        <v>1789.72</v>
      </c>
      <c r="E453" s="12">
        <f>(C453*2)/B453</f>
        <v/>
      </c>
      <c r="F453" s="12">
        <f>D453/B453</f>
        <v/>
      </c>
      <c r="G453" s="8" t="n">
        <v>1056.771</v>
      </c>
      <c r="H453" s="8" t="n">
        <v>1815.16</v>
      </c>
      <c r="J453" s="8">
        <f>soy_crush!D27-B453</f>
        <v/>
      </c>
      <c r="K453" s="13">
        <f>J453/B453</f>
        <v/>
      </c>
      <c r="M453" s="14" t="n">
        <v>5.471461290322581</v>
      </c>
      <c r="N453" s="15">
        <f>M453*355</f>
        <v/>
      </c>
      <c r="Q453" s="56">
        <f>B453/31</f>
        <v/>
      </c>
      <c r="T453" s="5" t="n">
        <v>1865.466</v>
      </c>
      <c r="U453" s="5" t="n">
        <v>69.857</v>
      </c>
      <c r="V453" s="5" t="n">
        <v>1442.235</v>
      </c>
      <c r="W453" s="5" t="n">
        <v>1408.289</v>
      </c>
      <c r="Y453" s="5" t="n">
        <v>1374.783</v>
      </c>
      <c r="Z453" s="5" t="n">
        <v>225.847</v>
      </c>
      <c r="AA453" s="5" t="n">
        <v>1148.936</v>
      </c>
      <c r="AB453" s="5" t="n">
        <v>1934.877</v>
      </c>
      <c r="AC453" s="5" t="n">
        <v>908.252</v>
      </c>
      <c r="AD453" s="5" t="n">
        <v>408.959</v>
      </c>
      <c r="AE453" s="5" t="n">
        <v>648.625</v>
      </c>
    </row>
    <row r="454" ht="13.5" customHeight="1">
      <c r="A454" s="6" t="n">
        <v>42826</v>
      </c>
      <c r="B454" s="8" t="n">
        <v>139.134</v>
      </c>
      <c r="C454" s="8" t="n">
        <v>3266.821</v>
      </c>
      <c r="D454" s="8" t="n">
        <v>1626.8</v>
      </c>
      <c r="E454" s="12">
        <f>(C454*2)/B454</f>
        <v/>
      </c>
      <c r="F454" s="12">
        <f>D454/B454</f>
        <v/>
      </c>
      <c r="G454" s="8" t="n">
        <v>595.468</v>
      </c>
      <c r="H454" s="8" t="n">
        <v>1725.403</v>
      </c>
      <c r="J454" s="8">
        <f>soy_crush!D28-B454</f>
        <v/>
      </c>
      <c r="K454" s="13">
        <f>J454/B454</f>
        <v/>
      </c>
      <c r="M454" s="14" t="n">
        <v>5.471461290322581</v>
      </c>
      <c r="N454" s="15">
        <f>M454*355</f>
        <v/>
      </c>
      <c r="Q454" s="56">
        <f>B454/30</f>
        <v/>
      </c>
      <c r="T454" s="5" t="n">
        <v>1737.775</v>
      </c>
      <c r="U454" s="5" t="n">
        <v>73.685</v>
      </c>
      <c r="V454" s="5" t="n">
        <v>1334.313</v>
      </c>
      <c r="W454" s="5" t="n">
        <v>1306.589</v>
      </c>
      <c r="Y454" s="5" t="n">
        <v>1445.439</v>
      </c>
      <c r="Z454" s="5" t="n">
        <v>272.229</v>
      </c>
      <c r="AA454" s="5" t="n">
        <v>1173.21</v>
      </c>
      <c r="AB454" s="5" t="n">
        <v>1848.364</v>
      </c>
      <c r="AC454" s="5" t="n">
        <v>897.851</v>
      </c>
      <c r="AD454" s="5" t="n">
        <v>391.625</v>
      </c>
      <c r="AE454" s="5" t="n">
        <v>602.6559999999999</v>
      </c>
    </row>
    <row r="455" ht="13.5" customHeight="1">
      <c r="A455" s="6" t="n">
        <v>42856</v>
      </c>
      <c r="B455" s="8" t="n">
        <v>149.246</v>
      </c>
      <c r="C455" s="8" t="n">
        <v>3513.589</v>
      </c>
      <c r="D455" s="8" t="n">
        <v>1751.96</v>
      </c>
      <c r="E455" s="12">
        <f>(C455*2)/B455</f>
        <v/>
      </c>
      <c r="F455" s="12">
        <f>D455/B455</f>
        <v/>
      </c>
      <c r="G455" s="8" t="n">
        <v>592.924</v>
      </c>
      <c r="H455" s="8" t="n">
        <v>1749.096</v>
      </c>
      <c r="J455" s="8">
        <f>soy_crush!D29-B455</f>
        <v/>
      </c>
      <c r="K455" s="13">
        <f>J455/B455</f>
        <v/>
      </c>
      <c r="M455" s="14" t="n">
        <v>5.524461290322581</v>
      </c>
      <c r="N455" s="15">
        <f>M455*355</f>
        <v/>
      </c>
      <c r="Q455" s="56">
        <f>B455/31</f>
        <v/>
      </c>
      <c r="T455" s="5" t="n">
        <v>1839.342</v>
      </c>
      <c r="U455" s="5" t="n">
        <v>104.473</v>
      </c>
      <c r="V455" s="5" t="n">
        <v>1483.689</v>
      </c>
      <c r="W455" s="5" t="n">
        <v>1452.877</v>
      </c>
      <c r="Y455" s="5" t="n">
        <v>1604.898</v>
      </c>
      <c r="Z455" s="5" t="n">
        <v>317.152</v>
      </c>
      <c r="AA455" s="5" t="n">
        <v>1287.746</v>
      </c>
      <c r="AB455" s="5" t="n">
        <v>1888.717</v>
      </c>
      <c r="AC455" s="5" t="n">
        <v>878.587</v>
      </c>
      <c r="AD455" s="5" t="n">
        <v>380.538</v>
      </c>
      <c r="AE455" s="5" t="n">
        <v>609.718</v>
      </c>
    </row>
    <row r="456" ht="13.5" customHeight="1">
      <c r="A456" s="6" t="n">
        <v>42887</v>
      </c>
      <c r="B456" s="8" t="n">
        <v>138.074</v>
      </c>
      <c r="C456" s="8" t="n">
        <v>3233.865</v>
      </c>
      <c r="D456" s="8" t="n">
        <v>1621.513</v>
      </c>
      <c r="E456" s="12">
        <f>(C456*2)/B456</f>
        <v/>
      </c>
      <c r="F456" s="12">
        <f>D456/B456</f>
        <v/>
      </c>
      <c r="G456" s="8" t="n">
        <v>562.684</v>
      </c>
      <c r="H456" s="8" t="n">
        <v>1703.405</v>
      </c>
      <c r="J456" s="8">
        <f>soy_crush!D30-B456</f>
        <v/>
      </c>
      <c r="K456" s="13">
        <f>J456/B456</f>
        <v/>
      </c>
      <c r="M456" s="14" t="n">
        <v>5.524461290322581</v>
      </c>
      <c r="N456" s="15">
        <f>M456*355</f>
        <v/>
      </c>
      <c r="Q456" s="56">
        <f>B456/30</f>
        <v/>
      </c>
      <c r="T456" s="5" t="n">
        <v>1735.608</v>
      </c>
      <c r="V456" s="5" t="n">
        <v>1399.831</v>
      </c>
      <c r="W456" s="5" t="n">
        <v>1357.612</v>
      </c>
      <c r="Y456" s="5" t="n">
        <v>1370.353</v>
      </c>
      <c r="Z456" s="5" t="n">
        <v>259.743</v>
      </c>
      <c r="AA456" s="5" t="n">
        <v>1110.61</v>
      </c>
      <c r="AB456" s="5" t="n">
        <v>1815.157</v>
      </c>
      <c r="AC456" s="5" t="n">
        <v>798.79</v>
      </c>
      <c r="AD456" s="5" t="n">
        <v>327.721</v>
      </c>
      <c r="AE456" s="5" t="n">
        <v>589.797</v>
      </c>
    </row>
    <row r="457" ht="13.5" customHeight="1">
      <c r="A457" s="6" t="n">
        <v>42917</v>
      </c>
      <c r="B457" s="8" t="n">
        <v>144.718</v>
      </c>
      <c r="C457" s="8" t="n">
        <v>3359.314</v>
      </c>
      <c r="D457" s="8" t="n">
        <v>1687.068</v>
      </c>
      <c r="E457" s="12">
        <f>(C457*2)/B457</f>
        <v/>
      </c>
      <c r="F457" s="12">
        <f>D457/B457</f>
        <v/>
      </c>
      <c r="G457" s="8" t="n">
        <v>596.7670000000001</v>
      </c>
      <c r="H457" s="8" t="n">
        <v>1557.853</v>
      </c>
      <c r="J457" s="8">
        <f>soy_crush!D31-B457</f>
        <v/>
      </c>
      <c r="K457" s="13">
        <f>J457/B457</f>
        <v/>
      </c>
      <c r="M457" s="14" t="n">
        <v>5.524461290322581</v>
      </c>
      <c r="N457" s="15">
        <f>M457*355</f>
        <v/>
      </c>
      <c r="Q457" s="56">
        <f>B457/31</f>
        <v/>
      </c>
      <c r="T457" s="5" t="n">
        <v>1801.376</v>
      </c>
      <c r="U457" s="5" t="n">
        <v>108.145</v>
      </c>
      <c r="V457" s="5" t="n">
        <v>1543.943</v>
      </c>
      <c r="W457" s="5" t="n">
        <v>1496.418</v>
      </c>
      <c r="Y457" s="5" t="n">
        <v>1349.73</v>
      </c>
      <c r="Z457" s="5" t="n">
        <v>365.42</v>
      </c>
      <c r="AA457" s="5" t="n">
        <v>984.3099999999999</v>
      </c>
      <c r="AB457" s="5" t="n">
        <v>1627.909</v>
      </c>
      <c r="AC457" s="5" t="n">
        <v>719.6319999999999</v>
      </c>
      <c r="AD457" s="5" t="n">
        <v>372.589</v>
      </c>
      <c r="AE457" s="5" t="n">
        <v>538.9880000000001</v>
      </c>
    </row>
    <row r="458" ht="13.5" customHeight="1">
      <c r="A458" s="6" t="n">
        <v>42948</v>
      </c>
      <c r="B458" s="8" t="n">
        <v>142.424</v>
      </c>
      <c r="C458" s="8" t="n">
        <v>3337.519</v>
      </c>
      <c r="D458" s="8" t="n">
        <v>1669.065</v>
      </c>
      <c r="E458" s="12">
        <f>(C458*2)/B458</f>
        <v/>
      </c>
      <c r="F458" s="12">
        <f>D458/B458</f>
        <v/>
      </c>
      <c r="G458" s="8" t="n">
        <v>426.896</v>
      </c>
      <c r="H458" s="8" t="n">
        <v>1417.016</v>
      </c>
      <c r="J458" s="8">
        <f>soy_crush!D32-B458</f>
        <v/>
      </c>
      <c r="K458" s="13">
        <f>J458/B458</f>
        <v/>
      </c>
      <c r="M458" s="14" t="n">
        <v>5.524461290322581</v>
      </c>
      <c r="N458" s="15">
        <f>M458*355</f>
        <v/>
      </c>
      <c r="Q458" s="56">
        <f>B458/31</f>
        <v/>
      </c>
      <c r="T458" s="5" t="n">
        <v>1762.207</v>
      </c>
      <c r="V458" s="5" t="n">
        <v>1550.365</v>
      </c>
      <c r="W458" s="5" t="n">
        <v>1515.905</v>
      </c>
      <c r="Y458" s="5" t="n">
        <v>1452.042</v>
      </c>
      <c r="Z458" s="5" t="n">
        <v>316.698</v>
      </c>
      <c r="AA458" s="5" t="n">
        <v>1135.344</v>
      </c>
      <c r="AB458" s="5" t="n">
        <v>1483.031</v>
      </c>
      <c r="AC458" s="5" t="n">
        <v>598.197</v>
      </c>
      <c r="AD458" s="5" t="n">
        <v>327.31</v>
      </c>
      <c r="AE458" s="5" t="n">
        <v>555.442</v>
      </c>
    </row>
    <row r="459" ht="13.5" customHeight="1">
      <c r="A459" s="6" t="n">
        <v>42979</v>
      </c>
      <c r="B459" s="8" t="n">
        <v>136.419</v>
      </c>
      <c r="C459" s="8" t="n">
        <v>3202.09</v>
      </c>
      <c r="D459" s="8" t="n">
        <v>1606.868</v>
      </c>
      <c r="E459" s="12">
        <f>(C459*2)/B459</f>
        <v/>
      </c>
      <c r="F459" s="12">
        <f>D459/B459</f>
        <v/>
      </c>
      <c r="G459" s="8" t="n">
        <v>487.397</v>
      </c>
      <c r="H459" s="8" t="n">
        <v>1301.912</v>
      </c>
      <c r="J459" s="8">
        <f>soy_crush!D33-B459</f>
        <v/>
      </c>
      <c r="K459" s="13">
        <f>J459/B459</f>
        <v/>
      </c>
      <c r="M459" s="14" t="n">
        <v>5.524461290322581</v>
      </c>
      <c r="N459" s="15">
        <f>M459*355</f>
        <v/>
      </c>
      <c r="Q459" s="56">
        <f>B459/30</f>
        <v/>
      </c>
      <c r="T459" s="5" t="n">
        <v>1701.762</v>
      </c>
      <c r="U459" s="5" t="n">
        <v>63.531</v>
      </c>
      <c r="V459" s="5" t="n">
        <v>1418.28</v>
      </c>
      <c r="W459" s="5" t="n">
        <v>1389.339</v>
      </c>
      <c r="Y459" s="5" t="n">
        <v>1377.546</v>
      </c>
      <c r="Z459" s="5" t="n">
        <v>346.194</v>
      </c>
      <c r="AA459" s="5" t="n">
        <v>1031.352</v>
      </c>
      <c r="AB459" s="5" t="n">
        <v>1400.918</v>
      </c>
      <c r="AC459" s="5" t="n">
        <v>601.211</v>
      </c>
      <c r="AD459" s="5" t="n">
        <v>310.036</v>
      </c>
      <c r="AE459" s="5" t="n">
        <v>473.557</v>
      </c>
    </row>
    <row r="460" ht="13.5" customHeight="1">
      <c r="A460" s="6" t="n">
        <v>43009</v>
      </c>
      <c r="B460" s="8" t="n">
        <v>164.242</v>
      </c>
      <c r="C460" s="8" t="n">
        <v>3849.998</v>
      </c>
      <c r="D460" s="8" t="n">
        <v>1895.888</v>
      </c>
      <c r="E460" s="12">
        <f>(C460*2)/B460</f>
        <v/>
      </c>
      <c r="F460" s="12">
        <f>D460/B460</f>
        <v/>
      </c>
      <c r="G460" s="8" t="n">
        <v>643.199</v>
      </c>
      <c r="H460" s="8" t="n">
        <v>1224.066</v>
      </c>
      <c r="J460" s="8">
        <f>soy_crush!D34-B460</f>
        <v/>
      </c>
      <c r="K460" s="13">
        <f>J460/B460</f>
        <v/>
      </c>
      <c r="M460" s="14" t="n">
        <v>5.524461290322581</v>
      </c>
      <c r="N460" s="15">
        <f>M460*355</f>
        <v/>
      </c>
      <c r="Q460" s="56">
        <f>B460/31</f>
        <v/>
      </c>
      <c r="T460" s="5" t="n">
        <v>2016.888</v>
      </c>
      <c r="U460" s="5" t="n">
        <v>84.461</v>
      </c>
      <c r="V460" s="5" t="n">
        <v>1644.069</v>
      </c>
      <c r="W460" s="5" t="n">
        <v>1601.067</v>
      </c>
      <c r="Y460" s="5" t="n">
        <v>1554.132</v>
      </c>
      <c r="Z460" s="5" t="n">
        <v>342.622</v>
      </c>
      <c r="AA460" s="5" t="n">
        <v>1211.51</v>
      </c>
      <c r="AB460" s="5" t="n">
        <v>1300.36</v>
      </c>
      <c r="AC460" s="5" t="n">
        <v>567.67</v>
      </c>
      <c r="AD460" s="5" t="n">
        <v>325.863</v>
      </c>
      <c r="AE460" s="5" t="n">
        <v>406.966</v>
      </c>
    </row>
    <row r="461" ht="13.5" customHeight="1">
      <c r="A461" s="6" t="n">
        <v>43040</v>
      </c>
      <c r="B461" s="8" t="n">
        <v>163.546</v>
      </c>
      <c r="C461" s="8" t="n">
        <v>3874.513</v>
      </c>
      <c r="D461" s="8" t="n">
        <v>1874.012</v>
      </c>
      <c r="E461" s="12">
        <f>(C461*2)/B461</f>
        <v/>
      </c>
      <c r="F461" s="12">
        <f>D461/B461</f>
        <v/>
      </c>
      <c r="G461" s="8" t="n">
        <v>896.145</v>
      </c>
      <c r="H461" s="8" t="n">
        <v>1326.303</v>
      </c>
      <c r="J461" s="8">
        <f>soy_crush!D35-B461</f>
        <v/>
      </c>
      <c r="K461" s="13">
        <f>J461/B461</f>
        <v/>
      </c>
      <c r="M461" s="14" t="n">
        <v>5.524461290322581</v>
      </c>
      <c r="N461" s="15">
        <f>M461*355</f>
        <v/>
      </c>
      <c r="Q461" s="56">
        <f>B461/30</f>
        <v/>
      </c>
      <c r="T461" s="5" t="n">
        <v>1977.005</v>
      </c>
      <c r="V461" s="5" t="n">
        <v>1482.83</v>
      </c>
      <c r="W461" s="5" t="n">
        <v>1455.439</v>
      </c>
      <c r="Y461" s="5" t="n">
        <v>1485.032</v>
      </c>
      <c r="Z461" s="5" t="n">
        <v>311.513</v>
      </c>
      <c r="AA461" s="5" t="n">
        <v>1173.519</v>
      </c>
      <c r="AB461" s="5" t="n">
        <v>1379.223</v>
      </c>
      <c r="AC461" s="5" t="n">
        <v>651.572</v>
      </c>
      <c r="AD461" s="5" t="n">
        <v>311.358</v>
      </c>
      <c r="AE461" s="5" t="n">
        <v>450.654</v>
      </c>
    </row>
    <row r="462" ht="13.5" customHeight="1">
      <c r="A462" s="6" t="n">
        <v>43070</v>
      </c>
      <c r="B462" s="8" t="n">
        <v>166.382</v>
      </c>
      <c r="C462" s="8" t="n">
        <v>3937.988</v>
      </c>
      <c r="D462" s="8" t="n">
        <v>1920.904</v>
      </c>
      <c r="E462" s="12">
        <f>(C462*2)/B462</f>
        <v/>
      </c>
      <c r="F462" s="12">
        <f>D462/B462</f>
        <v/>
      </c>
      <c r="G462" s="8" t="n">
        <v>926.174</v>
      </c>
      <c r="H462" s="8" t="n">
        <v>1538.491</v>
      </c>
      <c r="J462" s="8">
        <f>soy_crush!D36-B462</f>
        <v/>
      </c>
      <c r="K462" s="13">
        <f>J462/B462</f>
        <v/>
      </c>
      <c r="M462" s="14" t="n">
        <v>5.524461290322581</v>
      </c>
      <c r="N462" s="15">
        <f>M462*355</f>
        <v/>
      </c>
      <c r="Q462" s="56">
        <f>B462/31</f>
        <v/>
      </c>
      <c r="T462" s="5" t="n">
        <v>2015.256</v>
      </c>
      <c r="U462" s="5" t="n">
        <v>75.616</v>
      </c>
      <c r="V462" s="5" t="n">
        <v>1405.035</v>
      </c>
      <c r="W462" s="5" t="n">
        <v>1371.822</v>
      </c>
      <c r="Y462" s="5" t="n">
        <v>1303.54</v>
      </c>
      <c r="Z462" s="5" t="n">
        <v>316.947</v>
      </c>
      <c r="AA462" s="5" t="n">
        <v>986.593</v>
      </c>
      <c r="AB462" s="5" t="n">
        <v>1583.544</v>
      </c>
      <c r="AC462" s="5" t="n">
        <v>775.431</v>
      </c>
      <c r="AD462" s="5" t="n">
        <v>367.13</v>
      </c>
      <c r="AE462" s="5" t="n">
        <v>471.531</v>
      </c>
    </row>
    <row r="463" ht="13.5" customHeight="1">
      <c r="A463" s="6" t="n">
        <v>43101</v>
      </c>
      <c r="B463" s="8" t="n">
        <v>163.111</v>
      </c>
      <c r="C463" s="8" t="n">
        <v>3857.065</v>
      </c>
      <c r="D463" s="8" t="n">
        <v>1877.512</v>
      </c>
      <c r="E463" s="12">
        <f>(C463*2)/B463</f>
        <v/>
      </c>
      <c r="F463" s="12">
        <f>D463/B463</f>
        <v/>
      </c>
      <c r="G463" s="8" t="n">
        <v>860.4160000000001</v>
      </c>
      <c r="H463" s="8" t="n">
        <v>1728.414</v>
      </c>
      <c r="J463" s="8">
        <f>soy_crush!D37-B463</f>
        <v/>
      </c>
      <c r="K463" s="13">
        <f>J463/B463</f>
        <v/>
      </c>
      <c r="M463" s="14" t="n">
        <v>5.524461290322581</v>
      </c>
      <c r="N463" s="15">
        <f>M463*355</f>
        <v/>
      </c>
      <c r="Q463" s="56">
        <f>B463/31</f>
        <v/>
      </c>
      <c r="T463" s="5" t="n">
        <v>1995.589</v>
      </c>
      <c r="V463" s="5" t="n">
        <v>1291.424</v>
      </c>
      <c r="W463" s="5" t="n">
        <v>1267.093</v>
      </c>
      <c r="Y463" s="5" t="n">
        <v>1330.992</v>
      </c>
      <c r="Z463" s="5" t="n">
        <v>255.495</v>
      </c>
      <c r="AA463" s="5" t="n">
        <v>1075.497</v>
      </c>
      <c r="AB463" s="5" t="n">
        <v>1886.728</v>
      </c>
      <c r="AC463" s="5" t="n">
        <v>886.164</v>
      </c>
      <c r="AD463" s="5" t="n">
        <v>353.056</v>
      </c>
      <c r="AE463" s="5" t="n">
        <v>631.8200000000001</v>
      </c>
    </row>
    <row r="464" ht="13.5" customHeight="1">
      <c r="A464" s="6" t="n">
        <v>43132</v>
      </c>
      <c r="B464" s="8" t="n">
        <v>153.719</v>
      </c>
      <c r="C464" s="8" t="n">
        <v>3642.489</v>
      </c>
      <c r="D464" s="8" t="n">
        <v>1767.926</v>
      </c>
      <c r="E464" s="12">
        <f>(C464*2)/B464</f>
        <v/>
      </c>
      <c r="F464" s="12">
        <f>D464/B464</f>
        <v/>
      </c>
      <c r="G464" s="8" t="n">
        <v>755.103</v>
      </c>
      <c r="H464" s="8" t="n">
        <v>1855.698</v>
      </c>
      <c r="J464" s="8">
        <f>soy_crush!D38-B464</f>
        <v/>
      </c>
      <c r="K464" s="13">
        <f>J464/B464</f>
        <v/>
      </c>
      <c r="M464" s="14" t="n">
        <v>5.524461290322581</v>
      </c>
      <c r="N464" s="15">
        <f>M464*355</f>
        <v/>
      </c>
      <c r="Q464" s="56">
        <f>B464/28</f>
        <v/>
      </c>
      <c r="T464" s="5" t="n">
        <v>1889.841</v>
      </c>
      <c r="V464" s="5" t="n">
        <v>1288.769</v>
      </c>
      <c r="W464" s="5" t="n">
        <v>1259.37</v>
      </c>
      <c r="Y464" s="5" t="n">
        <v>1302.608</v>
      </c>
      <c r="Z464" s="5" t="n">
        <v>278.903</v>
      </c>
      <c r="AA464" s="5" t="n">
        <v>1023.705</v>
      </c>
      <c r="AB464" s="5" t="n">
        <v>2049.644</v>
      </c>
      <c r="AC464" s="5" t="n">
        <v>928.514</v>
      </c>
      <c r="AD464" s="5" t="n">
        <v>375.738</v>
      </c>
      <c r="AE464" s="5" t="n">
        <v>734.34</v>
      </c>
    </row>
    <row r="465" ht="13.5" customHeight="1">
      <c r="A465" s="6" t="n">
        <v>43160</v>
      </c>
      <c r="B465" s="8" t="n">
        <v>171.858</v>
      </c>
      <c r="C465" s="8" t="n">
        <v>4083.021</v>
      </c>
      <c r="D465" s="8" t="n">
        <v>1977.381</v>
      </c>
      <c r="E465" s="12">
        <f>(C465*2)/B465</f>
        <v/>
      </c>
      <c r="F465" s="12">
        <f>D465/B465</f>
        <v/>
      </c>
      <c r="G465" s="8" t="n">
        <v>878.582</v>
      </c>
      <c r="H465" s="8" t="n">
        <v>1946.123</v>
      </c>
      <c r="J465" s="8">
        <f>soy_crush!D39-B465</f>
        <v/>
      </c>
      <c r="K465" s="13">
        <f>J465/B465</f>
        <v/>
      </c>
      <c r="M465" s="14" t="n">
        <v>5.524461290322581</v>
      </c>
      <c r="N465" s="15">
        <f>M465*355</f>
        <v/>
      </c>
      <c r="Q465" s="56">
        <f>B465/31</f>
        <v/>
      </c>
      <c r="T465" s="5" t="n">
        <v>2079.123</v>
      </c>
      <c r="V465" s="5" t="n">
        <v>1519.782</v>
      </c>
      <c r="W465" s="5" t="n">
        <v>1459.498</v>
      </c>
      <c r="Y465" s="5" t="n">
        <v>1427.523</v>
      </c>
      <c r="Z465" s="5" t="n">
        <v>365.124</v>
      </c>
      <c r="AA465" s="5" t="n">
        <v>1062.399</v>
      </c>
      <c r="AB465" s="5" t="n">
        <v>2080.138</v>
      </c>
      <c r="AC465" s="5" t="n">
        <v>915.122</v>
      </c>
      <c r="AD465" s="5" t="n">
        <v>364.344</v>
      </c>
      <c r="AE465" s="5" t="n">
        <v>802.176</v>
      </c>
    </row>
    <row r="466" ht="13.5" customHeight="1">
      <c r="A466" s="6" t="n">
        <v>43191</v>
      </c>
      <c r="B466" s="8" t="n">
        <v>161.016</v>
      </c>
      <c r="C466" s="8" t="n">
        <v>3833.178</v>
      </c>
      <c r="D466" s="8" t="n">
        <v>1857.334</v>
      </c>
      <c r="E466" s="12">
        <f>(C466*2)/B466</f>
        <v/>
      </c>
      <c r="F466" s="12">
        <f>D466/B466</f>
        <v/>
      </c>
      <c r="G466" s="8" t="n">
        <v>946.2910000000001</v>
      </c>
      <c r="H466" s="8" t="n">
        <v>2092.447</v>
      </c>
      <c r="J466" s="8">
        <f>soy_crush!D40-B466</f>
        <v/>
      </c>
      <c r="K466" s="13">
        <f>J466/B466</f>
        <v/>
      </c>
      <c r="M466" s="14" t="n">
        <v>5.524461290322581</v>
      </c>
      <c r="N466" s="15">
        <f>M466*355</f>
        <v/>
      </c>
      <c r="Q466" s="56">
        <f>B466/30</f>
        <v/>
      </c>
      <c r="T466" s="5" t="n">
        <v>1964.922</v>
      </c>
      <c r="U466" s="5" t="n">
        <v>85.56999999999999</v>
      </c>
      <c r="V466" s="5" t="n">
        <v>1477.749</v>
      </c>
      <c r="W466" s="5" t="n">
        <v>1437.977</v>
      </c>
      <c r="Y466" s="5" t="n">
        <v>1430.438</v>
      </c>
      <c r="Z466" s="5" t="n">
        <v>315.252</v>
      </c>
      <c r="AA466" s="5" t="n">
        <v>1115.186</v>
      </c>
      <c r="AB466" s="5" t="n">
        <v>2316.192</v>
      </c>
      <c r="AC466" s="5" t="n">
        <v>924.045</v>
      </c>
      <c r="AD466" s="5" t="n">
        <v>372.584</v>
      </c>
      <c r="AE466" s="5" t="n">
        <v>939.4930000000001</v>
      </c>
    </row>
    <row r="467" ht="13.5" customHeight="1">
      <c r="A467" s="6" t="n">
        <v>43221</v>
      </c>
      <c r="B467" s="8" t="n">
        <v>163.572</v>
      </c>
      <c r="C467" s="8" t="n">
        <v>3891.723</v>
      </c>
      <c r="D467" s="8" t="n">
        <v>1885.049</v>
      </c>
      <c r="E467" s="12">
        <f>(C467*2)/B467</f>
        <v/>
      </c>
      <c r="F467" s="12">
        <f>D467/B467</f>
        <v/>
      </c>
      <c r="G467" s="8" t="n">
        <v>904.941</v>
      </c>
      <c r="H467" s="8" t="n">
        <v>1856.06</v>
      </c>
      <c r="J467" s="8">
        <f>soy_crush!D41-B467</f>
        <v/>
      </c>
      <c r="K467" s="13">
        <f>J467/B467</f>
        <v/>
      </c>
      <c r="M467" s="14" t="n">
        <v>5.524461290322581</v>
      </c>
      <c r="N467" s="15">
        <f>M467*355</f>
        <v/>
      </c>
      <c r="Q467" s="56">
        <f>B467/31</f>
        <v/>
      </c>
      <c r="T467" s="5" t="n">
        <v>1966.511</v>
      </c>
      <c r="U467" s="5" t="n">
        <v>92.90900000000001</v>
      </c>
      <c r="V467" s="5" t="n">
        <v>1518.13</v>
      </c>
      <c r="W467" s="5" t="n">
        <v>1460.035</v>
      </c>
      <c r="Y467" s="5" t="n">
        <v>1531.29</v>
      </c>
      <c r="Z467" s="5" t="n">
        <v>313.062</v>
      </c>
      <c r="AA467" s="5" t="n">
        <v>1218.228</v>
      </c>
      <c r="AB467" s="5" t="n">
        <v>2002.934</v>
      </c>
      <c r="AC467" s="5" t="n">
        <v>834.579</v>
      </c>
      <c r="AD467" s="5" t="n">
        <v>371.127</v>
      </c>
      <c r="AE467" s="5" t="n">
        <v>709.96</v>
      </c>
    </row>
    <row r="468" ht="13.5" customHeight="1">
      <c r="A468" s="6" t="n">
        <v>43252</v>
      </c>
      <c r="B468" s="8" t="n">
        <v>159.228</v>
      </c>
      <c r="C468" s="8" t="n">
        <v>3786.665</v>
      </c>
      <c r="D468" s="8" t="n">
        <v>1834.51</v>
      </c>
      <c r="E468" s="12">
        <f>(C468*2)/B468</f>
        <v/>
      </c>
      <c r="F468" s="12">
        <f>D468/B468</f>
        <v/>
      </c>
      <c r="G468" s="8" t="n">
        <v>857.275</v>
      </c>
      <c r="H468" s="8" t="n">
        <v>1765.945</v>
      </c>
      <c r="J468" s="8">
        <f>soy_crush!D42-B468</f>
        <v/>
      </c>
      <c r="K468" s="13">
        <f>J468/B468</f>
        <v/>
      </c>
      <c r="M468" s="14" t="n">
        <v>5.524461290322581</v>
      </c>
      <c r="N468" s="15">
        <f>M468*355</f>
        <v/>
      </c>
      <c r="Q468" s="56">
        <f>B468/30</f>
        <v/>
      </c>
      <c r="T468" s="5" t="n">
        <v>1936.907</v>
      </c>
      <c r="U468" s="5" t="n">
        <v>140.802</v>
      </c>
      <c r="V468" s="5" t="n">
        <v>1466.7</v>
      </c>
      <c r="W468" s="5" t="n">
        <v>1437.343</v>
      </c>
      <c r="Y468" s="5" t="n">
        <v>1485.297</v>
      </c>
      <c r="Z468" s="5" t="n">
        <v>380.627</v>
      </c>
      <c r="AA468" s="5" t="n">
        <v>1104.67</v>
      </c>
      <c r="AB468" s="5" t="n">
        <v>1933.152</v>
      </c>
      <c r="AC468" s="5" t="n">
        <v>833.122</v>
      </c>
      <c r="AD468" s="5" t="n">
        <v>371.656</v>
      </c>
      <c r="AE468" s="5" t="n">
        <v>768.537</v>
      </c>
    </row>
    <row r="469" ht="13.5" customHeight="1">
      <c r="A469" s="6" t="n">
        <v>43282</v>
      </c>
      <c r="B469" s="8" t="n">
        <v>167.733</v>
      </c>
      <c r="C469" s="8" t="n">
        <v>3981.039</v>
      </c>
      <c r="D469" s="8" t="n">
        <v>1929.417</v>
      </c>
      <c r="E469" s="12">
        <f>(C469*2)/B469</f>
        <v/>
      </c>
      <c r="F469" s="12">
        <f>D469/B469</f>
        <v/>
      </c>
      <c r="G469" s="8" t="n">
        <v>737.465</v>
      </c>
      <c r="H469" s="8" t="n">
        <v>1763.508</v>
      </c>
      <c r="J469" s="8">
        <f>soy_crush!D43-B469</f>
        <v/>
      </c>
      <c r="K469" s="13">
        <f>J469/B469</f>
        <v/>
      </c>
      <c r="M469" s="14" t="n">
        <v>5.524461290322581</v>
      </c>
      <c r="N469" s="15">
        <f>M469*355</f>
        <v/>
      </c>
      <c r="Q469" s="56">
        <f>B469/31</f>
        <v/>
      </c>
      <c r="T469" s="5" t="n">
        <v>2043.323</v>
      </c>
      <c r="V469" s="5" t="n">
        <v>1470.493</v>
      </c>
      <c r="W469" s="5" t="n">
        <v>1432.655</v>
      </c>
      <c r="Y469" s="5" t="n">
        <v>1488.138</v>
      </c>
      <c r="Z469" s="5" t="n">
        <v>360.212</v>
      </c>
      <c r="AA469" s="5" t="n">
        <v>1127.926</v>
      </c>
      <c r="AB469" s="5" t="n">
        <v>1983.666</v>
      </c>
      <c r="AC469" s="5" t="n">
        <v>755.8200000000001</v>
      </c>
      <c r="AD469" s="5" t="n">
        <v>399.98</v>
      </c>
      <c r="AE469" s="5" t="n">
        <v>780.899</v>
      </c>
    </row>
    <row r="470" ht="13.5" customHeight="1">
      <c r="A470" s="6" t="n">
        <v>43313</v>
      </c>
      <c r="B470" s="8" t="n">
        <v>158.885</v>
      </c>
      <c r="C470" s="8" t="n">
        <v>3780.772</v>
      </c>
      <c r="D470" s="8" t="n">
        <v>1837.238</v>
      </c>
      <c r="E470" s="12">
        <f>(C470*2)/B470</f>
        <v/>
      </c>
      <c r="F470" s="12">
        <f>D470/B470</f>
        <v/>
      </c>
      <c r="G470" s="8" t="n">
        <v>761.899</v>
      </c>
      <c r="H470" s="8" t="n">
        <v>1623.128</v>
      </c>
      <c r="J470" s="8">
        <f>soy_crush!D44-B470</f>
        <v/>
      </c>
      <c r="K470" s="13">
        <f>J470/B470</f>
        <v/>
      </c>
      <c r="M470" s="14" t="n">
        <v>5.524461290322581</v>
      </c>
      <c r="N470" s="15">
        <f>M470*355</f>
        <v/>
      </c>
      <c r="Q470" s="56">
        <f>B470/31</f>
        <v/>
      </c>
      <c r="T470" s="5" t="n">
        <v>1944.966</v>
      </c>
      <c r="U470" s="5" t="n">
        <v>115.494</v>
      </c>
      <c r="V470" s="5" t="n">
        <v>1481.276</v>
      </c>
      <c r="W470" s="5" t="n">
        <v>1448.966</v>
      </c>
      <c r="Y470" s="5" t="n">
        <v>1533.052</v>
      </c>
      <c r="Z470" s="5" t="n">
        <v>355.841</v>
      </c>
      <c r="AA470" s="5" t="n">
        <v>1177.211</v>
      </c>
      <c r="AB470" s="5" t="n">
        <v>1843.912</v>
      </c>
      <c r="AC470" s="5" t="n">
        <v>710.679</v>
      </c>
      <c r="AD470" s="5" t="n">
        <v>370.887</v>
      </c>
      <c r="AE470" s="5" t="n">
        <v>722.747</v>
      </c>
    </row>
    <row r="471" ht="13.5" customHeight="1">
      <c r="A471" s="6" t="n">
        <v>43344</v>
      </c>
      <c r="B471" s="8" t="n">
        <v>160.779</v>
      </c>
      <c r="C471" s="8" t="n">
        <v>3788.87</v>
      </c>
      <c r="D471" s="8" t="n">
        <v>1849.402</v>
      </c>
      <c r="E471" s="12">
        <f>(C471*2)/B471</f>
        <v/>
      </c>
      <c r="F471" s="12">
        <f>D471/B471</f>
        <v/>
      </c>
      <c r="G471" s="8" t="n">
        <v>785.2670000000001</v>
      </c>
      <c r="H471" s="8" t="n">
        <v>1531.392</v>
      </c>
      <c r="J471" s="8">
        <f>soy_crush!D45-B471</f>
        <v/>
      </c>
      <c r="K471" s="13">
        <f>J471/B471</f>
        <v/>
      </c>
      <c r="M471" s="14" t="n">
        <v>5.524461290322581</v>
      </c>
      <c r="N471" s="15">
        <f>M471*355</f>
        <v/>
      </c>
      <c r="Q471" s="56">
        <f>B471/30</f>
        <v/>
      </c>
      <c r="T471" s="5" t="n">
        <v>1942.097</v>
      </c>
      <c r="U471" s="5" t="n">
        <v>140.147</v>
      </c>
      <c r="V471" s="5" t="n">
        <v>1494.848</v>
      </c>
      <c r="W471" s="5" t="n">
        <v>1467.768</v>
      </c>
      <c r="Y471" s="5" t="n">
        <v>1543.916</v>
      </c>
      <c r="Z471" s="5" t="n">
        <v>414.862</v>
      </c>
      <c r="AA471" s="5" t="n">
        <v>1129.054</v>
      </c>
      <c r="AB471" s="5" t="n">
        <v>1648.347</v>
      </c>
      <c r="AC471" s="5" t="n">
        <v>680.37</v>
      </c>
      <c r="AD471" s="5" t="n">
        <v>347.087</v>
      </c>
      <c r="AE471" s="5" t="n">
        <v>672.34</v>
      </c>
    </row>
    <row r="472" ht="13.5" customHeight="1">
      <c r="A472" s="6" t="n">
        <v>43374</v>
      </c>
      <c r="B472" s="8" t="n">
        <v>172.346</v>
      </c>
      <c r="C472" s="8" t="n">
        <v>4033.309</v>
      </c>
      <c r="D472" s="8" t="n">
        <v>2017.376</v>
      </c>
      <c r="E472" s="12">
        <f>(C472*2)/B472</f>
        <v/>
      </c>
      <c r="F472" s="12">
        <f>D472/B472</f>
        <v/>
      </c>
      <c r="G472" s="8" t="n">
        <v>967.174</v>
      </c>
      <c r="H472" s="8" t="n">
        <v>1502.699</v>
      </c>
      <c r="J472" s="8">
        <f>soy_crush!D46-B472</f>
        <v/>
      </c>
      <c r="K472" s="13">
        <f>J472/B472</f>
        <v/>
      </c>
      <c r="M472" s="14" t="n">
        <v>5.524461290322581</v>
      </c>
      <c r="N472" s="15">
        <f>M472*355</f>
        <v/>
      </c>
      <c r="Q472" s="56">
        <f>B472/31</f>
        <v/>
      </c>
      <c r="T472" s="5" t="n">
        <v>2134.553</v>
      </c>
      <c r="U472" s="5" t="n">
        <v>92.901</v>
      </c>
      <c r="V472" s="5" t="n">
        <v>1601.041</v>
      </c>
      <c r="W472" s="5" t="n">
        <v>1568.355</v>
      </c>
      <c r="Y472" s="5" t="n">
        <v>1606.335</v>
      </c>
      <c r="Z472" s="5" t="n">
        <v>435.381</v>
      </c>
      <c r="AA472" s="5" t="n">
        <v>1170.954</v>
      </c>
      <c r="AB472" s="5" t="n">
        <v>1700.684</v>
      </c>
      <c r="AC472" s="5" t="n">
        <v>689.9450000000001</v>
      </c>
      <c r="AD472" s="5" t="n">
        <v>346.867</v>
      </c>
      <c r="AE472" s="5" t="n">
        <v>598.973</v>
      </c>
    </row>
    <row r="473" ht="13.5" customHeight="1">
      <c r="A473" s="6" t="n">
        <v>43405</v>
      </c>
      <c r="B473" s="8" t="n">
        <v>166.959</v>
      </c>
      <c r="C473" s="8" t="n">
        <v>3902.313</v>
      </c>
      <c r="D473" s="8" t="n">
        <v>1943.419</v>
      </c>
      <c r="E473" s="12">
        <f>(C473*2)/B473</f>
        <v/>
      </c>
      <c r="F473" s="12">
        <f>D473/B473</f>
        <v/>
      </c>
      <c r="G473" s="8" t="n">
        <v>901.449</v>
      </c>
      <c r="H473" s="8" t="n">
        <v>1484.173</v>
      </c>
      <c r="J473" s="8">
        <f>soy_crush!D47-B473</f>
        <v/>
      </c>
      <c r="K473" s="13">
        <f>J473/B473</f>
        <v/>
      </c>
      <c r="M473" s="14" t="n">
        <v>5.524461290322581</v>
      </c>
      <c r="N473" s="15">
        <f>M473*355</f>
        <v/>
      </c>
      <c r="Q473" s="56">
        <f>B473/30</f>
        <v/>
      </c>
      <c r="T473" s="5" t="n">
        <v>2060.563</v>
      </c>
      <c r="V473" s="5" t="n">
        <v>1496.018</v>
      </c>
      <c r="W473" s="5" t="n">
        <v>1456.902</v>
      </c>
      <c r="Y473" s="5" t="n">
        <v>1549.491</v>
      </c>
      <c r="Z473" s="5" t="n">
        <v>441.168</v>
      </c>
      <c r="AA473" s="5" t="n">
        <v>1108.323</v>
      </c>
      <c r="AB473" s="5" t="n">
        <v>1582.363</v>
      </c>
      <c r="AC473" s="5" t="n">
        <v>711.421</v>
      </c>
      <c r="AD473" s="5" t="n">
        <v>317.91</v>
      </c>
    </row>
    <row r="474" ht="13.5" customHeight="1">
      <c r="A474" s="6" t="n">
        <v>43435</v>
      </c>
      <c r="B474" s="8" t="n">
        <v>171.759</v>
      </c>
      <c r="C474" s="8" t="n">
        <v>4017.776</v>
      </c>
      <c r="D474" s="8" t="n">
        <v>2008.297</v>
      </c>
      <c r="E474" s="12">
        <f>(C474*2)/B474</f>
        <v/>
      </c>
      <c r="F474" s="12">
        <f>D474/B474</f>
        <v/>
      </c>
      <c r="G474" s="8" t="n">
        <v>826.404</v>
      </c>
      <c r="H474" s="8" t="n">
        <v>1498.06</v>
      </c>
      <c r="J474" s="8">
        <f>soy_crush!D48-B474</f>
        <v/>
      </c>
      <c r="K474" s="13">
        <f>J474/B474</f>
        <v/>
      </c>
      <c r="M474" s="14" t="n">
        <v>5.524461290322581</v>
      </c>
      <c r="N474" s="15">
        <f>M474*355</f>
        <v/>
      </c>
      <c r="Q474" s="56">
        <f>B474/31</f>
        <v/>
      </c>
      <c r="T474" s="5" t="n">
        <v>2135.37</v>
      </c>
      <c r="U474" s="5" t="n">
        <v>119.209</v>
      </c>
      <c r="V474" s="5" t="n">
        <v>1479.059</v>
      </c>
      <c r="W474" s="5" t="n">
        <v>1451.026</v>
      </c>
      <c r="Y474" s="5" t="n">
        <v>1522.135</v>
      </c>
      <c r="Z474" s="5" t="n">
        <v>464.458</v>
      </c>
      <c r="AA474" s="5" t="n">
        <v>1057.677</v>
      </c>
      <c r="AB474" s="5" t="n">
        <v>1601.77</v>
      </c>
      <c r="AC474" s="5" t="n">
        <v>712.207</v>
      </c>
      <c r="AD474" s="5" t="n">
        <v>344.078</v>
      </c>
      <c r="AE474" s="5" t="n">
        <v>469.959</v>
      </c>
    </row>
    <row r="475" ht="13.5" customHeight="1">
      <c r="A475" s="6" t="n">
        <v>43466</v>
      </c>
      <c r="B475" s="8" t="n">
        <v>171.63</v>
      </c>
      <c r="C475" s="8" t="n">
        <v>4006.281</v>
      </c>
      <c r="D475" s="8" t="n">
        <v>1993.382</v>
      </c>
      <c r="E475" s="12">
        <f>(C475*2)/B475</f>
        <v/>
      </c>
      <c r="F475" s="12">
        <f>D475/B475</f>
        <v/>
      </c>
      <c r="G475" s="8" t="n">
        <v>905.923</v>
      </c>
      <c r="H475" s="8" t="n">
        <v>1549.169</v>
      </c>
      <c r="J475" s="8">
        <f>soy_crush!D49-B475</f>
        <v/>
      </c>
      <c r="K475" s="13">
        <f>J475/B475</f>
        <v/>
      </c>
      <c r="M475" s="14" t="n">
        <v>5.524461290322581</v>
      </c>
      <c r="N475" s="15">
        <f>M475*355</f>
        <v/>
      </c>
      <c r="Q475" s="56">
        <f>B475/31</f>
        <v/>
      </c>
      <c r="T475" s="5" t="n">
        <v>2115.799</v>
      </c>
      <c r="U475" s="5" t="n">
        <v>123.436</v>
      </c>
      <c r="V475" s="5" t="n">
        <v>1425.415</v>
      </c>
      <c r="W475" s="5" t="n">
        <v>1397.805</v>
      </c>
      <c r="Y475" s="5" t="n">
        <v>1411.818</v>
      </c>
      <c r="Z475" s="5" t="n">
        <v>375.92</v>
      </c>
      <c r="AA475" s="5" t="n">
        <v>1035.898</v>
      </c>
      <c r="AB475" s="5" t="n">
        <v>1659.501</v>
      </c>
      <c r="AC475" s="5" t="n">
        <v>795.8819999999999</v>
      </c>
      <c r="AD475" s="5" t="n">
        <v>345.227</v>
      </c>
      <c r="AE475" s="5" t="n">
        <v>424.645</v>
      </c>
    </row>
    <row r="476" ht="13.5" customHeight="1">
      <c r="A476" s="6" t="n">
        <v>43497</v>
      </c>
      <c r="B476" s="8" t="n">
        <v>154.498</v>
      </c>
      <c r="C476" s="8" t="n">
        <v>3628.302</v>
      </c>
      <c r="D476" s="8" t="n">
        <v>1806.633</v>
      </c>
      <c r="E476" s="12">
        <f>(C476*2)/B476</f>
        <v/>
      </c>
      <c r="F476" s="12">
        <f>D476/B476</f>
        <v/>
      </c>
      <c r="G476" s="8" t="n">
        <v>784.66</v>
      </c>
      <c r="H476" s="8" t="n">
        <v>1751.865</v>
      </c>
      <c r="J476" s="8">
        <f>soy_crush!D50-B476</f>
        <v/>
      </c>
      <c r="K476" s="13">
        <f>J476/B476</f>
        <v/>
      </c>
      <c r="M476" s="14" t="n">
        <v>5.524461290322581</v>
      </c>
      <c r="N476" s="15">
        <f>M476*355</f>
        <v/>
      </c>
      <c r="Q476" s="56">
        <f>B476/28</f>
        <v/>
      </c>
      <c r="T476" s="5" t="n">
        <v>1899.196</v>
      </c>
      <c r="U476" s="5" t="n">
        <v>112.98</v>
      </c>
      <c r="V476" s="5" t="n">
        <v>1317.633</v>
      </c>
      <c r="W476" s="5" t="n">
        <v>1287.932</v>
      </c>
      <c r="Y476" s="5" t="n">
        <v>1296.996</v>
      </c>
      <c r="Z476" s="5" t="n">
        <v>336.52</v>
      </c>
      <c r="AA476" s="5" t="n">
        <v>960.476</v>
      </c>
      <c r="AB476" s="5" t="n">
        <v>1762.965</v>
      </c>
      <c r="AC476" s="5" t="n">
        <v>851.704</v>
      </c>
      <c r="AD476" s="5" t="n">
        <v>386.165</v>
      </c>
    </row>
    <row r="477" ht="13.5" customHeight="1">
      <c r="A477" s="6" t="n">
        <v>43525</v>
      </c>
      <c r="B477" s="8" t="n">
        <v>170.011</v>
      </c>
      <c r="C477" s="8" t="n">
        <v>3988.244</v>
      </c>
      <c r="D477" s="8" t="n">
        <v>2000.049</v>
      </c>
      <c r="E477" s="12">
        <f>(C477*2)/B477</f>
        <v/>
      </c>
      <c r="F477" s="12">
        <f>D477/B477</f>
        <v/>
      </c>
      <c r="G477" s="8" t="n">
        <v>844.294</v>
      </c>
      <c r="H477" s="8" t="n">
        <v>1760.598</v>
      </c>
      <c r="J477" s="8">
        <f>soy_crush!D51-B477</f>
        <v/>
      </c>
      <c r="K477" s="13">
        <f>J477/B477</f>
        <v/>
      </c>
      <c r="M477" s="14" t="n">
        <v>5.706461290322581</v>
      </c>
      <c r="N477" s="15">
        <f>M477*355</f>
        <v/>
      </c>
      <c r="Q477" s="56">
        <f>B477/31</f>
        <v/>
      </c>
      <c r="T477" s="5" t="n">
        <v>2094.418</v>
      </c>
      <c r="U477" s="5" t="n">
        <v>99.527</v>
      </c>
      <c r="V477" s="5" t="n">
        <v>1443.099</v>
      </c>
      <c r="W477" s="5" t="n">
        <v>1413.729</v>
      </c>
      <c r="Y477" s="5" t="n">
        <v>1466.744</v>
      </c>
      <c r="Z477" s="5" t="n">
        <v>406.124</v>
      </c>
      <c r="AA477" s="5" t="n">
        <v>1060.62</v>
      </c>
      <c r="AB477" s="5" t="n">
        <v>1893.918</v>
      </c>
      <c r="AC477" s="5" t="n">
        <v>942.477</v>
      </c>
      <c r="AD477" s="5" t="n">
        <v>339.011</v>
      </c>
    </row>
    <row r="478" ht="13.5" customHeight="1">
      <c r="A478" s="6" t="n">
        <v>43556</v>
      </c>
      <c r="B478" s="8" t="n">
        <v>159.99</v>
      </c>
      <c r="C478" s="8" t="n">
        <v>3745.312</v>
      </c>
      <c r="D478" s="8" t="n">
        <v>1870.855</v>
      </c>
      <c r="E478" s="12">
        <f>(C478*2)/B478</f>
        <v/>
      </c>
      <c r="F478" s="12">
        <f>D478/B478</f>
        <v/>
      </c>
      <c r="G478" s="8" t="n">
        <v>763.203</v>
      </c>
      <c r="H478" s="8" t="n">
        <v>1786.868</v>
      </c>
      <c r="J478" s="8">
        <f>soy_crush!D52-B478</f>
        <v/>
      </c>
      <c r="K478" s="13">
        <f>J478/B478</f>
        <v/>
      </c>
      <c r="M478" s="14" t="n">
        <v>5.706461290322581</v>
      </c>
      <c r="N478" s="15">
        <f>M478*355</f>
        <v/>
      </c>
      <c r="Q478" s="56">
        <f>B478/30</f>
        <v/>
      </c>
      <c r="T478" s="5" t="n">
        <v>1989.101</v>
      </c>
      <c r="U478" s="5" t="n">
        <v>90.051</v>
      </c>
      <c r="V478" s="5" t="n">
        <v>1496.995</v>
      </c>
      <c r="W478" s="5" t="n">
        <v>1460.651</v>
      </c>
      <c r="Y478" s="5" t="n">
        <v>1528.83</v>
      </c>
      <c r="Z478" s="5" t="n">
        <v>413.572</v>
      </c>
      <c r="AA478" s="5" t="n">
        <v>1115.258</v>
      </c>
      <c r="AB478" s="5" t="n">
        <v>1893.351</v>
      </c>
      <c r="AC478" s="5" t="n">
        <v>916.266</v>
      </c>
      <c r="AD478" s="5" t="n">
        <v>364.255</v>
      </c>
    </row>
    <row r="479" ht="13.5" customHeight="1">
      <c r="A479" s="6" t="n">
        <v>43586</v>
      </c>
      <c r="B479" s="8" t="n">
        <v>154.796</v>
      </c>
      <c r="C479" s="8" t="n">
        <v>3665.747</v>
      </c>
      <c r="D479" s="8" t="n">
        <v>1822.096</v>
      </c>
      <c r="E479" s="12">
        <f>(C479*2)/B479</f>
        <v/>
      </c>
      <c r="F479" s="12">
        <f>D479/B479</f>
        <v/>
      </c>
      <c r="G479" s="8" t="n">
        <v>617.318</v>
      </c>
      <c r="H479" s="8" t="n">
        <v>1581.382</v>
      </c>
      <c r="J479" s="8">
        <f>soy_crush!D53-B479</f>
        <v/>
      </c>
      <c r="K479" s="13">
        <f>J479/B479</f>
        <v/>
      </c>
      <c r="M479" s="14" t="n">
        <v>5.827461290322582</v>
      </c>
      <c r="N479" s="15">
        <f>M479*355</f>
        <v/>
      </c>
      <c r="Q479" s="56">
        <f>B479/31</f>
        <v/>
      </c>
      <c r="T479" s="5" t="n">
        <v>1915.994</v>
      </c>
      <c r="U479" s="5" t="n">
        <v>94.211</v>
      </c>
      <c r="V479" s="5" t="n">
        <v>1531.841</v>
      </c>
      <c r="W479" s="5" t="n">
        <v>1493.785</v>
      </c>
      <c r="Y479" s="5" t="n">
        <v>1545.757</v>
      </c>
      <c r="Z479" s="5" t="n">
        <v>424.728</v>
      </c>
      <c r="AA479" s="5" t="n">
        <v>1121.029</v>
      </c>
      <c r="AB479" s="5" t="n">
        <v>1662.782</v>
      </c>
      <c r="AC479" s="5" t="n">
        <v>810.9160000000001</v>
      </c>
      <c r="AD479" s="5" t="n">
        <v>356.085</v>
      </c>
      <c r="AE479" s="5" t="n">
        <v>369.59</v>
      </c>
    </row>
    <row r="480" ht="13.5" customHeight="1">
      <c r="A480" s="6" t="n">
        <v>43617</v>
      </c>
      <c r="B480" s="8" t="n">
        <v>148.843</v>
      </c>
      <c r="C480" s="8" t="n">
        <v>3493.985</v>
      </c>
      <c r="D480" s="8" t="n">
        <v>1736.684</v>
      </c>
      <c r="E480" s="12">
        <f>(C480*2)/B480</f>
        <v/>
      </c>
      <c r="F480" s="12">
        <f>D480/B480</f>
        <v/>
      </c>
      <c r="G480" s="8" t="n">
        <v>554.864</v>
      </c>
      <c r="H480" s="8" t="n">
        <v>1535.467</v>
      </c>
      <c r="J480" s="8">
        <f>soy_crush!D54-B480</f>
        <v/>
      </c>
      <c r="K480" s="13">
        <f>J480/B480</f>
        <v/>
      </c>
      <c r="M480" s="14" t="n">
        <v>5.884461290322582</v>
      </c>
      <c r="N480" s="15">
        <f>M480*355</f>
        <v/>
      </c>
      <c r="Q480" s="56">
        <f>B480/30</f>
        <v/>
      </c>
      <c r="T480" s="5" t="n">
        <v>1811.481</v>
      </c>
      <c r="U480" s="5" t="n">
        <v>91.283</v>
      </c>
      <c r="V480" s="5" t="n">
        <v>1438.233</v>
      </c>
      <c r="W480" s="5" t="n">
        <v>1411.496</v>
      </c>
      <c r="Y480" s="5" t="n">
        <v>1455.63</v>
      </c>
      <c r="Z480" s="5" t="n">
        <v>417.452</v>
      </c>
      <c r="AA480" s="5" t="n">
        <v>1038.178</v>
      </c>
      <c r="AB480" s="5" t="n">
        <v>1595.273</v>
      </c>
      <c r="AC480" s="5" t="n">
        <v>802.215</v>
      </c>
      <c r="AD480" s="5" t="n">
        <v>419.147</v>
      </c>
      <c r="AE480" s="5" t="n">
        <v>390.183</v>
      </c>
    </row>
    <row r="481" ht="13.5" customHeight="1">
      <c r="A481" s="6" t="n">
        <v>43647</v>
      </c>
      <c r="B481" s="8" t="n">
        <v>168.093</v>
      </c>
      <c r="C481" s="8" t="n">
        <v>3930.619</v>
      </c>
      <c r="D481" s="8" t="n">
        <v>1971.099</v>
      </c>
      <c r="E481" s="12">
        <f>(C481*2)/B481</f>
        <v/>
      </c>
      <c r="F481" s="12">
        <f>D481/B481</f>
        <v/>
      </c>
      <c r="G481" s="8" t="n">
        <v>879.319</v>
      </c>
      <c r="H481" s="8" t="n">
        <v>1467.131</v>
      </c>
      <c r="J481" s="8">
        <f>soy_crush!D55-B481</f>
        <v/>
      </c>
      <c r="K481" s="13">
        <f>J481/B481</f>
        <v/>
      </c>
      <c r="M481" s="14" t="n">
        <v>5.884461290322582</v>
      </c>
      <c r="N481" s="15">
        <f>M481*355</f>
        <v/>
      </c>
      <c r="Q481" s="56">
        <f>B481/31</f>
        <v/>
      </c>
      <c r="T481" s="5" t="n">
        <v>2090.168</v>
      </c>
      <c r="U481" s="5" t="n">
        <v>97.319</v>
      </c>
      <c r="V481" s="5" t="n">
        <v>1550.144</v>
      </c>
      <c r="W481" s="5" t="n">
        <v>1514.468</v>
      </c>
      <c r="Y481" s="5" t="n">
        <v>1602.979</v>
      </c>
      <c r="Z481" s="5" t="n">
        <v>471.807</v>
      </c>
      <c r="AA481" s="5" t="n">
        <v>1131.172</v>
      </c>
      <c r="AB481" s="5" t="n">
        <v>1652.854</v>
      </c>
      <c r="AC481" s="5" t="n">
        <v>790.119</v>
      </c>
      <c r="AD481" s="5" t="n">
        <v>386.647</v>
      </c>
      <c r="AE481" s="5" t="n">
        <v>439.611</v>
      </c>
    </row>
    <row r="482" ht="13.5" customHeight="1">
      <c r="A482" s="6" t="n">
        <v>43678</v>
      </c>
      <c r="B482" s="8" t="n">
        <v>168.085</v>
      </c>
      <c r="C482" s="8" t="n">
        <v>3939.774</v>
      </c>
      <c r="D482" s="8" t="n">
        <v>1965.041</v>
      </c>
      <c r="E482" s="12">
        <f>(C482*2)/B482</f>
        <v/>
      </c>
      <c r="F482" s="12">
        <f>D482/B482</f>
        <v/>
      </c>
      <c r="G482" s="8" t="n">
        <v>699.212</v>
      </c>
      <c r="H482" s="8" t="n">
        <v>1400.646</v>
      </c>
      <c r="J482" s="8">
        <f>soy_crush!D56-B482</f>
        <v/>
      </c>
      <c r="K482" s="13">
        <f>J482/B482</f>
        <v/>
      </c>
      <c r="M482" s="14" t="n">
        <v>5.884461290322582</v>
      </c>
      <c r="N482" s="15">
        <f>M482*355</f>
        <v/>
      </c>
      <c r="Q482" s="56">
        <f>B482/31</f>
        <v/>
      </c>
      <c r="T482" s="5" t="n">
        <v>2049.888</v>
      </c>
      <c r="U482" s="5" t="n">
        <v>90.068</v>
      </c>
      <c r="V482" s="5" t="n">
        <v>1559.724</v>
      </c>
      <c r="W482" s="5" t="n">
        <v>1516.647</v>
      </c>
      <c r="Y482" s="5" t="n">
        <v>1569.905</v>
      </c>
      <c r="Z482" s="5" t="n">
        <v>427.05</v>
      </c>
      <c r="AA482" s="5" t="n">
        <v>1142.855</v>
      </c>
      <c r="AB482" s="5" t="n">
        <v>1439.479</v>
      </c>
      <c r="AC482" s="5" t="n">
        <v>731.432</v>
      </c>
      <c r="AD482" s="5" t="n">
        <v>366.668</v>
      </c>
      <c r="AE482" s="5" t="n">
        <v>287.252</v>
      </c>
    </row>
    <row r="483" ht="13.5" customHeight="1">
      <c r="A483" s="6" t="n">
        <v>43709</v>
      </c>
      <c r="B483" s="8" t="n">
        <v>152.566</v>
      </c>
      <c r="C483" s="8" t="n">
        <v>3576.141</v>
      </c>
      <c r="D483" s="8" t="n">
        <v>1808.854</v>
      </c>
      <c r="E483" s="12">
        <f>(C483*2)/B483</f>
        <v/>
      </c>
      <c r="F483" s="12">
        <f>D483/B483</f>
        <v/>
      </c>
      <c r="G483" s="8" t="n">
        <v>844.5839999999999</v>
      </c>
      <c r="H483" s="8" t="n">
        <v>1441.805</v>
      </c>
      <c r="J483" s="8">
        <f>soy_crush!D57-B483</f>
        <v/>
      </c>
      <c r="K483" s="13">
        <f>J483/B483</f>
        <v/>
      </c>
      <c r="M483" s="14" t="n">
        <v>5.884461290322582</v>
      </c>
      <c r="N483" s="15">
        <f>M483*355</f>
        <v/>
      </c>
      <c r="Q483" s="56">
        <f>B483/30</f>
        <v/>
      </c>
      <c r="T483" s="5" t="n">
        <v>1900.668</v>
      </c>
      <c r="U483" s="5" t="n">
        <v>82.646</v>
      </c>
      <c r="V483" s="5" t="n">
        <v>1448.211</v>
      </c>
      <c r="W483" s="5" t="n">
        <v>1412.136</v>
      </c>
      <c r="Y483" s="5" t="n">
        <v>1493.955</v>
      </c>
      <c r="Z483" s="5" t="n">
        <v>426.505</v>
      </c>
      <c r="AA483" s="5" t="n">
        <v>1067.45</v>
      </c>
      <c r="AB483" s="5" t="n">
        <v>1400.569</v>
      </c>
      <c r="AC483" s="5" t="n">
        <v>697.669</v>
      </c>
      <c r="AD483" s="5" t="n">
        <v>374.747</v>
      </c>
      <c r="AE483" s="5" t="n">
        <v>292.13</v>
      </c>
    </row>
    <row r="484" ht="13.5" customHeight="1">
      <c r="A484" s="6" t="n">
        <v>43739</v>
      </c>
      <c r="B484" s="8" t="n">
        <v>175.397</v>
      </c>
      <c r="C484" s="8" t="n">
        <v>4115.076</v>
      </c>
      <c r="D484" s="8" t="n">
        <v>2029.996</v>
      </c>
      <c r="E484" s="12">
        <f>(C484*2)/B484</f>
        <v/>
      </c>
      <c r="F484" s="12">
        <f>D484/B484</f>
        <v/>
      </c>
      <c r="G484" s="8" t="n">
        <v>894.817</v>
      </c>
      <c r="H484" s="8" t="n">
        <v>1423.089</v>
      </c>
      <c r="J484" s="8">
        <f>soy_crush!D58-B484</f>
        <v/>
      </c>
      <c r="K484" s="13">
        <f>J484/B484</f>
        <v/>
      </c>
      <c r="M484" s="14" t="n">
        <v>5.884461290322582</v>
      </c>
      <c r="N484" s="15">
        <f>M484*355</f>
        <v/>
      </c>
      <c r="Q484" s="56">
        <f>B484/31</f>
        <v/>
      </c>
      <c r="T484" s="5" t="n">
        <v>2149.969</v>
      </c>
      <c r="V484" s="5" t="n">
        <v>1610.868</v>
      </c>
      <c r="W484" s="5" t="n">
        <v>1566.003</v>
      </c>
      <c r="Y484" s="5" t="n">
        <v>1624.992</v>
      </c>
      <c r="Z484" s="5" t="n">
        <v>487.476</v>
      </c>
      <c r="AA484" s="5" t="n">
        <v>1137.516</v>
      </c>
      <c r="AB484" s="5" t="n">
        <v>1471.929</v>
      </c>
      <c r="AC484" s="5" t="n">
        <v>646.004</v>
      </c>
      <c r="AD484" s="5" t="n">
        <v>349.029</v>
      </c>
      <c r="AE484" s="5" t="n">
        <v>413.055</v>
      </c>
    </row>
    <row r="485" ht="13.5" customHeight="1">
      <c r="A485" s="6" t="n">
        <v>43770</v>
      </c>
      <c r="B485" s="8" t="n">
        <v>164.909</v>
      </c>
      <c r="C485" s="8" t="n">
        <v>3893.274</v>
      </c>
      <c r="D485" s="8" t="n">
        <v>1901.493</v>
      </c>
      <c r="E485" s="12">
        <f>(C485*2)/B485</f>
        <v/>
      </c>
      <c r="F485" s="12">
        <f>D485/B485</f>
        <v/>
      </c>
      <c r="G485" s="8" t="n">
        <v>868.769</v>
      </c>
      <c r="H485" s="8" t="n">
        <v>1448.093</v>
      </c>
      <c r="J485" s="8">
        <f>soy_crush!D59-B485</f>
        <v/>
      </c>
      <c r="K485" s="13">
        <f>J485/B485</f>
        <v/>
      </c>
      <c r="M485" s="14" t="n">
        <v>5.884461290322582</v>
      </c>
      <c r="N485" s="15">
        <f>M485*355</f>
        <v/>
      </c>
      <c r="Q485" s="56">
        <f>B485/30</f>
        <v/>
      </c>
      <c r="T485" s="5" t="n">
        <v>1999.648</v>
      </c>
      <c r="U485" s="5" t="n">
        <v>106.331</v>
      </c>
      <c r="V485" s="5" t="n">
        <v>1397.17</v>
      </c>
      <c r="W485" s="5" t="n">
        <v>1362.343</v>
      </c>
      <c r="Y485" s="5" t="n">
        <v>1400.401</v>
      </c>
      <c r="Z485" s="5" t="n">
        <v>387.057</v>
      </c>
      <c r="AA485" s="5" t="n">
        <v>1013.344</v>
      </c>
      <c r="AB485" s="5" t="n">
        <v>1522.923</v>
      </c>
      <c r="AC485" s="5" t="n">
        <v>739.832</v>
      </c>
      <c r="AD485" s="5" t="n">
        <v>357.435</v>
      </c>
      <c r="AE485" s="5" t="n">
        <v>390.461</v>
      </c>
    </row>
    <row r="486" ht="13.5" customHeight="1">
      <c r="A486" s="6" t="n">
        <v>43800</v>
      </c>
      <c r="B486" s="8" t="n">
        <v>174.812</v>
      </c>
      <c r="C486" s="8" t="n">
        <v>4111.465</v>
      </c>
      <c r="D486" s="8" t="n">
        <v>2012.235</v>
      </c>
      <c r="E486" s="12">
        <f>(C486*2)/B486</f>
        <v/>
      </c>
      <c r="F486" s="12">
        <f>D486/B486</f>
        <v/>
      </c>
      <c r="G486" s="8" t="n">
        <v>902.534</v>
      </c>
      <c r="H486" s="8" t="n">
        <v>1757.069</v>
      </c>
      <c r="J486" s="8">
        <f>soy_crush!D60-B486</f>
        <v/>
      </c>
      <c r="K486" s="13">
        <f>J486/B486</f>
        <v/>
      </c>
      <c r="M486" s="14" t="n">
        <v>5.884461290322582</v>
      </c>
      <c r="N486" s="15">
        <f>M486*355</f>
        <v/>
      </c>
      <c r="Q486" s="56">
        <f>B486/31</f>
        <v/>
      </c>
      <c r="T486" s="5" t="n">
        <v>2110.936</v>
      </c>
      <c r="U486" s="5" t="n">
        <v>112.132</v>
      </c>
      <c r="V486" s="5" t="n">
        <v>1389.872</v>
      </c>
      <c r="W486" s="5" t="n">
        <v>1363.403</v>
      </c>
      <c r="Y486" s="5" t="n">
        <v>1407.06</v>
      </c>
      <c r="Z486" s="5" t="n">
        <v>389.01</v>
      </c>
      <c r="AA486" s="5" t="n">
        <v>1018.05</v>
      </c>
      <c r="AB486" s="5" t="n">
        <v>1749.423</v>
      </c>
      <c r="AC486" s="5" t="n">
        <v>830.2190000000001</v>
      </c>
      <c r="AD486" s="5" t="n">
        <v>384.641</v>
      </c>
      <c r="AE486" s="5" t="n">
        <v>505.779</v>
      </c>
    </row>
    <row r="487" ht="13.5" customHeight="1">
      <c r="A487" s="6" t="n">
        <v>43831</v>
      </c>
      <c r="B487" s="8" t="n">
        <v>176.94</v>
      </c>
      <c r="C487" s="8" t="n">
        <v>4150.723</v>
      </c>
      <c r="D487" s="8" t="n">
        <v>2034.554</v>
      </c>
      <c r="E487" s="12">
        <f>(C487*2)/B487</f>
        <v/>
      </c>
      <c r="F487" s="12">
        <f>D487/B487</f>
        <v/>
      </c>
      <c r="G487" s="8" t="n">
        <v>931.061</v>
      </c>
      <c r="H487" s="8" t="n">
        <v>2012.728</v>
      </c>
      <c r="J487" s="8">
        <f>soy_crush!D61-B487</f>
        <v/>
      </c>
      <c r="K487" s="13">
        <f>J487/B487</f>
        <v/>
      </c>
      <c r="M487" s="14" t="n">
        <v>5.884461290322582</v>
      </c>
      <c r="N487" s="15">
        <f>M487*355</f>
        <v/>
      </c>
      <c r="Q487" s="56">
        <f>B487/31</f>
        <v/>
      </c>
      <c r="T487" s="5" t="n">
        <v>2154.427</v>
      </c>
      <c r="U487" s="5" t="n">
        <v>95.47199999999999</v>
      </c>
      <c r="V487" s="5" t="n">
        <v>1442.642</v>
      </c>
      <c r="W487" s="5" t="n">
        <v>1408.135</v>
      </c>
      <c r="Y487" s="5" t="n">
        <v>1428.464</v>
      </c>
      <c r="Z487" s="5" t="n">
        <v>341.896</v>
      </c>
      <c r="AA487" s="5" t="n">
        <v>1086.568</v>
      </c>
      <c r="AB487" s="5" t="n">
        <v>1989.164</v>
      </c>
      <c r="AC487" s="5" t="n">
        <v>862.567</v>
      </c>
      <c r="AD487" s="5" t="n">
        <v>366.733</v>
      </c>
      <c r="AE487" s="5" t="n">
        <v>658.833</v>
      </c>
    </row>
    <row r="488" ht="13.5" customHeight="1">
      <c r="A488" s="6" t="n">
        <v>43862</v>
      </c>
      <c r="B488" s="8" t="n">
        <v>166.288</v>
      </c>
      <c r="C488" s="8" t="n">
        <v>3911.246</v>
      </c>
      <c r="D488" s="8" t="n">
        <v>1910.142</v>
      </c>
      <c r="E488" s="12">
        <f>(C488*2)/B488</f>
        <v/>
      </c>
      <c r="F488" s="12">
        <f>D488/B488</f>
        <v/>
      </c>
      <c r="G488" s="8" t="n">
        <v>762.745</v>
      </c>
      <c r="H488" s="8" t="n">
        <v>1922.12</v>
      </c>
      <c r="J488" s="8">
        <f>soy_crush!D62-B488</f>
        <v/>
      </c>
      <c r="K488" s="13">
        <f>J488/B488</f>
        <v/>
      </c>
      <c r="M488" s="14" t="n">
        <v>6.011461290322582</v>
      </c>
      <c r="N488" s="15">
        <f>M488*355</f>
        <v/>
      </c>
      <c r="Q488" s="56">
        <f>B488/29</f>
        <v/>
      </c>
      <c r="T488" s="5" t="n">
        <v>1999.524</v>
      </c>
      <c r="U488" s="5" t="n">
        <v>86.46599999999999</v>
      </c>
      <c r="V488" s="5" t="n">
        <v>1469.241</v>
      </c>
      <c r="W488" s="5" t="n">
        <v>1428.523</v>
      </c>
      <c r="Y488" s="5" t="n">
        <v>1410.035</v>
      </c>
      <c r="Z488" s="5" t="n">
        <v>324.842</v>
      </c>
      <c r="AA488" s="5" t="n">
        <v>1085.193</v>
      </c>
      <c r="AB488" s="5" t="n">
        <v>1996.747</v>
      </c>
      <c r="AC488" s="5" t="n">
        <v>947.485</v>
      </c>
      <c r="AD488" s="5" t="n">
        <v>380.051</v>
      </c>
      <c r="AE488" s="5" t="n">
        <v>586.194</v>
      </c>
    </row>
    <row r="489" ht="13.5" customHeight="1">
      <c r="A489" s="6" t="n">
        <v>43891</v>
      </c>
      <c r="B489" s="8" t="n">
        <v>181.374</v>
      </c>
      <c r="C489" s="8" t="n">
        <v>4269.012</v>
      </c>
      <c r="D489" s="8" t="n">
        <v>2096.022</v>
      </c>
      <c r="E489" s="12">
        <f>(C489*2)/B489</f>
        <v/>
      </c>
      <c r="F489" s="12">
        <f>D489/B489</f>
        <v/>
      </c>
      <c r="G489" s="8" t="n">
        <v>973.741</v>
      </c>
      <c r="H489" s="8" t="n">
        <v>1898.862</v>
      </c>
      <c r="J489" s="8">
        <f>soy_crush!D63-B489</f>
        <v/>
      </c>
      <c r="K489" s="13">
        <f>J489/B489</f>
        <v/>
      </c>
      <c r="M489" s="14" t="n">
        <v>6.011461290322582</v>
      </c>
      <c r="N489" s="15">
        <f>M489*355</f>
        <v/>
      </c>
      <c r="Q489" s="56">
        <f>B489/31</f>
        <v/>
      </c>
      <c r="T489" s="5" t="n">
        <v>2201.068</v>
      </c>
      <c r="U489" s="5" t="n">
        <v>107.897</v>
      </c>
      <c r="V489" s="5" t="n">
        <v>1634.117</v>
      </c>
      <c r="W489" s="5" t="n">
        <v>1596.738</v>
      </c>
      <c r="Y489" s="5" t="n">
        <v>1583.459</v>
      </c>
      <c r="Z489" s="5" t="n">
        <v>401.147</v>
      </c>
      <c r="AA489" s="5" t="n">
        <v>1182.312</v>
      </c>
      <c r="AB489" s="5" t="n">
        <v>1933.648</v>
      </c>
      <c r="AC489" s="5" t="n">
        <v>856.124</v>
      </c>
      <c r="AD489" s="5" t="n">
        <v>392.946</v>
      </c>
      <c r="AE489" s="5" t="n">
        <v>670.059</v>
      </c>
    </row>
    <row r="490" ht="13.5" customHeight="1">
      <c r="A490" s="6" t="n">
        <v>43922</v>
      </c>
      <c r="B490" s="8" t="n">
        <v>171.754</v>
      </c>
      <c r="C490" s="8" t="n">
        <v>4045.237</v>
      </c>
      <c r="D490" s="8" t="n">
        <v>1986.073</v>
      </c>
      <c r="E490" s="12">
        <f>(C490*2)/B490</f>
        <v/>
      </c>
      <c r="F490" s="12">
        <f>D490/B490</f>
        <v/>
      </c>
      <c r="G490" s="8" t="n">
        <v>890.931</v>
      </c>
      <c r="H490" s="8" t="n">
        <v>2110.832</v>
      </c>
      <c r="J490" s="8">
        <f>soy_crush!D64-B490</f>
        <v/>
      </c>
      <c r="K490" s="13">
        <f>J490/B490</f>
        <v/>
      </c>
      <c r="M490" s="14" t="n">
        <v>6.011461290322582</v>
      </c>
      <c r="N490" s="15">
        <f>M490*355</f>
        <v/>
      </c>
      <c r="Q490" s="56">
        <f>B490/30</f>
        <v/>
      </c>
      <c r="T490" s="5" t="n">
        <v>2099.465</v>
      </c>
      <c r="U490" s="5" t="n">
        <v>117.421</v>
      </c>
      <c r="V490" s="5" t="n">
        <v>1288.755</v>
      </c>
      <c r="W490" s="5" t="n">
        <v>1261.415</v>
      </c>
      <c r="Y490" s="5" t="n">
        <v>1277.068</v>
      </c>
      <c r="Z490" s="5" t="n">
        <v>352.131</v>
      </c>
      <c r="AA490" s="5" t="n">
        <v>924.937</v>
      </c>
      <c r="AB490" s="5" t="n">
        <v>2223.538</v>
      </c>
      <c r="AC490" s="5" t="n">
        <v>939.273</v>
      </c>
      <c r="AD490" s="5" t="n">
        <v>377.063</v>
      </c>
      <c r="AE490" s="5" t="n">
        <v>840.919</v>
      </c>
    </row>
    <row r="491" ht="13.5" customHeight="1">
      <c r="A491" s="6" t="n">
        <v>43952</v>
      </c>
      <c r="B491" s="8" t="n">
        <v>169.584</v>
      </c>
      <c r="C491" s="8" t="n">
        <v>3994.597</v>
      </c>
      <c r="D491" s="8" t="n">
        <v>1957.584</v>
      </c>
      <c r="E491" s="12">
        <f>(C491*2)/B491</f>
        <v/>
      </c>
      <c r="F491" s="12">
        <f>D491/B491</f>
        <v/>
      </c>
      <c r="G491" s="8" t="n">
        <v>776.677</v>
      </c>
      <c r="H491" s="8" t="n">
        <v>1880.225</v>
      </c>
      <c r="J491" s="8">
        <f>soy_crush!D65-B491</f>
        <v/>
      </c>
      <c r="K491" s="13">
        <f>J491/B491</f>
        <v/>
      </c>
      <c r="M491" s="14" t="n">
        <v>6.132461290322581</v>
      </c>
      <c r="N491" s="15">
        <f>M491*355</f>
        <v/>
      </c>
      <c r="Q491" s="56">
        <f>B491/31</f>
        <v/>
      </c>
      <c r="T491" s="5" t="n">
        <v>2057.617</v>
      </c>
      <c r="V491" s="5" t="n">
        <v>1570.271</v>
      </c>
      <c r="W491" s="5" t="n">
        <v>1532.758</v>
      </c>
      <c r="Y491" s="5" t="n">
        <v>1513.117</v>
      </c>
      <c r="Z491" s="5" t="n">
        <v>439.245</v>
      </c>
      <c r="AA491" s="5" t="n">
        <v>1073.872</v>
      </c>
      <c r="AB491" s="5" t="n">
        <v>2048.938</v>
      </c>
      <c r="AC491" s="5" t="n">
        <v>875.53</v>
      </c>
      <c r="AD491" s="5" t="n">
        <v>396.477</v>
      </c>
      <c r="AE491" s="5" t="n">
        <v>742.063</v>
      </c>
    </row>
    <row r="492" ht="13.5" customHeight="1">
      <c r="A492" s="6" t="n">
        <v>43983</v>
      </c>
      <c r="B492" s="8" t="n">
        <v>167.263</v>
      </c>
      <c r="C492" s="8" t="n">
        <v>3935.835</v>
      </c>
      <c r="D492" s="8" t="n">
        <v>1933.411</v>
      </c>
      <c r="E492" s="12">
        <f>(C492*2)/B492</f>
        <v/>
      </c>
      <c r="F492" s="12">
        <f>D492/B492</f>
        <v/>
      </c>
      <c r="G492" s="8" t="n">
        <v>835.403</v>
      </c>
      <c r="H492" s="8" t="n">
        <v>1777.696</v>
      </c>
      <c r="J492" s="8">
        <f>soy_crush!D66-B492</f>
        <v/>
      </c>
      <c r="K492" s="13">
        <f>J492/B492</f>
        <v/>
      </c>
      <c r="M492" s="14" t="n">
        <v>6.132461290322581</v>
      </c>
      <c r="N492" s="15">
        <f>M492*355</f>
        <v/>
      </c>
      <c r="Q492" s="56">
        <f>B492/30</f>
        <v/>
      </c>
      <c r="T492" s="5" t="n">
        <v>2035.269</v>
      </c>
      <c r="V492" s="5" t="n">
        <v>1602.012</v>
      </c>
      <c r="W492" s="5" t="n">
        <v>1567.576</v>
      </c>
      <c r="Y492" s="5" t="n">
        <v>1622.194</v>
      </c>
      <c r="Z492" s="5" t="n">
        <v>453.019</v>
      </c>
      <c r="AA492" s="5" t="n">
        <v>1169.175</v>
      </c>
      <c r="AB492" s="5" t="n">
        <v>1925.728</v>
      </c>
      <c r="AC492" s="5" t="n">
        <v>773.306</v>
      </c>
      <c r="AD492" s="5" t="n">
        <v>345.083</v>
      </c>
      <c r="AE492" s="5" t="n">
        <v>701.4450000000001</v>
      </c>
    </row>
    <row r="493" ht="13.5" customHeight="1">
      <c r="A493" s="6" t="n">
        <v>44013</v>
      </c>
      <c r="B493" s="8" t="n">
        <v>172.794</v>
      </c>
      <c r="C493" s="8" t="n">
        <v>4079.503</v>
      </c>
      <c r="D493" s="8" t="n">
        <v>2004.906</v>
      </c>
      <c r="E493" s="12">
        <f>(C493*2)/B493</f>
        <v/>
      </c>
      <c r="F493" s="12">
        <f>D493/B493</f>
        <v/>
      </c>
      <c r="G493" s="8" t="n">
        <v>876.159</v>
      </c>
      <c r="H493" s="8" t="n">
        <v>1618.954</v>
      </c>
      <c r="J493" s="8">
        <f>soy_crush!D67-B493</f>
        <v/>
      </c>
      <c r="K493" s="13">
        <f>J493/B493</f>
        <v/>
      </c>
      <c r="M493" s="14" t="n">
        <v>6.132461290322581</v>
      </c>
      <c r="N493" s="15">
        <f>M493*355</f>
        <v/>
      </c>
      <c r="Q493" s="56">
        <f>B493/31</f>
        <v/>
      </c>
      <c r="T493" s="5" t="n">
        <v>2122.758</v>
      </c>
      <c r="U493" s="5" t="n">
        <v>116.577</v>
      </c>
      <c r="V493" s="5" t="n">
        <v>1712.925</v>
      </c>
      <c r="W493" s="5" t="n">
        <v>1667.551</v>
      </c>
      <c r="Y493" s="5" t="n">
        <v>1667.696</v>
      </c>
      <c r="Z493" s="5" t="n">
        <v>480.809</v>
      </c>
      <c r="AA493" s="5" t="n">
        <v>1186.887</v>
      </c>
      <c r="AB493" s="5" t="n">
        <v>1776.46</v>
      </c>
      <c r="AC493" s="5" t="n">
        <v>729.374</v>
      </c>
      <c r="AD493" s="5" t="n">
        <v>346.764</v>
      </c>
      <c r="AE493" s="5" t="n">
        <v>666.146</v>
      </c>
    </row>
    <row r="494" ht="13.5" customHeight="1">
      <c r="A494" s="6" t="n">
        <v>44044</v>
      </c>
      <c r="B494" s="8" t="n">
        <v>165.055</v>
      </c>
      <c r="C494" s="8" t="n">
        <v>3884.013</v>
      </c>
      <c r="D494" s="8" t="n">
        <v>1914.848</v>
      </c>
      <c r="E494" s="12">
        <f>(C494*2)/B494</f>
        <v/>
      </c>
      <c r="F494" s="12">
        <f>D494/B494</f>
        <v/>
      </c>
      <c r="G494" s="8" t="n">
        <v>754.634</v>
      </c>
      <c r="H494" s="8" t="n">
        <v>1518.51</v>
      </c>
      <c r="J494" s="8">
        <f>soy_crush!D68-B494</f>
        <v/>
      </c>
      <c r="K494" s="13">
        <f>J494/B494</f>
        <v/>
      </c>
      <c r="M494" s="14" t="n">
        <v>6.132461290322581</v>
      </c>
      <c r="N494" s="15">
        <f>M494*355</f>
        <v/>
      </c>
      <c r="Q494" s="56">
        <f>B494/31</f>
        <v/>
      </c>
      <c r="T494" s="5" t="n">
        <v>2012.823</v>
      </c>
      <c r="U494" s="5" t="n">
        <v>119.84</v>
      </c>
      <c r="V494" s="5" t="n">
        <v>1682.55</v>
      </c>
      <c r="W494" s="5" t="n">
        <v>1639.547</v>
      </c>
      <c r="Y494" s="5" t="n">
        <v>1610.021</v>
      </c>
      <c r="Z494" s="5" t="n">
        <v>472.137</v>
      </c>
      <c r="AA494" s="5" t="n">
        <v>1137.884</v>
      </c>
      <c r="AB494" s="5" t="n">
        <v>1575.628</v>
      </c>
      <c r="AC494" s="5" t="n">
        <v>656.302</v>
      </c>
      <c r="AD494" s="5" t="n">
        <v>369.479</v>
      </c>
      <c r="AE494" s="5" t="n">
        <v>596.798</v>
      </c>
    </row>
    <row r="495" ht="13.5" customHeight="1">
      <c r="A495" s="6" t="n">
        <v>44075</v>
      </c>
      <c r="B495" s="8" t="n">
        <v>161.491</v>
      </c>
      <c r="C495" s="8" t="n">
        <v>3788.353</v>
      </c>
      <c r="D495" s="8" t="n">
        <v>1873.245</v>
      </c>
      <c r="E495" s="12">
        <f>(C495*2)/B495</f>
        <v/>
      </c>
      <c r="F495" s="12">
        <f>D495/B495</f>
        <v/>
      </c>
      <c r="G495" s="8" t="n">
        <v>991.134</v>
      </c>
      <c r="H495" s="8" t="n">
        <v>1433.294</v>
      </c>
      <c r="J495" s="8">
        <f>soy_crush!D69-B495</f>
        <v/>
      </c>
      <c r="K495" s="13">
        <f>J495/B495</f>
        <v/>
      </c>
      <c r="M495" s="14" t="n">
        <v>6.132461290322581</v>
      </c>
      <c r="N495" s="15">
        <f>M495*355</f>
        <v/>
      </c>
      <c r="Q495" s="56">
        <f>B495/30</f>
        <v/>
      </c>
      <c r="T495" s="5" t="n">
        <v>1967.621</v>
      </c>
      <c r="U495" s="5" t="n">
        <v>134.972</v>
      </c>
      <c r="V495" s="5" t="n">
        <v>1576.908</v>
      </c>
      <c r="W495" s="5" t="n">
        <v>1540.809</v>
      </c>
      <c r="Y495" s="5" t="n">
        <v>1564.674</v>
      </c>
      <c r="Z495" s="5" t="n">
        <v>453.209</v>
      </c>
      <c r="AA495" s="5" t="n">
        <v>1111.465</v>
      </c>
      <c r="AB495" s="5" t="n">
        <v>1507.489</v>
      </c>
      <c r="AC495" s="5" t="n">
        <v>604.951</v>
      </c>
      <c r="AD495" s="5" t="n">
        <v>345.186</v>
      </c>
      <c r="AE495" s="5" t="n">
        <v>574.402</v>
      </c>
    </row>
    <row r="496" ht="13.5" customHeight="1">
      <c r="A496" s="6" t="n">
        <v>44105</v>
      </c>
      <c r="B496" s="8" t="n">
        <v>185.245</v>
      </c>
      <c r="C496" s="8" t="n">
        <v>4348.71</v>
      </c>
      <c r="D496" s="8" t="n">
        <v>2161.851</v>
      </c>
      <c r="E496" s="12">
        <f>(C496*2)/B496</f>
        <v/>
      </c>
      <c r="F496" s="12">
        <f>D496/B496</f>
        <v/>
      </c>
      <c r="G496" s="8" t="n">
        <v>945.835</v>
      </c>
      <c r="H496" s="8" t="n">
        <v>1487.332</v>
      </c>
      <c r="J496" s="8">
        <f>soy_crush!D70-B496</f>
        <v/>
      </c>
      <c r="K496" s="13">
        <f>J496/B496</f>
        <v/>
      </c>
      <c r="M496" s="14" t="n">
        <v>6.132461290322581</v>
      </c>
      <c r="N496" s="15">
        <f>M496*355</f>
        <v/>
      </c>
      <c r="Q496" s="56">
        <f>B496/31</f>
        <v/>
      </c>
      <c r="T496" s="5" t="n">
        <v>2282.471</v>
      </c>
      <c r="U496" s="5" t="n">
        <v>113.41</v>
      </c>
      <c r="V496" s="5" t="n">
        <v>1692.858</v>
      </c>
      <c r="W496" s="5" t="n">
        <v>1650.706</v>
      </c>
      <c r="Y496" s="5" t="n">
        <v>1595.129</v>
      </c>
      <c r="Z496" s="5" t="n">
        <v>435.185</v>
      </c>
      <c r="AA496" s="5" t="n">
        <v>1159.944</v>
      </c>
      <c r="AB496" s="5" t="n">
        <v>1568.464</v>
      </c>
      <c r="AC496" s="5" t="n">
        <v>693.17</v>
      </c>
      <c r="AD496" s="5" t="n">
        <v>399.547</v>
      </c>
      <c r="AE496" s="5" t="n">
        <v>586.955</v>
      </c>
    </row>
    <row r="497" ht="13.5" customHeight="1">
      <c r="A497" s="6" t="n">
        <v>44136</v>
      </c>
      <c r="B497" s="8" t="n">
        <v>181.018</v>
      </c>
      <c r="C497" s="8" t="n">
        <v>4281.854</v>
      </c>
      <c r="D497" s="8" t="n">
        <v>2104.975</v>
      </c>
      <c r="E497" s="12">
        <f>(C497*2)/B497</f>
        <v/>
      </c>
      <c r="F497" s="12">
        <f>D497/B497</f>
        <v/>
      </c>
      <c r="G497" s="8" t="n">
        <v>1081.653</v>
      </c>
      <c r="H497" s="8" t="n">
        <v>1557.83</v>
      </c>
      <c r="J497" s="8">
        <f>soy_crush!D71-B497</f>
        <v/>
      </c>
      <c r="K497" s="13">
        <f>J497/B497</f>
        <v/>
      </c>
      <c r="M497" s="14" t="n">
        <v>6.132461290322581</v>
      </c>
      <c r="N497" s="15">
        <f>M497*355</f>
        <v/>
      </c>
      <c r="Q497" s="56">
        <f>B497/30</f>
        <v/>
      </c>
      <c r="T497" s="5" t="n">
        <v>2206.792</v>
      </c>
      <c r="U497" s="5" t="n">
        <v>135.477</v>
      </c>
      <c r="V497" s="5" t="n">
        <v>1617.081</v>
      </c>
      <c r="W497" s="5" t="n">
        <v>1580.598</v>
      </c>
      <c r="Y497" s="5" t="n">
        <v>1547.094</v>
      </c>
      <c r="Z497" s="5" t="n">
        <v>474.689</v>
      </c>
      <c r="AA497" s="5" t="n">
        <v>1072.405</v>
      </c>
      <c r="AB497" s="5" t="n">
        <v>1684.535</v>
      </c>
      <c r="AC497" s="5" t="n">
        <v>759.569</v>
      </c>
      <c r="AD497" s="5" t="n">
        <v>432.562</v>
      </c>
      <c r="AE497" s="5" t="n">
        <v>657.713</v>
      </c>
    </row>
    <row r="498" ht="13.5" customHeight="1">
      <c r="A498" s="6" t="n">
        <v>44166</v>
      </c>
      <c r="B498" s="8" t="n">
        <v>183.159</v>
      </c>
      <c r="C498" s="8" t="n">
        <v>4303.754</v>
      </c>
      <c r="D498" s="8" t="n">
        <v>2122.365</v>
      </c>
      <c r="E498" s="12">
        <f>(C498*2)/B498</f>
        <v/>
      </c>
      <c r="F498" s="12">
        <f>D498/B498</f>
        <v/>
      </c>
      <c r="G498" s="8" t="n">
        <v>1037.303</v>
      </c>
      <c r="H498" s="8" t="n">
        <v>1698.752</v>
      </c>
      <c r="J498" s="8">
        <f>soy_crush!D72-B498</f>
        <v/>
      </c>
      <c r="K498" s="13">
        <f>J498/B498</f>
        <v/>
      </c>
      <c r="M498" s="14" t="n">
        <v>6.132461290322581</v>
      </c>
      <c r="N498" s="15">
        <f>M498*355</f>
        <v/>
      </c>
      <c r="Q498" s="56">
        <f>B498/31</f>
        <v/>
      </c>
      <c r="T498" s="5" t="n">
        <v>2233.486</v>
      </c>
      <c r="U498" s="5" t="n">
        <v>148.651</v>
      </c>
      <c r="V498" s="5" t="n">
        <v>1614.33</v>
      </c>
      <c r="W498" s="5" t="n">
        <v>1576.008</v>
      </c>
      <c r="Y498" s="5" t="n">
        <v>1614.446</v>
      </c>
      <c r="Z498" s="5" t="n">
        <v>495.786</v>
      </c>
      <c r="AA498" s="5" t="n">
        <v>1118.66</v>
      </c>
      <c r="AB498" s="5" t="n">
        <v>1717.305</v>
      </c>
      <c r="AC498" s="5" t="n">
        <v>781.381</v>
      </c>
      <c r="AD498" s="5" t="n">
        <v>393.481</v>
      </c>
      <c r="AE498" s="5" t="n">
        <v>658.434</v>
      </c>
    </row>
    <row r="499" ht="13.5" customHeight="1">
      <c r="A499" s="6" t="n">
        <v>44197</v>
      </c>
      <c r="B499" s="8" t="n">
        <v>184.654</v>
      </c>
      <c r="C499" s="8" t="n">
        <v>4379.11</v>
      </c>
      <c r="D499" s="8" t="n">
        <v>2173.407</v>
      </c>
      <c r="E499" s="12">
        <f>(C499*2)/B499</f>
        <v/>
      </c>
      <c r="F499" s="12">
        <f>D499/B499</f>
        <v/>
      </c>
      <c r="G499" s="8" t="n">
        <v>969.353</v>
      </c>
      <c r="H499" s="8" t="n">
        <v>1798.886</v>
      </c>
      <c r="J499" s="8">
        <f>soy_crush!D73-B499</f>
        <v/>
      </c>
      <c r="K499" s="13">
        <f>J499/B499</f>
        <v/>
      </c>
      <c r="M499" s="14" t="n">
        <v>6.132461290322581</v>
      </c>
      <c r="N499" s="15">
        <f>M499*355</f>
        <v/>
      </c>
      <c r="Q499" s="56">
        <f>B499/31</f>
        <v/>
      </c>
      <c r="T499" s="5" t="n">
        <v>2308.752</v>
      </c>
      <c r="U499" s="5" t="n">
        <v>109.089</v>
      </c>
      <c r="V499" s="5" t="n">
        <v>1620.678</v>
      </c>
      <c r="W499" s="5" t="n">
        <v>1587.925</v>
      </c>
      <c r="Y499" s="5" t="n">
        <v>1559.029</v>
      </c>
      <c r="Z499" s="5" t="n">
        <v>411.871</v>
      </c>
      <c r="AA499" s="5" t="n">
        <v>1147.158</v>
      </c>
      <c r="AB499" s="5" t="n">
        <v>1882.069</v>
      </c>
      <c r="AC499" s="5" t="n">
        <v>915.444</v>
      </c>
      <c r="AD499" s="5" t="n">
        <v>423.922</v>
      </c>
      <c r="AE499" s="5" t="n">
        <v>678.736</v>
      </c>
    </row>
    <row r="500" ht="13.5" customHeight="1">
      <c r="A500" s="6" t="n">
        <v>44228</v>
      </c>
      <c r="B500" s="8" t="n">
        <v>155.158</v>
      </c>
      <c r="C500" s="8" t="n">
        <v>3696.184</v>
      </c>
      <c r="D500" s="8" t="n">
        <v>1815.569</v>
      </c>
      <c r="E500" s="12">
        <f>(C500*2)/B500</f>
        <v/>
      </c>
      <c r="F500" s="12">
        <f>D500/B500</f>
        <v/>
      </c>
      <c r="G500" s="8" t="n">
        <v>837.8150000000001</v>
      </c>
      <c r="H500" s="8" t="n">
        <v>1757.321</v>
      </c>
      <c r="J500" s="8">
        <f>soy_crush!D74-B500</f>
        <v/>
      </c>
      <c r="K500" s="13">
        <f>J500/B500</f>
        <v/>
      </c>
      <c r="M500" s="14" t="n">
        <v>6.132461290322581</v>
      </c>
      <c r="N500" s="15">
        <f>M500*355</f>
        <v/>
      </c>
      <c r="Q500" s="56">
        <f>B500/28</f>
        <v/>
      </c>
      <c r="T500" s="5" t="n">
        <v>1924.749</v>
      </c>
      <c r="U500" s="5" t="n">
        <v>90.729</v>
      </c>
      <c r="V500" s="5" t="n">
        <v>1473.714</v>
      </c>
      <c r="W500" s="5" t="n">
        <v>1444.542</v>
      </c>
      <c r="Y500" s="5" t="n">
        <v>1435.783</v>
      </c>
      <c r="Z500" s="5" t="n">
        <v>335.89</v>
      </c>
      <c r="AA500" s="5" t="n">
        <v>1099.893</v>
      </c>
      <c r="AB500" s="5" t="n">
        <v>1870.825</v>
      </c>
      <c r="AC500" s="5" t="n">
        <v>953.4640000000001</v>
      </c>
      <c r="AD500" s="5" t="n">
        <v>435.163</v>
      </c>
      <c r="AE500" s="5" t="n">
        <v>623.705</v>
      </c>
    </row>
    <row r="501" ht="13.5" customHeight="1">
      <c r="A501" s="6" t="n">
        <v>44256</v>
      </c>
      <c r="B501" s="8" t="n">
        <v>177.984</v>
      </c>
      <c r="C501" s="8" t="n">
        <v>4233.081</v>
      </c>
      <c r="D501" s="8" t="n">
        <v>2106.774</v>
      </c>
      <c r="E501" s="12">
        <f>(C501*2)/B501</f>
        <v/>
      </c>
      <c r="F501" s="12">
        <f>D501/B501</f>
        <v/>
      </c>
      <c r="G501" s="8" t="n">
        <v>937.023</v>
      </c>
      <c r="H501" s="8" t="n">
        <v>1771.081</v>
      </c>
      <c r="J501" s="8">
        <f>soy_crush!D75-B501</f>
        <v/>
      </c>
      <c r="K501" s="13">
        <f>J501/B501</f>
        <v/>
      </c>
      <c r="M501" s="14" t="n">
        <v>6.229461290322582</v>
      </c>
      <c r="N501" s="15">
        <f>M501*355</f>
        <v/>
      </c>
      <c r="Q501" s="56">
        <f>B501/31</f>
        <v/>
      </c>
      <c r="T501" s="5" t="n">
        <v>2222.123</v>
      </c>
      <c r="U501" s="5" t="n">
        <v>168.184</v>
      </c>
      <c r="V501" s="5" t="n">
        <v>1799.682</v>
      </c>
      <c r="W501" s="5" t="n">
        <v>1756.293</v>
      </c>
      <c r="Y501" s="5" t="n">
        <v>1809.582</v>
      </c>
      <c r="Z501" s="5" t="n">
        <v>546.729</v>
      </c>
      <c r="AA501" s="5" t="n">
        <v>1262.853</v>
      </c>
      <c r="AB501" s="5" t="n">
        <v>1864.1</v>
      </c>
      <c r="AC501" s="5" t="n">
        <v>881.3630000000001</v>
      </c>
      <c r="AD501" s="5" t="n">
        <v>381.178</v>
      </c>
      <c r="AE501" s="5" t="n">
        <v>698.982</v>
      </c>
    </row>
    <row r="502" ht="13.5" customHeight="1">
      <c r="A502" s="6" t="n">
        <v>44287</v>
      </c>
      <c r="B502" s="8" t="n">
        <v>160.31</v>
      </c>
      <c r="C502" s="8" t="n">
        <v>3818.779</v>
      </c>
      <c r="D502" s="8" t="n">
        <v>1890.421</v>
      </c>
      <c r="E502" s="12">
        <f>(C502*2)/B502</f>
        <v/>
      </c>
      <c r="F502" s="12">
        <f>D502/B502</f>
        <v/>
      </c>
      <c r="G502" s="8" t="n">
        <v>689.441</v>
      </c>
      <c r="H502" s="8" t="n">
        <v>1702.265</v>
      </c>
      <c r="J502" s="8">
        <f>soy_crush!D76-B502</f>
        <v/>
      </c>
      <c r="K502" s="13">
        <f>J502/B502</f>
        <v/>
      </c>
      <c r="M502" s="14" t="n">
        <v>6.229461290322582</v>
      </c>
      <c r="N502" s="15">
        <f>M502*355</f>
        <v/>
      </c>
      <c r="Q502" s="56">
        <f>B502/30</f>
        <v/>
      </c>
      <c r="T502" s="5" t="n">
        <v>1991.877</v>
      </c>
      <c r="U502" s="5" t="n">
        <v>107.443</v>
      </c>
      <c r="V502" s="5" t="n">
        <v>1678.886</v>
      </c>
      <c r="W502" s="5" t="n">
        <v>1642.251</v>
      </c>
      <c r="Y502" s="5" t="n">
        <v>1664.176</v>
      </c>
      <c r="Z502" s="5" t="n">
        <v>449.035</v>
      </c>
      <c r="AA502" s="5" t="n">
        <v>1215.141</v>
      </c>
      <c r="AB502" s="5" t="n">
        <v>1814.888</v>
      </c>
      <c r="AC502" s="5" t="n">
        <v>945.718</v>
      </c>
      <c r="AD502" s="5" t="n">
        <v>362.7</v>
      </c>
      <c r="AE502" s="5" t="n">
        <v>604.446</v>
      </c>
    </row>
    <row r="503" ht="13.5" customHeight="1">
      <c r="A503" s="6" t="n">
        <v>44317</v>
      </c>
      <c r="B503" s="8" t="n">
        <v>163.521</v>
      </c>
      <c r="C503" s="8" t="n">
        <v>3894.347</v>
      </c>
      <c r="D503" s="8" t="n">
        <v>1932.056</v>
      </c>
      <c r="E503" s="12">
        <f>(C503*2)/B503</f>
        <v/>
      </c>
      <c r="F503" s="12">
        <f>D503/B503</f>
        <v/>
      </c>
      <c r="G503" s="8" t="n">
        <v>714.377</v>
      </c>
      <c r="H503" s="8" t="n">
        <v>1670.55</v>
      </c>
      <c r="J503" s="8">
        <f>soy_crush!D77-B503</f>
        <v/>
      </c>
      <c r="K503" s="13">
        <f>J503/B503</f>
        <v/>
      </c>
      <c r="M503" s="14" t="n">
        <v>6.229461290322582</v>
      </c>
      <c r="N503" s="15">
        <f>M503*355</f>
        <v/>
      </c>
      <c r="Q503" s="56">
        <f>B503/31</f>
        <v/>
      </c>
      <c r="T503" s="5" t="n">
        <v>2043.135</v>
      </c>
      <c r="U503" s="5" t="n">
        <v>102.003</v>
      </c>
      <c r="V503" s="5" t="n">
        <v>1752.28</v>
      </c>
      <c r="W503" s="5" t="n">
        <v>1711.86</v>
      </c>
      <c r="Y503" s="5" t="n">
        <v>1649.497</v>
      </c>
      <c r="Z503" s="5" t="n">
        <v>427.409</v>
      </c>
      <c r="AA503" s="5" t="n">
        <v>1222.088</v>
      </c>
      <c r="AB503" s="5" t="n">
        <v>1721.223</v>
      </c>
      <c r="AC503" s="5" t="n">
        <v>893.077</v>
      </c>
      <c r="AD503" s="5" t="n">
        <v>425.765</v>
      </c>
      <c r="AE503" s="5" t="n">
        <v>579.842</v>
      </c>
    </row>
    <row r="504" ht="13.5" customHeight="1">
      <c r="A504" s="6" t="n">
        <v>44348</v>
      </c>
      <c r="B504" s="8" t="n">
        <v>152.41</v>
      </c>
      <c r="C504" s="8" t="n">
        <v>3616.536</v>
      </c>
      <c r="D504" s="8" t="n">
        <v>1797.907</v>
      </c>
      <c r="E504" s="12">
        <f>(C504*2)/B504</f>
        <v/>
      </c>
      <c r="F504" s="12">
        <f>D504/B504</f>
        <v/>
      </c>
      <c r="G504" s="8" t="n">
        <v>714.729</v>
      </c>
      <c r="H504" s="8" t="n">
        <v>1537.285</v>
      </c>
      <c r="J504" s="8">
        <f>soy_crush!D78-B504</f>
        <v/>
      </c>
      <c r="K504" s="13">
        <f>J504/B504</f>
        <v/>
      </c>
      <c r="M504" s="14" t="n">
        <v>6.229461290322582</v>
      </c>
      <c r="N504" s="15">
        <f>M504*355</f>
        <v/>
      </c>
      <c r="Q504" s="56">
        <f>B504/30</f>
        <v/>
      </c>
      <c r="T504" s="5" t="n">
        <v>1908.649</v>
      </c>
      <c r="U504" s="5" t="n">
        <v>144.54</v>
      </c>
      <c r="V504" s="5" t="n">
        <v>1639.231</v>
      </c>
      <c r="W504" s="5" t="n">
        <v>1599.354</v>
      </c>
      <c r="Y504" s="5" t="n">
        <v>1608.391</v>
      </c>
      <c r="Z504" s="5" t="n">
        <v>392.336</v>
      </c>
      <c r="AA504" s="5" t="n">
        <v>1216.055</v>
      </c>
      <c r="AB504" s="5" t="n">
        <v>1682.521</v>
      </c>
      <c r="AC504" s="5" t="n">
        <v>831.496</v>
      </c>
      <c r="AD504" s="5" t="n">
        <v>418.133</v>
      </c>
      <c r="AE504" s="5" t="n">
        <v>560.3440000000001</v>
      </c>
    </row>
    <row r="505" ht="13.5" customHeight="1">
      <c r="A505" s="6" t="n">
        <v>44378</v>
      </c>
      <c r="B505" s="8" t="n">
        <v>155.105</v>
      </c>
      <c r="C505" s="8" t="n">
        <v>3699.33</v>
      </c>
      <c r="D505" s="8" t="n">
        <v>1835.01</v>
      </c>
      <c r="E505" s="12">
        <f>(C505*2)/B505</f>
        <v/>
      </c>
      <c r="F505" s="12">
        <f>D505/B505</f>
        <v/>
      </c>
      <c r="G505" s="8" t="n">
        <v>719.508</v>
      </c>
      <c r="H505" s="8" t="n">
        <v>1616.803</v>
      </c>
      <c r="J505" s="8">
        <f>soy_crush!D79-B505</f>
        <v/>
      </c>
      <c r="K505" s="13">
        <f>J505/B505</f>
        <v/>
      </c>
      <c r="M505" s="14" t="n">
        <v>6.229461290322582</v>
      </c>
      <c r="N505" s="15">
        <f>M505*355</f>
        <v/>
      </c>
      <c r="Q505" s="56">
        <f>B505/31</f>
        <v/>
      </c>
      <c r="T505" s="5" t="n">
        <v>1972.688</v>
      </c>
      <c r="U505" s="5" t="n">
        <v>117.57</v>
      </c>
      <c r="V505" s="5" t="n">
        <v>1615.578</v>
      </c>
      <c r="W505" s="5" t="n">
        <v>1580.058</v>
      </c>
      <c r="Y505" s="5" t="n">
        <v>1600.617</v>
      </c>
      <c r="Z505" s="5" t="n">
        <v>392.5</v>
      </c>
      <c r="AA505" s="5" t="n">
        <v>1208.117</v>
      </c>
      <c r="AB505" s="5" t="n">
        <v>1671.358</v>
      </c>
      <c r="AC505" s="5" t="n">
        <v>822.597</v>
      </c>
      <c r="AD505" s="5" t="n">
        <v>398.753</v>
      </c>
      <c r="AE505" s="5" t="n">
        <v>585.905</v>
      </c>
    </row>
    <row r="506" ht="13.5" customHeight="1">
      <c r="A506" s="6" t="n">
        <v>44409</v>
      </c>
      <c r="B506" s="8" t="n">
        <v>158.843</v>
      </c>
      <c r="C506" s="8" t="n">
        <v>3775.327</v>
      </c>
      <c r="D506" s="8" t="n">
        <v>1873.366</v>
      </c>
      <c r="E506" s="12">
        <f>(C506*2)/B506</f>
        <v/>
      </c>
      <c r="F506" s="12">
        <f>D506/B506</f>
        <v/>
      </c>
      <c r="G506" s="8" t="n">
        <v>856.619</v>
      </c>
      <c r="H506" s="8" t="n">
        <v>1667.828</v>
      </c>
      <c r="J506" s="8">
        <f>soy_crush!D80-B506</f>
        <v/>
      </c>
      <c r="K506" s="13">
        <f>J506/B506</f>
        <v/>
      </c>
      <c r="M506" s="14" t="n">
        <v>6.229461290322582</v>
      </c>
      <c r="N506" s="15">
        <f>M506*355</f>
        <v/>
      </c>
      <c r="Q506" s="56">
        <f>B506/31</f>
        <v/>
      </c>
      <c r="T506" s="5" t="n">
        <v>1989.733</v>
      </c>
      <c r="U506" s="5" t="n">
        <v>109.209</v>
      </c>
      <c r="V506" s="5" t="n">
        <v>1670.68</v>
      </c>
      <c r="W506" s="5" t="n">
        <v>1629.162</v>
      </c>
      <c r="Y506" s="5" t="n">
        <v>1598.981</v>
      </c>
      <c r="Z506" s="5" t="n">
        <v>409.522</v>
      </c>
      <c r="AA506" s="5" t="n">
        <v>1189.459</v>
      </c>
      <c r="AB506" s="5" t="n">
        <v>1753.469</v>
      </c>
      <c r="AC506" s="5" t="n">
        <v>872.12</v>
      </c>
      <c r="AD506" s="5" t="n">
        <v>429.972</v>
      </c>
      <c r="AE506" s="5" t="n">
        <v>598.598</v>
      </c>
    </row>
    <row r="507" ht="13.5" customHeight="1">
      <c r="A507" s="6" t="n">
        <v>44440</v>
      </c>
      <c r="B507" s="8" t="n">
        <v>153.8</v>
      </c>
      <c r="C507" s="8" t="n">
        <v>3618.754</v>
      </c>
      <c r="D507" s="8" t="n">
        <v>1813.78</v>
      </c>
      <c r="E507" s="12">
        <f>(C507*2)/B507</f>
        <v/>
      </c>
      <c r="F507" s="12">
        <f>D507/B507</f>
        <v/>
      </c>
      <c r="G507" s="8" t="n">
        <v>603.545</v>
      </c>
      <c r="H507" s="8" t="n">
        <v>1684.147</v>
      </c>
      <c r="J507" s="8">
        <f>soy_crush!D81-B507</f>
        <v/>
      </c>
      <c r="K507" s="13">
        <f>J507/B507</f>
        <v/>
      </c>
      <c r="M507" s="14" t="n">
        <v>6.246461290322582</v>
      </c>
      <c r="N507" s="15">
        <f>M507*355</f>
        <v/>
      </c>
      <c r="Q507" s="56">
        <f>B507/30</f>
        <v/>
      </c>
      <c r="T507" s="5" t="n">
        <v>1938.212</v>
      </c>
      <c r="U507" s="5" t="n">
        <v>122.583</v>
      </c>
      <c r="V507" s="5" t="n">
        <v>1650.106</v>
      </c>
      <c r="W507" s="5" t="n">
        <v>1609.23</v>
      </c>
      <c r="Y507" s="5" t="n">
        <v>1651.189</v>
      </c>
      <c r="Z507" s="5" t="n">
        <v>393.803</v>
      </c>
      <c r="AA507" s="5" t="n">
        <v>1257.386</v>
      </c>
      <c r="AB507" s="5" t="n">
        <v>1741.589</v>
      </c>
      <c r="AC507" s="5" t="n">
        <v>841.384</v>
      </c>
      <c r="AD507" s="5" t="n">
        <v>389.644</v>
      </c>
      <c r="AE507" s="5" t="n">
        <v>632.842</v>
      </c>
    </row>
    <row r="508" ht="13.5" customHeight="1">
      <c r="A508" s="6" t="n">
        <v>44470</v>
      </c>
      <c r="B508" s="8" t="n">
        <v>183.993</v>
      </c>
      <c r="C508" s="8" t="n">
        <v>4288.928</v>
      </c>
      <c r="D508" s="8" t="n">
        <v>2187.337</v>
      </c>
      <c r="E508" s="12">
        <f>(C508*2)/B508</f>
        <v/>
      </c>
      <c r="F508" s="12">
        <f>D508/B508</f>
        <v/>
      </c>
      <c r="G508" s="8" t="n"/>
      <c r="H508" s="8" t="n">
        <v>1834.494</v>
      </c>
      <c r="J508" s="8">
        <f>soy_crush!D82-B508</f>
        <v/>
      </c>
      <c r="K508" s="13">
        <f>J508/B508</f>
        <v/>
      </c>
      <c r="M508" s="14" t="n">
        <v>6.311461290322582</v>
      </c>
      <c r="N508" s="15">
        <f>M508*355</f>
        <v/>
      </c>
      <c r="Q508" s="56">
        <f>B508/31</f>
        <v/>
      </c>
      <c r="T508" s="5" t="n">
        <v>2347.58</v>
      </c>
      <c r="U508" s="5" t="n">
        <v>142.927</v>
      </c>
      <c r="V508" s="5" t="n">
        <v>1772.253</v>
      </c>
      <c r="W508" s="5" t="n">
        <v>1731.222</v>
      </c>
      <c r="Y508" s="5" t="n">
        <v>1686.717</v>
      </c>
      <c r="Z508" s="5" t="n">
        <v>411.851</v>
      </c>
      <c r="AA508" s="5" t="n">
        <v>1274.866</v>
      </c>
      <c r="AB508" s="5" t="n">
        <v>1960.22</v>
      </c>
      <c r="AC508" s="5" t="n">
        <v>957.162</v>
      </c>
      <c r="AD508" s="5" t="n">
        <v>426.117</v>
      </c>
      <c r="AE508" s="5" t="n">
        <v>710.146</v>
      </c>
    </row>
    <row r="509" ht="13.5" customHeight="1">
      <c r="A509" s="6" t="n">
        <v>44501</v>
      </c>
      <c r="B509" s="8" t="n">
        <v>179.462</v>
      </c>
      <c r="C509" s="8" t="n">
        <v>4201.911</v>
      </c>
      <c r="D509" s="8" t="n">
        <v>2110.014</v>
      </c>
      <c r="E509" s="12">
        <f>(C509*2)/B509</f>
        <v/>
      </c>
      <c r="F509" s="12">
        <f>D509/B509</f>
        <v/>
      </c>
      <c r="G509" s="8" t="n"/>
      <c r="H509" s="8" t="n">
        <v>1832.2</v>
      </c>
      <c r="J509" s="8">
        <f>soy_crush!D83-B509</f>
        <v/>
      </c>
      <c r="K509" s="13">
        <f>J509/B509</f>
        <v/>
      </c>
      <c r="M509" s="14" t="n">
        <v>6.311461290322582</v>
      </c>
      <c r="N509" s="15">
        <f>M509*355</f>
        <v/>
      </c>
      <c r="Q509" s="56">
        <f>B509/30</f>
        <v/>
      </c>
      <c r="T509" s="5" t="n">
        <v>2235.37</v>
      </c>
      <c r="U509" s="5" t="n">
        <v>155.107</v>
      </c>
      <c r="V509" s="5" t="n">
        <v>1701.596</v>
      </c>
      <c r="W509" s="5" t="n">
        <v>1663.486</v>
      </c>
      <c r="Y509" s="5" t="n">
        <v>1625.636</v>
      </c>
      <c r="Z509" s="5" t="n">
        <v>424.352</v>
      </c>
      <c r="AA509" s="5" t="n">
        <v>1201.284</v>
      </c>
      <c r="AB509" s="5" t="n">
        <v>1940.772</v>
      </c>
      <c r="AC509" s="5" t="n">
        <v>937.3630000000001</v>
      </c>
      <c r="AD509" s="5" t="n">
        <v>465.191</v>
      </c>
      <c r="AE509" s="5" t="n">
        <v>665.34</v>
      </c>
    </row>
    <row r="510" ht="13.5" customHeight="1">
      <c r="A510" s="6" t="n">
        <v>44531</v>
      </c>
      <c r="B510" s="8" t="n">
        <v>186.438</v>
      </c>
      <c r="C510" s="8" t="n">
        <v>4357.42</v>
      </c>
      <c r="D510" s="8" t="n">
        <v>2191.553</v>
      </c>
      <c r="E510" s="12">
        <f>(C510*2)/B510</f>
        <v/>
      </c>
      <c r="F510" s="12">
        <f>D510/B510</f>
        <v/>
      </c>
      <c r="G510" s="8" t="n"/>
      <c r="H510" s="8" t="n">
        <v>2031.413</v>
      </c>
      <c r="J510" s="8">
        <f>soy_crush!D84-B510</f>
        <v/>
      </c>
      <c r="K510" s="13">
        <f>J510/B510</f>
        <v/>
      </c>
      <c r="M510" s="14" t="n">
        <v>6.311461290322582</v>
      </c>
      <c r="N510" s="15">
        <f>M510*355</f>
        <v/>
      </c>
      <c r="Q510" s="56">
        <f>B510/31</f>
        <v/>
      </c>
      <c r="T510" s="5" t="n">
        <v>2324.183</v>
      </c>
      <c r="U510" s="5" t="n">
        <v>177.666</v>
      </c>
      <c r="V510" s="5" t="n">
        <v>1673.573</v>
      </c>
      <c r="W510" s="5" t="n">
        <v>1640.109</v>
      </c>
      <c r="Y510" s="5" t="n">
        <v>1677.093</v>
      </c>
      <c r="Z510" s="5" t="n">
        <v>450.61</v>
      </c>
      <c r="AA510" s="5" t="n">
        <v>1226.483</v>
      </c>
      <c r="AB510" s="5" t="n">
        <v>2035.694</v>
      </c>
      <c r="AC510" s="5" t="n">
        <v>954.641</v>
      </c>
      <c r="AD510" s="5" t="n">
        <v>430.197</v>
      </c>
      <c r="AE510" s="5" t="n">
        <v>739.181</v>
      </c>
    </row>
    <row r="511" ht="13.5" customHeight="1">
      <c r="A511" s="6" t="n">
        <v>44562</v>
      </c>
      <c r="B511" s="8" t="n">
        <v>182.216</v>
      </c>
      <c r="C511" s="8" t="n">
        <v>4270.706</v>
      </c>
      <c r="D511" s="8" t="n">
        <v>2151.423</v>
      </c>
      <c r="E511" s="12">
        <f>(C511*2)/B511</f>
        <v/>
      </c>
      <c r="F511" s="12">
        <f>D511/B511</f>
        <v/>
      </c>
      <c r="G511" s="8" t="n"/>
      <c r="H511" s="8" t="n">
        <v>2026.057</v>
      </c>
      <c r="J511" s="8">
        <f>soy_crush!D85-B511</f>
        <v/>
      </c>
      <c r="K511" s="13">
        <f>J511/B511</f>
        <v/>
      </c>
      <c r="M511" s="14" t="n">
        <v>6.311461290322582</v>
      </c>
      <c r="N511" s="15">
        <f>M511*355</f>
        <v/>
      </c>
      <c r="Q511" s="56">
        <f>B511/31</f>
        <v/>
      </c>
      <c r="T511" s="5" t="n">
        <v>2277.355</v>
      </c>
      <c r="U511" s="5" t="n">
        <v>180.564</v>
      </c>
      <c r="V511" s="5" t="n">
        <v>1628.044</v>
      </c>
      <c r="W511" s="5" t="n">
        <v>1590.136</v>
      </c>
      <c r="Y511" s="5" t="n">
        <v>1629.619</v>
      </c>
      <c r="Z511" s="5" t="n">
        <v>421.469</v>
      </c>
      <c r="AA511" s="5" t="n">
        <v>1208.15</v>
      </c>
      <c r="AB511" s="5" t="n">
        <v>2113.724</v>
      </c>
      <c r="AC511" s="5" t="n">
        <v>957.236</v>
      </c>
      <c r="AD511" s="5" t="n">
        <v>386.2</v>
      </c>
      <c r="AE511" s="5" t="n">
        <v>783.657</v>
      </c>
    </row>
    <row r="512" ht="13.5" customHeight="1">
      <c r="A512" s="6" t="n">
        <v>44593</v>
      </c>
      <c r="B512" s="8" t="n">
        <v>165.057</v>
      </c>
      <c r="C512" s="8" t="n">
        <v>3877.796</v>
      </c>
      <c r="D512" s="8" t="n">
        <v>1969.884</v>
      </c>
      <c r="E512" s="12">
        <f>(C512*2)/B512</f>
        <v/>
      </c>
      <c r="F512" s="12">
        <f>D512/B512</f>
        <v/>
      </c>
      <c r="G512" s="8" t="n"/>
      <c r="H512" s="8" t="n">
        <v>2059.333</v>
      </c>
      <c r="J512" s="8">
        <f>soy_crush!D86-B512</f>
        <v/>
      </c>
      <c r="K512" s="13">
        <f>J512/B512</f>
        <v/>
      </c>
      <c r="M512" s="14" t="n">
        <v>6.311461290322582</v>
      </c>
      <c r="N512" s="15">
        <f>M512*355</f>
        <v/>
      </c>
      <c r="Q512" s="56">
        <f>B512/28</f>
        <v/>
      </c>
      <c r="T512" s="5" t="n">
        <v>2064.199</v>
      </c>
      <c r="U512" s="5" t="n">
        <v>148.218</v>
      </c>
      <c r="V512" s="5" t="n">
        <v>1574.843</v>
      </c>
      <c r="W512" s="5" t="n">
        <v>1544.983</v>
      </c>
      <c r="Y512" s="5" t="n">
        <v>1526.96</v>
      </c>
      <c r="Z512" s="5" t="n">
        <v>373.044</v>
      </c>
      <c r="AA512" s="5" t="n">
        <v>1153.916</v>
      </c>
      <c r="AB512" s="5" t="n">
        <v>2172.311</v>
      </c>
      <c r="AC512" s="5" t="n">
        <v>1019.221</v>
      </c>
      <c r="AD512" s="5" t="n">
        <v>393.796</v>
      </c>
      <c r="AE512" s="5" t="n">
        <v>755.7670000000001</v>
      </c>
    </row>
    <row r="513" ht="13.5" customHeight="1">
      <c r="A513" s="6" t="n">
        <v>44621</v>
      </c>
      <c r="B513" s="8" t="n">
        <v>182.465</v>
      </c>
      <c r="C513" s="8" t="n">
        <v>4310.136</v>
      </c>
      <c r="D513" s="8" t="n">
        <v>2157.463927</v>
      </c>
      <c r="E513" s="12">
        <f>(C513*2)/B513</f>
        <v/>
      </c>
      <c r="F513" s="12">
        <f>D513/B513</f>
        <v/>
      </c>
      <c r="G513" s="8" t="n"/>
      <c r="H513" s="8" t="n">
        <v>1907.623</v>
      </c>
      <c r="J513" s="8">
        <f>soy_crush!D87-B513</f>
        <v/>
      </c>
      <c r="K513" s="13">
        <f>J513/B513</f>
        <v/>
      </c>
      <c r="M513" s="14" t="n">
        <v>6.334961290322582</v>
      </c>
      <c r="N513" s="15">
        <f>M513*355</f>
        <v/>
      </c>
      <c r="Q513" s="56">
        <f>B513/31</f>
        <v/>
      </c>
      <c r="T513" s="5" t="n">
        <v>2277.541</v>
      </c>
      <c r="U513" s="5" t="n">
        <v>161.282</v>
      </c>
      <c r="V513" s="5" t="n">
        <v>1831.109</v>
      </c>
      <c r="W513" s="5" t="n">
        <v>1787.939</v>
      </c>
      <c r="Y513" s="5" t="n">
        <v>1831.9</v>
      </c>
      <c r="Z513" s="5" t="n">
        <v>445.72</v>
      </c>
      <c r="AA513" s="5" t="n">
        <v>1386.18</v>
      </c>
      <c r="AB513" s="5" t="n">
        <v>2084.253</v>
      </c>
      <c r="AC513" s="5" t="n">
        <v>986.203</v>
      </c>
      <c r="AD513" s="5" t="n">
        <v>349.465</v>
      </c>
      <c r="AE513" s="5" t="n">
        <v>707.434</v>
      </c>
    </row>
    <row r="514" ht="13.5" customHeight="1">
      <c r="A514" s="6" t="n">
        <v>44652</v>
      </c>
      <c r="B514" s="8" t="n">
        <v>169.788</v>
      </c>
      <c r="C514" s="8" t="n">
        <v>3995.596</v>
      </c>
      <c r="D514" s="8" t="n">
        <v>2017.394</v>
      </c>
      <c r="E514" s="12">
        <f>(C514*2)/B514</f>
        <v/>
      </c>
      <c r="F514" s="12">
        <f>D514/B514</f>
        <v/>
      </c>
      <c r="G514" s="8" t="n"/>
      <c r="H514" s="8" t="n">
        <v>1814.198</v>
      </c>
      <c r="J514" s="8">
        <f>soy_crush!D88-B514</f>
        <v/>
      </c>
      <c r="K514" s="13">
        <f>J514/B514</f>
        <v/>
      </c>
      <c r="M514" s="14" t="n">
        <v>6.334961290322582</v>
      </c>
      <c r="N514" s="15">
        <f>M514*355</f>
        <v/>
      </c>
      <c r="Q514" s="56">
        <f>B514/30</f>
        <v/>
      </c>
      <c r="T514" s="5" t="n">
        <v>2143.118</v>
      </c>
      <c r="U514" s="5" t="n">
        <v>126.614</v>
      </c>
      <c r="V514" s="5" t="n">
        <v>1738.58</v>
      </c>
      <c r="W514" s="5" t="n">
        <v>1700.054</v>
      </c>
      <c r="Y514" s="5" t="n">
        <v>1645.056</v>
      </c>
      <c r="Z514" s="5" t="n">
        <v>444.441</v>
      </c>
      <c r="AA514" s="5" t="n">
        <v>1200.615</v>
      </c>
      <c r="AB514" s="5" t="n">
        <v>2018.976</v>
      </c>
      <c r="AC514" s="5" t="n">
        <v>1006.036</v>
      </c>
      <c r="AD514" s="5" t="n">
        <v>405.216</v>
      </c>
      <c r="AE514" s="5" t="n">
        <v>645.171</v>
      </c>
    </row>
    <row r="515" ht="13.5" customHeight="1">
      <c r="A515" s="6" t="n">
        <v>44682</v>
      </c>
      <c r="B515" s="8" t="n">
        <v>171.077</v>
      </c>
      <c r="C515" s="8" t="n">
        <v>4031.338</v>
      </c>
      <c r="D515" s="8" t="n">
        <v>2053.403</v>
      </c>
      <c r="E515" s="12">
        <f>(C515*2)/B515</f>
        <v/>
      </c>
      <c r="F515" s="12">
        <f>D515/B515</f>
        <v/>
      </c>
      <c r="G515" s="8" t="n"/>
      <c r="H515" s="8" t="n">
        <v>1908</v>
      </c>
      <c r="J515" s="8">
        <f>soy_crush!D89-B515</f>
        <v/>
      </c>
      <c r="K515" s="13">
        <f>J515/B515</f>
        <v/>
      </c>
      <c r="M515" s="14" t="n">
        <v>6.334961290322582</v>
      </c>
      <c r="N515" s="15">
        <f>M515*355</f>
        <v/>
      </c>
      <c r="Q515" s="56">
        <f>B515/31</f>
        <v/>
      </c>
      <c r="T515" s="5" t="n">
        <v>2158.774</v>
      </c>
      <c r="U515" s="5" t="n">
        <v>167.823</v>
      </c>
      <c r="V515" s="5" t="n">
        <v>1795.117</v>
      </c>
      <c r="W515" s="5" t="n">
        <v>1757.4</v>
      </c>
      <c r="Y515" s="5" t="n">
        <v>1746.305</v>
      </c>
      <c r="Z515" s="5" t="n">
        <v>525.201</v>
      </c>
      <c r="AA515" s="5" t="n">
        <v>1221.104</v>
      </c>
      <c r="AB515" s="5" t="n">
        <v>1967.553</v>
      </c>
      <c r="AC515" s="5" t="n">
        <v>1010.927</v>
      </c>
      <c r="AD515" s="5" t="n">
        <v>416.82</v>
      </c>
      <c r="AE515" s="5" t="n">
        <v>618.766</v>
      </c>
    </row>
    <row r="516" ht="13.5" customHeight="1">
      <c r="A516" s="6" t="n">
        <v>44713</v>
      </c>
      <c r="B516" s="8" t="n">
        <v>164.677</v>
      </c>
      <c r="C516" s="8" t="n">
        <v>3874.11</v>
      </c>
      <c r="D516" s="8" t="n">
        <v>1969.675</v>
      </c>
      <c r="E516" s="12">
        <f>(C516*2)/B516</f>
        <v/>
      </c>
      <c r="F516" s="12">
        <f>D516/B516</f>
        <v/>
      </c>
      <c r="G516" s="8" t="n"/>
      <c r="H516" s="8" t="n">
        <v>1766.832</v>
      </c>
      <c r="J516" s="8">
        <f>soy_crush!D90-B516</f>
        <v/>
      </c>
      <c r="K516" s="13">
        <f>J516/B516</f>
        <v/>
      </c>
      <c r="M516" s="14" t="n">
        <v>6.334961290322582</v>
      </c>
      <c r="N516" s="15">
        <f>M516*355</f>
        <v/>
      </c>
      <c r="Q516" s="56">
        <f>B516/30</f>
        <v/>
      </c>
      <c r="T516" s="5" t="n">
        <v>2068.578</v>
      </c>
      <c r="U516" s="5" t="n">
        <v>159.139</v>
      </c>
      <c r="V516" s="5" t="n">
        <v>1678.171</v>
      </c>
      <c r="W516" s="5" t="n">
        <v>1639.717</v>
      </c>
      <c r="Y516" s="5" t="n">
        <v>1653.391</v>
      </c>
      <c r="Z516" s="5" t="n">
        <v>502.098</v>
      </c>
      <c r="AA516" s="5" t="n">
        <v>1151.293</v>
      </c>
      <c r="AB516" s="5" t="n">
        <v>1911.685</v>
      </c>
      <c r="AC516" s="5" t="n">
        <v>961.721</v>
      </c>
      <c r="AD516" s="5" t="n">
        <v>403.819</v>
      </c>
      <c r="AE516" s="5" t="n">
        <v>622.381</v>
      </c>
    </row>
    <row r="517" ht="13.5" customHeight="1">
      <c r="A517" s="6" t="n">
        <v>44743</v>
      </c>
      <c r="B517" s="8" t="n">
        <v>170.22</v>
      </c>
      <c r="C517" s="8" t="n">
        <v>3996.35</v>
      </c>
      <c r="D517" s="8" t="n">
        <v>2036.608</v>
      </c>
      <c r="E517" s="12">
        <f>(C517*2)/B517</f>
        <v/>
      </c>
      <c r="F517" s="12">
        <f>D517/B517</f>
        <v/>
      </c>
      <c r="G517" s="8" t="n"/>
      <c r="H517" s="8" t="n">
        <v>1683.585</v>
      </c>
      <c r="J517" s="8">
        <f>soy_crush!D91-B517</f>
        <v/>
      </c>
      <c r="K517" s="13">
        <f>J517/B517</f>
        <v/>
      </c>
      <c r="M517" s="14" t="n">
        <v>6.334961290322582</v>
      </c>
      <c r="N517" s="15">
        <f>M517*355</f>
        <v/>
      </c>
      <c r="Q517" s="56">
        <f>B517/31</f>
        <v/>
      </c>
      <c r="T517" s="5" t="n">
        <v>2169.93</v>
      </c>
      <c r="U517" s="5" t="n">
        <v>141.87</v>
      </c>
      <c r="V517" s="5" t="n">
        <v>1724.576</v>
      </c>
      <c r="W517" s="5" t="n">
        <v>1691.268</v>
      </c>
      <c r="Y517" s="5" t="n">
        <v>1692.867</v>
      </c>
      <c r="Z517" s="5" t="n">
        <v>504.534</v>
      </c>
      <c r="AA517" s="5" t="n">
        <v>1188.333</v>
      </c>
      <c r="AB517" s="5" t="n">
        <v>1863.249</v>
      </c>
      <c r="AC517" s="5" t="n">
        <v>911.063</v>
      </c>
      <c r="AD517" s="5" t="n">
        <v>403.545</v>
      </c>
      <c r="AE517" s="5" t="n">
        <v>620.746</v>
      </c>
    </row>
    <row r="518" ht="13.5" customHeight="1">
      <c r="A518" s="6" t="n">
        <v>44774</v>
      </c>
      <c r="B518" s="8" t="n">
        <v>165.538</v>
      </c>
      <c r="C518" s="8" t="n">
        <v>3917.867</v>
      </c>
      <c r="D518" s="8" t="n">
        <v>1983.467</v>
      </c>
      <c r="E518" s="12">
        <f>(C518*2)/B518</f>
        <v/>
      </c>
      <c r="F518" s="12">
        <f>D518/B518</f>
        <v/>
      </c>
      <c r="G518" s="8" t="n"/>
      <c r="H518" s="8" t="n">
        <v>1564.73</v>
      </c>
      <c r="J518" s="8">
        <f>soy_crush!D92-B518</f>
        <v/>
      </c>
      <c r="K518" s="13">
        <f>J518/B518</f>
        <v/>
      </c>
      <c r="M518" s="14" t="n">
        <v>6.334961290322582</v>
      </c>
      <c r="N518" s="15">
        <f>M518*355</f>
        <v/>
      </c>
      <c r="Q518" s="56">
        <f>B518/31</f>
        <v/>
      </c>
      <c r="T518" s="5" t="n">
        <v>2095.581</v>
      </c>
      <c r="U518" s="5" t="n">
        <v>160.64</v>
      </c>
      <c r="V518" s="5" t="n">
        <v>1782.045</v>
      </c>
      <c r="W518" s="5" t="n">
        <v>1739.066</v>
      </c>
      <c r="Y518" s="5" t="n">
        <v>1729.555</v>
      </c>
      <c r="Z518" s="5" t="n">
        <v>499.488</v>
      </c>
      <c r="AA518" s="5" t="n">
        <v>1230.067</v>
      </c>
      <c r="AB518" s="5" t="n">
        <v>1690.283</v>
      </c>
      <c r="AC518" s="5" t="n">
        <v>824.981</v>
      </c>
      <c r="AD518" s="5" t="n">
        <v>413.43</v>
      </c>
      <c r="AE518" s="5" t="n">
        <v>569.367</v>
      </c>
    </row>
    <row r="519" ht="13.5" customHeight="1">
      <c r="A519" s="6" t="n">
        <v>44805</v>
      </c>
      <c r="B519" s="8" t="n">
        <v>158.109</v>
      </c>
      <c r="C519" s="8" t="n">
        <v>3703.2</v>
      </c>
      <c r="D519" s="8" t="n">
        <v>1877.154</v>
      </c>
      <c r="E519" s="12">
        <f>(C519*2)/B519</f>
        <v/>
      </c>
      <c r="F519" s="12">
        <f>D519/B519</f>
        <v/>
      </c>
      <c r="G519" s="8" t="n"/>
      <c r="H519" s="8" t="n">
        <v>1459.259</v>
      </c>
      <c r="J519" s="8">
        <f>soy_crush!D93-B519</f>
        <v/>
      </c>
      <c r="K519" s="13">
        <f>J519/B519</f>
        <v/>
      </c>
      <c r="M519" s="14" t="n">
        <v>6.417461290322581</v>
      </c>
      <c r="N519" s="15">
        <f>M519*355</f>
        <v/>
      </c>
      <c r="Q519" s="56">
        <f>B519/30</f>
        <v/>
      </c>
      <c r="T519" s="5" t="n">
        <v>1992.964</v>
      </c>
      <c r="U519" s="5" t="n">
        <v>164.392</v>
      </c>
      <c r="V519" s="5" t="n">
        <v>1701.254</v>
      </c>
      <c r="W519" s="5" t="n">
        <v>1658.467</v>
      </c>
      <c r="Y519" s="5" t="n">
        <v>1671.169</v>
      </c>
      <c r="Z519" s="5" t="n">
        <v>457.501</v>
      </c>
      <c r="AA519" s="5" t="n">
        <v>1213.668</v>
      </c>
      <c r="AB519" s="5" t="n">
        <v>1590.053</v>
      </c>
      <c r="AC519" s="5" t="n">
        <v>747.228</v>
      </c>
      <c r="AD519" s="5" t="n">
        <v>401.095</v>
      </c>
      <c r="AE519" s="5" t="n">
        <v>574.192</v>
      </c>
    </row>
    <row r="520" ht="13.5" customHeight="1">
      <c r="A520" s="6" t="n">
        <v>44835</v>
      </c>
      <c r="B520" s="8" t="n">
        <v>184.464</v>
      </c>
      <c r="C520" s="8" t="n">
        <v>4304.782</v>
      </c>
      <c r="D520" s="8" t="n">
        <v>2198.13</v>
      </c>
      <c r="E520" s="12">
        <f>(C520*2)/B520</f>
        <v/>
      </c>
      <c r="F520" s="12">
        <f>D520/B520</f>
        <v/>
      </c>
      <c r="G520" s="8" t="n"/>
      <c r="H520" s="8" t="n">
        <v>1527.722</v>
      </c>
      <c r="J520" s="8">
        <f>soy_crush!D94-B520</f>
        <v/>
      </c>
      <c r="K520" s="13">
        <f>J520/B520</f>
        <v/>
      </c>
      <c r="M520" s="14" t="n">
        <v>6.462461290322581</v>
      </c>
      <c r="N520" s="15">
        <f>M520*355</f>
        <v/>
      </c>
      <c r="Q520" s="56">
        <f>B520/31</f>
        <v/>
      </c>
      <c r="T520" s="5" t="n">
        <v>2338.085</v>
      </c>
      <c r="U520" s="5" t="n">
        <v>176.792</v>
      </c>
      <c r="V520" s="5" t="n">
        <v>1829.75</v>
      </c>
      <c r="W520" s="5" t="n">
        <v>1787.583</v>
      </c>
      <c r="Y520" s="5" t="n">
        <v>1736.162</v>
      </c>
      <c r="Z520" s="5" t="n">
        <v>492.475</v>
      </c>
      <c r="AA520" s="5" t="n">
        <v>1243.687</v>
      </c>
      <c r="AB520" s="5" t="n">
        <v>1640.358</v>
      </c>
      <c r="AC520" s="5" t="n">
        <v>825.227</v>
      </c>
      <c r="AD520" s="5" t="n">
        <v>453.265</v>
      </c>
      <c r="AE520" s="5" t="n">
        <v>569.184</v>
      </c>
    </row>
    <row r="521" ht="13.5" customHeight="1">
      <c r="A521" s="6" t="n">
        <v>44866</v>
      </c>
      <c r="B521" s="8" t="n">
        <v>179.184</v>
      </c>
      <c r="C521" s="8" t="n">
        <v>4215.439</v>
      </c>
      <c r="D521" s="8" t="n">
        <v>2084.527</v>
      </c>
      <c r="E521" s="12">
        <f>(C521*2)/B521</f>
        <v/>
      </c>
      <c r="F521" s="12">
        <f>D521/B521</f>
        <v/>
      </c>
      <c r="G521" s="8" t="n"/>
      <c r="H521" s="8" t="n">
        <v>1630.202</v>
      </c>
      <c r="J521" s="8">
        <f>soy_crush!D95-B521</f>
        <v/>
      </c>
      <c r="K521" s="13">
        <f>J521/B521</f>
        <v/>
      </c>
      <c r="M521" s="14" t="n">
        <v>6.572461290322582</v>
      </c>
      <c r="N521" s="15">
        <f>M521*355</f>
        <v/>
      </c>
      <c r="Q521" s="56">
        <f>B521/30</f>
        <v/>
      </c>
      <c r="T521" s="5" t="n">
        <v>2199.962</v>
      </c>
      <c r="U521" s="5" t="n">
        <v>185.61</v>
      </c>
      <c r="V521" s="5" t="n">
        <v>1674.784</v>
      </c>
      <c r="W521" s="5" t="n">
        <v>1633.401</v>
      </c>
      <c r="Y521" s="5" t="n">
        <v>1661.798</v>
      </c>
      <c r="Z521" s="5" t="n">
        <v>483.547</v>
      </c>
      <c r="AA521" s="5" t="n">
        <v>1178.251</v>
      </c>
      <c r="AB521" s="5" t="n">
        <v>1677.22</v>
      </c>
      <c r="AC521" s="5" t="n">
        <v>900.6799999999999</v>
      </c>
      <c r="AD521" s="5" t="n">
        <v>435.061</v>
      </c>
      <c r="AE521" s="5" t="n">
        <v>529.224</v>
      </c>
    </row>
    <row r="522" ht="13.5" customHeight="1">
      <c r="A522" s="6" t="n">
        <v>44896</v>
      </c>
      <c r="B522" s="8" t="n">
        <v>177.505</v>
      </c>
      <c r="C522" s="8" t="n">
        <v>4217.568</v>
      </c>
      <c r="D522" s="8" t="n">
        <v>2084.268</v>
      </c>
      <c r="E522" s="12">
        <f>(C522*2)/B522</f>
        <v/>
      </c>
      <c r="F522" s="12">
        <f>D522/B522</f>
        <v/>
      </c>
      <c r="G522" s="8" t="n"/>
      <c r="H522" s="8" t="n">
        <v>1790.569</v>
      </c>
      <c r="J522" s="8">
        <f>soy_crush!D96-B522</f>
        <v/>
      </c>
      <c r="K522" s="13">
        <f>J522/B522</f>
        <v/>
      </c>
      <c r="M522" s="14" t="n">
        <v>6.572461290322582</v>
      </c>
      <c r="N522" s="15">
        <f>M522*355</f>
        <v/>
      </c>
      <c r="Q522" s="56">
        <f>B522/31</f>
        <v/>
      </c>
      <c r="T522" s="5" t="n">
        <v>2195.358</v>
      </c>
      <c r="V522" s="5" t="n">
        <v>1615.612</v>
      </c>
      <c r="W522" s="5" t="n">
        <v>1582.664</v>
      </c>
      <c r="Y522" s="5" t="n">
        <v>1611.482</v>
      </c>
      <c r="Z522" s="5" t="n">
        <v>528.228</v>
      </c>
      <c r="AA522" s="5" t="n">
        <v>1083.254</v>
      </c>
      <c r="AB522" s="5" t="n">
        <v>1902.38</v>
      </c>
      <c r="AC522" s="5" t="n">
        <v>1014.514</v>
      </c>
      <c r="AD522" s="5" t="n">
        <v>403.767</v>
      </c>
      <c r="AE522" s="5" t="n">
        <v>532.601</v>
      </c>
    </row>
    <row r="523" ht="13.5" customHeight="1">
      <c r="A523" s="6" t="n">
        <v>44927</v>
      </c>
      <c r="B523" s="8" t="n">
        <v>179.007</v>
      </c>
      <c r="C523" s="8" t="n">
        <v>4235.287</v>
      </c>
      <c r="D523" s="8" t="n">
        <v>2111.883</v>
      </c>
      <c r="E523" s="12">
        <f>(C523*2)/B523</f>
        <v/>
      </c>
      <c r="F523" s="12">
        <f>D523/B523</f>
        <v/>
      </c>
      <c r="G523" s="8" t="n"/>
      <c r="H523" s="8" t="n">
        <v>1828.601</v>
      </c>
      <c r="J523" s="8">
        <f>soy_crush!D97-B523</f>
        <v/>
      </c>
      <c r="K523" s="13">
        <f>J523/B523</f>
        <v/>
      </c>
      <c r="M523" s="14" t="n">
        <v>6.572461290322582</v>
      </c>
      <c r="N523" s="15">
        <f>M523*355</f>
        <v/>
      </c>
      <c r="Q523" s="56">
        <f>B523/31</f>
        <v/>
      </c>
      <c r="T523" s="5" t="n">
        <v>2252.312</v>
      </c>
      <c r="V523" s="5" t="n">
        <v>1753.308</v>
      </c>
      <c r="W523" s="5" t="n">
        <v>1719.215</v>
      </c>
      <c r="Y523" s="5" t="n">
        <v>1667.217</v>
      </c>
      <c r="Z523" s="5" t="n">
        <v>491.633</v>
      </c>
      <c r="AA523" s="5" t="n">
        <v>1175.584</v>
      </c>
      <c r="AB523" s="5" t="n">
        <v>1898.892</v>
      </c>
      <c r="AC523" s="5" t="n">
        <v>1015.648</v>
      </c>
      <c r="AD523" s="5" t="n">
        <v>457.509</v>
      </c>
      <c r="AE523" s="5" t="n">
        <v>574.397</v>
      </c>
    </row>
    <row r="524" ht="13.5" customHeight="1">
      <c r="A524" s="6" t="n">
        <v>44958</v>
      </c>
      <c r="B524" s="8" t="n">
        <v>165.414</v>
      </c>
      <c r="C524" s="8" t="n">
        <v>3929.1</v>
      </c>
      <c r="D524" s="8" t="n">
        <v>1960.092</v>
      </c>
      <c r="E524" s="12">
        <f>(C524*2)/B524</f>
        <v/>
      </c>
      <c r="F524" s="12">
        <f>D524/B524</f>
        <v/>
      </c>
      <c r="G524" s="8" t="n"/>
      <c r="H524" s="8" t="n">
        <v>1808.816</v>
      </c>
      <c r="J524" s="8">
        <f>soy_crush!D98-B524</f>
        <v/>
      </c>
      <c r="K524" s="13">
        <f>J524/B524</f>
        <v/>
      </c>
      <c r="M524" s="14" t="n">
        <v>6.572461290322582</v>
      </c>
      <c r="N524" s="15">
        <f>M524*355</f>
        <v/>
      </c>
      <c r="Q524" s="56">
        <f>B524/28</f>
        <v/>
      </c>
      <c r="T524" s="5" t="n">
        <v>2091.218</v>
      </c>
      <c r="V524" s="5" t="n">
        <v>1696.242</v>
      </c>
      <c r="W524" s="5" t="n">
        <v>1662.072</v>
      </c>
      <c r="Y524" s="5" t="n">
        <v>1653.129</v>
      </c>
      <c r="Z524" s="5" t="n">
        <v>487.627</v>
      </c>
      <c r="AA524" s="5" t="n">
        <v>1165.502</v>
      </c>
      <c r="AB524" s="5" t="n">
        <v>1902.382</v>
      </c>
      <c r="AC524" s="5" t="n">
        <v>1004.199</v>
      </c>
      <c r="AD524" s="5" t="n">
        <v>461.415</v>
      </c>
      <c r="AE524" s="5" t="n">
        <v>610.9450000000001</v>
      </c>
    </row>
    <row r="525" ht="13.5" customHeight="1">
      <c r="A525" s="6" t="n">
        <v>44986</v>
      </c>
      <c r="B525" s="8" t="n">
        <v>185.81</v>
      </c>
      <c r="C525" s="8" t="n">
        <v>4431.874</v>
      </c>
      <c r="D525" s="8" t="n">
        <v>2201.754</v>
      </c>
      <c r="E525" s="12">
        <f>(C525*2)/B525</f>
        <v/>
      </c>
      <c r="F525" s="12">
        <f>D525/B525</f>
        <v/>
      </c>
      <c r="G525" s="8" t="n"/>
      <c r="H525" s="8" t="n">
        <v>1851.111</v>
      </c>
      <c r="J525" s="8">
        <f>soy_crush!D99-B525</f>
        <v/>
      </c>
      <c r="K525" s="13">
        <f>J525/B525</f>
        <v/>
      </c>
      <c r="M525" s="14" t="n">
        <v>6.572461290322582</v>
      </c>
      <c r="N525" s="15">
        <f>M525*355</f>
        <v/>
      </c>
      <c r="Q525" s="56">
        <f>B525/31</f>
        <v/>
      </c>
      <c r="T525" s="5" t="n">
        <v>2339.581</v>
      </c>
      <c r="V525" s="5" t="n">
        <v>1853.676</v>
      </c>
      <c r="W525" s="5" t="n">
        <v>1811.949</v>
      </c>
      <c r="Y525" s="5" t="n">
        <v>1833.386</v>
      </c>
      <c r="Z525" s="5" t="n">
        <v>527.086</v>
      </c>
      <c r="AA525" s="5" t="n">
        <v>1306.3</v>
      </c>
      <c r="AB525" s="5" t="n">
        <v>1946.997</v>
      </c>
      <c r="AC525" s="5" t="n">
        <v>1010.089</v>
      </c>
      <c r="AD525" s="5" t="n">
        <v>440.516</v>
      </c>
      <c r="AE525" s="5" t="n">
        <v>628.1130000000001</v>
      </c>
    </row>
    <row r="526" ht="13.5" customHeight="1">
      <c r="A526" s="6" t="n">
        <v>45017</v>
      </c>
      <c r="B526" s="8" t="n">
        <v>173.232</v>
      </c>
      <c r="C526" s="8" t="n">
        <v>4122.882</v>
      </c>
      <c r="D526" s="8" t="n">
        <v>2068.237</v>
      </c>
      <c r="E526" s="12">
        <f>(C526*2)/B526</f>
        <v/>
      </c>
      <c r="F526" s="12">
        <f>D526/B526</f>
        <v/>
      </c>
      <c r="G526" s="8" t="n"/>
      <c r="H526" s="8" t="n">
        <v>1957.043</v>
      </c>
      <c r="J526" s="8">
        <f>soy_crush!D100-B526</f>
        <v/>
      </c>
      <c r="K526" s="13">
        <f>J526/B526</f>
        <v/>
      </c>
      <c r="M526" s="14" t="n">
        <v>6.572461290322582</v>
      </c>
      <c r="N526" s="15">
        <f>M526*355</f>
        <v/>
      </c>
      <c r="Q526" s="56">
        <f>B526/30</f>
        <v/>
      </c>
      <c r="T526" s="5" t="n">
        <v>2236.301</v>
      </c>
      <c r="V526" s="5" t="n">
        <v>1716.391</v>
      </c>
      <c r="W526" s="5" t="n">
        <v>1676.007</v>
      </c>
      <c r="Y526" s="5" t="n">
        <v>1655.547</v>
      </c>
      <c r="Z526" s="5" t="n">
        <v>504.508</v>
      </c>
      <c r="AA526" s="5" t="n">
        <v>1151.039</v>
      </c>
      <c r="AB526" s="5" t="n">
        <v>2078.543</v>
      </c>
      <c r="AC526" s="5" t="n">
        <v>1092.562</v>
      </c>
      <c r="AD526" s="5" t="n">
        <v>461.136</v>
      </c>
      <c r="AE526" s="5" t="n">
        <v>664.946</v>
      </c>
    </row>
    <row r="527" ht="13.5" customHeight="1">
      <c r="A527" s="6" t="n">
        <v>45047</v>
      </c>
      <c r="B527" s="8" t="n">
        <v>177.915</v>
      </c>
      <c r="C527" s="8" t="n">
        <v>4228.38</v>
      </c>
      <c r="D527" s="8" t="n">
        <v>2110.392</v>
      </c>
      <c r="E527" s="12">
        <f>(C527*2)/B527</f>
        <v/>
      </c>
      <c r="F527" s="12">
        <f>D527/B527</f>
        <v/>
      </c>
      <c r="G527" s="8" t="n"/>
      <c r="H527" s="8" t="n">
        <v>1871.545</v>
      </c>
      <c r="J527" s="8">
        <f>soy_crush!D101-B527</f>
        <v/>
      </c>
      <c r="K527" s="13">
        <f>J527/B527</f>
        <v/>
      </c>
      <c r="M527" s="14" t="n">
        <v>6.572461290322582</v>
      </c>
      <c r="N527" s="15">
        <f>M527*355</f>
        <v/>
      </c>
      <c r="Q527" s="56">
        <f>B527/31</f>
        <v/>
      </c>
      <c r="T527" s="5" t="n">
        <v>2228.372</v>
      </c>
      <c r="V527" s="5" t="n">
        <v>1887.942</v>
      </c>
      <c r="W527" s="5" t="n">
        <v>1841.848</v>
      </c>
      <c r="Y527" s="5" t="n">
        <v>1850.213</v>
      </c>
      <c r="Z527" s="5" t="n">
        <v>595.487</v>
      </c>
      <c r="AA527" s="5" t="n">
        <v>1254.726</v>
      </c>
      <c r="AB527" s="5" t="n">
        <v>1924.95</v>
      </c>
      <c r="AC527" s="5" t="n">
        <v>941.244</v>
      </c>
      <c r="AD527" s="5" t="n">
        <v>461.272</v>
      </c>
      <c r="AE527" s="5" t="n">
        <v>665.814</v>
      </c>
    </row>
    <row r="528" ht="13.5" customHeight="1">
      <c r="A528" s="6" t="n">
        <v>45078</v>
      </c>
      <c r="B528" s="8" t="n">
        <v>165.023</v>
      </c>
      <c r="C528" s="8" t="n">
        <v>3934.54</v>
      </c>
      <c r="D528" s="8" t="n">
        <v>1974.651</v>
      </c>
      <c r="E528" s="12">
        <f>(C528*2)/B528</f>
        <v/>
      </c>
      <c r="F528" s="12">
        <f>D528/B528</f>
        <v/>
      </c>
      <c r="G528" s="8" t="n"/>
      <c r="H528" s="8" t="n">
        <v>1689.901</v>
      </c>
      <c r="J528" s="8">
        <f>soy_crush!D102-B528</f>
        <v/>
      </c>
      <c r="K528" s="13">
        <f>J528/B528</f>
        <v/>
      </c>
      <c r="M528" s="14" t="n">
        <v>6.572461290322582</v>
      </c>
      <c r="N528" s="15">
        <f>M528*355</f>
        <v/>
      </c>
      <c r="Q528" s="56">
        <f>B528/30</f>
        <v/>
      </c>
      <c r="T528" s="5" t="n">
        <v>2074.857</v>
      </c>
      <c r="V528" s="5" t="n">
        <v>1761.023</v>
      </c>
      <c r="W528" s="5" t="n">
        <v>1726.022</v>
      </c>
      <c r="Y528" s="5" t="n">
        <v>1757.969</v>
      </c>
      <c r="Z528" s="5" t="n">
        <v>589.471</v>
      </c>
      <c r="AA528" s="5" t="n">
        <v>1168.498</v>
      </c>
      <c r="AB528" s="5" t="n">
        <v>1770.166</v>
      </c>
      <c r="AC528" s="5" t="n">
        <v>889.944</v>
      </c>
      <c r="AD528" s="5" t="n">
        <v>432.869</v>
      </c>
      <c r="AE528" s="5" t="n">
        <v>600.4109999999999</v>
      </c>
    </row>
    <row r="529" ht="13.5" customHeight="1">
      <c r="A529" s="6" t="n">
        <v>45108</v>
      </c>
      <c r="B529" s="8" t="n">
        <v>173.303</v>
      </c>
      <c r="C529" s="8" t="n">
        <v>4102.593</v>
      </c>
      <c r="D529" s="8" t="n">
        <v>2063.564</v>
      </c>
      <c r="E529" s="12">
        <f>(C529*2)/B529</f>
        <v/>
      </c>
      <c r="F529" s="12">
        <f>D529/B529</f>
        <v/>
      </c>
      <c r="G529" s="8" t="n"/>
      <c r="H529" s="8" t="n">
        <v>1526.992</v>
      </c>
      <c r="J529" s="8">
        <f>soy_crush!D103-B529</f>
        <v/>
      </c>
      <c r="K529" s="13">
        <f>J529/B529</f>
        <v/>
      </c>
      <c r="M529" s="14" t="n">
        <v>6.572461290322582</v>
      </c>
      <c r="N529" s="15">
        <f>M529*355</f>
        <v/>
      </c>
      <c r="Q529" s="56">
        <f>B529/31</f>
        <v/>
      </c>
      <c r="T529" s="5" t="n">
        <v>2180.036</v>
      </c>
      <c r="V529" s="5" t="n">
        <v>1791.151</v>
      </c>
      <c r="W529" s="5" t="n">
        <v>1753.057</v>
      </c>
      <c r="Y529" s="5" t="n">
        <v>1756.571</v>
      </c>
      <c r="Z529" s="5" t="n">
        <v>553.889</v>
      </c>
      <c r="AA529" s="5" t="n">
        <v>1202.682</v>
      </c>
      <c r="AB529" s="5" t="n">
        <v>1704.235</v>
      </c>
      <c r="AC529" s="5" t="n">
        <v>870.177</v>
      </c>
      <c r="AD529" s="5" t="n">
        <v>431.967</v>
      </c>
      <c r="AE529" s="5" t="n">
        <v>582.986</v>
      </c>
    </row>
    <row r="530" ht="13.5" customHeight="1">
      <c r="A530" s="6" t="n">
        <v>45139</v>
      </c>
      <c r="B530" s="8" t="n">
        <v>161.453</v>
      </c>
      <c r="C530" s="8" t="n">
        <v>3846.818</v>
      </c>
      <c r="D530" s="8" t="n">
        <v>1927.815</v>
      </c>
      <c r="E530" s="12">
        <f>(C530*2)/B530</f>
        <v/>
      </c>
      <c r="F530" s="12">
        <f>D530/B530</f>
        <v/>
      </c>
      <c r="G530" s="8" t="n"/>
      <c r="H530" s="8" t="n">
        <v>1249.762</v>
      </c>
      <c r="J530" s="8">
        <f>soy_crush!D104-B530</f>
        <v/>
      </c>
      <c r="K530" s="13">
        <f>J530/B530</f>
        <v/>
      </c>
      <c r="M530" s="14" t="n">
        <v>6.572461290322582</v>
      </c>
      <c r="N530" s="15">
        <f>M530*355</f>
        <v/>
      </c>
      <c r="Q530" s="56">
        <f>B530/31</f>
        <v/>
      </c>
      <c r="T530" s="5" t="n">
        <v>2014.153</v>
      </c>
      <c r="U530" s="5" t="n">
        <v>187.12</v>
      </c>
      <c r="V530" s="5" t="n">
        <v>1740.71</v>
      </c>
      <c r="W530" s="5" t="n">
        <v>1709.814</v>
      </c>
      <c r="Y530" s="5" t="n">
        <v>1723.766</v>
      </c>
      <c r="Z530" s="5" t="n">
        <v>485.852</v>
      </c>
      <c r="AA530" s="5" t="n">
        <v>1237.914</v>
      </c>
      <c r="AB530" s="5" t="n">
        <v>1353.202</v>
      </c>
      <c r="AC530" s="5" t="n">
        <v>759.927</v>
      </c>
      <c r="AD530" s="5" t="n">
        <v>419.181</v>
      </c>
      <c r="AE530" s="5" t="n">
        <v>366.938</v>
      </c>
    </row>
    <row r="531" ht="13.5" customHeight="1">
      <c r="A531" s="6" t="n">
        <v>45170</v>
      </c>
      <c r="B531" s="8" t="n">
        <v>165.456</v>
      </c>
      <c r="C531" s="8" t="n">
        <v>3899.398</v>
      </c>
      <c r="D531" s="8" t="n">
        <v>1974.014</v>
      </c>
      <c r="E531" s="12">
        <f>(C531*2)/B531</f>
        <v/>
      </c>
      <c r="F531" s="12">
        <f>D531/B531</f>
        <v/>
      </c>
      <c r="G531" s="8" t="n"/>
      <c r="H531" s="8" t="n">
        <v>1107.637</v>
      </c>
      <c r="J531" s="8">
        <f>soy_crush!D105-B531</f>
        <v/>
      </c>
      <c r="K531" s="13">
        <f>J531/B531</f>
        <v/>
      </c>
      <c r="M531" s="14" t="n">
        <v>6.722461290322582</v>
      </c>
      <c r="N531" s="15">
        <f>M531*355</f>
        <v/>
      </c>
      <c r="Q531" s="56">
        <f>B531/30</f>
        <v/>
      </c>
      <c r="T531" s="5" t="n">
        <v>2077.074</v>
      </c>
      <c r="U531" s="5" t="n">
        <v>207.193</v>
      </c>
      <c r="V531" s="5" t="n">
        <v>1724.748</v>
      </c>
      <c r="W531" s="5" t="n">
        <v>1689.532</v>
      </c>
      <c r="Y531" s="5" t="n">
        <v>1699.54</v>
      </c>
      <c r="Z531" s="5" t="n">
        <v>502.648</v>
      </c>
      <c r="AA531" s="5" t="n">
        <v>1196.892</v>
      </c>
      <c r="AB531" s="5" t="n">
        <v>1196.674</v>
      </c>
      <c r="AC531" s="5" t="n">
        <v>716.347</v>
      </c>
      <c r="AD531" s="5" t="n">
        <v>410.398</v>
      </c>
      <c r="AE531" s="5" t="n">
        <v>279.055</v>
      </c>
    </row>
    <row r="532" ht="13.5" customHeight="1">
      <c r="A532" s="6" t="n">
        <v>45200</v>
      </c>
      <c r="B532" s="8" t="n">
        <v>189.774</v>
      </c>
      <c r="C532" s="8" t="n">
        <v>4456.688</v>
      </c>
      <c r="D532" s="8" t="n">
        <v>2245.911</v>
      </c>
      <c r="E532" s="12">
        <f>(C532*2)/B532</f>
        <v/>
      </c>
      <c r="F532" s="12">
        <f>D532/B532</f>
        <v/>
      </c>
      <c r="G532" s="8" t="n"/>
      <c r="H532" s="8" t="n">
        <v>1099.086</v>
      </c>
      <c r="J532" s="8">
        <f>soy_crush!D106-B532</f>
        <v/>
      </c>
      <c r="K532" s="13">
        <f>J532/B532</f>
        <v/>
      </c>
      <c r="M532" s="14" t="n">
        <v>6.745461290322582</v>
      </c>
      <c r="N532" s="15">
        <f>M532*355</f>
        <v/>
      </c>
      <c r="Q532" s="56">
        <f>B532/31</f>
        <v/>
      </c>
      <c r="T532" s="5" t="n">
        <v>2375.654</v>
      </c>
      <c r="V532" s="5" t="n">
        <v>1869.391</v>
      </c>
      <c r="W532" s="5" t="n">
        <v>1833.531</v>
      </c>
      <c r="Y532" s="5" t="n">
        <v>1831.556</v>
      </c>
      <c r="Z532" s="5" t="n">
        <v>561.9829999999999</v>
      </c>
      <c r="AA532" s="5" t="n">
        <v>1269.573</v>
      </c>
      <c r="AB532" s="5" t="n">
        <v>1088.612</v>
      </c>
      <c r="AC532" s="5" t="n">
        <v>660.533</v>
      </c>
      <c r="AD532" s="5" t="n">
        <v>412.988</v>
      </c>
      <c r="AE532" s="5" t="n">
        <v>244.08</v>
      </c>
    </row>
    <row r="533" ht="13.5" customHeight="1">
      <c r="A533" s="6" t="n">
        <v>45231</v>
      </c>
      <c r="B533" s="8" t="n">
        <v>189.038</v>
      </c>
      <c r="C533" s="8" t="n">
        <v>4433.229</v>
      </c>
      <c r="D533" s="8" t="n">
        <v>2206.673</v>
      </c>
      <c r="E533" s="12">
        <f>(C533*2)/B533</f>
        <v/>
      </c>
      <c r="F533" s="12">
        <f>D533/B533</f>
        <v/>
      </c>
      <c r="G533" s="8" t="n"/>
      <c r="H533" s="8" t="n">
        <v>1213.51</v>
      </c>
      <c r="J533" s="8">
        <f>soy_crush!D107-B533</f>
        <v/>
      </c>
      <c r="K533" s="13">
        <f>J533/B533</f>
        <v/>
      </c>
      <c r="M533" s="14" t="n">
        <v>6.745461290322582</v>
      </c>
      <c r="N533" s="15">
        <f>M533*355</f>
        <v/>
      </c>
      <c r="Q533" s="56">
        <f>B533/30</f>
        <v/>
      </c>
      <c r="T533" s="5" t="n">
        <v>2324.668</v>
      </c>
      <c r="U533" s="5" t="n">
        <v>189.542</v>
      </c>
      <c r="V533" s="5" t="n">
        <v>1737.002</v>
      </c>
      <c r="W533" s="5" t="n">
        <v>1692.886</v>
      </c>
      <c r="Y533" s="5" t="n">
        <v>1682.018</v>
      </c>
      <c r="Z533" s="5" t="n">
        <v>500.066</v>
      </c>
      <c r="AA533" s="5" t="n">
        <v>1181.952</v>
      </c>
      <c r="AB533" s="5" t="n">
        <v>1175.567</v>
      </c>
      <c r="AC533" s="5" t="n">
        <v>728.717</v>
      </c>
      <c r="AD533" s="5" t="n">
        <v>423.529</v>
      </c>
      <c r="AE533" s="5" t="n">
        <v>246.309</v>
      </c>
    </row>
    <row r="534" ht="13.5" customHeight="1">
      <c r="A534" s="6" t="n">
        <v>45261</v>
      </c>
      <c r="B534" s="8" t="n">
        <v>195.328</v>
      </c>
      <c r="C534" s="8" t="n">
        <v>4609.666</v>
      </c>
      <c r="D534" s="8" t="n">
        <v>2286.41</v>
      </c>
      <c r="E534" s="12">
        <f>(C534*2)/B534</f>
        <v/>
      </c>
      <c r="F534" s="12">
        <f>D534/B534</f>
        <v/>
      </c>
      <c r="G534" s="8" t="n"/>
      <c r="H534" s="8" t="n">
        <v>1359.97</v>
      </c>
      <c r="J534" s="8">
        <f>soy_crush!D108-B534</f>
        <v/>
      </c>
      <c r="K534" s="13">
        <f>J534/B534</f>
        <v/>
      </c>
      <c r="M534" s="14" t="n">
        <v>6.745461290322582</v>
      </c>
      <c r="N534" s="15">
        <f>M534*355</f>
        <v/>
      </c>
      <c r="Q534" s="56">
        <f>B534/31</f>
        <v/>
      </c>
      <c r="T534" s="5" t="n">
        <v>2376.237</v>
      </c>
      <c r="V534" s="5" t="n">
        <v>1755.288</v>
      </c>
      <c r="W534" s="5" t="n">
        <v>1711.129</v>
      </c>
      <c r="Y534" s="5" t="n">
        <v>1670.436</v>
      </c>
      <c r="Z534" s="5" t="n">
        <v>526.112</v>
      </c>
      <c r="AA534" s="5" t="n">
        <v>1144.324</v>
      </c>
      <c r="AB534" s="5" t="n">
        <v>1356.41</v>
      </c>
      <c r="AC534" s="5" t="n">
        <v>869.075</v>
      </c>
      <c r="AD534" s="5" t="n">
        <v>467.424</v>
      </c>
      <c r="AE534" s="5" t="n">
        <v>255.431</v>
      </c>
    </row>
    <row r="535" ht="13.5" customHeight="1">
      <c r="A535" s="6" t="n">
        <v>45292</v>
      </c>
      <c r="B535" s="8" t="n">
        <v>185.78</v>
      </c>
      <c r="C535" s="8" t="n">
        <v>4389.242</v>
      </c>
      <c r="D535" s="8" t="n">
        <v>2192.742</v>
      </c>
      <c r="E535" s="12">
        <f>(C535*2)/B535</f>
        <v/>
      </c>
      <c r="F535" s="12">
        <f>D535/B535</f>
        <v/>
      </c>
      <c r="G535" s="8" t="n"/>
      <c r="H535" s="8" t="n">
        <v>1506.545</v>
      </c>
      <c r="J535" s="8">
        <f>soy_crush!D109-B535</f>
        <v/>
      </c>
      <c r="K535" s="13">
        <f>J535/B535</f>
        <v/>
      </c>
      <c r="M535" s="14" t="n">
        <v>6.745461290322582</v>
      </c>
      <c r="N535" s="15">
        <f>M535*355</f>
        <v/>
      </c>
      <c r="Q535" s="56">
        <f>B535/31</f>
        <v/>
      </c>
      <c r="T535" s="5" t="n">
        <v>2282.324</v>
      </c>
      <c r="V535" s="5" t="n">
        <v>1617.254</v>
      </c>
      <c r="W535" s="5" t="n">
        <v>1586.853</v>
      </c>
      <c r="Y535" s="5" t="n">
        <v>1570.579</v>
      </c>
      <c r="Z535" s="5" t="n">
        <v>438.451</v>
      </c>
      <c r="AA535" s="5" t="n">
        <v>1132.128</v>
      </c>
      <c r="AB535" s="5" t="n">
        <v>1543.136</v>
      </c>
      <c r="AC535" s="5" t="n">
        <v>985.501</v>
      </c>
      <c r="AD535" s="5" t="n">
        <v>484.913</v>
      </c>
      <c r="AE535" s="5" t="n">
        <v>280.604</v>
      </c>
    </row>
    <row r="536" ht="13.5" customHeight="1">
      <c r="A536" s="6" t="n">
        <v>45323</v>
      </c>
      <c r="B536" s="8" t="n">
        <v>186.194</v>
      </c>
      <c r="C536" s="8" t="n">
        <v>4383.006759999999</v>
      </c>
      <c r="D536" s="8" t="n">
        <v>2209.612</v>
      </c>
      <c r="E536" s="12">
        <f>(C536*2)/B536</f>
        <v/>
      </c>
      <c r="F536" s="12">
        <f>D536/B536</f>
        <v/>
      </c>
      <c r="G536" s="8" t="n"/>
      <c r="H536" s="8" t="n">
        <v>1689.841</v>
      </c>
      <c r="J536" s="8">
        <f>soy_crush!D110-B536</f>
        <v/>
      </c>
      <c r="K536" s="13">
        <f>J536/B536</f>
        <v/>
      </c>
      <c r="M536" s="14" t="n">
        <v>6.745461290322582</v>
      </c>
      <c r="N536" s="15">
        <f>M536*355</f>
        <v/>
      </c>
      <c r="Q536" s="56">
        <f>B536/29</f>
        <v/>
      </c>
      <c r="T536" s="5" t="n">
        <v>2288.218</v>
      </c>
      <c r="V536" s="5" t="n">
        <v>1650.719</v>
      </c>
      <c r="W536" s="5" t="n">
        <v>1625.678</v>
      </c>
      <c r="Y536" s="5" t="n">
        <v>1653.901</v>
      </c>
      <c r="Z536" s="5" t="n">
        <v>478.548</v>
      </c>
      <c r="AA536" s="5" t="n">
        <v>1175.353</v>
      </c>
      <c r="AB536" s="5" t="n">
        <v>1686.631</v>
      </c>
      <c r="AC536" s="5" t="n">
        <v>1019.238</v>
      </c>
      <c r="AD536" s="5" t="n">
        <v>460.178</v>
      </c>
      <c r="AE536" s="5" t="n">
        <v>404.098</v>
      </c>
    </row>
    <row r="537" ht="13.5" customHeight="1">
      <c r="A537" s="6" t="n">
        <v>45352</v>
      </c>
      <c r="B537" s="8" t="n">
        <v>196.406</v>
      </c>
      <c r="C537" s="8" t="n">
        <v>4637.559</v>
      </c>
      <c r="D537" s="8" t="n">
        <v>2326.011147</v>
      </c>
      <c r="E537" s="12">
        <f>(C537*2)/B537</f>
        <v/>
      </c>
      <c r="F537" s="12">
        <f>D537/B537</f>
        <v/>
      </c>
      <c r="G537" s="8" t="n"/>
      <c r="H537" s="8" t="n">
        <v>1850.874</v>
      </c>
      <c r="J537" s="8">
        <f>soy_crush!D111-B537</f>
        <v/>
      </c>
      <c r="K537" s="13">
        <f>J537/B537</f>
        <v/>
      </c>
      <c r="M537" s="14" t="n">
        <v>6.761461290322582</v>
      </c>
      <c r="N537" s="15">
        <f>M537*355</f>
        <v/>
      </c>
      <c r="Q537" s="56">
        <f>B537/31</f>
        <v/>
      </c>
      <c r="T537" s="5" t="n">
        <v>2403.796</v>
      </c>
      <c r="U537" s="5" t="n">
        <v>163.074</v>
      </c>
      <c r="V537" s="5" t="n">
        <v>1827.03</v>
      </c>
      <c r="W537" s="5" t="n">
        <v>1791.949</v>
      </c>
      <c r="Y537" s="5" t="n">
        <v>1756.125</v>
      </c>
      <c r="Z537" s="5" t="n">
        <v>522.582</v>
      </c>
      <c r="AA537" s="5" t="n">
        <v>1233.543</v>
      </c>
      <c r="AB537" s="5" t="n">
        <v>1871.857</v>
      </c>
      <c r="AC537" s="5" t="n">
        <v>1098.42</v>
      </c>
      <c r="AD537" s="5" t="n">
        <v>496.71</v>
      </c>
      <c r="AE537" s="5" t="n">
        <v>485.729</v>
      </c>
    </row>
    <row r="538" ht="13.5" customHeight="1">
      <c r="A538" s="6" t="n">
        <v>45383</v>
      </c>
      <c r="B538" s="8" t="n">
        <v>166.034</v>
      </c>
      <c r="C538" s="8" t="n">
        <v>3939.682</v>
      </c>
      <c r="D538" s="8" t="n">
        <v>1974.072</v>
      </c>
      <c r="E538" s="12">
        <f>(C538*2)/B538</f>
        <v/>
      </c>
      <c r="F538" s="12">
        <f>D538/B538</f>
        <v/>
      </c>
      <c r="G538" s="8" t="n"/>
      <c r="H538" s="8" t="n">
        <v>1754.704</v>
      </c>
      <c r="J538" s="8">
        <f>soy_crush!D112-B538</f>
        <v/>
      </c>
      <c r="K538" s="13">
        <f>J538/B538</f>
        <v/>
      </c>
      <c r="M538" s="14" t="n">
        <v>6.761461290322582</v>
      </c>
      <c r="N538" s="15">
        <f>M538*355</f>
        <v/>
      </c>
      <c r="Q538" s="56">
        <f>B538/30</f>
        <v/>
      </c>
      <c r="T538" s="5" t="n">
        <v>2096.208</v>
      </c>
      <c r="V538" s="5" t="n">
        <v>1761.41</v>
      </c>
      <c r="W538" s="5" t="n">
        <v>1716.904</v>
      </c>
      <c r="Y538" s="5" t="n">
        <v>1760.312</v>
      </c>
      <c r="Z538" s="5" t="n">
        <v>507.096</v>
      </c>
      <c r="AA538" s="5" t="n">
        <v>1253.216</v>
      </c>
      <c r="AB538" s="5" t="n">
        <v>1856.137</v>
      </c>
      <c r="AC538" s="5" t="n">
        <v>1047.499</v>
      </c>
      <c r="AD538" s="5" t="n">
        <v>454.709</v>
      </c>
      <c r="AE538" s="5" t="n">
        <v>525.7430000000001</v>
      </c>
    </row>
    <row r="539" ht="13.5" customHeight="1">
      <c r="A539" s="6" t="n">
        <v>45413</v>
      </c>
      <c r="B539" s="8" t="n">
        <v>183.625</v>
      </c>
      <c r="C539" s="8" t="n">
        <v>4323.488</v>
      </c>
      <c r="D539" s="8" t="n">
        <v>2186.087</v>
      </c>
      <c r="E539" s="12">
        <f>(C539*2)/B539</f>
        <v/>
      </c>
      <c r="F539" s="12">
        <f>D539/B539</f>
        <v/>
      </c>
      <c r="G539" s="8" t="n"/>
      <c r="H539" s="8" t="n">
        <v>1723.556</v>
      </c>
      <c r="J539" s="8">
        <f>soy_crush!D113-B539</f>
        <v/>
      </c>
      <c r="K539" s="13">
        <f>J539/B539</f>
        <v/>
      </c>
      <c r="M539" s="14" t="n">
        <v>6.816461290322581</v>
      </c>
      <c r="N539" s="15">
        <f>M539*355</f>
        <v/>
      </c>
      <c r="Q539" s="56">
        <f>B539/31</f>
        <v/>
      </c>
      <c r="T539" s="5" t="n">
        <v>2267.166</v>
      </c>
      <c r="V539" s="5" t="n">
        <v>1825.2</v>
      </c>
      <c r="W539" s="5" t="n">
        <v>1788.504</v>
      </c>
      <c r="Y539" s="5" t="n">
        <v>1789.951</v>
      </c>
      <c r="Z539" s="5" t="n">
        <v>541.1</v>
      </c>
      <c r="AA539" s="5" t="n">
        <v>1248.851</v>
      </c>
      <c r="AB539" s="5" t="n">
        <v>1733.813</v>
      </c>
      <c r="AC539" s="5" t="n">
        <v>957.625</v>
      </c>
      <c r="AD539" s="5" t="n">
        <v>454.069</v>
      </c>
      <c r="AE539" s="5" t="n">
        <v>519.21</v>
      </c>
    </row>
    <row r="540" ht="13.5" customHeight="1">
      <c r="A540" s="6" t="n">
        <v>45444</v>
      </c>
      <c r="B540" s="8" t="n">
        <v>175.599</v>
      </c>
      <c r="C540" s="8" t="n">
        <v>4134.739</v>
      </c>
      <c r="D540" s="8" t="n">
        <v>2077.712</v>
      </c>
      <c r="E540" s="12">
        <f>(C540*2)/B540</f>
        <v/>
      </c>
      <c r="F540" s="12">
        <f>D540/B540</f>
        <v/>
      </c>
      <c r="G540" s="8" t="n"/>
      <c r="H540" s="8" t="n">
        <v>1622.269</v>
      </c>
      <c r="J540" s="8">
        <f>soy_crush!D114-B540</f>
        <v/>
      </c>
      <c r="K540" s="13">
        <f>J540/B540</f>
        <v/>
      </c>
      <c r="M540" s="14" t="n">
        <v>6.926461290322582</v>
      </c>
      <c r="N540" s="15">
        <f>M540*355</f>
        <v/>
      </c>
      <c r="Q540" s="56">
        <f>B540/30</f>
        <v/>
      </c>
      <c r="T540" s="5" t="n">
        <v>2182.25</v>
      </c>
      <c r="V540" s="5" t="n">
        <v>1767.309</v>
      </c>
      <c r="W540" s="5" t="n">
        <v>1725.486</v>
      </c>
      <c r="Y540" s="5" t="n">
        <v>1737.476</v>
      </c>
      <c r="Z540" s="5" t="n">
        <v>546.042</v>
      </c>
      <c r="AA540" s="5" t="n">
        <v>1191.434</v>
      </c>
      <c r="AB540" s="5" t="n">
        <v>1680.784</v>
      </c>
      <c r="AC540" s="5" t="n">
        <v>955.7569999999999</v>
      </c>
      <c r="AD540" s="5" t="n">
        <v>444.207</v>
      </c>
      <c r="AE540" s="5" t="n">
        <v>483.228</v>
      </c>
    </row>
    <row r="541" ht="13.5" customHeight="1">
      <c r="A541" s="6" t="n">
        <v>45474</v>
      </c>
      <c r="B541" s="8" t="n">
        <v>182.881</v>
      </c>
      <c r="C541" s="8" t="n">
        <v>4298.894</v>
      </c>
      <c r="D541" s="8" t="n">
        <v>2182.935</v>
      </c>
      <c r="E541" s="12">
        <f>(C541*2)/B541</f>
        <v/>
      </c>
      <c r="F541" s="12">
        <f>D541/B541</f>
        <v/>
      </c>
      <c r="G541" s="8" t="n"/>
      <c r="H541" s="8" t="n">
        <v>1499.154</v>
      </c>
      <c r="J541" s="8">
        <f>soy_crush!D115-B541</f>
        <v/>
      </c>
      <c r="K541" s="13">
        <f>J541/B541</f>
        <v/>
      </c>
      <c r="M541" s="14" t="n">
        <v>6.926461290322582</v>
      </c>
      <c r="N541" s="15">
        <f>M541*355</f>
        <v/>
      </c>
      <c r="Q541" s="56">
        <f>B541/31</f>
        <v/>
      </c>
      <c r="T541" s="5" t="n">
        <v>2303.082</v>
      </c>
      <c r="V541" s="5" t="n">
        <v>1915.183</v>
      </c>
      <c r="W541" s="5" t="n">
        <v>1881.513</v>
      </c>
      <c r="Y541" s="5" t="n">
        <v>1818.02</v>
      </c>
      <c r="Z541" s="5" t="n">
        <v>558.123</v>
      </c>
      <c r="AA541" s="5" t="n">
        <v>1259.897</v>
      </c>
      <c r="AB541" s="5" t="n">
        <v>1499.789</v>
      </c>
      <c r="AC541" s="5" t="n">
        <v>807.051</v>
      </c>
      <c r="AD541" s="5" t="n">
        <v>508.746</v>
      </c>
      <c r="AE541" s="5" t="n">
        <v>413.066</v>
      </c>
    </row>
    <row r="542" ht="13.5" customHeight="1">
      <c r="A542" s="6" t="n">
        <v>45505</v>
      </c>
      <c r="B542" s="8" t="n">
        <v>158.008</v>
      </c>
      <c r="C542" s="8" t="n">
        <v>3730.759</v>
      </c>
      <c r="D542" s="8" t="n">
        <v>1882.947785</v>
      </c>
      <c r="E542" s="12">
        <f>(C542*2)/B542</f>
        <v/>
      </c>
      <c r="F542" s="12">
        <f>D542/B542</f>
        <v/>
      </c>
      <c r="G542" s="8" t="n"/>
      <c r="H542" s="8" t="n">
        <v>1138.391</v>
      </c>
      <c r="J542" s="8">
        <f>soy_crush!D116-B542</f>
        <v/>
      </c>
      <c r="K542" s="13">
        <f>J542/B542</f>
        <v/>
      </c>
      <c r="M542" s="14" t="n">
        <v>7.033961290322582</v>
      </c>
      <c r="N542" s="15">
        <f>M542*355</f>
        <v/>
      </c>
      <c r="Q542" s="56">
        <f>B542/31</f>
        <v/>
      </c>
      <c r="T542" s="5" t="n">
        <v>1991.846</v>
      </c>
      <c r="V542" s="5" t="n">
        <v>1750.277</v>
      </c>
      <c r="W542" s="5" t="n">
        <v>1713.666</v>
      </c>
      <c r="Y542" s="5" t="n">
        <v>1799.003</v>
      </c>
      <c r="Z542" s="5" t="n">
        <v>570.133</v>
      </c>
      <c r="AA542" s="5" t="n">
        <v>1228.87</v>
      </c>
      <c r="AB542" s="5" t="n">
        <v>1207.718</v>
      </c>
      <c r="AC542" s="5" t="n">
        <v>677.583</v>
      </c>
      <c r="AD542" s="5" t="n">
        <v>421.713</v>
      </c>
      <c r="AE542" s="5" t="n">
        <v>323.353</v>
      </c>
    </row>
    <row r="543" ht="13.5" customHeight="1">
      <c r="A543" s="6" t="n">
        <v>45536</v>
      </c>
      <c r="B543" s="8" t="n">
        <v>177.32</v>
      </c>
      <c r="C543" s="8" t="n">
        <v>4164.837</v>
      </c>
      <c r="D543" s="8" t="n">
        <v>2114.738666</v>
      </c>
      <c r="E543" s="12">
        <f>(C543*2)/B543</f>
        <v/>
      </c>
      <c r="F543" s="12">
        <f>D543/B543</f>
        <v/>
      </c>
      <c r="G543" s="8" t="n"/>
      <c r="H543" s="8" t="n">
        <v>1066.273</v>
      </c>
      <c r="J543" s="8">
        <f>soy_crush!D117-B543</f>
        <v/>
      </c>
      <c r="K543" s="13">
        <f>J543/B543</f>
        <v/>
      </c>
      <c r="M543" s="14" t="n">
        <v>7.155461290322582</v>
      </c>
      <c r="N543" s="15">
        <f>M543*355</f>
        <v/>
      </c>
      <c r="Q543" s="56">
        <f>B543/30</f>
        <v/>
      </c>
      <c r="T543" s="5" t="n">
        <v>2201.349</v>
      </c>
      <c r="U543" s="5" t="n">
        <v>189.688</v>
      </c>
      <c r="V543" s="5" t="n">
        <v>1852.027</v>
      </c>
      <c r="W543" s="5" t="n">
        <v>1807.233</v>
      </c>
      <c r="Y543" s="5" t="n">
        <v>1819.592</v>
      </c>
      <c r="Z543" s="5" t="n">
        <v>553.649</v>
      </c>
      <c r="AA543" s="5" t="n">
        <v>1265.943</v>
      </c>
      <c r="AB543" s="5" t="n">
        <v>1120.102</v>
      </c>
      <c r="AC543" s="5" t="n">
        <v>697.58</v>
      </c>
      <c r="AD543" s="5" t="n">
        <v>430.756</v>
      </c>
      <c r="AE543" s="5" t="n">
        <v>232.557</v>
      </c>
    </row>
    <row r="544" ht="13.5" customHeight="1">
      <c r="A544" s="6" t="n">
        <v>45566</v>
      </c>
      <c r="B544" s="8" t="n">
        <v>199.959</v>
      </c>
      <c r="C544" s="8" t="n">
        <v>4705.755</v>
      </c>
      <c r="D544" s="8" t="n">
        <v>2370.504515</v>
      </c>
      <c r="E544" s="12">
        <f>(C544*2)/B544</f>
        <v/>
      </c>
      <c r="F544" s="12">
        <f>D544/B544</f>
        <v/>
      </c>
      <c r="G544" s="8" t="n"/>
      <c r="H544" s="8" t="n">
        <v>1066.561</v>
      </c>
      <c r="J544" s="8">
        <f>soy_crush!D118-B544</f>
        <v/>
      </c>
      <c r="K544" s="13">
        <f>J544/B544</f>
        <v/>
      </c>
      <c r="M544" s="14" t="n">
        <v>7.265461290322582</v>
      </c>
      <c r="N544" s="15">
        <f>M544*355</f>
        <v/>
      </c>
      <c r="Q544" s="56">
        <f>B544/31</f>
        <v/>
      </c>
      <c r="T544" s="5" t="n">
        <v>2543.453</v>
      </c>
      <c r="U544" s="5" t="n">
        <v>201.928</v>
      </c>
      <c r="V544" s="5" t="n">
        <v>2049.414</v>
      </c>
      <c r="W544" s="5" t="n">
        <v>2005.831</v>
      </c>
      <c r="Y544" s="5" t="n">
        <v>1964.207</v>
      </c>
      <c r="Z544" s="5" t="n">
        <v>634.926</v>
      </c>
      <c r="AA544" s="5" t="n">
        <v>1329.281</v>
      </c>
      <c r="AB544" s="5" t="n">
        <v>1118.317</v>
      </c>
      <c r="AC544" s="5" t="n">
        <v>698.752</v>
      </c>
      <c r="AD544" s="5" t="n">
        <v>473.806</v>
      </c>
    </row>
    <row r="545" ht="13.5" customHeight="1">
      <c r="A545" s="6" t="n">
        <v>45597</v>
      </c>
      <c r="B545" s="8" t="n">
        <v>193.185</v>
      </c>
      <c r="C545" s="8" t="n">
        <v>4582.804</v>
      </c>
      <c r="D545" s="8" t="n">
        <v>2298.549692</v>
      </c>
      <c r="E545" s="12">
        <f>(C545*2)/B545</f>
        <v/>
      </c>
      <c r="F545" s="12">
        <f>D545/B545</f>
        <v/>
      </c>
      <c r="G545" s="8" t="n"/>
      <c r="H545" s="8" t="n">
        <v>1084.305</v>
      </c>
      <c r="J545" s="8">
        <f>soy_crush!D119-B545</f>
        <v/>
      </c>
      <c r="K545" s="13">
        <f>J545/B545</f>
        <v/>
      </c>
      <c r="M545" s="14" t="n">
        <v>7.265461290322582</v>
      </c>
      <c r="N545" s="15">
        <f>M545*355</f>
        <v/>
      </c>
      <c r="Q545" s="56">
        <f>B545/30</f>
        <v/>
      </c>
      <c r="T545" s="5" t="n">
        <v>2489.941</v>
      </c>
      <c r="V545" s="5" t="n">
        <v>1860.306</v>
      </c>
      <c r="W545" s="5" t="n">
        <v>1820.151</v>
      </c>
      <c r="Y545" s="5" t="n">
        <v>1808.472</v>
      </c>
      <c r="Z545" s="5" t="n">
        <v>628.652</v>
      </c>
      <c r="AA545" s="5" t="n">
        <v>1179.82</v>
      </c>
      <c r="AB545" s="5" t="n">
        <v>1137.797</v>
      </c>
      <c r="AC545" s="5" t="n">
        <v>691.721</v>
      </c>
      <c r="AD545" s="5" t="n">
        <v>480.352</v>
      </c>
      <c r="AE545" s="5" t="n">
        <v>256.202</v>
      </c>
    </row>
    <row r="546" ht="13.5" customHeight="1">
      <c r="A546" s="6" t="n">
        <v>45627</v>
      </c>
      <c r="B546" s="8" t="n">
        <v>206.604</v>
      </c>
      <c r="C546" s="8" t="n">
        <v>4899.515</v>
      </c>
      <c r="D546" s="8" t="n">
        <v>2444.206689</v>
      </c>
      <c r="E546" s="12">
        <f>(C546*2)/B546</f>
        <v/>
      </c>
      <c r="F546" s="12">
        <f>D546/B546</f>
        <v/>
      </c>
      <c r="G546" s="8" t="n"/>
      <c r="H546" s="8" t="n">
        <v>1236.142</v>
      </c>
      <c r="J546" s="8">
        <f>soy_crush!D120-B546</f>
        <v/>
      </c>
      <c r="K546" s="13">
        <f>J546/B546</f>
        <v/>
      </c>
      <c r="M546" s="14" t="n">
        <v>7.265461290322582</v>
      </c>
      <c r="N546" s="15">
        <f>M546*355</f>
        <v/>
      </c>
      <c r="Q546" s="56">
        <f>B546/31</f>
        <v/>
      </c>
      <c r="T546" s="5" t="n">
        <v>2572.622</v>
      </c>
      <c r="V546" s="5" t="n">
        <v>1970.041</v>
      </c>
      <c r="W546" s="5" t="n">
        <v>1918.139</v>
      </c>
      <c r="Y546" s="5" t="n">
        <v>1905.518</v>
      </c>
      <c r="Z546" s="5" t="n">
        <v>679.066</v>
      </c>
      <c r="AA546" s="5" t="n">
        <v>1226.452</v>
      </c>
      <c r="AB546" s="5" t="n">
        <v>1191.559</v>
      </c>
      <c r="AC546" s="5" t="n">
        <v>651.979</v>
      </c>
      <c r="AD546" s="5" t="n">
        <v>495.637</v>
      </c>
      <c r="AE546" s="5" t="n">
        <v>284.446</v>
      </c>
    </row>
    <row r="547" ht="13.5" customHeight="1">
      <c r="A547" s="6" t="n">
        <v>45658</v>
      </c>
      <c r="B547" s="8" t="n">
        <v>200.383</v>
      </c>
      <c r="C547" s="8" t="n">
        <v>4751.918</v>
      </c>
      <c r="D547" s="8" t="n">
        <v>2400.52216</v>
      </c>
      <c r="E547" s="12">
        <f>(C547*2)/B547</f>
        <v/>
      </c>
      <c r="F547" s="12">
        <f>D547/B547</f>
        <v/>
      </c>
      <c r="G547" s="8" t="n"/>
      <c r="H547" s="8" t="n">
        <v>1503.099</v>
      </c>
      <c r="J547" s="8">
        <f>soy_crush!D121-B547</f>
        <v/>
      </c>
      <c r="K547" s="13">
        <f>J547/B547</f>
        <v/>
      </c>
      <c r="M547" s="14" t="n">
        <v>7.265461290322582</v>
      </c>
      <c r="N547" s="15">
        <f>M547*355</f>
        <v/>
      </c>
      <c r="Q547" s="56">
        <f>B547/31</f>
        <v/>
      </c>
      <c r="T547" s="5" t="n">
        <v>2526.657</v>
      </c>
      <c r="U547" s="5" t="n">
        <v>178.09</v>
      </c>
      <c r="V547" s="5" t="n">
        <v>1766.344</v>
      </c>
      <c r="W547" s="5" t="n">
        <v>1717.621</v>
      </c>
      <c r="Y547" s="5" t="n">
        <v>1753.515</v>
      </c>
      <c r="Z547" s="5" t="n">
        <v>544.537</v>
      </c>
      <c r="AA547" s="5" t="n">
        <v>1208.978</v>
      </c>
      <c r="AB547" s="5" t="n">
        <v>1338.07</v>
      </c>
      <c r="AC547" s="5" t="n">
        <v>779.928</v>
      </c>
      <c r="AD547" s="5" t="n">
        <v>478.487</v>
      </c>
      <c r="AE547" s="5" t="n">
        <v>226.108</v>
      </c>
    </row>
    <row r="548" ht="13.5" customHeight="1">
      <c r="A548" s="6" t="n">
        <v>45689</v>
      </c>
      <c r="B548" s="8" t="n">
        <v>177.87</v>
      </c>
      <c r="C548" s="8" t="n">
        <v>4226.796</v>
      </c>
      <c r="D548" s="8" t="n">
        <v>2120.833846</v>
      </c>
      <c r="E548" s="12">
        <f>(C548*2)/B548</f>
        <v/>
      </c>
      <c r="F548" s="12">
        <f>D548/B548</f>
        <v/>
      </c>
      <c r="G548" s="8" t="n"/>
      <c r="H548" s="8" t="n">
        <v>1498.017</v>
      </c>
      <c r="J548" s="8">
        <f>soy_crush!D122-B548</f>
        <v/>
      </c>
      <c r="K548" s="13">
        <f>J548/B548</f>
        <v/>
      </c>
      <c r="M548" s="14" t="n">
        <v>7.265461290322582</v>
      </c>
      <c r="N548" s="15">
        <f>M548*355</f>
        <v/>
      </c>
      <c r="Q548" s="56">
        <f>B548/28</f>
        <v/>
      </c>
      <c r="T548" s="5" t="n">
        <v>2245.19</v>
      </c>
      <c r="U548" s="5" t="n">
        <v>173.505</v>
      </c>
      <c r="V548" s="5" t="n">
        <v>1657.516</v>
      </c>
      <c r="W548" s="5" t="n">
        <v>1612.586</v>
      </c>
      <c r="Y548" s="5" t="n">
        <v>1635.522</v>
      </c>
      <c r="Z548" s="5" t="n">
        <v>552.333</v>
      </c>
      <c r="AA548" s="5" t="n">
        <v>1083.189</v>
      </c>
      <c r="AB548" s="5" t="n">
        <v>1476.917</v>
      </c>
      <c r="AC548" s="5" t="n">
        <v>833.304</v>
      </c>
      <c r="AD548" s="5" t="n">
        <v>446.699</v>
      </c>
      <c r="AE548" s="5" t="n">
        <v>295.744</v>
      </c>
    </row>
    <row r="549" ht="13.5" customHeight="1">
      <c r="A549" s="6" t="n">
        <v>45717</v>
      </c>
      <c r="B549" s="8" t="n">
        <v>194.551</v>
      </c>
      <c r="C549" s="8" t="n">
        <v>4626.158</v>
      </c>
      <c r="D549" s="8" t="n">
        <v>2346.77252</v>
      </c>
      <c r="E549" s="12">
        <f>(C549*2)/B549</f>
        <v/>
      </c>
      <c r="F549" s="12">
        <f>D549/B549</f>
        <v/>
      </c>
      <c r="G549" s="8" t="n"/>
      <c r="H549" s="8" t="n">
        <v>1508.360194516782</v>
      </c>
      <c r="J549" s="8">
        <f>soy_crush!D123-B549</f>
        <v/>
      </c>
      <c r="K549" s="13">
        <f>J549/B549</f>
        <v/>
      </c>
      <c r="M549" s="14" t="n">
        <v>7.265461290322582</v>
      </c>
      <c r="N549" s="15">
        <f>M549*355</f>
        <v/>
      </c>
      <c r="Q549" s="56">
        <f>B549/31</f>
        <v/>
      </c>
      <c r="T549" s="5" t="n">
        <v>2475.207</v>
      </c>
      <c r="V549" s="5" t="n">
        <v>1929.858</v>
      </c>
      <c r="W549" s="5" t="n">
        <v>1876.913</v>
      </c>
      <c r="Y549" s="5" t="n">
        <v>1793.221</v>
      </c>
      <c r="Z549" s="5" t="n">
        <v>581.735</v>
      </c>
      <c r="AA549" s="5" t="n">
        <v>1211.486</v>
      </c>
      <c r="AB549" s="5" t="n">
        <v>1551.689</v>
      </c>
      <c r="AC549" s="5" t="n">
        <v>831.814</v>
      </c>
      <c r="AD549" s="5" t="n">
        <v>527.98</v>
      </c>
    </row>
    <row r="550" ht="13.5" customHeight="1">
      <c r="A550" s="6" t="n">
        <v>45748</v>
      </c>
      <c r="B550" s="8" t="n">
        <v>190.226</v>
      </c>
      <c r="C550" s="8" t="n"/>
      <c r="D550" s="8" t="n"/>
      <c r="G550" s="8" t="n"/>
      <c r="H550" s="8" t="n">
        <v>1433.054205613508</v>
      </c>
      <c r="J550" s="8">
        <f>soy_crush!D124-B550</f>
        <v/>
      </c>
      <c r="K550" s="13">
        <f>J550/B550</f>
        <v/>
      </c>
      <c r="M550" s="14" t="n">
        <v>7.265461290322582</v>
      </c>
      <c r="N550" s="15">
        <f>M550*355</f>
        <v/>
      </c>
      <c r="Q550" s="56">
        <f>B550/30</f>
        <v/>
      </c>
      <c r="T550" s="5" t="n">
        <v>2402.879</v>
      </c>
      <c r="V550" s="5" t="n">
        <v>1793.564</v>
      </c>
      <c r="W550" s="5" t="n">
        <v>1745.629</v>
      </c>
      <c r="Y550" s="5" t="n">
        <v>1816.163</v>
      </c>
      <c r="Z550" s="5" t="n">
        <v>664.5700000000001</v>
      </c>
      <c r="AA550" s="5" t="n">
        <v>1151.593</v>
      </c>
      <c r="AB550" s="5" t="n">
        <v>1527.39</v>
      </c>
      <c r="AC550" s="5" t="n">
        <v>869.563</v>
      </c>
      <c r="AD550" s="5" t="n">
        <v>448.45</v>
      </c>
      <c r="AE550" s="5" t="n">
        <v>289.188</v>
      </c>
    </row>
    <row r="551" ht="13.5" customHeight="1">
      <c r="A551" s="6" t="n">
        <v>45778</v>
      </c>
      <c r="B551" s="8" t="n">
        <v>192.829</v>
      </c>
      <c r="C551" s="8" t="n"/>
      <c r="D551" s="8" t="n"/>
      <c r="G551" s="8" t="n"/>
      <c r="H551" s="8" t="n">
        <v>1360.587721536018</v>
      </c>
      <c r="J551" s="8">
        <f>soy_crush!D125-B551</f>
        <v/>
      </c>
      <c r="K551" s="13">
        <f>J551/B551</f>
        <v/>
      </c>
      <c r="M551" s="14" t="n">
        <v>7.265461290322582</v>
      </c>
      <c r="N551" s="15">
        <f>M551*355</f>
        <v/>
      </c>
      <c r="Q551" s="56">
        <f>B551/31</f>
        <v/>
      </c>
      <c r="T551" s="5" t="n">
        <v>2415.507</v>
      </c>
      <c r="V551" s="5" t="n">
        <v>1970.542</v>
      </c>
      <c r="W551" s="5" t="n">
        <v>1916.602</v>
      </c>
      <c r="Y551" s="5" t="n">
        <v>1892.949</v>
      </c>
      <c r="Z551" s="5" t="n">
        <v>700.9829999999999</v>
      </c>
      <c r="AA551" s="5" t="n">
        <v>1191.966</v>
      </c>
      <c r="AB551" s="5" t="n">
        <v>1406.376</v>
      </c>
      <c r="AC551" s="5" t="n">
        <v>834.978</v>
      </c>
      <c r="AD551" s="5" t="n">
        <v>469.55</v>
      </c>
      <c r="AE551" s="5" t="n">
        <v>234.966</v>
      </c>
    </row>
    <row r="552" ht="13.5" customHeight="1">
      <c r="A552" s="6" t="n">
        <v>45809</v>
      </c>
      <c r="B552" s="8" t="n">
        <v>185.709</v>
      </c>
      <c r="C552" s="8" t="n"/>
      <c r="D552" s="8" t="n"/>
      <c r="G552" s="8" t="n"/>
      <c r="H552" s="8" t="n">
        <v>1373.625509211189</v>
      </c>
      <c r="J552" s="8">
        <f>soy_crush!D126-B552</f>
        <v/>
      </c>
      <c r="K552" s="13">
        <f>J552/B552</f>
        <v/>
      </c>
      <c r="M552" s="14" t="n">
        <v>7.265461290322582</v>
      </c>
      <c r="N552" s="15">
        <f>M552*355</f>
        <v/>
      </c>
      <c r="Q552" s="56">
        <f>B552/30</f>
        <v/>
      </c>
      <c r="T552" s="5" t="n">
        <v>2349.133</v>
      </c>
      <c r="V552" s="5" t="n">
        <v>1854.788</v>
      </c>
      <c r="W552" s="5" t="n">
        <v>1803.236</v>
      </c>
      <c r="Y552" s="5" t="n">
        <v>1780.254</v>
      </c>
      <c r="Z552" s="5" t="n">
        <v>620.486</v>
      </c>
      <c r="AA552" s="5" t="n">
        <v>1159.768</v>
      </c>
      <c r="AB552" s="5" t="n">
        <v>1442.914</v>
      </c>
      <c r="AC552" s="5" t="n">
        <v>849.327</v>
      </c>
      <c r="AD552" s="5" t="n">
        <v>450.988</v>
      </c>
      <c r="AE552" s="5" t="n">
        <v>205.628</v>
      </c>
    </row>
    <row r="553" ht="13.5" customHeight="1">
      <c r="A553" s="6" t="n">
        <v>45839</v>
      </c>
      <c r="B553" s="8" t="n">
        <v>195.699</v>
      </c>
      <c r="C553" s="8" t="n"/>
      <c r="D553" s="8" t="n"/>
      <c r="G553" s="8" t="n"/>
      <c r="H553" s="8" t="n"/>
      <c r="J553" s="8">
        <f>soy_crush!D127-B553</f>
        <v/>
      </c>
      <c r="K553" s="13">
        <f>J553/B553</f>
        <v/>
      </c>
      <c r="Q553" s="56">
        <f>B553/31</f>
        <v/>
      </c>
      <c r="T553" s="5" t="n">
        <v>2436.725</v>
      </c>
      <c r="V553" s="5" t="n">
        <v>1884.846</v>
      </c>
      <c r="W553" s="5" t="n">
        <v>1833.871</v>
      </c>
      <c r="Y553" s="5" t="n">
        <v>1868.558</v>
      </c>
      <c r="Z553" s="5" t="n">
        <v>608.532</v>
      </c>
      <c r="AA553" s="5" t="n">
        <v>1260.026</v>
      </c>
      <c r="AB553" s="5" t="n">
        <v>1456.377</v>
      </c>
      <c r="AC553" s="5" t="n">
        <v>870.147</v>
      </c>
      <c r="AD553" s="5" t="n">
        <v>417.821</v>
      </c>
      <c r="AE553" s="5" t="n">
        <v>201.016</v>
      </c>
    </row>
    <row r="554" ht="13.5" customHeight="1">
      <c r="A554" s="6" t="n">
        <v>45870</v>
      </c>
      <c r="B554" s="8" t="n">
        <v>189.8</v>
      </c>
      <c r="C554" s="8" t="n"/>
      <c r="D554" s="8" t="n"/>
      <c r="G554" s="8" t="n"/>
      <c r="H554" s="8" t="n">
        <v>1245</v>
      </c>
      <c r="J554" s="8">
        <f>soy_crush!D128-B554</f>
        <v/>
      </c>
      <c r="K554" s="13">
        <f>J554/B554</f>
        <v/>
      </c>
      <c r="Q554" s="56">
        <f>B554/31</f>
        <v/>
      </c>
      <c r="T554" s="5" t="n">
        <v>2354.546</v>
      </c>
      <c r="V554" s="5" t="n">
        <v>1933.054</v>
      </c>
      <c r="W554" s="5" t="n">
        <v>1881.099</v>
      </c>
      <c r="Y554" s="5" t="n">
        <v>1847.742</v>
      </c>
      <c r="Z554" s="5" t="n">
        <v>576.7089999999999</v>
      </c>
      <c r="AA554" s="5" t="n">
        <v>1271.033</v>
      </c>
      <c r="AB554" s="5" t="n">
        <v>1336.863</v>
      </c>
      <c r="AC554" s="5" t="n">
        <v>775.782</v>
      </c>
      <c r="AD554" s="5" t="n">
        <v>450.819</v>
      </c>
      <c r="AE554" s="5" t="n">
        <v>202.638</v>
      </c>
    </row>
    <row r="555" ht="13.5" customHeight="1">
      <c r="A555" s="6" t="n">
        <v>45901</v>
      </c>
      <c r="B555" s="8" t="n">
        <v>197.86</v>
      </c>
      <c r="C555" s="8" t="n"/>
      <c r="D555" s="8" t="n"/>
      <c r="G555" s="8" t="n"/>
      <c r="H555" s="8" t="n">
        <v>1240</v>
      </c>
      <c r="J555" s="8">
        <f>soy_crush!D129-B555</f>
        <v/>
      </c>
      <c r="K555" s="13">
        <f>J555/B555</f>
        <v/>
      </c>
      <c r="Q555" s="56">
        <f>B555/30</f>
        <v/>
      </c>
      <c r="T555" s="5" t="n">
        <v>2406.039</v>
      </c>
      <c r="V555" s="5" t="n">
        <v>1994.659</v>
      </c>
      <c r="W555" s="5" t="n">
        <v>1944.785</v>
      </c>
      <c r="Y555" s="5" t="n">
        <v>1955.715</v>
      </c>
      <c r="Z555" s="5" t="n">
        <v>615.0069999999999</v>
      </c>
      <c r="AA555" s="5" t="n">
        <v>1340.708</v>
      </c>
      <c r="AB555" s="5" t="n">
        <v>1310.116</v>
      </c>
      <c r="AC555" s="5" t="n">
        <v>743.708</v>
      </c>
      <c r="AD555" s="5" t="n">
        <v>436.885</v>
      </c>
      <c r="AE555" s="5" t="n">
        <v>237.698</v>
      </c>
    </row>
    <row r="556" ht="13.5" customHeight="1">
      <c r="A556" s="6" t="n">
        <v>45931</v>
      </c>
      <c r="B556" s="8" t="n">
        <v>227.65</v>
      </c>
      <c r="C556" s="8" t="n"/>
      <c r="D556" s="8" t="n"/>
      <c r="G556" s="8" t="n"/>
      <c r="H556" s="8" t="n">
        <v>1305</v>
      </c>
      <c r="J556" s="8">
        <f>soy_crush!D130-B556</f>
        <v/>
      </c>
      <c r="K556" s="13">
        <f>J556/B556</f>
        <v/>
      </c>
      <c r="Q556" s="56">
        <f>B556/31</f>
        <v/>
      </c>
      <c r="T556" s="5" t="n">
        <v>2740.993</v>
      </c>
      <c r="V556" s="5" t="n">
        <v>2135.105</v>
      </c>
      <c r="W556" s="5" t="n">
        <v>2079.68</v>
      </c>
      <c r="Y556" s="5" t="n">
        <v>2072.316</v>
      </c>
      <c r="Z556" s="5" t="n">
        <v>686.043</v>
      </c>
      <c r="AA556" s="5" t="n">
        <v>1386.273</v>
      </c>
      <c r="AB556" s="5" t="n">
        <v>1357.635</v>
      </c>
      <c r="AC556" s="5" t="n">
        <v>764.046</v>
      </c>
      <c r="AD556" s="5" t="n">
        <v>428.832</v>
      </c>
      <c r="AE556" s="5" t="n">
        <v>261.997</v>
      </c>
    </row>
    <row r="557" ht="13.5" customHeight="1">
      <c r="A557" s="6" t="n">
        <v>45962</v>
      </c>
      <c r="B557" s="8" t="n">
        <v>216.041</v>
      </c>
      <c r="C557" s="8" t="n"/>
      <c r="D557" s="8" t="n"/>
      <c r="G557" s="8" t="n"/>
      <c r="H557" s="8" t="n">
        <v>1513</v>
      </c>
      <c r="J557" s="8">
        <f>soy_crush!D131-B557</f>
        <v/>
      </c>
      <c r="K557" s="13">
        <f>J557/B557</f>
        <v/>
      </c>
      <c r="Q557" s="56">
        <f>B557/30</f>
        <v/>
      </c>
      <c r="T557" s="5" t="n">
        <v>2532.284</v>
      </c>
      <c r="V557" s="5" t="n">
        <v>1864.574</v>
      </c>
      <c r="W557" s="5" t="n">
        <v>1815.204</v>
      </c>
      <c r="Y557" s="5" t="n">
        <v>1779.33</v>
      </c>
      <c r="Z557" s="5" t="n">
        <v>574.811</v>
      </c>
      <c r="AA557" s="5" t="n">
        <v>1204.519</v>
      </c>
      <c r="AB557" s="5" t="n">
        <v>1487.461</v>
      </c>
      <c r="AC557" s="5" t="n">
        <v>879.067</v>
      </c>
      <c r="AD557" s="5" t="n">
        <v>467.125</v>
      </c>
      <c r="AE557" s="5" t="n">
        <v>281.462</v>
      </c>
    </row>
    <row r="558" ht="13.5" customHeight="1">
      <c r="A558" s="6" t="n">
        <v>45992</v>
      </c>
      <c r="B558" s="8" t="n"/>
      <c r="C558" s="8" t="n"/>
      <c r="D558" s="8" t="n"/>
      <c r="K558" s="13" t="n"/>
      <c r="Q558" s="56">
        <f>B558/31</f>
        <v/>
      </c>
      <c r="T558" s="5" t="n">
        <v>2657.399</v>
      </c>
      <c r="V558" s="5" t="n">
        <v>1956.195</v>
      </c>
      <c r="W558" s="5" t="n">
        <v>1908.224</v>
      </c>
      <c r="Y558" s="5" t="n">
        <v>1913.352</v>
      </c>
      <c r="Z558" s="5" t="n">
        <v>534.875</v>
      </c>
      <c r="AA558" s="5" t="n">
        <v>1378.477</v>
      </c>
      <c r="AB558" s="5" t="n">
        <v>1716.121</v>
      </c>
      <c r="AC558" s="5" t="n">
        <v>994.386</v>
      </c>
      <c r="AD558" s="5" t="n">
        <v>462.525</v>
      </c>
      <c r="AE558" s="5" t="n">
        <v>317.939</v>
      </c>
    </row>
    <row r="559" ht="13.5" customHeight="1">
      <c r="A559" s="6" t="n">
        <v>46023</v>
      </c>
      <c r="B559" s="8" t="n">
        <v>221.564</v>
      </c>
      <c r="D559" s="8" t="n"/>
      <c r="H559" s="5" t="n">
        <v>1900</v>
      </c>
      <c r="Q559" s="56">
        <f>B559/31</f>
        <v/>
      </c>
    </row>
    <row r="560" ht="13.5" customHeight="1">
      <c r="A560" s="6" t="n">
        <v>46054</v>
      </c>
      <c r="B560" s="8" t="n">
        <v>208.785</v>
      </c>
      <c r="C560" s="8">
        <f>B560*AVERAGE(E548,E536,E524,E512,E500)/2</f>
        <v/>
      </c>
      <c r="D560" s="8">
        <f>B560*AVERAGE(F548,F536,F524,F512,F500)</f>
        <v/>
      </c>
      <c r="H560" s="5" t="n">
        <v>2080</v>
      </c>
      <c r="Q560" s="56">
        <f>B560/28</f>
        <v/>
      </c>
      <c r="R560" s="56">
        <f>AVERAGE(Q548,Q536,Q524,Q512,Q500)</f>
        <v/>
      </c>
    </row>
    <row r="561">
      <c r="A561" s="6" t="n">
        <v>46082</v>
      </c>
      <c r="B561" s="8" t="n"/>
      <c r="C561" s="8" t="n"/>
      <c r="D561" s="8" t="n"/>
      <c r="R561" s="5">
        <f>Q560/R560-1</f>
        <v/>
      </c>
    </row>
    <row r="562">
      <c r="A562" s="6" t="n">
        <v>46113</v>
      </c>
      <c r="B562" s="8" t="n"/>
      <c r="C562" s="8" t="n"/>
      <c r="D562" s="8" t="n"/>
    </row>
    <row r="563">
      <c r="A563" s="6" t="n">
        <v>46143</v>
      </c>
      <c r="B563" s="8" t="n"/>
      <c r="C563" s="8" t="n"/>
      <c r="D563" s="8" t="n"/>
    </row>
    <row r="564">
      <c r="A564" s="6" t="n">
        <v>46174</v>
      </c>
      <c r="B564" s="8" t="n"/>
      <c r="C564" s="8" t="n"/>
      <c r="D564" s="8" t="n"/>
    </row>
    <row r="565">
      <c r="A565" s="6" t="n">
        <v>46204</v>
      </c>
      <c r="B565" s="8" t="n"/>
      <c r="C565" s="8" t="n"/>
      <c r="D565" s="8" t="n"/>
    </row>
    <row r="566">
      <c r="A566" s="6" t="n">
        <v>46235</v>
      </c>
      <c r="B566" s="8" t="n"/>
      <c r="C566" s="8" t="n"/>
      <c r="D566" s="8" t="n"/>
    </row>
    <row r="567">
      <c r="A567" s="6" t="n">
        <v>46266</v>
      </c>
      <c r="B567" s="8" t="n"/>
      <c r="C567" s="8" t="n"/>
      <c r="D567" s="8" t="n"/>
    </row>
    <row r="568">
      <c r="A568" s="6" t="n">
        <v>46296</v>
      </c>
      <c r="B568" s="8" t="n"/>
      <c r="C568" s="8" t="n"/>
      <c r="D568" s="8" t="n"/>
    </row>
    <row r="569">
      <c r="A569" s="6" t="n">
        <v>46327</v>
      </c>
      <c r="B569" s="8" t="n"/>
      <c r="C569" s="8" t="n"/>
      <c r="D569" s="8" t="n"/>
    </row>
    <row r="570">
      <c r="A570" s="6" t="n">
        <v>46357</v>
      </c>
      <c r="B570" s="8" t="n"/>
      <c r="C570" s="8" t="n"/>
      <c r="D570" s="8" t="n"/>
    </row>
    <row r="571">
      <c r="A571" s="6" t="n">
        <v>46388</v>
      </c>
      <c r="B571" s="8" t="n"/>
      <c r="C571" s="8" t="n"/>
      <c r="D571" s="8" t="n"/>
    </row>
    <row r="572">
      <c r="A572" s="6" t="n">
        <v>46419</v>
      </c>
      <c r="B572" s="8" t="n"/>
      <c r="C572" s="8" t="n"/>
      <c r="D572" s="8" t="n"/>
    </row>
    <row r="573">
      <c r="A573" s="6" t="n">
        <v>46447</v>
      </c>
      <c r="B573" s="8" t="n"/>
      <c r="C573" s="8" t="n"/>
      <c r="D573" s="8" t="n"/>
    </row>
    <row r="574">
      <c r="A574" s="6" t="n">
        <v>46478</v>
      </c>
      <c r="B574" s="8" t="n"/>
      <c r="C574" s="8" t="n"/>
      <c r="D574" s="8" t="n"/>
    </row>
    <row r="575">
      <c r="A575" s="6" t="n">
        <v>46508</v>
      </c>
      <c r="B575" s="8" t="n"/>
      <c r="C575" s="8" t="n"/>
      <c r="D575" s="8" t="n"/>
    </row>
    <row r="576">
      <c r="A576" s="6" t="n">
        <v>46539</v>
      </c>
      <c r="B576" s="8" t="n"/>
      <c r="C576" s="8" t="n"/>
      <c r="D576" s="8" t="n"/>
    </row>
    <row r="577">
      <c r="A577" s="6" t="n">
        <v>46569</v>
      </c>
      <c r="B577" s="8" t="n"/>
      <c r="C577" s="8" t="n"/>
      <c r="D577" s="8" t="n"/>
    </row>
    <row r="578">
      <c r="A578" s="6" t="n">
        <v>46600</v>
      </c>
      <c r="B578" s="8" t="n"/>
      <c r="C578" s="8" t="n"/>
      <c r="D578" s="8" t="n"/>
    </row>
    <row r="579">
      <c r="A579" s="6" t="n">
        <v>46631</v>
      </c>
      <c r="B579" s="8" t="n"/>
      <c r="C579" s="8" t="n"/>
      <c r="D579" s="8" t="n"/>
    </row>
    <row r="580">
      <c r="A580" s="6" t="n">
        <v>46661</v>
      </c>
      <c r="B580" s="8" t="n"/>
      <c r="C580" s="8" t="n"/>
      <c r="D580" s="8" t="n"/>
    </row>
    <row r="581">
      <c r="A581" s="6" t="n">
        <v>46692</v>
      </c>
      <c r="B581" s="8" t="n"/>
      <c r="C581" s="8" t="n"/>
      <c r="D581" s="8" t="n"/>
    </row>
    <row r="582">
      <c r="A582" s="6" t="n">
        <v>46722</v>
      </c>
      <c r="B582" s="8" t="n"/>
      <c r="C582" s="8" t="n"/>
      <c r="D582" s="8" t="n"/>
    </row>
    <row r="583">
      <c r="A583" s="6" t="n">
        <v>46753</v>
      </c>
      <c r="B583" s="8" t="n"/>
      <c r="C583" s="8" t="n"/>
      <c r="D583" s="8" t="n"/>
    </row>
    <row r="584">
      <c r="A584" s="6" t="n">
        <v>46784</v>
      </c>
      <c r="B584" s="8" t="n"/>
      <c r="C584" s="8" t="n"/>
      <c r="D584" s="8" t="n"/>
    </row>
    <row r="585">
      <c r="A585" s="6" t="n">
        <v>46813</v>
      </c>
      <c r="B585" s="8" t="n"/>
      <c r="C585" s="8" t="n"/>
      <c r="D585" s="8" t="n"/>
    </row>
    <row r="586">
      <c r="A586" s="6" t="n">
        <v>46844</v>
      </c>
      <c r="B586" s="8" t="n"/>
      <c r="C586" s="8" t="n"/>
      <c r="D586" s="8" t="n"/>
    </row>
    <row r="587">
      <c r="A587" s="6" t="n">
        <v>46874</v>
      </c>
      <c r="B587" s="8" t="n"/>
      <c r="C587" s="8" t="n"/>
      <c r="D587" s="8" t="n"/>
    </row>
    <row r="588">
      <c r="A588" s="6" t="n">
        <v>46905</v>
      </c>
      <c r="B588" s="8" t="n"/>
      <c r="C588" s="8" t="n"/>
      <c r="D588" s="8" t="n"/>
    </row>
    <row r="589">
      <c r="A589" s="6" t="n">
        <v>46935</v>
      </c>
      <c r="B589" s="8" t="n"/>
      <c r="C589" s="8" t="n"/>
      <c r="D589" s="8" t="n"/>
    </row>
    <row r="590">
      <c r="A590" s="6" t="n">
        <v>46966</v>
      </c>
      <c r="B590" s="8" t="n"/>
      <c r="C590" s="8" t="n"/>
      <c r="D590" s="8" t="n"/>
    </row>
    <row r="591">
      <c r="A591" s="6" t="n">
        <v>46997</v>
      </c>
      <c r="B591" s="8" t="n"/>
      <c r="C591" s="8" t="n"/>
      <c r="D591" s="8" t="n"/>
    </row>
    <row r="592">
      <c r="A592" s="6" t="n">
        <v>47027</v>
      </c>
      <c r="B592" s="8" t="n"/>
      <c r="C592" s="8" t="n"/>
      <c r="D592" s="8" t="n"/>
    </row>
    <row r="593">
      <c r="A593" s="6" t="n">
        <v>47058</v>
      </c>
      <c r="B593" s="8" t="n"/>
      <c r="C593" s="8" t="n"/>
      <c r="D593" s="8" t="n"/>
    </row>
    <row r="594">
      <c r="A594" s="6" t="n">
        <v>47088</v>
      </c>
      <c r="B594" s="8" t="n"/>
      <c r="C594" s="8" t="n"/>
      <c r="D594" s="8" t="n"/>
    </row>
    <row r="595">
      <c r="A595" s="6" t="n">
        <v>47119</v>
      </c>
      <c r="B595" s="8" t="n"/>
      <c r="C595" s="8" t="n"/>
      <c r="D595" s="8" t="n"/>
    </row>
    <row r="596">
      <c r="A596" s="6" t="n">
        <v>47150</v>
      </c>
      <c r="B596" s="8" t="n"/>
      <c r="C596" s="8" t="n"/>
      <c r="D596" s="8" t="n"/>
    </row>
    <row r="597">
      <c r="A597" s="6" t="n">
        <v>47178</v>
      </c>
      <c r="B597" s="8" t="n"/>
      <c r="C597" s="8" t="n"/>
      <c r="D597" s="8" t="n"/>
    </row>
    <row r="598">
      <c r="A598" s="6" t="n">
        <v>47209</v>
      </c>
      <c r="B598" s="8" t="n"/>
      <c r="C598" s="8" t="n"/>
      <c r="D598" s="8" t="n"/>
    </row>
    <row r="599">
      <c r="A599" s="6" t="n">
        <v>47239</v>
      </c>
      <c r="B599" s="8" t="n"/>
      <c r="C599" s="8" t="n"/>
      <c r="D599" s="8" t="n"/>
    </row>
    <row r="600">
      <c r="A600" s="6" t="n">
        <v>47270</v>
      </c>
      <c r="B600" s="8" t="n"/>
      <c r="C600" s="8" t="n"/>
      <c r="D600" s="8" t="n"/>
    </row>
    <row r="601">
      <c r="A601" s="6" t="n">
        <v>47300</v>
      </c>
      <c r="B601" s="8" t="n"/>
      <c r="C601" s="8" t="n"/>
      <c r="D601" s="8" t="n"/>
    </row>
    <row r="602">
      <c r="A602" s="6" t="n">
        <v>47331</v>
      </c>
      <c r="B602" s="8" t="n"/>
      <c r="C602" s="8" t="n"/>
      <c r="D602" s="8" t="n"/>
    </row>
    <row r="603">
      <c r="A603" s="6" t="n">
        <v>47362</v>
      </c>
      <c r="B603" s="8" t="n"/>
      <c r="C603" s="8" t="n"/>
      <c r="D603" s="8" t="n"/>
    </row>
    <row r="604">
      <c r="A604" s="6" t="n">
        <v>47392</v>
      </c>
      <c r="B604" s="8" t="n"/>
      <c r="C604" s="8" t="n"/>
      <c r="D604" s="8" t="n"/>
    </row>
    <row r="605">
      <c r="A605" s="6" t="n">
        <v>47423</v>
      </c>
      <c r="B605" s="8" t="n"/>
      <c r="C605" s="8" t="n"/>
      <c r="D605" s="8" t="n"/>
    </row>
    <row r="606">
      <c r="A606" s="6" t="n">
        <v>47453</v>
      </c>
      <c r="B606" s="8" t="n"/>
      <c r="C606" s="8" t="n"/>
      <c r="D606" s="8" t="n"/>
    </row>
    <row r="607">
      <c r="A607" s="6" t="n">
        <v>47484</v>
      </c>
      <c r="B607" s="8" t="n"/>
      <c r="C607" s="8" t="n"/>
      <c r="D607" s="8" t="n"/>
    </row>
    <row r="608">
      <c r="A608" s="6" t="n">
        <v>47515</v>
      </c>
      <c r="B608" s="8" t="n"/>
      <c r="C608" s="8" t="n"/>
      <c r="D608" s="8" t="n"/>
    </row>
    <row r="609">
      <c r="A609" s="6" t="n">
        <v>47543</v>
      </c>
      <c r="B609" s="8" t="n"/>
      <c r="C609" s="8" t="n"/>
      <c r="D609" s="8" t="n"/>
    </row>
    <row r="610">
      <c r="A610" s="6" t="n">
        <v>47574</v>
      </c>
      <c r="B610" s="8" t="n"/>
      <c r="C610" s="8" t="n"/>
      <c r="D610" s="8" t="n"/>
    </row>
    <row r="611">
      <c r="A611" s="6" t="n">
        <v>47604</v>
      </c>
      <c r="B611" s="8" t="n"/>
      <c r="C611" s="8" t="n"/>
      <c r="D611" s="8" t="n"/>
    </row>
    <row r="612">
      <c r="A612" s="6" t="n">
        <v>47635</v>
      </c>
      <c r="B612" s="8" t="n"/>
      <c r="C612" s="8" t="n"/>
      <c r="D612" s="8" t="n"/>
    </row>
    <row r="613">
      <c r="A613" s="6" t="n">
        <v>47665</v>
      </c>
      <c r="B613" s="8" t="n"/>
      <c r="C613" s="8" t="n"/>
      <c r="D613" s="8" t="n"/>
    </row>
    <row r="614">
      <c r="A614" s="6" t="n">
        <v>47696</v>
      </c>
      <c r="B614" s="8" t="n"/>
      <c r="C614" s="8" t="n"/>
      <c r="D614" s="8" t="n"/>
    </row>
    <row r="615">
      <c r="A615" s="6" t="n">
        <v>47727</v>
      </c>
      <c r="B615" s="8" t="n"/>
      <c r="C615" s="8" t="n"/>
      <c r="D615" s="8" t="n"/>
    </row>
    <row r="616">
      <c r="A616" s="6" t="n">
        <v>47757</v>
      </c>
      <c r="B616" s="8" t="n"/>
      <c r="C616" s="8" t="n"/>
      <c r="D616" s="8" t="n"/>
    </row>
    <row r="617">
      <c r="A617" s="6" t="n">
        <v>47788</v>
      </c>
      <c r="B617" s="8" t="n"/>
      <c r="C617" s="8" t="n"/>
      <c r="D617" s="8" t="n"/>
    </row>
    <row r="618">
      <c r="A618" s="6" t="n">
        <v>47818</v>
      </c>
      <c r="B618" s="8" t="n"/>
      <c r="C618" s="8" t="n"/>
      <c r="D618" s="8" t="n"/>
    </row>
    <row r="619">
      <c r="A619" s="6" t="n">
        <v>47849</v>
      </c>
      <c r="B619" s="8" t="n"/>
      <c r="C619" s="8" t="n"/>
      <c r="D619" s="8" t="n"/>
    </row>
    <row r="620">
      <c r="A620" s="6" t="n">
        <v>47880</v>
      </c>
      <c r="B620" s="8" t="n"/>
      <c r="C620" s="8" t="n"/>
      <c r="D620" s="8" t="n"/>
    </row>
    <row r="621">
      <c r="A621" s="6" t="n">
        <v>47908</v>
      </c>
      <c r="B621" s="8" t="n"/>
      <c r="C621" s="8" t="n"/>
      <c r="D621" s="8" t="n"/>
    </row>
    <row r="622">
      <c r="A622" s="6" t="n">
        <v>47939</v>
      </c>
      <c r="B622" s="8" t="n"/>
      <c r="C622" s="8" t="n"/>
      <c r="D622" s="8" t="n"/>
    </row>
    <row r="623">
      <c r="A623" s="6" t="n">
        <v>47969</v>
      </c>
      <c r="B623" s="8" t="n"/>
      <c r="C623" s="8" t="n"/>
      <c r="D623" s="8" t="n"/>
    </row>
    <row r="624">
      <c r="A624" s="6" t="n">
        <v>48000</v>
      </c>
      <c r="B624" s="8" t="n"/>
      <c r="C624" s="8" t="n"/>
      <c r="D624" s="8" t="n"/>
    </row>
    <row r="625">
      <c r="A625" s="6" t="n">
        <v>48030</v>
      </c>
      <c r="B625" s="8" t="n"/>
      <c r="C625" s="8" t="n"/>
      <c r="D625" s="8" t="n"/>
    </row>
    <row r="626">
      <c r="A626" s="6" t="n">
        <v>48061</v>
      </c>
      <c r="B626" s="8" t="n"/>
      <c r="C626" s="8" t="n"/>
      <c r="D626" s="8" t="n"/>
    </row>
    <row r="627">
      <c r="A627" s="6" t="n">
        <v>48092</v>
      </c>
      <c r="B627" s="8" t="n"/>
      <c r="C627" s="8" t="n"/>
      <c r="D627" s="8" t="n"/>
    </row>
    <row r="628">
      <c r="A628" s="6" t="n">
        <v>48122</v>
      </c>
      <c r="B628" s="8" t="n"/>
      <c r="C628" s="8" t="n"/>
      <c r="D628" s="8" t="n"/>
    </row>
    <row r="629">
      <c r="A629" s="6" t="n">
        <v>48153</v>
      </c>
      <c r="B629" s="8" t="n"/>
      <c r="C629" s="8" t="n"/>
      <c r="D629" s="8" t="n"/>
    </row>
    <row r="630">
      <c r="A630" s="6" t="n">
        <v>48183</v>
      </c>
      <c r="B630" s="8" t="n"/>
      <c r="C630" s="8" t="n"/>
      <c r="D630" s="8" t="n"/>
    </row>
    <row r="631">
      <c r="A631" s="6" t="n">
        <v>48214</v>
      </c>
      <c r="B631" s="8" t="n"/>
      <c r="C631" s="8" t="n"/>
      <c r="D631" s="8" t="n"/>
    </row>
    <row r="632">
      <c r="A632" s="6" t="n">
        <v>48245</v>
      </c>
      <c r="B632" s="8" t="n"/>
      <c r="C632" s="8" t="n"/>
      <c r="D632" s="8" t="n"/>
    </row>
    <row r="633">
      <c r="A633" s="6" t="n">
        <v>48274</v>
      </c>
      <c r="B633" s="8" t="n"/>
      <c r="C633" s="8" t="n"/>
      <c r="D633" s="8" t="n"/>
    </row>
    <row r="634">
      <c r="A634" s="6" t="n">
        <v>48305</v>
      </c>
      <c r="B634" s="8" t="n"/>
      <c r="C634" s="8" t="n"/>
      <c r="D634" s="8" t="n"/>
    </row>
    <row r="635">
      <c r="A635" s="6" t="n">
        <v>48335</v>
      </c>
      <c r="B635" s="8" t="n"/>
      <c r="C635" s="8" t="n"/>
      <c r="D635" s="8" t="n"/>
    </row>
    <row r="636">
      <c r="A636" s="6" t="n">
        <v>48366</v>
      </c>
      <c r="B636" s="8" t="n"/>
      <c r="C636" s="8" t="n"/>
      <c r="D636" s="8" t="n"/>
    </row>
    <row r="637">
      <c r="A637" s="6" t="n">
        <v>48396</v>
      </c>
      <c r="B637" s="8" t="n"/>
      <c r="C637" s="8" t="n"/>
      <c r="D637" s="8" t="n"/>
    </row>
    <row r="638">
      <c r="A638" s="6" t="n">
        <v>48427</v>
      </c>
      <c r="B638" s="8" t="n"/>
      <c r="C638" s="8" t="n"/>
      <c r="D638" s="8" t="n"/>
    </row>
    <row r="639">
      <c r="A639" s="6" t="n">
        <v>48458</v>
      </c>
      <c r="B639" s="8" t="n"/>
      <c r="C639" s="8" t="n"/>
      <c r="D639" s="8" t="n"/>
    </row>
    <row r="640">
      <c r="A640" s="6" t="n">
        <v>48488</v>
      </c>
      <c r="B640" s="8" t="n"/>
      <c r="C640" s="8" t="n"/>
      <c r="D640" s="8" t="n"/>
    </row>
    <row r="641">
      <c r="A641" s="6" t="n">
        <v>48519</v>
      </c>
      <c r="B641" s="8" t="n"/>
      <c r="C641" s="8" t="n"/>
      <c r="D641" s="8" t="n"/>
    </row>
    <row r="642">
      <c r="A642" s="6" t="n">
        <v>48549</v>
      </c>
      <c r="B642" s="8" t="n"/>
      <c r="C642" s="8" t="n"/>
      <c r="D642" s="8" t="n"/>
    </row>
    <row r="643">
      <c r="A643" s="6" t="n">
        <v>48580</v>
      </c>
      <c r="B643" s="8" t="n"/>
      <c r="C643" s="8" t="n"/>
      <c r="D643" s="8" t="n"/>
    </row>
    <row r="644">
      <c r="A644" s="6" t="n">
        <v>48611</v>
      </c>
      <c r="B644" s="8" t="n"/>
      <c r="C644" s="8" t="n"/>
      <c r="D644" s="8" t="n"/>
    </row>
    <row r="645">
      <c r="A645" s="6" t="n">
        <v>48639</v>
      </c>
      <c r="B645" s="8" t="n"/>
      <c r="C645" s="8" t="n"/>
      <c r="D645" s="8" t="n"/>
    </row>
    <row r="646">
      <c r="A646" s="6" t="n">
        <v>48670</v>
      </c>
      <c r="B646" s="8" t="n"/>
      <c r="C646" s="8" t="n"/>
      <c r="D646" s="8" t="n"/>
    </row>
    <row r="647">
      <c r="A647" s="6" t="n">
        <v>48700</v>
      </c>
      <c r="B647" s="8" t="n"/>
      <c r="C647" s="8" t="n"/>
      <c r="D647" s="8" t="n"/>
    </row>
    <row r="648">
      <c r="A648" s="6" t="n">
        <v>48731</v>
      </c>
      <c r="B648" s="8" t="n"/>
      <c r="C648" s="8" t="n"/>
      <c r="D648" s="8" t="n"/>
    </row>
    <row r="649">
      <c r="A649" s="6" t="n">
        <v>48761</v>
      </c>
      <c r="B649" s="8" t="n"/>
      <c r="C649" s="8" t="n"/>
      <c r="D649" s="8" t="n"/>
    </row>
    <row r="650">
      <c r="A650" s="6" t="n">
        <v>48792</v>
      </c>
      <c r="B650" s="8" t="n"/>
      <c r="C650" s="8" t="n"/>
      <c r="D650" s="8" t="n"/>
    </row>
    <row r="651">
      <c r="A651" s="6" t="n">
        <v>48823</v>
      </c>
      <c r="B651" s="8" t="n"/>
      <c r="C651" s="8" t="n"/>
      <c r="D651" s="8" t="n"/>
    </row>
    <row r="652">
      <c r="A652" s="6" t="n">
        <v>48853</v>
      </c>
      <c r="B652" s="8" t="n"/>
      <c r="C652" s="8" t="n"/>
      <c r="D652" s="8" t="n"/>
    </row>
    <row r="653">
      <c r="A653" s="6" t="n">
        <v>48884</v>
      </c>
      <c r="B653" s="8" t="n"/>
      <c r="C653" s="8" t="n"/>
      <c r="D653" s="8" t="n"/>
    </row>
    <row r="654">
      <c r="A654" s="6" t="n">
        <v>48914</v>
      </c>
      <c r="B654" s="8" t="n"/>
      <c r="C654" s="8" t="n"/>
      <c r="D654" s="8" t="n"/>
    </row>
    <row r="655">
      <c r="A655" s="6" t="n">
        <v>48945</v>
      </c>
      <c r="B655" s="8" t="n"/>
      <c r="C655" s="8" t="n"/>
      <c r="D655" s="8" t="n"/>
    </row>
    <row r="656">
      <c r="A656" s="6" t="n">
        <v>48976</v>
      </c>
      <c r="B656" s="8" t="n"/>
      <c r="C656" s="8" t="n"/>
      <c r="D656" s="8" t="n"/>
    </row>
    <row r="657">
      <c r="A657" s="6" t="n">
        <v>49004</v>
      </c>
      <c r="B657" s="8" t="n"/>
      <c r="C657" s="8" t="n"/>
      <c r="D657" s="8" t="n"/>
    </row>
    <row r="658">
      <c r="A658" s="6" t="n">
        <v>49035</v>
      </c>
      <c r="B658" s="8" t="n"/>
      <c r="C658" s="8" t="n"/>
      <c r="D658" s="8" t="n"/>
    </row>
    <row r="659">
      <c r="A659" s="6" t="n">
        <v>49065</v>
      </c>
      <c r="B659" s="8" t="n"/>
      <c r="C659" s="8" t="n"/>
      <c r="D659" s="8" t="n"/>
    </row>
    <row r="660">
      <c r="A660" s="6" t="n">
        <v>49096</v>
      </c>
      <c r="B660" s="8" t="n"/>
      <c r="C660" s="8" t="n"/>
      <c r="D660" s="8" t="n"/>
    </row>
    <row r="661">
      <c r="A661" s="6" t="n">
        <v>49126</v>
      </c>
      <c r="B661" s="8" t="n"/>
      <c r="C661" s="8" t="n"/>
      <c r="D661" s="8" t="n"/>
    </row>
    <row r="662">
      <c r="A662" s="6" t="n">
        <v>49157</v>
      </c>
      <c r="B662" s="8" t="n"/>
      <c r="C662" s="8" t="n"/>
      <c r="D662" s="8" t="n"/>
    </row>
    <row r="663">
      <c r="A663" s="6" t="n">
        <v>49188</v>
      </c>
      <c r="B663" s="8" t="n"/>
      <c r="C663" s="8" t="n"/>
      <c r="D663" s="8" t="n"/>
    </row>
    <row r="664">
      <c r="A664" s="6" t="n">
        <v>49218</v>
      </c>
      <c r="B664" s="8" t="n"/>
      <c r="C664" s="8" t="n"/>
      <c r="D664" s="8" t="n"/>
    </row>
    <row r="665">
      <c r="A665" s="6" t="n">
        <v>49249</v>
      </c>
      <c r="B665" s="8" t="n"/>
      <c r="C665" s="8" t="n"/>
      <c r="D665" s="8" t="n"/>
    </row>
    <row r="666">
      <c r="A666" s="6" t="n">
        <v>49279</v>
      </c>
      <c r="B666" s="8" t="n"/>
      <c r="C666" s="8" t="n"/>
      <c r="D666" s="8" t="n"/>
    </row>
    <row r="667">
      <c r="A667" s="6" t="n">
        <v>49310</v>
      </c>
      <c r="B667" s="8" t="n"/>
      <c r="C667" s="8" t="n"/>
      <c r="D667" s="8" t="n"/>
    </row>
    <row r="668">
      <c r="A668" s="6" t="n">
        <v>49341</v>
      </c>
      <c r="B668" s="8" t="n"/>
      <c r="C668" s="8" t="n"/>
      <c r="D668" s="8" t="n"/>
    </row>
    <row r="669">
      <c r="A669" s="6" t="n">
        <v>49369</v>
      </c>
      <c r="B669" s="8" t="n"/>
      <c r="C669" s="8" t="n"/>
      <c r="D669" s="8" t="n"/>
    </row>
    <row r="670">
      <c r="A670" s="6" t="n">
        <v>49400</v>
      </c>
      <c r="B670" s="8" t="n"/>
      <c r="C670" s="8" t="n"/>
      <c r="D670" s="8" t="n"/>
    </row>
    <row r="671">
      <c r="A671" s="6" t="n">
        <v>49430</v>
      </c>
      <c r="B671" s="8" t="n"/>
      <c r="C671" s="8" t="n"/>
      <c r="D671" s="8" t="n"/>
    </row>
    <row r="672">
      <c r="A672" s="6" t="n">
        <v>49461</v>
      </c>
      <c r="B672" s="8" t="n"/>
      <c r="C672" s="8" t="n"/>
      <c r="D672" s="8" t="n"/>
    </row>
    <row r="673">
      <c r="A673" s="6" t="n">
        <v>49491</v>
      </c>
      <c r="B673" s="8" t="n"/>
      <c r="C673" s="8" t="n"/>
      <c r="D673" s="8" t="n"/>
    </row>
    <row r="674">
      <c r="A674" s="6" t="n">
        <v>49522</v>
      </c>
      <c r="B674" s="8" t="n"/>
      <c r="C674" s="8" t="n"/>
      <c r="D674" s="8" t="n"/>
    </row>
    <row r="675">
      <c r="A675" s="6" t="n">
        <v>49553</v>
      </c>
      <c r="B675" s="8" t="n"/>
      <c r="C675" s="8" t="n"/>
      <c r="D675" s="8" t="n"/>
    </row>
    <row r="676">
      <c r="A676" s="6" t="n">
        <v>49583</v>
      </c>
      <c r="B676" s="8" t="n"/>
      <c r="C676" s="8" t="n"/>
      <c r="D676" s="8" t="n"/>
    </row>
    <row r="677">
      <c r="A677" s="6" t="n">
        <v>49614</v>
      </c>
      <c r="B677" s="8" t="n"/>
      <c r="C677" s="8" t="n"/>
      <c r="D677" s="8" t="n"/>
    </row>
    <row r="678">
      <c r="A678" s="6" t="n">
        <v>49644</v>
      </c>
      <c r="B678" s="8" t="n"/>
      <c r="C678" s="8" t="n"/>
      <c r="D678" s="8" t="n"/>
    </row>
    <row r="679">
      <c r="A679" s="6" t="n">
        <v>49675</v>
      </c>
      <c r="B679" s="8" t="n"/>
      <c r="C679" s="8" t="n"/>
      <c r="D679" s="8" t="n"/>
    </row>
    <row r="680">
      <c r="A680" s="6" t="n">
        <v>49706</v>
      </c>
      <c r="B680" s="8" t="n"/>
      <c r="C680" s="8" t="n"/>
      <c r="D680" s="8" t="n"/>
    </row>
    <row r="681">
      <c r="A681" s="6" t="n">
        <v>49735</v>
      </c>
      <c r="B681" s="8" t="n"/>
      <c r="C681" s="8" t="n"/>
      <c r="D681" s="8" t="n"/>
    </row>
    <row r="682">
      <c r="A682" s="6" t="n">
        <v>49766</v>
      </c>
      <c r="B682" s="8" t="n"/>
      <c r="C682" s="8" t="n"/>
      <c r="D682" s="8" t="n"/>
    </row>
    <row r="683">
      <c r="A683" s="6" t="n">
        <v>49796</v>
      </c>
      <c r="B683" s="8" t="n"/>
      <c r="C683" s="8" t="n"/>
      <c r="D683" s="8" t="n"/>
    </row>
    <row r="684">
      <c r="A684" s="6" t="n">
        <v>49827</v>
      </c>
      <c r="B684" s="8" t="n"/>
      <c r="C684" s="8" t="n"/>
      <c r="D684" s="8" t="n"/>
    </row>
    <row r="685">
      <c r="A685" s="6" t="n">
        <v>49857</v>
      </c>
      <c r="B685" s="8" t="n"/>
      <c r="C685" s="8" t="n"/>
      <c r="D685" s="8" t="n"/>
    </row>
    <row r="686">
      <c r="A686" s="6" t="n">
        <v>49888</v>
      </c>
      <c r="B686" s="8" t="n"/>
      <c r="C686" s="8" t="n"/>
      <c r="D686" s="8" t="n"/>
    </row>
    <row r="687">
      <c r="A687" s="6" t="n">
        <v>49919</v>
      </c>
      <c r="B687" s="8" t="n"/>
      <c r="C687" s="8" t="n"/>
      <c r="D687" s="8" t="n"/>
    </row>
    <row r="688">
      <c r="A688" s="6" t="n">
        <v>49949</v>
      </c>
      <c r="B688" s="8" t="n"/>
      <c r="C688" s="8" t="n"/>
      <c r="D688" s="8" t="n"/>
    </row>
    <row r="689">
      <c r="A689" s="6" t="n">
        <v>49980</v>
      </c>
      <c r="B689" s="8" t="n"/>
      <c r="C689" s="8" t="n"/>
      <c r="D689" s="8" t="n"/>
    </row>
    <row r="690">
      <c r="A690" s="6" t="n">
        <v>50010</v>
      </c>
      <c r="B690" s="8" t="n"/>
      <c r="C690" s="8" t="n"/>
      <c r="D690" s="8" t="n"/>
    </row>
    <row r="691">
      <c r="A691" s="6" t="n">
        <v>50041</v>
      </c>
      <c r="B691" s="8" t="n"/>
      <c r="C691" s="8" t="n"/>
      <c r="D691" s="8" t="n"/>
    </row>
    <row r="692">
      <c r="A692" s="6" t="n">
        <v>50072</v>
      </c>
      <c r="B692" s="8" t="n"/>
      <c r="C692" s="8" t="n"/>
      <c r="D692" s="8" t="n"/>
    </row>
    <row r="693">
      <c r="A693" s="6" t="n">
        <v>50100</v>
      </c>
      <c r="B693" s="8" t="n"/>
      <c r="C693" s="8" t="n"/>
      <c r="D693" s="8" t="n"/>
    </row>
    <row r="694">
      <c r="A694" s="6" t="n">
        <v>50131</v>
      </c>
      <c r="B694" s="8" t="n"/>
      <c r="C694" s="8" t="n"/>
      <c r="D694" s="8" t="n"/>
    </row>
    <row r="695">
      <c r="A695" s="6" t="n">
        <v>50161</v>
      </c>
      <c r="B695" s="8" t="n"/>
      <c r="C695" s="8" t="n"/>
      <c r="D695" s="8" t="n"/>
    </row>
    <row r="696">
      <c r="A696" s="6" t="n">
        <v>50192</v>
      </c>
      <c r="B696" s="8" t="n"/>
      <c r="C696" s="8" t="n"/>
      <c r="D696" s="8" t="n"/>
    </row>
    <row r="697">
      <c r="A697" s="6" t="n">
        <v>50222</v>
      </c>
      <c r="B697" s="8" t="n"/>
      <c r="C697" s="8" t="n"/>
      <c r="D697" s="8" t="n"/>
    </row>
    <row r="698">
      <c r="A698" s="6" t="n">
        <v>50253</v>
      </c>
      <c r="B698" s="8" t="n"/>
      <c r="C698" s="8" t="n"/>
      <c r="D698" s="8" t="n"/>
    </row>
    <row r="699">
      <c r="A699" s="6" t="n">
        <v>50284</v>
      </c>
      <c r="B699" s="8" t="n"/>
      <c r="C699" s="8" t="n"/>
      <c r="D699" s="8" t="n"/>
    </row>
    <row r="700">
      <c r="A700" s="6" t="n">
        <v>50314</v>
      </c>
      <c r="B700" s="8" t="n"/>
      <c r="C700" s="8" t="n"/>
      <c r="D700" s="8" t="n"/>
    </row>
    <row r="701">
      <c r="A701" s="6" t="n">
        <v>50345</v>
      </c>
      <c r="B701" s="8" t="n"/>
      <c r="C701" s="8" t="n"/>
      <c r="D701" s="8" t="n"/>
    </row>
    <row r="702">
      <c r="A702" s="6" t="n">
        <v>50375</v>
      </c>
      <c r="B702" s="8" t="n"/>
      <c r="C702" s="8" t="n"/>
      <c r="D702" s="8" t="n"/>
    </row>
    <row r="703">
      <c r="A703" s="6" t="n">
        <v>50406</v>
      </c>
      <c r="B703" s="8" t="n"/>
      <c r="C703" s="8" t="n"/>
      <c r="D703" s="8" t="n"/>
    </row>
    <row r="704">
      <c r="A704" s="6" t="n">
        <v>50437</v>
      </c>
      <c r="B704" s="8" t="n"/>
      <c r="C704" s="8" t="n"/>
      <c r="D704" s="8" t="n"/>
    </row>
    <row r="705">
      <c r="A705" s="6" t="n">
        <v>50465</v>
      </c>
      <c r="B705" s="8" t="n"/>
      <c r="C705" s="8" t="n"/>
      <c r="D705" s="8" t="n"/>
    </row>
    <row r="706">
      <c r="A706" s="6" t="n">
        <v>50496</v>
      </c>
      <c r="B706" s="8" t="n"/>
      <c r="C706" s="8" t="n"/>
      <c r="D706" s="8" t="n"/>
    </row>
    <row r="707">
      <c r="A707" s="6" t="n">
        <v>50526</v>
      </c>
      <c r="B707" s="8" t="n"/>
      <c r="C707" s="8" t="n"/>
      <c r="D707" s="8" t="n"/>
    </row>
    <row r="708">
      <c r="A708" s="6" t="n">
        <v>50557</v>
      </c>
      <c r="B708" s="8" t="n"/>
      <c r="C708" s="8" t="n"/>
      <c r="D708" s="8" t="n"/>
    </row>
    <row r="709">
      <c r="A709" s="6" t="n">
        <v>50587</v>
      </c>
      <c r="B709" s="8" t="n"/>
      <c r="C709" s="8" t="n"/>
      <c r="D709" s="8" t="n"/>
    </row>
    <row r="710">
      <c r="A710" s="6" t="n">
        <v>50618</v>
      </c>
      <c r="B710" s="8" t="n"/>
      <c r="C710" s="8" t="n"/>
      <c r="D710" s="8" t="n"/>
    </row>
    <row r="711">
      <c r="A711" s="6" t="n">
        <v>50649</v>
      </c>
      <c r="B711" s="8" t="n"/>
      <c r="C711" s="8" t="n"/>
      <c r="D711" s="8" t="n"/>
    </row>
    <row r="712">
      <c r="A712" s="6" t="n">
        <v>50679</v>
      </c>
      <c r="B712" s="8" t="n"/>
      <c r="C712" s="8" t="n"/>
      <c r="D712" s="8" t="n"/>
    </row>
    <row r="713">
      <c r="A713" s="6" t="n">
        <v>50710</v>
      </c>
      <c r="B713" s="8" t="n"/>
      <c r="C713" s="8" t="n"/>
      <c r="D713" s="8" t="n"/>
    </row>
    <row r="714">
      <c r="A714" s="6" t="n">
        <v>50740</v>
      </c>
      <c r="B714" s="8" t="n"/>
      <c r="C714" s="8" t="n"/>
      <c r="D714" s="8" t="n"/>
    </row>
    <row r="715">
      <c r="A715" s="6" t="n">
        <v>50771</v>
      </c>
      <c r="B715" s="8" t="n"/>
      <c r="C715" s="8" t="n"/>
      <c r="D715" s="8" t="n"/>
    </row>
    <row r="716">
      <c r="A716" s="6" t="n">
        <v>50802</v>
      </c>
      <c r="B716" s="8" t="n"/>
      <c r="C716" s="8" t="n"/>
      <c r="D716" s="8" t="n"/>
    </row>
    <row r="717">
      <c r="A717" s="6" t="n">
        <v>50830</v>
      </c>
      <c r="B717" s="8" t="n"/>
      <c r="C717" s="8" t="n"/>
      <c r="D717" s="8" t="n"/>
    </row>
    <row r="718">
      <c r="A718" s="6" t="n">
        <v>50861</v>
      </c>
      <c r="B718" s="8" t="n"/>
      <c r="C718" s="8" t="n"/>
      <c r="D718" s="8" t="n"/>
    </row>
    <row r="719">
      <c r="A719" s="6" t="n">
        <v>50891</v>
      </c>
      <c r="B719" s="8" t="n"/>
      <c r="C719" s="8" t="n"/>
      <c r="D719" s="8" t="n"/>
    </row>
    <row r="720">
      <c r="A720" s="6" t="n">
        <v>50922</v>
      </c>
      <c r="B720" s="8" t="n"/>
      <c r="C720" s="8" t="n"/>
      <c r="D720" s="8" t="n"/>
    </row>
    <row r="721">
      <c r="A721" s="6" t="n">
        <v>50952</v>
      </c>
      <c r="B721" s="8" t="n"/>
      <c r="C721" s="8" t="n"/>
      <c r="D721" s="8" t="n"/>
    </row>
    <row r="722">
      <c r="A722" s="6" t="n">
        <v>50983</v>
      </c>
      <c r="B722" s="8" t="n"/>
      <c r="C722" s="8" t="n"/>
      <c r="D722" s="8" t="n"/>
    </row>
    <row r="723">
      <c r="A723" s="6" t="n">
        <v>51014</v>
      </c>
      <c r="B723" s="8" t="n"/>
      <c r="C723" s="8" t="n"/>
      <c r="D723" s="8" t="n"/>
    </row>
    <row r="724">
      <c r="A724" s="6" t="n">
        <v>51044</v>
      </c>
      <c r="B724" s="8" t="n"/>
      <c r="C724" s="8" t="n"/>
      <c r="D724" s="8" t="n"/>
    </row>
    <row r="725">
      <c r="A725" s="6" t="n">
        <v>51075</v>
      </c>
      <c r="B725" s="8" t="n"/>
      <c r="C725" s="8" t="n"/>
      <c r="D725" s="8" t="n"/>
    </row>
    <row r="726">
      <c r="A726" s="6" t="n">
        <v>51105</v>
      </c>
      <c r="B726" s="8" t="n"/>
      <c r="C726" s="8" t="n"/>
      <c r="D726" s="8" t="n"/>
    </row>
    <row r="727">
      <c r="A727" s="6" t="n">
        <v>51136</v>
      </c>
      <c r="B727" s="8" t="n"/>
      <c r="C727" s="8" t="n"/>
      <c r="D727" s="8" t="n"/>
    </row>
    <row r="728">
      <c r="A728" s="6" t="n">
        <v>51167</v>
      </c>
      <c r="B728" s="8" t="n"/>
      <c r="C728" s="8" t="n"/>
      <c r="D728" s="8" t="n"/>
    </row>
    <row r="729">
      <c r="A729" s="6" t="n">
        <v>51196</v>
      </c>
      <c r="B729" s="8" t="n"/>
      <c r="C729" s="8" t="n"/>
      <c r="D729" s="8" t="n"/>
    </row>
    <row r="730">
      <c r="A730" s="6" t="n">
        <v>51227</v>
      </c>
      <c r="B730" s="8" t="n"/>
      <c r="C730" s="8" t="n"/>
      <c r="D730" s="8" t="n"/>
    </row>
    <row r="731">
      <c r="A731" s="6" t="n">
        <v>51257</v>
      </c>
      <c r="B731" s="8" t="n"/>
      <c r="C731" s="8" t="n"/>
      <c r="D731" s="8" t="n"/>
    </row>
    <row r="732">
      <c r="A732" s="6" t="n">
        <v>51288</v>
      </c>
      <c r="B732" s="8" t="n"/>
      <c r="C732" s="8" t="n"/>
      <c r="D732" s="8" t="n"/>
    </row>
    <row r="733">
      <c r="A733" s="6" t="n">
        <v>51318</v>
      </c>
      <c r="B733" s="8" t="n"/>
      <c r="C733" s="8" t="n"/>
      <c r="D733" s="8" t="n"/>
    </row>
    <row r="734">
      <c r="A734" s="6" t="n">
        <v>51349</v>
      </c>
      <c r="B734" s="8" t="n"/>
      <c r="C734" s="8" t="n"/>
      <c r="D734" s="8" t="n"/>
    </row>
    <row r="735">
      <c r="A735" s="6" t="n">
        <v>51380</v>
      </c>
      <c r="B735" s="8" t="n"/>
      <c r="C735" s="8" t="n"/>
      <c r="D735" s="8" t="n"/>
    </row>
    <row r="736">
      <c r="A736" s="6" t="n">
        <v>51410</v>
      </c>
      <c r="B736" s="8" t="n"/>
      <c r="C736" s="8" t="n"/>
      <c r="D736" s="8" t="n"/>
    </row>
    <row r="737">
      <c r="A737" s="6" t="n">
        <v>51441</v>
      </c>
      <c r="B737" s="8" t="n"/>
      <c r="C737" s="8" t="n"/>
      <c r="D737" s="8" t="n"/>
    </row>
    <row r="738">
      <c r="A738" s="6" t="n">
        <v>51471</v>
      </c>
      <c r="B738" s="8" t="n"/>
      <c r="C738" s="8" t="n"/>
      <c r="D738" s="8" t="n"/>
    </row>
    <row r="739">
      <c r="A739" s="6" t="n">
        <v>51502</v>
      </c>
      <c r="B739" s="8" t="n"/>
      <c r="C739" s="8" t="n"/>
      <c r="D739" s="8" t="n"/>
    </row>
    <row r="740">
      <c r="A740" s="6" t="n">
        <v>51533</v>
      </c>
      <c r="B740" s="8" t="n"/>
      <c r="C740" s="8" t="n"/>
      <c r="D740" s="8" t="n"/>
    </row>
    <row r="741">
      <c r="A741" s="6" t="n">
        <v>51561</v>
      </c>
      <c r="B741" s="8" t="n"/>
      <c r="C741" s="8" t="n"/>
      <c r="D741" s="8" t="n"/>
    </row>
    <row r="742">
      <c r="A742" s="6" t="n">
        <v>51592</v>
      </c>
      <c r="B742" s="8" t="n"/>
      <c r="C742" s="8" t="n"/>
      <c r="D742" s="8" t="n"/>
    </row>
    <row r="743">
      <c r="A743" s="6" t="n">
        <v>51622</v>
      </c>
      <c r="B743" s="8" t="n"/>
      <c r="C743" s="8" t="n"/>
      <c r="D743" s="8" t="n"/>
    </row>
    <row r="744">
      <c r="A744" s="6" t="n">
        <v>51653</v>
      </c>
      <c r="B744" s="8" t="n"/>
      <c r="C744" s="8" t="n"/>
      <c r="D744" s="8" t="n"/>
    </row>
    <row r="745">
      <c r="A745" s="6" t="n">
        <v>51683</v>
      </c>
      <c r="B745" s="8" t="n"/>
      <c r="C745" s="8" t="n"/>
      <c r="D745" s="8" t="n"/>
    </row>
    <row r="746">
      <c r="A746" s="6" t="n">
        <v>51714</v>
      </c>
      <c r="B746" s="8" t="n"/>
      <c r="C746" s="8" t="n"/>
      <c r="D746" s="8" t="n"/>
    </row>
    <row r="747">
      <c r="A747" s="6" t="n">
        <v>51745</v>
      </c>
      <c r="B747" s="8" t="n"/>
      <c r="C747" s="8" t="n"/>
      <c r="D747" s="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AS571"/>
  <sheetViews>
    <sheetView tabSelected="1" workbookViewId="0">
      <pane xSplit="1" ySplit="3" topLeftCell="AD554" activePane="bottomRight" state="frozen"/>
      <selection pane="topRight" activeCell="A1" sqref="A1"/>
      <selection pane="bottomLeft" activeCell="A1" sqref="A1"/>
      <selection pane="bottomRight" activeCell="AS392" sqref="AS392"/>
    </sheetView>
  </sheetViews>
  <sheetFormatPr baseColWidth="8" defaultRowHeight="15"/>
  <cols>
    <col width="10" customWidth="1" min="1" max="1"/>
    <col width="12" customWidth="1" min="2" max="42"/>
    <col width="10.42578125" bestFit="1" customWidth="1" min="43" max="43"/>
    <col width="9.42578125" bestFit="1" customWidth="1" min="45" max="45"/>
  </cols>
  <sheetData>
    <row r="1">
      <c r="B1" s="57" t="inlineStr">
        <is>
          <t>Choice White Grease</t>
        </is>
      </c>
      <c r="F1" s="57" t="inlineStr">
        <is>
          <t>Feather Meal</t>
        </is>
      </c>
      <c r="I1" s="57" t="inlineStr">
        <is>
          <t>Lard</t>
        </is>
      </c>
      <c r="M1" s="57" t="inlineStr">
        <is>
          <t>Meat and Bone Meal</t>
        </is>
      </c>
      <c r="P1" s="57" t="inlineStr">
        <is>
          <t>Other Grease</t>
        </is>
      </c>
      <c r="T1" s="57" t="inlineStr">
        <is>
          <t>Poultry Fats</t>
        </is>
      </c>
      <c r="X1" s="57" t="inlineStr">
        <is>
          <t>Poultry By-Product</t>
        </is>
      </c>
      <c r="AA1" s="57" t="inlineStr">
        <is>
          <t>Edible Tallow</t>
        </is>
      </c>
      <c r="AE1" s="57" t="inlineStr">
        <is>
          <t>Inedible Tallow</t>
        </is>
      </c>
      <c r="AI1" s="57" t="inlineStr">
        <is>
          <t>Technical Tallow</t>
        </is>
      </c>
      <c r="AM1" s="57" t="inlineStr">
        <is>
          <t>Yellow Grease</t>
        </is>
      </c>
      <c r="AQ1" s="62" t="inlineStr">
        <is>
          <t>Used Cooking Oil</t>
        </is>
      </c>
    </row>
    <row r="2">
      <c r="A2" s="58" t="inlineStr">
        <is>
          <t>Date</t>
        </is>
      </c>
      <c r="B2" s="58" t="inlineStr">
        <is>
          <t>Production</t>
        </is>
      </c>
      <c r="C2" s="58" t="inlineStr">
        <is>
          <t>Processing Use</t>
        </is>
      </c>
      <c r="D2" s="58" t="inlineStr">
        <is>
          <t>End-of-Month Stocks</t>
        </is>
      </c>
      <c r="F2" s="58" t="inlineStr">
        <is>
          <t>Production</t>
        </is>
      </c>
      <c r="G2" s="58" t="inlineStr">
        <is>
          <t>End-of-Month Stocks</t>
        </is>
      </c>
      <c r="I2" s="58" t="inlineStr">
        <is>
          <t>Production</t>
        </is>
      </c>
      <c r="J2" s="58" t="inlineStr">
        <is>
          <t>Processing Use</t>
        </is>
      </c>
      <c r="K2" s="58" t="inlineStr">
        <is>
          <t>End-of-Month Stocks</t>
        </is>
      </c>
      <c r="M2" s="58" t="inlineStr">
        <is>
          <t>Production</t>
        </is>
      </c>
      <c r="N2" s="58" t="inlineStr">
        <is>
          <t>End-of-Month Stocks</t>
        </is>
      </c>
      <c r="P2" s="58" t="inlineStr">
        <is>
          <t>Production</t>
        </is>
      </c>
      <c r="Q2" s="58" t="inlineStr">
        <is>
          <t>Processing Use</t>
        </is>
      </c>
      <c r="R2" s="58" t="inlineStr">
        <is>
          <t>End-of-Month Stocks</t>
        </is>
      </c>
      <c r="T2" s="58" t="inlineStr">
        <is>
          <t>Production</t>
        </is>
      </c>
      <c r="U2" s="58" t="inlineStr">
        <is>
          <t>Processing Use</t>
        </is>
      </c>
      <c r="V2" s="58" t="inlineStr">
        <is>
          <t>End-of-Month Stocks</t>
        </is>
      </c>
      <c r="X2" s="58" t="inlineStr">
        <is>
          <t>Production</t>
        </is>
      </c>
      <c r="Y2" s="58" t="inlineStr">
        <is>
          <t>End-of-Month Stocks</t>
        </is>
      </c>
      <c r="AA2" s="58" t="inlineStr">
        <is>
          <t>Production</t>
        </is>
      </c>
      <c r="AB2" s="58" t="inlineStr">
        <is>
          <t>Processing Use</t>
        </is>
      </c>
      <c r="AC2" s="58" t="inlineStr">
        <is>
          <t>End-of-Month Stocks</t>
        </is>
      </c>
      <c r="AE2" s="58" t="inlineStr">
        <is>
          <t>Production</t>
        </is>
      </c>
      <c r="AF2" s="58" t="inlineStr">
        <is>
          <t>Processing Use</t>
        </is>
      </c>
      <c r="AG2" s="58" t="inlineStr">
        <is>
          <t>End-of-Month Stocks</t>
        </is>
      </c>
      <c r="AI2" s="58" t="inlineStr">
        <is>
          <t>Production</t>
        </is>
      </c>
      <c r="AJ2" s="58" t="inlineStr">
        <is>
          <t>Processing Use</t>
        </is>
      </c>
      <c r="AK2" s="58" t="inlineStr">
        <is>
          <t>End-of-Month Stocks</t>
        </is>
      </c>
      <c r="AM2" s="58" t="inlineStr">
        <is>
          <t>Production</t>
        </is>
      </c>
      <c r="AN2" s="58" t="inlineStr">
        <is>
          <t>Processing Use</t>
        </is>
      </c>
      <c r="AO2" s="58" t="inlineStr">
        <is>
          <t>End-of-Month Stocks</t>
        </is>
      </c>
      <c r="AQ2" s="62" t="inlineStr">
        <is>
          <t>Collection (Est.)</t>
        </is>
      </c>
      <c r="AR2" s="62" t="inlineStr">
        <is>
          <t>Processing Use</t>
        </is>
      </c>
      <c r="AS2" s="62" t="inlineStr">
        <is>
          <t>End-of-Month Stocks</t>
        </is>
      </c>
    </row>
    <row r="3">
      <c r="B3" s="59" t="inlineStr">
        <is>
          <t>mil lbs</t>
        </is>
      </c>
      <c r="C3" s="59" t="inlineStr">
        <is>
          <t>mil lbs</t>
        </is>
      </c>
      <c r="D3" s="59" t="inlineStr">
        <is>
          <t>mil lbs</t>
        </is>
      </c>
      <c r="F3" s="59" t="inlineStr">
        <is>
          <t>mil lbs</t>
        </is>
      </c>
      <c r="G3" s="59" t="inlineStr">
        <is>
          <t>mil lbs</t>
        </is>
      </c>
      <c r="I3" s="59" t="inlineStr">
        <is>
          <t>mil lbs</t>
        </is>
      </c>
      <c r="J3" s="59" t="inlineStr">
        <is>
          <t>mil lbs</t>
        </is>
      </c>
      <c r="K3" s="59" t="inlineStr">
        <is>
          <t>mil lbs</t>
        </is>
      </c>
      <c r="M3" s="59" t="inlineStr">
        <is>
          <t>mil lbs</t>
        </is>
      </c>
      <c r="N3" s="59" t="inlineStr">
        <is>
          <t>mil lbs</t>
        </is>
      </c>
      <c r="P3" s="59" t="inlineStr">
        <is>
          <t>mil lbs</t>
        </is>
      </c>
      <c r="Q3" s="59" t="inlineStr">
        <is>
          <t>mil lbs</t>
        </is>
      </c>
      <c r="R3" s="59" t="inlineStr">
        <is>
          <t>mil lbs</t>
        </is>
      </c>
      <c r="T3" s="59" t="inlineStr">
        <is>
          <t>mil lbs</t>
        </is>
      </c>
      <c r="U3" s="59" t="inlineStr">
        <is>
          <t>mil lbs</t>
        </is>
      </c>
      <c r="V3" s="59" t="inlineStr">
        <is>
          <t>mil lbs</t>
        </is>
      </c>
      <c r="X3" s="59" t="inlineStr">
        <is>
          <t>mil lbs</t>
        </is>
      </c>
      <c r="Y3" s="59" t="inlineStr">
        <is>
          <t>mil lbs</t>
        </is>
      </c>
      <c r="AA3" s="59" t="inlineStr">
        <is>
          <t>mil lbs</t>
        </is>
      </c>
      <c r="AB3" s="59" t="inlineStr">
        <is>
          <t>mil lbs</t>
        </is>
      </c>
      <c r="AC3" s="59" t="inlineStr">
        <is>
          <t>mil lbs</t>
        </is>
      </c>
      <c r="AE3" s="59" t="inlineStr">
        <is>
          <t>mil lbs</t>
        </is>
      </c>
      <c r="AF3" s="59" t="inlineStr">
        <is>
          <t>mil lbs</t>
        </is>
      </c>
      <c r="AG3" s="59" t="inlineStr">
        <is>
          <t>mil lbs</t>
        </is>
      </c>
      <c r="AI3" s="59" t="inlineStr">
        <is>
          <t>mil lbs</t>
        </is>
      </c>
      <c r="AJ3" s="59" t="inlineStr">
        <is>
          <t>mil lbs</t>
        </is>
      </c>
      <c r="AK3" s="59" t="inlineStr">
        <is>
          <t>mil lbs</t>
        </is>
      </c>
      <c r="AM3" s="59" t="inlineStr">
        <is>
          <t>mil lbs</t>
        </is>
      </c>
      <c r="AN3" s="59" t="inlineStr">
        <is>
          <t>mil lbs</t>
        </is>
      </c>
      <c r="AO3" s="59" t="inlineStr">
        <is>
          <t>mil lbs</t>
        </is>
      </c>
      <c r="AQ3" s="63" t="inlineStr">
        <is>
          <t>mil lbs</t>
        </is>
      </c>
      <c r="AR3" s="63" t="inlineStr">
        <is>
          <t>mil lbs</t>
        </is>
      </c>
      <c r="AS3" s="63" t="inlineStr">
        <is>
          <t>mil lbs</t>
        </is>
      </c>
    </row>
    <row r="4">
      <c r="A4" s="60" t="n">
        <v>29099</v>
      </c>
      <c r="B4" s="66" t="n"/>
      <c r="C4" s="66" t="n"/>
      <c r="D4" s="66" t="n"/>
      <c r="E4" s="66" t="n"/>
      <c r="F4" s="66" t="n"/>
      <c r="G4" s="66" t="n"/>
      <c r="H4" s="66" t="n"/>
      <c r="I4" s="66" t="n"/>
      <c r="J4" s="66" t="n"/>
      <c r="K4" s="66" t="n"/>
      <c r="L4" s="66" t="n"/>
      <c r="M4" s="66" t="n"/>
      <c r="N4" s="66" t="n"/>
      <c r="O4" s="66" t="n"/>
      <c r="P4" s="66" t="n"/>
      <c r="Q4" s="66" t="n"/>
      <c r="R4" s="66" t="n"/>
      <c r="S4" s="66" t="n"/>
      <c r="T4" s="66" t="n"/>
      <c r="U4" s="66" t="n"/>
      <c r="V4" s="66" t="n"/>
      <c r="W4" s="66" t="n"/>
      <c r="X4" s="66" t="n"/>
      <c r="Y4" s="66" t="n"/>
      <c r="Z4" s="66" t="n"/>
      <c r="AA4" s="66" t="n"/>
      <c r="AB4" s="66" t="n"/>
      <c r="AC4" s="66" t="n"/>
      <c r="AD4" s="66" t="n"/>
      <c r="AE4" s="66" t="n"/>
      <c r="AF4" s="66" t="n"/>
      <c r="AG4" s="66" t="n"/>
      <c r="AH4" s="66" t="n"/>
      <c r="AI4" s="66" t="n"/>
      <c r="AJ4" s="66" t="n"/>
      <c r="AK4" s="66" t="n"/>
      <c r="AL4" s="66" t="n"/>
      <c r="AM4" s="66" t="n"/>
      <c r="AN4" s="66" t="n"/>
      <c r="AO4" s="66" t="n"/>
      <c r="AP4" s="66" t="n"/>
      <c r="AQ4" s="66" t="n"/>
    </row>
    <row r="5">
      <c r="A5" s="60" t="n">
        <v>29129</v>
      </c>
      <c r="B5" s="66" t="n"/>
      <c r="C5" s="66" t="n"/>
      <c r="D5" s="66" t="n"/>
      <c r="E5" s="66" t="n"/>
      <c r="F5" s="66" t="n"/>
      <c r="G5" s="66" t="n"/>
      <c r="H5" s="66" t="n"/>
      <c r="I5" s="66" t="n"/>
      <c r="J5" s="66" t="n"/>
      <c r="K5" s="66" t="n"/>
      <c r="L5" s="66" t="n"/>
      <c r="M5" s="66" t="n"/>
      <c r="N5" s="66" t="n"/>
      <c r="O5" s="66" t="n"/>
      <c r="P5" s="66" t="n"/>
      <c r="Q5" s="66" t="n"/>
      <c r="R5" s="66" t="n"/>
      <c r="S5" s="66" t="n"/>
      <c r="T5" s="66" t="n"/>
      <c r="U5" s="66" t="n"/>
      <c r="V5" s="66" t="n"/>
      <c r="W5" s="66" t="n"/>
      <c r="X5" s="66" t="n"/>
      <c r="Y5" s="66" t="n"/>
      <c r="Z5" s="66" t="n"/>
      <c r="AA5" s="66" t="n"/>
      <c r="AB5" s="66" t="n"/>
      <c r="AC5" s="66" t="n"/>
      <c r="AD5" s="66" t="n"/>
      <c r="AE5" s="66" t="n"/>
      <c r="AF5" s="66" t="n"/>
      <c r="AG5" s="66" t="n"/>
      <c r="AH5" s="66" t="n"/>
      <c r="AI5" s="66" t="n"/>
      <c r="AJ5" s="66" t="n"/>
      <c r="AK5" s="66" t="n"/>
      <c r="AL5" s="66" t="n"/>
      <c r="AM5" s="66" t="n"/>
      <c r="AN5" s="66" t="n"/>
      <c r="AO5" s="66" t="n"/>
      <c r="AP5" s="66" t="n"/>
      <c r="AQ5" s="66" t="n"/>
    </row>
    <row r="6">
      <c r="A6" s="60" t="n">
        <v>29160</v>
      </c>
      <c r="B6" s="66" t="n"/>
      <c r="C6" s="66" t="n"/>
      <c r="D6" s="66" t="n"/>
      <c r="E6" s="66" t="n"/>
      <c r="F6" s="66" t="n"/>
      <c r="G6" s="66" t="n"/>
      <c r="H6" s="66" t="n"/>
      <c r="I6" s="66" t="n"/>
      <c r="J6" s="66" t="n"/>
      <c r="K6" s="66" t="n"/>
      <c r="L6" s="66" t="n"/>
      <c r="M6" s="66" t="n"/>
      <c r="N6" s="66" t="n"/>
      <c r="O6" s="66" t="n"/>
      <c r="P6" s="66" t="n"/>
      <c r="Q6" s="66" t="n"/>
      <c r="R6" s="66" t="n"/>
      <c r="S6" s="66" t="n"/>
      <c r="T6" s="66" t="n"/>
      <c r="U6" s="66" t="n"/>
      <c r="V6" s="66" t="n"/>
      <c r="W6" s="66" t="n"/>
      <c r="X6" s="66" t="n"/>
      <c r="Y6" s="66" t="n"/>
      <c r="Z6" s="66" t="n"/>
      <c r="AA6" s="66" t="n"/>
      <c r="AB6" s="66" t="n"/>
      <c r="AC6" s="66" t="n"/>
      <c r="AD6" s="66" t="n"/>
      <c r="AE6" s="66" t="n"/>
      <c r="AF6" s="66" t="n"/>
      <c r="AG6" s="66" t="n"/>
      <c r="AH6" s="66" t="n"/>
      <c r="AI6" s="66" t="n"/>
      <c r="AJ6" s="66" t="n"/>
      <c r="AK6" s="66" t="n"/>
      <c r="AL6" s="66" t="n"/>
      <c r="AM6" s="66" t="n"/>
      <c r="AN6" s="66" t="n"/>
      <c r="AO6" s="66" t="n"/>
      <c r="AP6" s="66" t="n"/>
      <c r="AQ6" s="66" t="n"/>
    </row>
    <row r="7">
      <c r="A7" s="60" t="n">
        <v>29190</v>
      </c>
      <c r="B7" s="66" t="n"/>
      <c r="C7" s="66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  <c r="X7" s="66" t="n"/>
      <c r="Y7" s="66" t="n"/>
      <c r="Z7" s="66" t="n"/>
      <c r="AA7" s="66" t="n"/>
      <c r="AB7" s="66" t="n"/>
      <c r="AC7" s="66" t="n"/>
      <c r="AD7" s="66" t="n"/>
      <c r="AE7" s="66" t="n"/>
      <c r="AF7" s="66" t="n"/>
      <c r="AG7" s="66" t="n"/>
      <c r="AH7" s="66" t="n"/>
      <c r="AI7" s="66" t="n"/>
      <c r="AJ7" s="66" t="n"/>
      <c r="AK7" s="66" t="n"/>
      <c r="AL7" s="66" t="n"/>
      <c r="AM7" s="66" t="n"/>
      <c r="AN7" s="66" t="n"/>
      <c r="AO7" s="66" t="n"/>
      <c r="AP7" s="66" t="n"/>
      <c r="AQ7" s="66" t="n"/>
    </row>
    <row r="8">
      <c r="A8" s="60" t="n">
        <v>29221</v>
      </c>
      <c r="B8" s="66" t="n"/>
      <c r="C8" s="66" t="n"/>
      <c r="D8" s="66" t="n"/>
      <c r="E8" s="66" t="n"/>
      <c r="F8" s="66" t="n"/>
      <c r="G8" s="66" t="n"/>
      <c r="H8" s="66" t="n"/>
      <c r="I8" s="66" t="n"/>
      <c r="J8" s="66" t="n"/>
      <c r="K8" s="66" t="n"/>
      <c r="L8" s="66" t="n"/>
      <c r="M8" s="66" t="n"/>
      <c r="N8" s="66" t="n"/>
      <c r="O8" s="66" t="n"/>
      <c r="P8" s="66" t="n"/>
      <c r="Q8" s="66" t="n"/>
      <c r="R8" s="66" t="n"/>
      <c r="S8" s="66" t="n"/>
      <c r="T8" s="66" t="n"/>
      <c r="U8" s="66" t="n"/>
      <c r="V8" s="66" t="n"/>
      <c r="W8" s="66" t="n"/>
      <c r="X8" s="66" t="n"/>
      <c r="Y8" s="66" t="n"/>
      <c r="Z8" s="66" t="n"/>
      <c r="AA8" s="66" t="n"/>
      <c r="AB8" s="66" t="n"/>
      <c r="AC8" s="66" t="n"/>
      <c r="AD8" s="66" t="n"/>
      <c r="AE8" s="66" t="n"/>
      <c r="AF8" s="66" t="n"/>
      <c r="AG8" s="66" t="n"/>
      <c r="AH8" s="66" t="n"/>
      <c r="AI8" s="66" t="n"/>
      <c r="AJ8" s="66" t="n"/>
      <c r="AK8" s="66" t="n"/>
      <c r="AL8" s="66" t="n"/>
      <c r="AM8" s="66" t="n"/>
      <c r="AN8" s="68">
        <f>RANDBETWEEN(0,5)</f>
        <v/>
      </c>
      <c r="AO8" s="66" t="n"/>
      <c r="AP8" s="66" t="n"/>
      <c r="AQ8" s="66" t="n">
        <v>186930000</v>
      </c>
      <c r="AS8" s="67">
        <f>RANDBETWEEN(1,5)*1000000</f>
        <v/>
      </c>
    </row>
    <row r="9">
      <c r="A9" s="60" t="n">
        <v>29252</v>
      </c>
      <c r="B9" s="66" t="n"/>
      <c r="C9" s="66" t="n"/>
      <c r="D9" s="66" t="n"/>
      <c r="E9" s="66" t="n"/>
      <c r="F9" s="66" t="n"/>
      <c r="G9" s="66" t="n"/>
      <c r="H9" s="66" t="n"/>
      <c r="I9" s="66" t="n"/>
      <c r="J9" s="66" t="n"/>
      <c r="K9" s="66" t="n"/>
      <c r="L9" s="66" t="n"/>
      <c r="M9" s="66" t="n"/>
      <c r="N9" s="66" t="n"/>
      <c r="O9" s="66" t="n"/>
      <c r="P9" s="66" t="n"/>
      <c r="Q9" s="66" t="n"/>
      <c r="R9" s="66" t="n"/>
      <c r="S9" s="66" t="n"/>
      <c r="T9" s="66" t="n"/>
      <c r="U9" s="66" t="n"/>
      <c r="V9" s="66" t="n"/>
      <c r="W9" s="66" t="n"/>
      <c r="X9" s="66" t="n"/>
      <c r="Y9" s="66" t="n"/>
      <c r="Z9" s="66" t="n"/>
      <c r="AA9" s="66" t="n"/>
      <c r="AB9" s="66" t="n"/>
      <c r="AC9" s="66" t="n"/>
      <c r="AD9" s="66" t="n"/>
      <c r="AE9" s="66" t="n"/>
      <c r="AF9" s="66" t="n"/>
      <c r="AG9" s="66" t="n"/>
      <c r="AH9" s="66" t="n"/>
      <c r="AI9" s="66" t="n"/>
      <c r="AJ9" s="66" t="n"/>
      <c r="AK9" s="66" t="n"/>
      <c r="AL9" s="66" t="n"/>
      <c r="AM9" s="66" t="n"/>
      <c r="AN9" s="66" t="n"/>
      <c r="AO9" s="66" t="n"/>
      <c r="AP9" s="66" t="n"/>
      <c r="AQ9" s="66" t="n">
        <v>186930000</v>
      </c>
      <c r="AS9" s="67">
        <f>RANDBETWEEN(1,5)*1000000</f>
        <v/>
      </c>
    </row>
    <row r="10">
      <c r="A10" s="60" t="n">
        <v>29281</v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66" t="n"/>
      <c r="K10" s="66" t="n"/>
      <c r="L10" s="66" t="n"/>
      <c r="M10" s="66" t="n"/>
      <c r="N10" s="66" t="n"/>
      <c r="O10" s="66" t="n"/>
      <c r="P10" s="66" t="n"/>
      <c r="Q10" s="66" t="n"/>
      <c r="R10" s="66" t="n"/>
      <c r="S10" s="66" t="n"/>
      <c r="T10" s="66" t="n"/>
      <c r="U10" s="66" t="n"/>
      <c r="V10" s="66" t="n"/>
      <c r="W10" s="66" t="n"/>
      <c r="X10" s="66" t="n"/>
      <c r="Y10" s="66" t="n"/>
      <c r="Z10" s="66" t="n"/>
      <c r="AA10" s="66" t="n"/>
      <c r="AB10" s="66" t="n"/>
      <c r="AC10" s="66" t="n"/>
      <c r="AD10" s="66" t="n"/>
      <c r="AE10" s="66" t="n"/>
      <c r="AF10" s="66" t="n"/>
      <c r="AG10" s="66" t="n"/>
      <c r="AH10" s="66" t="n"/>
      <c r="AI10" s="66" t="n"/>
      <c r="AJ10" s="66" t="n"/>
      <c r="AK10" s="66" t="n"/>
      <c r="AL10" s="66" t="n"/>
      <c r="AM10" s="66" t="n"/>
      <c r="AN10" s="66" t="n"/>
      <c r="AO10" s="66" t="n"/>
      <c r="AP10" s="66" t="n"/>
      <c r="AQ10" s="66" t="n">
        <v>186930000</v>
      </c>
      <c r="AS10" s="67">
        <f>RANDBETWEEN(1,5)*1000000</f>
        <v/>
      </c>
    </row>
    <row r="11">
      <c r="A11" s="60" t="n">
        <v>29312</v>
      </c>
      <c r="B11" s="66" t="n"/>
      <c r="C11" s="66" t="n"/>
      <c r="D11" s="66" t="n"/>
      <c r="E11" s="66" t="n"/>
      <c r="F11" s="66" t="n"/>
      <c r="G11" s="66" t="n"/>
      <c r="H11" s="66" t="n"/>
      <c r="I11" s="66" t="n"/>
      <c r="J11" s="66" t="n"/>
      <c r="K11" s="66" t="n"/>
      <c r="L11" s="66" t="n"/>
      <c r="M11" s="66" t="n"/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  <c r="AC11" s="66" t="n"/>
      <c r="AD11" s="66" t="n"/>
      <c r="AE11" s="66" t="n"/>
      <c r="AF11" s="66" t="n"/>
      <c r="AG11" s="66" t="n"/>
      <c r="AH11" s="66" t="n"/>
      <c r="AI11" s="66" t="n"/>
      <c r="AJ11" s="66" t="n"/>
      <c r="AK11" s="66" t="n"/>
      <c r="AL11" s="66" t="n"/>
      <c r="AM11" s="66" t="n"/>
      <c r="AN11" s="66" t="n"/>
      <c r="AO11" s="66" t="n"/>
      <c r="AP11" s="66" t="n"/>
      <c r="AQ11" s="66" t="n">
        <v>186930000</v>
      </c>
      <c r="AS11" s="67">
        <f>RANDBETWEEN(1,5)*1000000</f>
        <v/>
      </c>
    </row>
    <row r="12">
      <c r="A12" s="60" t="n">
        <v>29342</v>
      </c>
      <c r="B12" s="66" t="n"/>
      <c r="C12" s="66" t="n"/>
      <c r="D12" s="66" t="n"/>
      <c r="E12" s="66" t="n"/>
      <c r="F12" s="66" t="n"/>
      <c r="G12" s="66" t="n"/>
      <c r="H12" s="66" t="n"/>
      <c r="I12" s="66" t="n"/>
      <c r="J12" s="66" t="n"/>
      <c r="K12" s="66" t="n"/>
      <c r="L12" s="66" t="n"/>
      <c r="M12" s="66" t="n"/>
      <c r="N12" s="66" t="n"/>
      <c r="O12" s="66" t="n"/>
      <c r="P12" s="66" t="n"/>
      <c r="Q12" s="66" t="n"/>
      <c r="R12" s="66" t="n"/>
      <c r="S12" s="66" t="n"/>
      <c r="T12" s="66" t="n"/>
      <c r="U12" s="66" t="n"/>
      <c r="V12" s="66" t="n"/>
      <c r="W12" s="66" t="n"/>
      <c r="X12" s="66" t="n"/>
      <c r="Y12" s="66" t="n"/>
      <c r="Z12" s="66" t="n"/>
      <c r="AA12" s="66" t="n"/>
      <c r="AB12" s="66" t="n"/>
      <c r="AC12" s="66" t="n"/>
      <c r="AD12" s="66" t="n"/>
      <c r="AE12" s="66" t="n"/>
      <c r="AF12" s="66" t="n"/>
      <c r="AG12" s="66" t="n"/>
      <c r="AH12" s="66" t="n"/>
      <c r="AI12" s="66" t="n"/>
      <c r="AJ12" s="66" t="n"/>
      <c r="AK12" s="66" t="n"/>
      <c r="AL12" s="66" t="n"/>
      <c r="AM12" s="66" t="n"/>
      <c r="AN12" s="66" t="n"/>
      <c r="AO12" s="66" t="n"/>
      <c r="AP12" s="66" t="n"/>
      <c r="AQ12" s="66" t="n">
        <v>186930000</v>
      </c>
      <c r="AS12" s="67">
        <f>RANDBETWEEN(1,5)*1000000</f>
        <v/>
      </c>
    </row>
    <row r="13">
      <c r="A13" s="60" t="n">
        <v>29373</v>
      </c>
      <c r="B13" s="66" t="n"/>
      <c r="C13" s="66" t="n"/>
      <c r="D13" s="66" t="n"/>
      <c r="E13" s="66" t="n"/>
      <c r="F13" s="66" t="n"/>
      <c r="G13" s="66" t="n"/>
      <c r="H13" s="66" t="n"/>
      <c r="I13" s="66" t="n"/>
      <c r="J13" s="66" t="n"/>
      <c r="K13" s="66" t="n"/>
      <c r="L13" s="66" t="n"/>
      <c r="M13" s="66" t="n"/>
      <c r="N13" s="66" t="n"/>
      <c r="O13" s="66" t="n"/>
      <c r="P13" s="66" t="n"/>
      <c r="Q13" s="66" t="n"/>
      <c r="R13" s="66" t="n"/>
      <c r="S13" s="66" t="n"/>
      <c r="T13" s="66" t="n"/>
      <c r="U13" s="66" t="n"/>
      <c r="V13" s="66" t="n"/>
      <c r="W13" s="66" t="n"/>
      <c r="X13" s="66" t="n"/>
      <c r="Y13" s="66" t="n"/>
      <c r="Z13" s="66" t="n"/>
      <c r="AA13" s="66" t="n"/>
      <c r="AB13" s="66" t="n"/>
      <c r="AC13" s="66" t="n"/>
      <c r="AD13" s="66" t="n"/>
      <c r="AE13" s="66" t="n"/>
      <c r="AF13" s="66" t="n"/>
      <c r="AG13" s="66" t="n"/>
      <c r="AH13" s="66" t="n"/>
      <c r="AI13" s="66" t="n"/>
      <c r="AJ13" s="66" t="n"/>
      <c r="AK13" s="66" t="n"/>
      <c r="AL13" s="66" t="n"/>
      <c r="AM13" s="66" t="n"/>
      <c r="AN13" s="66" t="n"/>
      <c r="AO13" s="66" t="n"/>
      <c r="AP13" s="66" t="n"/>
      <c r="AQ13" s="66" t="n">
        <v>186930000</v>
      </c>
      <c r="AS13" s="67">
        <f>RANDBETWEEN(1,5)*1000000</f>
        <v/>
      </c>
    </row>
    <row r="14">
      <c r="A14" s="60" t="n">
        <v>29403</v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66" t="n"/>
      <c r="K14" s="66" t="n"/>
      <c r="L14" s="66" t="n"/>
      <c r="M14" s="66" t="n"/>
      <c r="N14" s="66" t="n"/>
      <c r="O14" s="66" t="n"/>
      <c r="P14" s="66" t="n"/>
      <c r="Q14" s="66" t="n"/>
      <c r="R14" s="66" t="n"/>
      <c r="S14" s="66" t="n"/>
      <c r="T14" s="66" t="n"/>
      <c r="U14" s="66" t="n"/>
      <c r="V14" s="66" t="n"/>
      <c r="W14" s="66" t="n"/>
      <c r="X14" s="66" t="n"/>
      <c r="Y14" s="66" t="n"/>
      <c r="Z14" s="66" t="n"/>
      <c r="AA14" s="66" t="n"/>
      <c r="AB14" s="66" t="n"/>
      <c r="AC14" s="66" t="n"/>
      <c r="AD14" s="66" t="n"/>
      <c r="AE14" s="66" t="n"/>
      <c r="AF14" s="66" t="n"/>
      <c r="AG14" s="66" t="n"/>
      <c r="AH14" s="66" t="n"/>
      <c r="AI14" s="66" t="n"/>
      <c r="AJ14" s="66" t="n"/>
      <c r="AK14" s="66" t="n"/>
      <c r="AL14" s="66" t="n"/>
      <c r="AM14" s="66" t="n"/>
      <c r="AN14" s="66" t="n"/>
      <c r="AO14" s="66" t="n"/>
      <c r="AP14" s="66" t="n"/>
      <c r="AQ14" s="66" t="n">
        <v>186930000</v>
      </c>
      <c r="AS14" s="67">
        <f>RANDBETWEEN(1,5)*1000000</f>
        <v/>
      </c>
    </row>
    <row r="15">
      <c r="A15" s="60" t="n">
        <v>29434</v>
      </c>
      <c r="B15" s="66" t="n"/>
      <c r="C15" s="66" t="n"/>
      <c r="D15" s="66" t="n"/>
      <c r="E15" s="66" t="n"/>
      <c r="F15" s="66" t="n"/>
      <c r="G15" s="66" t="n"/>
      <c r="H15" s="66" t="n"/>
      <c r="I15" s="66" t="n"/>
      <c r="J15" s="66" t="n"/>
      <c r="K15" s="66" t="n"/>
      <c r="L15" s="66" t="n"/>
      <c r="M15" s="66" t="n"/>
      <c r="N15" s="66" t="n"/>
      <c r="O15" s="66" t="n"/>
      <c r="P15" s="66" t="n"/>
      <c r="Q15" s="66" t="n"/>
      <c r="R15" s="66" t="n"/>
      <c r="S15" s="66" t="n"/>
      <c r="T15" s="66" t="n"/>
      <c r="U15" s="66" t="n"/>
      <c r="V15" s="66" t="n"/>
      <c r="W15" s="66" t="n"/>
      <c r="X15" s="66" t="n"/>
      <c r="Y15" s="66" t="n"/>
      <c r="Z15" s="66" t="n"/>
      <c r="AA15" s="66" t="n"/>
      <c r="AB15" s="66" t="n"/>
      <c r="AC15" s="66" t="n"/>
      <c r="AD15" s="66" t="n"/>
      <c r="AE15" s="66" t="n"/>
      <c r="AF15" s="66" t="n"/>
      <c r="AG15" s="66" t="n"/>
      <c r="AH15" s="66" t="n"/>
      <c r="AI15" s="66" t="n"/>
      <c r="AJ15" s="66" t="n"/>
      <c r="AK15" s="66" t="n"/>
      <c r="AL15" s="66" t="n"/>
      <c r="AM15" s="66" t="n"/>
      <c r="AN15" s="66" t="n"/>
      <c r="AO15" s="66" t="n"/>
      <c r="AP15" s="66" t="n"/>
      <c r="AQ15" s="66" t="n">
        <v>186930000</v>
      </c>
      <c r="AS15" s="67">
        <f>RANDBETWEEN(1,5)*1000000</f>
        <v/>
      </c>
    </row>
    <row r="16">
      <c r="A16" s="60" t="n">
        <v>29465</v>
      </c>
      <c r="B16" s="66" t="n"/>
      <c r="C16" s="66" t="n"/>
      <c r="D16" s="66" t="n"/>
      <c r="E16" s="66" t="n"/>
      <c r="F16" s="66" t="n"/>
      <c r="G16" s="66" t="n"/>
      <c r="H16" s="66" t="n"/>
      <c r="I16" s="66" t="n"/>
      <c r="J16" s="66" t="n"/>
      <c r="K16" s="66" t="n"/>
      <c r="L16" s="66" t="n"/>
      <c r="M16" s="66" t="n"/>
      <c r="N16" s="66" t="n"/>
      <c r="O16" s="66" t="n"/>
      <c r="P16" s="66" t="n"/>
      <c r="Q16" s="66" t="n"/>
      <c r="R16" s="66" t="n"/>
      <c r="S16" s="66" t="n"/>
      <c r="T16" s="66" t="n"/>
      <c r="U16" s="66" t="n"/>
      <c r="V16" s="66" t="n"/>
      <c r="W16" s="66" t="n"/>
      <c r="X16" s="66" t="n"/>
      <c r="Y16" s="66" t="n"/>
      <c r="Z16" s="66" t="n"/>
      <c r="AA16" s="66" t="n"/>
      <c r="AB16" s="66" t="n"/>
      <c r="AC16" s="66" t="n"/>
      <c r="AD16" s="66" t="n"/>
      <c r="AE16" s="66" t="n"/>
      <c r="AF16" s="66" t="n"/>
      <c r="AG16" s="66" t="n"/>
      <c r="AH16" s="66" t="n"/>
      <c r="AI16" s="66" t="n"/>
      <c r="AJ16" s="66" t="n"/>
      <c r="AK16" s="66" t="n"/>
      <c r="AL16" s="66" t="n"/>
      <c r="AM16" s="66" t="n"/>
      <c r="AN16" s="66" t="n"/>
      <c r="AO16" s="66" t="n"/>
      <c r="AP16" s="66" t="n"/>
      <c r="AQ16" s="66" t="n">
        <v>186930000</v>
      </c>
      <c r="AS16" s="67">
        <f>RANDBETWEEN(1,5)*1000000</f>
        <v/>
      </c>
    </row>
    <row r="17">
      <c r="A17" s="60" t="n">
        <v>29495</v>
      </c>
      <c r="B17" s="66" t="n"/>
      <c r="C17" s="66" t="n"/>
      <c r="D17" s="66" t="n"/>
      <c r="E17" s="66" t="n"/>
      <c r="F17" s="66" t="n"/>
      <c r="G17" s="66" t="n"/>
      <c r="H17" s="66" t="n"/>
      <c r="I17" s="66" t="n"/>
      <c r="J17" s="66" t="n"/>
      <c r="K17" s="66" t="n"/>
      <c r="L17" s="66" t="n"/>
      <c r="M17" s="66" t="n"/>
      <c r="N17" s="66" t="n"/>
      <c r="O17" s="66" t="n"/>
      <c r="P17" s="66" t="n"/>
      <c r="Q17" s="66" t="n"/>
      <c r="R17" s="66" t="n"/>
      <c r="S17" s="66" t="n"/>
      <c r="T17" s="66" t="n"/>
      <c r="U17" s="66" t="n"/>
      <c r="V17" s="66" t="n"/>
      <c r="W17" s="66" t="n"/>
      <c r="X17" s="66" t="n"/>
      <c r="Y17" s="66" t="n"/>
      <c r="Z17" s="66" t="n"/>
      <c r="AA17" s="66" t="n"/>
      <c r="AB17" s="66" t="n"/>
      <c r="AC17" s="66" t="n"/>
      <c r="AD17" s="66" t="n"/>
      <c r="AE17" s="66" t="n"/>
      <c r="AF17" s="66" t="n"/>
      <c r="AG17" s="66" t="n"/>
      <c r="AH17" s="66" t="n"/>
      <c r="AI17" s="66" t="n"/>
      <c r="AJ17" s="66" t="n"/>
      <c r="AK17" s="66" t="n"/>
      <c r="AL17" s="66" t="n"/>
      <c r="AM17" s="66" t="n"/>
      <c r="AN17" s="66" t="n"/>
      <c r="AO17" s="66" t="n"/>
      <c r="AP17" s="66" t="n"/>
      <c r="AQ17" s="66" t="n">
        <v>186930000</v>
      </c>
      <c r="AS17" s="67">
        <f>RANDBETWEEN(1,5)*1000000</f>
        <v/>
      </c>
    </row>
    <row r="18">
      <c r="A18" s="60" t="n">
        <v>29526</v>
      </c>
      <c r="B18" s="66" t="n"/>
      <c r="C18" s="66" t="n"/>
      <c r="D18" s="66" t="n"/>
      <c r="E18" s="66" t="n"/>
      <c r="F18" s="66" t="n"/>
      <c r="G18" s="66" t="n"/>
      <c r="H18" s="66" t="n"/>
      <c r="I18" s="66" t="n"/>
      <c r="J18" s="66" t="n"/>
      <c r="K18" s="66" t="n"/>
      <c r="L18" s="66" t="n"/>
      <c r="M18" s="66" t="n"/>
      <c r="N18" s="66" t="n"/>
      <c r="O18" s="66" t="n"/>
      <c r="P18" s="66" t="n"/>
      <c r="Q18" s="66" t="n"/>
      <c r="R18" s="66" t="n"/>
      <c r="S18" s="66" t="n"/>
      <c r="T18" s="66" t="n"/>
      <c r="U18" s="66" t="n"/>
      <c r="V18" s="66" t="n"/>
      <c r="W18" s="66" t="n"/>
      <c r="X18" s="66" t="n"/>
      <c r="Y18" s="66" t="n"/>
      <c r="Z18" s="66" t="n"/>
      <c r="AA18" s="66" t="n"/>
      <c r="AB18" s="66" t="n"/>
      <c r="AC18" s="66" t="n"/>
      <c r="AD18" s="66" t="n"/>
      <c r="AE18" s="66" t="n"/>
      <c r="AF18" s="66" t="n"/>
      <c r="AG18" s="66" t="n"/>
      <c r="AH18" s="66" t="n"/>
      <c r="AI18" s="66" t="n"/>
      <c r="AJ18" s="66" t="n"/>
      <c r="AK18" s="66" t="n"/>
      <c r="AL18" s="66" t="n"/>
      <c r="AM18" s="66" t="n"/>
      <c r="AN18" s="66" t="n"/>
      <c r="AO18" s="66" t="n"/>
      <c r="AP18" s="66" t="n"/>
      <c r="AQ18" s="66" t="n">
        <v>186930000</v>
      </c>
      <c r="AS18" s="67">
        <f>RANDBETWEEN(1,5)*1000000</f>
        <v/>
      </c>
    </row>
    <row r="19">
      <c r="A19" s="60" t="n">
        <v>29556</v>
      </c>
      <c r="B19" s="66" t="n"/>
      <c r="C19" s="66" t="n"/>
      <c r="D19" s="66" t="n"/>
      <c r="E19" s="66" t="n"/>
      <c r="F19" s="66" t="n"/>
      <c r="G19" s="66" t="n"/>
      <c r="H19" s="66" t="n"/>
      <c r="I19" s="66" t="n"/>
      <c r="J19" s="66" t="n"/>
      <c r="K19" s="66" t="n"/>
      <c r="L19" s="66" t="n"/>
      <c r="M19" s="66" t="n"/>
      <c r="N19" s="66" t="n"/>
      <c r="O19" s="66" t="n"/>
      <c r="P19" s="66" t="n"/>
      <c r="Q19" s="66" t="n"/>
      <c r="R19" s="66" t="n"/>
      <c r="S19" s="66" t="n"/>
      <c r="T19" s="66" t="n"/>
      <c r="U19" s="66" t="n"/>
      <c r="V19" s="66" t="n"/>
      <c r="W19" s="66" t="n"/>
      <c r="X19" s="66" t="n"/>
      <c r="Y19" s="66" t="n"/>
      <c r="Z19" s="66" t="n"/>
      <c r="AA19" s="66" t="n"/>
      <c r="AB19" s="66" t="n"/>
      <c r="AC19" s="66" t="n"/>
      <c r="AD19" s="66" t="n"/>
      <c r="AE19" s="66" t="n"/>
      <c r="AF19" s="66" t="n"/>
      <c r="AG19" s="66" t="n"/>
      <c r="AH19" s="66" t="n"/>
      <c r="AI19" s="66" t="n"/>
      <c r="AJ19" s="66" t="n"/>
      <c r="AK19" s="66" t="n"/>
      <c r="AL19" s="66" t="n"/>
      <c r="AM19" s="66" t="n"/>
      <c r="AN19" s="66" t="n"/>
      <c r="AO19" s="66" t="n"/>
      <c r="AP19" s="66" t="n"/>
      <c r="AQ19" s="66" t="n">
        <v>186930000</v>
      </c>
      <c r="AS19" s="67">
        <f>RANDBETWEEN(1,5)*1000000</f>
        <v/>
      </c>
    </row>
    <row r="20">
      <c r="A20" s="60" t="n">
        <v>29587</v>
      </c>
      <c r="B20" s="66" t="n"/>
      <c r="C20" s="66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  <c r="AD20" s="66" t="n"/>
      <c r="AE20" s="66" t="n"/>
      <c r="AF20" s="66" t="n"/>
      <c r="AG20" s="66" t="n"/>
      <c r="AH20" s="66" t="n"/>
      <c r="AI20" s="66" t="n"/>
      <c r="AJ20" s="66" t="n"/>
      <c r="AK20" s="66" t="n"/>
      <c r="AL20" s="66" t="n"/>
      <c r="AM20" s="66" t="n"/>
      <c r="AN20" s="66" t="n"/>
      <c r="AO20" s="66" t="n"/>
      <c r="AP20" s="66" t="n"/>
      <c r="AQ20" s="66" t="n">
        <v>186930000</v>
      </c>
      <c r="AS20" s="67">
        <f>RANDBETWEEN(1,5)*1000000</f>
        <v/>
      </c>
    </row>
    <row r="21">
      <c r="A21" s="60" t="n">
        <v>29618</v>
      </c>
      <c r="B21" s="66" t="n"/>
      <c r="C21" s="66" t="n"/>
      <c r="D21" s="66" t="n"/>
      <c r="E21" s="66" t="n"/>
      <c r="F21" s="66" t="n"/>
      <c r="G21" s="66" t="n"/>
      <c r="H21" s="66" t="n"/>
      <c r="I21" s="66" t="n"/>
      <c r="J21" s="66" t="n"/>
      <c r="K21" s="66" t="n"/>
      <c r="L21" s="66" t="n"/>
      <c r="M21" s="66" t="n"/>
      <c r="N21" s="66" t="n"/>
      <c r="O21" s="66" t="n"/>
      <c r="P21" s="66" t="n"/>
      <c r="Q21" s="66" t="n"/>
      <c r="R21" s="66" t="n"/>
      <c r="S21" s="66" t="n"/>
      <c r="T21" s="66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  <c r="AD21" s="66" t="n"/>
      <c r="AE21" s="66" t="n"/>
      <c r="AF21" s="66" t="n"/>
      <c r="AG21" s="66" t="n"/>
      <c r="AH21" s="66" t="n"/>
      <c r="AI21" s="66" t="n"/>
      <c r="AJ21" s="66" t="n"/>
      <c r="AK21" s="66" t="n"/>
      <c r="AL21" s="66" t="n"/>
      <c r="AM21" s="66" t="n"/>
      <c r="AN21" s="66" t="n"/>
      <c r="AO21" s="66" t="n"/>
      <c r="AP21" s="66" t="n"/>
      <c r="AQ21" s="66" t="n">
        <v>186930000</v>
      </c>
      <c r="AS21" s="67">
        <f>RANDBETWEEN(1,5)*1000000</f>
        <v/>
      </c>
    </row>
    <row r="22">
      <c r="A22" s="60" t="n">
        <v>29646</v>
      </c>
      <c r="B22" s="66" t="n"/>
      <c r="C22" s="66" t="n"/>
      <c r="D22" s="66" t="n"/>
      <c r="E22" s="66" t="n"/>
      <c r="F22" s="66" t="n"/>
      <c r="G22" s="66" t="n"/>
      <c r="H22" s="66" t="n"/>
      <c r="I22" s="66" t="n"/>
      <c r="J22" s="66" t="n"/>
      <c r="K22" s="66" t="n"/>
      <c r="L22" s="66" t="n"/>
      <c r="M22" s="66" t="n"/>
      <c r="N22" s="66" t="n"/>
      <c r="O22" s="66" t="n"/>
      <c r="P22" s="66" t="n"/>
      <c r="Q22" s="66" t="n"/>
      <c r="R22" s="66" t="n"/>
      <c r="S22" s="66" t="n"/>
      <c r="T22" s="66" t="n"/>
      <c r="U22" s="66" t="n"/>
      <c r="V22" s="66" t="n"/>
      <c r="W22" s="66" t="n"/>
      <c r="X22" s="66" t="n"/>
      <c r="Y22" s="66" t="n"/>
      <c r="Z22" s="66" t="n"/>
      <c r="AA22" s="66" t="n"/>
      <c r="AB22" s="66" t="n"/>
      <c r="AC22" s="66" t="n"/>
      <c r="AD22" s="66" t="n"/>
      <c r="AE22" s="66" t="n"/>
      <c r="AF22" s="66" t="n"/>
      <c r="AG22" s="66" t="n"/>
      <c r="AH22" s="66" t="n"/>
      <c r="AI22" s="66" t="n"/>
      <c r="AJ22" s="66" t="n"/>
      <c r="AK22" s="66" t="n"/>
      <c r="AL22" s="66" t="n"/>
      <c r="AM22" s="66" t="n"/>
      <c r="AN22" s="66" t="n"/>
      <c r="AO22" s="66" t="n"/>
      <c r="AP22" s="66" t="n"/>
      <c r="AQ22" s="66" t="n">
        <v>186930000</v>
      </c>
      <c r="AS22" s="67">
        <f>RANDBETWEEN(1,5)*1000000</f>
        <v/>
      </c>
    </row>
    <row r="23">
      <c r="A23" s="60" t="n">
        <v>29677</v>
      </c>
      <c r="B23" s="66" t="n"/>
      <c r="C23" s="66" t="n"/>
      <c r="D23" s="66" t="n"/>
      <c r="E23" s="66" t="n"/>
      <c r="F23" s="66" t="n"/>
      <c r="G23" s="66" t="n"/>
      <c r="H23" s="66" t="n"/>
      <c r="I23" s="66" t="n"/>
      <c r="J23" s="66" t="n"/>
      <c r="K23" s="66" t="n"/>
      <c r="L23" s="66" t="n"/>
      <c r="M23" s="66" t="n"/>
      <c r="N23" s="66" t="n"/>
      <c r="O23" s="66" t="n"/>
      <c r="P23" s="66" t="n"/>
      <c r="Q23" s="66" t="n"/>
      <c r="R23" s="66" t="n"/>
      <c r="S23" s="66" t="n"/>
      <c r="T23" s="66" t="n"/>
      <c r="U23" s="66" t="n"/>
      <c r="V23" s="66" t="n"/>
      <c r="W23" s="66" t="n"/>
      <c r="X23" s="66" t="n"/>
      <c r="Y23" s="66" t="n"/>
      <c r="Z23" s="66" t="n"/>
      <c r="AA23" s="66" t="n"/>
      <c r="AB23" s="66" t="n"/>
      <c r="AC23" s="66" t="n"/>
      <c r="AD23" s="66" t="n"/>
      <c r="AE23" s="66" t="n"/>
      <c r="AF23" s="66" t="n"/>
      <c r="AG23" s="66" t="n"/>
      <c r="AH23" s="66" t="n"/>
      <c r="AI23" s="66" t="n"/>
      <c r="AJ23" s="66" t="n"/>
      <c r="AK23" s="66" t="n"/>
      <c r="AL23" s="66" t="n"/>
      <c r="AM23" s="66" t="n"/>
      <c r="AN23" s="66" t="n"/>
      <c r="AO23" s="66" t="n"/>
      <c r="AP23" s="66" t="n"/>
      <c r="AQ23" s="66" t="n">
        <v>186930000</v>
      </c>
      <c r="AS23" s="67">
        <f>RANDBETWEEN(1,5)*1000000</f>
        <v/>
      </c>
    </row>
    <row r="24">
      <c r="A24" s="60" t="n">
        <v>29707</v>
      </c>
      <c r="B24" s="66" t="n"/>
      <c r="C24" s="66" t="n"/>
      <c r="D24" s="66" t="n"/>
      <c r="E24" s="66" t="n"/>
      <c r="F24" s="66" t="n"/>
      <c r="G24" s="66" t="n"/>
      <c r="H24" s="66" t="n"/>
      <c r="I24" s="66" t="n"/>
      <c r="J24" s="66" t="n"/>
      <c r="K24" s="66" t="n"/>
      <c r="L24" s="66" t="n"/>
      <c r="M24" s="66" t="n"/>
      <c r="N24" s="66" t="n"/>
      <c r="O24" s="66" t="n"/>
      <c r="P24" s="66" t="n"/>
      <c r="Q24" s="66" t="n"/>
      <c r="R24" s="66" t="n"/>
      <c r="S24" s="66" t="n"/>
      <c r="T24" s="66" t="n"/>
      <c r="U24" s="66" t="n"/>
      <c r="V24" s="66" t="n"/>
      <c r="W24" s="66" t="n"/>
      <c r="X24" s="66" t="n"/>
      <c r="Y24" s="66" t="n"/>
      <c r="Z24" s="66" t="n"/>
      <c r="AA24" s="66" t="n"/>
      <c r="AB24" s="66" t="n"/>
      <c r="AC24" s="66" t="n"/>
      <c r="AD24" s="66" t="n"/>
      <c r="AE24" s="66" t="n"/>
      <c r="AF24" s="66" t="n"/>
      <c r="AG24" s="66" t="n"/>
      <c r="AH24" s="66" t="n"/>
      <c r="AI24" s="66" t="n"/>
      <c r="AJ24" s="66" t="n"/>
      <c r="AK24" s="66" t="n"/>
      <c r="AL24" s="66" t="n"/>
      <c r="AM24" s="66" t="n"/>
      <c r="AN24" s="66" t="n"/>
      <c r="AO24" s="66" t="n"/>
      <c r="AP24" s="66" t="n"/>
      <c r="AQ24" s="66" t="n">
        <v>186930000</v>
      </c>
      <c r="AS24" s="67">
        <f>RANDBETWEEN(1,5)*1000000</f>
        <v/>
      </c>
    </row>
    <row r="25">
      <c r="A25" s="60" t="n">
        <v>29738</v>
      </c>
      <c r="B25" s="66" t="n"/>
      <c r="C25" s="66" t="n"/>
      <c r="D25" s="66" t="n"/>
      <c r="E25" s="66" t="n"/>
      <c r="F25" s="66" t="n"/>
      <c r="G25" s="66" t="n"/>
      <c r="H25" s="66" t="n"/>
      <c r="I25" s="66" t="n"/>
      <c r="J25" s="66" t="n"/>
      <c r="K25" s="66" t="n"/>
      <c r="L25" s="66" t="n"/>
      <c r="M25" s="66" t="n"/>
      <c r="N25" s="66" t="n"/>
      <c r="O25" s="66" t="n"/>
      <c r="P25" s="66" t="n"/>
      <c r="Q25" s="66" t="n"/>
      <c r="R25" s="66" t="n"/>
      <c r="S25" s="66" t="n"/>
      <c r="T25" s="66" t="n"/>
      <c r="U25" s="66" t="n"/>
      <c r="V25" s="66" t="n"/>
      <c r="W25" s="66" t="n"/>
      <c r="X25" s="66" t="n"/>
      <c r="Y25" s="66" t="n"/>
      <c r="Z25" s="66" t="n"/>
      <c r="AA25" s="66" t="n"/>
      <c r="AB25" s="66" t="n"/>
      <c r="AC25" s="66" t="n"/>
      <c r="AD25" s="66" t="n"/>
      <c r="AE25" s="66" t="n"/>
      <c r="AF25" s="66" t="n"/>
      <c r="AG25" s="66" t="n"/>
      <c r="AH25" s="66" t="n"/>
      <c r="AI25" s="66" t="n"/>
      <c r="AJ25" s="66" t="n"/>
      <c r="AK25" s="66" t="n"/>
      <c r="AL25" s="66" t="n"/>
      <c r="AM25" s="66" t="n"/>
      <c r="AN25" s="66" t="n"/>
      <c r="AO25" s="66" t="n"/>
      <c r="AP25" s="66" t="n"/>
      <c r="AQ25" s="66" t="n">
        <v>186930000</v>
      </c>
      <c r="AS25" s="67">
        <f>RANDBETWEEN(1,5)*1000000</f>
        <v/>
      </c>
    </row>
    <row r="26">
      <c r="A26" s="60" t="n">
        <v>29768</v>
      </c>
      <c r="B26" s="66" t="n"/>
      <c r="C26" s="66" t="n"/>
      <c r="D26" s="66" t="n"/>
      <c r="E26" s="66" t="n"/>
      <c r="F26" s="66" t="n"/>
      <c r="G26" s="66" t="n"/>
      <c r="H26" s="66" t="n"/>
      <c r="I26" s="66" t="n"/>
      <c r="J26" s="66" t="n"/>
      <c r="K26" s="66" t="n"/>
      <c r="L26" s="66" t="n"/>
      <c r="M26" s="66" t="n"/>
      <c r="N26" s="66" t="n"/>
      <c r="O26" s="66" t="n"/>
      <c r="P26" s="66" t="n"/>
      <c r="Q26" s="66" t="n"/>
      <c r="R26" s="66" t="n"/>
      <c r="S26" s="66" t="n"/>
      <c r="T26" s="66" t="n"/>
      <c r="U26" s="66" t="n"/>
      <c r="V26" s="66" t="n"/>
      <c r="W26" s="66" t="n"/>
      <c r="X26" s="66" t="n"/>
      <c r="Y26" s="66" t="n"/>
      <c r="Z26" s="66" t="n"/>
      <c r="AA26" s="66" t="n"/>
      <c r="AB26" s="66" t="n"/>
      <c r="AC26" s="66" t="n"/>
      <c r="AD26" s="66" t="n"/>
      <c r="AE26" s="66" t="n"/>
      <c r="AF26" s="66" t="n"/>
      <c r="AG26" s="66" t="n"/>
      <c r="AH26" s="66" t="n"/>
      <c r="AI26" s="66" t="n"/>
      <c r="AJ26" s="66" t="n"/>
      <c r="AK26" s="66" t="n"/>
      <c r="AL26" s="66" t="n"/>
      <c r="AM26" s="66" t="n"/>
      <c r="AN26" s="66" t="n"/>
      <c r="AO26" s="66" t="n"/>
      <c r="AP26" s="66" t="n"/>
      <c r="AQ26" s="66" t="n">
        <v>186930000</v>
      </c>
      <c r="AS26" s="67">
        <f>RANDBETWEEN(1,5)*1000000</f>
        <v/>
      </c>
    </row>
    <row r="27">
      <c r="A27" s="60" t="n">
        <v>29799</v>
      </c>
      <c r="B27" s="66" t="n"/>
      <c r="C27" s="66" t="n"/>
      <c r="D27" s="66" t="n"/>
      <c r="E27" s="66" t="n"/>
      <c r="F27" s="66" t="n"/>
      <c r="G27" s="66" t="n"/>
      <c r="H27" s="66" t="n"/>
      <c r="I27" s="66" t="n"/>
      <c r="J27" s="66" t="n"/>
      <c r="K27" s="66" t="n"/>
      <c r="L27" s="66" t="n"/>
      <c r="M27" s="66" t="n"/>
      <c r="N27" s="66" t="n"/>
      <c r="O27" s="66" t="n"/>
      <c r="P27" s="66" t="n"/>
      <c r="Q27" s="66" t="n"/>
      <c r="R27" s="66" t="n"/>
      <c r="S27" s="66" t="n"/>
      <c r="T27" s="66" t="n"/>
      <c r="U27" s="66" t="n"/>
      <c r="V27" s="66" t="n"/>
      <c r="W27" s="66" t="n"/>
      <c r="X27" s="66" t="n"/>
      <c r="Y27" s="66" t="n"/>
      <c r="Z27" s="66" t="n"/>
      <c r="AA27" s="66" t="n"/>
      <c r="AB27" s="66" t="n"/>
      <c r="AC27" s="66" t="n"/>
      <c r="AD27" s="66" t="n"/>
      <c r="AE27" s="66" t="n"/>
      <c r="AF27" s="66" t="n"/>
      <c r="AG27" s="66" t="n"/>
      <c r="AH27" s="66" t="n"/>
      <c r="AI27" s="66" t="n"/>
      <c r="AJ27" s="66" t="n"/>
      <c r="AK27" s="66" t="n"/>
      <c r="AL27" s="66" t="n"/>
      <c r="AM27" s="66" t="n"/>
      <c r="AN27" s="66" t="n"/>
      <c r="AO27" s="66" t="n"/>
      <c r="AP27" s="66" t="n"/>
      <c r="AQ27" s="66" t="n">
        <v>186930000</v>
      </c>
      <c r="AS27" s="67">
        <f>RANDBETWEEN(1,5)*1000000</f>
        <v/>
      </c>
    </row>
    <row r="28">
      <c r="A28" s="60" t="n">
        <v>29830</v>
      </c>
      <c r="B28" s="66" t="n"/>
      <c r="C28" s="66" t="n"/>
      <c r="D28" s="66" t="n"/>
      <c r="E28" s="66" t="n"/>
      <c r="F28" s="66" t="n"/>
      <c r="G28" s="66" t="n"/>
      <c r="H28" s="66" t="n"/>
      <c r="I28" s="66" t="n"/>
      <c r="J28" s="66" t="n"/>
      <c r="K28" s="66" t="n"/>
      <c r="L28" s="66" t="n"/>
      <c r="M28" s="66" t="n"/>
      <c r="N28" s="66" t="n"/>
      <c r="O28" s="66" t="n"/>
      <c r="P28" s="66" t="n"/>
      <c r="Q28" s="66" t="n"/>
      <c r="R28" s="66" t="n"/>
      <c r="S28" s="66" t="n"/>
      <c r="T28" s="66" t="n"/>
      <c r="U28" s="66" t="n"/>
      <c r="V28" s="66" t="n"/>
      <c r="W28" s="66" t="n"/>
      <c r="X28" s="66" t="n"/>
      <c r="Y28" s="66" t="n"/>
      <c r="Z28" s="66" t="n"/>
      <c r="AA28" s="66" t="n"/>
      <c r="AB28" s="66" t="n"/>
      <c r="AC28" s="66" t="n"/>
      <c r="AD28" s="66" t="n"/>
      <c r="AE28" s="66" t="n"/>
      <c r="AF28" s="66" t="n"/>
      <c r="AG28" s="66" t="n"/>
      <c r="AH28" s="66" t="n"/>
      <c r="AI28" s="66" t="n"/>
      <c r="AJ28" s="66" t="n"/>
      <c r="AK28" s="66" t="n"/>
      <c r="AL28" s="66" t="n"/>
      <c r="AM28" s="66" t="n"/>
      <c r="AN28" s="66" t="n"/>
      <c r="AO28" s="66" t="n"/>
      <c r="AP28" s="66" t="n"/>
      <c r="AQ28" s="66" t="n">
        <v>186930000</v>
      </c>
      <c r="AS28" s="67">
        <f>RANDBETWEEN(1,5)*1000000</f>
        <v/>
      </c>
    </row>
    <row r="29">
      <c r="A29" s="60" t="n">
        <v>29860</v>
      </c>
      <c r="B29" s="66" t="n"/>
      <c r="C29" s="66" t="n"/>
      <c r="D29" s="66" t="n"/>
      <c r="E29" s="66" t="n"/>
      <c r="F29" s="66" t="n"/>
      <c r="G29" s="66" t="n"/>
      <c r="H29" s="66" t="n"/>
      <c r="I29" s="66" t="n"/>
      <c r="J29" s="66" t="n"/>
      <c r="K29" s="66" t="n"/>
      <c r="L29" s="66" t="n"/>
      <c r="M29" s="66" t="n"/>
      <c r="N29" s="66" t="n"/>
      <c r="O29" s="66" t="n"/>
      <c r="P29" s="66" t="n"/>
      <c r="Q29" s="66" t="n"/>
      <c r="R29" s="66" t="n"/>
      <c r="S29" s="66" t="n"/>
      <c r="T29" s="66" t="n"/>
      <c r="U29" s="66" t="n"/>
      <c r="V29" s="66" t="n"/>
      <c r="W29" s="66" t="n"/>
      <c r="X29" s="66" t="n"/>
      <c r="Y29" s="66" t="n"/>
      <c r="Z29" s="66" t="n"/>
      <c r="AA29" s="66" t="n"/>
      <c r="AB29" s="66" t="n"/>
      <c r="AC29" s="66" t="n"/>
      <c r="AD29" s="66" t="n"/>
      <c r="AE29" s="66" t="n"/>
      <c r="AF29" s="66" t="n"/>
      <c r="AG29" s="66" t="n"/>
      <c r="AH29" s="66" t="n"/>
      <c r="AI29" s="66" t="n"/>
      <c r="AJ29" s="66" t="n"/>
      <c r="AK29" s="66" t="n"/>
      <c r="AL29" s="66" t="n"/>
      <c r="AM29" s="66" t="n"/>
      <c r="AN29" s="66" t="n"/>
      <c r="AO29" s="66" t="n"/>
      <c r="AP29" s="66" t="n"/>
      <c r="AQ29" s="66" t="n">
        <v>186930000</v>
      </c>
      <c r="AS29" s="67">
        <f>RANDBETWEEN(1,5)*1000000</f>
        <v/>
      </c>
    </row>
    <row r="30">
      <c r="A30" s="60" t="n">
        <v>29891</v>
      </c>
      <c r="B30" s="66" t="n"/>
      <c r="C30" s="66" t="n"/>
      <c r="D30" s="66" t="n"/>
      <c r="E30" s="66" t="n"/>
      <c r="F30" s="66" t="n"/>
      <c r="G30" s="66" t="n"/>
      <c r="H30" s="66" t="n"/>
      <c r="I30" s="66" t="n"/>
      <c r="J30" s="66" t="n"/>
      <c r="K30" s="66" t="n"/>
      <c r="L30" s="66" t="n"/>
      <c r="M30" s="66" t="n"/>
      <c r="N30" s="66" t="n"/>
      <c r="O30" s="66" t="n"/>
      <c r="P30" s="66" t="n"/>
      <c r="Q30" s="66" t="n"/>
      <c r="R30" s="66" t="n"/>
      <c r="S30" s="66" t="n"/>
      <c r="T30" s="66" t="n"/>
      <c r="U30" s="66" t="n"/>
      <c r="V30" s="66" t="n"/>
      <c r="W30" s="66" t="n"/>
      <c r="X30" s="66" t="n"/>
      <c r="Y30" s="66" t="n"/>
      <c r="Z30" s="66" t="n"/>
      <c r="AA30" s="66" t="n"/>
      <c r="AB30" s="66" t="n"/>
      <c r="AC30" s="66" t="n"/>
      <c r="AD30" s="66" t="n"/>
      <c r="AE30" s="66" t="n"/>
      <c r="AF30" s="66" t="n"/>
      <c r="AG30" s="66" t="n"/>
      <c r="AH30" s="66" t="n"/>
      <c r="AI30" s="66" t="n"/>
      <c r="AJ30" s="66" t="n"/>
      <c r="AK30" s="66" t="n"/>
      <c r="AL30" s="66" t="n"/>
      <c r="AM30" s="66" t="n"/>
      <c r="AN30" s="66" t="n"/>
      <c r="AO30" s="66" t="n"/>
      <c r="AP30" s="66" t="n"/>
      <c r="AQ30" s="66" t="n">
        <v>186930000</v>
      </c>
      <c r="AS30" s="67">
        <f>RANDBETWEEN(1,5)*1000000</f>
        <v/>
      </c>
    </row>
    <row r="31">
      <c r="A31" s="60" t="n">
        <v>29921</v>
      </c>
      <c r="B31" s="66" t="n"/>
      <c r="C31" s="66" t="n"/>
      <c r="D31" s="66" t="n"/>
      <c r="E31" s="66" t="n"/>
      <c r="F31" s="66" t="n"/>
      <c r="G31" s="66" t="n"/>
      <c r="H31" s="66" t="n"/>
      <c r="I31" s="66" t="n"/>
      <c r="J31" s="66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  <c r="Z31" s="66" t="n"/>
      <c r="AA31" s="66" t="n"/>
      <c r="AB31" s="66" t="n"/>
      <c r="AC31" s="66" t="n"/>
      <c r="AD31" s="66" t="n"/>
      <c r="AE31" s="66" t="n"/>
      <c r="AF31" s="66" t="n"/>
      <c r="AG31" s="66" t="n"/>
      <c r="AH31" s="66" t="n"/>
      <c r="AI31" s="66" t="n"/>
      <c r="AJ31" s="66" t="n"/>
      <c r="AK31" s="66" t="n"/>
      <c r="AL31" s="66" t="n"/>
      <c r="AM31" s="66" t="n"/>
      <c r="AN31" s="66" t="n"/>
      <c r="AO31" s="66" t="n"/>
      <c r="AP31" s="66" t="n"/>
      <c r="AQ31" s="66" t="n">
        <v>186930000</v>
      </c>
      <c r="AS31" s="67">
        <f>RANDBETWEEN(1,5)*1000000</f>
        <v/>
      </c>
    </row>
    <row r="32">
      <c r="A32" s="60" t="n">
        <v>29952</v>
      </c>
      <c r="B32" s="66" t="n"/>
      <c r="C32" s="66" t="n"/>
      <c r="D32" s="66" t="n"/>
      <c r="E32" s="66" t="n"/>
      <c r="F32" s="66" t="n"/>
      <c r="G32" s="66" t="n"/>
      <c r="H32" s="66" t="n"/>
      <c r="I32" s="66" t="n"/>
      <c r="J32" s="66" t="n"/>
      <c r="K32" s="66" t="n"/>
      <c r="L32" s="66" t="n"/>
      <c r="M32" s="66" t="n"/>
      <c r="N32" s="66" t="n"/>
      <c r="O32" s="66" t="n"/>
      <c r="P32" s="66" t="n"/>
      <c r="Q32" s="66" t="n"/>
      <c r="R32" s="66" t="n"/>
      <c r="S32" s="66" t="n"/>
      <c r="T32" s="66" t="n"/>
      <c r="U32" s="66" t="n"/>
      <c r="V32" s="66" t="n"/>
      <c r="W32" s="66" t="n"/>
      <c r="X32" s="66" t="n"/>
      <c r="Y32" s="66" t="n"/>
      <c r="Z32" s="66" t="n"/>
      <c r="AA32" s="66" t="n"/>
      <c r="AB32" s="66" t="n"/>
      <c r="AC32" s="66" t="n"/>
      <c r="AD32" s="66" t="n"/>
      <c r="AE32" s="66" t="n"/>
      <c r="AF32" s="66" t="n"/>
      <c r="AG32" s="66" t="n"/>
      <c r="AH32" s="66" t="n"/>
      <c r="AI32" s="66" t="n"/>
      <c r="AJ32" s="66" t="n"/>
      <c r="AK32" s="66" t="n"/>
      <c r="AL32" s="66" t="n"/>
      <c r="AM32" s="66" t="n"/>
      <c r="AN32" s="66" t="n"/>
      <c r="AO32" s="66" t="n"/>
      <c r="AP32" s="66" t="n"/>
      <c r="AQ32" s="66" t="n">
        <v>186930000</v>
      </c>
      <c r="AS32" s="67">
        <f>RANDBETWEEN(1,5)*1000000</f>
        <v/>
      </c>
    </row>
    <row r="33">
      <c r="A33" s="60" t="n">
        <v>29983</v>
      </c>
      <c r="B33" s="66" t="n"/>
      <c r="C33" s="66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  <c r="X33" s="66" t="n"/>
      <c r="Y33" s="66" t="n"/>
      <c r="Z33" s="66" t="n"/>
      <c r="AA33" s="66" t="n"/>
      <c r="AB33" s="66" t="n"/>
      <c r="AC33" s="66" t="n"/>
      <c r="AD33" s="66" t="n"/>
      <c r="AE33" s="66" t="n"/>
      <c r="AF33" s="66" t="n"/>
      <c r="AG33" s="66" t="n"/>
      <c r="AH33" s="66" t="n"/>
      <c r="AI33" s="66" t="n"/>
      <c r="AJ33" s="66" t="n"/>
      <c r="AK33" s="66" t="n"/>
      <c r="AL33" s="66" t="n"/>
      <c r="AM33" s="66" t="n"/>
      <c r="AN33" s="66" t="n"/>
      <c r="AO33" s="66" t="n"/>
      <c r="AP33" s="66" t="n"/>
      <c r="AQ33" s="66" t="n">
        <v>186930000</v>
      </c>
      <c r="AS33" s="67">
        <f>RANDBETWEEN(1,5)*1000000</f>
        <v/>
      </c>
    </row>
    <row r="34">
      <c r="A34" s="60" t="n">
        <v>30011</v>
      </c>
      <c r="B34" s="66" t="n"/>
      <c r="C34" s="66" t="n"/>
      <c r="D34" s="66" t="n"/>
      <c r="E34" s="66" t="n"/>
      <c r="F34" s="66" t="n"/>
      <c r="G34" s="66" t="n"/>
      <c r="H34" s="66" t="n"/>
      <c r="I34" s="66" t="n"/>
      <c r="J34" s="66" t="n"/>
      <c r="K34" s="66" t="n"/>
      <c r="L34" s="66" t="n"/>
      <c r="M34" s="66" t="n"/>
      <c r="N34" s="66" t="n"/>
      <c r="O34" s="66" t="n"/>
      <c r="P34" s="66" t="n"/>
      <c r="Q34" s="66" t="n"/>
      <c r="R34" s="66" t="n"/>
      <c r="S34" s="66" t="n"/>
      <c r="T34" s="66" t="n"/>
      <c r="U34" s="66" t="n"/>
      <c r="V34" s="66" t="n"/>
      <c r="W34" s="66" t="n"/>
      <c r="X34" s="66" t="n"/>
      <c r="Y34" s="66" t="n"/>
      <c r="Z34" s="66" t="n"/>
      <c r="AA34" s="66" t="n"/>
      <c r="AB34" s="66" t="n"/>
      <c r="AC34" s="66" t="n"/>
      <c r="AD34" s="66" t="n"/>
      <c r="AE34" s="66" t="n"/>
      <c r="AF34" s="66" t="n"/>
      <c r="AG34" s="66" t="n"/>
      <c r="AH34" s="66" t="n"/>
      <c r="AI34" s="66" t="n"/>
      <c r="AJ34" s="66" t="n"/>
      <c r="AK34" s="66" t="n"/>
      <c r="AL34" s="66" t="n"/>
      <c r="AM34" s="66" t="n"/>
      <c r="AN34" s="66" t="n"/>
      <c r="AO34" s="66" t="n"/>
      <c r="AP34" s="66" t="n"/>
      <c r="AQ34" s="66" t="n">
        <v>186930000</v>
      </c>
      <c r="AS34" s="67">
        <f>RANDBETWEEN(1,5)*1000000</f>
        <v/>
      </c>
    </row>
    <row r="35">
      <c r="A35" s="60" t="n">
        <v>30042</v>
      </c>
      <c r="B35" s="66" t="n"/>
      <c r="C35" s="66" t="n"/>
      <c r="D35" s="66" t="n"/>
      <c r="E35" s="66" t="n"/>
      <c r="F35" s="66" t="n"/>
      <c r="G35" s="66" t="n"/>
      <c r="H35" s="66" t="n"/>
      <c r="I35" s="66" t="n"/>
      <c r="J35" s="66" t="n"/>
      <c r="K35" s="66" t="n"/>
      <c r="L35" s="66" t="n"/>
      <c r="M35" s="66" t="n"/>
      <c r="N35" s="66" t="n"/>
      <c r="O35" s="66" t="n"/>
      <c r="P35" s="66" t="n"/>
      <c r="Q35" s="66" t="n"/>
      <c r="R35" s="66" t="n"/>
      <c r="S35" s="66" t="n"/>
      <c r="T35" s="66" t="n"/>
      <c r="U35" s="66" t="n"/>
      <c r="V35" s="66" t="n"/>
      <c r="W35" s="66" t="n"/>
      <c r="X35" s="66" t="n"/>
      <c r="Y35" s="66" t="n"/>
      <c r="Z35" s="66" t="n"/>
      <c r="AA35" s="66" t="n"/>
      <c r="AB35" s="66" t="n"/>
      <c r="AC35" s="66" t="n"/>
      <c r="AD35" s="66" t="n"/>
      <c r="AE35" s="66" t="n"/>
      <c r="AF35" s="66" t="n"/>
      <c r="AG35" s="66" t="n"/>
      <c r="AH35" s="66" t="n"/>
      <c r="AI35" s="66" t="n"/>
      <c r="AJ35" s="66" t="n"/>
      <c r="AK35" s="66" t="n"/>
      <c r="AL35" s="66" t="n"/>
      <c r="AM35" s="66" t="n"/>
      <c r="AN35" s="66" t="n"/>
      <c r="AO35" s="66" t="n"/>
      <c r="AP35" s="66" t="n"/>
      <c r="AQ35" s="66" t="n">
        <v>186930000</v>
      </c>
      <c r="AS35" s="67">
        <f>RANDBETWEEN(1,5)*1000000</f>
        <v/>
      </c>
    </row>
    <row r="36">
      <c r="A36" s="60" t="n">
        <v>30072</v>
      </c>
      <c r="B36" s="66" t="n"/>
      <c r="C36" s="66" t="n"/>
      <c r="D36" s="66" t="n"/>
      <c r="E36" s="66" t="n"/>
      <c r="F36" s="66" t="n"/>
      <c r="G36" s="66" t="n"/>
      <c r="H36" s="66" t="n"/>
      <c r="I36" s="66" t="n"/>
      <c r="J36" s="66" t="n"/>
      <c r="K36" s="66" t="n"/>
      <c r="L36" s="66" t="n"/>
      <c r="M36" s="66" t="n"/>
      <c r="N36" s="66" t="n"/>
      <c r="O36" s="66" t="n"/>
      <c r="P36" s="66" t="n"/>
      <c r="Q36" s="66" t="n"/>
      <c r="R36" s="66" t="n"/>
      <c r="S36" s="66" t="n"/>
      <c r="T36" s="66" t="n"/>
      <c r="U36" s="66" t="n"/>
      <c r="V36" s="66" t="n"/>
      <c r="W36" s="66" t="n"/>
      <c r="X36" s="66" t="n"/>
      <c r="Y36" s="66" t="n"/>
      <c r="Z36" s="66" t="n"/>
      <c r="AA36" s="66" t="n"/>
      <c r="AB36" s="66" t="n"/>
      <c r="AC36" s="66" t="n"/>
      <c r="AD36" s="66" t="n"/>
      <c r="AE36" s="66" t="n"/>
      <c r="AF36" s="66" t="n"/>
      <c r="AG36" s="66" t="n"/>
      <c r="AH36" s="66" t="n"/>
      <c r="AI36" s="66" t="n"/>
      <c r="AJ36" s="66" t="n"/>
      <c r="AK36" s="66" t="n"/>
      <c r="AL36" s="66" t="n"/>
      <c r="AM36" s="66" t="n"/>
      <c r="AN36" s="66" t="n"/>
      <c r="AO36" s="66" t="n"/>
      <c r="AP36" s="66" t="n"/>
      <c r="AQ36" s="66" t="n">
        <v>186930000</v>
      </c>
      <c r="AS36" s="67">
        <f>RANDBETWEEN(1,5)*1000000</f>
        <v/>
      </c>
    </row>
    <row r="37">
      <c r="A37" s="60" t="n">
        <v>30103</v>
      </c>
      <c r="B37" s="66" t="n"/>
      <c r="C37" s="66" t="n"/>
      <c r="D37" s="66" t="n"/>
      <c r="E37" s="66" t="n"/>
      <c r="F37" s="66" t="n"/>
      <c r="G37" s="66" t="n"/>
      <c r="H37" s="66" t="n"/>
      <c r="I37" s="66" t="n"/>
      <c r="J37" s="66" t="n"/>
      <c r="K37" s="66" t="n"/>
      <c r="L37" s="66" t="n"/>
      <c r="M37" s="66" t="n"/>
      <c r="N37" s="66" t="n"/>
      <c r="O37" s="66" t="n"/>
      <c r="P37" s="66" t="n"/>
      <c r="Q37" s="66" t="n"/>
      <c r="R37" s="66" t="n"/>
      <c r="S37" s="66" t="n"/>
      <c r="T37" s="66" t="n"/>
      <c r="U37" s="66" t="n"/>
      <c r="V37" s="66" t="n"/>
      <c r="W37" s="66" t="n"/>
      <c r="X37" s="66" t="n"/>
      <c r="Y37" s="66" t="n"/>
      <c r="Z37" s="66" t="n"/>
      <c r="AA37" s="66" t="n"/>
      <c r="AB37" s="66" t="n"/>
      <c r="AC37" s="66" t="n"/>
      <c r="AD37" s="66" t="n"/>
      <c r="AE37" s="66" t="n"/>
      <c r="AF37" s="66" t="n"/>
      <c r="AG37" s="66" t="n"/>
      <c r="AH37" s="66" t="n"/>
      <c r="AI37" s="66" t="n"/>
      <c r="AJ37" s="66" t="n"/>
      <c r="AK37" s="66" t="n"/>
      <c r="AL37" s="66" t="n"/>
      <c r="AM37" s="66" t="n"/>
      <c r="AN37" s="66" t="n"/>
      <c r="AO37" s="66" t="n"/>
      <c r="AP37" s="66" t="n"/>
      <c r="AQ37" s="66" t="n">
        <v>186930000</v>
      </c>
      <c r="AS37" s="67">
        <f>RANDBETWEEN(1,5)*1000000</f>
        <v/>
      </c>
    </row>
    <row r="38">
      <c r="A38" s="60" t="n">
        <v>30133</v>
      </c>
      <c r="B38" s="66" t="n"/>
      <c r="C38" s="66" t="n"/>
      <c r="D38" s="66" t="n"/>
      <c r="E38" s="66" t="n"/>
      <c r="F38" s="66" t="n"/>
      <c r="G38" s="66" t="n"/>
      <c r="H38" s="66" t="n"/>
      <c r="I38" s="66" t="n"/>
      <c r="J38" s="66" t="n"/>
      <c r="K38" s="66" t="n"/>
      <c r="L38" s="66" t="n"/>
      <c r="M38" s="66" t="n"/>
      <c r="N38" s="66" t="n"/>
      <c r="O38" s="66" t="n"/>
      <c r="P38" s="66" t="n"/>
      <c r="Q38" s="66" t="n"/>
      <c r="R38" s="66" t="n"/>
      <c r="S38" s="66" t="n"/>
      <c r="T38" s="66" t="n"/>
      <c r="U38" s="66" t="n"/>
      <c r="V38" s="66" t="n"/>
      <c r="W38" s="66" t="n"/>
      <c r="X38" s="66" t="n"/>
      <c r="Y38" s="66" t="n"/>
      <c r="Z38" s="66" t="n"/>
      <c r="AA38" s="66" t="n"/>
      <c r="AB38" s="66" t="n"/>
      <c r="AC38" s="66" t="n"/>
      <c r="AD38" s="66" t="n"/>
      <c r="AE38" s="66" t="n"/>
      <c r="AF38" s="66" t="n"/>
      <c r="AG38" s="66" t="n"/>
      <c r="AH38" s="66" t="n"/>
      <c r="AI38" s="66" t="n"/>
      <c r="AJ38" s="66" t="n"/>
      <c r="AK38" s="66" t="n"/>
      <c r="AL38" s="66" t="n"/>
      <c r="AM38" s="66" t="n"/>
      <c r="AN38" s="66" t="n"/>
      <c r="AO38" s="66" t="n"/>
      <c r="AP38" s="66" t="n"/>
      <c r="AQ38" s="66" t="n">
        <v>186930000</v>
      </c>
      <c r="AS38" s="67">
        <f>RANDBETWEEN(1,5)*1000000</f>
        <v/>
      </c>
    </row>
    <row r="39">
      <c r="A39" s="60" t="n">
        <v>30164</v>
      </c>
      <c r="B39" s="66" t="n"/>
      <c r="C39" s="66" t="n"/>
      <c r="D39" s="66" t="n"/>
      <c r="E39" s="66" t="n"/>
      <c r="F39" s="66" t="n"/>
      <c r="G39" s="66" t="n"/>
      <c r="H39" s="66" t="n"/>
      <c r="I39" s="66" t="n"/>
      <c r="J39" s="66" t="n"/>
      <c r="K39" s="66" t="n"/>
      <c r="L39" s="66" t="n"/>
      <c r="M39" s="66" t="n"/>
      <c r="N39" s="66" t="n"/>
      <c r="O39" s="66" t="n"/>
      <c r="P39" s="66" t="n"/>
      <c r="Q39" s="66" t="n"/>
      <c r="R39" s="66" t="n"/>
      <c r="S39" s="66" t="n"/>
      <c r="T39" s="66" t="n"/>
      <c r="U39" s="66" t="n"/>
      <c r="V39" s="66" t="n"/>
      <c r="W39" s="66" t="n"/>
      <c r="X39" s="66" t="n"/>
      <c r="Y39" s="66" t="n"/>
      <c r="Z39" s="66" t="n"/>
      <c r="AA39" s="66" t="n"/>
      <c r="AB39" s="66" t="n"/>
      <c r="AC39" s="66" t="n"/>
      <c r="AD39" s="66" t="n"/>
      <c r="AE39" s="66" t="n"/>
      <c r="AF39" s="66" t="n"/>
      <c r="AG39" s="66" t="n"/>
      <c r="AH39" s="66" t="n"/>
      <c r="AI39" s="66" t="n"/>
      <c r="AJ39" s="66" t="n"/>
      <c r="AK39" s="66" t="n"/>
      <c r="AL39" s="66" t="n"/>
      <c r="AM39" s="66" t="n"/>
      <c r="AN39" s="66" t="n"/>
      <c r="AO39" s="66" t="n"/>
      <c r="AP39" s="66" t="n"/>
      <c r="AQ39" s="66" t="n">
        <v>186930000</v>
      </c>
      <c r="AS39" s="67">
        <f>RANDBETWEEN(1,5)*1000000</f>
        <v/>
      </c>
    </row>
    <row r="40">
      <c r="A40" s="60" t="n">
        <v>30195</v>
      </c>
      <c r="B40" s="66" t="n"/>
      <c r="C40" s="66" t="n"/>
      <c r="D40" s="66" t="n"/>
      <c r="E40" s="66" t="n"/>
      <c r="F40" s="66" t="n"/>
      <c r="G40" s="66" t="n"/>
      <c r="H40" s="66" t="n"/>
      <c r="I40" s="66" t="n"/>
      <c r="J40" s="66" t="n"/>
      <c r="K40" s="66" t="n"/>
      <c r="L40" s="66" t="n"/>
      <c r="M40" s="66" t="n"/>
      <c r="N40" s="66" t="n"/>
      <c r="O40" s="66" t="n"/>
      <c r="P40" s="66" t="n"/>
      <c r="Q40" s="66" t="n"/>
      <c r="R40" s="66" t="n"/>
      <c r="S40" s="66" t="n"/>
      <c r="T40" s="66" t="n"/>
      <c r="U40" s="66" t="n"/>
      <c r="V40" s="66" t="n"/>
      <c r="W40" s="66" t="n"/>
      <c r="X40" s="66" t="n"/>
      <c r="Y40" s="66" t="n"/>
      <c r="Z40" s="66" t="n"/>
      <c r="AA40" s="66" t="n"/>
      <c r="AB40" s="66" t="n"/>
      <c r="AC40" s="66" t="n"/>
      <c r="AD40" s="66" t="n"/>
      <c r="AE40" s="66" t="n"/>
      <c r="AF40" s="66" t="n"/>
      <c r="AG40" s="66" t="n"/>
      <c r="AH40" s="66" t="n"/>
      <c r="AI40" s="66" t="n"/>
      <c r="AJ40" s="66" t="n"/>
      <c r="AK40" s="66" t="n"/>
      <c r="AL40" s="66" t="n"/>
      <c r="AM40" s="66" t="n"/>
      <c r="AN40" s="66" t="n"/>
      <c r="AO40" s="66" t="n"/>
      <c r="AP40" s="66" t="n"/>
      <c r="AQ40" s="66" t="n">
        <v>186930000</v>
      </c>
      <c r="AS40" s="67">
        <f>RANDBETWEEN(1,5)*1000000</f>
        <v/>
      </c>
    </row>
    <row r="41">
      <c r="A41" s="60" t="n">
        <v>30225</v>
      </c>
      <c r="B41" s="66" t="n"/>
      <c r="C41" s="66" t="n"/>
      <c r="D41" s="66" t="n"/>
      <c r="E41" s="66" t="n"/>
      <c r="F41" s="66" t="n"/>
      <c r="G41" s="66" t="n"/>
      <c r="H41" s="66" t="n"/>
      <c r="I41" s="66" t="n"/>
      <c r="J41" s="66" t="n"/>
      <c r="K41" s="66" t="n"/>
      <c r="L41" s="66" t="n"/>
      <c r="M41" s="66" t="n"/>
      <c r="N41" s="66" t="n"/>
      <c r="O41" s="66" t="n"/>
      <c r="P41" s="66" t="n"/>
      <c r="Q41" s="66" t="n"/>
      <c r="R41" s="66" t="n"/>
      <c r="S41" s="66" t="n"/>
      <c r="T41" s="66" t="n"/>
      <c r="U41" s="66" t="n"/>
      <c r="V41" s="66" t="n"/>
      <c r="W41" s="66" t="n"/>
      <c r="X41" s="66" t="n"/>
      <c r="Y41" s="66" t="n"/>
      <c r="Z41" s="66" t="n"/>
      <c r="AA41" s="66" t="n"/>
      <c r="AB41" s="66" t="n"/>
      <c r="AC41" s="66" t="n"/>
      <c r="AD41" s="66" t="n"/>
      <c r="AE41" s="66" t="n"/>
      <c r="AF41" s="66" t="n"/>
      <c r="AG41" s="66" t="n"/>
      <c r="AH41" s="66" t="n"/>
      <c r="AI41" s="66" t="n"/>
      <c r="AJ41" s="66" t="n"/>
      <c r="AK41" s="66" t="n"/>
      <c r="AL41" s="66" t="n"/>
      <c r="AM41" s="66" t="n"/>
      <c r="AN41" s="66" t="n"/>
      <c r="AO41" s="66" t="n"/>
      <c r="AP41" s="66" t="n"/>
      <c r="AQ41" s="66" t="n">
        <v>186930000</v>
      </c>
      <c r="AS41" s="67">
        <f>RANDBETWEEN(1,5)*1000000</f>
        <v/>
      </c>
    </row>
    <row r="42">
      <c r="A42" s="60" t="n">
        <v>30256</v>
      </c>
      <c r="B42" s="66" t="n"/>
      <c r="C42" s="66" t="n"/>
      <c r="D42" s="66" t="n"/>
      <c r="E42" s="66" t="n"/>
      <c r="F42" s="66" t="n"/>
      <c r="G42" s="66" t="n"/>
      <c r="H42" s="66" t="n"/>
      <c r="I42" s="66" t="n"/>
      <c r="J42" s="66" t="n"/>
      <c r="K42" s="66" t="n"/>
      <c r="L42" s="66" t="n"/>
      <c r="M42" s="66" t="n"/>
      <c r="N42" s="66" t="n"/>
      <c r="O42" s="66" t="n"/>
      <c r="P42" s="66" t="n"/>
      <c r="Q42" s="66" t="n"/>
      <c r="R42" s="66" t="n"/>
      <c r="S42" s="66" t="n"/>
      <c r="T42" s="66" t="n"/>
      <c r="U42" s="66" t="n"/>
      <c r="V42" s="66" t="n"/>
      <c r="W42" s="66" t="n"/>
      <c r="X42" s="66" t="n"/>
      <c r="Y42" s="66" t="n"/>
      <c r="Z42" s="66" t="n"/>
      <c r="AA42" s="66" t="n"/>
      <c r="AB42" s="66" t="n"/>
      <c r="AC42" s="66" t="n"/>
      <c r="AD42" s="66" t="n"/>
      <c r="AE42" s="66" t="n"/>
      <c r="AF42" s="66" t="n"/>
      <c r="AG42" s="66" t="n"/>
      <c r="AH42" s="66" t="n"/>
      <c r="AI42" s="66" t="n"/>
      <c r="AJ42" s="66" t="n"/>
      <c r="AK42" s="66" t="n"/>
      <c r="AL42" s="66" t="n"/>
      <c r="AM42" s="66" t="n"/>
      <c r="AN42" s="66" t="n"/>
      <c r="AO42" s="66" t="n"/>
      <c r="AP42" s="66" t="n"/>
      <c r="AQ42" s="66" t="n">
        <v>186930000</v>
      </c>
      <c r="AS42" s="67">
        <f>RANDBETWEEN(1,5)*1000000</f>
        <v/>
      </c>
    </row>
    <row r="43">
      <c r="A43" s="60" t="n">
        <v>30286</v>
      </c>
      <c r="B43" s="66" t="n"/>
      <c r="C43" s="66" t="n"/>
      <c r="D43" s="66" t="n"/>
      <c r="E43" s="66" t="n"/>
      <c r="F43" s="66" t="n"/>
      <c r="G43" s="66" t="n"/>
      <c r="H43" s="66" t="n"/>
      <c r="I43" s="66" t="n"/>
      <c r="J43" s="66" t="n"/>
      <c r="K43" s="66" t="n"/>
      <c r="L43" s="66" t="n"/>
      <c r="M43" s="66" t="n"/>
      <c r="N43" s="66" t="n"/>
      <c r="O43" s="66" t="n"/>
      <c r="P43" s="66" t="n"/>
      <c r="Q43" s="66" t="n"/>
      <c r="R43" s="66" t="n"/>
      <c r="S43" s="66" t="n"/>
      <c r="T43" s="66" t="n"/>
      <c r="U43" s="66" t="n"/>
      <c r="V43" s="66" t="n"/>
      <c r="W43" s="66" t="n"/>
      <c r="X43" s="66" t="n"/>
      <c r="Y43" s="66" t="n"/>
      <c r="Z43" s="66" t="n"/>
      <c r="AA43" s="66" t="n"/>
      <c r="AB43" s="66" t="n"/>
      <c r="AC43" s="66" t="n"/>
      <c r="AD43" s="66" t="n"/>
      <c r="AE43" s="66" t="n"/>
      <c r="AF43" s="66" t="n"/>
      <c r="AG43" s="66" t="n"/>
      <c r="AH43" s="66" t="n"/>
      <c r="AI43" s="66" t="n"/>
      <c r="AJ43" s="66" t="n"/>
      <c r="AK43" s="66" t="n"/>
      <c r="AL43" s="66" t="n"/>
      <c r="AM43" s="66" t="n"/>
      <c r="AN43" s="66" t="n"/>
      <c r="AO43" s="66" t="n"/>
      <c r="AP43" s="66" t="n"/>
      <c r="AQ43" s="66" t="n">
        <v>186930000</v>
      </c>
      <c r="AS43" s="67">
        <f>RANDBETWEEN(1,5)*1000000</f>
        <v/>
      </c>
    </row>
    <row r="44">
      <c r="A44" s="60" t="n">
        <v>30317</v>
      </c>
      <c r="B44" s="66" t="n"/>
      <c r="C44" s="66" t="n"/>
      <c r="D44" s="66" t="n"/>
      <c r="E44" s="66" t="n"/>
      <c r="F44" s="66" t="n"/>
      <c r="G44" s="66" t="n"/>
      <c r="H44" s="66" t="n"/>
      <c r="I44" s="66" t="n"/>
      <c r="J44" s="66" t="n"/>
      <c r="K44" s="66" t="n"/>
      <c r="L44" s="66" t="n"/>
      <c r="M44" s="66" t="n"/>
      <c r="N44" s="66" t="n"/>
      <c r="O44" s="66" t="n"/>
      <c r="P44" s="66" t="n"/>
      <c r="Q44" s="66" t="n"/>
      <c r="R44" s="66" t="n"/>
      <c r="S44" s="66" t="n"/>
      <c r="T44" s="66" t="n"/>
      <c r="U44" s="66" t="n"/>
      <c r="V44" s="66" t="n"/>
      <c r="W44" s="66" t="n"/>
      <c r="X44" s="66" t="n"/>
      <c r="Y44" s="66" t="n"/>
      <c r="Z44" s="66" t="n"/>
      <c r="AA44" s="66" t="n"/>
      <c r="AB44" s="66" t="n"/>
      <c r="AC44" s="66" t="n"/>
      <c r="AD44" s="66" t="n"/>
      <c r="AE44" s="66" t="n"/>
      <c r="AF44" s="66" t="n"/>
      <c r="AG44" s="66" t="n"/>
      <c r="AH44" s="66" t="n"/>
      <c r="AI44" s="66" t="n"/>
      <c r="AJ44" s="66" t="n"/>
      <c r="AK44" s="66" t="n"/>
      <c r="AL44" s="66" t="n"/>
      <c r="AM44" s="66" t="n"/>
      <c r="AN44" s="66" t="n"/>
      <c r="AO44" s="66" t="n"/>
      <c r="AP44" s="66" t="n"/>
      <c r="AQ44" s="66" t="n">
        <v>186930000</v>
      </c>
      <c r="AS44" s="67">
        <f>RANDBETWEEN(1,5)*1000000</f>
        <v/>
      </c>
    </row>
    <row r="45">
      <c r="A45" s="60" t="n">
        <v>30348</v>
      </c>
      <c r="B45" s="66" t="n"/>
      <c r="C45" s="66" t="n"/>
      <c r="D45" s="66" t="n"/>
      <c r="E45" s="66" t="n"/>
      <c r="F45" s="66" t="n"/>
      <c r="G45" s="66" t="n"/>
      <c r="H45" s="66" t="n"/>
      <c r="I45" s="66" t="n"/>
      <c r="J45" s="66" t="n"/>
      <c r="K45" s="66" t="n"/>
      <c r="L45" s="66" t="n"/>
      <c r="M45" s="66" t="n"/>
      <c r="N45" s="66" t="n"/>
      <c r="O45" s="66" t="n"/>
      <c r="P45" s="66" t="n"/>
      <c r="Q45" s="66" t="n"/>
      <c r="R45" s="66" t="n"/>
      <c r="S45" s="66" t="n"/>
      <c r="T45" s="66" t="n"/>
      <c r="U45" s="66" t="n"/>
      <c r="V45" s="66" t="n"/>
      <c r="W45" s="66" t="n"/>
      <c r="X45" s="66" t="n"/>
      <c r="Y45" s="66" t="n"/>
      <c r="Z45" s="66" t="n"/>
      <c r="AA45" s="66" t="n"/>
      <c r="AB45" s="66" t="n"/>
      <c r="AC45" s="66" t="n"/>
      <c r="AD45" s="66" t="n"/>
      <c r="AE45" s="66" t="n"/>
      <c r="AF45" s="66" t="n"/>
      <c r="AG45" s="66" t="n"/>
      <c r="AH45" s="66" t="n"/>
      <c r="AI45" s="66" t="n"/>
      <c r="AJ45" s="66" t="n"/>
      <c r="AK45" s="66" t="n"/>
      <c r="AL45" s="66" t="n"/>
      <c r="AM45" s="66" t="n"/>
      <c r="AN45" s="66" t="n"/>
      <c r="AO45" s="66" t="n"/>
      <c r="AP45" s="66" t="n"/>
      <c r="AQ45" s="66" t="n">
        <v>186930000</v>
      </c>
      <c r="AS45" s="67">
        <f>RANDBETWEEN(1,5)*1000000</f>
        <v/>
      </c>
    </row>
    <row r="46">
      <c r="A46" s="60" t="n">
        <v>30376</v>
      </c>
      <c r="B46" s="66" t="n"/>
      <c r="C46" s="66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  <c r="X46" s="66" t="n"/>
      <c r="Y46" s="66" t="n"/>
      <c r="Z46" s="66" t="n"/>
      <c r="AA46" s="66" t="n"/>
      <c r="AB46" s="66" t="n"/>
      <c r="AC46" s="66" t="n"/>
      <c r="AD46" s="66" t="n"/>
      <c r="AE46" s="66" t="n"/>
      <c r="AF46" s="66" t="n"/>
      <c r="AG46" s="66" t="n"/>
      <c r="AH46" s="66" t="n"/>
      <c r="AI46" s="66" t="n"/>
      <c r="AJ46" s="66" t="n"/>
      <c r="AK46" s="66" t="n"/>
      <c r="AL46" s="66" t="n"/>
      <c r="AM46" s="66" t="n"/>
      <c r="AN46" s="66" t="n"/>
      <c r="AO46" s="66" t="n"/>
      <c r="AP46" s="66" t="n"/>
      <c r="AQ46" s="66" t="n">
        <v>186930000</v>
      </c>
      <c r="AS46" s="67">
        <f>RANDBETWEEN(1,5)*1000000</f>
        <v/>
      </c>
    </row>
    <row r="47">
      <c r="A47" s="60" t="n">
        <v>30407</v>
      </c>
      <c r="B47" s="66" t="n"/>
      <c r="C47" s="66" t="n"/>
      <c r="D47" s="66" t="n"/>
      <c r="E47" s="66" t="n"/>
      <c r="F47" s="66" t="n"/>
      <c r="G47" s="66" t="n"/>
      <c r="H47" s="66" t="n"/>
      <c r="I47" s="66" t="n"/>
      <c r="J47" s="66" t="n"/>
      <c r="K47" s="66" t="n"/>
      <c r="L47" s="66" t="n"/>
      <c r="M47" s="66" t="n"/>
      <c r="N47" s="66" t="n"/>
      <c r="O47" s="66" t="n"/>
      <c r="P47" s="66" t="n"/>
      <c r="Q47" s="66" t="n"/>
      <c r="R47" s="66" t="n"/>
      <c r="S47" s="66" t="n"/>
      <c r="T47" s="66" t="n"/>
      <c r="U47" s="66" t="n"/>
      <c r="V47" s="66" t="n"/>
      <c r="W47" s="66" t="n"/>
      <c r="X47" s="66" t="n"/>
      <c r="Y47" s="66" t="n"/>
      <c r="Z47" s="66" t="n"/>
      <c r="AA47" s="66" t="n"/>
      <c r="AB47" s="66" t="n"/>
      <c r="AC47" s="66" t="n"/>
      <c r="AD47" s="66" t="n"/>
      <c r="AE47" s="66" t="n"/>
      <c r="AF47" s="66" t="n"/>
      <c r="AG47" s="66" t="n"/>
      <c r="AH47" s="66" t="n"/>
      <c r="AI47" s="66" t="n"/>
      <c r="AJ47" s="66" t="n"/>
      <c r="AK47" s="66" t="n"/>
      <c r="AL47" s="66" t="n"/>
      <c r="AM47" s="66" t="n"/>
      <c r="AN47" s="66" t="n"/>
      <c r="AO47" s="66" t="n"/>
      <c r="AP47" s="66" t="n"/>
      <c r="AQ47" s="66" t="n">
        <v>186930000</v>
      </c>
      <c r="AS47" s="67">
        <f>RANDBETWEEN(1,5)*1000000</f>
        <v/>
      </c>
    </row>
    <row r="48">
      <c r="A48" s="60" t="n">
        <v>30437</v>
      </c>
      <c r="B48" s="66" t="n"/>
      <c r="C48" s="66" t="n"/>
      <c r="D48" s="66" t="n"/>
      <c r="E48" s="66" t="n"/>
      <c r="F48" s="66" t="n"/>
      <c r="G48" s="66" t="n"/>
      <c r="H48" s="66" t="n"/>
      <c r="I48" s="66" t="n"/>
      <c r="J48" s="66" t="n"/>
      <c r="K48" s="66" t="n"/>
      <c r="L48" s="66" t="n"/>
      <c r="M48" s="66" t="n"/>
      <c r="N48" s="66" t="n"/>
      <c r="O48" s="66" t="n"/>
      <c r="P48" s="66" t="n"/>
      <c r="Q48" s="66" t="n"/>
      <c r="R48" s="66" t="n"/>
      <c r="S48" s="66" t="n"/>
      <c r="T48" s="66" t="n"/>
      <c r="U48" s="66" t="n"/>
      <c r="V48" s="66" t="n"/>
      <c r="W48" s="66" t="n"/>
      <c r="X48" s="66" t="n"/>
      <c r="Y48" s="66" t="n"/>
      <c r="Z48" s="66" t="n"/>
      <c r="AA48" s="66" t="n"/>
      <c r="AB48" s="66" t="n"/>
      <c r="AC48" s="66" t="n"/>
      <c r="AD48" s="66" t="n"/>
      <c r="AE48" s="66" t="n"/>
      <c r="AF48" s="66" t="n"/>
      <c r="AG48" s="66" t="n"/>
      <c r="AH48" s="66" t="n"/>
      <c r="AI48" s="66" t="n"/>
      <c r="AJ48" s="66" t="n"/>
      <c r="AK48" s="66" t="n"/>
      <c r="AL48" s="66" t="n"/>
      <c r="AM48" s="66" t="n"/>
      <c r="AN48" s="66" t="n"/>
      <c r="AO48" s="66" t="n"/>
      <c r="AP48" s="66" t="n"/>
      <c r="AQ48" s="66" t="n">
        <v>186930000</v>
      </c>
      <c r="AS48" s="67">
        <f>RANDBETWEEN(1,5)*1000000</f>
        <v/>
      </c>
    </row>
    <row r="49">
      <c r="A49" s="60" t="n">
        <v>30468</v>
      </c>
      <c r="B49" s="66" t="n"/>
      <c r="C49" s="66" t="n"/>
      <c r="D49" s="66" t="n"/>
      <c r="E49" s="66" t="n"/>
      <c r="F49" s="66" t="n"/>
      <c r="G49" s="66" t="n"/>
      <c r="H49" s="66" t="n"/>
      <c r="I49" s="66" t="n"/>
      <c r="J49" s="66" t="n"/>
      <c r="K49" s="66" t="n"/>
      <c r="L49" s="66" t="n"/>
      <c r="M49" s="66" t="n"/>
      <c r="N49" s="66" t="n"/>
      <c r="O49" s="66" t="n"/>
      <c r="P49" s="66" t="n"/>
      <c r="Q49" s="66" t="n"/>
      <c r="R49" s="66" t="n"/>
      <c r="S49" s="66" t="n"/>
      <c r="T49" s="66" t="n"/>
      <c r="U49" s="66" t="n"/>
      <c r="V49" s="66" t="n"/>
      <c r="W49" s="66" t="n"/>
      <c r="X49" s="66" t="n"/>
      <c r="Y49" s="66" t="n"/>
      <c r="Z49" s="66" t="n"/>
      <c r="AA49" s="66" t="n"/>
      <c r="AB49" s="66" t="n"/>
      <c r="AC49" s="66" t="n"/>
      <c r="AD49" s="66" t="n"/>
      <c r="AE49" s="66" t="n"/>
      <c r="AF49" s="66" t="n"/>
      <c r="AG49" s="66" t="n"/>
      <c r="AH49" s="66" t="n"/>
      <c r="AI49" s="66" t="n"/>
      <c r="AJ49" s="66" t="n"/>
      <c r="AK49" s="66" t="n"/>
      <c r="AL49" s="66" t="n"/>
      <c r="AM49" s="66" t="n"/>
      <c r="AN49" s="66" t="n"/>
      <c r="AO49" s="66" t="n"/>
      <c r="AP49" s="66" t="n"/>
      <c r="AQ49" s="66" t="n">
        <v>186930000</v>
      </c>
      <c r="AS49" s="67">
        <f>RANDBETWEEN(1,5)*1000000</f>
        <v/>
      </c>
    </row>
    <row r="50">
      <c r="A50" s="60" t="n">
        <v>30498</v>
      </c>
      <c r="B50" s="66" t="n"/>
      <c r="C50" s="66" t="n"/>
      <c r="D50" s="66" t="n"/>
      <c r="E50" s="66" t="n"/>
      <c r="F50" s="66" t="n"/>
      <c r="G50" s="66" t="n"/>
      <c r="H50" s="66" t="n"/>
      <c r="I50" s="66" t="n"/>
      <c r="J50" s="66" t="n"/>
      <c r="K50" s="66" t="n"/>
      <c r="L50" s="66" t="n"/>
      <c r="M50" s="66" t="n"/>
      <c r="N50" s="66" t="n"/>
      <c r="O50" s="66" t="n"/>
      <c r="P50" s="66" t="n"/>
      <c r="Q50" s="66" t="n"/>
      <c r="R50" s="66" t="n"/>
      <c r="S50" s="66" t="n"/>
      <c r="T50" s="66" t="n"/>
      <c r="U50" s="66" t="n"/>
      <c r="V50" s="66" t="n"/>
      <c r="W50" s="66" t="n"/>
      <c r="X50" s="66" t="n"/>
      <c r="Y50" s="66" t="n"/>
      <c r="Z50" s="66" t="n"/>
      <c r="AA50" s="66" t="n"/>
      <c r="AB50" s="66" t="n"/>
      <c r="AC50" s="66" t="n"/>
      <c r="AD50" s="66" t="n"/>
      <c r="AE50" s="66" t="n"/>
      <c r="AF50" s="66" t="n"/>
      <c r="AG50" s="66" t="n"/>
      <c r="AH50" s="66" t="n"/>
      <c r="AI50" s="66" t="n"/>
      <c r="AJ50" s="66" t="n"/>
      <c r="AK50" s="66" t="n"/>
      <c r="AL50" s="66" t="n"/>
      <c r="AM50" s="66" t="n"/>
      <c r="AN50" s="66" t="n"/>
      <c r="AO50" s="66" t="n"/>
      <c r="AP50" s="66" t="n"/>
      <c r="AQ50" s="66" t="n">
        <v>186930000</v>
      </c>
      <c r="AS50" s="67">
        <f>RANDBETWEEN(1,5)*1000000</f>
        <v/>
      </c>
    </row>
    <row r="51">
      <c r="A51" s="60" t="n">
        <v>30529</v>
      </c>
      <c r="B51" s="66" t="n"/>
      <c r="C51" s="66" t="n"/>
      <c r="D51" s="66" t="n"/>
      <c r="E51" s="66" t="n"/>
      <c r="F51" s="66" t="n"/>
      <c r="G51" s="66" t="n"/>
      <c r="H51" s="66" t="n"/>
      <c r="I51" s="66" t="n"/>
      <c r="J51" s="66" t="n"/>
      <c r="K51" s="66" t="n"/>
      <c r="L51" s="66" t="n"/>
      <c r="M51" s="66" t="n"/>
      <c r="N51" s="66" t="n"/>
      <c r="O51" s="66" t="n"/>
      <c r="P51" s="66" t="n"/>
      <c r="Q51" s="66" t="n"/>
      <c r="R51" s="66" t="n"/>
      <c r="S51" s="66" t="n"/>
      <c r="T51" s="66" t="n"/>
      <c r="U51" s="66" t="n"/>
      <c r="V51" s="66" t="n"/>
      <c r="W51" s="66" t="n"/>
      <c r="X51" s="66" t="n"/>
      <c r="Y51" s="66" t="n"/>
      <c r="Z51" s="66" t="n"/>
      <c r="AA51" s="66" t="n"/>
      <c r="AB51" s="66" t="n"/>
      <c r="AC51" s="66" t="n"/>
      <c r="AD51" s="66" t="n"/>
      <c r="AE51" s="66" t="n"/>
      <c r="AF51" s="66" t="n"/>
      <c r="AG51" s="66" t="n"/>
      <c r="AH51" s="66" t="n"/>
      <c r="AI51" s="66" t="n"/>
      <c r="AJ51" s="66" t="n"/>
      <c r="AK51" s="66" t="n"/>
      <c r="AL51" s="66" t="n"/>
      <c r="AM51" s="66" t="n"/>
      <c r="AN51" s="66" t="n"/>
      <c r="AO51" s="66" t="n"/>
      <c r="AP51" s="66" t="n"/>
      <c r="AQ51" s="66" t="n">
        <v>186930000</v>
      </c>
      <c r="AS51" s="67">
        <f>RANDBETWEEN(1,5)*1000000</f>
        <v/>
      </c>
    </row>
    <row r="52">
      <c r="A52" s="60" t="n">
        <v>30560</v>
      </c>
      <c r="B52" s="66" t="n"/>
      <c r="C52" s="66" t="n"/>
      <c r="D52" s="66" t="n"/>
      <c r="E52" s="66" t="n"/>
      <c r="F52" s="66" t="n"/>
      <c r="G52" s="66" t="n"/>
      <c r="H52" s="66" t="n"/>
      <c r="I52" s="66" t="n"/>
      <c r="J52" s="66" t="n"/>
      <c r="K52" s="66" t="n"/>
      <c r="L52" s="66" t="n"/>
      <c r="M52" s="66" t="n"/>
      <c r="N52" s="66" t="n"/>
      <c r="O52" s="66" t="n"/>
      <c r="P52" s="66" t="n"/>
      <c r="Q52" s="66" t="n"/>
      <c r="R52" s="66" t="n"/>
      <c r="S52" s="66" t="n"/>
      <c r="T52" s="66" t="n"/>
      <c r="U52" s="66" t="n"/>
      <c r="V52" s="66" t="n"/>
      <c r="W52" s="66" t="n"/>
      <c r="X52" s="66" t="n"/>
      <c r="Y52" s="66" t="n"/>
      <c r="Z52" s="66" t="n"/>
      <c r="AA52" s="66" t="n"/>
      <c r="AB52" s="66" t="n"/>
      <c r="AC52" s="66" t="n"/>
      <c r="AD52" s="66" t="n"/>
      <c r="AE52" s="66" t="n"/>
      <c r="AF52" s="66" t="n"/>
      <c r="AG52" s="66" t="n"/>
      <c r="AH52" s="66" t="n"/>
      <c r="AI52" s="66" t="n"/>
      <c r="AJ52" s="66" t="n"/>
      <c r="AK52" s="66" t="n"/>
      <c r="AL52" s="66" t="n"/>
      <c r="AM52" s="66" t="n"/>
      <c r="AN52" s="66" t="n"/>
      <c r="AO52" s="66" t="n"/>
      <c r="AP52" s="66" t="n"/>
      <c r="AQ52" s="66" t="n">
        <v>186930000</v>
      </c>
      <c r="AS52" s="67">
        <f>RANDBETWEEN(1,5)*1000000</f>
        <v/>
      </c>
    </row>
    <row r="53">
      <c r="A53" s="60" t="n">
        <v>30590</v>
      </c>
      <c r="B53" s="66" t="n"/>
      <c r="C53" s="66" t="n"/>
      <c r="D53" s="66" t="n"/>
      <c r="E53" s="66" t="n"/>
      <c r="F53" s="66" t="n"/>
      <c r="G53" s="66" t="n"/>
      <c r="H53" s="66" t="n"/>
      <c r="I53" s="66" t="n"/>
      <c r="J53" s="66" t="n"/>
      <c r="K53" s="66" t="n"/>
      <c r="L53" s="66" t="n"/>
      <c r="M53" s="66" t="n"/>
      <c r="N53" s="66" t="n"/>
      <c r="O53" s="66" t="n"/>
      <c r="P53" s="66" t="n"/>
      <c r="Q53" s="66" t="n"/>
      <c r="R53" s="66" t="n"/>
      <c r="S53" s="66" t="n"/>
      <c r="T53" s="66" t="n"/>
      <c r="U53" s="66" t="n"/>
      <c r="V53" s="66" t="n"/>
      <c r="W53" s="66" t="n"/>
      <c r="X53" s="66" t="n"/>
      <c r="Y53" s="66" t="n"/>
      <c r="Z53" s="66" t="n"/>
      <c r="AA53" s="66" t="n"/>
      <c r="AB53" s="66" t="n"/>
      <c r="AC53" s="66" t="n"/>
      <c r="AD53" s="66" t="n"/>
      <c r="AE53" s="66" t="n"/>
      <c r="AF53" s="66" t="n"/>
      <c r="AG53" s="66" t="n"/>
      <c r="AH53" s="66" t="n"/>
      <c r="AI53" s="66" t="n"/>
      <c r="AJ53" s="66" t="n"/>
      <c r="AK53" s="66" t="n"/>
      <c r="AL53" s="66" t="n"/>
      <c r="AM53" s="66" t="n"/>
      <c r="AN53" s="66" t="n"/>
      <c r="AO53" s="66" t="n"/>
      <c r="AP53" s="66" t="n"/>
      <c r="AQ53" s="66" t="n">
        <v>186930000</v>
      </c>
      <c r="AS53" s="67">
        <f>RANDBETWEEN(1,5)*1000000</f>
        <v/>
      </c>
    </row>
    <row r="54">
      <c r="A54" s="60" t="n">
        <v>30621</v>
      </c>
      <c r="B54" s="66" t="n"/>
      <c r="C54" s="66" t="n"/>
      <c r="D54" s="66" t="n"/>
      <c r="E54" s="66" t="n"/>
      <c r="F54" s="66" t="n"/>
      <c r="G54" s="66" t="n"/>
      <c r="H54" s="66" t="n"/>
      <c r="I54" s="66" t="n"/>
      <c r="J54" s="66" t="n"/>
      <c r="K54" s="66" t="n"/>
      <c r="L54" s="66" t="n"/>
      <c r="M54" s="66" t="n"/>
      <c r="N54" s="66" t="n"/>
      <c r="O54" s="66" t="n"/>
      <c r="P54" s="66" t="n"/>
      <c r="Q54" s="66" t="n"/>
      <c r="R54" s="66" t="n"/>
      <c r="S54" s="66" t="n"/>
      <c r="T54" s="66" t="n"/>
      <c r="U54" s="66" t="n"/>
      <c r="V54" s="66" t="n"/>
      <c r="W54" s="66" t="n"/>
      <c r="X54" s="66" t="n"/>
      <c r="Y54" s="66" t="n"/>
      <c r="Z54" s="66" t="n"/>
      <c r="AA54" s="66" t="n"/>
      <c r="AB54" s="66" t="n"/>
      <c r="AC54" s="66" t="n"/>
      <c r="AD54" s="66" t="n"/>
      <c r="AE54" s="66" t="n"/>
      <c r="AF54" s="66" t="n"/>
      <c r="AG54" s="66" t="n"/>
      <c r="AH54" s="66" t="n"/>
      <c r="AI54" s="66" t="n"/>
      <c r="AJ54" s="66" t="n"/>
      <c r="AK54" s="66" t="n"/>
      <c r="AL54" s="66" t="n"/>
      <c r="AM54" s="66" t="n"/>
      <c r="AN54" s="66" t="n"/>
      <c r="AO54" s="66" t="n"/>
      <c r="AP54" s="66" t="n"/>
      <c r="AQ54" s="66" t="n">
        <v>186930000</v>
      </c>
      <c r="AS54" s="67">
        <f>RANDBETWEEN(1,5)*1000000</f>
        <v/>
      </c>
    </row>
    <row r="55">
      <c r="A55" s="60" t="n">
        <v>30651</v>
      </c>
      <c r="B55" s="66" t="n"/>
      <c r="C55" s="66" t="n"/>
      <c r="D55" s="66" t="n"/>
      <c r="E55" s="66" t="n"/>
      <c r="F55" s="66" t="n"/>
      <c r="G55" s="66" t="n"/>
      <c r="H55" s="66" t="n"/>
      <c r="I55" s="66" t="n"/>
      <c r="J55" s="66" t="n"/>
      <c r="K55" s="66" t="n"/>
      <c r="L55" s="66" t="n"/>
      <c r="M55" s="66" t="n"/>
      <c r="N55" s="66" t="n"/>
      <c r="O55" s="66" t="n"/>
      <c r="P55" s="66" t="n"/>
      <c r="Q55" s="66" t="n"/>
      <c r="R55" s="66" t="n"/>
      <c r="S55" s="66" t="n"/>
      <c r="T55" s="66" t="n"/>
      <c r="U55" s="66" t="n"/>
      <c r="V55" s="66" t="n"/>
      <c r="W55" s="66" t="n"/>
      <c r="X55" s="66" t="n"/>
      <c r="Y55" s="66" t="n"/>
      <c r="Z55" s="66" t="n"/>
      <c r="AA55" s="66" t="n"/>
      <c r="AB55" s="66" t="n"/>
      <c r="AC55" s="66" t="n"/>
      <c r="AD55" s="66" t="n"/>
      <c r="AE55" s="66" t="n"/>
      <c r="AF55" s="66" t="n"/>
      <c r="AG55" s="66" t="n"/>
      <c r="AH55" s="66" t="n"/>
      <c r="AI55" s="66" t="n"/>
      <c r="AJ55" s="66" t="n"/>
      <c r="AK55" s="66" t="n"/>
      <c r="AL55" s="66" t="n"/>
      <c r="AM55" s="66" t="n"/>
      <c r="AN55" s="66" t="n"/>
      <c r="AO55" s="66" t="n"/>
      <c r="AP55" s="66" t="n"/>
      <c r="AQ55" s="66" t="n">
        <v>186930000</v>
      </c>
      <c r="AS55" s="67">
        <f>RANDBETWEEN(1,5)*1000000</f>
        <v/>
      </c>
    </row>
    <row r="56">
      <c r="A56" s="60" t="n">
        <v>30682</v>
      </c>
      <c r="B56" s="66" t="n"/>
      <c r="C56" s="66" t="n"/>
      <c r="D56" s="66" t="n"/>
      <c r="E56" s="66" t="n"/>
      <c r="F56" s="66" t="n"/>
      <c r="G56" s="66" t="n"/>
      <c r="H56" s="66" t="n"/>
      <c r="I56" s="66" t="n"/>
      <c r="J56" s="66" t="n"/>
      <c r="K56" s="66" t="n"/>
      <c r="L56" s="66" t="n"/>
      <c r="M56" s="66" t="n"/>
      <c r="N56" s="66" t="n"/>
      <c r="O56" s="66" t="n"/>
      <c r="P56" s="66" t="n"/>
      <c r="Q56" s="66" t="n"/>
      <c r="R56" s="66" t="n"/>
      <c r="S56" s="66" t="n"/>
      <c r="T56" s="66" t="n"/>
      <c r="U56" s="66" t="n"/>
      <c r="V56" s="66" t="n"/>
      <c r="W56" s="66" t="n"/>
      <c r="X56" s="66" t="n"/>
      <c r="Y56" s="66" t="n"/>
      <c r="Z56" s="66" t="n"/>
      <c r="AA56" s="66" t="n"/>
      <c r="AB56" s="66" t="n"/>
      <c r="AC56" s="66" t="n"/>
      <c r="AD56" s="66" t="n"/>
      <c r="AE56" s="66" t="n"/>
      <c r="AF56" s="66" t="n"/>
      <c r="AG56" s="66" t="n"/>
      <c r="AH56" s="66" t="n"/>
      <c r="AI56" s="66" t="n"/>
      <c r="AJ56" s="66" t="n"/>
      <c r="AK56" s="66" t="n"/>
      <c r="AL56" s="66" t="n"/>
      <c r="AM56" s="66" t="n"/>
      <c r="AN56" s="66" t="n"/>
      <c r="AO56" s="66" t="n"/>
      <c r="AP56" s="66" t="n"/>
      <c r="AQ56" s="66" t="n">
        <v>186930000</v>
      </c>
      <c r="AS56" s="67">
        <f>RANDBETWEEN(1,5)*1000000</f>
        <v/>
      </c>
    </row>
    <row r="57">
      <c r="A57" s="60" t="n">
        <v>30713</v>
      </c>
      <c r="B57" s="66" t="n"/>
      <c r="C57" s="66" t="n"/>
      <c r="D57" s="66" t="n"/>
      <c r="E57" s="66" t="n"/>
      <c r="F57" s="66" t="n"/>
      <c r="G57" s="66" t="n"/>
      <c r="H57" s="66" t="n"/>
      <c r="I57" s="66" t="n"/>
      <c r="J57" s="66" t="n"/>
      <c r="K57" s="66" t="n"/>
      <c r="L57" s="66" t="n"/>
      <c r="M57" s="66" t="n"/>
      <c r="N57" s="66" t="n"/>
      <c r="O57" s="66" t="n"/>
      <c r="P57" s="66" t="n"/>
      <c r="Q57" s="66" t="n"/>
      <c r="R57" s="66" t="n"/>
      <c r="S57" s="66" t="n"/>
      <c r="T57" s="66" t="n"/>
      <c r="U57" s="66" t="n"/>
      <c r="V57" s="66" t="n"/>
      <c r="W57" s="66" t="n"/>
      <c r="X57" s="66" t="n"/>
      <c r="Y57" s="66" t="n"/>
      <c r="Z57" s="66" t="n"/>
      <c r="AA57" s="66" t="n"/>
      <c r="AB57" s="66" t="n"/>
      <c r="AC57" s="66" t="n"/>
      <c r="AD57" s="66" t="n"/>
      <c r="AE57" s="66" t="n"/>
      <c r="AF57" s="66" t="n"/>
      <c r="AG57" s="66" t="n"/>
      <c r="AH57" s="66" t="n"/>
      <c r="AI57" s="66" t="n"/>
      <c r="AJ57" s="66" t="n"/>
      <c r="AK57" s="66" t="n"/>
      <c r="AL57" s="66" t="n"/>
      <c r="AM57" s="66" t="n"/>
      <c r="AN57" s="66" t="n"/>
      <c r="AO57" s="66" t="n"/>
      <c r="AP57" s="66" t="n"/>
      <c r="AQ57" s="66" t="n">
        <v>186930000</v>
      </c>
      <c r="AS57" s="67">
        <f>RANDBETWEEN(1,5)*1000000</f>
        <v/>
      </c>
    </row>
    <row r="58">
      <c r="A58" s="60" t="n">
        <v>30742</v>
      </c>
      <c r="B58" s="66" t="n"/>
      <c r="C58" s="66" t="n"/>
      <c r="D58" s="66" t="n"/>
      <c r="E58" s="66" t="n"/>
      <c r="F58" s="66" t="n"/>
      <c r="G58" s="66" t="n"/>
      <c r="H58" s="66" t="n"/>
      <c r="I58" s="66" t="n"/>
      <c r="J58" s="66" t="n"/>
      <c r="K58" s="66" t="n"/>
      <c r="L58" s="66" t="n"/>
      <c r="M58" s="66" t="n"/>
      <c r="N58" s="66" t="n"/>
      <c r="O58" s="66" t="n"/>
      <c r="P58" s="66" t="n"/>
      <c r="Q58" s="66" t="n"/>
      <c r="R58" s="66" t="n"/>
      <c r="S58" s="66" t="n"/>
      <c r="T58" s="66" t="n"/>
      <c r="U58" s="66" t="n"/>
      <c r="V58" s="66" t="n"/>
      <c r="W58" s="66" t="n"/>
      <c r="X58" s="66" t="n"/>
      <c r="Y58" s="66" t="n"/>
      <c r="Z58" s="66" t="n"/>
      <c r="AA58" s="66" t="n"/>
      <c r="AB58" s="66" t="n"/>
      <c r="AC58" s="66" t="n"/>
      <c r="AD58" s="66" t="n"/>
      <c r="AE58" s="66" t="n"/>
      <c r="AF58" s="66" t="n"/>
      <c r="AG58" s="66" t="n"/>
      <c r="AH58" s="66" t="n"/>
      <c r="AI58" s="66" t="n"/>
      <c r="AJ58" s="66" t="n"/>
      <c r="AK58" s="66" t="n"/>
      <c r="AL58" s="66" t="n"/>
      <c r="AM58" s="66" t="n"/>
      <c r="AN58" s="66" t="n"/>
      <c r="AO58" s="66" t="n"/>
      <c r="AP58" s="66" t="n"/>
      <c r="AQ58" s="66" t="n">
        <v>186930000</v>
      </c>
      <c r="AS58" s="67">
        <f>RANDBETWEEN(1,5)*1000000</f>
        <v/>
      </c>
    </row>
    <row r="59">
      <c r="A59" s="60" t="n">
        <v>30773</v>
      </c>
      <c r="B59" s="66" t="n"/>
      <c r="C59" s="66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  <c r="X59" s="66" t="n"/>
      <c r="Y59" s="66" t="n"/>
      <c r="Z59" s="66" t="n"/>
      <c r="AA59" s="66" t="n"/>
      <c r="AB59" s="66" t="n"/>
      <c r="AC59" s="66" t="n"/>
      <c r="AD59" s="66" t="n"/>
      <c r="AE59" s="66" t="n"/>
      <c r="AF59" s="66" t="n"/>
      <c r="AG59" s="66" t="n"/>
      <c r="AH59" s="66" t="n"/>
      <c r="AI59" s="66" t="n"/>
      <c r="AJ59" s="66" t="n"/>
      <c r="AK59" s="66" t="n"/>
      <c r="AL59" s="66" t="n"/>
      <c r="AM59" s="66" t="n"/>
      <c r="AN59" s="66" t="n"/>
      <c r="AO59" s="66" t="n"/>
      <c r="AP59" s="66" t="n"/>
      <c r="AQ59" s="66" t="n">
        <v>186930000</v>
      </c>
      <c r="AS59" s="67">
        <f>RANDBETWEEN(1,5)*1000000</f>
        <v/>
      </c>
    </row>
    <row r="60">
      <c r="A60" s="60" t="n">
        <v>30803</v>
      </c>
      <c r="B60" s="66" t="n"/>
      <c r="C60" s="66" t="n"/>
      <c r="D60" s="66" t="n"/>
      <c r="E60" s="66" t="n"/>
      <c r="F60" s="66" t="n"/>
      <c r="G60" s="66" t="n"/>
      <c r="H60" s="66" t="n"/>
      <c r="I60" s="66" t="n"/>
      <c r="J60" s="66" t="n"/>
      <c r="K60" s="66" t="n"/>
      <c r="L60" s="66" t="n"/>
      <c r="M60" s="66" t="n"/>
      <c r="N60" s="66" t="n"/>
      <c r="O60" s="66" t="n"/>
      <c r="P60" s="66" t="n"/>
      <c r="Q60" s="66" t="n"/>
      <c r="R60" s="66" t="n"/>
      <c r="S60" s="66" t="n"/>
      <c r="T60" s="66" t="n"/>
      <c r="U60" s="66" t="n"/>
      <c r="V60" s="66" t="n"/>
      <c r="W60" s="66" t="n"/>
      <c r="X60" s="66" t="n"/>
      <c r="Y60" s="66" t="n"/>
      <c r="Z60" s="66" t="n"/>
      <c r="AA60" s="66" t="n"/>
      <c r="AB60" s="66" t="n"/>
      <c r="AC60" s="66" t="n"/>
      <c r="AD60" s="66" t="n"/>
      <c r="AE60" s="66" t="n"/>
      <c r="AF60" s="66" t="n"/>
      <c r="AG60" s="66" t="n"/>
      <c r="AH60" s="66" t="n"/>
      <c r="AI60" s="66" t="n"/>
      <c r="AJ60" s="66" t="n"/>
      <c r="AK60" s="66" t="n"/>
      <c r="AL60" s="66" t="n"/>
      <c r="AM60" s="66" t="n"/>
      <c r="AN60" s="66" t="n"/>
      <c r="AO60" s="66" t="n"/>
      <c r="AP60" s="66" t="n"/>
      <c r="AQ60" s="66" t="n">
        <v>186930000</v>
      </c>
      <c r="AS60" s="67">
        <f>RANDBETWEEN(1,5)*1000000</f>
        <v/>
      </c>
    </row>
    <row r="61">
      <c r="A61" s="60" t="n">
        <v>30834</v>
      </c>
      <c r="B61" s="66" t="n"/>
      <c r="C61" s="66" t="n"/>
      <c r="D61" s="66" t="n"/>
      <c r="E61" s="66" t="n"/>
      <c r="F61" s="66" t="n"/>
      <c r="G61" s="66" t="n"/>
      <c r="H61" s="66" t="n"/>
      <c r="I61" s="66" t="n"/>
      <c r="J61" s="66" t="n"/>
      <c r="K61" s="66" t="n"/>
      <c r="L61" s="66" t="n"/>
      <c r="M61" s="66" t="n"/>
      <c r="N61" s="66" t="n"/>
      <c r="O61" s="66" t="n"/>
      <c r="P61" s="66" t="n"/>
      <c r="Q61" s="66" t="n"/>
      <c r="R61" s="66" t="n"/>
      <c r="S61" s="66" t="n"/>
      <c r="T61" s="66" t="n"/>
      <c r="U61" s="66" t="n"/>
      <c r="V61" s="66" t="n"/>
      <c r="W61" s="66" t="n"/>
      <c r="X61" s="66" t="n"/>
      <c r="Y61" s="66" t="n"/>
      <c r="Z61" s="66" t="n"/>
      <c r="AA61" s="66" t="n"/>
      <c r="AB61" s="66" t="n"/>
      <c r="AC61" s="66" t="n"/>
      <c r="AD61" s="66" t="n"/>
      <c r="AE61" s="66" t="n"/>
      <c r="AF61" s="66" t="n"/>
      <c r="AG61" s="66" t="n"/>
      <c r="AH61" s="66" t="n"/>
      <c r="AI61" s="66" t="n"/>
      <c r="AJ61" s="66" t="n"/>
      <c r="AK61" s="66" t="n"/>
      <c r="AL61" s="66" t="n"/>
      <c r="AM61" s="66" t="n"/>
      <c r="AN61" s="66" t="n"/>
      <c r="AO61" s="66" t="n"/>
      <c r="AP61" s="66" t="n"/>
      <c r="AQ61" s="66" t="n">
        <v>186930000</v>
      </c>
      <c r="AS61" s="67">
        <f>RANDBETWEEN(1,5)*1000000</f>
        <v/>
      </c>
    </row>
    <row r="62">
      <c r="A62" s="60" t="n">
        <v>30864</v>
      </c>
      <c r="B62" s="66" t="n"/>
      <c r="C62" s="66" t="n"/>
      <c r="D62" s="66" t="n"/>
      <c r="E62" s="66" t="n"/>
      <c r="F62" s="66" t="n"/>
      <c r="G62" s="66" t="n"/>
      <c r="H62" s="66" t="n"/>
      <c r="I62" s="66" t="n"/>
      <c r="J62" s="66" t="n"/>
      <c r="K62" s="66" t="n"/>
      <c r="L62" s="66" t="n"/>
      <c r="M62" s="66" t="n"/>
      <c r="N62" s="66" t="n"/>
      <c r="O62" s="66" t="n"/>
      <c r="P62" s="66" t="n"/>
      <c r="Q62" s="66" t="n"/>
      <c r="R62" s="66" t="n"/>
      <c r="S62" s="66" t="n"/>
      <c r="T62" s="66" t="n"/>
      <c r="U62" s="66" t="n"/>
      <c r="V62" s="66" t="n"/>
      <c r="W62" s="66" t="n"/>
      <c r="X62" s="66" t="n"/>
      <c r="Y62" s="66" t="n"/>
      <c r="Z62" s="66" t="n"/>
      <c r="AA62" s="66" t="n"/>
      <c r="AB62" s="66" t="n"/>
      <c r="AC62" s="66" t="n"/>
      <c r="AD62" s="66" t="n"/>
      <c r="AE62" s="66" t="n"/>
      <c r="AF62" s="66" t="n"/>
      <c r="AG62" s="66" t="n"/>
      <c r="AH62" s="66" t="n"/>
      <c r="AI62" s="66" t="n"/>
      <c r="AJ62" s="66" t="n"/>
      <c r="AK62" s="66" t="n"/>
      <c r="AL62" s="66" t="n"/>
      <c r="AM62" s="66" t="n"/>
      <c r="AN62" s="66" t="n"/>
      <c r="AO62" s="66" t="n"/>
      <c r="AP62" s="66" t="n"/>
      <c r="AQ62" s="66" t="n">
        <v>186930000</v>
      </c>
      <c r="AS62" s="67">
        <f>RANDBETWEEN(1,5)*1000000</f>
        <v/>
      </c>
    </row>
    <row r="63">
      <c r="A63" s="60" t="n">
        <v>30895</v>
      </c>
      <c r="B63" s="66" t="n"/>
      <c r="C63" s="66" t="n"/>
      <c r="D63" s="66" t="n"/>
      <c r="E63" s="66" t="n"/>
      <c r="F63" s="66" t="n"/>
      <c r="G63" s="66" t="n"/>
      <c r="H63" s="66" t="n"/>
      <c r="I63" s="66" t="n"/>
      <c r="J63" s="66" t="n"/>
      <c r="K63" s="66" t="n"/>
      <c r="L63" s="66" t="n"/>
      <c r="M63" s="66" t="n"/>
      <c r="N63" s="66" t="n"/>
      <c r="O63" s="66" t="n"/>
      <c r="P63" s="66" t="n"/>
      <c r="Q63" s="66" t="n"/>
      <c r="R63" s="66" t="n"/>
      <c r="S63" s="66" t="n"/>
      <c r="T63" s="66" t="n"/>
      <c r="U63" s="66" t="n"/>
      <c r="V63" s="66" t="n"/>
      <c r="W63" s="66" t="n"/>
      <c r="X63" s="66" t="n"/>
      <c r="Y63" s="66" t="n"/>
      <c r="Z63" s="66" t="n"/>
      <c r="AA63" s="66" t="n"/>
      <c r="AB63" s="66" t="n"/>
      <c r="AC63" s="66" t="n"/>
      <c r="AD63" s="66" t="n"/>
      <c r="AE63" s="66" t="n"/>
      <c r="AF63" s="66" t="n"/>
      <c r="AG63" s="66" t="n"/>
      <c r="AH63" s="66" t="n"/>
      <c r="AI63" s="66" t="n"/>
      <c r="AJ63" s="66" t="n"/>
      <c r="AK63" s="66" t="n"/>
      <c r="AL63" s="66" t="n"/>
      <c r="AM63" s="66" t="n"/>
      <c r="AN63" s="66" t="n"/>
      <c r="AO63" s="66" t="n"/>
      <c r="AP63" s="66" t="n"/>
      <c r="AQ63" s="66" t="n">
        <v>186930000</v>
      </c>
      <c r="AS63" s="67">
        <f>RANDBETWEEN(1,5)*1000000</f>
        <v/>
      </c>
    </row>
    <row r="64">
      <c r="A64" s="60" t="n">
        <v>30926</v>
      </c>
      <c r="B64" s="66" t="n"/>
      <c r="C64" s="66" t="n"/>
      <c r="D64" s="66" t="n"/>
      <c r="E64" s="66" t="n"/>
      <c r="F64" s="66" t="n"/>
      <c r="G64" s="66" t="n"/>
      <c r="H64" s="66" t="n"/>
      <c r="I64" s="66" t="n"/>
      <c r="J64" s="66" t="n"/>
      <c r="K64" s="66" t="n"/>
      <c r="L64" s="66" t="n"/>
      <c r="M64" s="66" t="n"/>
      <c r="N64" s="66" t="n"/>
      <c r="O64" s="66" t="n"/>
      <c r="P64" s="66" t="n"/>
      <c r="Q64" s="66" t="n"/>
      <c r="R64" s="66" t="n"/>
      <c r="S64" s="66" t="n"/>
      <c r="T64" s="66" t="n"/>
      <c r="U64" s="66" t="n"/>
      <c r="V64" s="66" t="n"/>
      <c r="W64" s="66" t="n"/>
      <c r="X64" s="66" t="n"/>
      <c r="Y64" s="66" t="n"/>
      <c r="Z64" s="66" t="n"/>
      <c r="AA64" s="66" t="n"/>
      <c r="AB64" s="66" t="n"/>
      <c r="AC64" s="66" t="n"/>
      <c r="AD64" s="66" t="n"/>
      <c r="AE64" s="66" t="n"/>
      <c r="AF64" s="66" t="n"/>
      <c r="AG64" s="66" t="n"/>
      <c r="AH64" s="66" t="n"/>
      <c r="AI64" s="66" t="n"/>
      <c r="AJ64" s="66" t="n"/>
      <c r="AK64" s="66" t="n"/>
      <c r="AL64" s="66" t="n"/>
      <c r="AM64" s="66" t="n"/>
      <c r="AN64" s="66" t="n"/>
      <c r="AO64" s="66" t="n"/>
      <c r="AP64" s="66" t="n"/>
      <c r="AQ64" s="66" t="n">
        <v>186930000</v>
      </c>
      <c r="AS64" s="67">
        <f>RANDBETWEEN(1,5)*1000000</f>
        <v/>
      </c>
    </row>
    <row r="65">
      <c r="A65" s="60" t="n">
        <v>30956</v>
      </c>
      <c r="B65" s="66" t="n"/>
      <c r="C65" s="66" t="n"/>
      <c r="D65" s="66" t="n"/>
      <c r="E65" s="66" t="n"/>
      <c r="F65" s="66" t="n"/>
      <c r="G65" s="66" t="n"/>
      <c r="H65" s="66" t="n"/>
      <c r="I65" s="66" t="n"/>
      <c r="J65" s="66" t="n"/>
      <c r="K65" s="66" t="n"/>
      <c r="L65" s="66" t="n"/>
      <c r="M65" s="66" t="n"/>
      <c r="N65" s="66" t="n"/>
      <c r="O65" s="66" t="n"/>
      <c r="P65" s="66" t="n"/>
      <c r="Q65" s="66" t="n"/>
      <c r="R65" s="66" t="n"/>
      <c r="S65" s="66" t="n"/>
      <c r="T65" s="66" t="n"/>
      <c r="U65" s="66" t="n"/>
      <c r="V65" s="66" t="n"/>
      <c r="W65" s="66" t="n"/>
      <c r="X65" s="66" t="n"/>
      <c r="Y65" s="66" t="n"/>
      <c r="Z65" s="66" t="n"/>
      <c r="AA65" s="66" t="n"/>
      <c r="AB65" s="66" t="n"/>
      <c r="AC65" s="66" t="n"/>
      <c r="AD65" s="66" t="n"/>
      <c r="AE65" s="66" t="n"/>
      <c r="AF65" s="66" t="n"/>
      <c r="AG65" s="66" t="n"/>
      <c r="AH65" s="66" t="n"/>
      <c r="AI65" s="66" t="n"/>
      <c r="AJ65" s="66" t="n"/>
      <c r="AK65" s="66" t="n"/>
      <c r="AL65" s="66" t="n"/>
      <c r="AM65" s="66" t="n"/>
      <c r="AN65" s="66" t="n"/>
      <c r="AO65" s="66" t="n"/>
      <c r="AP65" s="66" t="n"/>
      <c r="AQ65" s="66" t="n">
        <v>186930000</v>
      </c>
      <c r="AS65" s="67">
        <f>RANDBETWEEN(1,5)*1000000</f>
        <v/>
      </c>
    </row>
    <row r="66">
      <c r="A66" s="60" t="n">
        <v>30987</v>
      </c>
      <c r="B66" s="66" t="n"/>
      <c r="C66" s="66" t="n"/>
      <c r="D66" s="66" t="n"/>
      <c r="E66" s="66" t="n"/>
      <c r="F66" s="66" t="n"/>
      <c r="G66" s="66" t="n"/>
      <c r="H66" s="66" t="n"/>
      <c r="I66" s="66" t="n"/>
      <c r="J66" s="66" t="n"/>
      <c r="K66" s="66" t="n"/>
      <c r="L66" s="66" t="n"/>
      <c r="M66" s="66" t="n"/>
      <c r="N66" s="66" t="n"/>
      <c r="O66" s="66" t="n"/>
      <c r="P66" s="66" t="n"/>
      <c r="Q66" s="66" t="n"/>
      <c r="R66" s="66" t="n"/>
      <c r="S66" s="66" t="n"/>
      <c r="T66" s="66" t="n"/>
      <c r="U66" s="66" t="n"/>
      <c r="V66" s="66" t="n"/>
      <c r="W66" s="66" t="n"/>
      <c r="X66" s="66" t="n"/>
      <c r="Y66" s="66" t="n"/>
      <c r="Z66" s="66" t="n"/>
      <c r="AA66" s="66" t="n"/>
      <c r="AB66" s="66" t="n"/>
      <c r="AC66" s="66" t="n"/>
      <c r="AD66" s="66" t="n"/>
      <c r="AE66" s="66" t="n"/>
      <c r="AF66" s="66" t="n"/>
      <c r="AG66" s="66" t="n"/>
      <c r="AH66" s="66" t="n"/>
      <c r="AI66" s="66" t="n"/>
      <c r="AJ66" s="66" t="n"/>
      <c r="AK66" s="66" t="n"/>
      <c r="AL66" s="66" t="n"/>
      <c r="AM66" s="66" t="n"/>
      <c r="AN66" s="66" t="n"/>
      <c r="AO66" s="66" t="n"/>
      <c r="AP66" s="66" t="n"/>
      <c r="AQ66" s="66" t="n">
        <v>186930000</v>
      </c>
      <c r="AS66" s="67">
        <f>RANDBETWEEN(1,5)*1000000</f>
        <v/>
      </c>
    </row>
    <row r="67">
      <c r="A67" s="60" t="n">
        <v>31017</v>
      </c>
      <c r="B67" s="66" t="n"/>
      <c r="C67" s="66" t="n"/>
      <c r="D67" s="66" t="n"/>
      <c r="E67" s="66" t="n"/>
      <c r="F67" s="66" t="n"/>
      <c r="G67" s="66" t="n"/>
      <c r="H67" s="66" t="n"/>
      <c r="I67" s="66" t="n"/>
      <c r="J67" s="66" t="n"/>
      <c r="K67" s="66" t="n"/>
      <c r="L67" s="66" t="n"/>
      <c r="M67" s="66" t="n"/>
      <c r="N67" s="66" t="n"/>
      <c r="O67" s="66" t="n"/>
      <c r="P67" s="66" t="n"/>
      <c r="Q67" s="66" t="n"/>
      <c r="R67" s="66" t="n"/>
      <c r="S67" s="66" t="n"/>
      <c r="T67" s="66" t="n"/>
      <c r="U67" s="66" t="n"/>
      <c r="V67" s="66" t="n"/>
      <c r="W67" s="66" t="n"/>
      <c r="X67" s="66" t="n"/>
      <c r="Y67" s="66" t="n"/>
      <c r="Z67" s="66" t="n"/>
      <c r="AA67" s="66" t="n"/>
      <c r="AB67" s="66" t="n"/>
      <c r="AC67" s="66" t="n"/>
      <c r="AD67" s="66" t="n"/>
      <c r="AE67" s="66" t="n"/>
      <c r="AF67" s="66" t="n"/>
      <c r="AG67" s="66" t="n"/>
      <c r="AH67" s="66" t="n"/>
      <c r="AI67" s="66" t="n"/>
      <c r="AJ67" s="66" t="n"/>
      <c r="AK67" s="66" t="n"/>
      <c r="AL67" s="66" t="n"/>
      <c r="AM67" s="66" t="n"/>
      <c r="AN67" s="66" t="n"/>
      <c r="AO67" s="66" t="n"/>
      <c r="AP67" s="66" t="n"/>
      <c r="AQ67" s="66" t="n">
        <v>186930000</v>
      </c>
      <c r="AS67" s="67">
        <f>RANDBETWEEN(1,5)*1000000</f>
        <v/>
      </c>
    </row>
    <row r="68">
      <c r="A68" s="60" t="n">
        <v>31048</v>
      </c>
      <c r="B68" s="66" t="n"/>
      <c r="C68" s="66" t="n"/>
      <c r="D68" s="66" t="n"/>
      <c r="E68" s="66" t="n"/>
      <c r="F68" s="66" t="n"/>
      <c r="G68" s="66" t="n"/>
      <c r="H68" s="66" t="n"/>
      <c r="I68" s="66" t="n"/>
      <c r="J68" s="66" t="n"/>
      <c r="K68" s="66" t="n"/>
      <c r="L68" s="66" t="n"/>
      <c r="M68" s="66" t="n"/>
      <c r="N68" s="66" t="n"/>
      <c r="O68" s="66" t="n"/>
      <c r="P68" s="66" t="n"/>
      <c r="Q68" s="66" t="n"/>
      <c r="R68" s="66" t="n"/>
      <c r="S68" s="66" t="n"/>
      <c r="T68" s="66" t="n"/>
      <c r="U68" s="66" t="n"/>
      <c r="V68" s="66" t="n"/>
      <c r="W68" s="66" t="n"/>
      <c r="X68" s="66" t="n"/>
      <c r="Y68" s="66" t="n"/>
      <c r="Z68" s="66" t="n"/>
      <c r="AA68" s="66" t="n"/>
      <c r="AB68" s="66" t="n"/>
      <c r="AC68" s="66" t="n"/>
      <c r="AD68" s="66" t="n"/>
      <c r="AE68" s="66" t="n"/>
      <c r="AF68" s="66" t="n"/>
      <c r="AG68" s="66" t="n"/>
      <c r="AH68" s="66" t="n"/>
      <c r="AI68" s="66" t="n"/>
      <c r="AJ68" s="66" t="n"/>
      <c r="AK68" s="66" t="n"/>
      <c r="AL68" s="66" t="n"/>
      <c r="AM68" s="66" t="n"/>
      <c r="AN68" s="66" t="n"/>
      <c r="AO68" s="66" t="n"/>
      <c r="AP68" s="66" t="n"/>
      <c r="AQ68" s="66" t="n">
        <v>186930000</v>
      </c>
      <c r="AS68" s="67">
        <f>RANDBETWEEN(1,5)*1000000</f>
        <v/>
      </c>
    </row>
    <row r="69">
      <c r="A69" s="60" t="n">
        <v>31079</v>
      </c>
      <c r="B69" s="66" t="n"/>
      <c r="C69" s="66" t="n"/>
      <c r="D69" s="66" t="n"/>
      <c r="E69" s="66" t="n"/>
      <c r="F69" s="66" t="n"/>
      <c r="G69" s="66" t="n"/>
      <c r="H69" s="66" t="n"/>
      <c r="I69" s="66" t="n"/>
      <c r="J69" s="66" t="n"/>
      <c r="K69" s="66" t="n"/>
      <c r="L69" s="66" t="n"/>
      <c r="M69" s="66" t="n"/>
      <c r="N69" s="66" t="n"/>
      <c r="O69" s="66" t="n"/>
      <c r="P69" s="66" t="n"/>
      <c r="Q69" s="66" t="n"/>
      <c r="R69" s="66" t="n"/>
      <c r="S69" s="66" t="n"/>
      <c r="T69" s="66" t="n"/>
      <c r="U69" s="66" t="n"/>
      <c r="V69" s="66" t="n"/>
      <c r="W69" s="66" t="n"/>
      <c r="X69" s="66" t="n"/>
      <c r="Y69" s="66" t="n"/>
      <c r="Z69" s="66" t="n"/>
      <c r="AA69" s="66" t="n"/>
      <c r="AB69" s="66" t="n"/>
      <c r="AC69" s="66" t="n"/>
      <c r="AD69" s="66" t="n"/>
      <c r="AE69" s="66" t="n"/>
      <c r="AF69" s="66" t="n"/>
      <c r="AG69" s="66" t="n"/>
      <c r="AH69" s="66" t="n"/>
      <c r="AI69" s="66" t="n"/>
      <c r="AJ69" s="66" t="n"/>
      <c r="AK69" s="66" t="n"/>
      <c r="AL69" s="66" t="n"/>
      <c r="AM69" s="66" t="n"/>
      <c r="AN69" s="66" t="n"/>
      <c r="AO69" s="66" t="n"/>
      <c r="AP69" s="66" t="n"/>
      <c r="AQ69" s="66" t="n">
        <v>186930000</v>
      </c>
      <c r="AS69" s="67">
        <f>RANDBETWEEN(1,5)*1000000</f>
        <v/>
      </c>
    </row>
    <row r="70">
      <c r="A70" s="60" t="n">
        <v>31107</v>
      </c>
      <c r="B70" s="66" t="n"/>
      <c r="C70" s="66" t="n"/>
      <c r="D70" s="66" t="n"/>
      <c r="E70" s="66" t="n"/>
      <c r="F70" s="66" t="n"/>
      <c r="G70" s="66" t="n"/>
      <c r="H70" s="66" t="n"/>
      <c r="I70" s="66" t="n"/>
      <c r="J70" s="66" t="n"/>
      <c r="K70" s="66" t="n"/>
      <c r="L70" s="66" t="n"/>
      <c r="M70" s="66" t="n"/>
      <c r="N70" s="66" t="n"/>
      <c r="O70" s="66" t="n"/>
      <c r="P70" s="66" t="n"/>
      <c r="Q70" s="66" t="n"/>
      <c r="R70" s="66" t="n"/>
      <c r="S70" s="66" t="n"/>
      <c r="T70" s="66" t="n"/>
      <c r="U70" s="66" t="n"/>
      <c r="V70" s="66" t="n"/>
      <c r="W70" s="66" t="n"/>
      <c r="X70" s="66" t="n"/>
      <c r="Y70" s="66" t="n"/>
      <c r="Z70" s="66" t="n"/>
      <c r="AA70" s="66" t="n"/>
      <c r="AB70" s="66" t="n"/>
      <c r="AC70" s="66" t="n"/>
      <c r="AD70" s="66" t="n"/>
      <c r="AE70" s="66" t="n"/>
      <c r="AF70" s="66" t="n"/>
      <c r="AG70" s="66" t="n"/>
      <c r="AH70" s="66" t="n"/>
      <c r="AI70" s="66" t="n"/>
      <c r="AJ70" s="66" t="n"/>
      <c r="AK70" s="66" t="n"/>
      <c r="AL70" s="66" t="n"/>
      <c r="AM70" s="66" t="n"/>
      <c r="AN70" s="66" t="n"/>
      <c r="AO70" s="66" t="n"/>
      <c r="AP70" s="66" t="n"/>
      <c r="AQ70" s="66" t="n">
        <v>186930000</v>
      </c>
      <c r="AS70" s="67">
        <f>RANDBETWEEN(1,5)*1000000</f>
        <v/>
      </c>
    </row>
    <row r="71">
      <c r="A71" s="60" t="n">
        <v>31138</v>
      </c>
      <c r="B71" s="66" t="n"/>
      <c r="C71" s="66" t="n"/>
      <c r="D71" s="66" t="n"/>
      <c r="E71" s="66" t="n"/>
      <c r="F71" s="66" t="n"/>
      <c r="G71" s="66" t="n"/>
      <c r="H71" s="66" t="n"/>
      <c r="I71" s="66" t="n"/>
      <c r="J71" s="66" t="n"/>
      <c r="K71" s="66" t="n"/>
      <c r="L71" s="66" t="n"/>
      <c r="M71" s="66" t="n"/>
      <c r="N71" s="66" t="n"/>
      <c r="O71" s="66" t="n"/>
      <c r="P71" s="66" t="n"/>
      <c r="Q71" s="66" t="n"/>
      <c r="R71" s="66" t="n"/>
      <c r="S71" s="66" t="n"/>
      <c r="T71" s="66" t="n"/>
      <c r="U71" s="66" t="n"/>
      <c r="V71" s="66" t="n"/>
      <c r="W71" s="66" t="n"/>
      <c r="X71" s="66" t="n"/>
      <c r="Y71" s="66" t="n"/>
      <c r="Z71" s="66" t="n"/>
      <c r="AA71" s="66" t="n"/>
      <c r="AB71" s="66" t="n"/>
      <c r="AC71" s="66" t="n"/>
      <c r="AD71" s="66" t="n"/>
      <c r="AE71" s="66" t="n"/>
      <c r="AF71" s="66" t="n"/>
      <c r="AG71" s="66" t="n"/>
      <c r="AH71" s="66" t="n"/>
      <c r="AI71" s="66" t="n"/>
      <c r="AJ71" s="66" t="n"/>
      <c r="AK71" s="66" t="n"/>
      <c r="AL71" s="66" t="n"/>
      <c r="AM71" s="66" t="n"/>
      <c r="AN71" s="66" t="n"/>
      <c r="AO71" s="66" t="n"/>
      <c r="AP71" s="66" t="n"/>
      <c r="AQ71" s="66" t="n">
        <v>186930000</v>
      </c>
      <c r="AS71" s="67">
        <f>RANDBETWEEN(1,5)*1000000</f>
        <v/>
      </c>
    </row>
    <row r="72">
      <c r="A72" s="60" t="n">
        <v>31168</v>
      </c>
      <c r="B72" s="66" t="n"/>
      <c r="C72" s="66" t="n"/>
      <c r="D72" s="66" t="n"/>
      <c r="E72" s="66" t="n"/>
      <c r="F72" s="66" t="n"/>
      <c r="G72" s="66" t="n"/>
      <c r="H72" s="66" t="n"/>
      <c r="I72" s="66" t="n"/>
      <c r="J72" s="66" t="n"/>
      <c r="K72" s="66" t="n"/>
      <c r="L72" s="66" t="n"/>
      <c r="M72" s="66" t="n"/>
      <c r="N72" s="66" t="n"/>
      <c r="O72" s="66" t="n"/>
      <c r="P72" s="66" t="n"/>
      <c r="Q72" s="66" t="n"/>
      <c r="R72" s="66" t="n"/>
      <c r="S72" s="66" t="n"/>
      <c r="T72" s="66" t="n"/>
      <c r="U72" s="66" t="n"/>
      <c r="V72" s="66" t="n"/>
      <c r="W72" s="66" t="n"/>
      <c r="X72" s="66" t="n"/>
      <c r="Y72" s="66" t="n"/>
      <c r="Z72" s="66" t="n"/>
      <c r="AA72" s="66" t="n"/>
      <c r="AB72" s="66" t="n"/>
      <c r="AC72" s="66" t="n"/>
      <c r="AD72" s="66" t="n"/>
      <c r="AE72" s="66" t="n"/>
      <c r="AF72" s="66" t="n"/>
      <c r="AG72" s="66" t="n"/>
      <c r="AH72" s="66" t="n"/>
      <c r="AI72" s="66" t="n"/>
      <c r="AJ72" s="66" t="n"/>
      <c r="AK72" s="66" t="n"/>
      <c r="AL72" s="66" t="n"/>
      <c r="AM72" s="66" t="n"/>
      <c r="AN72" s="66" t="n"/>
      <c r="AO72" s="66" t="n"/>
      <c r="AP72" s="66" t="n"/>
      <c r="AQ72" s="66" t="n">
        <v>186930000</v>
      </c>
      <c r="AS72" s="67">
        <f>RANDBETWEEN(1,5)*1000000</f>
        <v/>
      </c>
    </row>
    <row r="73">
      <c r="A73" s="60" t="n">
        <v>31199</v>
      </c>
      <c r="B73" s="66" t="n"/>
      <c r="C73" s="66" t="n"/>
      <c r="D73" s="66" t="n"/>
      <c r="E73" s="66" t="n"/>
      <c r="F73" s="66" t="n"/>
      <c r="G73" s="66" t="n"/>
      <c r="H73" s="66" t="n"/>
      <c r="I73" s="66" t="n"/>
      <c r="J73" s="66" t="n"/>
      <c r="K73" s="66" t="n"/>
      <c r="L73" s="66" t="n"/>
      <c r="M73" s="66" t="n"/>
      <c r="N73" s="66" t="n"/>
      <c r="O73" s="66" t="n"/>
      <c r="P73" s="66" t="n"/>
      <c r="Q73" s="66" t="n"/>
      <c r="R73" s="66" t="n"/>
      <c r="S73" s="66" t="n"/>
      <c r="T73" s="66" t="n"/>
      <c r="U73" s="66" t="n"/>
      <c r="V73" s="66" t="n"/>
      <c r="W73" s="66" t="n"/>
      <c r="X73" s="66" t="n"/>
      <c r="Y73" s="66" t="n"/>
      <c r="Z73" s="66" t="n"/>
      <c r="AA73" s="66" t="n"/>
      <c r="AB73" s="66" t="n"/>
      <c r="AC73" s="66" t="n"/>
      <c r="AD73" s="66" t="n"/>
      <c r="AE73" s="66" t="n"/>
      <c r="AF73" s="66" t="n"/>
      <c r="AG73" s="66" t="n"/>
      <c r="AH73" s="66" t="n"/>
      <c r="AI73" s="66" t="n"/>
      <c r="AJ73" s="66" t="n"/>
      <c r="AK73" s="66" t="n"/>
      <c r="AL73" s="66" t="n"/>
      <c r="AM73" s="66" t="n"/>
      <c r="AN73" s="66" t="n"/>
      <c r="AO73" s="66" t="n"/>
      <c r="AP73" s="66" t="n"/>
      <c r="AQ73" s="66" t="n">
        <v>186930000</v>
      </c>
      <c r="AS73" s="67">
        <f>RANDBETWEEN(1,5)*1000000</f>
        <v/>
      </c>
    </row>
    <row r="74">
      <c r="A74" s="60" t="n">
        <v>31229</v>
      </c>
      <c r="B74" s="66" t="n"/>
      <c r="C74" s="66" t="n"/>
      <c r="D74" s="66" t="n"/>
      <c r="E74" s="66" t="n"/>
      <c r="F74" s="66" t="n"/>
      <c r="G74" s="66" t="n"/>
      <c r="H74" s="66" t="n"/>
      <c r="I74" s="66" t="n"/>
      <c r="J74" s="66" t="n"/>
      <c r="K74" s="66" t="n"/>
      <c r="L74" s="66" t="n"/>
      <c r="M74" s="66" t="n"/>
      <c r="N74" s="66" t="n"/>
      <c r="O74" s="66" t="n"/>
      <c r="P74" s="66" t="n"/>
      <c r="Q74" s="66" t="n"/>
      <c r="R74" s="66" t="n"/>
      <c r="S74" s="66" t="n"/>
      <c r="T74" s="66" t="n"/>
      <c r="U74" s="66" t="n"/>
      <c r="V74" s="66" t="n"/>
      <c r="W74" s="66" t="n"/>
      <c r="X74" s="66" t="n"/>
      <c r="Y74" s="66" t="n"/>
      <c r="Z74" s="66" t="n"/>
      <c r="AA74" s="66" t="n"/>
      <c r="AB74" s="66" t="n"/>
      <c r="AC74" s="66" t="n"/>
      <c r="AD74" s="66" t="n"/>
      <c r="AE74" s="66" t="n"/>
      <c r="AF74" s="66" t="n"/>
      <c r="AG74" s="66" t="n"/>
      <c r="AH74" s="66" t="n"/>
      <c r="AI74" s="66" t="n"/>
      <c r="AJ74" s="66" t="n"/>
      <c r="AK74" s="66" t="n"/>
      <c r="AL74" s="66" t="n"/>
      <c r="AM74" s="66" t="n"/>
      <c r="AN74" s="66" t="n"/>
      <c r="AO74" s="66" t="n"/>
      <c r="AP74" s="66" t="n"/>
      <c r="AQ74" s="66" t="n">
        <v>186930000</v>
      </c>
      <c r="AS74" s="67">
        <f>RANDBETWEEN(1,5)*1000000</f>
        <v/>
      </c>
    </row>
    <row r="75">
      <c r="A75" s="60" t="n">
        <v>31260</v>
      </c>
      <c r="B75" s="66" t="n"/>
      <c r="C75" s="66" t="n"/>
      <c r="D75" s="66" t="n"/>
      <c r="E75" s="66" t="n"/>
      <c r="F75" s="66" t="n"/>
      <c r="G75" s="66" t="n"/>
      <c r="H75" s="66" t="n"/>
      <c r="I75" s="66" t="n"/>
      <c r="J75" s="66" t="n"/>
      <c r="K75" s="66" t="n"/>
      <c r="L75" s="66" t="n"/>
      <c r="M75" s="66" t="n"/>
      <c r="N75" s="66" t="n"/>
      <c r="O75" s="66" t="n"/>
      <c r="P75" s="66" t="n"/>
      <c r="Q75" s="66" t="n"/>
      <c r="R75" s="66" t="n"/>
      <c r="S75" s="66" t="n"/>
      <c r="T75" s="66" t="n"/>
      <c r="U75" s="66" t="n"/>
      <c r="V75" s="66" t="n"/>
      <c r="W75" s="66" t="n"/>
      <c r="X75" s="66" t="n"/>
      <c r="Y75" s="66" t="n"/>
      <c r="Z75" s="66" t="n"/>
      <c r="AA75" s="66" t="n"/>
      <c r="AB75" s="66" t="n"/>
      <c r="AC75" s="66" t="n"/>
      <c r="AD75" s="66" t="n"/>
      <c r="AE75" s="66" t="n"/>
      <c r="AF75" s="66" t="n"/>
      <c r="AG75" s="66" t="n"/>
      <c r="AH75" s="66" t="n"/>
      <c r="AI75" s="66" t="n"/>
      <c r="AJ75" s="66" t="n"/>
      <c r="AK75" s="66" t="n"/>
      <c r="AL75" s="66" t="n"/>
      <c r="AM75" s="66" t="n"/>
      <c r="AN75" s="66" t="n"/>
      <c r="AO75" s="66" t="n"/>
      <c r="AP75" s="66" t="n"/>
      <c r="AQ75" s="66" t="n">
        <v>186930000</v>
      </c>
      <c r="AS75" s="67">
        <f>RANDBETWEEN(1,5)*1000000</f>
        <v/>
      </c>
    </row>
    <row r="76">
      <c r="A76" s="60" t="n">
        <v>31291</v>
      </c>
      <c r="B76" s="66" t="n"/>
      <c r="C76" s="66" t="n"/>
      <c r="D76" s="66" t="n"/>
      <c r="E76" s="66" t="n"/>
      <c r="F76" s="66" t="n"/>
      <c r="G76" s="66" t="n"/>
      <c r="H76" s="66" t="n"/>
      <c r="I76" s="66" t="n"/>
      <c r="J76" s="66" t="n"/>
      <c r="K76" s="66" t="n"/>
      <c r="L76" s="66" t="n"/>
      <c r="M76" s="66" t="n"/>
      <c r="N76" s="66" t="n"/>
      <c r="O76" s="66" t="n"/>
      <c r="P76" s="66" t="n"/>
      <c r="Q76" s="66" t="n"/>
      <c r="R76" s="66" t="n"/>
      <c r="S76" s="66" t="n"/>
      <c r="T76" s="66" t="n"/>
      <c r="U76" s="66" t="n"/>
      <c r="V76" s="66" t="n"/>
      <c r="W76" s="66" t="n"/>
      <c r="X76" s="66" t="n"/>
      <c r="Y76" s="66" t="n"/>
      <c r="Z76" s="66" t="n"/>
      <c r="AA76" s="66" t="n"/>
      <c r="AB76" s="66" t="n"/>
      <c r="AC76" s="66" t="n"/>
      <c r="AD76" s="66" t="n"/>
      <c r="AE76" s="66" t="n"/>
      <c r="AF76" s="66" t="n"/>
      <c r="AG76" s="66" t="n"/>
      <c r="AH76" s="66" t="n"/>
      <c r="AI76" s="66" t="n"/>
      <c r="AJ76" s="66" t="n"/>
      <c r="AK76" s="66" t="n"/>
      <c r="AL76" s="66" t="n"/>
      <c r="AM76" s="66" t="n"/>
      <c r="AN76" s="66" t="n"/>
      <c r="AO76" s="66" t="n"/>
      <c r="AP76" s="66" t="n"/>
      <c r="AQ76" s="66" t="n">
        <v>186930000</v>
      </c>
      <c r="AS76" s="67">
        <f>RANDBETWEEN(1,5)*1000000</f>
        <v/>
      </c>
    </row>
    <row r="77">
      <c r="A77" s="60" t="n">
        <v>31321</v>
      </c>
      <c r="B77" s="66" t="n"/>
      <c r="C77" s="66" t="n"/>
      <c r="D77" s="66" t="n"/>
      <c r="E77" s="66" t="n"/>
      <c r="F77" s="66" t="n"/>
      <c r="G77" s="66" t="n"/>
      <c r="H77" s="66" t="n"/>
      <c r="I77" s="66" t="n"/>
      <c r="J77" s="66" t="n"/>
      <c r="K77" s="66" t="n"/>
      <c r="L77" s="66" t="n"/>
      <c r="M77" s="66" t="n"/>
      <c r="N77" s="66" t="n"/>
      <c r="O77" s="66" t="n"/>
      <c r="P77" s="66" t="n"/>
      <c r="Q77" s="66" t="n"/>
      <c r="R77" s="66" t="n"/>
      <c r="S77" s="66" t="n"/>
      <c r="T77" s="66" t="n"/>
      <c r="U77" s="66" t="n"/>
      <c r="V77" s="66" t="n"/>
      <c r="W77" s="66" t="n"/>
      <c r="X77" s="66" t="n"/>
      <c r="Y77" s="66" t="n"/>
      <c r="Z77" s="66" t="n"/>
      <c r="AA77" s="66" t="n"/>
      <c r="AB77" s="66" t="n"/>
      <c r="AC77" s="66" t="n"/>
      <c r="AD77" s="66" t="n"/>
      <c r="AE77" s="66" t="n"/>
      <c r="AF77" s="66" t="n"/>
      <c r="AG77" s="66" t="n"/>
      <c r="AH77" s="66" t="n"/>
      <c r="AI77" s="66" t="n"/>
      <c r="AJ77" s="66" t="n"/>
      <c r="AK77" s="66" t="n"/>
      <c r="AL77" s="66" t="n"/>
      <c r="AM77" s="66" t="n"/>
      <c r="AN77" s="66" t="n"/>
      <c r="AO77" s="66" t="n"/>
      <c r="AP77" s="66" t="n"/>
      <c r="AQ77" s="66" t="n">
        <v>186930000</v>
      </c>
      <c r="AS77" s="67">
        <f>RANDBETWEEN(1,5)*1000000</f>
        <v/>
      </c>
    </row>
    <row r="78">
      <c r="A78" s="60" t="n">
        <v>31352</v>
      </c>
      <c r="B78" s="66" t="n"/>
      <c r="C78" s="66" t="n"/>
      <c r="D78" s="66" t="n"/>
      <c r="E78" s="66" t="n"/>
      <c r="F78" s="66" t="n"/>
      <c r="G78" s="66" t="n"/>
      <c r="H78" s="66" t="n"/>
      <c r="I78" s="66" t="n"/>
      <c r="J78" s="66" t="n"/>
      <c r="K78" s="66" t="n"/>
      <c r="L78" s="66" t="n"/>
      <c r="M78" s="66" t="n"/>
      <c r="N78" s="66" t="n"/>
      <c r="O78" s="66" t="n"/>
      <c r="P78" s="66" t="n"/>
      <c r="Q78" s="66" t="n"/>
      <c r="R78" s="66" t="n"/>
      <c r="S78" s="66" t="n"/>
      <c r="T78" s="66" t="n"/>
      <c r="U78" s="66" t="n"/>
      <c r="V78" s="66" t="n"/>
      <c r="W78" s="66" t="n"/>
      <c r="X78" s="66" t="n"/>
      <c r="Y78" s="66" t="n"/>
      <c r="Z78" s="66" t="n"/>
      <c r="AA78" s="66" t="n"/>
      <c r="AB78" s="66" t="n"/>
      <c r="AC78" s="66" t="n"/>
      <c r="AD78" s="66" t="n"/>
      <c r="AE78" s="66" t="n"/>
      <c r="AF78" s="66" t="n"/>
      <c r="AG78" s="66" t="n"/>
      <c r="AH78" s="66" t="n"/>
      <c r="AI78" s="66" t="n"/>
      <c r="AJ78" s="66" t="n"/>
      <c r="AK78" s="66" t="n"/>
      <c r="AL78" s="66" t="n"/>
      <c r="AM78" s="66" t="n"/>
      <c r="AN78" s="66" t="n"/>
      <c r="AO78" s="66" t="n"/>
      <c r="AP78" s="66" t="n"/>
      <c r="AQ78" s="66" t="n">
        <v>186930000</v>
      </c>
      <c r="AS78" s="67">
        <f>RANDBETWEEN(1,5)*1000000</f>
        <v/>
      </c>
    </row>
    <row r="79">
      <c r="A79" s="60" t="n">
        <v>31382</v>
      </c>
      <c r="B79" s="66" t="n"/>
      <c r="C79" s="66" t="n"/>
      <c r="D79" s="66" t="n"/>
      <c r="E79" s="66" t="n"/>
      <c r="F79" s="66" t="n"/>
      <c r="G79" s="66" t="n"/>
      <c r="H79" s="66" t="n"/>
      <c r="I79" s="66" t="n"/>
      <c r="J79" s="66" t="n"/>
      <c r="K79" s="66" t="n"/>
      <c r="L79" s="66" t="n"/>
      <c r="M79" s="66" t="n"/>
      <c r="N79" s="66" t="n"/>
      <c r="O79" s="66" t="n"/>
      <c r="P79" s="66" t="n"/>
      <c r="Q79" s="66" t="n"/>
      <c r="R79" s="66" t="n"/>
      <c r="S79" s="66" t="n"/>
      <c r="T79" s="66" t="n"/>
      <c r="U79" s="66" t="n"/>
      <c r="V79" s="66" t="n"/>
      <c r="W79" s="66" t="n"/>
      <c r="X79" s="66" t="n"/>
      <c r="Y79" s="66" t="n"/>
      <c r="Z79" s="66" t="n"/>
      <c r="AA79" s="66" t="n"/>
      <c r="AB79" s="66" t="n"/>
      <c r="AC79" s="66" t="n"/>
      <c r="AD79" s="66" t="n"/>
      <c r="AE79" s="66" t="n"/>
      <c r="AF79" s="66" t="n"/>
      <c r="AG79" s="66" t="n"/>
      <c r="AH79" s="66" t="n"/>
      <c r="AI79" s="66" t="n"/>
      <c r="AJ79" s="66" t="n"/>
      <c r="AK79" s="66" t="n"/>
      <c r="AL79" s="66" t="n"/>
      <c r="AM79" s="66" t="n"/>
      <c r="AN79" s="66" t="n"/>
      <c r="AO79" s="66" t="n"/>
      <c r="AP79" s="66" t="n"/>
      <c r="AQ79" s="66" t="n">
        <v>186930000</v>
      </c>
      <c r="AS79" s="67">
        <f>RANDBETWEEN(1,5)*1000000</f>
        <v/>
      </c>
    </row>
    <row r="80">
      <c r="A80" s="60" t="n">
        <v>31413</v>
      </c>
      <c r="B80" s="66" t="n"/>
      <c r="C80" s="66" t="n"/>
      <c r="D80" s="66" t="n"/>
      <c r="E80" s="66" t="n"/>
      <c r="F80" s="66" t="n"/>
      <c r="G80" s="66" t="n"/>
      <c r="H80" s="66" t="n"/>
      <c r="I80" s="66" t="n"/>
      <c r="J80" s="66" t="n"/>
      <c r="K80" s="66" t="n"/>
      <c r="L80" s="66" t="n"/>
      <c r="M80" s="66" t="n"/>
      <c r="N80" s="66" t="n"/>
      <c r="O80" s="66" t="n"/>
      <c r="P80" s="66" t="n"/>
      <c r="Q80" s="66" t="n"/>
      <c r="R80" s="66" t="n"/>
      <c r="S80" s="66" t="n"/>
      <c r="T80" s="66" t="n"/>
      <c r="U80" s="66" t="n"/>
      <c r="V80" s="66" t="n"/>
      <c r="W80" s="66" t="n"/>
      <c r="X80" s="66" t="n"/>
      <c r="Y80" s="66" t="n"/>
      <c r="Z80" s="66" t="n"/>
      <c r="AA80" s="66" t="n"/>
      <c r="AB80" s="66" t="n"/>
      <c r="AC80" s="66" t="n"/>
      <c r="AD80" s="66" t="n"/>
      <c r="AE80" s="66" t="n"/>
      <c r="AF80" s="66" t="n"/>
      <c r="AG80" s="66" t="n"/>
      <c r="AH80" s="66" t="n"/>
      <c r="AI80" s="66" t="n"/>
      <c r="AJ80" s="66" t="n"/>
      <c r="AK80" s="66" t="n"/>
      <c r="AL80" s="66" t="n"/>
      <c r="AM80" s="66" t="n"/>
      <c r="AN80" s="66" t="n"/>
      <c r="AO80" s="66" t="n"/>
      <c r="AP80" s="66" t="n"/>
      <c r="AQ80" s="66" t="n">
        <v>186930000</v>
      </c>
      <c r="AS80" s="67">
        <f>RANDBETWEEN(1,5)*1000000</f>
        <v/>
      </c>
    </row>
    <row r="81">
      <c r="A81" s="60" t="n">
        <v>31444</v>
      </c>
      <c r="B81" s="66" t="n"/>
      <c r="C81" s="66" t="n"/>
      <c r="D81" s="66" t="n"/>
      <c r="E81" s="66" t="n"/>
      <c r="F81" s="66" t="n"/>
      <c r="G81" s="66" t="n"/>
      <c r="H81" s="66" t="n"/>
      <c r="I81" s="66" t="n"/>
      <c r="J81" s="66" t="n"/>
      <c r="K81" s="66" t="n"/>
      <c r="L81" s="66" t="n"/>
      <c r="M81" s="66" t="n"/>
      <c r="N81" s="66" t="n"/>
      <c r="O81" s="66" t="n"/>
      <c r="P81" s="66" t="n"/>
      <c r="Q81" s="66" t="n"/>
      <c r="R81" s="66" t="n"/>
      <c r="S81" s="66" t="n"/>
      <c r="T81" s="66" t="n"/>
      <c r="U81" s="66" t="n"/>
      <c r="V81" s="66" t="n"/>
      <c r="W81" s="66" t="n"/>
      <c r="X81" s="66" t="n"/>
      <c r="Y81" s="66" t="n"/>
      <c r="Z81" s="66" t="n"/>
      <c r="AA81" s="66" t="n"/>
      <c r="AB81" s="66" t="n"/>
      <c r="AC81" s="66" t="n"/>
      <c r="AD81" s="66" t="n"/>
      <c r="AE81" s="66" t="n"/>
      <c r="AF81" s="66" t="n"/>
      <c r="AG81" s="66" t="n"/>
      <c r="AH81" s="66" t="n"/>
      <c r="AI81" s="66" t="n"/>
      <c r="AJ81" s="66" t="n"/>
      <c r="AK81" s="66" t="n"/>
      <c r="AL81" s="66" t="n"/>
      <c r="AM81" s="66" t="n"/>
      <c r="AN81" s="66" t="n"/>
      <c r="AO81" s="66" t="n"/>
      <c r="AP81" s="66" t="n"/>
      <c r="AQ81" s="66" t="n">
        <v>186930000</v>
      </c>
      <c r="AS81" s="67">
        <f>RANDBETWEEN(1,5)*1000000</f>
        <v/>
      </c>
    </row>
    <row r="82">
      <c r="A82" s="60" t="n">
        <v>31472</v>
      </c>
      <c r="B82" s="66" t="n"/>
      <c r="C82" s="66" t="n"/>
      <c r="D82" s="66" t="n"/>
      <c r="E82" s="66" t="n"/>
      <c r="F82" s="66" t="n"/>
      <c r="G82" s="66" t="n"/>
      <c r="H82" s="66" t="n"/>
      <c r="I82" s="66" t="n"/>
      <c r="J82" s="66" t="n"/>
      <c r="K82" s="66" t="n"/>
      <c r="L82" s="66" t="n"/>
      <c r="M82" s="66" t="n"/>
      <c r="N82" s="66" t="n"/>
      <c r="O82" s="66" t="n"/>
      <c r="P82" s="66" t="n"/>
      <c r="Q82" s="66" t="n"/>
      <c r="R82" s="66" t="n"/>
      <c r="S82" s="66" t="n"/>
      <c r="T82" s="66" t="n"/>
      <c r="U82" s="66" t="n"/>
      <c r="V82" s="66" t="n"/>
      <c r="W82" s="66" t="n"/>
      <c r="X82" s="66" t="n"/>
      <c r="Y82" s="66" t="n"/>
      <c r="Z82" s="66" t="n"/>
      <c r="AA82" s="66" t="n"/>
      <c r="AB82" s="66" t="n"/>
      <c r="AC82" s="66" t="n"/>
      <c r="AD82" s="66" t="n"/>
      <c r="AE82" s="66" t="n"/>
      <c r="AF82" s="66" t="n"/>
      <c r="AG82" s="66" t="n"/>
      <c r="AH82" s="66" t="n"/>
      <c r="AI82" s="66" t="n"/>
      <c r="AJ82" s="66" t="n"/>
      <c r="AK82" s="66" t="n"/>
      <c r="AL82" s="66" t="n"/>
      <c r="AM82" s="66" t="n"/>
      <c r="AN82" s="66" t="n"/>
      <c r="AO82" s="66" t="n"/>
      <c r="AP82" s="66" t="n"/>
      <c r="AQ82" s="66" t="n">
        <v>186930000</v>
      </c>
      <c r="AS82" s="67">
        <f>RANDBETWEEN(1,5)*1000000</f>
        <v/>
      </c>
    </row>
    <row r="83">
      <c r="A83" s="60" t="n">
        <v>31503</v>
      </c>
      <c r="B83" s="66" t="n"/>
      <c r="C83" s="66" t="n"/>
      <c r="D83" s="66" t="n"/>
      <c r="E83" s="66" t="n"/>
      <c r="F83" s="66" t="n"/>
      <c r="G83" s="66" t="n"/>
      <c r="H83" s="66" t="n"/>
      <c r="I83" s="66" t="n"/>
      <c r="J83" s="66" t="n"/>
      <c r="K83" s="66" t="n"/>
      <c r="L83" s="66" t="n"/>
      <c r="M83" s="66" t="n"/>
      <c r="N83" s="66" t="n"/>
      <c r="O83" s="66" t="n"/>
      <c r="P83" s="66" t="n"/>
      <c r="Q83" s="66" t="n"/>
      <c r="R83" s="66" t="n"/>
      <c r="S83" s="66" t="n"/>
      <c r="T83" s="66" t="n"/>
      <c r="U83" s="66" t="n"/>
      <c r="V83" s="66" t="n"/>
      <c r="W83" s="66" t="n"/>
      <c r="X83" s="66" t="n"/>
      <c r="Y83" s="66" t="n"/>
      <c r="Z83" s="66" t="n"/>
      <c r="AA83" s="66" t="n"/>
      <c r="AB83" s="66" t="n"/>
      <c r="AC83" s="66" t="n"/>
      <c r="AD83" s="66" t="n"/>
      <c r="AE83" s="66" t="n"/>
      <c r="AF83" s="66" t="n"/>
      <c r="AG83" s="66" t="n"/>
      <c r="AH83" s="66" t="n"/>
      <c r="AI83" s="66" t="n"/>
      <c r="AJ83" s="66" t="n"/>
      <c r="AK83" s="66" t="n"/>
      <c r="AL83" s="66" t="n"/>
      <c r="AM83" s="66" t="n"/>
      <c r="AN83" s="66" t="n"/>
      <c r="AO83" s="66" t="n"/>
      <c r="AP83" s="66" t="n"/>
      <c r="AQ83" s="66" t="n">
        <v>186930000</v>
      </c>
      <c r="AS83" s="67">
        <f>RANDBETWEEN(1,5)*1000000</f>
        <v/>
      </c>
    </row>
    <row r="84">
      <c r="A84" s="60" t="n">
        <v>31533</v>
      </c>
      <c r="B84" s="66" t="n"/>
      <c r="C84" s="66" t="n"/>
      <c r="D84" s="66" t="n"/>
      <c r="E84" s="66" t="n"/>
      <c r="F84" s="66" t="n"/>
      <c r="G84" s="66" t="n"/>
      <c r="H84" s="66" t="n"/>
      <c r="I84" s="66" t="n"/>
      <c r="J84" s="66" t="n"/>
      <c r="K84" s="66" t="n"/>
      <c r="L84" s="66" t="n"/>
      <c r="M84" s="66" t="n"/>
      <c r="N84" s="66" t="n"/>
      <c r="O84" s="66" t="n"/>
      <c r="P84" s="66" t="n"/>
      <c r="Q84" s="66" t="n"/>
      <c r="R84" s="66" t="n"/>
      <c r="S84" s="66" t="n"/>
      <c r="T84" s="66" t="n"/>
      <c r="U84" s="66" t="n"/>
      <c r="V84" s="66" t="n"/>
      <c r="W84" s="66" t="n"/>
      <c r="X84" s="66" t="n"/>
      <c r="Y84" s="66" t="n"/>
      <c r="Z84" s="66" t="n"/>
      <c r="AA84" s="66" t="n"/>
      <c r="AB84" s="66" t="n"/>
      <c r="AC84" s="66" t="n"/>
      <c r="AD84" s="66" t="n"/>
      <c r="AE84" s="66" t="n"/>
      <c r="AF84" s="66" t="n"/>
      <c r="AG84" s="66" t="n"/>
      <c r="AH84" s="66" t="n"/>
      <c r="AI84" s="66" t="n"/>
      <c r="AJ84" s="66" t="n"/>
      <c r="AK84" s="66" t="n"/>
      <c r="AL84" s="66" t="n"/>
      <c r="AM84" s="66" t="n"/>
      <c r="AN84" s="66" t="n"/>
      <c r="AO84" s="66" t="n"/>
      <c r="AP84" s="66" t="n"/>
      <c r="AQ84" s="66" t="n">
        <v>186930000</v>
      </c>
      <c r="AS84" s="67">
        <f>RANDBETWEEN(1,5)*1000000</f>
        <v/>
      </c>
    </row>
    <row r="85">
      <c r="A85" s="60" t="n">
        <v>31564</v>
      </c>
      <c r="B85" s="66" t="n"/>
      <c r="C85" s="66" t="n"/>
      <c r="D85" s="66" t="n"/>
      <c r="E85" s="66" t="n"/>
      <c r="F85" s="66" t="n"/>
      <c r="G85" s="66" t="n"/>
      <c r="H85" s="66" t="n"/>
      <c r="I85" s="66" t="n"/>
      <c r="J85" s="66" t="n"/>
      <c r="K85" s="66" t="n"/>
      <c r="L85" s="66" t="n"/>
      <c r="M85" s="66" t="n"/>
      <c r="N85" s="66" t="n"/>
      <c r="O85" s="66" t="n"/>
      <c r="P85" s="66" t="n"/>
      <c r="Q85" s="66" t="n"/>
      <c r="R85" s="66" t="n"/>
      <c r="S85" s="66" t="n"/>
      <c r="T85" s="66" t="n"/>
      <c r="U85" s="66" t="n"/>
      <c r="V85" s="66" t="n"/>
      <c r="W85" s="66" t="n"/>
      <c r="X85" s="66" t="n"/>
      <c r="Y85" s="66" t="n"/>
      <c r="Z85" s="66" t="n"/>
      <c r="AA85" s="66" t="n"/>
      <c r="AB85" s="66" t="n"/>
      <c r="AC85" s="66" t="n"/>
      <c r="AD85" s="66" t="n"/>
      <c r="AE85" s="66" t="n"/>
      <c r="AF85" s="66" t="n"/>
      <c r="AG85" s="66" t="n"/>
      <c r="AH85" s="66" t="n"/>
      <c r="AI85" s="66" t="n"/>
      <c r="AJ85" s="66" t="n"/>
      <c r="AK85" s="66" t="n"/>
      <c r="AL85" s="66" t="n"/>
      <c r="AM85" s="66" t="n"/>
      <c r="AN85" s="66" t="n"/>
      <c r="AO85" s="66" t="n"/>
      <c r="AP85" s="66" t="n"/>
      <c r="AQ85" s="66" t="n">
        <v>186930000</v>
      </c>
      <c r="AS85" s="67">
        <f>RANDBETWEEN(1,5)*1000000</f>
        <v/>
      </c>
    </row>
    <row r="86">
      <c r="A86" s="60" t="n">
        <v>31594</v>
      </c>
      <c r="B86" s="66" t="n"/>
      <c r="C86" s="66" t="n"/>
      <c r="D86" s="66" t="n"/>
      <c r="E86" s="66" t="n"/>
      <c r="F86" s="66" t="n"/>
      <c r="G86" s="66" t="n"/>
      <c r="H86" s="66" t="n"/>
      <c r="I86" s="66" t="n"/>
      <c r="J86" s="66" t="n"/>
      <c r="K86" s="66" t="n"/>
      <c r="L86" s="66" t="n"/>
      <c r="M86" s="66" t="n"/>
      <c r="N86" s="66" t="n"/>
      <c r="O86" s="66" t="n"/>
      <c r="P86" s="66" t="n"/>
      <c r="Q86" s="66" t="n"/>
      <c r="R86" s="66" t="n"/>
      <c r="S86" s="66" t="n"/>
      <c r="T86" s="66" t="n"/>
      <c r="U86" s="66" t="n"/>
      <c r="V86" s="66" t="n"/>
      <c r="W86" s="66" t="n"/>
      <c r="X86" s="66" t="n"/>
      <c r="Y86" s="66" t="n"/>
      <c r="Z86" s="66" t="n"/>
      <c r="AA86" s="66" t="n"/>
      <c r="AB86" s="66" t="n"/>
      <c r="AC86" s="66" t="n"/>
      <c r="AD86" s="66" t="n"/>
      <c r="AE86" s="66" t="n"/>
      <c r="AF86" s="66" t="n"/>
      <c r="AG86" s="66" t="n"/>
      <c r="AH86" s="66" t="n"/>
      <c r="AI86" s="66" t="n"/>
      <c r="AJ86" s="66" t="n"/>
      <c r="AK86" s="66" t="n"/>
      <c r="AL86" s="66" t="n"/>
      <c r="AM86" s="66" t="n"/>
      <c r="AN86" s="66" t="n"/>
      <c r="AO86" s="66" t="n"/>
      <c r="AP86" s="66" t="n"/>
      <c r="AQ86" s="66" t="n">
        <v>186930000</v>
      </c>
      <c r="AS86" s="67">
        <f>RANDBETWEEN(1,5)*1000000</f>
        <v/>
      </c>
    </row>
    <row r="87">
      <c r="A87" s="60" t="n">
        <v>31625</v>
      </c>
      <c r="B87" s="66" t="n"/>
      <c r="C87" s="66" t="n"/>
      <c r="D87" s="66" t="n"/>
      <c r="E87" s="66" t="n"/>
      <c r="F87" s="66" t="n"/>
      <c r="G87" s="66" t="n"/>
      <c r="H87" s="66" t="n"/>
      <c r="I87" s="66" t="n"/>
      <c r="J87" s="66" t="n"/>
      <c r="K87" s="66" t="n"/>
      <c r="L87" s="66" t="n"/>
      <c r="M87" s="66" t="n"/>
      <c r="N87" s="66" t="n"/>
      <c r="O87" s="66" t="n"/>
      <c r="P87" s="66" t="n"/>
      <c r="Q87" s="66" t="n"/>
      <c r="R87" s="66" t="n"/>
      <c r="S87" s="66" t="n"/>
      <c r="T87" s="66" t="n"/>
      <c r="U87" s="66" t="n"/>
      <c r="V87" s="66" t="n"/>
      <c r="W87" s="66" t="n"/>
      <c r="X87" s="66" t="n"/>
      <c r="Y87" s="66" t="n"/>
      <c r="Z87" s="66" t="n"/>
      <c r="AA87" s="66" t="n"/>
      <c r="AB87" s="66" t="n"/>
      <c r="AC87" s="66" t="n"/>
      <c r="AD87" s="66" t="n"/>
      <c r="AE87" s="66" t="n"/>
      <c r="AF87" s="66" t="n"/>
      <c r="AG87" s="66" t="n"/>
      <c r="AH87" s="66" t="n"/>
      <c r="AI87" s="66" t="n"/>
      <c r="AJ87" s="66" t="n"/>
      <c r="AK87" s="66" t="n"/>
      <c r="AL87" s="66" t="n"/>
      <c r="AM87" s="66" t="n"/>
      <c r="AN87" s="66" t="n"/>
      <c r="AO87" s="66" t="n"/>
      <c r="AP87" s="66" t="n"/>
      <c r="AQ87" s="66" t="n">
        <v>186930000</v>
      </c>
      <c r="AS87" s="67">
        <f>RANDBETWEEN(1,5)*1000000</f>
        <v/>
      </c>
    </row>
    <row r="88">
      <c r="A88" s="60" t="n">
        <v>31656</v>
      </c>
      <c r="B88" s="66" t="n"/>
      <c r="C88" s="66" t="n"/>
      <c r="D88" s="66" t="n"/>
      <c r="E88" s="66" t="n"/>
      <c r="F88" s="66" t="n"/>
      <c r="G88" s="66" t="n"/>
      <c r="H88" s="66" t="n"/>
      <c r="I88" s="66" t="n"/>
      <c r="J88" s="66" t="n"/>
      <c r="K88" s="66" t="n"/>
      <c r="L88" s="66" t="n"/>
      <c r="M88" s="66" t="n"/>
      <c r="N88" s="66" t="n"/>
      <c r="O88" s="66" t="n"/>
      <c r="P88" s="66" t="n"/>
      <c r="Q88" s="66" t="n"/>
      <c r="R88" s="66" t="n"/>
      <c r="S88" s="66" t="n"/>
      <c r="T88" s="66" t="n"/>
      <c r="U88" s="66" t="n"/>
      <c r="V88" s="66" t="n"/>
      <c r="W88" s="66" t="n"/>
      <c r="X88" s="66" t="n"/>
      <c r="Y88" s="66" t="n"/>
      <c r="Z88" s="66" t="n"/>
      <c r="AA88" s="66" t="n"/>
      <c r="AB88" s="66" t="n"/>
      <c r="AC88" s="66" t="n"/>
      <c r="AD88" s="66" t="n"/>
      <c r="AE88" s="66" t="n"/>
      <c r="AF88" s="66" t="n"/>
      <c r="AG88" s="66" t="n"/>
      <c r="AH88" s="66" t="n"/>
      <c r="AI88" s="66" t="n"/>
      <c r="AJ88" s="66" t="n"/>
      <c r="AK88" s="66" t="n"/>
      <c r="AL88" s="66" t="n"/>
      <c r="AM88" s="66" t="n"/>
      <c r="AN88" s="66" t="n"/>
      <c r="AO88" s="66" t="n"/>
      <c r="AP88" s="66" t="n"/>
      <c r="AQ88" s="66" t="n">
        <v>186930000</v>
      </c>
      <c r="AS88" s="67">
        <f>RANDBETWEEN(1,5)*1000000</f>
        <v/>
      </c>
    </row>
    <row r="89">
      <c r="A89" s="60" t="n">
        <v>31686</v>
      </c>
      <c r="B89" s="66" t="n"/>
      <c r="C89" s="66" t="n"/>
      <c r="D89" s="66" t="n"/>
      <c r="E89" s="66" t="n"/>
      <c r="F89" s="66" t="n"/>
      <c r="G89" s="66" t="n"/>
      <c r="H89" s="66" t="n"/>
      <c r="I89" s="66" t="n"/>
      <c r="J89" s="66" t="n"/>
      <c r="K89" s="66" t="n"/>
      <c r="L89" s="66" t="n"/>
      <c r="M89" s="66" t="n"/>
      <c r="N89" s="66" t="n"/>
      <c r="O89" s="66" t="n"/>
      <c r="P89" s="66" t="n"/>
      <c r="Q89" s="66" t="n"/>
      <c r="R89" s="66" t="n"/>
      <c r="S89" s="66" t="n"/>
      <c r="T89" s="66" t="n"/>
      <c r="U89" s="66" t="n"/>
      <c r="V89" s="66" t="n"/>
      <c r="W89" s="66" t="n"/>
      <c r="X89" s="66" t="n"/>
      <c r="Y89" s="66" t="n"/>
      <c r="Z89" s="66" t="n"/>
      <c r="AA89" s="66" t="n"/>
      <c r="AB89" s="66" t="n"/>
      <c r="AC89" s="66" t="n"/>
      <c r="AD89" s="66" t="n"/>
      <c r="AE89" s="66" t="n"/>
      <c r="AF89" s="66" t="n"/>
      <c r="AG89" s="66" t="n"/>
      <c r="AH89" s="66" t="n"/>
      <c r="AI89" s="66" t="n"/>
      <c r="AJ89" s="66" t="n"/>
      <c r="AK89" s="66" t="n"/>
      <c r="AL89" s="66" t="n"/>
      <c r="AM89" s="66" t="n"/>
      <c r="AN89" s="66" t="n"/>
      <c r="AO89" s="66" t="n"/>
      <c r="AP89" s="66" t="n"/>
      <c r="AQ89" s="66" t="n">
        <v>186930000</v>
      </c>
      <c r="AS89" s="67">
        <f>RANDBETWEEN(1,5)*1000000</f>
        <v/>
      </c>
    </row>
    <row r="90">
      <c r="A90" s="60" t="n">
        <v>31717</v>
      </c>
      <c r="B90" s="66" t="n"/>
      <c r="C90" s="66" t="n"/>
      <c r="D90" s="66" t="n"/>
      <c r="E90" s="66" t="n"/>
      <c r="F90" s="66" t="n"/>
      <c r="G90" s="66" t="n"/>
      <c r="H90" s="66" t="n"/>
      <c r="I90" s="66" t="n"/>
      <c r="J90" s="66" t="n"/>
      <c r="K90" s="66" t="n"/>
      <c r="L90" s="66" t="n"/>
      <c r="M90" s="66" t="n"/>
      <c r="N90" s="66" t="n"/>
      <c r="O90" s="66" t="n"/>
      <c r="P90" s="66" t="n"/>
      <c r="Q90" s="66" t="n"/>
      <c r="R90" s="66" t="n"/>
      <c r="S90" s="66" t="n"/>
      <c r="T90" s="66" t="n"/>
      <c r="U90" s="66" t="n"/>
      <c r="V90" s="66" t="n"/>
      <c r="W90" s="66" t="n"/>
      <c r="X90" s="66" t="n"/>
      <c r="Y90" s="66" t="n"/>
      <c r="Z90" s="66" t="n"/>
      <c r="AA90" s="66" t="n"/>
      <c r="AB90" s="66" t="n"/>
      <c r="AC90" s="66" t="n"/>
      <c r="AD90" s="66" t="n"/>
      <c r="AE90" s="66" t="n"/>
      <c r="AF90" s="66" t="n"/>
      <c r="AG90" s="66" t="n"/>
      <c r="AH90" s="66" t="n"/>
      <c r="AI90" s="66" t="n"/>
      <c r="AJ90" s="66" t="n"/>
      <c r="AK90" s="66" t="n"/>
      <c r="AL90" s="66" t="n"/>
      <c r="AM90" s="66" t="n"/>
      <c r="AN90" s="66" t="n"/>
      <c r="AO90" s="66" t="n"/>
      <c r="AP90" s="66" t="n"/>
      <c r="AQ90" s="66" t="n">
        <v>186930000</v>
      </c>
      <c r="AS90" s="67">
        <f>RANDBETWEEN(1,5)*1000000</f>
        <v/>
      </c>
    </row>
    <row r="91">
      <c r="A91" s="60" t="n">
        <v>31747</v>
      </c>
      <c r="B91" s="66" t="n"/>
      <c r="C91" s="66" t="n"/>
      <c r="D91" s="66" t="n"/>
      <c r="E91" s="66" t="n"/>
      <c r="F91" s="66" t="n"/>
      <c r="G91" s="66" t="n"/>
      <c r="H91" s="66" t="n"/>
      <c r="I91" s="66" t="n"/>
      <c r="J91" s="66" t="n"/>
      <c r="K91" s="66" t="n"/>
      <c r="L91" s="66" t="n"/>
      <c r="M91" s="66" t="n"/>
      <c r="N91" s="66" t="n"/>
      <c r="O91" s="66" t="n"/>
      <c r="P91" s="66" t="n"/>
      <c r="Q91" s="66" t="n"/>
      <c r="R91" s="66" t="n"/>
      <c r="S91" s="66" t="n"/>
      <c r="T91" s="66" t="n"/>
      <c r="U91" s="66" t="n"/>
      <c r="V91" s="66" t="n"/>
      <c r="W91" s="66" t="n"/>
      <c r="X91" s="66" t="n"/>
      <c r="Y91" s="66" t="n"/>
      <c r="Z91" s="66" t="n"/>
      <c r="AA91" s="66" t="n"/>
      <c r="AB91" s="66" t="n"/>
      <c r="AC91" s="66" t="n"/>
      <c r="AD91" s="66" t="n"/>
      <c r="AE91" s="66" t="n"/>
      <c r="AF91" s="66" t="n"/>
      <c r="AG91" s="66" t="n"/>
      <c r="AH91" s="66" t="n"/>
      <c r="AI91" s="66" t="n"/>
      <c r="AJ91" s="66" t="n"/>
      <c r="AK91" s="66" t="n"/>
      <c r="AL91" s="66" t="n"/>
      <c r="AM91" s="66" t="n"/>
      <c r="AN91" s="66" t="n"/>
      <c r="AO91" s="66" t="n"/>
      <c r="AP91" s="66" t="n"/>
      <c r="AQ91" s="66" t="n">
        <v>186930000</v>
      </c>
      <c r="AS91" s="67">
        <f>RANDBETWEEN(1,5)*1000000</f>
        <v/>
      </c>
    </row>
    <row r="92">
      <c r="A92" s="60" t="n">
        <v>31778</v>
      </c>
      <c r="B92" s="66" t="n"/>
      <c r="C92" s="66" t="n"/>
      <c r="D92" s="66" t="n"/>
      <c r="E92" s="66" t="n"/>
      <c r="F92" s="66" t="n"/>
      <c r="G92" s="66" t="n"/>
      <c r="H92" s="66" t="n"/>
      <c r="I92" s="66" t="n"/>
      <c r="J92" s="66" t="n"/>
      <c r="K92" s="66" t="n"/>
      <c r="L92" s="66" t="n"/>
      <c r="M92" s="66" t="n"/>
      <c r="N92" s="66" t="n"/>
      <c r="O92" s="66" t="n"/>
      <c r="P92" s="66" t="n"/>
      <c r="Q92" s="66" t="n"/>
      <c r="R92" s="66" t="n"/>
      <c r="S92" s="66" t="n"/>
      <c r="T92" s="66" t="n"/>
      <c r="U92" s="66" t="n"/>
      <c r="V92" s="66" t="n"/>
      <c r="W92" s="66" t="n"/>
      <c r="X92" s="66" t="n"/>
      <c r="Y92" s="66" t="n"/>
      <c r="Z92" s="66" t="n"/>
      <c r="AA92" s="66" t="n"/>
      <c r="AB92" s="66" t="n"/>
      <c r="AC92" s="66" t="n"/>
      <c r="AD92" s="66" t="n"/>
      <c r="AE92" s="66" t="n"/>
      <c r="AF92" s="66" t="n"/>
      <c r="AG92" s="66" t="n"/>
      <c r="AH92" s="66" t="n"/>
      <c r="AI92" s="66" t="n"/>
      <c r="AJ92" s="66" t="n"/>
      <c r="AK92" s="66" t="n"/>
      <c r="AL92" s="66" t="n"/>
      <c r="AM92" s="66" t="n"/>
      <c r="AN92" s="66" t="n"/>
      <c r="AO92" s="66" t="n"/>
      <c r="AP92" s="66" t="n"/>
      <c r="AQ92" s="66" t="n">
        <v>186930000</v>
      </c>
      <c r="AS92" s="67">
        <f>RANDBETWEEN(1,5)*1000000</f>
        <v/>
      </c>
    </row>
    <row r="93">
      <c r="A93" s="60" t="n">
        <v>31809</v>
      </c>
      <c r="B93" s="66" t="n"/>
      <c r="C93" s="66" t="n"/>
      <c r="D93" s="66" t="n"/>
      <c r="E93" s="66" t="n"/>
      <c r="F93" s="66" t="n"/>
      <c r="G93" s="66" t="n"/>
      <c r="H93" s="66" t="n"/>
      <c r="I93" s="66" t="n"/>
      <c r="J93" s="66" t="n"/>
      <c r="K93" s="66" t="n"/>
      <c r="L93" s="66" t="n"/>
      <c r="M93" s="66" t="n"/>
      <c r="N93" s="66" t="n"/>
      <c r="O93" s="66" t="n"/>
      <c r="P93" s="66" t="n"/>
      <c r="Q93" s="66" t="n"/>
      <c r="R93" s="66" t="n"/>
      <c r="S93" s="66" t="n"/>
      <c r="T93" s="66" t="n"/>
      <c r="U93" s="66" t="n"/>
      <c r="V93" s="66" t="n"/>
      <c r="W93" s="66" t="n"/>
      <c r="X93" s="66" t="n"/>
      <c r="Y93" s="66" t="n"/>
      <c r="Z93" s="66" t="n"/>
      <c r="AA93" s="66" t="n"/>
      <c r="AB93" s="66" t="n"/>
      <c r="AC93" s="66" t="n"/>
      <c r="AD93" s="66" t="n"/>
      <c r="AE93" s="66" t="n"/>
      <c r="AF93" s="66" t="n"/>
      <c r="AG93" s="66" t="n"/>
      <c r="AH93" s="66" t="n"/>
      <c r="AI93" s="66" t="n"/>
      <c r="AJ93" s="66" t="n"/>
      <c r="AK93" s="66" t="n"/>
      <c r="AL93" s="66" t="n"/>
      <c r="AM93" s="66" t="n"/>
      <c r="AN93" s="66" t="n"/>
      <c r="AO93" s="66" t="n"/>
      <c r="AP93" s="66" t="n"/>
      <c r="AQ93" s="66" t="n">
        <v>186930000</v>
      </c>
      <c r="AS93" s="67">
        <f>RANDBETWEEN(1,5)*1000000</f>
        <v/>
      </c>
    </row>
    <row r="94">
      <c r="A94" s="60" t="n">
        <v>31837</v>
      </c>
      <c r="B94" s="66" t="n"/>
      <c r="C94" s="66" t="n"/>
      <c r="D94" s="66" t="n"/>
      <c r="E94" s="66" t="n"/>
      <c r="F94" s="66" t="n"/>
      <c r="G94" s="66" t="n"/>
      <c r="H94" s="66" t="n"/>
      <c r="I94" s="66" t="n"/>
      <c r="J94" s="66" t="n"/>
      <c r="K94" s="66" t="n"/>
      <c r="L94" s="66" t="n"/>
      <c r="M94" s="66" t="n"/>
      <c r="N94" s="66" t="n"/>
      <c r="O94" s="66" t="n"/>
      <c r="P94" s="66" t="n"/>
      <c r="Q94" s="66" t="n"/>
      <c r="R94" s="66" t="n"/>
      <c r="S94" s="66" t="n"/>
      <c r="T94" s="66" t="n"/>
      <c r="U94" s="66" t="n"/>
      <c r="V94" s="66" t="n"/>
      <c r="W94" s="66" t="n"/>
      <c r="X94" s="66" t="n"/>
      <c r="Y94" s="66" t="n"/>
      <c r="Z94" s="66" t="n"/>
      <c r="AA94" s="66" t="n"/>
      <c r="AB94" s="66" t="n"/>
      <c r="AC94" s="66" t="n"/>
      <c r="AD94" s="66" t="n"/>
      <c r="AE94" s="66" t="n"/>
      <c r="AF94" s="66" t="n"/>
      <c r="AG94" s="66" t="n"/>
      <c r="AH94" s="66" t="n"/>
      <c r="AI94" s="66" t="n"/>
      <c r="AJ94" s="66" t="n"/>
      <c r="AK94" s="66" t="n"/>
      <c r="AL94" s="66" t="n"/>
      <c r="AM94" s="66" t="n"/>
      <c r="AN94" s="66" t="n"/>
      <c r="AO94" s="66" t="n"/>
      <c r="AP94" s="66" t="n"/>
      <c r="AQ94" s="66" t="n">
        <v>186930000</v>
      </c>
      <c r="AS94" s="67">
        <f>RANDBETWEEN(1,5)*1000000</f>
        <v/>
      </c>
    </row>
    <row r="95">
      <c r="A95" s="60" t="n">
        <v>31868</v>
      </c>
      <c r="B95" s="66" t="n"/>
      <c r="C95" s="66" t="n"/>
      <c r="D95" s="66" t="n"/>
      <c r="E95" s="66" t="n"/>
      <c r="F95" s="66" t="n"/>
      <c r="G95" s="66" t="n"/>
      <c r="H95" s="66" t="n"/>
      <c r="I95" s="66" t="n"/>
      <c r="J95" s="66" t="n"/>
      <c r="K95" s="66" t="n"/>
      <c r="L95" s="66" t="n"/>
      <c r="M95" s="66" t="n"/>
      <c r="N95" s="66" t="n"/>
      <c r="O95" s="66" t="n"/>
      <c r="P95" s="66" t="n"/>
      <c r="Q95" s="66" t="n"/>
      <c r="R95" s="66" t="n"/>
      <c r="S95" s="66" t="n"/>
      <c r="T95" s="66" t="n"/>
      <c r="U95" s="66" t="n"/>
      <c r="V95" s="66" t="n"/>
      <c r="W95" s="66" t="n"/>
      <c r="X95" s="66" t="n"/>
      <c r="Y95" s="66" t="n"/>
      <c r="Z95" s="66" t="n"/>
      <c r="AA95" s="66" t="n"/>
      <c r="AB95" s="66" t="n"/>
      <c r="AC95" s="66" t="n"/>
      <c r="AD95" s="66" t="n"/>
      <c r="AE95" s="66" t="n"/>
      <c r="AF95" s="66" t="n"/>
      <c r="AG95" s="66" t="n"/>
      <c r="AH95" s="66" t="n"/>
      <c r="AI95" s="66" t="n"/>
      <c r="AJ95" s="66" t="n"/>
      <c r="AK95" s="66" t="n"/>
      <c r="AL95" s="66" t="n"/>
      <c r="AM95" s="66" t="n"/>
      <c r="AN95" s="66" t="n"/>
      <c r="AO95" s="66" t="n"/>
      <c r="AP95" s="66" t="n"/>
      <c r="AQ95" s="66" t="n">
        <v>186930000</v>
      </c>
      <c r="AS95" s="67">
        <f>RANDBETWEEN(1,5)*1000000</f>
        <v/>
      </c>
    </row>
    <row r="96">
      <c r="A96" s="60" t="n">
        <v>31898</v>
      </c>
      <c r="B96" s="66" t="n"/>
      <c r="C96" s="66" t="n"/>
      <c r="D96" s="66" t="n"/>
      <c r="E96" s="66" t="n"/>
      <c r="F96" s="66" t="n"/>
      <c r="G96" s="66" t="n"/>
      <c r="H96" s="66" t="n"/>
      <c r="I96" s="66" t="n"/>
      <c r="J96" s="66" t="n"/>
      <c r="K96" s="66" t="n"/>
      <c r="L96" s="66" t="n"/>
      <c r="M96" s="66" t="n"/>
      <c r="N96" s="66" t="n"/>
      <c r="O96" s="66" t="n"/>
      <c r="P96" s="66" t="n"/>
      <c r="Q96" s="66" t="n"/>
      <c r="R96" s="66" t="n"/>
      <c r="S96" s="66" t="n"/>
      <c r="T96" s="66" t="n"/>
      <c r="U96" s="66" t="n"/>
      <c r="V96" s="66" t="n"/>
      <c r="W96" s="66" t="n"/>
      <c r="X96" s="66" t="n"/>
      <c r="Y96" s="66" t="n"/>
      <c r="Z96" s="66" t="n"/>
      <c r="AA96" s="66" t="n"/>
      <c r="AB96" s="66" t="n"/>
      <c r="AC96" s="66" t="n"/>
      <c r="AD96" s="66" t="n"/>
      <c r="AE96" s="66" t="n"/>
      <c r="AF96" s="66" t="n"/>
      <c r="AG96" s="66" t="n"/>
      <c r="AH96" s="66" t="n"/>
      <c r="AI96" s="66" t="n"/>
      <c r="AJ96" s="66" t="n"/>
      <c r="AK96" s="66" t="n"/>
      <c r="AL96" s="66" t="n"/>
      <c r="AM96" s="66" t="n"/>
      <c r="AN96" s="66" t="n"/>
      <c r="AO96" s="66" t="n"/>
      <c r="AP96" s="66" t="n"/>
      <c r="AQ96" s="66" t="n">
        <v>186930000</v>
      </c>
      <c r="AS96" s="67">
        <f>RANDBETWEEN(1,5)*1000000</f>
        <v/>
      </c>
    </row>
    <row r="97">
      <c r="A97" s="60" t="n">
        <v>31929</v>
      </c>
      <c r="B97" s="66" t="n"/>
      <c r="C97" s="66" t="n"/>
      <c r="D97" s="66" t="n"/>
      <c r="E97" s="66" t="n"/>
      <c r="F97" s="66" t="n"/>
      <c r="G97" s="66" t="n"/>
      <c r="H97" s="66" t="n"/>
      <c r="I97" s="66" t="n"/>
      <c r="J97" s="66" t="n"/>
      <c r="K97" s="66" t="n"/>
      <c r="L97" s="66" t="n"/>
      <c r="M97" s="66" t="n"/>
      <c r="N97" s="66" t="n"/>
      <c r="O97" s="66" t="n"/>
      <c r="P97" s="66" t="n"/>
      <c r="Q97" s="66" t="n"/>
      <c r="R97" s="66" t="n"/>
      <c r="S97" s="66" t="n"/>
      <c r="T97" s="66" t="n"/>
      <c r="U97" s="66" t="n"/>
      <c r="V97" s="66" t="n"/>
      <c r="W97" s="66" t="n"/>
      <c r="X97" s="66" t="n"/>
      <c r="Y97" s="66" t="n"/>
      <c r="Z97" s="66" t="n"/>
      <c r="AA97" s="66" t="n"/>
      <c r="AB97" s="66" t="n"/>
      <c r="AC97" s="66" t="n"/>
      <c r="AD97" s="66" t="n"/>
      <c r="AE97" s="66" t="n"/>
      <c r="AF97" s="66" t="n"/>
      <c r="AG97" s="66" t="n"/>
      <c r="AH97" s="66" t="n"/>
      <c r="AI97" s="66" t="n"/>
      <c r="AJ97" s="66" t="n"/>
      <c r="AK97" s="66" t="n"/>
      <c r="AL97" s="66" t="n"/>
      <c r="AM97" s="66" t="n"/>
      <c r="AN97" s="66" t="n"/>
      <c r="AO97" s="66" t="n"/>
      <c r="AP97" s="66" t="n"/>
      <c r="AQ97" s="66" t="n">
        <v>186930000</v>
      </c>
      <c r="AS97" s="67">
        <f>RANDBETWEEN(1,5)*1000000</f>
        <v/>
      </c>
    </row>
    <row r="98">
      <c r="A98" s="60" t="n">
        <v>31959</v>
      </c>
      <c r="B98" s="66" t="n"/>
      <c r="C98" s="66" t="n"/>
      <c r="D98" s="66" t="n"/>
      <c r="E98" s="66" t="n"/>
      <c r="F98" s="66" t="n"/>
      <c r="G98" s="66" t="n"/>
      <c r="H98" s="66" t="n"/>
      <c r="I98" s="66" t="n"/>
      <c r="J98" s="66" t="n"/>
      <c r="K98" s="66" t="n"/>
      <c r="L98" s="66" t="n"/>
      <c r="M98" s="66" t="n"/>
      <c r="N98" s="66" t="n"/>
      <c r="O98" s="66" t="n"/>
      <c r="P98" s="66" t="n"/>
      <c r="Q98" s="66" t="n"/>
      <c r="R98" s="66" t="n"/>
      <c r="S98" s="66" t="n"/>
      <c r="T98" s="66" t="n"/>
      <c r="U98" s="66" t="n"/>
      <c r="V98" s="66" t="n"/>
      <c r="W98" s="66" t="n"/>
      <c r="X98" s="66" t="n"/>
      <c r="Y98" s="66" t="n"/>
      <c r="Z98" s="66" t="n"/>
      <c r="AA98" s="66" t="n"/>
      <c r="AB98" s="66" t="n"/>
      <c r="AC98" s="66" t="n"/>
      <c r="AD98" s="66" t="n"/>
      <c r="AE98" s="66" t="n"/>
      <c r="AF98" s="66" t="n"/>
      <c r="AG98" s="66" t="n"/>
      <c r="AH98" s="66" t="n"/>
      <c r="AI98" s="66" t="n"/>
      <c r="AJ98" s="66" t="n"/>
      <c r="AK98" s="66" t="n"/>
      <c r="AL98" s="66" t="n"/>
      <c r="AM98" s="66" t="n"/>
      <c r="AN98" s="66" t="n"/>
      <c r="AO98" s="66" t="n"/>
      <c r="AP98" s="66" t="n"/>
      <c r="AQ98" s="66" t="n">
        <v>186930000</v>
      </c>
      <c r="AS98" s="67">
        <f>RANDBETWEEN(1,5)*1000000</f>
        <v/>
      </c>
    </row>
    <row r="99">
      <c r="A99" s="60" t="n">
        <v>31990</v>
      </c>
      <c r="B99" s="66" t="n"/>
      <c r="C99" s="66" t="n"/>
      <c r="D99" s="66" t="n"/>
      <c r="E99" s="66" t="n"/>
      <c r="F99" s="66" t="n"/>
      <c r="G99" s="66" t="n"/>
      <c r="H99" s="66" t="n"/>
      <c r="I99" s="66" t="n"/>
      <c r="J99" s="66" t="n"/>
      <c r="K99" s="66" t="n"/>
      <c r="L99" s="66" t="n"/>
      <c r="M99" s="66" t="n"/>
      <c r="N99" s="66" t="n"/>
      <c r="O99" s="66" t="n"/>
      <c r="P99" s="66" t="n"/>
      <c r="Q99" s="66" t="n"/>
      <c r="R99" s="66" t="n"/>
      <c r="S99" s="66" t="n"/>
      <c r="T99" s="66" t="n"/>
      <c r="U99" s="66" t="n"/>
      <c r="V99" s="66" t="n"/>
      <c r="W99" s="66" t="n"/>
      <c r="X99" s="66" t="n"/>
      <c r="Y99" s="66" t="n"/>
      <c r="Z99" s="66" t="n"/>
      <c r="AA99" s="66" t="n"/>
      <c r="AB99" s="66" t="n"/>
      <c r="AC99" s="66" t="n"/>
      <c r="AD99" s="66" t="n"/>
      <c r="AE99" s="66" t="n"/>
      <c r="AF99" s="66" t="n"/>
      <c r="AG99" s="66" t="n"/>
      <c r="AH99" s="66" t="n"/>
      <c r="AI99" s="66" t="n"/>
      <c r="AJ99" s="66" t="n"/>
      <c r="AK99" s="66" t="n"/>
      <c r="AL99" s="66" t="n"/>
      <c r="AM99" s="66" t="n"/>
      <c r="AN99" s="66" t="n"/>
      <c r="AO99" s="66" t="n"/>
      <c r="AP99" s="66" t="n"/>
      <c r="AQ99" s="66" t="n">
        <v>186930000</v>
      </c>
      <c r="AS99" s="67">
        <f>RANDBETWEEN(1,5)*1000000</f>
        <v/>
      </c>
    </row>
    <row r="100">
      <c r="A100" s="60" t="n">
        <v>32021</v>
      </c>
      <c r="B100" s="66" t="n"/>
      <c r="C100" s="66" t="n"/>
      <c r="D100" s="66" t="n"/>
      <c r="E100" s="66" t="n"/>
      <c r="F100" s="66" t="n"/>
      <c r="G100" s="66" t="n"/>
      <c r="H100" s="66" t="n"/>
      <c r="I100" s="66" t="n"/>
      <c r="J100" s="66" t="n"/>
      <c r="K100" s="66" t="n"/>
      <c r="L100" s="66" t="n"/>
      <c r="M100" s="66" t="n"/>
      <c r="N100" s="66" t="n"/>
      <c r="O100" s="66" t="n"/>
      <c r="P100" s="66" t="n"/>
      <c r="Q100" s="66" t="n"/>
      <c r="R100" s="66" t="n"/>
      <c r="S100" s="66" t="n"/>
      <c r="T100" s="66" t="n"/>
      <c r="U100" s="66" t="n"/>
      <c r="V100" s="66" t="n"/>
      <c r="W100" s="66" t="n"/>
      <c r="X100" s="66" t="n"/>
      <c r="Y100" s="66" t="n"/>
      <c r="Z100" s="66" t="n"/>
      <c r="AA100" s="66" t="n"/>
      <c r="AB100" s="66" t="n"/>
      <c r="AC100" s="66" t="n"/>
      <c r="AD100" s="66" t="n"/>
      <c r="AE100" s="66" t="n"/>
      <c r="AF100" s="66" t="n"/>
      <c r="AG100" s="66" t="n"/>
      <c r="AH100" s="66" t="n"/>
      <c r="AI100" s="66" t="n"/>
      <c r="AJ100" s="66" t="n"/>
      <c r="AK100" s="66" t="n"/>
      <c r="AL100" s="66" t="n"/>
      <c r="AM100" s="66" t="n"/>
      <c r="AN100" s="66" t="n"/>
      <c r="AO100" s="66" t="n"/>
      <c r="AP100" s="66" t="n"/>
      <c r="AQ100" s="66" t="n">
        <v>186930000</v>
      </c>
      <c r="AS100" s="67">
        <f>RANDBETWEEN(1,5)*1000000</f>
        <v/>
      </c>
    </row>
    <row r="101">
      <c r="A101" s="60" t="n">
        <v>32051</v>
      </c>
      <c r="B101" s="66" t="n"/>
      <c r="C101" s="66" t="n"/>
      <c r="D101" s="66" t="n"/>
      <c r="E101" s="66" t="n"/>
      <c r="F101" s="66" t="n"/>
      <c r="G101" s="66" t="n"/>
      <c r="H101" s="66" t="n"/>
      <c r="I101" s="66" t="n"/>
      <c r="J101" s="66" t="n"/>
      <c r="K101" s="66" t="n"/>
      <c r="L101" s="66" t="n"/>
      <c r="M101" s="66" t="n"/>
      <c r="N101" s="66" t="n"/>
      <c r="O101" s="66" t="n"/>
      <c r="P101" s="66" t="n"/>
      <c r="Q101" s="66" t="n"/>
      <c r="R101" s="66" t="n"/>
      <c r="S101" s="66" t="n"/>
      <c r="T101" s="66" t="n"/>
      <c r="U101" s="66" t="n"/>
      <c r="V101" s="66" t="n"/>
      <c r="W101" s="66" t="n"/>
      <c r="X101" s="66" t="n"/>
      <c r="Y101" s="66" t="n"/>
      <c r="Z101" s="66" t="n"/>
      <c r="AA101" s="66" t="n"/>
      <c r="AB101" s="66" t="n"/>
      <c r="AC101" s="66" t="n"/>
      <c r="AD101" s="66" t="n"/>
      <c r="AE101" s="66" t="n"/>
      <c r="AF101" s="66" t="n"/>
      <c r="AG101" s="66" t="n"/>
      <c r="AH101" s="66" t="n"/>
      <c r="AI101" s="66" t="n"/>
      <c r="AJ101" s="66" t="n"/>
      <c r="AK101" s="66" t="n"/>
      <c r="AL101" s="66" t="n"/>
      <c r="AM101" s="66" t="n"/>
      <c r="AN101" s="66" t="n"/>
      <c r="AO101" s="66" t="n"/>
      <c r="AP101" s="66" t="n"/>
      <c r="AQ101" s="66" t="n">
        <v>186930000</v>
      </c>
      <c r="AS101" s="67">
        <f>RANDBETWEEN(1,5)*1000000</f>
        <v/>
      </c>
    </row>
    <row r="102">
      <c r="A102" s="60" t="n">
        <v>32082</v>
      </c>
      <c r="B102" s="66" t="n"/>
      <c r="C102" s="66" t="n"/>
      <c r="D102" s="66" t="n"/>
      <c r="E102" s="66" t="n"/>
      <c r="F102" s="66" t="n"/>
      <c r="G102" s="66" t="n"/>
      <c r="H102" s="66" t="n"/>
      <c r="I102" s="66" t="n"/>
      <c r="J102" s="66" t="n"/>
      <c r="K102" s="66" t="n"/>
      <c r="L102" s="66" t="n"/>
      <c r="M102" s="66" t="n"/>
      <c r="N102" s="66" t="n"/>
      <c r="O102" s="66" t="n"/>
      <c r="P102" s="66" t="n"/>
      <c r="Q102" s="66" t="n"/>
      <c r="R102" s="66" t="n"/>
      <c r="S102" s="66" t="n"/>
      <c r="T102" s="66" t="n"/>
      <c r="U102" s="66" t="n"/>
      <c r="V102" s="66" t="n"/>
      <c r="W102" s="66" t="n"/>
      <c r="X102" s="66" t="n"/>
      <c r="Y102" s="66" t="n"/>
      <c r="Z102" s="66" t="n"/>
      <c r="AA102" s="66" t="n"/>
      <c r="AB102" s="66" t="n"/>
      <c r="AC102" s="66" t="n"/>
      <c r="AD102" s="66" t="n"/>
      <c r="AE102" s="66" t="n"/>
      <c r="AF102" s="66" t="n"/>
      <c r="AG102" s="66" t="n"/>
      <c r="AH102" s="66" t="n"/>
      <c r="AI102" s="66" t="n"/>
      <c r="AJ102" s="66" t="n"/>
      <c r="AK102" s="66" t="n"/>
      <c r="AL102" s="66" t="n"/>
      <c r="AM102" s="66" t="n"/>
      <c r="AN102" s="66" t="n"/>
      <c r="AO102" s="66" t="n"/>
      <c r="AP102" s="66" t="n"/>
      <c r="AQ102" s="66" t="n">
        <v>186930000</v>
      </c>
      <c r="AS102" s="67">
        <f>RANDBETWEEN(1,5)*1000000</f>
        <v/>
      </c>
    </row>
    <row r="103">
      <c r="A103" s="60" t="n">
        <v>32112</v>
      </c>
      <c r="B103" s="66" t="n"/>
      <c r="C103" s="66" t="n"/>
      <c r="D103" s="66" t="n"/>
      <c r="E103" s="66" t="n"/>
      <c r="F103" s="66" t="n"/>
      <c r="G103" s="66" t="n"/>
      <c r="H103" s="66" t="n"/>
      <c r="I103" s="66" t="n"/>
      <c r="J103" s="66" t="n"/>
      <c r="K103" s="66" t="n"/>
      <c r="L103" s="66" t="n"/>
      <c r="M103" s="66" t="n"/>
      <c r="N103" s="66" t="n"/>
      <c r="O103" s="66" t="n"/>
      <c r="P103" s="66" t="n"/>
      <c r="Q103" s="66" t="n"/>
      <c r="R103" s="66" t="n"/>
      <c r="S103" s="66" t="n"/>
      <c r="T103" s="66" t="n"/>
      <c r="U103" s="66" t="n"/>
      <c r="V103" s="66" t="n"/>
      <c r="W103" s="66" t="n"/>
      <c r="X103" s="66" t="n"/>
      <c r="Y103" s="66" t="n"/>
      <c r="Z103" s="66" t="n"/>
      <c r="AA103" s="66" t="n"/>
      <c r="AB103" s="66" t="n"/>
      <c r="AC103" s="66" t="n"/>
      <c r="AD103" s="66" t="n"/>
      <c r="AE103" s="66" t="n"/>
      <c r="AF103" s="66" t="n"/>
      <c r="AG103" s="66" t="n"/>
      <c r="AH103" s="66" t="n"/>
      <c r="AI103" s="66" t="n"/>
      <c r="AJ103" s="66" t="n"/>
      <c r="AK103" s="66" t="n"/>
      <c r="AL103" s="66" t="n"/>
      <c r="AM103" s="66" t="n"/>
      <c r="AN103" s="66" t="n"/>
      <c r="AO103" s="66" t="n"/>
      <c r="AP103" s="66" t="n"/>
      <c r="AQ103" s="66" t="n">
        <v>186930000</v>
      </c>
      <c r="AS103" s="67">
        <f>RANDBETWEEN(1,5)*1000000</f>
        <v/>
      </c>
    </row>
    <row r="104">
      <c r="A104" s="60" t="n">
        <v>32143</v>
      </c>
      <c r="B104" s="66" t="n"/>
      <c r="C104" s="66" t="n"/>
      <c r="D104" s="66" t="n"/>
      <c r="E104" s="66" t="n"/>
      <c r="F104" s="66" t="n"/>
      <c r="G104" s="66" t="n"/>
      <c r="H104" s="66" t="n"/>
      <c r="I104" s="66" t="n"/>
      <c r="J104" s="66" t="n"/>
      <c r="K104" s="66" t="n"/>
      <c r="L104" s="66" t="n"/>
      <c r="M104" s="66" t="n"/>
      <c r="N104" s="66" t="n"/>
      <c r="O104" s="66" t="n"/>
      <c r="P104" s="66" t="n"/>
      <c r="Q104" s="66" t="n"/>
      <c r="R104" s="66" t="n"/>
      <c r="S104" s="66" t="n"/>
      <c r="T104" s="66" t="n"/>
      <c r="U104" s="66" t="n"/>
      <c r="V104" s="66" t="n"/>
      <c r="W104" s="66" t="n"/>
      <c r="X104" s="66" t="n"/>
      <c r="Y104" s="66" t="n"/>
      <c r="Z104" s="66" t="n"/>
      <c r="AA104" s="66" t="n"/>
      <c r="AB104" s="66" t="n"/>
      <c r="AC104" s="66" t="n"/>
      <c r="AD104" s="66" t="n"/>
      <c r="AE104" s="66" t="n"/>
      <c r="AF104" s="66" t="n"/>
      <c r="AG104" s="66" t="n"/>
      <c r="AH104" s="66" t="n"/>
      <c r="AI104" s="66" t="n"/>
      <c r="AJ104" s="66" t="n"/>
      <c r="AK104" s="66" t="n"/>
      <c r="AL104" s="66" t="n"/>
      <c r="AM104" s="66" t="n"/>
      <c r="AN104" s="66" t="n"/>
      <c r="AO104" s="66" t="n"/>
      <c r="AP104" s="66" t="n"/>
      <c r="AQ104" s="66" t="n">
        <v>186930000</v>
      </c>
      <c r="AS104" s="67">
        <f>RANDBETWEEN(1,5)*1000000</f>
        <v/>
      </c>
    </row>
    <row r="105">
      <c r="A105" s="60" t="n">
        <v>32174</v>
      </c>
      <c r="B105" s="66" t="n"/>
      <c r="C105" s="66" t="n"/>
      <c r="D105" s="66" t="n"/>
      <c r="E105" s="66" t="n"/>
      <c r="F105" s="66" t="n"/>
      <c r="G105" s="66" t="n"/>
      <c r="H105" s="66" t="n"/>
      <c r="I105" s="66" t="n"/>
      <c r="J105" s="66" t="n"/>
      <c r="K105" s="66" t="n"/>
      <c r="L105" s="66" t="n"/>
      <c r="M105" s="66" t="n"/>
      <c r="N105" s="66" t="n"/>
      <c r="O105" s="66" t="n"/>
      <c r="P105" s="66" t="n"/>
      <c r="Q105" s="66" t="n"/>
      <c r="R105" s="66" t="n"/>
      <c r="S105" s="66" t="n"/>
      <c r="T105" s="66" t="n"/>
      <c r="U105" s="66" t="n"/>
      <c r="V105" s="66" t="n"/>
      <c r="W105" s="66" t="n"/>
      <c r="X105" s="66" t="n"/>
      <c r="Y105" s="66" t="n"/>
      <c r="Z105" s="66" t="n"/>
      <c r="AA105" s="66" t="n"/>
      <c r="AB105" s="66" t="n"/>
      <c r="AC105" s="66" t="n"/>
      <c r="AD105" s="66" t="n"/>
      <c r="AE105" s="66" t="n"/>
      <c r="AF105" s="66" t="n"/>
      <c r="AG105" s="66" t="n"/>
      <c r="AH105" s="66" t="n"/>
      <c r="AI105" s="66" t="n"/>
      <c r="AJ105" s="66" t="n"/>
      <c r="AK105" s="66" t="n"/>
      <c r="AL105" s="66" t="n"/>
      <c r="AM105" s="66" t="n"/>
      <c r="AN105" s="66" t="n"/>
      <c r="AO105" s="66" t="n"/>
      <c r="AP105" s="66" t="n"/>
      <c r="AQ105" s="66" t="n">
        <v>186930000</v>
      </c>
      <c r="AS105" s="67">
        <f>RANDBETWEEN(1,5)*1000000</f>
        <v/>
      </c>
    </row>
    <row r="106">
      <c r="A106" s="60" t="n">
        <v>32203</v>
      </c>
      <c r="B106" s="66" t="n"/>
      <c r="C106" s="66" t="n"/>
      <c r="D106" s="66" t="n"/>
      <c r="E106" s="66" t="n"/>
      <c r="F106" s="66" t="n"/>
      <c r="G106" s="66" t="n"/>
      <c r="H106" s="66" t="n"/>
      <c r="I106" s="66" t="n"/>
      <c r="J106" s="66" t="n"/>
      <c r="K106" s="66" t="n"/>
      <c r="L106" s="66" t="n"/>
      <c r="M106" s="66" t="n"/>
      <c r="N106" s="66" t="n"/>
      <c r="O106" s="66" t="n"/>
      <c r="P106" s="66" t="n"/>
      <c r="Q106" s="66" t="n"/>
      <c r="R106" s="66" t="n"/>
      <c r="S106" s="66" t="n"/>
      <c r="T106" s="66" t="n"/>
      <c r="U106" s="66" t="n"/>
      <c r="V106" s="66" t="n"/>
      <c r="W106" s="66" t="n"/>
      <c r="X106" s="66" t="n"/>
      <c r="Y106" s="66" t="n"/>
      <c r="Z106" s="66" t="n"/>
      <c r="AA106" s="66" t="n"/>
      <c r="AB106" s="66" t="n"/>
      <c r="AC106" s="66" t="n"/>
      <c r="AD106" s="66" t="n"/>
      <c r="AE106" s="66" t="n"/>
      <c r="AF106" s="66" t="n"/>
      <c r="AG106" s="66" t="n"/>
      <c r="AH106" s="66" t="n"/>
      <c r="AI106" s="66" t="n"/>
      <c r="AJ106" s="66" t="n"/>
      <c r="AK106" s="66" t="n"/>
      <c r="AL106" s="66" t="n"/>
      <c r="AM106" s="66" t="n"/>
      <c r="AN106" s="66" t="n"/>
      <c r="AO106" s="66" t="n"/>
      <c r="AP106" s="66" t="n"/>
      <c r="AQ106" s="66" t="n">
        <v>186930000</v>
      </c>
      <c r="AS106" s="67">
        <f>RANDBETWEEN(1,5)*1000000</f>
        <v/>
      </c>
    </row>
    <row r="107">
      <c r="A107" s="60" t="n">
        <v>32234</v>
      </c>
      <c r="B107" s="66" t="n"/>
      <c r="C107" s="66" t="n"/>
      <c r="D107" s="66" t="n"/>
      <c r="E107" s="66" t="n"/>
      <c r="F107" s="66" t="n"/>
      <c r="G107" s="66" t="n"/>
      <c r="H107" s="66" t="n"/>
      <c r="I107" s="66" t="n"/>
      <c r="J107" s="66" t="n"/>
      <c r="K107" s="66" t="n"/>
      <c r="L107" s="66" t="n"/>
      <c r="M107" s="66" t="n"/>
      <c r="N107" s="66" t="n"/>
      <c r="O107" s="66" t="n"/>
      <c r="P107" s="66" t="n"/>
      <c r="Q107" s="66" t="n"/>
      <c r="R107" s="66" t="n"/>
      <c r="S107" s="66" t="n"/>
      <c r="T107" s="66" t="n"/>
      <c r="U107" s="66" t="n"/>
      <c r="V107" s="66" t="n"/>
      <c r="W107" s="66" t="n"/>
      <c r="X107" s="66" t="n"/>
      <c r="Y107" s="66" t="n"/>
      <c r="Z107" s="66" t="n"/>
      <c r="AA107" s="66" t="n"/>
      <c r="AB107" s="66" t="n"/>
      <c r="AC107" s="66" t="n"/>
      <c r="AD107" s="66" t="n"/>
      <c r="AE107" s="66" t="n"/>
      <c r="AF107" s="66" t="n"/>
      <c r="AG107" s="66" t="n"/>
      <c r="AH107" s="66" t="n"/>
      <c r="AI107" s="66" t="n"/>
      <c r="AJ107" s="66" t="n"/>
      <c r="AK107" s="66" t="n"/>
      <c r="AL107" s="66" t="n"/>
      <c r="AM107" s="66" t="n"/>
      <c r="AN107" s="66" t="n"/>
      <c r="AO107" s="66" t="n"/>
      <c r="AP107" s="66" t="n"/>
      <c r="AQ107" s="66" t="n">
        <v>186930000</v>
      </c>
      <c r="AS107" s="67">
        <f>RANDBETWEEN(1,5)*1000000</f>
        <v/>
      </c>
    </row>
    <row r="108">
      <c r="A108" s="60" t="n">
        <v>32264</v>
      </c>
      <c r="B108" s="66" t="n"/>
      <c r="C108" s="66" t="n"/>
      <c r="D108" s="66" t="n"/>
      <c r="E108" s="66" t="n"/>
      <c r="F108" s="66" t="n"/>
      <c r="G108" s="66" t="n"/>
      <c r="H108" s="66" t="n"/>
      <c r="I108" s="66" t="n"/>
      <c r="J108" s="66" t="n"/>
      <c r="K108" s="66" t="n"/>
      <c r="L108" s="66" t="n"/>
      <c r="M108" s="66" t="n"/>
      <c r="N108" s="66" t="n"/>
      <c r="O108" s="66" t="n"/>
      <c r="P108" s="66" t="n"/>
      <c r="Q108" s="66" t="n"/>
      <c r="R108" s="66" t="n"/>
      <c r="S108" s="66" t="n"/>
      <c r="T108" s="66" t="n"/>
      <c r="U108" s="66" t="n"/>
      <c r="V108" s="66" t="n"/>
      <c r="W108" s="66" t="n"/>
      <c r="X108" s="66" t="n"/>
      <c r="Y108" s="66" t="n"/>
      <c r="Z108" s="66" t="n"/>
      <c r="AA108" s="66" t="n"/>
      <c r="AB108" s="66" t="n"/>
      <c r="AC108" s="66" t="n"/>
      <c r="AD108" s="66" t="n"/>
      <c r="AE108" s="66" t="n"/>
      <c r="AF108" s="66" t="n"/>
      <c r="AG108" s="66" t="n"/>
      <c r="AH108" s="66" t="n"/>
      <c r="AI108" s="66" t="n"/>
      <c r="AJ108" s="66" t="n"/>
      <c r="AK108" s="66" t="n"/>
      <c r="AL108" s="66" t="n"/>
      <c r="AM108" s="66" t="n"/>
      <c r="AN108" s="66" t="n"/>
      <c r="AO108" s="66" t="n"/>
      <c r="AP108" s="66" t="n"/>
      <c r="AQ108" s="66" t="n">
        <v>186930000</v>
      </c>
      <c r="AS108" s="67">
        <f>RANDBETWEEN(1,5)*1000000</f>
        <v/>
      </c>
    </row>
    <row r="109">
      <c r="A109" s="60" t="n">
        <v>32295</v>
      </c>
      <c r="B109" s="66" t="n"/>
      <c r="C109" s="66" t="n"/>
      <c r="D109" s="66" t="n"/>
      <c r="E109" s="66" t="n"/>
      <c r="F109" s="66" t="n"/>
      <c r="G109" s="66" t="n"/>
      <c r="H109" s="66" t="n"/>
      <c r="I109" s="66" t="n"/>
      <c r="J109" s="66" t="n"/>
      <c r="K109" s="66" t="n"/>
      <c r="L109" s="66" t="n"/>
      <c r="M109" s="66" t="n"/>
      <c r="N109" s="66" t="n"/>
      <c r="O109" s="66" t="n"/>
      <c r="P109" s="66" t="n"/>
      <c r="Q109" s="66" t="n"/>
      <c r="R109" s="66" t="n"/>
      <c r="S109" s="66" t="n"/>
      <c r="T109" s="66" t="n"/>
      <c r="U109" s="66" t="n"/>
      <c r="V109" s="66" t="n"/>
      <c r="W109" s="66" t="n"/>
      <c r="X109" s="66" t="n"/>
      <c r="Y109" s="66" t="n"/>
      <c r="Z109" s="66" t="n"/>
      <c r="AA109" s="66" t="n"/>
      <c r="AB109" s="66" t="n"/>
      <c r="AC109" s="66" t="n"/>
      <c r="AD109" s="66" t="n"/>
      <c r="AE109" s="66" t="n"/>
      <c r="AF109" s="66" t="n"/>
      <c r="AG109" s="66" t="n"/>
      <c r="AH109" s="66" t="n"/>
      <c r="AI109" s="66" t="n"/>
      <c r="AJ109" s="66" t="n"/>
      <c r="AK109" s="66" t="n"/>
      <c r="AL109" s="66" t="n"/>
      <c r="AM109" s="66" t="n"/>
      <c r="AN109" s="66" t="n"/>
      <c r="AO109" s="66" t="n"/>
      <c r="AP109" s="66" t="n"/>
      <c r="AQ109" s="66" t="n">
        <v>186930000</v>
      </c>
      <c r="AS109" s="67">
        <f>RANDBETWEEN(1,5)*1000000</f>
        <v/>
      </c>
    </row>
    <row r="110">
      <c r="A110" s="60" t="n">
        <v>32325</v>
      </c>
      <c r="B110" s="66" t="n"/>
      <c r="C110" s="66" t="n"/>
      <c r="D110" s="66" t="n"/>
      <c r="E110" s="66" t="n"/>
      <c r="F110" s="66" t="n"/>
      <c r="G110" s="66" t="n"/>
      <c r="H110" s="66" t="n"/>
      <c r="I110" s="66" t="n"/>
      <c r="J110" s="66" t="n"/>
      <c r="K110" s="66" t="n"/>
      <c r="L110" s="66" t="n"/>
      <c r="M110" s="66" t="n"/>
      <c r="N110" s="66" t="n"/>
      <c r="O110" s="66" t="n"/>
      <c r="P110" s="66" t="n"/>
      <c r="Q110" s="66" t="n"/>
      <c r="R110" s="66" t="n"/>
      <c r="S110" s="66" t="n"/>
      <c r="T110" s="66" t="n"/>
      <c r="U110" s="66" t="n"/>
      <c r="V110" s="66" t="n"/>
      <c r="W110" s="66" t="n"/>
      <c r="X110" s="66" t="n"/>
      <c r="Y110" s="66" t="n"/>
      <c r="Z110" s="66" t="n"/>
      <c r="AA110" s="66" t="n"/>
      <c r="AB110" s="66" t="n"/>
      <c r="AC110" s="66" t="n"/>
      <c r="AD110" s="66" t="n"/>
      <c r="AE110" s="66" t="n"/>
      <c r="AF110" s="66" t="n"/>
      <c r="AG110" s="66" t="n"/>
      <c r="AH110" s="66" t="n"/>
      <c r="AI110" s="66" t="n"/>
      <c r="AJ110" s="66" t="n"/>
      <c r="AK110" s="66" t="n"/>
      <c r="AL110" s="66" t="n"/>
      <c r="AM110" s="66" t="n"/>
      <c r="AN110" s="66" t="n"/>
      <c r="AO110" s="66" t="n"/>
      <c r="AP110" s="66" t="n"/>
      <c r="AQ110" s="66" t="n">
        <v>186930000</v>
      </c>
      <c r="AS110" s="67">
        <f>RANDBETWEEN(1,5)*1000000</f>
        <v/>
      </c>
    </row>
    <row r="111">
      <c r="A111" s="60" t="n">
        <v>32356</v>
      </c>
      <c r="B111" s="66" t="n"/>
      <c r="C111" s="66" t="n"/>
      <c r="D111" s="66" t="n"/>
      <c r="E111" s="66" t="n"/>
      <c r="F111" s="66" t="n"/>
      <c r="G111" s="66" t="n"/>
      <c r="H111" s="66" t="n"/>
      <c r="I111" s="66" t="n"/>
      <c r="J111" s="66" t="n"/>
      <c r="K111" s="66" t="n"/>
      <c r="L111" s="66" t="n"/>
      <c r="M111" s="66" t="n"/>
      <c r="N111" s="66" t="n"/>
      <c r="O111" s="66" t="n"/>
      <c r="P111" s="66" t="n"/>
      <c r="Q111" s="66" t="n"/>
      <c r="R111" s="66" t="n"/>
      <c r="S111" s="66" t="n"/>
      <c r="T111" s="66" t="n"/>
      <c r="U111" s="66" t="n"/>
      <c r="V111" s="66" t="n"/>
      <c r="W111" s="66" t="n"/>
      <c r="X111" s="66" t="n"/>
      <c r="Y111" s="66" t="n"/>
      <c r="Z111" s="66" t="n"/>
      <c r="AA111" s="66" t="n"/>
      <c r="AB111" s="66" t="n"/>
      <c r="AC111" s="66" t="n"/>
      <c r="AD111" s="66" t="n"/>
      <c r="AE111" s="66" t="n"/>
      <c r="AF111" s="66" t="n"/>
      <c r="AG111" s="66" t="n"/>
      <c r="AH111" s="66" t="n"/>
      <c r="AI111" s="66" t="n"/>
      <c r="AJ111" s="66" t="n"/>
      <c r="AK111" s="66" t="n"/>
      <c r="AL111" s="66" t="n"/>
      <c r="AM111" s="66" t="n"/>
      <c r="AN111" s="66" t="n"/>
      <c r="AO111" s="66" t="n"/>
      <c r="AP111" s="66" t="n"/>
      <c r="AQ111" s="66" t="n">
        <v>186930000</v>
      </c>
      <c r="AS111" s="67">
        <f>RANDBETWEEN(1,5)*1000000</f>
        <v/>
      </c>
    </row>
    <row r="112">
      <c r="A112" s="60" t="n">
        <v>32387</v>
      </c>
      <c r="B112" s="66" t="n"/>
      <c r="C112" s="66" t="n"/>
      <c r="D112" s="66" t="n"/>
      <c r="E112" s="66" t="n"/>
      <c r="F112" s="66" t="n"/>
      <c r="G112" s="66" t="n"/>
      <c r="H112" s="66" t="n"/>
      <c r="I112" s="66" t="n"/>
      <c r="J112" s="66" t="n"/>
      <c r="K112" s="66" t="n"/>
      <c r="L112" s="66" t="n"/>
      <c r="M112" s="66" t="n"/>
      <c r="N112" s="66" t="n"/>
      <c r="O112" s="66" t="n"/>
      <c r="P112" s="66" t="n"/>
      <c r="Q112" s="66" t="n"/>
      <c r="R112" s="66" t="n"/>
      <c r="S112" s="66" t="n"/>
      <c r="T112" s="66" t="n"/>
      <c r="U112" s="66" t="n"/>
      <c r="V112" s="66" t="n"/>
      <c r="W112" s="66" t="n"/>
      <c r="X112" s="66" t="n"/>
      <c r="Y112" s="66" t="n"/>
      <c r="Z112" s="66" t="n"/>
      <c r="AA112" s="66" t="n"/>
      <c r="AB112" s="66" t="n"/>
      <c r="AC112" s="66" t="n"/>
      <c r="AD112" s="66" t="n"/>
      <c r="AE112" s="66" t="n"/>
      <c r="AF112" s="66" t="n"/>
      <c r="AG112" s="66" t="n"/>
      <c r="AH112" s="66" t="n"/>
      <c r="AI112" s="66" t="n"/>
      <c r="AJ112" s="66" t="n"/>
      <c r="AK112" s="66" t="n"/>
      <c r="AL112" s="66" t="n"/>
      <c r="AM112" s="66" t="n"/>
      <c r="AN112" s="66" t="n"/>
      <c r="AO112" s="66" t="n"/>
      <c r="AP112" s="66" t="n"/>
      <c r="AQ112" s="66" t="n">
        <v>186930000</v>
      </c>
      <c r="AS112" s="67">
        <f>RANDBETWEEN(1,5)*1000000</f>
        <v/>
      </c>
    </row>
    <row r="113">
      <c r="A113" s="60" t="n">
        <v>32417</v>
      </c>
      <c r="B113" s="66" t="n"/>
      <c r="C113" s="66" t="n"/>
      <c r="D113" s="66" t="n"/>
      <c r="E113" s="66" t="n"/>
      <c r="F113" s="66" t="n"/>
      <c r="G113" s="66" t="n"/>
      <c r="H113" s="66" t="n"/>
      <c r="I113" s="66" t="n"/>
      <c r="J113" s="66" t="n"/>
      <c r="K113" s="66" t="n"/>
      <c r="L113" s="66" t="n"/>
      <c r="M113" s="66" t="n"/>
      <c r="N113" s="66" t="n"/>
      <c r="O113" s="66" t="n"/>
      <c r="P113" s="66" t="n"/>
      <c r="Q113" s="66" t="n"/>
      <c r="R113" s="66" t="n"/>
      <c r="S113" s="66" t="n"/>
      <c r="T113" s="66" t="n"/>
      <c r="U113" s="66" t="n"/>
      <c r="V113" s="66" t="n"/>
      <c r="W113" s="66" t="n"/>
      <c r="X113" s="66" t="n"/>
      <c r="Y113" s="66" t="n"/>
      <c r="Z113" s="66" t="n"/>
      <c r="AA113" s="66" t="n"/>
      <c r="AB113" s="66" t="n"/>
      <c r="AC113" s="66" t="n"/>
      <c r="AD113" s="66" t="n"/>
      <c r="AE113" s="66" t="n"/>
      <c r="AF113" s="66" t="n"/>
      <c r="AG113" s="66" t="n"/>
      <c r="AH113" s="66" t="n"/>
      <c r="AI113" s="66" t="n"/>
      <c r="AJ113" s="66" t="n"/>
      <c r="AK113" s="66" t="n"/>
      <c r="AL113" s="66" t="n"/>
      <c r="AM113" s="66" t="n"/>
      <c r="AN113" s="66" t="n"/>
      <c r="AO113" s="66" t="n"/>
      <c r="AP113" s="66" t="n"/>
      <c r="AQ113" s="66" t="n">
        <v>186930000</v>
      </c>
      <c r="AS113" s="67">
        <f>RANDBETWEEN(1,5)*1000000</f>
        <v/>
      </c>
    </row>
    <row r="114">
      <c r="A114" s="60" t="n">
        <v>32448</v>
      </c>
      <c r="B114" s="66" t="n"/>
      <c r="C114" s="66" t="n"/>
      <c r="D114" s="66" t="n"/>
      <c r="E114" s="66" t="n"/>
      <c r="F114" s="66" t="n"/>
      <c r="G114" s="66" t="n"/>
      <c r="H114" s="66" t="n"/>
      <c r="I114" s="66" t="n"/>
      <c r="J114" s="66" t="n"/>
      <c r="K114" s="66" t="n"/>
      <c r="L114" s="66" t="n"/>
      <c r="M114" s="66" t="n"/>
      <c r="N114" s="66" t="n"/>
      <c r="O114" s="66" t="n"/>
      <c r="P114" s="66" t="n"/>
      <c r="Q114" s="66" t="n"/>
      <c r="R114" s="66" t="n"/>
      <c r="S114" s="66" t="n"/>
      <c r="T114" s="66" t="n"/>
      <c r="U114" s="66" t="n"/>
      <c r="V114" s="66" t="n"/>
      <c r="W114" s="66" t="n"/>
      <c r="X114" s="66" t="n"/>
      <c r="Y114" s="66" t="n"/>
      <c r="Z114" s="66" t="n"/>
      <c r="AA114" s="66" t="n"/>
      <c r="AB114" s="66" t="n"/>
      <c r="AC114" s="66" t="n"/>
      <c r="AD114" s="66" t="n"/>
      <c r="AE114" s="66" t="n"/>
      <c r="AF114" s="66" t="n"/>
      <c r="AG114" s="66" t="n"/>
      <c r="AH114" s="66" t="n"/>
      <c r="AI114" s="66" t="n"/>
      <c r="AJ114" s="66" t="n"/>
      <c r="AK114" s="66" t="n"/>
      <c r="AL114" s="66" t="n"/>
      <c r="AM114" s="66" t="n"/>
      <c r="AN114" s="66" t="n"/>
      <c r="AO114" s="66" t="n"/>
      <c r="AP114" s="66" t="n"/>
      <c r="AQ114" s="66" t="n">
        <v>186930000</v>
      </c>
      <c r="AS114" s="67">
        <f>RANDBETWEEN(1,5)*1000000</f>
        <v/>
      </c>
    </row>
    <row r="115">
      <c r="A115" s="60" t="n">
        <v>32478</v>
      </c>
      <c r="B115" s="66" t="n"/>
      <c r="C115" s="66" t="n"/>
      <c r="D115" s="66" t="n"/>
      <c r="E115" s="66" t="n"/>
      <c r="F115" s="66" t="n"/>
      <c r="G115" s="66" t="n"/>
      <c r="H115" s="66" t="n"/>
      <c r="I115" s="66" t="n"/>
      <c r="J115" s="66" t="n"/>
      <c r="K115" s="66" t="n"/>
      <c r="L115" s="66" t="n"/>
      <c r="M115" s="66" t="n"/>
      <c r="N115" s="66" t="n"/>
      <c r="O115" s="66" t="n"/>
      <c r="P115" s="66" t="n"/>
      <c r="Q115" s="66" t="n"/>
      <c r="R115" s="66" t="n"/>
      <c r="S115" s="66" t="n"/>
      <c r="T115" s="66" t="n"/>
      <c r="U115" s="66" t="n"/>
      <c r="V115" s="66" t="n"/>
      <c r="W115" s="66" t="n"/>
      <c r="X115" s="66" t="n"/>
      <c r="Y115" s="66" t="n"/>
      <c r="Z115" s="66" t="n"/>
      <c r="AA115" s="66" t="n"/>
      <c r="AB115" s="66" t="n"/>
      <c r="AC115" s="66" t="n"/>
      <c r="AD115" s="66" t="n"/>
      <c r="AE115" s="66" t="n"/>
      <c r="AF115" s="66" t="n"/>
      <c r="AG115" s="66" t="n"/>
      <c r="AH115" s="66" t="n"/>
      <c r="AI115" s="66" t="n"/>
      <c r="AJ115" s="66" t="n"/>
      <c r="AK115" s="66" t="n"/>
      <c r="AL115" s="66" t="n"/>
      <c r="AM115" s="66" t="n"/>
      <c r="AN115" s="66" t="n"/>
      <c r="AO115" s="66" t="n"/>
      <c r="AP115" s="66" t="n"/>
      <c r="AQ115" s="66" t="n">
        <v>186930000</v>
      </c>
      <c r="AS115" s="67">
        <f>RANDBETWEEN(1,5)*1000000</f>
        <v/>
      </c>
    </row>
    <row r="116">
      <c r="A116" s="60" t="n">
        <v>32509</v>
      </c>
      <c r="B116" s="66" t="n"/>
      <c r="C116" s="66" t="n"/>
      <c r="D116" s="66" t="n"/>
      <c r="E116" s="66" t="n"/>
      <c r="F116" s="66" t="n"/>
      <c r="G116" s="66" t="n"/>
      <c r="H116" s="66" t="n"/>
      <c r="I116" s="66" t="n"/>
      <c r="J116" s="66" t="n"/>
      <c r="K116" s="66" t="n"/>
      <c r="L116" s="66" t="n"/>
      <c r="M116" s="66" t="n"/>
      <c r="N116" s="66" t="n"/>
      <c r="O116" s="66" t="n"/>
      <c r="P116" s="66" t="n"/>
      <c r="Q116" s="66" t="n"/>
      <c r="R116" s="66" t="n"/>
      <c r="S116" s="66" t="n"/>
      <c r="T116" s="66" t="n"/>
      <c r="U116" s="66" t="n"/>
      <c r="V116" s="66" t="n"/>
      <c r="W116" s="66" t="n"/>
      <c r="X116" s="66" t="n"/>
      <c r="Y116" s="66" t="n"/>
      <c r="Z116" s="66" t="n"/>
      <c r="AA116" s="66" t="n"/>
      <c r="AB116" s="66" t="n"/>
      <c r="AC116" s="66" t="n"/>
      <c r="AD116" s="66" t="n"/>
      <c r="AE116" s="66" t="n"/>
      <c r="AF116" s="66" t="n"/>
      <c r="AG116" s="66" t="n"/>
      <c r="AH116" s="66" t="n"/>
      <c r="AI116" s="66" t="n"/>
      <c r="AJ116" s="66" t="n"/>
      <c r="AK116" s="66" t="n"/>
      <c r="AL116" s="66" t="n"/>
      <c r="AM116" s="66" t="n"/>
      <c r="AN116" s="66" t="n"/>
      <c r="AO116" s="66" t="n"/>
      <c r="AP116" s="66" t="n"/>
      <c r="AQ116" s="66" t="n">
        <v>186930000</v>
      </c>
      <c r="AS116" s="67">
        <f>RANDBETWEEN(1,5)*1000000</f>
        <v/>
      </c>
    </row>
    <row r="117">
      <c r="A117" s="60" t="n">
        <v>32540</v>
      </c>
      <c r="B117" s="66" t="n"/>
      <c r="C117" s="66" t="n"/>
      <c r="D117" s="66" t="n"/>
      <c r="E117" s="66" t="n"/>
      <c r="F117" s="66" t="n"/>
      <c r="G117" s="66" t="n"/>
      <c r="H117" s="66" t="n"/>
      <c r="I117" s="66" t="n"/>
      <c r="J117" s="66" t="n"/>
      <c r="K117" s="66" t="n"/>
      <c r="L117" s="66" t="n"/>
      <c r="M117" s="66" t="n"/>
      <c r="N117" s="66" t="n"/>
      <c r="O117" s="66" t="n"/>
      <c r="P117" s="66" t="n"/>
      <c r="Q117" s="66" t="n"/>
      <c r="R117" s="66" t="n"/>
      <c r="S117" s="66" t="n"/>
      <c r="T117" s="66" t="n"/>
      <c r="U117" s="66" t="n"/>
      <c r="V117" s="66" t="n"/>
      <c r="W117" s="66" t="n"/>
      <c r="X117" s="66" t="n"/>
      <c r="Y117" s="66" t="n"/>
      <c r="Z117" s="66" t="n"/>
      <c r="AA117" s="66" t="n"/>
      <c r="AB117" s="66" t="n"/>
      <c r="AC117" s="66" t="n"/>
      <c r="AD117" s="66" t="n"/>
      <c r="AE117" s="66" t="n"/>
      <c r="AF117" s="66" t="n"/>
      <c r="AG117" s="66" t="n"/>
      <c r="AH117" s="66" t="n"/>
      <c r="AI117" s="66" t="n"/>
      <c r="AJ117" s="66" t="n"/>
      <c r="AK117" s="66" t="n"/>
      <c r="AL117" s="66" t="n"/>
      <c r="AM117" s="66" t="n"/>
      <c r="AN117" s="66" t="n"/>
      <c r="AO117" s="66" t="n"/>
      <c r="AP117" s="66" t="n"/>
      <c r="AQ117" s="66" t="n">
        <v>186930000</v>
      </c>
      <c r="AS117" s="67">
        <f>RANDBETWEEN(1,5)*1000000</f>
        <v/>
      </c>
    </row>
    <row r="118">
      <c r="A118" s="60" t="n">
        <v>32568</v>
      </c>
      <c r="B118" s="66" t="n"/>
      <c r="C118" s="66" t="n"/>
      <c r="D118" s="66" t="n"/>
      <c r="E118" s="66" t="n"/>
      <c r="F118" s="66" t="n"/>
      <c r="G118" s="66" t="n"/>
      <c r="H118" s="66" t="n"/>
      <c r="I118" s="66" t="n"/>
      <c r="J118" s="66" t="n"/>
      <c r="K118" s="66" t="n"/>
      <c r="L118" s="66" t="n"/>
      <c r="M118" s="66" t="n"/>
      <c r="N118" s="66" t="n"/>
      <c r="O118" s="66" t="n"/>
      <c r="P118" s="66" t="n"/>
      <c r="Q118" s="66" t="n"/>
      <c r="R118" s="66" t="n"/>
      <c r="S118" s="66" t="n"/>
      <c r="T118" s="66" t="n"/>
      <c r="U118" s="66" t="n"/>
      <c r="V118" s="66" t="n"/>
      <c r="W118" s="66" t="n"/>
      <c r="X118" s="66" t="n"/>
      <c r="Y118" s="66" t="n"/>
      <c r="Z118" s="66" t="n"/>
      <c r="AA118" s="66" t="n"/>
      <c r="AB118" s="66" t="n"/>
      <c r="AC118" s="66" t="n"/>
      <c r="AD118" s="66" t="n"/>
      <c r="AE118" s="66" t="n"/>
      <c r="AF118" s="66" t="n"/>
      <c r="AG118" s="66" t="n"/>
      <c r="AH118" s="66" t="n"/>
      <c r="AI118" s="66" t="n"/>
      <c r="AJ118" s="66" t="n"/>
      <c r="AK118" s="66" t="n"/>
      <c r="AL118" s="66" t="n"/>
      <c r="AM118" s="66" t="n"/>
      <c r="AN118" s="66" t="n"/>
      <c r="AO118" s="66" t="n"/>
      <c r="AP118" s="66" t="n"/>
      <c r="AQ118" s="66" t="n">
        <v>186930000</v>
      </c>
      <c r="AS118" s="67">
        <f>RANDBETWEEN(1,5)*1000000</f>
        <v/>
      </c>
    </row>
    <row r="119">
      <c r="A119" s="60" t="n">
        <v>32599</v>
      </c>
      <c r="B119" s="66" t="n"/>
      <c r="C119" s="66" t="n"/>
      <c r="D119" s="66" t="n"/>
      <c r="E119" s="66" t="n"/>
      <c r="F119" s="66" t="n"/>
      <c r="G119" s="66" t="n"/>
      <c r="H119" s="66" t="n"/>
      <c r="I119" s="66" t="n"/>
      <c r="J119" s="66" t="n"/>
      <c r="K119" s="66" t="n"/>
      <c r="L119" s="66" t="n"/>
      <c r="M119" s="66" t="n"/>
      <c r="N119" s="66" t="n"/>
      <c r="O119" s="66" t="n"/>
      <c r="P119" s="66" t="n"/>
      <c r="Q119" s="66" t="n"/>
      <c r="R119" s="66" t="n"/>
      <c r="S119" s="66" t="n"/>
      <c r="T119" s="66" t="n"/>
      <c r="U119" s="66" t="n"/>
      <c r="V119" s="66" t="n"/>
      <c r="W119" s="66" t="n"/>
      <c r="X119" s="66" t="n"/>
      <c r="Y119" s="66" t="n"/>
      <c r="Z119" s="66" t="n"/>
      <c r="AA119" s="66" t="n"/>
      <c r="AB119" s="66" t="n"/>
      <c r="AC119" s="66" t="n"/>
      <c r="AD119" s="66" t="n"/>
      <c r="AE119" s="66" t="n"/>
      <c r="AF119" s="66" t="n"/>
      <c r="AG119" s="66" t="n"/>
      <c r="AH119" s="66" t="n"/>
      <c r="AI119" s="66" t="n"/>
      <c r="AJ119" s="66" t="n"/>
      <c r="AK119" s="66" t="n"/>
      <c r="AL119" s="66" t="n"/>
      <c r="AM119" s="66" t="n"/>
      <c r="AN119" s="66" t="n"/>
      <c r="AO119" s="66" t="n"/>
      <c r="AP119" s="66" t="n"/>
      <c r="AQ119" s="66" t="n">
        <v>186930000</v>
      </c>
      <c r="AS119" s="67">
        <f>RANDBETWEEN(1,5)*1000000</f>
        <v/>
      </c>
    </row>
    <row r="120">
      <c r="A120" s="60" t="n">
        <v>32629</v>
      </c>
      <c r="B120" s="66" t="n"/>
      <c r="C120" s="66" t="n"/>
      <c r="D120" s="66" t="n"/>
      <c r="E120" s="66" t="n"/>
      <c r="F120" s="66" t="n"/>
      <c r="G120" s="66" t="n"/>
      <c r="H120" s="66" t="n"/>
      <c r="I120" s="66" t="n"/>
      <c r="J120" s="66" t="n"/>
      <c r="K120" s="66" t="n"/>
      <c r="L120" s="66" t="n"/>
      <c r="M120" s="66" t="n"/>
      <c r="N120" s="66" t="n"/>
      <c r="O120" s="66" t="n"/>
      <c r="P120" s="66" t="n"/>
      <c r="Q120" s="66" t="n"/>
      <c r="R120" s="66" t="n"/>
      <c r="S120" s="66" t="n"/>
      <c r="T120" s="66" t="n"/>
      <c r="U120" s="66" t="n"/>
      <c r="V120" s="66" t="n"/>
      <c r="W120" s="66" t="n"/>
      <c r="X120" s="66" t="n"/>
      <c r="Y120" s="66" t="n"/>
      <c r="Z120" s="66" t="n"/>
      <c r="AA120" s="66" t="n"/>
      <c r="AB120" s="66" t="n"/>
      <c r="AC120" s="66" t="n"/>
      <c r="AD120" s="66" t="n"/>
      <c r="AE120" s="66" t="n"/>
      <c r="AF120" s="66" t="n"/>
      <c r="AG120" s="66" t="n"/>
      <c r="AH120" s="66" t="n"/>
      <c r="AI120" s="66" t="n"/>
      <c r="AJ120" s="66" t="n"/>
      <c r="AK120" s="66" t="n"/>
      <c r="AL120" s="66" t="n"/>
      <c r="AM120" s="66" t="n"/>
      <c r="AN120" s="66" t="n"/>
      <c r="AO120" s="66" t="n"/>
      <c r="AP120" s="66" t="n"/>
      <c r="AQ120" s="66" t="n">
        <v>186930000</v>
      </c>
      <c r="AS120" s="67">
        <f>RANDBETWEEN(1,5)*1000000</f>
        <v/>
      </c>
    </row>
    <row r="121">
      <c r="A121" s="60" t="n">
        <v>32660</v>
      </c>
      <c r="B121" s="66" t="n"/>
      <c r="C121" s="66" t="n"/>
      <c r="D121" s="66" t="n"/>
      <c r="E121" s="66" t="n"/>
      <c r="F121" s="66" t="n"/>
      <c r="G121" s="66" t="n"/>
      <c r="H121" s="66" t="n"/>
      <c r="I121" s="66" t="n"/>
      <c r="J121" s="66" t="n"/>
      <c r="K121" s="66" t="n"/>
      <c r="L121" s="66" t="n"/>
      <c r="M121" s="66" t="n"/>
      <c r="N121" s="66" t="n"/>
      <c r="O121" s="66" t="n"/>
      <c r="P121" s="66" t="n"/>
      <c r="Q121" s="66" t="n"/>
      <c r="R121" s="66" t="n"/>
      <c r="S121" s="66" t="n"/>
      <c r="T121" s="66" t="n"/>
      <c r="U121" s="66" t="n"/>
      <c r="V121" s="66" t="n"/>
      <c r="W121" s="66" t="n"/>
      <c r="X121" s="66" t="n"/>
      <c r="Y121" s="66" t="n"/>
      <c r="Z121" s="66" t="n"/>
      <c r="AA121" s="66" t="n"/>
      <c r="AB121" s="66" t="n"/>
      <c r="AC121" s="66" t="n"/>
      <c r="AD121" s="66" t="n"/>
      <c r="AE121" s="66" t="n"/>
      <c r="AF121" s="66" t="n"/>
      <c r="AG121" s="66" t="n"/>
      <c r="AH121" s="66" t="n"/>
      <c r="AI121" s="66" t="n"/>
      <c r="AJ121" s="66" t="n"/>
      <c r="AK121" s="66" t="n"/>
      <c r="AL121" s="66" t="n"/>
      <c r="AM121" s="66" t="n"/>
      <c r="AN121" s="66" t="n"/>
      <c r="AO121" s="66" t="n"/>
      <c r="AP121" s="66" t="n"/>
      <c r="AQ121" s="66" t="n">
        <v>186930000</v>
      </c>
      <c r="AS121" s="67">
        <f>RANDBETWEEN(1,5)*1000000</f>
        <v/>
      </c>
    </row>
    <row r="122">
      <c r="A122" s="60" t="n">
        <v>32690</v>
      </c>
      <c r="B122" s="66" t="n"/>
      <c r="C122" s="66" t="n"/>
      <c r="D122" s="66" t="n"/>
      <c r="E122" s="66" t="n"/>
      <c r="F122" s="66" t="n"/>
      <c r="G122" s="66" t="n"/>
      <c r="H122" s="66" t="n"/>
      <c r="I122" s="66" t="n"/>
      <c r="J122" s="66" t="n"/>
      <c r="K122" s="66" t="n"/>
      <c r="L122" s="66" t="n"/>
      <c r="M122" s="66" t="n"/>
      <c r="N122" s="66" t="n"/>
      <c r="O122" s="66" t="n"/>
      <c r="P122" s="66" t="n"/>
      <c r="Q122" s="66" t="n"/>
      <c r="R122" s="66" t="n"/>
      <c r="S122" s="66" t="n"/>
      <c r="T122" s="66" t="n"/>
      <c r="U122" s="66" t="n"/>
      <c r="V122" s="66" t="n"/>
      <c r="W122" s="66" t="n"/>
      <c r="X122" s="66" t="n"/>
      <c r="Y122" s="66" t="n"/>
      <c r="Z122" s="66" t="n"/>
      <c r="AA122" s="66" t="n"/>
      <c r="AB122" s="66" t="n"/>
      <c r="AC122" s="66" t="n"/>
      <c r="AD122" s="66" t="n"/>
      <c r="AE122" s="66" t="n"/>
      <c r="AF122" s="66" t="n"/>
      <c r="AG122" s="66" t="n"/>
      <c r="AH122" s="66" t="n"/>
      <c r="AI122" s="66" t="n"/>
      <c r="AJ122" s="66" t="n"/>
      <c r="AK122" s="66" t="n"/>
      <c r="AL122" s="66" t="n"/>
      <c r="AM122" s="66" t="n"/>
      <c r="AN122" s="66" t="n"/>
      <c r="AO122" s="66" t="n"/>
      <c r="AP122" s="66" t="n"/>
      <c r="AQ122" s="66" t="n">
        <v>186930000</v>
      </c>
      <c r="AS122" s="67">
        <f>RANDBETWEEN(1,5)*1000000</f>
        <v/>
      </c>
    </row>
    <row r="123">
      <c r="A123" s="60" t="n">
        <v>32721</v>
      </c>
      <c r="B123" s="66" t="n"/>
      <c r="C123" s="66" t="n"/>
      <c r="D123" s="66" t="n"/>
      <c r="E123" s="66" t="n"/>
      <c r="F123" s="66" t="n"/>
      <c r="G123" s="66" t="n"/>
      <c r="H123" s="66" t="n"/>
      <c r="I123" s="66" t="n"/>
      <c r="J123" s="66" t="n"/>
      <c r="K123" s="66" t="n"/>
      <c r="L123" s="66" t="n"/>
      <c r="M123" s="66" t="n"/>
      <c r="N123" s="66" t="n"/>
      <c r="O123" s="66" t="n"/>
      <c r="P123" s="66" t="n"/>
      <c r="Q123" s="66" t="n"/>
      <c r="R123" s="66" t="n"/>
      <c r="S123" s="66" t="n"/>
      <c r="T123" s="66" t="n"/>
      <c r="U123" s="66" t="n"/>
      <c r="V123" s="66" t="n"/>
      <c r="W123" s="66" t="n"/>
      <c r="X123" s="66" t="n"/>
      <c r="Y123" s="66" t="n"/>
      <c r="Z123" s="66" t="n"/>
      <c r="AA123" s="66" t="n"/>
      <c r="AB123" s="66" t="n"/>
      <c r="AC123" s="66" t="n"/>
      <c r="AD123" s="66" t="n"/>
      <c r="AE123" s="66" t="n"/>
      <c r="AF123" s="66" t="n"/>
      <c r="AG123" s="66" t="n"/>
      <c r="AH123" s="66" t="n"/>
      <c r="AI123" s="66" t="n"/>
      <c r="AJ123" s="66" t="n"/>
      <c r="AK123" s="66" t="n"/>
      <c r="AL123" s="66" t="n"/>
      <c r="AM123" s="66" t="n"/>
      <c r="AN123" s="66" t="n"/>
      <c r="AO123" s="66" t="n"/>
      <c r="AP123" s="66" t="n"/>
      <c r="AQ123" s="66" t="n">
        <v>186930000</v>
      </c>
      <c r="AS123" s="67">
        <f>RANDBETWEEN(1,5)*1000000</f>
        <v/>
      </c>
    </row>
    <row r="124">
      <c r="A124" s="60" t="n">
        <v>32752</v>
      </c>
      <c r="B124" s="66" t="n"/>
      <c r="C124" s="66" t="n"/>
      <c r="D124" s="66" t="n"/>
      <c r="E124" s="66" t="n"/>
      <c r="F124" s="66" t="n"/>
      <c r="G124" s="66" t="n"/>
      <c r="H124" s="66" t="n"/>
      <c r="I124" s="66" t="n"/>
      <c r="J124" s="66" t="n"/>
      <c r="K124" s="66" t="n"/>
      <c r="L124" s="66" t="n"/>
      <c r="M124" s="66" t="n"/>
      <c r="N124" s="66" t="n"/>
      <c r="O124" s="66" t="n"/>
      <c r="P124" s="66" t="n"/>
      <c r="Q124" s="66" t="n"/>
      <c r="R124" s="66" t="n"/>
      <c r="S124" s="66" t="n"/>
      <c r="T124" s="66" t="n"/>
      <c r="U124" s="66" t="n"/>
      <c r="V124" s="66" t="n"/>
      <c r="W124" s="66" t="n"/>
      <c r="X124" s="66" t="n"/>
      <c r="Y124" s="66" t="n"/>
      <c r="Z124" s="66" t="n"/>
      <c r="AA124" s="66" t="n"/>
      <c r="AB124" s="66" t="n"/>
      <c r="AC124" s="66" t="n"/>
      <c r="AD124" s="66" t="n"/>
      <c r="AE124" s="66" t="n"/>
      <c r="AF124" s="66" t="n"/>
      <c r="AG124" s="66" t="n"/>
      <c r="AH124" s="66" t="n"/>
      <c r="AI124" s="66" t="n"/>
      <c r="AJ124" s="66" t="n"/>
      <c r="AK124" s="66" t="n"/>
      <c r="AL124" s="66" t="n"/>
      <c r="AM124" s="66" t="n"/>
      <c r="AN124" s="66" t="n"/>
      <c r="AO124" s="66" t="n"/>
      <c r="AP124" s="66" t="n"/>
      <c r="AQ124" s="66" t="n">
        <v>186930000</v>
      </c>
      <c r="AS124" s="67">
        <f>RANDBETWEEN(1,5)*1000000</f>
        <v/>
      </c>
    </row>
    <row r="125">
      <c r="A125" s="60" t="n">
        <v>32782</v>
      </c>
      <c r="B125" s="66" t="n"/>
      <c r="C125" s="66" t="n"/>
      <c r="D125" s="66" t="n"/>
      <c r="E125" s="66" t="n"/>
      <c r="F125" s="66" t="n"/>
      <c r="G125" s="66" t="n"/>
      <c r="H125" s="66" t="n"/>
      <c r="I125" s="66" t="n"/>
      <c r="J125" s="66" t="n"/>
      <c r="K125" s="66" t="n"/>
      <c r="L125" s="66" t="n"/>
      <c r="M125" s="66" t="n"/>
      <c r="N125" s="66" t="n"/>
      <c r="O125" s="66" t="n"/>
      <c r="P125" s="66" t="n"/>
      <c r="Q125" s="66" t="n"/>
      <c r="R125" s="66" t="n"/>
      <c r="S125" s="66" t="n"/>
      <c r="T125" s="66" t="n"/>
      <c r="U125" s="66" t="n"/>
      <c r="V125" s="66" t="n"/>
      <c r="W125" s="66" t="n"/>
      <c r="X125" s="66" t="n"/>
      <c r="Y125" s="66" t="n"/>
      <c r="Z125" s="66" t="n"/>
      <c r="AA125" s="66" t="n"/>
      <c r="AB125" s="66" t="n"/>
      <c r="AC125" s="66" t="n"/>
      <c r="AD125" s="66" t="n"/>
      <c r="AE125" s="66" t="n"/>
      <c r="AF125" s="66" t="n"/>
      <c r="AG125" s="66" t="n"/>
      <c r="AH125" s="66" t="n"/>
      <c r="AI125" s="66" t="n"/>
      <c r="AJ125" s="66" t="n"/>
      <c r="AK125" s="66" t="n"/>
      <c r="AL125" s="66" t="n"/>
      <c r="AM125" s="66" t="n"/>
      <c r="AN125" s="66" t="n"/>
      <c r="AO125" s="66" t="n"/>
      <c r="AP125" s="66" t="n"/>
      <c r="AQ125" s="66" t="n">
        <v>186930000</v>
      </c>
      <c r="AS125" s="67">
        <f>RANDBETWEEN(1,5)*1000000</f>
        <v/>
      </c>
    </row>
    <row r="126">
      <c r="A126" s="60" t="n">
        <v>32813</v>
      </c>
      <c r="B126" s="66" t="n"/>
      <c r="C126" s="66" t="n"/>
      <c r="D126" s="66" t="n"/>
      <c r="E126" s="66" t="n"/>
      <c r="F126" s="66" t="n"/>
      <c r="G126" s="66" t="n"/>
      <c r="H126" s="66" t="n"/>
      <c r="I126" s="66" t="n"/>
      <c r="J126" s="66" t="n"/>
      <c r="K126" s="66" t="n"/>
      <c r="L126" s="66" t="n"/>
      <c r="M126" s="66" t="n"/>
      <c r="N126" s="66" t="n"/>
      <c r="O126" s="66" t="n"/>
      <c r="P126" s="66" t="n"/>
      <c r="Q126" s="66" t="n"/>
      <c r="R126" s="66" t="n"/>
      <c r="S126" s="66" t="n"/>
      <c r="T126" s="66" t="n"/>
      <c r="U126" s="66" t="n"/>
      <c r="V126" s="66" t="n"/>
      <c r="W126" s="66" t="n"/>
      <c r="X126" s="66" t="n"/>
      <c r="Y126" s="66" t="n"/>
      <c r="Z126" s="66" t="n"/>
      <c r="AA126" s="66" t="n"/>
      <c r="AB126" s="66" t="n"/>
      <c r="AC126" s="66" t="n"/>
      <c r="AD126" s="66" t="n"/>
      <c r="AE126" s="66" t="n"/>
      <c r="AF126" s="66" t="n"/>
      <c r="AG126" s="66" t="n"/>
      <c r="AH126" s="66" t="n"/>
      <c r="AI126" s="66" t="n"/>
      <c r="AJ126" s="66" t="n"/>
      <c r="AK126" s="66" t="n"/>
      <c r="AL126" s="66" t="n"/>
      <c r="AM126" s="66" t="n"/>
      <c r="AN126" s="66" t="n"/>
      <c r="AO126" s="66" t="n"/>
      <c r="AP126" s="66" t="n"/>
      <c r="AQ126" s="66" t="n">
        <v>186930000</v>
      </c>
      <c r="AS126" s="67">
        <f>RANDBETWEEN(1,5)*1000000</f>
        <v/>
      </c>
    </row>
    <row r="127">
      <c r="A127" s="60" t="n">
        <v>32843</v>
      </c>
      <c r="B127" s="66" t="n"/>
      <c r="C127" s="66" t="n"/>
      <c r="D127" s="66" t="n"/>
      <c r="E127" s="66" t="n"/>
      <c r="F127" s="66" t="n"/>
      <c r="G127" s="66" t="n"/>
      <c r="H127" s="66" t="n"/>
      <c r="I127" s="66" t="n"/>
      <c r="J127" s="66" t="n"/>
      <c r="K127" s="66" t="n"/>
      <c r="L127" s="66" t="n"/>
      <c r="M127" s="66" t="n"/>
      <c r="N127" s="66" t="n"/>
      <c r="O127" s="66" t="n"/>
      <c r="P127" s="66" t="n"/>
      <c r="Q127" s="66" t="n"/>
      <c r="R127" s="66" t="n"/>
      <c r="S127" s="66" t="n"/>
      <c r="T127" s="66" t="n"/>
      <c r="U127" s="66" t="n"/>
      <c r="V127" s="66" t="n"/>
      <c r="W127" s="66" t="n"/>
      <c r="X127" s="66" t="n"/>
      <c r="Y127" s="66" t="n"/>
      <c r="Z127" s="66" t="n"/>
      <c r="AA127" s="66" t="n"/>
      <c r="AB127" s="66" t="n"/>
      <c r="AC127" s="66" t="n"/>
      <c r="AD127" s="66" t="n"/>
      <c r="AE127" s="66" t="n"/>
      <c r="AF127" s="66" t="n"/>
      <c r="AG127" s="66" t="n"/>
      <c r="AH127" s="66" t="n"/>
      <c r="AI127" s="66" t="n"/>
      <c r="AJ127" s="66" t="n"/>
      <c r="AK127" s="66" t="n"/>
      <c r="AL127" s="66" t="n"/>
      <c r="AM127" s="66" t="n"/>
      <c r="AN127" s="66" t="n"/>
      <c r="AO127" s="66" t="n"/>
      <c r="AP127" s="66" t="n"/>
      <c r="AQ127" s="66" t="n">
        <v>186930000</v>
      </c>
      <c r="AS127" s="67">
        <f>RANDBETWEEN(1,5)*1000000</f>
        <v/>
      </c>
    </row>
    <row r="128">
      <c r="A128" s="60" t="n">
        <v>32874</v>
      </c>
      <c r="B128" s="66" t="n"/>
      <c r="C128" s="66" t="n"/>
      <c r="D128" s="66" t="n"/>
      <c r="E128" s="66" t="n"/>
      <c r="F128" s="66" t="n"/>
      <c r="G128" s="66" t="n"/>
      <c r="H128" s="66" t="n"/>
      <c r="I128" s="66" t="n"/>
      <c r="J128" s="66" t="n"/>
      <c r="K128" s="66" t="n"/>
      <c r="L128" s="66" t="n"/>
      <c r="M128" s="66" t="n"/>
      <c r="N128" s="66" t="n"/>
      <c r="O128" s="66" t="n"/>
      <c r="P128" s="66" t="n"/>
      <c r="Q128" s="66" t="n"/>
      <c r="R128" s="66" t="n"/>
      <c r="S128" s="66" t="n"/>
      <c r="T128" s="66" t="n"/>
      <c r="U128" s="66" t="n"/>
      <c r="V128" s="66" t="n"/>
      <c r="W128" s="66" t="n"/>
      <c r="X128" s="66" t="n"/>
      <c r="Y128" s="66" t="n"/>
      <c r="Z128" s="66" t="n"/>
      <c r="AA128" s="66" t="n"/>
      <c r="AB128" s="66" t="n"/>
      <c r="AC128" s="66" t="n"/>
      <c r="AD128" s="66" t="n"/>
      <c r="AE128" s="66" t="n"/>
      <c r="AF128" s="66" t="n"/>
      <c r="AG128" s="66" t="n"/>
      <c r="AH128" s="66" t="n"/>
      <c r="AI128" s="66" t="n"/>
      <c r="AJ128" s="66" t="n"/>
      <c r="AK128" s="66" t="n"/>
      <c r="AL128" s="66" t="n"/>
      <c r="AM128" s="66" t="n"/>
      <c r="AN128" s="66" t="n"/>
      <c r="AO128" s="66" t="n"/>
      <c r="AP128" s="66" t="n"/>
      <c r="AQ128" s="66" t="n">
        <v>186930000</v>
      </c>
      <c r="AS128" s="67">
        <f>RANDBETWEEN(1,5)*1000000</f>
        <v/>
      </c>
    </row>
    <row r="129">
      <c r="A129" s="60" t="n">
        <v>32905</v>
      </c>
      <c r="B129" s="66" t="n"/>
      <c r="C129" s="66" t="n"/>
      <c r="D129" s="66" t="n"/>
      <c r="E129" s="66" t="n"/>
      <c r="F129" s="66" t="n"/>
      <c r="G129" s="66" t="n"/>
      <c r="H129" s="66" t="n"/>
      <c r="I129" s="66" t="n"/>
      <c r="J129" s="66" t="n"/>
      <c r="K129" s="66" t="n"/>
      <c r="L129" s="66" t="n"/>
      <c r="M129" s="66" t="n"/>
      <c r="N129" s="66" t="n"/>
      <c r="O129" s="66" t="n"/>
      <c r="P129" s="66" t="n"/>
      <c r="Q129" s="66" t="n"/>
      <c r="R129" s="66" t="n"/>
      <c r="S129" s="66" t="n"/>
      <c r="T129" s="66" t="n"/>
      <c r="U129" s="66" t="n"/>
      <c r="V129" s="66" t="n"/>
      <c r="W129" s="66" t="n"/>
      <c r="X129" s="66" t="n"/>
      <c r="Y129" s="66" t="n"/>
      <c r="Z129" s="66" t="n"/>
      <c r="AA129" s="66" t="n"/>
      <c r="AB129" s="66" t="n"/>
      <c r="AC129" s="66" t="n"/>
      <c r="AD129" s="66" t="n"/>
      <c r="AE129" s="66" t="n"/>
      <c r="AF129" s="66" t="n"/>
      <c r="AG129" s="66" t="n"/>
      <c r="AH129" s="66" t="n"/>
      <c r="AI129" s="66" t="n"/>
      <c r="AJ129" s="66" t="n"/>
      <c r="AK129" s="66" t="n"/>
      <c r="AL129" s="66" t="n"/>
      <c r="AM129" s="66" t="n"/>
      <c r="AN129" s="66" t="n"/>
      <c r="AO129" s="66" t="n"/>
      <c r="AP129" s="66" t="n"/>
      <c r="AQ129" s="66" t="n">
        <v>186930000</v>
      </c>
      <c r="AS129" s="67">
        <f>RANDBETWEEN(1,5)*1000000</f>
        <v/>
      </c>
    </row>
    <row r="130">
      <c r="A130" s="60" t="n">
        <v>32933</v>
      </c>
      <c r="B130" s="66" t="n"/>
      <c r="C130" s="66" t="n"/>
      <c r="D130" s="66" t="n"/>
      <c r="E130" s="66" t="n"/>
      <c r="F130" s="66" t="n"/>
      <c r="G130" s="66" t="n"/>
      <c r="H130" s="66" t="n"/>
      <c r="I130" s="66" t="n"/>
      <c r="J130" s="66" t="n"/>
      <c r="K130" s="66" t="n"/>
      <c r="L130" s="66" t="n"/>
      <c r="M130" s="66" t="n"/>
      <c r="N130" s="66" t="n"/>
      <c r="O130" s="66" t="n"/>
      <c r="P130" s="66" t="n"/>
      <c r="Q130" s="66" t="n"/>
      <c r="R130" s="66" t="n"/>
      <c r="S130" s="66" t="n"/>
      <c r="T130" s="66" t="n"/>
      <c r="U130" s="66" t="n"/>
      <c r="V130" s="66" t="n"/>
      <c r="W130" s="66" t="n"/>
      <c r="X130" s="66" t="n"/>
      <c r="Y130" s="66" t="n"/>
      <c r="Z130" s="66" t="n"/>
      <c r="AA130" s="66" t="n"/>
      <c r="AB130" s="66" t="n"/>
      <c r="AC130" s="66" t="n"/>
      <c r="AD130" s="66" t="n"/>
      <c r="AE130" s="66" t="n"/>
      <c r="AF130" s="66" t="n"/>
      <c r="AG130" s="66" t="n"/>
      <c r="AH130" s="66" t="n"/>
      <c r="AI130" s="66" t="n"/>
      <c r="AJ130" s="66" t="n"/>
      <c r="AK130" s="66" t="n"/>
      <c r="AL130" s="66" t="n"/>
      <c r="AM130" s="66" t="n"/>
      <c r="AN130" s="66" t="n"/>
      <c r="AO130" s="66" t="n"/>
      <c r="AP130" s="66" t="n"/>
      <c r="AQ130" s="66" t="n">
        <v>186930000</v>
      </c>
      <c r="AS130" s="67">
        <f>RANDBETWEEN(1,5)*1000000</f>
        <v/>
      </c>
    </row>
    <row r="131">
      <c r="A131" s="60" t="n">
        <v>32964</v>
      </c>
      <c r="B131" s="66" t="n"/>
      <c r="C131" s="66" t="n"/>
      <c r="D131" s="66" t="n"/>
      <c r="E131" s="66" t="n"/>
      <c r="F131" s="66" t="n"/>
      <c r="G131" s="66" t="n"/>
      <c r="H131" s="66" t="n"/>
      <c r="I131" s="66" t="n"/>
      <c r="J131" s="66" t="n"/>
      <c r="K131" s="66" t="n"/>
      <c r="L131" s="66" t="n"/>
      <c r="M131" s="66" t="n"/>
      <c r="N131" s="66" t="n"/>
      <c r="O131" s="66" t="n"/>
      <c r="P131" s="66" t="n"/>
      <c r="Q131" s="66" t="n"/>
      <c r="R131" s="66" t="n"/>
      <c r="S131" s="66" t="n"/>
      <c r="T131" s="66" t="n"/>
      <c r="U131" s="66" t="n"/>
      <c r="V131" s="66" t="n"/>
      <c r="W131" s="66" t="n"/>
      <c r="X131" s="66" t="n"/>
      <c r="Y131" s="66" t="n"/>
      <c r="Z131" s="66" t="n"/>
      <c r="AA131" s="66" t="n"/>
      <c r="AB131" s="66" t="n"/>
      <c r="AC131" s="66" t="n"/>
      <c r="AD131" s="66" t="n"/>
      <c r="AE131" s="66" t="n"/>
      <c r="AF131" s="66" t="n"/>
      <c r="AG131" s="66" t="n"/>
      <c r="AH131" s="66" t="n"/>
      <c r="AI131" s="66" t="n"/>
      <c r="AJ131" s="66" t="n"/>
      <c r="AK131" s="66" t="n"/>
      <c r="AL131" s="66" t="n"/>
      <c r="AM131" s="66" t="n"/>
      <c r="AN131" s="66" t="n"/>
      <c r="AO131" s="66" t="n"/>
      <c r="AP131" s="66" t="n"/>
      <c r="AQ131" s="66" t="n">
        <v>186930000</v>
      </c>
      <c r="AS131" s="67">
        <f>RANDBETWEEN(1,5)*1000000</f>
        <v/>
      </c>
    </row>
    <row r="132">
      <c r="A132" s="60" t="n">
        <v>32994</v>
      </c>
      <c r="B132" s="66" t="n"/>
      <c r="C132" s="66" t="n"/>
      <c r="D132" s="66" t="n"/>
      <c r="E132" s="66" t="n"/>
      <c r="F132" s="66" t="n"/>
      <c r="G132" s="66" t="n"/>
      <c r="H132" s="66" t="n"/>
      <c r="I132" s="66" t="n"/>
      <c r="J132" s="66" t="n"/>
      <c r="K132" s="66" t="n"/>
      <c r="L132" s="66" t="n"/>
      <c r="M132" s="66" t="n"/>
      <c r="N132" s="66" t="n"/>
      <c r="O132" s="66" t="n"/>
      <c r="P132" s="66" t="n"/>
      <c r="Q132" s="66" t="n"/>
      <c r="R132" s="66" t="n"/>
      <c r="S132" s="66" t="n"/>
      <c r="T132" s="66" t="n"/>
      <c r="U132" s="66" t="n"/>
      <c r="V132" s="66" t="n"/>
      <c r="W132" s="66" t="n"/>
      <c r="X132" s="66" t="n"/>
      <c r="Y132" s="66" t="n"/>
      <c r="Z132" s="66" t="n"/>
      <c r="AA132" s="66" t="n"/>
      <c r="AB132" s="66" t="n"/>
      <c r="AC132" s="66" t="n"/>
      <c r="AD132" s="66" t="n"/>
      <c r="AE132" s="66" t="n"/>
      <c r="AF132" s="66" t="n"/>
      <c r="AG132" s="66" t="n"/>
      <c r="AH132" s="66" t="n"/>
      <c r="AI132" s="66" t="n"/>
      <c r="AJ132" s="66" t="n"/>
      <c r="AK132" s="66" t="n"/>
      <c r="AL132" s="66" t="n"/>
      <c r="AM132" s="66" t="n"/>
      <c r="AN132" s="66" t="n"/>
      <c r="AO132" s="66" t="n"/>
      <c r="AP132" s="66" t="n"/>
      <c r="AQ132" s="66" t="n">
        <v>186930000</v>
      </c>
      <c r="AS132" s="67">
        <f>RANDBETWEEN(1,5)*1000000</f>
        <v/>
      </c>
    </row>
    <row r="133">
      <c r="A133" s="60" t="n">
        <v>33025</v>
      </c>
      <c r="B133" s="66" t="n"/>
      <c r="C133" s="66" t="n"/>
      <c r="D133" s="66" t="n"/>
      <c r="E133" s="66" t="n"/>
      <c r="F133" s="66" t="n"/>
      <c r="G133" s="66" t="n"/>
      <c r="H133" s="66" t="n"/>
      <c r="I133" s="66" t="n"/>
      <c r="J133" s="66" t="n"/>
      <c r="K133" s="66" t="n"/>
      <c r="L133" s="66" t="n"/>
      <c r="M133" s="66" t="n"/>
      <c r="N133" s="66" t="n"/>
      <c r="O133" s="66" t="n"/>
      <c r="P133" s="66" t="n"/>
      <c r="Q133" s="66" t="n"/>
      <c r="R133" s="66" t="n"/>
      <c r="S133" s="66" t="n"/>
      <c r="T133" s="66" t="n"/>
      <c r="U133" s="66" t="n"/>
      <c r="V133" s="66" t="n"/>
      <c r="W133" s="66" t="n"/>
      <c r="X133" s="66" t="n"/>
      <c r="Y133" s="66" t="n"/>
      <c r="Z133" s="66" t="n"/>
      <c r="AA133" s="66" t="n"/>
      <c r="AB133" s="66" t="n"/>
      <c r="AC133" s="66" t="n"/>
      <c r="AD133" s="66" t="n"/>
      <c r="AE133" s="66" t="n"/>
      <c r="AF133" s="66" t="n"/>
      <c r="AG133" s="66" t="n"/>
      <c r="AH133" s="66" t="n"/>
      <c r="AI133" s="66" t="n"/>
      <c r="AJ133" s="66" t="n"/>
      <c r="AK133" s="66" t="n"/>
      <c r="AL133" s="66" t="n"/>
      <c r="AM133" s="66" t="n"/>
      <c r="AN133" s="66" t="n"/>
      <c r="AO133" s="66" t="n"/>
      <c r="AP133" s="66" t="n"/>
      <c r="AQ133" s="66" t="n">
        <v>186930000</v>
      </c>
      <c r="AS133" s="67">
        <f>RANDBETWEEN(1,5)*1000000</f>
        <v/>
      </c>
    </row>
    <row r="134">
      <c r="A134" s="60" t="n">
        <v>33055</v>
      </c>
      <c r="B134" s="66" t="n"/>
      <c r="C134" s="66" t="n"/>
      <c r="D134" s="66" t="n"/>
      <c r="E134" s="66" t="n"/>
      <c r="F134" s="66" t="n"/>
      <c r="G134" s="66" t="n"/>
      <c r="H134" s="66" t="n"/>
      <c r="I134" s="66" t="n"/>
      <c r="J134" s="66" t="n"/>
      <c r="K134" s="66" t="n"/>
      <c r="L134" s="66" t="n"/>
      <c r="M134" s="66" t="n"/>
      <c r="N134" s="66" t="n"/>
      <c r="O134" s="66" t="n"/>
      <c r="P134" s="66" t="n"/>
      <c r="Q134" s="66" t="n"/>
      <c r="R134" s="66" t="n"/>
      <c r="S134" s="66" t="n"/>
      <c r="T134" s="66" t="n"/>
      <c r="U134" s="66" t="n"/>
      <c r="V134" s="66" t="n"/>
      <c r="W134" s="66" t="n"/>
      <c r="X134" s="66" t="n"/>
      <c r="Y134" s="66" t="n"/>
      <c r="Z134" s="66" t="n"/>
      <c r="AA134" s="66" t="n"/>
      <c r="AB134" s="66" t="n"/>
      <c r="AC134" s="66" t="n"/>
      <c r="AD134" s="66" t="n"/>
      <c r="AE134" s="66" t="n"/>
      <c r="AF134" s="66" t="n"/>
      <c r="AG134" s="66" t="n"/>
      <c r="AH134" s="66" t="n"/>
      <c r="AI134" s="66" t="n"/>
      <c r="AJ134" s="66" t="n"/>
      <c r="AK134" s="66" t="n"/>
      <c r="AL134" s="66" t="n"/>
      <c r="AM134" s="66" t="n"/>
      <c r="AN134" s="66" t="n"/>
      <c r="AO134" s="66" t="n"/>
      <c r="AP134" s="66" t="n"/>
      <c r="AQ134" s="66" t="n">
        <v>186930000</v>
      </c>
      <c r="AS134" s="67">
        <f>RANDBETWEEN(1,5)*1000000</f>
        <v/>
      </c>
    </row>
    <row r="135">
      <c r="A135" s="60" t="n">
        <v>33086</v>
      </c>
      <c r="B135" s="66" t="n"/>
      <c r="C135" s="66" t="n"/>
      <c r="D135" s="66" t="n"/>
      <c r="E135" s="66" t="n"/>
      <c r="F135" s="66" t="n"/>
      <c r="G135" s="66" t="n"/>
      <c r="H135" s="66" t="n"/>
      <c r="I135" s="66" t="n"/>
      <c r="J135" s="66" t="n"/>
      <c r="K135" s="66" t="n"/>
      <c r="L135" s="66" t="n"/>
      <c r="M135" s="66" t="n"/>
      <c r="N135" s="66" t="n"/>
      <c r="O135" s="66" t="n"/>
      <c r="P135" s="66" t="n"/>
      <c r="Q135" s="66" t="n"/>
      <c r="R135" s="66" t="n"/>
      <c r="S135" s="66" t="n"/>
      <c r="T135" s="66" t="n"/>
      <c r="U135" s="66" t="n"/>
      <c r="V135" s="66" t="n"/>
      <c r="W135" s="66" t="n"/>
      <c r="X135" s="66" t="n"/>
      <c r="Y135" s="66" t="n"/>
      <c r="Z135" s="66" t="n"/>
      <c r="AA135" s="66" t="n"/>
      <c r="AB135" s="66" t="n"/>
      <c r="AC135" s="66" t="n"/>
      <c r="AD135" s="66" t="n"/>
      <c r="AE135" s="66" t="n"/>
      <c r="AF135" s="66" t="n"/>
      <c r="AG135" s="66" t="n"/>
      <c r="AH135" s="66" t="n"/>
      <c r="AI135" s="66" t="n"/>
      <c r="AJ135" s="66" t="n"/>
      <c r="AK135" s="66" t="n"/>
      <c r="AL135" s="66" t="n"/>
      <c r="AM135" s="66" t="n"/>
      <c r="AN135" s="66" t="n"/>
      <c r="AO135" s="66" t="n"/>
      <c r="AP135" s="66" t="n"/>
      <c r="AQ135" s="66" t="n">
        <v>186930000</v>
      </c>
      <c r="AS135" s="67">
        <f>RANDBETWEEN(1,5)*1000000</f>
        <v/>
      </c>
    </row>
    <row r="136">
      <c r="A136" s="60" t="n">
        <v>33117</v>
      </c>
      <c r="B136" s="66" t="n"/>
      <c r="C136" s="66" t="n"/>
      <c r="D136" s="66" t="n"/>
      <c r="E136" s="66" t="n"/>
      <c r="F136" s="66" t="n"/>
      <c r="G136" s="66" t="n"/>
      <c r="H136" s="66" t="n"/>
      <c r="I136" s="66" t="n"/>
      <c r="J136" s="66" t="n"/>
      <c r="K136" s="66" t="n"/>
      <c r="L136" s="66" t="n"/>
      <c r="M136" s="66" t="n"/>
      <c r="N136" s="66" t="n"/>
      <c r="O136" s="66" t="n"/>
      <c r="P136" s="66" t="n"/>
      <c r="Q136" s="66" t="n"/>
      <c r="R136" s="66" t="n"/>
      <c r="S136" s="66" t="n"/>
      <c r="T136" s="66" t="n"/>
      <c r="U136" s="66" t="n"/>
      <c r="V136" s="66" t="n"/>
      <c r="W136" s="66" t="n"/>
      <c r="X136" s="66" t="n"/>
      <c r="Y136" s="66" t="n"/>
      <c r="Z136" s="66" t="n"/>
      <c r="AA136" s="66" t="n"/>
      <c r="AB136" s="66" t="n"/>
      <c r="AC136" s="66" t="n"/>
      <c r="AD136" s="66" t="n"/>
      <c r="AE136" s="66" t="n"/>
      <c r="AF136" s="66" t="n"/>
      <c r="AG136" s="66" t="n"/>
      <c r="AH136" s="66" t="n"/>
      <c r="AI136" s="66" t="n"/>
      <c r="AJ136" s="66" t="n"/>
      <c r="AK136" s="66" t="n"/>
      <c r="AL136" s="66" t="n"/>
      <c r="AM136" s="66" t="n"/>
      <c r="AN136" s="66" t="n"/>
      <c r="AO136" s="66" t="n"/>
      <c r="AP136" s="66" t="n"/>
      <c r="AQ136" s="66" t="n">
        <v>186930000</v>
      </c>
      <c r="AS136" s="67">
        <f>RANDBETWEEN(1,5)*1000000</f>
        <v/>
      </c>
    </row>
    <row r="137">
      <c r="A137" s="60" t="n">
        <v>33147</v>
      </c>
      <c r="B137" s="66" t="n"/>
      <c r="C137" s="66" t="n"/>
      <c r="D137" s="66" t="n"/>
      <c r="E137" s="66" t="n"/>
      <c r="F137" s="66" t="n"/>
      <c r="G137" s="66" t="n"/>
      <c r="H137" s="66" t="n"/>
      <c r="I137" s="66" t="n"/>
      <c r="J137" s="66" t="n"/>
      <c r="K137" s="66" t="n"/>
      <c r="L137" s="66" t="n"/>
      <c r="M137" s="66" t="n"/>
      <c r="N137" s="66" t="n"/>
      <c r="O137" s="66" t="n"/>
      <c r="P137" s="66" t="n"/>
      <c r="Q137" s="66" t="n"/>
      <c r="R137" s="66" t="n"/>
      <c r="S137" s="66" t="n"/>
      <c r="T137" s="66" t="n"/>
      <c r="U137" s="66" t="n"/>
      <c r="V137" s="66" t="n"/>
      <c r="W137" s="66" t="n"/>
      <c r="X137" s="66" t="n"/>
      <c r="Y137" s="66" t="n"/>
      <c r="Z137" s="66" t="n"/>
      <c r="AA137" s="66" t="n"/>
      <c r="AB137" s="66" t="n"/>
      <c r="AC137" s="66" t="n"/>
      <c r="AD137" s="66" t="n"/>
      <c r="AE137" s="66" t="n"/>
      <c r="AF137" s="66" t="n"/>
      <c r="AG137" s="66" t="n"/>
      <c r="AH137" s="66" t="n"/>
      <c r="AI137" s="66" t="n"/>
      <c r="AJ137" s="66" t="n"/>
      <c r="AK137" s="66" t="n"/>
      <c r="AL137" s="66" t="n"/>
      <c r="AM137" s="66" t="n"/>
      <c r="AN137" s="66" t="n"/>
      <c r="AO137" s="66" t="n"/>
      <c r="AP137" s="66" t="n"/>
      <c r="AQ137" s="66" t="n">
        <v>186930000</v>
      </c>
      <c r="AS137" s="67">
        <f>RANDBETWEEN(1,5)*1000000</f>
        <v/>
      </c>
    </row>
    <row r="138">
      <c r="A138" s="60" t="n">
        <v>33178</v>
      </c>
      <c r="B138" s="66" t="n"/>
      <c r="C138" s="66" t="n"/>
      <c r="D138" s="66" t="n"/>
      <c r="E138" s="66" t="n"/>
      <c r="F138" s="66" t="n"/>
      <c r="G138" s="66" t="n"/>
      <c r="H138" s="66" t="n"/>
      <c r="I138" s="66" t="n"/>
      <c r="J138" s="66" t="n"/>
      <c r="K138" s="66" t="n"/>
      <c r="L138" s="66" t="n"/>
      <c r="M138" s="66" t="n"/>
      <c r="N138" s="66" t="n"/>
      <c r="O138" s="66" t="n"/>
      <c r="P138" s="66" t="n"/>
      <c r="Q138" s="66" t="n"/>
      <c r="R138" s="66" t="n"/>
      <c r="S138" s="66" t="n"/>
      <c r="T138" s="66" t="n"/>
      <c r="U138" s="66" t="n"/>
      <c r="V138" s="66" t="n"/>
      <c r="W138" s="66" t="n"/>
      <c r="X138" s="66" t="n"/>
      <c r="Y138" s="66" t="n"/>
      <c r="Z138" s="66" t="n"/>
      <c r="AA138" s="66" t="n"/>
      <c r="AB138" s="66" t="n"/>
      <c r="AC138" s="66" t="n"/>
      <c r="AD138" s="66" t="n"/>
      <c r="AE138" s="66" t="n"/>
      <c r="AF138" s="66" t="n"/>
      <c r="AG138" s="66" t="n"/>
      <c r="AH138" s="66" t="n"/>
      <c r="AI138" s="66" t="n"/>
      <c r="AJ138" s="66" t="n"/>
      <c r="AK138" s="66" t="n"/>
      <c r="AL138" s="66" t="n"/>
      <c r="AM138" s="66" t="n"/>
      <c r="AN138" s="66" t="n"/>
      <c r="AO138" s="66" t="n"/>
      <c r="AP138" s="66" t="n"/>
      <c r="AQ138" s="66" t="n">
        <v>186930000</v>
      </c>
      <c r="AS138" s="67">
        <f>RANDBETWEEN(1,5)*1000000</f>
        <v/>
      </c>
    </row>
    <row r="139">
      <c r="A139" s="60" t="n">
        <v>33208</v>
      </c>
      <c r="B139" s="66" t="n"/>
      <c r="C139" s="66" t="n"/>
      <c r="D139" s="66" t="n"/>
      <c r="E139" s="66" t="n"/>
      <c r="F139" s="66" t="n"/>
      <c r="G139" s="66" t="n"/>
      <c r="H139" s="66" t="n"/>
      <c r="I139" s="66" t="n"/>
      <c r="J139" s="66" t="n"/>
      <c r="K139" s="66" t="n"/>
      <c r="L139" s="66" t="n"/>
      <c r="M139" s="66" t="n"/>
      <c r="N139" s="66" t="n"/>
      <c r="O139" s="66" t="n"/>
      <c r="P139" s="66" t="n"/>
      <c r="Q139" s="66" t="n"/>
      <c r="R139" s="66" t="n"/>
      <c r="S139" s="66" t="n"/>
      <c r="T139" s="66" t="n"/>
      <c r="U139" s="66" t="n"/>
      <c r="V139" s="66" t="n"/>
      <c r="W139" s="66" t="n"/>
      <c r="X139" s="66" t="n"/>
      <c r="Y139" s="66" t="n"/>
      <c r="Z139" s="66" t="n"/>
      <c r="AA139" s="66" t="n"/>
      <c r="AB139" s="66" t="n"/>
      <c r="AC139" s="66" t="n"/>
      <c r="AD139" s="66" t="n"/>
      <c r="AE139" s="66" t="n"/>
      <c r="AF139" s="66" t="n"/>
      <c r="AG139" s="66" t="n"/>
      <c r="AH139" s="66" t="n"/>
      <c r="AI139" s="66" t="n"/>
      <c r="AJ139" s="66" t="n"/>
      <c r="AK139" s="66" t="n"/>
      <c r="AL139" s="66" t="n"/>
      <c r="AM139" s="66" t="n"/>
      <c r="AN139" s="66" t="n"/>
      <c r="AO139" s="66" t="n"/>
      <c r="AP139" s="66" t="n"/>
      <c r="AQ139" s="66" t="n">
        <v>186930000</v>
      </c>
      <c r="AS139" s="67">
        <f>RANDBETWEEN(1,5)*1000000</f>
        <v/>
      </c>
    </row>
    <row r="140">
      <c r="A140" s="60" t="n">
        <v>33239</v>
      </c>
      <c r="B140" s="66" t="n"/>
      <c r="C140" s="66" t="n"/>
      <c r="D140" s="66" t="n"/>
      <c r="E140" s="66" t="n"/>
      <c r="F140" s="66" t="n"/>
      <c r="G140" s="66" t="n"/>
      <c r="H140" s="66" t="n"/>
      <c r="I140" s="66" t="n"/>
      <c r="J140" s="66" t="n"/>
      <c r="K140" s="66" t="n"/>
      <c r="L140" s="66" t="n"/>
      <c r="M140" s="66" t="n"/>
      <c r="N140" s="66" t="n"/>
      <c r="O140" s="66" t="n"/>
      <c r="P140" s="66" t="n"/>
      <c r="Q140" s="66" t="n"/>
      <c r="R140" s="66" t="n"/>
      <c r="S140" s="66" t="n"/>
      <c r="T140" s="66" t="n"/>
      <c r="U140" s="66" t="n"/>
      <c r="V140" s="66" t="n"/>
      <c r="W140" s="66" t="n"/>
      <c r="X140" s="66" t="n"/>
      <c r="Y140" s="66" t="n"/>
      <c r="Z140" s="66" t="n"/>
      <c r="AA140" s="66" t="n"/>
      <c r="AB140" s="66" t="n"/>
      <c r="AC140" s="66" t="n"/>
      <c r="AD140" s="66" t="n"/>
      <c r="AE140" s="66" t="n"/>
      <c r="AF140" s="66" t="n"/>
      <c r="AG140" s="66" t="n"/>
      <c r="AH140" s="66" t="n"/>
      <c r="AI140" s="66" t="n"/>
      <c r="AJ140" s="66" t="n"/>
      <c r="AK140" s="66" t="n"/>
      <c r="AL140" s="66" t="n"/>
      <c r="AM140" s="66" t="n"/>
      <c r="AN140" s="66" t="n"/>
      <c r="AO140" s="66" t="n"/>
      <c r="AP140" s="66" t="n"/>
      <c r="AQ140" s="66" t="n">
        <v>186930000</v>
      </c>
      <c r="AS140" s="67">
        <f>RANDBETWEEN(1,5)*1000000</f>
        <v/>
      </c>
    </row>
    <row r="141">
      <c r="A141" s="60" t="n">
        <v>33270</v>
      </c>
      <c r="B141" s="66" t="n"/>
      <c r="C141" s="66" t="n"/>
      <c r="D141" s="66" t="n"/>
      <c r="E141" s="66" t="n"/>
      <c r="F141" s="66" t="n"/>
      <c r="G141" s="66" t="n"/>
      <c r="H141" s="66" t="n"/>
      <c r="I141" s="66" t="n"/>
      <c r="J141" s="66" t="n"/>
      <c r="K141" s="66" t="n"/>
      <c r="L141" s="66" t="n"/>
      <c r="M141" s="66" t="n"/>
      <c r="N141" s="66" t="n"/>
      <c r="O141" s="66" t="n"/>
      <c r="P141" s="66" t="n"/>
      <c r="Q141" s="66" t="n"/>
      <c r="R141" s="66" t="n"/>
      <c r="S141" s="66" t="n"/>
      <c r="T141" s="66" t="n"/>
      <c r="U141" s="66" t="n"/>
      <c r="V141" s="66" t="n"/>
      <c r="W141" s="66" t="n"/>
      <c r="X141" s="66" t="n"/>
      <c r="Y141" s="66" t="n"/>
      <c r="Z141" s="66" t="n"/>
      <c r="AA141" s="66" t="n"/>
      <c r="AB141" s="66" t="n"/>
      <c r="AC141" s="66" t="n"/>
      <c r="AD141" s="66" t="n"/>
      <c r="AE141" s="66" t="n"/>
      <c r="AF141" s="66" t="n"/>
      <c r="AG141" s="66" t="n"/>
      <c r="AH141" s="66" t="n"/>
      <c r="AI141" s="66" t="n"/>
      <c r="AJ141" s="66" t="n"/>
      <c r="AK141" s="66" t="n"/>
      <c r="AL141" s="66" t="n"/>
      <c r="AM141" s="66" t="n"/>
      <c r="AN141" s="66" t="n"/>
      <c r="AO141" s="66" t="n"/>
      <c r="AP141" s="66" t="n"/>
      <c r="AQ141" s="66" t="n">
        <v>186930000</v>
      </c>
      <c r="AS141" s="67">
        <f>RANDBETWEEN(1,5)*1000000</f>
        <v/>
      </c>
    </row>
    <row r="142">
      <c r="A142" s="60" t="n">
        <v>33298</v>
      </c>
      <c r="B142" s="66" t="n"/>
      <c r="C142" s="66" t="n"/>
      <c r="D142" s="66" t="n"/>
      <c r="E142" s="66" t="n"/>
      <c r="F142" s="66" t="n"/>
      <c r="G142" s="66" t="n"/>
      <c r="H142" s="66" t="n"/>
      <c r="I142" s="66" t="n"/>
      <c r="J142" s="66" t="n"/>
      <c r="K142" s="66" t="n"/>
      <c r="L142" s="66" t="n"/>
      <c r="M142" s="66" t="n"/>
      <c r="N142" s="66" t="n"/>
      <c r="O142" s="66" t="n"/>
      <c r="P142" s="66" t="n"/>
      <c r="Q142" s="66" t="n"/>
      <c r="R142" s="66" t="n"/>
      <c r="S142" s="66" t="n"/>
      <c r="T142" s="66" t="n"/>
      <c r="U142" s="66" t="n"/>
      <c r="V142" s="66" t="n"/>
      <c r="W142" s="66" t="n"/>
      <c r="X142" s="66" t="n"/>
      <c r="Y142" s="66" t="n"/>
      <c r="Z142" s="66" t="n"/>
      <c r="AA142" s="66" t="n"/>
      <c r="AB142" s="66" t="n"/>
      <c r="AC142" s="66" t="n"/>
      <c r="AD142" s="66" t="n"/>
      <c r="AE142" s="66" t="n"/>
      <c r="AF142" s="66" t="n"/>
      <c r="AG142" s="66" t="n"/>
      <c r="AH142" s="66" t="n"/>
      <c r="AI142" s="66" t="n"/>
      <c r="AJ142" s="66" t="n"/>
      <c r="AK142" s="66" t="n"/>
      <c r="AL142" s="66" t="n"/>
      <c r="AM142" s="66" t="n"/>
      <c r="AN142" s="66" t="n"/>
      <c r="AO142" s="66" t="n"/>
      <c r="AP142" s="66" t="n"/>
      <c r="AQ142" s="66" t="n">
        <v>186930000</v>
      </c>
      <c r="AS142" s="67">
        <f>RANDBETWEEN(1,5)*1000000</f>
        <v/>
      </c>
    </row>
    <row r="143">
      <c r="A143" s="60" t="n">
        <v>33329</v>
      </c>
      <c r="B143" s="66" t="n"/>
      <c r="C143" s="66" t="n"/>
      <c r="D143" s="66" t="n"/>
      <c r="E143" s="66" t="n"/>
      <c r="F143" s="66" t="n"/>
      <c r="G143" s="66" t="n"/>
      <c r="H143" s="66" t="n"/>
      <c r="I143" s="66" t="n"/>
      <c r="J143" s="66" t="n"/>
      <c r="K143" s="66" t="n"/>
      <c r="L143" s="66" t="n"/>
      <c r="M143" s="66" t="n"/>
      <c r="N143" s="66" t="n"/>
      <c r="O143" s="66" t="n"/>
      <c r="P143" s="66" t="n"/>
      <c r="Q143" s="66" t="n"/>
      <c r="R143" s="66" t="n"/>
      <c r="S143" s="66" t="n"/>
      <c r="T143" s="66" t="n"/>
      <c r="U143" s="66" t="n"/>
      <c r="V143" s="66" t="n"/>
      <c r="W143" s="66" t="n"/>
      <c r="X143" s="66" t="n"/>
      <c r="Y143" s="66" t="n"/>
      <c r="Z143" s="66" t="n"/>
      <c r="AA143" s="66" t="n"/>
      <c r="AB143" s="66" t="n"/>
      <c r="AC143" s="66" t="n"/>
      <c r="AD143" s="66" t="n"/>
      <c r="AE143" s="66" t="n"/>
      <c r="AF143" s="66" t="n"/>
      <c r="AG143" s="66" t="n"/>
      <c r="AH143" s="66" t="n"/>
      <c r="AI143" s="66" t="n"/>
      <c r="AJ143" s="66" t="n"/>
      <c r="AK143" s="66" t="n"/>
      <c r="AL143" s="66" t="n"/>
      <c r="AM143" s="66" t="n"/>
      <c r="AN143" s="66" t="n"/>
      <c r="AO143" s="66" t="n"/>
      <c r="AP143" s="66" t="n"/>
      <c r="AQ143" s="66" t="n">
        <v>186930000</v>
      </c>
      <c r="AS143" s="67">
        <f>RANDBETWEEN(1,5)*1000000</f>
        <v/>
      </c>
    </row>
    <row r="144">
      <c r="A144" s="60" t="n">
        <v>33359</v>
      </c>
      <c r="B144" s="66" t="n"/>
      <c r="C144" s="66" t="n"/>
      <c r="D144" s="66" t="n"/>
      <c r="E144" s="66" t="n"/>
      <c r="F144" s="66" t="n"/>
      <c r="G144" s="66" t="n"/>
      <c r="H144" s="66" t="n"/>
      <c r="I144" s="66" t="n"/>
      <c r="J144" s="66" t="n"/>
      <c r="K144" s="66" t="n"/>
      <c r="L144" s="66" t="n"/>
      <c r="M144" s="66" t="n"/>
      <c r="N144" s="66" t="n"/>
      <c r="O144" s="66" t="n"/>
      <c r="P144" s="66" t="n"/>
      <c r="Q144" s="66" t="n"/>
      <c r="R144" s="66" t="n"/>
      <c r="S144" s="66" t="n"/>
      <c r="T144" s="66" t="n"/>
      <c r="U144" s="66" t="n"/>
      <c r="V144" s="66" t="n"/>
      <c r="W144" s="66" t="n"/>
      <c r="X144" s="66" t="n"/>
      <c r="Y144" s="66" t="n"/>
      <c r="Z144" s="66" t="n"/>
      <c r="AA144" s="66" t="n"/>
      <c r="AB144" s="66" t="n"/>
      <c r="AC144" s="66" t="n"/>
      <c r="AD144" s="66" t="n"/>
      <c r="AE144" s="66" t="n"/>
      <c r="AF144" s="66" t="n"/>
      <c r="AG144" s="66" t="n"/>
      <c r="AH144" s="66" t="n"/>
      <c r="AI144" s="66" t="n"/>
      <c r="AJ144" s="66" t="n"/>
      <c r="AK144" s="66" t="n"/>
      <c r="AL144" s="66" t="n"/>
      <c r="AM144" s="66" t="n"/>
      <c r="AN144" s="66" t="n"/>
      <c r="AO144" s="66" t="n"/>
      <c r="AP144" s="66" t="n"/>
      <c r="AQ144" s="66" t="n">
        <v>186930000</v>
      </c>
      <c r="AS144" s="67">
        <f>RANDBETWEEN(1,5)*1000000</f>
        <v/>
      </c>
    </row>
    <row r="145">
      <c r="A145" s="60" t="n">
        <v>33390</v>
      </c>
      <c r="B145" s="66" t="n"/>
      <c r="C145" s="66" t="n"/>
      <c r="D145" s="66" t="n"/>
      <c r="E145" s="66" t="n"/>
      <c r="F145" s="66" t="n"/>
      <c r="G145" s="66" t="n"/>
      <c r="H145" s="66" t="n"/>
      <c r="I145" s="66" t="n"/>
      <c r="J145" s="66" t="n"/>
      <c r="K145" s="66" t="n"/>
      <c r="L145" s="66" t="n"/>
      <c r="M145" s="66" t="n"/>
      <c r="N145" s="66" t="n"/>
      <c r="O145" s="66" t="n"/>
      <c r="P145" s="66" t="n"/>
      <c r="Q145" s="66" t="n"/>
      <c r="R145" s="66" t="n"/>
      <c r="S145" s="66" t="n"/>
      <c r="T145" s="66" t="n"/>
      <c r="U145" s="66" t="n"/>
      <c r="V145" s="66" t="n"/>
      <c r="W145" s="66" t="n"/>
      <c r="X145" s="66" t="n"/>
      <c r="Y145" s="66" t="n"/>
      <c r="Z145" s="66" t="n"/>
      <c r="AA145" s="66" t="n"/>
      <c r="AB145" s="66" t="n"/>
      <c r="AC145" s="66" t="n"/>
      <c r="AD145" s="66" t="n"/>
      <c r="AE145" s="66" t="n"/>
      <c r="AF145" s="66" t="n"/>
      <c r="AG145" s="66" t="n"/>
      <c r="AH145" s="66" t="n"/>
      <c r="AI145" s="66" t="n"/>
      <c r="AJ145" s="66" t="n"/>
      <c r="AK145" s="66" t="n"/>
      <c r="AL145" s="66" t="n"/>
      <c r="AM145" s="66" t="n"/>
      <c r="AN145" s="66" t="n"/>
      <c r="AO145" s="66" t="n"/>
      <c r="AP145" s="66" t="n"/>
      <c r="AQ145" s="66" t="n">
        <v>186930000</v>
      </c>
      <c r="AS145" s="67">
        <f>RANDBETWEEN(1,5)*1000000</f>
        <v/>
      </c>
    </row>
    <row r="146">
      <c r="A146" s="60" t="n">
        <v>33420</v>
      </c>
      <c r="B146" s="66" t="n"/>
      <c r="C146" s="66" t="n"/>
      <c r="D146" s="66" t="n"/>
      <c r="E146" s="66" t="n"/>
      <c r="F146" s="66" t="n"/>
      <c r="G146" s="66" t="n"/>
      <c r="H146" s="66" t="n"/>
      <c r="I146" s="66" t="n"/>
      <c r="J146" s="66" t="n"/>
      <c r="K146" s="66" t="n"/>
      <c r="L146" s="66" t="n"/>
      <c r="M146" s="66" t="n"/>
      <c r="N146" s="66" t="n"/>
      <c r="O146" s="66" t="n"/>
      <c r="P146" s="66" t="n"/>
      <c r="Q146" s="66" t="n"/>
      <c r="R146" s="66" t="n"/>
      <c r="S146" s="66" t="n"/>
      <c r="T146" s="66" t="n"/>
      <c r="U146" s="66" t="n"/>
      <c r="V146" s="66" t="n"/>
      <c r="W146" s="66" t="n"/>
      <c r="X146" s="66" t="n"/>
      <c r="Y146" s="66" t="n"/>
      <c r="Z146" s="66" t="n"/>
      <c r="AA146" s="66" t="n"/>
      <c r="AB146" s="66" t="n"/>
      <c r="AC146" s="66" t="n"/>
      <c r="AD146" s="66" t="n"/>
      <c r="AE146" s="66" t="n"/>
      <c r="AF146" s="66" t="n"/>
      <c r="AG146" s="66" t="n"/>
      <c r="AH146" s="66" t="n"/>
      <c r="AI146" s="66" t="n"/>
      <c r="AJ146" s="66" t="n"/>
      <c r="AK146" s="66" t="n"/>
      <c r="AL146" s="66" t="n"/>
      <c r="AM146" s="66" t="n"/>
      <c r="AN146" s="66" t="n"/>
      <c r="AO146" s="66" t="n"/>
      <c r="AP146" s="66" t="n"/>
      <c r="AQ146" s="66" t="n">
        <v>186930000</v>
      </c>
      <c r="AS146" s="67">
        <f>RANDBETWEEN(1,5)*1000000</f>
        <v/>
      </c>
    </row>
    <row r="147">
      <c r="A147" s="60" t="n">
        <v>33451</v>
      </c>
      <c r="B147" s="66" t="n"/>
      <c r="C147" s="66" t="n"/>
      <c r="D147" s="66" t="n"/>
      <c r="E147" s="66" t="n"/>
      <c r="F147" s="66" t="n"/>
      <c r="G147" s="66" t="n"/>
      <c r="H147" s="66" t="n"/>
      <c r="I147" s="66" t="n"/>
      <c r="J147" s="66" t="n"/>
      <c r="K147" s="66" t="n"/>
      <c r="L147" s="66" t="n"/>
      <c r="M147" s="66" t="n"/>
      <c r="N147" s="66" t="n"/>
      <c r="O147" s="66" t="n"/>
      <c r="P147" s="66" t="n"/>
      <c r="Q147" s="66" t="n"/>
      <c r="R147" s="66" t="n"/>
      <c r="S147" s="66" t="n"/>
      <c r="T147" s="66" t="n"/>
      <c r="U147" s="66" t="n"/>
      <c r="V147" s="66" t="n"/>
      <c r="W147" s="66" t="n"/>
      <c r="X147" s="66" t="n"/>
      <c r="Y147" s="66" t="n"/>
      <c r="Z147" s="66" t="n"/>
      <c r="AA147" s="66" t="n"/>
      <c r="AB147" s="66" t="n"/>
      <c r="AC147" s="66" t="n"/>
      <c r="AD147" s="66" t="n"/>
      <c r="AE147" s="66" t="n"/>
      <c r="AF147" s="66" t="n"/>
      <c r="AG147" s="66" t="n"/>
      <c r="AH147" s="66" t="n"/>
      <c r="AI147" s="66" t="n"/>
      <c r="AJ147" s="66" t="n"/>
      <c r="AK147" s="66" t="n"/>
      <c r="AL147" s="66" t="n"/>
      <c r="AM147" s="66" t="n"/>
      <c r="AN147" s="66" t="n"/>
      <c r="AO147" s="66" t="n"/>
      <c r="AP147" s="66" t="n"/>
      <c r="AQ147" s="66" t="n">
        <v>186930000</v>
      </c>
      <c r="AS147" s="67">
        <f>RANDBETWEEN(1,5)*1000000</f>
        <v/>
      </c>
    </row>
    <row r="148">
      <c r="A148" s="60" t="n">
        <v>33482</v>
      </c>
      <c r="B148" s="66" t="n"/>
      <c r="C148" s="66" t="n"/>
      <c r="D148" s="66" t="n"/>
      <c r="E148" s="66" t="n"/>
      <c r="F148" s="66" t="n"/>
      <c r="G148" s="66" t="n"/>
      <c r="H148" s="66" t="n"/>
      <c r="I148" s="66" t="n"/>
      <c r="J148" s="66" t="n"/>
      <c r="K148" s="66" t="n"/>
      <c r="L148" s="66" t="n"/>
      <c r="M148" s="66" t="n"/>
      <c r="N148" s="66" t="n"/>
      <c r="O148" s="66" t="n"/>
      <c r="P148" s="66" t="n"/>
      <c r="Q148" s="66" t="n"/>
      <c r="R148" s="66" t="n"/>
      <c r="S148" s="66" t="n"/>
      <c r="T148" s="66" t="n"/>
      <c r="U148" s="66" t="n"/>
      <c r="V148" s="66" t="n"/>
      <c r="W148" s="66" t="n"/>
      <c r="X148" s="66" t="n"/>
      <c r="Y148" s="66" t="n"/>
      <c r="Z148" s="66" t="n"/>
      <c r="AA148" s="66" t="n"/>
      <c r="AB148" s="66" t="n"/>
      <c r="AC148" s="66" t="n"/>
      <c r="AD148" s="66" t="n"/>
      <c r="AE148" s="66" t="n"/>
      <c r="AF148" s="66" t="n"/>
      <c r="AG148" s="66" t="n"/>
      <c r="AH148" s="66" t="n"/>
      <c r="AI148" s="66" t="n"/>
      <c r="AJ148" s="66" t="n"/>
      <c r="AK148" s="66" t="n"/>
      <c r="AL148" s="66" t="n"/>
      <c r="AM148" s="66" t="n"/>
      <c r="AN148" s="66" t="n"/>
      <c r="AO148" s="66" t="n"/>
      <c r="AP148" s="66" t="n"/>
      <c r="AQ148" s="66" t="n">
        <v>186930000</v>
      </c>
      <c r="AS148" s="67">
        <f>RANDBETWEEN(1,5)*1000000</f>
        <v/>
      </c>
    </row>
    <row r="149">
      <c r="A149" s="60" t="n">
        <v>33512</v>
      </c>
      <c r="B149" s="66" t="n"/>
      <c r="C149" s="66" t="n"/>
      <c r="D149" s="66" t="n"/>
      <c r="E149" s="66" t="n"/>
      <c r="F149" s="66" t="n"/>
      <c r="G149" s="66" t="n"/>
      <c r="H149" s="66" t="n"/>
      <c r="I149" s="66" t="n"/>
      <c r="J149" s="66" t="n"/>
      <c r="K149" s="66" t="n"/>
      <c r="L149" s="66" t="n"/>
      <c r="M149" s="66" t="n"/>
      <c r="N149" s="66" t="n"/>
      <c r="O149" s="66" t="n"/>
      <c r="P149" s="66" t="n"/>
      <c r="Q149" s="66" t="n"/>
      <c r="R149" s="66" t="n"/>
      <c r="S149" s="66" t="n"/>
      <c r="T149" s="66" t="n"/>
      <c r="U149" s="66" t="n"/>
      <c r="V149" s="66" t="n"/>
      <c r="W149" s="66" t="n"/>
      <c r="X149" s="66" t="n"/>
      <c r="Y149" s="66" t="n"/>
      <c r="Z149" s="66" t="n"/>
      <c r="AA149" s="66" t="n"/>
      <c r="AB149" s="66" t="n"/>
      <c r="AC149" s="66" t="n"/>
      <c r="AD149" s="66" t="n"/>
      <c r="AE149" s="66" t="n"/>
      <c r="AF149" s="66" t="n"/>
      <c r="AG149" s="66" t="n"/>
      <c r="AH149" s="66" t="n"/>
      <c r="AI149" s="66" t="n"/>
      <c r="AJ149" s="66" t="n"/>
      <c r="AK149" s="66" t="n"/>
      <c r="AL149" s="66" t="n"/>
      <c r="AM149" s="66" t="n"/>
      <c r="AN149" s="66" t="n"/>
      <c r="AO149" s="66" t="n"/>
      <c r="AP149" s="66" t="n"/>
      <c r="AQ149" s="66" t="n">
        <v>186930000</v>
      </c>
      <c r="AS149" s="67">
        <f>RANDBETWEEN(1,5)*1000000</f>
        <v/>
      </c>
    </row>
    <row r="150">
      <c r="A150" s="60" t="n">
        <v>33543</v>
      </c>
      <c r="B150" s="66" t="n"/>
      <c r="C150" s="66" t="n"/>
      <c r="D150" s="66" t="n"/>
      <c r="E150" s="66" t="n"/>
      <c r="F150" s="66" t="n"/>
      <c r="G150" s="66" t="n"/>
      <c r="H150" s="66" t="n"/>
      <c r="I150" s="66" t="n"/>
      <c r="J150" s="66" t="n"/>
      <c r="K150" s="66" t="n"/>
      <c r="L150" s="66" t="n"/>
      <c r="M150" s="66" t="n"/>
      <c r="N150" s="66" t="n"/>
      <c r="O150" s="66" t="n"/>
      <c r="P150" s="66" t="n"/>
      <c r="Q150" s="66" t="n"/>
      <c r="R150" s="66" t="n"/>
      <c r="S150" s="66" t="n"/>
      <c r="T150" s="66" t="n"/>
      <c r="U150" s="66" t="n"/>
      <c r="V150" s="66" t="n"/>
      <c r="W150" s="66" t="n"/>
      <c r="X150" s="66" t="n"/>
      <c r="Y150" s="66" t="n"/>
      <c r="Z150" s="66" t="n"/>
      <c r="AA150" s="66" t="n"/>
      <c r="AB150" s="66" t="n"/>
      <c r="AC150" s="66" t="n"/>
      <c r="AD150" s="66" t="n"/>
      <c r="AE150" s="66" t="n"/>
      <c r="AF150" s="66" t="n"/>
      <c r="AG150" s="66" t="n"/>
      <c r="AH150" s="66" t="n"/>
      <c r="AI150" s="66" t="n"/>
      <c r="AJ150" s="66" t="n"/>
      <c r="AK150" s="66" t="n"/>
      <c r="AL150" s="66" t="n"/>
      <c r="AM150" s="66" t="n"/>
      <c r="AN150" s="66" t="n"/>
      <c r="AO150" s="66" t="n"/>
      <c r="AP150" s="66" t="n"/>
      <c r="AQ150" s="66" t="n">
        <v>186930000</v>
      </c>
      <c r="AS150" s="67">
        <f>RANDBETWEEN(1,5)*1000000</f>
        <v/>
      </c>
    </row>
    <row r="151">
      <c r="A151" s="60" t="n">
        <v>33573</v>
      </c>
      <c r="B151" s="66" t="n"/>
      <c r="C151" s="66" t="n"/>
      <c r="D151" s="66" t="n"/>
      <c r="E151" s="66" t="n"/>
      <c r="F151" s="66" t="n"/>
      <c r="G151" s="66" t="n"/>
      <c r="H151" s="66" t="n"/>
      <c r="I151" s="66" t="n"/>
      <c r="J151" s="66" t="n"/>
      <c r="K151" s="66" t="n"/>
      <c r="L151" s="66" t="n"/>
      <c r="M151" s="66" t="n"/>
      <c r="N151" s="66" t="n"/>
      <c r="O151" s="66" t="n"/>
      <c r="P151" s="66" t="n"/>
      <c r="Q151" s="66" t="n"/>
      <c r="R151" s="66" t="n"/>
      <c r="S151" s="66" t="n"/>
      <c r="T151" s="66" t="n"/>
      <c r="U151" s="66" t="n"/>
      <c r="V151" s="66" t="n"/>
      <c r="W151" s="66" t="n"/>
      <c r="X151" s="66" t="n"/>
      <c r="Y151" s="66" t="n"/>
      <c r="Z151" s="66" t="n"/>
      <c r="AA151" s="66" t="n"/>
      <c r="AB151" s="66" t="n"/>
      <c r="AC151" s="66" t="n"/>
      <c r="AD151" s="66" t="n"/>
      <c r="AE151" s="66" t="n"/>
      <c r="AF151" s="66" t="n"/>
      <c r="AG151" s="66" t="n"/>
      <c r="AH151" s="66" t="n"/>
      <c r="AI151" s="66" t="n"/>
      <c r="AJ151" s="66" t="n"/>
      <c r="AK151" s="66" t="n"/>
      <c r="AL151" s="66" t="n"/>
      <c r="AM151" s="66" t="n"/>
      <c r="AN151" s="66" t="n"/>
      <c r="AO151" s="66" t="n"/>
      <c r="AP151" s="66" t="n"/>
      <c r="AQ151" s="66" t="n">
        <v>186930000</v>
      </c>
      <c r="AS151" s="67">
        <f>RANDBETWEEN(1,5)*1000000</f>
        <v/>
      </c>
    </row>
    <row r="152">
      <c r="A152" s="60" t="n">
        <v>33604</v>
      </c>
      <c r="B152" s="66" t="n"/>
      <c r="C152" s="66" t="n"/>
      <c r="D152" s="66" t="n"/>
      <c r="E152" s="66" t="n"/>
      <c r="F152" s="66" t="n"/>
      <c r="G152" s="66" t="n"/>
      <c r="H152" s="66" t="n"/>
      <c r="I152" s="66" t="n"/>
      <c r="J152" s="66" t="n"/>
      <c r="K152" s="66" t="n"/>
      <c r="L152" s="66" t="n"/>
      <c r="M152" s="66" t="n"/>
      <c r="N152" s="66" t="n"/>
      <c r="O152" s="66" t="n"/>
      <c r="P152" s="66" t="n"/>
      <c r="Q152" s="66" t="n"/>
      <c r="R152" s="66" t="n"/>
      <c r="S152" s="66" t="n"/>
      <c r="T152" s="66" t="n"/>
      <c r="U152" s="66" t="n"/>
      <c r="V152" s="66" t="n"/>
      <c r="W152" s="66" t="n"/>
      <c r="X152" s="66" t="n"/>
      <c r="Y152" s="66" t="n"/>
      <c r="Z152" s="66" t="n"/>
      <c r="AA152" s="66" t="n"/>
      <c r="AB152" s="66" t="n"/>
      <c r="AC152" s="66" t="n"/>
      <c r="AD152" s="66" t="n"/>
      <c r="AE152" s="66" t="n"/>
      <c r="AF152" s="66" t="n"/>
      <c r="AG152" s="66" t="n"/>
      <c r="AH152" s="66" t="n"/>
      <c r="AI152" s="66" t="n"/>
      <c r="AJ152" s="66" t="n"/>
      <c r="AK152" s="66" t="n"/>
      <c r="AL152" s="66" t="n"/>
      <c r="AM152" s="66" t="n"/>
      <c r="AN152" s="66" t="n"/>
      <c r="AO152" s="66" t="n"/>
      <c r="AP152" s="66" t="n"/>
      <c r="AQ152" s="66" t="n">
        <v>186930000</v>
      </c>
      <c r="AS152" s="67">
        <f>RANDBETWEEN(1,5)*1000000</f>
        <v/>
      </c>
    </row>
    <row r="153">
      <c r="A153" s="60" t="n">
        <v>33635</v>
      </c>
      <c r="B153" s="66" t="n"/>
      <c r="C153" s="66" t="n"/>
      <c r="D153" s="66" t="n"/>
      <c r="E153" s="66" t="n"/>
      <c r="F153" s="66" t="n"/>
      <c r="G153" s="66" t="n"/>
      <c r="H153" s="66" t="n"/>
      <c r="I153" s="66" t="n"/>
      <c r="J153" s="66" t="n"/>
      <c r="K153" s="66" t="n"/>
      <c r="L153" s="66" t="n"/>
      <c r="M153" s="66" t="n"/>
      <c r="N153" s="66" t="n"/>
      <c r="O153" s="66" t="n"/>
      <c r="P153" s="66" t="n"/>
      <c r="Q153" s="66" t="n"/>
      <c r="R153" s="66" t="n"/>
      <c r="S153" s="66" t="n"/>
      <c r="T153" s="66" t="n"/>
      <c r="U153" s="66" t="n"/>
      <c r="V153" s="66" t="n"/>
      <c r="W153" s="66" t="n"/>
      <c r="X153" s="66" t="n"/>
      <c r="Y153" s="66" t="n"/>
      <c r="Z153" s="66" t="n"/>
      <c r="AA153" s="66" t="n"/>
      <c r="AB153" s="66" t="n"/>
      <c r="AC153" s="66" t="n"/>
      <c r="AD153" s="66" t="n"/>
      <c r="AE153" s="66" t="n"/>
      <c r="AF153" s="66" t="n"/>
      <c r="AG153" s="66" t="n"/>
      <c r="AH153" s="66" t="n"/>
      <c r="AI153" s="66" t="n"/>
      <c r="AJ153" s="66" t="n"/>
      <c r="AK153" s="66" t="n"/>
      <c r="AL153" s="66" t="n"/>
      <c r="AM153" s="66" t="n"/>
      <c r="AN153" s="66" t="n"/>
      <c r="AO153" s="66" t="n"/>
      <c r="AP153" s="66" t="n"/>
      <c r="AQ153" s="66" t="n">
        <v>186930000</v>
      </c>
      <c r="AS153" s="67">
        <f>RANDBETWEEN(1,5)*1000000</f>
        <v/>
      </c>
    </row>
    <row r="154">
      <c r="A154" s="60" t="n">
        <v>33664</v>
      </c>
      <c r="B154" s="66" t="n"/>
      <c r="C154" s="66" t="n"/>
      <c r="D154" s="66" t="n"/>
      <c r="E154" s="66" t="n"/>
      <c r="F154" s="66" t="n"/>
      <c r="G154" s="66" t="n"/>
      <c r="H154" s="66" t="n"/>
      <c r="I154" s="66" t="n"/>
      <c r="J154" s="66" t="n"/>
      <c r="K154" s="66" t="n"/>
      <c r="L154" s="66" t="n"/>
      <c r="M154" s="66" t="n"/>
      <c r="N154" s="66" t="n"/>
      <c r="O154" s="66" t="n"/>
      <c r="P154" s="66" t="n"/>
      <c r="Q154" s="66" t="n"/>
      <c r="R154" s="66" t="n"/>
      <c r="S154" s="66" t="n"/>
      <c r="T154" s="66" t="n"/>
      <c r="U154" s="66" t="n"/>
      <c r="V154" s="66" t="n"/>
      <c r="W154" s="66" t="n"/>
      <c r="X154" s="66" t="n"/>
      <c r="Y154" s="66" t="n"/>
      <c r="Z154" s="66" t="n"/>
      <c r="AA154" s="66" t="n"/>
      <c r="AB154" s="66" t="n"/>
      <c r="AC154" s="66" t="n"/>
      <c r="AD154" s="66" t="n"/>
      <c r="AE154" s="66" t="n"/>
      <c r="AF154" s="66" t="n"/>
      <c r="AG154" s="66" t="n"/>
      <c r="AH154" s="66" t="n"/>
      <c r="AI154" s="66" t="n"/>
      <c r="AJ154" s="66" t="n"/>
      <c r="AK154" s="66" t="n"/>
      <c r="AL154" s="66" t="n"/>
      <c r="AM154" s="66" t="n"/>
      <c r="AN154" s="66" t="n"/>
      <c r="AO154" s="66" t="n"/>
      <c r="AP154" s="66" t="n"/>
      <c r="AQ154" s="66" t="n">
        <v>186930000</v>
      </c>
      <c r="AS154" s="67">
        <f>RANDBETWEEN(1,5)*1000000</f>
        <v/>
      </c>
    </row>
    <row r="155">
      <c r="A155" s="60" t="n">
        <v>33695</v>
      </c>
      <c r="B155" s="66" t="n"/>
      <c r="C155" s="66" t="n"/>
      <c r="D155" s="66" t="n"/>
      <c r="E155" s="66" t="n"/>
      <c r="F155" s="66" t="n"/>
      <c r="G155" s="66" t="n"/>
      <c r="H155" s="66" t="n"/>
      <c r="I155" s="66" t="n"/>
      <c r="J155" s="66" t="n"/>
      <c r="K155" s="66" t="n"/>
      <c r="L155" s="66" t="n"/>
      <c r="M155" s="66" t="n"/>
      <c r="N155" s="66" t="n"/>
      <c r="O155" s="66" t="n"/>
      <c r="P155" s="66" t="n"/>
      <c r="Q155" s="66" t="n"/>
      <c r="R155" s="66" t="n"/>
      <c r="S155" s="66" t="n"/>
      <c r="T155" s="66" t="n"/>
      <c r="U155" s="66" t="n"/>
      <c r="V155" s="66" t="n"/>
      <c r="W155" s="66" t="n"/>
      <c r="X155" s="66" t="n"/>
      <c r="Y155" s="66" t="n"/>
      <c r="Z155" s="66" t="n"/>
      <c r="AA155" s="66" t="n"/>
      <c r="AB155" s="66" t="n"/>
      <c r="AC155" s="66" t="n"/>
      <c r="AD155" s="66" t="n"/>
      <c r="AE155" s="66" t="n"/>
      <c r="AF155" s="66" t="n"/>
      <c r="AG155" s="66" t="n"/>
      <c r="AH155" s="66" t="n"/>
      <c r="AI155" s="66" t="n"/>
      <c r="AJ155" s="66" t="n"/>
      <c r="AK155" s="66" t="n"/>
      <c r="AL155" s="66" t="n"/>
      <c r="AM155" s="66" t="n"/>
      <c r="AN155" s="66" t="n"/>
      <c r="AO155" s="66" t="n"/>
      <c r="AP155" s="66" t="n"/>
      <c r="AQ155" s="66" t="n">
        <v>186930000</v>
      </c>
      <c r="AS155" s="67">
        <f>RANDBETWEEN(1,5)*1000000</f>
        <v/>
      </c>
    </row>
    <row r="156">
      <c r="A156" s="60" t="n">
        <v>33725</v>
      </c>
      <c r="B156" s="66" t="n"/>
      <c r="C156" s="66" t="n"/>
      <c r="D156" s="66" t="n"/>
      <c r="E156" s="66" t="n"/>
      <c r="F156" s="66" t="n"/>
      <c r="G156" s="66" t="n"/>
      <c r="H156" s="66" t="n"/>
      <c r="I156" s="66" t="n"/>
      <c r="J156" s="66" t="n"/>
      <c r="K156" s="66" t="n"/>
      <c r="L156" s="66" t="n"/>
      <c r="M156" s="66" t="n"/>
      <c r="N156" s="66" t="n"/>
      <c r="O156" s="66" t="n"/>
      <c r="P156" s="66" t="n"/>
      <c r="Q156" s="66" t="n"/>
      <c r="R156" s="66" t="n"/>
      <c r="S156" s="66" t="n"/>
      <c r="T156" s="66" t="n"/>
      <c r="U156" s="66" t="n"/>
      <c r="V156" s="66" t="n"/>
      <c r="W156" s="66" t="n"/>
      <c r="X156" s="66" t="n"/>
      <c r="Y156" s="66" t="n"/>
      <c r="Z156" s="66" t="n"/>
      <c r="AA156" s="66" t="n"/>
      <c r="AB156" s="66" t="n"/>
      <c r="AC156" s="66" t="n"/>
      <c r="AD156" s="66" t="n"/>
      <c r="AE156" s="66" t="n"/>
      <c r="AF156" s="66" t="n"/>
      <c r="AG156" s="66" t="n"/>
      <c r="AH156" s="66" t="n"/>
      <c r="AI156" s="66" t="n"/>
      <c r="AJ156" s="66" t="n"/>
      <c r="AK156" s="66" t="n"/>
      <c r="AL156" s="66" t="n"/>
      <c r="AM156" s="66" t="n"/>
      <c r="AN156" s="66" t="n"/>
      <c r="AO156" s="66" t="n"/>
      <c r="AP156" s="66" t="n"/>
      <c r="AQ156" s="66" t="n">
        <v>186930000</v>
      </c>
      <c r="AS156" s="67">
        <f>RANDBETWEEN(1,5)*1000000</f>
        <v/>
      </c>
    </row>
    <row r="157">
      <c r="A157" s="60" t="n">
        <v>33756</v>
      </c>
      <c r="B157" s="66" t="n"/>
      <c r="C157" s="66" t="n"/>
      <c r="D157" s="66" t="n"/>
      <c r="E157" s="66" t="n"/>
      <c r="F157" s="66" t="n"/>
      <c r="G157" s="66" t="n"/>
      <c r="H157" s="66" t="n"/>
      <c r="I157" s="66" t="n"/>
      <c r="J157" s="66" t="n"/>
      <c r="K157" s="66" t="n"/>
      <c r="L157" s="66" t="n"/>
      <c r="M157" s="66" t="n"/>
      <c r="N157" s="66" t="n"/>
      <c r="O157" s="66" t="n"/>
      <c r="P157" s="66" t="n"/>
      <c r="Q157" s="66" t="n"/>
      <c r="R157" s="66" t="n"/>
      <c r="S157" s="66" t="n"/>
      <c r="T157" s="66" t="n"/>
      <c r="U157" s="66" t="n"/>
      <c r="V157" s="66" t="n"/>
      <c r="W157" s="66" t="n"/>
      <c r="X157" s="66" t="n"/>
      <c r="Y157" s="66" t="n"/>
      <c r="Z157" s="66" t="n"/>
      <c r="AA157" s="66" t="n"/>
      <c r="AB157" s="66" t="n"/>
      <c r="AC157" s="66" t="n"/>
      <c r="AD157" s="66" t="n"/>
      <c r="AE157" s="66" t="n"/>
      <c r="AF157" s="66" t="n"/>
      <c r="AG157" s="66" t="n"/>
      <c r="AH157" s="66" t="n"/>
      <c r="AI157" s="66" t="n"/>
      <c r="AJ157" s="66" t="n"/>
      <c r="AK157" s="66" t="n"/>
      <c r="AL157" s="66" t="n"/>
      <c r="AM157" s="66" t="n"/>
      <c r="AN157" s="66" t="n"/>
      <c r="AO157" s="66" t="n"/>
      <c r="AP157" s="66" t="n"/>
      <c r="AQ157" s="66" t="n">
        <v>186930000</v>
      </c>
      <c r="AS157" s="67">
        <f>RANDBETWEEN(1,5)*1000000</f>
        <v/>
      </c>
    </row>
    <row r="158">
      <c r="A158" s="60" t="n">
        <v>33786</v>
      </c>
      <c r="B158" s="66" t="n"/>
      <c r="C158" s="66" t="n"/>
      <c r="D158" s="66" t="n"/>
      <c r="E158" s="66" t="n"/>
      <c r="F158" s="66" t="n"/>
      <c r="G158" s="66" t="n"/>
      <c r="H158" s="66" t="n"/>
      <c r="I158" s="66" t="n"/>
      <c r="J158" s="66" t="n"/>
      <c r="K158" s="66" t="n"/>
      <c r="L158" s="66" t="n"/>
      <c r="M158" s="66" t="n"/>
      <c r="N158" s="66" t="n"/>
      <c r="O158" s="66" t="n"/>
      <c r="P158" s="66" t="n"/>
      <c r="Q158" s="66" t="n"/>
      <c r="R158" s="66" t="n"/>
      <c r="S158" s="66" t="n"/>
      <c r="T158" s="66" t="n"/>
      <c r="U158" s="66" t="n"/>
      <c r="V158" s="66" t="n"/>
      <c r="W158" s="66" t="n"/>
      <c r="X158" s="66" t="n"/>
      <c r="Y158" s="66" t="n"/>
      <c r="Z158" s="66" t="n"/>
      <c r="AA158" s="66" t="n"/>
      <c r="AB158" s="66" t="n"/>
      <c r="AC158" s="66" t="n"/>
      <c r="AD158" s="66" t="n"/>
      <c r="AE158" s="66" t="n"/>
      <c r="AF158" s="66" t="n"/>
      <c r="AG158" s="66" t="n"/>
      <c r="AH158" s="66" t="n"/>
      <c r="AI158" s="66" t="n"/>
      <c r="AJ158" s="66" t="n"/>
      <c r="AK158" s="66" t="n"/>
      <c r="AL158" s="66" t="n"/>
      <c r="AM158" s="66" t="n"/>
      <c r="AN158" s="66" t="n"/>
      <c r="AO158" s="66" t="n"/>
      <c r="AP158" s="66" t="n"/>
      <c r="AQ158" s="66" t="n">
        <v>186930000</v>
      </c>
      <c r="AS158" s="67">
        <f>RANDBETWEEN(1,5)*1000000</f>
        <v/>
      </c>
    </row>
    <row r="159">
      <c r="A159" s="60" t="n">
        <v>33817</v>
      </c>
      <c r="B159" s="66" t="n"/>
      <c r="C159" s="66" t="n"/>
      <c r="D159" s="66" t="n"/>
      <c r="E159" s="66" t="n"/>
      <c r="F159" s="66" t="n"/>
      <c r="G159" s="66" t="n"/>
      <c r="H159" s="66" t="n"/>
      <c r="I159" s="66" t="n"/>
      <c r="J159" s="66" t="n"/>
      <c r="K159" s="66" t="n"/>
      <c r="L159" s="66" t="n"/>
      <c r="M159" s="66" t="n"/>
      <c r="N159" s="66" t="n"/>
      <c r="O159" s="66" t="n"/>
      <c r="P159" s="66" t="n"/>
      <c r="Q159" s="66" t="n"/>
      <c r="R159" s="66" t="n"/>
      <c r="S159" s="66" t="n"/>
      <c r="T159" s="66" t="n"/>
      <c r="U159" s="66" t="n"/>
      <c r="V159" s="66" t="n"/>
      <c r="W159" s="66" t="n"/>
      <c r="X159" s="66" t="n"/>
      <c r="Y159" s="66" t="n"/>
      <c r="Z159" s="66" t="n"/>
      <c r="AA159" s="66" t="n"/>
      <c r="AB159" s="66" t="n"/>
      <c r="AC159" s="66" t="n"/>
      <c r="AD159" s="66" t="n"/>
      <c r="AE159" s="66" t="n"/>
      <c r="AF159" s="66" t="n"/>
      <c r="AG159" s="66" t="n"/>
      <c r="AH159" s="66" t="n"/>
      <c r="AI159" s="66" t="n"/>
      <c r="AJ159" s="66" t="n"/>
      <c r="AK159" s="66" t="n"/>
      <c r="AL159" s="66" t="n"/>
      <c r="AM159" s="66" t="n"/>
      <c r="AN159" s="66" t="n"/>
      <c r="AO159" s="66" t="n"/>
      <c r="AP159" s="66" t="n"/>
      <c r="AQ159" s="66" t="n">
        <v>186930000</v>
      </c>
      <c r="AS159" s="67">
        <f>RANDBETWEEN(1,5)*1000000</f>
        <v/>
      </c>
    </row>
    <row r="160">
      <c r="A160" s="60" t="n">
        <v>33848</v>
      </c>
      <c r="B160" s="66" t="n"/>
      <c r="C160" s="66" t="n"/>
      <c r="D160" s="66" t="n"/>
      <c r="E160" s="66" t="n"/>
      <c r="F160" s="66" t="n"/>
      <c r="G160" s="66" t="n"/>
      <c r="H160" s="66" t="n"/>
      <c r="I160" s="66" t="n"/>
      <c r="J160" s="66" t="n"/>
      <c r="K160" s="66" t="n"/>
      <c r="L160" s="66" t="n"/>
      <c r="M160" s="66" t="n"/>
      <c r="N160" s="66" t="n"/>
      <c r="O160" s="66" t="n"/>
      <c r="P160" s="66" t="n"/>
      <c r="Q160" s="66" t="n"/>
      <c r="R160" s="66" t="n"/>
      <c r="S160" s="66" t="n"/>
      <c r="T160" s="66" t="n"/>
      <c r="U160" s="66" t="n"/>
      <c r="V160" s="66" t="n"/>
      <c r="W160" s="66" t="n"/>
      <c r="X160" s="66" t="n"/>
      <c r="Y160" s="66" t="n"/>
      <c r="Z160" s="66" t="n"/>
      <c r="AA160" s="66" t="n"/>
      <c r="AB160" s="66" t="n"/>
      <c r="AC160" s="66" t="n"/>
      <c r="AD160" s="66" t="n"/>
      <c r="AE160" s="66" t="n"/>
      <c r="AF160" s="66" t="n"/>
      <c r="AG160" s="66" t="n"/>
      <c r="AH160" s="66" t="n"/>
      <c r="AI160" s="66" t="n"/>
      <c r="AJ160" s="66" t="n"/>
      <c r="AK160" s="66" t="n"/>
      <c r="AL160" s="66" t="n"/>
      <c r="AM160" s="66" t="n"/>
      <c r="AN160" s="66" t="n"/>
      <c r="AO160" s="66" t="n"/>
      <c r="AP160" s="66" t="n"/>
      <c r="AQ160" s="66" t="n">
        <v>186930000</v>
      </c>
      <c r="AS160" s="67">
        <f>RANDBETWEEN(1,5)*1000000</f>
        <v/>
      </c>
    </row>
    <row r="161">
      <c r="A161" s="60" t="n">
        <v>33878</v>
      </c>
      <c r="B161" s="66" t="n"/>
      <c r="C161" s="66" t="n"/>
      <c r="D161" s="66" t="n"/>
      <c r="E161" s="66" t="n"/>
      <c r="F161" s="66" t="n"/>
      <c r="G161" s="66" t="n"/>
      <c r="H161" s="66" t="n"/>
      <c r="I161" s="66" t="n"/>
      <c r="J161" s="66" t="n"/>
      <c r="K161" s="66" t="n"/>
      <c r="L161" s="66" t="n"/>
      <c r="M161" s="66" t="n"/>
      <c r="N161" s="66" t="n"/>
      <c r="O161" s="66" t="n"/>
      <c r="P161" s="66" t="n"/>
      <c r="Q161" s="66" t="n"/>
      <c r="R161" s="66" t="n"/>
      <c r="S161" s="66" t="n"/>
      <c r="T161" s="66" t="n"/>
      <c r="U161" s="66" t="n"/>
      <c r="V161" s="66" t="n"/>
      <c r="W161" s="66" t="n"/>
      <c r="X161" s="66" t="n"/>
      <c r="Y161" s="66" t="n"/>
      <c r="Z161" s="66" t="n"/>
      <c r="AA161" s="66" t="n"/>
      <c r="AB161" s="66" t="n"/>
      <c r="AC161" s="66" t="n"/>
      <c r="AD161" s="66" t="n"/>
      <c r="AE161" s="66" t="n"/>
      <c r="AF161" s="66" t="n"/>
      <c r="AG161" s="66" t="n"/>
      <c r="AH161" s="66" t="n"/>
      <c r="AI161" s="66" t="n"/>
      <c r="AJ161" s="66" t="n"/>
      <c r="AK161" s="66" t="n"/>
      <c r="AL161" s="66" t="n"/>
      <c r="AM161" s="66" t="n"/>
      <c r="AN161" s="66" t="n"/>
      <c r="AO161" s="66" t="n"/>
      <c r="AP161" s="66" t="n"/>
      <c r="AQ161" s="66" t="n">
        <v>186930000</v>
      </c>
      <c r="AS161" s="67">
        <f>RANDBETWEEN(1,5)*1000000</f>
        <v/>
      </c>
    </row>
    <row r="162">
      <c r="A162" s="60" t="n">
        <v>33909</v>
      </c>
      <c r="B162" s="66" t="n"/>
      <c r="C162" s="66" t="n"/>
      <c r="D162" s="66" t="n"/>
      <c r="E162" s="66" t="n"/>
      <c r="F162" s="66" t="n"/>
      <c r="G162" s="66" t="n"/>
      <c r="H162" s="66" t="n"/>
      <c r="I162" s="66" t="n"/>
      <c r="J162" s="66" t="n"/>
      <c r="K162" s="66" t="n"/>
      <c r="L162" s="66" t="n"/>
      <c r="M162" s="66" t="n"/>
      <c r="N162" s="66" t="n"/>
      <c r="O162" s="66" t="n"/>
      <c r="P162" s="66" t="n"/>
      <c r="Q162" s="66" t="n"/>
      <c r="R162" s="66" t="n"/>
      <c r="S162" s="66" t="n"/>
      <c r="T162" s="66" t="n"/>
      <c r="U162" s="66" t="n"/>
      <c r="V162" s="66" t="n"/>
      <c r="W162" s="66" t="n"/>
      <c r="X162" s="66" t="n"/>
      <c r="Y162" s="66" t="n"/>
      <c r="Z162" s="66" t="n"/>
      <c r="AA162" s="66" t="n"/>
      <c r="AB162" s="66" t="n"/>
      <c r="AC162" s="66" t="n"/>
      <c r="AD162" s="66" t="n"/>
      <c r="AE162" s="66" t="n"/>
      <c r="AF162" s="66" t="n"/>
      <c r="AG162" s="66" t="n"/>
      <c r="AH162" s="66" t="n"/>
      <c r="AI162" s="66" t="n"/>
      <c r="AJ162" s="66" t="n"/>
      <c r="AK162" s="66" t="n"/>
      <c r="AL162" s="66" t="n"/>
      <c r="AM162" s="66" t="n"/>
      <c r="AN162" s="66" t="n"/>
      <c r="AO162" s="66" t="n"/>
      <c r="AP162" s="66" t="n"/>
      <c r="AQ162" s="66" t="n">
        <v>186930000</v>
      </c>
      <c r="AS162" s="67">
        <f>RANDBETWEEN(1,5)*1000000</f>
        <v/>
      </c>
    </row>
    <row r="163">
      <c r="A163" s="60" t="n">
        <v>33939</v>
      </c>
      <c r="B163" s="66" t="n"/>
      <c r="C163" s="66" t="n"/>
      <c r="D163" s="66" t="n"/>
      <c r="E163" s="66" t="n"/>
      <c r="F163" s="66" t="n"/>
      <c r="G163" s="66" t="n"/>
      <c r="H163" s="66" t="n"/>
      <c r="I163" s="66" t="n"/>
      <c r="J163" s="66" t="n"/>
      <c r="K163" s="66" t="n"/>
      <c r="L163" s="66" t="n"/>
      <c r="M163" s="66" t="n"/>
      <c r="N163" s="66" t="n"/>
      <c r="O163" s="66" t="n"/>
      <c r="P163" s="66" t="n"/>
      <c r="Q163" s="66" t="n"/>
      <c r="R163" s="66" t="n"/>
      <c r="S163" s="66" t="n"/>
      <c r="T163" s="66" t="n"/>
      <c r="U163" s="66" t="n"/>
      <c r="V163" s="66" t="n"/>
      <c r="W163" s="66" t="n"/>
      <c r="X163" s="66" t="n"/>
      <c r="Y163" s="66" t="n"/>
      <c r="Z163" s="66" t="n"/>
      <c r="AA163" s="66" t="n"/>
      <c r="AB163" s="66" t="n"/>
      <c r="AC163" s="66" t="n"/>
      <c r="AD163" s="66" t="n"/>
      <c r="AE163" s="66" t="n"/>
      <c r="AF163" s="66" t="n"/>
      <c r="AG163" s="66" t="n"/>
      <c r="AH163" s="66" t="n"/>
      <c r="AI163" s="66" t="n"/>
      <c r="AJ163" s="66" t="n"/>
      <c r="AK163" s="66" t="n"/>
      <c r="AL163" s="66" t="n"/>
      <c r="AM163" s="66" t="n"/>
      <c r="AN163" s="66" t="n"/>
      <c r="AO163" s="66" t="n"/>
      <c r="AP163" s="66" t="n"/>
      <c r="AQ163" s="66" t="n">
        <v>186930000</v>
      </c>
      <c r="AS163" s="67">
        <f>RANDBETWEEN(1,5)*1000000</f>
        <v/>
      </c>
    </row>
    <row r="164">
      <c r="A164" s="60" t="n">
        <v>33970</v>
      </c>
      <c r="B164" s="66" t="n"/>
      <c r="C164" s="66" t="n"/>
      <c r="D164" s="66" t="n"/>
      <c r="E164" s="66" t="n"/>
      <c r="F164" s="66" t="n"/>
      <c r="G164" s="66" t="n"/>
      <c r="H164" s="66" t="n"/>
      <c r="I164" s="66" t="n"/>
      <c r="J164" s="66" t="n"/>
      <c r="K164" s="66" t="n"/>
      <c r="L164" s="66" t="n"/>
      <c r="M164" s="66" t="n"/>
      <c r="N164" s="66" t="n"/>
      <c r="O164" s="66" t="n"/>
      <c r="P164" s="66" t="n"/>
      <c r="Q164" s="66" t="n"/>
      <c r="R164" s="66" t="n"/>
      <c r="S164" s="66" t="n"/>
      <c r="T164" s="66" t="n"/>
      <c r="U164" s="66" t="n"/>
      <c r="V164" s="66" t="n"/>
      <c r="W164" s="66" t="n"/>
      <c r="X164" s="66" t="n"/>
      <c r="Y164" s="66" t="n"/>
      <c r="Z164" s="66" t="n"/>
      <c r="AA164" s="66" t="n"/>
      <c r="AB164" s="66" t="n"/>
      <c r="AC164" s="66" t="n"/>
      <c r="AD164" s="66" t="n"/>
      <c r="AE164" s="66" t="n"/>
      <c r="AF164" s="66" t="n"/>
      <c r="AG164" s="66" t="n"/>
      <c r="AH164" s="66" t="n"/>
      <c r="AI164" s="66" t="n"/>
      <c r="AJ164" s="66" t="n"/>
      <c r="AK164" s="66" t="n"/>
      <c r="AL164" s="66" t="n"/>
      <c r="AM164" s="66" t="n"/>
      <c r="AN164" s="66" t="n"/>
      <c r="AO164" s="66" t="n"/>
      <c r="AP164" s="66" t="n"/>
      <c r="AQ164" s="66" t="n">
        <v>186930000</v>
      </c>
      <c r="AS164" s="67">
        <f>RANDBETWEEN(1,5)*1000000</f>
        <v/>
      </c>
    </row>
    <row r="165">
      <c r="A165" s="60" t="n">
        <v>34001</v>
      </c>
      <c r="B165" s="66" t="n"/>
      <c r="C165" s="66" t="n"/>
      <c r="D165" s="66" t="n"/>
      <c r="E165" s="66" t="n"/>
      <c r="F165" s="66" t="n"/>
      <c r="G165" s="66" t="n"/>
      <c r="H165" s="66" t="n"/>
      <c r="I165" s="66" t="n"/>
      <c r="J165" s="66" t="n"/>
      <c r="K165" s="66" t="n"/>
      <c r="L165" s="66" t="n"/>
      <c r="M165" s="66" t="n"/>
      <c r="N165" s="66" t="n"/>
      <c r="O165" s="66" t="n"/>
      <c r="P165" s="66" t="n"/>
      <c r="Q165" s="66" t="n"/>
      <c r="R165" s="66" t="n"/>
      <c r="S165" s="66" t="n"/>
      <c r="T165" s="66" t="n"/>
      <c r="U165" s="66" t="n"/>
      <c r="V165" s="66" t="n"/>
      <c r="W165" s="66" t="n"/>
      <c r="X165" s="66" t="n"/>
      <c r="Y165" s="66" t="n"/>
      <c r="Z165" s="66" t="n"/>
      <c r="AA165" s="66" t="n"/>
      <c r="AB165" s="66" t="n"/>
      <c r="AC165" s="66" t="n"/>
      <c r="AD165" s="66" t="n"/>
      <c r="AE165" s="66" t="n"/>
      <c r="AF165" s="66" t="n"/>
      <c r="AG165" s="66" t="n"/>
      <c r="AH165" s="66" t="n"/>
      <c r="AI165" s="66" t="n"/>
      <c r="AJ165" s="66" t="n"/>
      <c r="AK165" s="66" t="n"/>
      <c r="AL165" s="66" t="n"/>
      <c r="AM165" s="66" t="n"/>
      <c r="AN165" s="66" t="n"/>
      <c r="AO165" s="66" t="n"/>
      <c r="AP165" s="66" t="n"/>
      <c r="AQ165" s="66" t="n">
        <v>186930000</v>
      </c>
      <c r="AS165" s="67">
        <f>RANDBETWEEN(1,5)*1000000</f>
        <v/>
      </c>
    </row>
    <row r="166">
      <c r="A166" s="60" t="n">
        <v>34029</v>
      </c>
      <c r="B166" s="66" t="n"/>
      <c r="C166" s="66" t="n"/>
      <c r="D166" s="66" t="n"/>
      <c r="E166" s="66" t="n"/>
      <c r="F166" s="66" t="n"/>
      <c r="G166" s="66" t="n"/>
      <c r="H166" s="66" t="n"/>
      <c r="I166" s="66" t="n"/>
      <c r="J166" s="66" t="n"/>
      <c r="K166" s="66" t="n"/>
      <c r="L166" s="66" t="n"/>
      <c r="M166" s="66" t="n"/>
      <c r="N166" s="66" t="n"/>
      <c r="O166" s="66" t="n"/>
      <c r="P166" s="66" t="n"/>
      <c r="Q166" s="66" t="n"/>
      <c r="R166" s="66" t="n"/>
      <c r="S166" s="66" t="n"/>
      <c r="T166" s="66" t="n"/>
      <c r="U166" s="66" t="n"/>
      <c r="V166" s="66" t="n"/>
      <c r="W166" s="66" t="n"/>
      <c r="X166" s="66" t="n"/>
      <c r="Y166" s="66" t="n"/>
      <c r="Z166" s="66" t="n"/>
      <c r="AA166" s="66" t="n"/>
      <c r="AB166" s="66" t="n"/>
      <c r="AC166" s="66" t="n"/>
      <c r="AD166" s="66" t="n"/>
      <c r="AE166" s="66" t="n"/>
      <c r="AF166" s="66" t="n"/>
      <c r="AG166" s="66" t="n"/>
      <c r="AH166" s="66" t="n"/>
      <c r="AI166" s="66" t="n"/>
      <c r="AJ166" s="66" t="n"/>
      <c r="AK166" s="66" t="n"/>
      <c r="AL166" s="66" t="n"/>
      <c r="AM166" s="66" t="n"/>
      <c r="AN166" s="66" t="n"/>
      <c r="AO166" s="66" t="n"/>
      <c r="AP166" s="66" t="n"/>
      <c r="AQ166" s="66" t="n">
        <v>186930000</v>
      </c>
      <c r="AS166" s="67">
        <f>RANDBETWEEN(1,5)*1000000</f>
        <v/>
      </c>
    </row>
    <row r="167">
      <c r="A167" s="60" t="n">
        <v>34060</v>
      </c>
      <c r="B167" s="66" t="n"/>
      <c r="C167" s="66" t="n"/>
      <c r="D167" s="66" t="n"/>
      <c r="E167" s="66" t="n"/>
      <c r="F167" s="66" t="n"/>
      <c r="G167" s="66" t="n"/>
      <c r="H167" s="66" t="n"/>
      <c r="I167" s="66" t="n"/>
      <c r="J167" s="66" t="n"/>
      <c r="K167" s="66" t="n"/>
      <c r="L167" s="66" t="n"/>
      <c r="M167" s="66" t="n"/>
      <c r="N167" s="66" t="n"/>
      <c r="O167" s="66" t="n"/>
      <c r="P167" s="66" t="n"/>
      <c r="Q167" s="66" t="n"/>
      <c r="R167" s="66" t="n"/>
      <c r="S167" s="66" t="n"/>
      <c r="T167" s="66" t="n"/>
      <c r="U167" s="66" t="n"/>
      <c r="V167" s="66" t="n"/>
      <c r="W167" s="66" t="n"/>
      <c r="X167" s="66" t="n"/>
      <c r="Y167" s="66" t="n"/>
      <c r="Z167" s="66" t="n"/>
      <c r="AA167" s="66" t="n"/>
      <c r="AB167" s="66" t="n"/>
      <c r="AC167" s="66" t="n"/>
      <c r="AD167" s="66" t="n"/>
      <c r="AE167" s="66" t="n"/>
      <c r="AF167" s="66" t="n"/>
      <c r="AG167" s="66" t="n"/>
      <c r="AH167" s="66" t="n"/>
      <c r="AI167" s="66" t="n"/>
      <c r="AJ167" s="66" t="n"/>
      <c r="AK167" s="66" t="n"/>
      <c r="AL167" s="66" t="n"/>
      <c r="AM167" s="66" t="n"/>
      <c r="AN167" s="66" t="n"/>
      <c r="AO167" s="66" t="n"/>
      <c r="AP167" s="66" t="n"/>
      <c r="AQ167" s="66" t="n">
        <v>186930000</v>
      </c>
      <c r="AS167" s="67">
        <f>RANDBETWEEN(1,5)*1000000</f>
        <v/>
      </c>
    </row>
    <row r="168">
      <c r="A168" s="60" t="n">
        <v>34090</v>
      </c>
      <c r="B168" s="66" t="n"/>
      <c r="C168" s="66" t="n"/>
      <c r="D168" s="66" t="n"/>
      <c r="E168" s="66" t="n"/>
      <c r="F168" s="66" t="n"/>
      <c r="G168" s="66" t="n"/>
      <c r="H168" s="66" t="n"/>
      <c r="I168" s="66" t="n"/>
      <c r="J168" s="66" t="n"/>
      <c r="K168" s="66" t="n"/>
      <c r="L168" s="66" t="n"/>
      <c r="M168" s="66" t="n"/>
      <c r="N168" s="66" t="n"/>
      <c r="O168" s="66" t="n"/>
      <c r="P168" s="66" t="n"/>
      <c r="Q168" s="66" t="n"/>
      <c r="R168" s="66" t="n"/>
      <c r="S168" s="66" t="n"/>
      <c r="T168" s="66" t="n"/>
      <c r="U168" s="66" t="n"/>
      <c r="V168" s="66" t="n"/>
      <c r="W168" s="66" t="n"/>
      <c r="X168" s="66" t="n"/>
      <c r="Y168" s="66" t="n"/>
      <c r="Z168" s="66" t="n"/>
      <c r="AA168" s="66" t="n"/>
      <c r="AB168" s="66" t="n"/>
      <c r="AC168" s="66" t="n"/>
      <c r="AD168" s="66" t="n"/>
      <c r="AE168" s="66" t="n"/>
      <c r="AF168" s="66" t="n"/>
      <c r="AG168" s="66" t="n"/>
      <c r="AH168" s="66" t="n"/>
      <c r="AI168" s="66" t="n"/>
      <c r="AJ168" s="66" t="n"/>
      <c r="AK168" s="66" t="n"/>
      <c r="AL168" s="66" t="n"/>
      <c r="AM168" s="66" t="n"/>
      <c r="AN168" s="66" t="n"/>
      <c r="AO168" s="66" t="n"/>
      <c r="AP168" s="66" t="n"/>
      <c r="AQ168" s="66" t="n">
        <v>186930000</v>
      </c>
      <c r="AS168" s="67">
        <f>RANDBETWEEN(1,5)*1000000</f>
        <v/>
      </c>
    </row>
    <row r="169">
      <c r="A169" s="60" t="n">
        <v>34121</v>
      </c>
      <c r="B169" s="66" t="n"/>
      <c r="C169" s="66" t="n"/>
      <c r="D169" s="66" t="n"/>
      <c r="E169" s="66" t="n"/>
      <c r="F169" s="66" t="n"/>
      <c r="G169" s="66" t="n"/>
      <c r="H169" s="66" t="n"/>
      <c r="I169" s="66" t="n"/>
      <c r="J169" s="66" t="n"/>
      <c r="K169" s="66" t="n"/>
      <c r="L169" s="66" t="n"/>
      <c r="M169" s="66" t="n"/>
      <c r="N169" s="66" t="n"/>
      <c r="O169" s="66" t="n"/>
      <c r="P169" s="66" t="n"/>
      <c r="Q169" s="66" t="n"/>
      <c r="R169" s="66" t="n"/>
      <c r="S169" s="66" t="n"/>
      <c r="T169" s="66" t="n"/>
      <c r="U169" s="66" t="n"/>
      <c r="V169" s="66" t="n"/>
      <c r="W169" s="66" t="n"/>
      <c r="X169" s="66" t="n"/>
      <c r="Y169" s="66" t="n"/>
      <c r="Z169" s="66" t="n"/>
      <c r="AA169" s="66" t="n"/>
      <c r="AB169" s="66" t="n"/>
      <c r="AC169" s="66" t="n"/>
      <c r="AD169" s="66" t="n"/>
      <c r="AE169" s="66" t="n"/>
      <c r="AF169" s="66" t="n"/>
      <c r="AG169" s="66" t="n"/>
      <c r="AH169" s="66" t="n"/>
      <c r="AI169" s="66" t="n"/>
      <c r="AJ169" s="66" t="n"/>
      <c r="AK169" s="66" t="n"/>
      <c r="AL169" s="66" t="n"/>
      <c r="AM169" s="66" t="n"/>
      <c r="AN169" s="66" t="n"/>
      <c r="AO169" s="66" t="n"/>
      <c r="AP169" s="66" t="n"/>
      <c r="AQ169" s="66" t="n">
        <v>186930000</v>
      </c>
      <c r="AS169" s="67">
        <f>RANDBETWEEN(1,5)*1000000</f>
        <v/>
      </c>
    </row>
    <row r="170">
      <c r="A170" s="60" t="n">
        <v>34151</v>
      </c>
      <c r="B170" s="66" t="n"/>
      <c r="C170" s="66" t="n"/>
      <c r="D170" s="66" t="n"/>
      <c r="E170" s="66" t="n"/>
      <c r="F170" s="66" t="n"/>
      <c r="G170" s="66" t="n"/>
      <c r="H170" s="66" t="n"/>
      <c r="I170" s="66" t="n"/>
      <c r="J170" s="66" t="n"/>
      <c r="K170" s="66" t="n"/>
      <c r="L170" s="66" t="n"/>
      <c r="M170" s="66" t="n"/>
      <c r="N170" s="66" t="n"/>
      <c r="O170" s="66" t="n"/>
      <c r="P170" s="66" t="n"/>
      <c r="Q170" s="66" t="n"/>
      <c r="R170" s="66" t="n"/>
      <c r="S170" s="66" t="n"/>
      <c r="T170" s="66" t="n"/>
      <c r="U170" s="66" t="n"/>
      <c r="V170" s="66" t="n"/>
      <c r="W170" s="66" t="n"/>
      <c r="X170" s="66" t="n"/>
      <c r="Y170" s="66" t="n"/>
      <c r="Z170" s="66" t="n"/>
      <c r="AA170" s="66" t="n"/>
      <c r="AB170" s="66" t="n"/>
      <c r="AC170" s="66" t="n"/>
      <c r="AD170" s="66" t="n"/>
      <c r="AE170" s="66" t="n"/>
      <c r="AF170" s="66" t="n"/>
      <c r="AG170" s="66" t="n"/>
      <c r="AH170" s="66" t="n"/>
      <c r="AI170" s="66" t="n"/>
      <c r="AJ170" s="66" t="n"/>
      <c r="AK170" s="66" t="n"/>
      <c r="AL170" s="66" t="n"/>
      <c r="AM170" s="66" t="n"/>
      <c r="AN170" s="66" t="n"/>
      <c r="AO170" s="66" t="n"/>
      <c r="AP170" s="66" t="n"/>
      <c r="AQ170" s="66" t="n">
        <v>186930000</v>
      </c>
      <c r="AS170" s="67">
        <f>RANDBETWEEN(1,5)*1000000</f>
        <v/>
      </c>
    </row>
    <row r="171">
      <c r="A171" s="60" t="n">
        <v>34182</v>
      </c>
      <c r="B171" s="66" t="n"/>
      <c r="C171" s="66" t="n"/>
      <c r="D171" s="66" t="n"/>
      <c r="E171" s="66" t="n"/>
      <c r="F171" s="66" t="n"/>
      <c r="G171" s="66" t="n"/>
      <c r="H171" s="66" t="n"/>
      <c r="I171" s="66" t="n"/>
      <c r="J171" s="66" t="n"/>
      <c r="K171" s="66" t="n"/>
      <c r="L171" s="66" t="n"/>
      <c r="M171" s="66" t="n"/>
      <c r="N171" s="66" t="n"/>
      <c r="O171" s="66" t="n"/>
      <c r="P171" s="66" t="n"/>
      <c r="Q171" s="66" t="n"/>
      <c r="R171" s="66" t="n"/>
      <c r="S171" s="66" t="n"/>
      <c r="T171" s="66" t="n"/>
      <c r="U171" s="66" t="n"/>
      <c r="V171" s="66" t="n"/>
      <c r="W171" s="66" t="n"/>
      <c r="X171" s="66" t="n"/>
      <c r="Y171" s="66" t="n"/>
      <c r="Z171" s="66" t="n"/>
      <c r="AA171" s="66" t="n"/>
      <c r="AB171" s="66" t="n"/>
      <c r="AC171" s="66" t="n"/>
      <c r="AD171" s="66" t="n"/>
      <c r="AE171" s="66" t="n"/>
      <c r="AF171" s="66" t="n"/>
      <c r="AG171" s="66" t="n"/>
      <c r="AH171" s="66" t="n"/>
      <c r="AI171" s="66" t="n"/>
      <c r="AJ171" s="66" t="n"/>
      <c r="AK171" s="66" t="n"/>
      <c r="AL171" s="66" t="n"/>
      <c r="AM171" s="66" t="n"/>
      <c r="AN171" s="66" t="n"/>
      <c r="AO171" s="66" t="n"/>
      <c r="AP171" s="66" t="n"/>
      <c r="AQ171" s="66" t="n">
        <v>186930000</v>
      </c>
      <c r="AS171" s="67">
        <f>RANDBETWEEN(1,5)*1000000</f>
        <v/>
      </c>
    </row>
    <row r="172">
      <c r="A172" s="60" t="n">
        <v>34213</v>
      </c>
      <c r="B172" s="66" t="n"/>
      <c r="C172" s="66" t="n"/>
      <c r="D172" s="66" t="n"/>
      <c r="E172" s="66" t="n"/>
      <c r="F172" s="66" t="n"/>
      <c r="G172" s="66" t="n"/>
      <c r="H172" s="66" t="n"/>
      <c r="I172" s="66" t="n"/>
      <c r="J172" s="66" t="n"/>
      <c r="K172" s="66" t="n"/>
      <c r="L172" s="66" t="n"/>
      <c r="M172" s="66" t="n"/>
      <c r="N172" s="66" t="n"/>
      <c r="O172" s="66" t="n"/>
      <c r="P172" s="66" t="n"/>
      <c r="Q172" s="66" t="n"/>
      <c r="R172" s="66" t="n"/>
      <c r="S172" s="66" t="n"/>
      <c r="T172" s="66" t="n"/>
      <c r="U172" s="66" t="n"/>
      <c r="V172" s="66" t="n"/>
      <c r="W172" s="66" t="n"/>
      <c r="X172" s="66" t="n"/>
      <c r="Y172" s="66" t="n"/>
      <c r="Z172" s="66" t="n"/>
      <c r="AA172" s="66" t="n"/>
      <c r="AB172" s="66" t="n"/>
      <c r="AC172" s="66" t="n"/>
      <c r="AD172" s="66" t="n"/>
      <c r="AE172" s="66" t="n"/>
      <c r="AF172" s="66" t="n"/>
      <c r="AG172" s="66" t="n"/>
      <c r="AH172" s="66" t="n"/>
      <c r="AI172" s="66" t="n"/>
      <c r="AJ172" s="66" t="n"/>
      <c r="AK172" s="66" t="n"/>
      <c r="AL172" s="66" t="n"/>
      <c r="AM172" s="66" t="n"/>
      <c r="AN172" s="66" t="n"/>
      <c r="AO172" s="66" t="n"/>
      <c r="AP172" s="66" t="n"/>
      <c r="AQ172" s="66" t="n">
        <v>186930000</v>
      </c>
      <c r="AS172" s="67">
        <f>RANDBETWEEN(1,5)*1000000</f>
        <v/>
      </c>
    </row>
    <row r="173">
      <c r="A173" s="60" t="n">
        <v>34243</v>
      </c>
      <c r="B173" s="66" t="n"/>
      <c r="C173" s="66" t="n"/>
      <c r="D173" s="66" t="n"/>
      <c r="E173" s="66" t="n"/>
      <c r="F173" s="66" t="n"/>
      <c r="G173" s="66" t="n"/>
      <c r="H173" s="66" t="n"/>
      <c r="I173" s="66" t="n"/>
      <c r="J173" s="66" t="n"/>
      <c r="K173" s="66" t="n"/>
      <c r="L173" s="66" t="n"/>
      <c r="M173" s="66" t="n"/>
      <c r="N173" s="66" t="n"/>
      <c r="O173" s="66" t="n"/>
      <c r="P173" s="66" t="n"/>
      <c r="Q173" s="66" t="n"/>
      <c r="R173" s="66" t="n"/>
      <c r="S173" s="66" t="n"/>
      <c r="T173" s="66" t="n"/>
      <c r="U173" s="66" t="n"/>
      <c r="V173" s="66" t="n"/>
      <c r="W173" s="66" t="n"/>
      <c r="X173" s="66" t="n"/>
      <c r="Y173" s="66" t="n"/>
      <c r="Z173" s="66" t="n"/>
      <c r="AA173" s="66" t="n"/>
      <c r="AB173" s="66" t="n"/>
      <c r="AC173" s="66" t="n"/>
      <c r="AD173" s="66" t="n"/>
      <c r="AE173" s="66" t="n"/>
      <c r="AF173" s="66" t="n"/>
      <c r="AG173" s="66" t="n"/>
      <c r="AH173" s="66" t="n"/>
      <c r="AI173" s="66" t="n"/>
      <c r="AJ173" s="66" t="n"/>
      <c r="AK173" s="66" t="n"/>
      <c r="AL173" s="66" t="n"/>
      <c r="AM173" s="66" t="n"/>
      <c r="AN173" s="66" t="n"/>
      <c r="AO173" s="66" t="n"/>
      <c r="AP173" s="66" t="n"/>
      <c r="AQ173" s="66" t="n">
        <v>186930000</v>
      </c>
      <c r="AS173" s="67">
        <f>RANDBETWEEN(1,5)*1000000</f>
        <v/>
      </c>
    </row>
    <row r="174">
      <c r="A174" s="60" t="n">
        <v>34274</v>
      </c>
      <c r="B174" s="66" t="n"/>
      <c r="C174" s="66" t="n"/>
      <c r="D174" s="66" t="n"/>
      <c r="E174" s="66" t="n"/>
      <c r="F174" s="66" t="n"/>
      <c r="G174" s="66" t="n"/>
      <c r="H174" s="66" t="n"/>
      <c r="I174" s="66" t="n"/>
      <c r="J174" s="66" t="n"/>
      <c r="K174" s="66" t="n"/>
      <c r="L174" s="66" t="n"/>
      <c r="M174" s="66" t="n"/>
      <c r="N174" s="66" t="n"/>
      <c r="O174" s="66" t="n"/>
      <c r="P174" s="66" t="n"/>
      <c r="Q174" s="66" t="n"/>
      <c r="R174" s="66" t="n"/>
      <c r="S174" s="66" t="n"/>
      <c r="T174" s="66" t="n"/>
      <c r="U174" s="66" t="n"/>
      <c r="V174" s="66" t="n"/>
      <c r="W174" s="66" t="n"/>
      <c r="X174" s="66" t="n"/>
      <c r="Y174" s="66" t="n"/>
      <c r="Z174" s="66" t="n"/>
      <c r="AA174" s="66" t="n"/>
      <c r="AB174" s="66" t="n"/>
      <c r="AC174" s="66" t="n"/>
      <c r="AD174" s="66" t="n"/>
      <c r="AE174" s="66" t="n"/>
      <c r="AF174" s="66" t="n"/>
      <c r="AG174" s="66" t="n"/>
      <c r="AH174" s="66" t="n"/>
      <c r="AI174" s="66" t="n"/>
      <c r="AJ174" s="66" t="n"/>
      <c r="AK174" s="66" t="n"/>
      <c r="AL174" s="66" t="n"/>
      <c r="AM174" s="66" t="n"/>
      <c r="AN174" s="66" t="n"/>
      <c r="AO174" s="66" t="n"/>
      <c r="AP174" s="66" t="n"/>
      <c r="AQ174" s="66" t="n">
        <v>186930000</v>
      </c>
      <c r="AS174" s="67">
        <f>RANDBETWEEN(1,5)*1000000</f>
        <v/>
      </c>
    </row>
    <row r="175">
      <c r="A175" s="60" t="n">
        <v>34304</v>
      </c>
      <c r="B175" s="66" t="n"/>
      <c r="C175" s="66" t="n"/>
      <c r="D175" s="66" t="n"/>
      <c r="E175" s="66" t="n"/>
      <c r="F175" s="66" t="n"/>
      <c r="G175" s="66" t="n"/>
      <c r="H175" s="66" t="n"/>
      <c r="I175" s="66" t="n"/>
      <c r="J175" s="66" t="n"/>
      <c r="K175" s="66" t="n"/>
      <c r="L175" s="66" t="n"/>
      <c r="M175" s="66" t="n"/>
      <c r="N175" s="66" t="n"/>
      <c r="O175" s="66" t="n"/>
      <c r="P175" s="66" t="n"/>
      <c r="Q175" s="66" t="n"/>
      <c r="R175" s="66" t="n"/>
      <c r="S175" s="66" t="n"/>
      <c r="T175" s="66" t="n"/>
      <c r="U175" s="66" t="n"/>
      <c r="V175" s="66" t="n"/>
      <c r="W175" s="66" t="n"/>
      <c r="X175" s="66" t="n"/>
      <c r="Y175" s="66" t="n"/>
      <c r="Z175" s="66" t="n"/>
      <c r="AA175" s="66" t="n"/>
      <c r="AB175" s="66" t="n"/>
      <c r="AC175" s="66" t="n"/>
      <c r="AD175" s="66" t="n"/>
      <c r="AE175" s="66" t="n"/>
      <c r="AF175" s="66" t="n"/>
      <c r="AG175" s="66" t="n"/>
      <c r="AH175" s="66" t="n"/>
      <c r="AI175" s="66" t="n"/>
      <c r="AJ175" s="66" t="n"/>
      <c r="AK175" s="66" t="n"/>
      <c r="AL175" s="66" t="n"/>
      <c r="AM175" s="66" t="n"/>
      <c r="AN175" s="66" t="n"/>
      <c r="AO175" s="66" t="n"/>
      <c r="AP175" s="66" t="n"/>
      <c r="AQ175" s="66" t="n">
        <v>186930000</v>
      </c>
      <c r="AS175" s="67">
        <f>RANDBETWEEN(1,5)*1000000</f>
        <v/>
      </c>
    </row>
    <row r="176">
      <c r="A176" s="60" t="n">
        <v>34335</v>
      </c>
      <c r="B176" s="66" t="n"/>
      <c r="C176" s="66" t="n"/>
      <c r="D176" s="66" t="n"/>
      <c r="E176" s="66" t="n"/>
      <c r="F176" s="66" t="n"/>
      <c r="G176" s="66" t="n"/>
      <c r="H176" s="66" t="n"/>
      <c r="I176" s="66" t="n"/>
      <c r="J176" s="66" t="n"/>
      <c r="K176" s="66" t="n"/>
      <c r="L176" s="66" t="n"/>
      <c r="M176" s="66" t="n"/>
      <c r="N176" s="66" t="n"/>
      <c r="O176" s="66" t="n"/>
      <c r="P176" s="66" t="n"/>
      <c r="Q176" s="66" t="n"/>
      <c r="R176" s="66" t="n"/>
      <c r="S176" s="66" t="n"/>
      <c r="T176" s="66" t="n"/>
      <c r="U176" s="66" t="n"/>
      <c r="V176" s="66" t="n"/>
      <c r="W176" s="66" t="n"/>
      <c r="X176" s="66" t="n"/>
      <c r="Y176" s="66" t="n"/>
      <c r="Z176" s="66" t="n"/>
      <c r="AA176" s="66" t="n"/>
      <c r="AB176" s="66" t="n"/>
      <c r="AC176" s="66" t="n"/>
      <c r="AD176" s="66" t="n"/>
      <c r="AE176" s="66" t="n"/>
      <c r="AF176" s="66" t="n"/>
      <c r="AG176" s="66" t="n"/>
      <c r="AH176" s="66" t="n"/>
      <c r="AI176" s="66" t="n"/>
      <c r="AJ176" s="66" t="n"/>
      <c r="AK176" s="66" t="n"/>
      <c r="AL176" s="66" t="n"/>
      <c r="AM176" s="66" t="n"/>
      <c r="AN176" s="66" t="n"/>
      <c r="AO176" s="66" t="n"/>
      <c r="AP176" s="66" t="n"/>
      <c r="AQ176" s="66" t="n">
        <v>186930000</v>
      </c>
      <c r="AS176" s="67">
        <f>RANDBETWEEN(1,5)*1000000</f>
        <v/>
      </c>
    </row>
    <row r="177">
      <c r="A177" s="60" t="n">
        <v>34366</v>
      </c>
      <c r="B177" s="66" t="n"/>
      <c r="C177" s="66" t="n"/>
      <c r="D177" s="66" t="n"/>
      <c r="E177" s="66" t="n"/>
      <c r="F177" s="66" t="n"/>
      <c r="G177" s="66" t="n"/>
      <c r="H177" s="66" t="n"/>
      <c r="I177" s="66" t="n"/>
      <c r="J177" s="66" t="n"/>
      <c r="K177" s="66" t="n"/>
      <c r="L177" s="66" t="n"/>
      <c r="M177" s="66" t="n"/>
      <c r="N177" s="66" t="n"/>
      <c r="O177" s="66" t="n"/>
      <c r="P177" s="66" t="n"/>
      <c r="Q177" s="66" t="n"/>
      <c r="R177" s="66" t="n"/>
      <c r="S177" s="66" t="n"/>
      <c r="T177" s="66" t="n"/>
      <c r="U177" s="66" t="n"/>
      <c r="V177" s="66" t="n"/>
      <c r="W177" s="66" t="n"/>
      <c r="X177" s="66" t="n"/>
      <c r="Y177" s="66" t="n"/>
      <c r="Z177" s="66" t="n"/>
      <c r="AA177" s="66" t="n"/>
      <c r="AB177" s="66" t="n"/>
      <c r="AC177" s="66" t="n"/>
      <c r="AD177" s="66" t="n"/>
      <c r="AE177" s="66" t="n"/>
      <c r="AF177" s="66" t="n"/>
      <c r="AG177" s="66" t="n"/>
      <c r="AH177" s="66" t="n"/>
      <c r="AI177" s="66" t="n"/>
      <c r="AJ177" s="66" t="n"/>
      <c r="AK177" s="66" t="n"/>
      <c r="AL177" s="66" t="n"/>
      <c r="AM177" s="66" t="n"/>
      <c r="AN177" s="66" t="n"/>
      <c r="AO177" s="66" t="n"/>
      <c r="AP177" s="66" t="n"/>
      <c r="AQ177" s="66" t="n">
        <v>186930000</v>
      </c>
      <c r="AS177" s="67">
        <f>RANDBETWEEN(1,5)*1000000</f>
        <v/>
      </c>
    </row>
    <row r="178">
      <c r="A178" s="60" t="n">
        <v>34394</v>
      </c>
      <c r="B178" s="66" t="n"/>
      <c r="C178" s="66" t="n"/>
      <c r="D178" s="66" t="n"/>
      <c r="E178" s="66" t="n"/>
      <c r="F178" s="66" t="n"/>
      <c r="G178" s="66" t="n"/>
      <c r="H178" s="66" t="n"/>
      <c r="I178" s="66" t="n"/>
      <c r="J178" s="66" t="n"/>
      <c r="K178" s="66" t="n"/>
      <c r="L178" s="66" t="n"/>
      <c r="M178" s="66" t="n"/>
      <c r="N178" s="66" t="n"/>
      <c r="O178" s="66" t="n"/>
      <c r="P178" s="66" t="n"/>
      <c r="Q178" s="66" t="n"/>
      <c r="R178" s="66" t="n"/>
      <c r="S178" s="66" t="n"/>
      <c r="T178" s="66" t="n"/>
      <c r="U178" s="66" t="n"/>
      <c r="V178" s="66" t="n"/>
      <c r="W178" s="66" t="n"/>
      <c r="X178" s="66" t="n"/>
      <c r="Y178" s="66" t="n"/>
      <c r="Z178" s="66" t="n"/>
      <c r="AA178" s="66" t="n"/>
      <c r="AB178" s="66" t="n"/>
      <c r="AC178" s="66" t="n"/>
      <c r="AD178" s="66" t="n"/>
      <c r="AE178" s="66" t="n"/>
      <c r="AF178" s="66" t="n"/>
      <c r="AG178" s="66" t="n"/>
      <c r="AH178" s="66" t="n"/>
      <c r="AI178" s="66" t="n"/>
      <c r="AJ178" s="66" t="n"/>
      <c r="AK178" s="66" t="n"/>
      <c r="AL178" s="66" t="n"/>
      <c r="AM178" s="66" t="n"/>
      <c r="AN178" s="66" t="n"/>
      <c r="AO178" s="66" t="n"/>
      <c r="AP178" s="66" t="n"/>
      <c r="AQ178" s="66" t="n">
        <v>186930000</v>
      </c>
      <c r="AS178" s="67">
        <f>RANDBETWEEN(1,5)*1000000</f>
        <v/>
      </c>
    </row>
    <row r="179">
      <c r="A179" s="60" t="n">
        <v>34425</v>
      </c>
      <c r="B179" s="66" t="n"/>
      <c r="C179" s="66" t="n"/>
      <c r="D179" s="66" t="n"/>
      <c r="E179" s="66" t="n"/>
      <c r="F179" s="66" t="n"/>
      <c r="G179" s="66" t="n"/>
      <c r="H179" s="66" t="n"/>
      <c r="I179" s="66" t="n"/>
      <c r="J179" s="66" t="n"/>
      <c r="K179" s="66" t="n"/>
      <c r="L179" s="66" t="n"/>
      <c r="M179" s="66" t="n"/>
      <c r="N179" s="66" t="n"/>
      <c r="O179" s="66" t="n"/>
      <c r="P179" s="66" t="n"/>
      <c r="Q179" s="66" t="n"/>
      <c r="R179" s="66" t="n"/>
      <c r="S179" s="66" t="n"/>
      <c r="T179" s="66" t="n"/>
      <c r="U179" s="66" t="n"/>
      <c r="V179" s="66" t="n"/>
      <c r="W179" s="66" t="n"/>
      <c r="X179" s="66" t="n"/>
      <c r="Y179" s="66" t="n"/>
      <c r="Z179" s="66" t="n"/>
      <c r="AA179" s="66" t="n"/>
      <c r="AB179" s="66" t="n"/>
      <c r="AC179" s="66" t="n"/>
      <c r="AD179" s="66" t="n"/>
      <c r="AE179" s="66" t="n"/>
      <c r="AF179" s="66" t="n"/>
      <c r="AG179" s="66" t="n"/>
      <c r="AH179" s="66" t="n"/>
      <c r="AI179" s="66" t="n"/>
      <c r="AJ179" s="66" t="n"/>
      <c r="AK179" s="66" t="n"/>
      <c r="AL179" s="66" t="n"/>
      <c r="AM179" s="66" t="n"/>
      <c r="AN179" s="66" t="n"/>
      <c r="AO179" s="66" t="n"/>
      <c r="AP179" s="66" t="n"/>
      <c r="AQ179" s="66" t="n">
        <v>186930000</v>
      </c>
      <c r="AS179" s="67">
        <f>RANDBETWEEN(1,5)*1000000</f>
        <v/>
      </c>
    </row>
    <row r="180">
      <c r="A180" s="60" t="n">
        <v>34455</v>
      </c>
      <c r="B180" s="66" t="n"/>
      <c r="C180" s="66" t="n"/>
      <c r="D180" s="66" t="n"/>
      <c r="E180" s="66" t="n"/>
      <c r="F180" s="66" t="n"/>
      <c r="G180" s="66" t="n"/>
      <c r="H180" s="66" t="n"/>
      <c r="I180" s="66" t="n"/>
      <c r="J180" s="66" t="n"/>
      <c r="K180" s="66" t="n"/>
      <c r="L180" s="66" t="n"/>
      <c r="M180" s="66" t="n"/>
      <c r="N180" s="66" t="n"/>
      <c r="O180" s="66" t="n"/>
      <c r="P180" s="66" t="n"/>
      <c r="Q180" s="66" t="n"/>
      <c r="R180" s="66" t="n"/>
      <c r="S180" s="66" t="n"/>
      <c r="T180" s="66" t="n"/>
      <c r="U180" s="66" t="n"/>
      <c r="V180" s="66" t="n"/>
      <c r="W180" s="66" t="n"/>
      <c r="X180" s="66" t="n"/>
      <c r="Y180" s="66" t="n"/>
      <c r="Z180" s="66" t="n"/>
      <c r="AA180" s="66" t="n"/>
      <c r="AB180" s="66" t="n"/>
      <c r="AC180" s="66" t="n"/>
      <c r="AD180" s="66" t="n"/>
      <c r="AE180" s="66" t="n"/>
      <c r="AF180" s="66" t="n"/>
      <c r="AG180" s="66" t="n"/>
      <c r="AH180" s="66" t="n"/>
      <c r="AI180" s="66" t="n"/>
      <c r="AJ180" s="66" t="n"/>
      <c r="AK180" s="66" t="n"/>
      <c r="AL180" s="66" t="n"/>
      <c r="AM180" s="66" t="n"/>
      <c r="AN180" s="66" t="n"/>
      <c r="AO180" s="66" t="n"/>
      <c r="AP180" s="66" t="n"/>
      <c r="AQ180" s="66" t="n">
        <v>186930000</v>
      </c>
      <c r="AS180" s="67">
        <f>RANDBETWEEN(1,5)*1000000</f>
        <v/>
      </c>
    </row>
    <row r="181">
      <c r="A181" s="60" t="n">
        <v>34486</v>
      </c>
      <c r="B181" s="66" t="n"/>
      <c r="C181" s="66" t="n"/>
      <c r="D181" s="66" t="n"/>
      <c r="E181" s="66" t="n"/>
      <c r="F181" s="66" t="n"/>
      <c r="G181" s="66" t="n"/>
      <c r="H181" s="66" t="n"/>
      <c r="I181" s="66" t="n"/>
      <c r="J181" s="66" t="n"/>
      <c r="K181" s="66" t="n"/>
      <c r="L181" s="66" t="n"/>
      <c r="M181" s="66" t="n"/>
      <c r="N181" s="66" t="n"/>
      <c r="O181" s="66" t="n"/>
      <c r="P181" s="66" t="n"/>
      <c r="Q181" s="66" t="n"/>
      <c r="R181" s="66" t="n"/>
      <c r="S181" s="66" t="n"/>
      <c r="T181" s="66" t="n"/>
      <c r="U181" s="66" t="n"/>
      <c r="V181" s="66" t="n"/>
      <c r="W181" s="66" t="n"/>
      <c r="X181" s="66" t="n"/>
      <c r="Y181" s="66" t="n"/>
      <c r="Z181" s="66" t="n"/>
      <c r="AA181" s="66" t="n"/>
      <c r="AB181" s="66" t="n"/>
      <c r="AC181" s="66" t="n"/>
      <c r="AD181" s="66" t="n"/>
      <c r="AE181" s="66" t="n"/>
      <c r="AF181" s="66" t="n"/>
      <c r="AG181" s="66" t="n"/>
      <c r="AH181" s="66" t="n"/>
      <c r="AI181" s="66" t="n"/>
      <c r="AJ181" s="66" t="n"/>
      <c r="AK181" s="66" t="n"/>
      <c r="AL181" s="66" t="n"/>
      <c r="AM181" s="66" t="n"/>
      <c r="AN181" s="66" t="n"/>
      <c r="AO181" s="66" t="n"/>
      <c r="AP181" s="66" t="n"/>
      <c r="AQ181" s="66" t="n">
        <v>186930000</v>
      </c>
      <c r="AS181" s="67">
        <f>RANDBETWEEN(1,5)*1000000</f>
        <v/>
      </c>
    </row>
    <row r="182">
      <c r="A182" s="60" t="n">
        <v>34516</v>
      </c>
      <c r="B182" s="66" t="n"/>
      <c r="C182" s="66" t="n"/>
      <c r="D182" s="66" t="n"/>
      <c r="E182" s="66" t="n"/>
      <c r="F182" s="66" t="n"/>
      <c r="G182" s="66" t="n"/>
      <c r="H182" s="66" t="n"/>
      <c r="I182" s="66" t="n"/>
      <c r="J182" s="66" t="n"/>
      <c r="K182" s="66" t="n"/>
      <c r="L182" s="66" t="n"/>
      <c r="M182" s="66" t="n"/>
      <c r="N182" s="66" t="n"/>
      <c r="O182" s="66" t="n"/>
      <c r="P182" s="66" t="n"/>
      <c r="Q182" s="66" t="n"/>
      <c r="R182" s="66" t="n"/>
      <c r="S182" s="66" t="n"/>
      <c r="T182" s="66" t="n"/>
      <c r="U182" s="66" t="n"/>
      <c r="V182" s="66" t="n"/>
      <c r="W182" s="66" t="n"/>
      <c r="X182" s="66" t="n"/>
      <c r="Y182" s="66" t="n"/>
      <c r="Z182" s="66" t="n"/>
      <c r="AA182" s="66" t="n"/>
      <c r="AB182" s="66" t="n"/>
      <c r="AC182" s="66" t="n"/>
      <c r="AD182" s="66" t="n"/>
      <c r="AE182" s="66" t="n"/>
      <c r="AF182" s="66" t="n"/>
      <c r="AG182" s="66" t="n"/>
      <c r="AH182" s="66" t="n"/>
      <c r="AI182" s="66" t="n"/>
      <c r="AJ182" s="66" t="n"/>
      <c r="AK182" s="66" t="n"/>
      <c r="AL182" s="66" t="n"/>
      <c r="AM182" s="66" t="n"/>
      <c r="AN182" s="66" t="n"/>
      <c r="AO182" s="66" t="n"/>
      <c r="AP182" s="66" t="n"/>
      <c r="AQ182" s="66" t="n">
        <v>186930000</v>
      </c>
      <c r="AS182" s="67">
        <f>RANDBETWEEN(1,5)*1000000</f>
        <v/>
      </c>
    </row>
    <row r="183">
      <c r="A183" s="60" t="n">
        <v>34547</v>
      </c>
      <c r="B183" s="66" t="n"/>
      <c r="C183" s="66" t="n"/>
      <c r="D183" s="66" t="n"/>
      <c r="E183" s="66" t="n"/>
      <c r="F183" s="66" t="n"/>
      <c r="G183" s="66" t="n"/>
      <c r="H183" s="66" t="n"/>
      <c r="I183" s="66" t="n"/>
      <c r="J183" s="66" t="n"/>
      <c r="K183" s="66" t="n"/>
      <c r="L183" s="66" t="n"/>
      <c r="M183" s="66" t="n"/>
      <c r="N183" s="66" t="n"/>
      <c r="O183" s="66" t="n"/>
      <c r="P183" s="66" t="n"/>
      <c r="Q183" s="66" t="n"/>
      <c r="R183" s="66" t="n"/>
      <c r="S183" s="66" t="n"/>
      <c r="T183" s="66" t="n"/>
      <c r="U183" s="66" t="n"/>
      <c r="V183" s="66" t="n"/>
      <c r="W183" s="66" t="n"/>
      <c r="X183" s="66" t="n"/>
      <c r="Y183" s="66" t="n"/>
      <c r="Z183" s="66" t="n"/>
      <c r="AA183" s="66" t="n"/>
      <c r="AB183" s="66" t="n"/>
      <c r="AC183" s="66" t="n"/>
      <c r="AD183" s="66" t="n"/>
      <c r="AE183" s="66" t="n"/>
      <c r="AF183" s="66" t="n"/>
      <c r="AG183" s="66" t="n"/>
      <c r="AH183" s="66" t="n"/>
      <c r="AI183" s="66" t="n"/>
      <c r="AJ183" s="66" t="n"/>
      <c r="AK183" s="66" t="n"/>
      <c r="AL183" s="66" t="n"/>
      <c r="AM183" s="66" t="n"/>
      <c r="AN183" s="66" t="n"/>
      <c r="AO183" s="66" t="n"/>
      <c r="AP183" s="66" t="n"/>
      <c r="AQ183" s="66" t="n">
        <v>186930000</v>
      </c>
      <c r="AS183" s="67">
        <f>RANDBETWEEN(1,5)*1000000</f>
        <v/>
      </c>
    </row>
    <row r="184">
      <c r="A184" s="60" t="n">
        <v>34578</v>
      </c>
      <c r="B184" s="66" t="n"/>
      <c r="C184" s="66" t="n"/>
      <c r="D184" s="66" t="n"/>
      <c r="E184" s="66" t="n"/>
      <c r="F184" s="66" t="n"/>
      <c r="G184" s="66" t="n"/>
      <c r="H184" s="66" t="n"/>
      <c r="I184" s="66" t="n"/>
      <c r="J184" s="66" t="n"/>
      <c r="K184" s="66" t="n"/>
      <c r="L184" s="66" t="n"/>
      <c r="M184" s="66" t="n"/>
      <c r="N184" s="66" t="n"/>
      <c r="O184" s="66" t="n"/>
      <c r="P184" s="66" t="n"/>
      <c r="Q184" s="66" t="n"/>
      <c r="R184" s="66" t="n"/>
      <c r="S184" s="66" t="n"/>
      <c r="T184" s="66" t="n"/>
      <c r="U184" s="66" t="n"/>
      <c r="V184" s="66" t="n"/>
      <c r="W184" s="66" t="n"/>
      <c r="X184" s="66" t="n"/>
      <c r="Y184" s="66" t="n"/>
      <c r="Z184" s="66" t="n"/>
      <c r="AA184" s="66" t="n"/>
      <c r="AB184" s="66" t="n"/>
      <c r="AC184" s="66" t="n"/>
      <c r="AD184" s="66" t="n"/>
      <c r="AE184" s="66" t="n"/>
      <c r="AF184" s="66" t="n"/>
      <c r="AG184" s="66" t="n"/>
      <c r="AH184" s="66" t="n"/>
      <c r="AI184" s="66" t="n"/>
      <c r="AJ184" s="66" t="n"/>
      <c r="AK184" s="66" t="n"/>
      <c r="AL184" s="66" t="n"/>
      <c r="AM184" s="66" t="n"/>
      <c r="AN184" s="66" t="n"/>
      <c r="AO184" s="66" t="n"/>
      <c r="AP184" s="66" t="n"/>
      <c r="AQ184" s="66" t="n">
        <v>186930000</v>
      </c>
      <c r="AS184" s="67">
        <f>RANDBETWEEN(1,5)*1000000</f>
        <v/>
      </c>
    </row>
    <row r="185">
      <c r="A185" s="60" t="n">
        <v>34608</v>
      </c>
      <c r="B185" s="66" t="n"/>
      <c r="C185" s="66" t="n"/>
      <c r="D185" s="66" t="n"/>
      <c r="E185" s="66" t="n"/>
      <c r="F185" s="66" t="n"/>
      <c r="G185" s="66" t="n"/>
      <c r="H185" s="66" t="n"/>
      <c r="I185" s="66" t="n"/>
      <c r="J185" s="66" t="n"/>
      <c r="K185" s="66" t="n"/>
      <c r="L185" s="66" t="n"/>
      <c r="M185" s="66" t="n"/>
      <c r="N185" s="66" t="n"/>
      <c r="O185" s="66" t="n"/>
      <c r="P185" s="66" t="n"/>
      <c r="Q185" s="66" t="n"/>
      <c r="R185" s="66" t="n"/>
      <c r="S185" s="66" t="n"/>
      <c r="T185" s="66" t="n"/>
      <c r="U185" s="66" t="n"/>
      <c r="V185" s="66" t="n"/>
      <c r="W185" s="66" t="n"/>
      <c r="X185" s="66" t="n"/>
      <c r="Y185" s="66" t="n"/>
      <c r="Z185" s="66" t="n"/>
      <c r="AA185" s="66" t="n"/>
      <c r="AB185" s="66" t="n"/>
      <c r="AC185" s="66" t="n"/>
      <c r="AD185" s="66" t="n"/>
      <c r="AE185" s="66" t="n"/>
      <c r="AF185" s="66" t="n"/>
      <c r="AG185" s="66" t="n"/>
      <c r="AH185" s="66" t="n"/>
      <c r="AI185" s="66" t="n"/>
      <c r="AJ185" s="66" t="n"/>
      <c r="AK185" s="66" t="n"/>
      <c r="AL185" s="66" t="n"/>
      <c r="AM185" s="66" t="n"/>
      <c r="AN185" s="66" t="n"/>
      <c r="AO185" s="66" t="n"/>
      <c r="AP185" s="66" t="n"/>
      <c r="AQ185" s="66" t="n">
        <v>186930000</v>
      </c>
      <c r="AS185" s="67">
        <f>RANDBETWEEN(1,5)*1000000</f>
        <v/>
      </c>
    </row>
    <row r="186">
      <c r="A186" s="60" t="n">
        <v>34639</v>
      </c>
      <c r="B186" s="66" t="n"/>
      <c r="C186" s="66" t="n"/>
      <c r="D186" s="66" t="n"/>
      <c r="E186" s="66" t="n"/>
      <c r="F186" s="66" t="n"/>
      <c r="G186" s="66" t="n"/>
      <c r="H186" s="66" t="n"/>
      <c r="I186" s="66" t="n"/>
      <c r="J186" s="66" t="n"/>
      <c r="K186" s="66" t="n"/>
      <c r="L186" s="66" t="n"/>
      <c r="M186" s="66" t="n"/>
      <c r="N186" s="66" t="n"/>
      <c r="O186" s="66" t="n"/>
      <c r="P186" s="66" t="n"/>
      <c r="Q186" s="66" t="n"/>
      <c r="R186" s="66" t="n"/>
      <c r="S186" s="66" t="n"/>
      <c r="T186" s="66" t="n"/>
      <c r="U186" s="66" t="n"/>
      <c r="V186" s="66" t="n"/>
      <c r="W186" s="66" t="n"/>
      <c r="X186" s="66" t="n"/>
      <c r="Y186" s="66" t="n"/>
      <c r="Z186" s="66" t="n"/>
      <c r="AA186" s="66" t="n"/>
      <c r="AB186" s="66" t="n"/>
      <c r="AC186" s="66" t="n"/>
      <c r="AD186" s="66" t="n"/>
      <c r="AE186" s="66" t="n"/>
      <c r="AF186" s="66" t="n"/>
      <c r="AG186" s="66" t="n"/>
      <c r="AH186" s="66" t="n"/>
      <c r="AI186" s="66" t="n"/>
      <c r="AJ186" s="66" t="n"/>
      <c r="AK186" s="66" t="n"/>
      <c r="AL186" s="66" t="n"/>
      <c r="AM186" s="66" t="n"/>
      <c r="AN186" s="66" t="n"/>
      <c r="AO186" s="66" t="n"/>
      <c r="AP186" s="66" t="n"/>
      <c r="AQ186" s="66" t="n">
        <v>186930000</v>
      </c>
      <c r="AS186" s="67">
        <f>RANDBETWEEN(1,5)*1000000</f>
        <v/>
      </c>
    </row>
    <row r="187">
      <c r="A187" s="60" t="n">
        <v>34669</v>
      </c>
      <c r="B187" s="66" t="n"/>
      <c r="C187" s="66" t="n"/>
      <c r="D187" s="66" t="n"/>
      <c r="E187" s="66" t="n"/>
      <c r="F187" s="66" t="n"/>
      <c r="G187" s="66" t="n"/>
      <c r="H187" s="66" t="n"/>
      <c r="I187" s="66" t="n"/>
      <c r="J187" s="66" t="n"/>
      <c r="K187" s="66" t="n"/>
      <c r="L187" s="66" t="n"/>
      <c r="M187" s="66" t="n"/>
      <c r="N187" s="66" t="n"/>
      <c r="O187" s="66" t="n"/>
      <c r="P187" s="66" t="n"/>
      <c r="Q187" s="66" t="n"/>
      <c r="R187" s="66" t="n"/>
      <c r="S187" s="66" t="n"/>
      <c r="T187" s="66" t="n"/>
      <c r="U187" s="66" t="n"/>
      <c r="V187" s="66" t="n"/>
      <c r="W187" s="66" t="n"/>
      <c r="X187" s="66" t="n"/>
      <c r="Y187" s="66" t="n"/>
      <c r="Z187" s="66" t="n"/>
      <c r="AA187" s="66" t="n"/>
      <c r="AB187" s="66" t="n"/>
      <c r="AC187" s="66" t="n"/>
      <c r="AD187" s="66" t="n"/>
      <c r="AE187" s="66" t="n"/>
      <c r="AF187" s="66" t="n"/>
      <c r="AG187" s="66" t="n"/>
      <c r="AH187" s="66" t="n"/>
      <c r="AI187" s="66" t="n"/>
      <c r="AJ187" s="66" t="n"/>
      <c r="AK187" s="66" t="n"/>
      <c r="AL187" s="66" t="n"/>
      <c r="AM187" s="66" t="n"/>
      <c r="AN187" s="66" t="n"/>
      <c r="AO187" s="66" t="n"/>
      <c r="AP187" s="66" t="n"/>
      <c r="AQ187" s="66" t="n">
        <v>186930000</v>
      </c>
      <c r="AS187" s="67">
        <f>RANDBETWEEN(1,5)*1000000</f>
        <v/>
      </c>
    </row>
    <row r="188">
      <c r="A188" s="60" t="n">
        <v>34700</v>
      </c>
      <c r="B188" s="66" t="n"/>
      <c r="C188" s="66" t="n"/>
      <c r="D188" s="66" t="n"/>
      <c r="E188" s="66" t="n"/>
      <c r="F188" s="66" t="n"/>
      <c r="G188" s="66" t="n"/>
      <c r="H188" s="66" t="n"/>
      <c r="I188" s="66" t="n"/>
      <c r="J188" s="66" t="n"/>
      <c r="K188" s="66" t="n"/>
      <c r="L188" s="66" t="n"/>
      <c r="M188" s="66" t="n"/>
      <c r="N188" s="66" t="n"/>
      <c r="O188" s="66" t="n"/>
      <c r="P188" s="66" t="n"/>
      <c r="Q188" s="66" t="n"/>
      <c r="R188" s="66" t="n"/>
      <c r="S188" s="66" t="n"/>
      <c r="T188" s="66" t="n"/>
      <c r="U188" s="66" t="n"/>
      <c r="V188" s="66" t="n"/>
      <c r="W188" s="66" t="n"/>
      <c r="X188" s="66" t="n"/>
      <c r="Y188" s="66" t="n"/>
      <c r="Z188" s="66" t="n"/>
      <c r="AA188" s="66" t="n"/>
      <c r="AB188" s="66" t="n"/>
      <c r="AC188" s="66" t="n"/>
      <c r="AD188" s="66" t="n"/>
      <c r="AE188" s="66" t="n"/>
      <c r="AF188" s="66" t="n"/>
      <c r="AG188" s="66" t="n"/>
      <c r="AH188" s="66" t="n"/>
      <c r="AI188" s="66" t="n"/>
      <c r="AJ188" s="66" t="n"/>
      <c r="AK188" s="66" t="n"/>
      <c r="AL188" s="66" t="n"/>
      <c r="AM188" s="66" t="n"/>
      <c r="AN188" s="66" t="n"/>
      <c r="AO188" s="66" t="n"/>
      <c r="AP188" s="66" t="n"/>
      <c r="AQ188" s="66" t="n">
        <v>186930000</v>
      </c>
      <c r="AS188" s="67">
        <f>RANDBETWEEN(1,5)*1000000</f>
        <v/>
      </c>
    </row>
    <row r="189">
      <c r="A189" s="60" t="n">
        <v>34731</v>
      </c>
      <c r="B189" s="66" t="n"/>
      <c r="C189" s="66" t="n"/>
      <c r="D189" s="66" t="n"/>
      <c r="E189" s="66" t="n"/>
      <c r="F189" s="66" t="n"/>
      <c r="G189" s="66" t="n"/>
      <c r="H189" s="66" t="n"/>
      <c r="I189" s="66" t="n"/>
      <c r="J189" s="66" t="n"/>
      <c r="K189" s="66" t="n"/>
      <c r="L189" s="66" t="n"/>
      <c r="M189" s="66" t="n"/>
      <c r="N189" s="66" t="n"/>
      <c r="O189" s="66" t="n"/>
      <c r="P189" s="66" t="n"/>
      <c r="Q189" s="66" t="n"/>
      <c r="R189" s="66" t="n"/>
      <c r="S189" s="66" t="n"/>
      <c r="T189" s="66" t="n"/>
      <c r="U189" s="66" t="n"/>
      <c r="V189" s="66" t="n"/>
      <c r="W189" s="66" t="n"/>
      <c r="X189" s="66" t="n"/>
      <c r="Y189" s="66" t="n"/>
      <c r="Z189" s="66" t="n"/>
      <c r="AA189" s="66" t="n"/>
      <c r="AB189" s="66" t="n"/>
      <c r="AC189" s="66" t="n"/>
      <c r="AD189" s="66" t="n"/>
      <c r="AE189" s="66" t="n"/>
      <c r="AF189" s="66" t="n"/>
      <c r="AG189" s="66" t="n"/>
      <c r="AH189" s="66" t="n"/>
      <c r="AI189" s="66" t="n"/>
      <c r="AJ189" s="66" t="n"/>
      <c r="AK189" s="66" t="n"/>
      <c r="AL189" s="66" t="n"/>
      <c r="AM189" s="66" t="n"/>
      <c r="AN189" s="66" t="n"/>
      <c r="AO189" s="66" t="n"/>
      <c r="AP189" s="66" t="n"/>
      <c r="AQ189" s="66" t="n">
        <v>186930000</v>
      </c>
      <c r="AS189" s="67">
        <f>RANDBETWEEN(1,5)*1000000</f>
        <v/>
      </c>
    </row>
    <row r="190">
      <c r="A190" s="60" t="n">
        <v>34759</v>
      </c>
      <c r="B190" s="66" t="n"/>
      <c r="C190" s="66" t="n"/>
      <c r="D190" s="66" t="n"/>
      <c r="E190" s="66" t="n"/>
      <c r="F190" s="66" t="n"/>
      <c r="G190" s="66" t="n"/>
      <c r="H190" s="66" t="n"/>
      <c r="I190" s="66" t="n"/>
      <c r="J190" s="66" t="n"/>
      <c r="K190" s="66" t="n"/>
      <c r="L190" s="66" t="n"/>
      <c r="M190" s="66" t="n"/>
      <c r="N190" s="66" t="n"/>
      <c r="O190" s="66" t="n"/>
      <c r="P190" s="66" t="n"/>
      <c r="Q190" s="66" t="n"/>
      <c r="R190" s="66" t="n"/>
      <c r="S190" s="66" t="n"/>
      <c r="T190" s="66" t="n"/>
      <c r="U190" s="66" t="n"/>
      <c r="V190" s="66" t="n"/>
      <c r="W190" s="66" t="n"/>
      <c r="X190" s="66" t="n"/>
      <c r="Y190" s="66" t="n"/>
      <c r="Z190" s="66" t="n"/>
      <c r="AA190" s="66" t="n"/>
      <c r="AB190" s="66" t="n"/>
      <c r="AC190" s="66" t="n"/>
      <c r="AD190" s="66" t="n"/>
      <c r="AE190" s="66" t="n"/>
      <c r="AF190" s="66" t="n"/>
      <c r="AG190" s="66" t="n"/>
      <c r="AH190" s="66" t="n"/>
      <c r="AI190" s="66" t="n"/>
      <c r="AJ190" s="66" t="n"/>
      <c r="AK190" s="66" t="n"/>
      <c r="AL190" s="66" t="n"/>
      <c r="AM190" s="66" t="n"/>
      <c r="AN190" s="66" t="n"/>
      <c r="AO190" s="66" t="n"/>
      <c r="AP190" s="66" t="n"/>
      <c r="AQ190" s="66" t="n">
        <v>186930000</v>
      </c>
      <c r="AS190" s="67">
        <f>RANDBETWEEN(1,5)*1000000</f>
        <v/>
      </c>
    </row>
    <row r="191">
      <c r="A191" s="60" t="n">
        <v>34790</v>
      </c>
      <c r="B191" s="66" t="n"/>
      <c r="C191" s="66" t="n"/>
      <c r="D191" s="66" t="n"/>
      <c r="E191" s="66" t="n"/>
      <c r="F191" s="66" t="n"/>
      <c r="G191" s="66" t="n"/>
      <c r="H191" s="66" t="n"/>
      <c r="I191" s="66" t="n"/>
      <c r="J191" s="66" t="n"/>
      <c r="K191" s="66" t="n"/>
      <c r="L191" s="66" t="n"/>
      <c r="M191" s="66" t="n"/>
      <c r="N191" s="66" t="n"/>
      <c r="O191" s="66" t="n"/>
      <c r="P191" s="66" t="n"/>
      <c r="Q191" s="66" t="n"/>
      <c r="R191" s="66" t="n"/>
      <c r="S191" s="66" t="n"/>
      <c r="T191" s="66" t="n"/>
      <c r="U191" s="66" t="n"/>
      <c r="V191" s="66" t="n"/>
      <c r="W191" s="66" t="n"/>
      <c r="X191" s="66" t="n"/>
      <c r="Y191" s="66" t="n"/>
      <c r="Z191" s="66" t="n"/>
      <c r="AA191" s="66" t="n"/>
      <c r="AB191" s="66" t="n"/>
      <c r="AC191" s="66" t="n"/>
      <c r="AD191" s="66" t="n"/>
      <c r="AE191" s="66" t="n"/>
      <c r="AF191" s="66" t="n"/>
      <c r="AG191" s="66" t="n"/>
      <c r="AH191" s="66" t="n"/>
      <c r="AI191" s="66" t="n"/>
      <c r="AJ191" s="66" t="n"/>
      <c r="AK191" s="66" t="n"/>
      <c r="AL191" s="66" t="n"/>
      <c r="AM191" s="66" t="n"/>
      <c r="AN191" s="66" t="n"/>
      <c r="AO191" s="66" t="n"/>
      <c r="AP191" s="66" t="n"/>
      <c r="AQ191" s="66" t="n">
        <v>186930000</v>
      </c>
      <c r="AS191" s="67">
        <f>RANDBETWEEN(1,5)*1000000</f>
        <v/>
      </c>
    </row>
    <row r="192">
      <c r="A192" s="60" t="n">
        <v>34820</v>
      </c>
      <c r="B192" s="66" t="n"/>
      <c r="C192" s="66" t="n"/>
      <c r="D192" s="66" t="n"/>
      <c r="E192" s="66" t="n"/>
      <c r="F192" s="66" t="n"/>
      <c r="G192" s="66" t="n"/>
      <c r="H192" s="66" t="n"/>
      <c r="I192" s="66" t="n"/>
      <c r="J192" s="66" t="n"/>
      <c r="K192" s="66" t="n"/>
      <c r="L192" s="66" t="n"/>
      <c r="M192" s="66" t="n"/>
      <c r="N192" s="66" t="n"/>
      <c r="O192" s="66" t="n"/>
      <c r="P192" s="66" t="n"/>
      <c r="Q192" s="66" t="n"/>
      <c r="R192" s="66" t="n"/>
      <c r="S192" s="66" t="n"/>
      <c r="T192" s="66" t="n"/>
      <c r="U192" s="66" t="n"/>
      <c r="V192" s="66" t="n"/>
      <c r="W192" s="66" t="n"/>
      <c r="X192" s="66" t="n"/>
      <c r="Y192" s="66" t="n"/>
      <c r="Z192" s="66" t="n"/>
      <c r="AA192" s="66" t="n"/>
      <c r="AB192" s="66" t="n"/>
      <c r="AC192" s="66" t="n"/>
      <c r="AD192" s="66" t="n"/>
      <c r="AE192" s="66" t="n"/>
      <c r="AF192" s="66" t="n"/>
      <c r="AG192" s="66" t="n"/>
      <c r="AH192" s="66" t="n"/>
      <c r="AI192" s="66" t="n"/>
      <c r="AJ192" s="66" t="n"/>
      <c r="AK192" s="66" t="n"/>
      <c r="AL192" s="66" t="n"/>
      <c r="AM192" s="66" t="n"/>
      <c r="AN192" s="66" t="n"/>
      <c r="AO192" s="66" t="n"/>
      <c r="AP192" s="66" t="n"/>
      <c r="AQ192" s="66" t="n">
        <v>186930000</v>
      </c>
      <c r="AS192" s="67">
        <f>RANDBETWEEN(1,5)*1000000</f>
        <v/>
      </c>
    </row>
    <row r="193">
      <c r="A193" s="60" t="n">
        <v>34851</v>
      </c>
      <c r="B193" s="66" t="n"/>
      <c r="C193" s="66" t="n"/>
      <c r="D193" s="66" t="n"/>
      <c r="E193" s="66" t="n"/>
      <c r="F193" s="66" t="n"/>
      <c r="G193" s="66" t="n"/>
      <c r="H193" s="66" t="n"/>
      <c r="I193" s="66" t="n"/>
      <c r="J193" s="66" t="n"/>
      <c r="K193" s="66" t="n"/>
      <c r="L193" s="66" t="n"/>
      <c r="M193" s="66" t="n"/>
      <c r="N193" s="66" t="n"/>
      <c r="O193" s="66" t="n"/>
      <c r="P193" s="66" t="n"/>
      <c r="Q193" s="66" t="n"/>
      <c r="R193" s="66" t="n"/>
      <c r="S193" s="66" t="n"/>
      <c r="T193" s="66" t="n"/>
      <c r="U193" s="66" t="n"/>
      <c r="V193" s="66" t="n"/>
      <c r="W193" s="66" t="n"/>
      <c r="X193" s="66" t="n"/>
      <c r="Y193" s="66" t="n"/>
      <c r="Z193" s="66" t="n"/>
      <c r="AA193" s="66" t="n"/>
      <c r="AB193" s="66" t="n"/>
      <c r="AC193" s="66" t="n"/>
      <c r="AD193" s="66" t="n"/>
      <c r="AE193" s="66" t="n"/>
      <c r="AF193" s="66" t="n"/>
      <c r="AG193" s="66" t="n"/>
      <c r="AH193" s="66" t="n"/>
      <c r="AI193" s="66" t="n"/>
      <c r="AJ193" s="66" t="n"/>
      <c r="AK193" s="66" t="n"/>
      <c r="AL193" s="66" t="n"/>
      <c r="AM193" s="66" t="n"/>
      <c r="AN193" s="66" t="n"/>
      <c r="AO193" s="66" t="n"/>
      <c r="AP193" s="66" t="n"/>
      <c r="AQ193" s="66" t="n">
        <v>186930000</v>
      </c>
      <c r="AS193" s="67">
        <f>RANDBETWEEN(1,5)*1000000</f>
        <v/>
      </c>
    </row>
    <row r="194">
      <c r="A194" s="60" t="n">
        <v>34881</v>
      </c>
      <c r="B194" s="66" t="n"/>
      <c r="C194" s="66" t="n"/>
      <c r="D194" s="66" t="n"/>
      <c r="E194" s="66" t="n"/>
      <c r="F194" s="66" t="n"/>
      <c r="G194" s="66" t="n"/>
      <c r="H194" s="66" t="n"/>
      <c r="I194" s="66" t="n"/>
      <c r="J194" s="66" t="n"/>
      <c r="K194" s="66" t="n"/>
      <c r="L194" s="66" t="n"/>
      <c r="M194" s="66" t="n"/>
      <c r="N194" s="66" t="n"/>
      <c r="O194" s="66" t="n"/>
      <c r="P194" s="66" t="n"/>
      <c r="Q194" s="66" t="n"/>
      <c r="R194" s="66" t="n"/>
      <c r="S194" s="66" t="n"/>
      <c r="T194" s="66" t="n"/>
      <c r="U194" s="66" t="n"/>
      <c r="V194" s="66" t="n"/>
      <c r="W194" s="66" t="n"/>
      <c r="X194" s="66" t="n"/>
      <c r="Y194" s="66" t="n"/>
      <c r="Z194" s="66" t="n"/>
      <c r="AA194" s="66" t="n"/>
      <c r="AB194" s="66" t="n"/>
      <c r="AC194" s="66" t="n"/>
      <c r="AD194" s="66" t="n"/>
      <c r="AE194" s="66" t="n"/>
      <c r="AF194" s="66" t="n"/>
      <c r="AG194" s="66" t="n"/>
      <c r="AH194" s="66" t="n"/>
      <c r="AI194" s="66" t="n"/>
      <c r="AJ194" s="66" t="n"/>
      <c r="AK194" s="66" t="n"/>
      <c r="AL194" s="66" t="n"/>
      <c r="AM194" s="66" t="n"/>
      <c r="AN194" s="66" t="n"/>
      <c r="AO194" s="66" t="n"/>
      <c r="AP194" s="66" t="n"/>
      <c r="AQ194" s="66" t="n">
        <v>186930000</v>
      </c>
      <c r="AS194" s="67">
        <f>RANDBETWEEN(1,5)*1000000</f>
        <v/>
      </c>
    </row>
    <row r="195">
      <c r="A195" s="60" t="n">
        <v>34912</v>
      </c>
      <c r="B195" s="66" t="n"/>
      <c r="C195" s="66" t="n"/>
      <c r="D195" s="66" t="n"/>
      <c r="E195" s="66" t="n"/>
      <c r="F195" s="66" t="n"/>
      <c r="G195" s="66" t="n"/>
      <c r="H195" s="66" t="n"/>
      <c r="I195" s="66" t="n"/>
      <c r="J195" s="66" t="n"/>
      <c r="K195" s="66" t="n"/>
      <c r="L195" s="66" t="n"/>
      <c r="M195" s="66" t="n"/>
      <c r="N195" s="66" t="n"/>
      <c r="O195" s="66" t="n"/>
      <c r="P195" s="66" t="n"/>
      <c r="Q195" s="66" t="n"/>
      <c r="R195" s="66" t="n"/>
      <c r="S195" s="66" t="n"/>
      <c r="T195" s="66" t="n"/>
      <c r="U195" s="66" t="n"/>
      <c r="V195" s="66" t="n"/>
      <c r="W195" s="66" t="n"/>
      <c r="X195" s="66" t="n"/>
      <c r="Y195" s="66" t="n"/>
      <c r="Z195" s="66" t="n"/>
      <c r="AA195" s="66" t="n"/>
      <c r="AB195" s="66" t="n"/>
      <c r="AC195" s="66" t="n"/>
      <c r="AD195" s="66" t="n"/>
      <c r="AE195" s="66" t="n"/>
      <c r="AF195" s="66" t="n"/>
      <c r="AG195" s="66" t="n"/>
      <c r="AH195" s="66" t="n"/>
      <c r="AI195" s="66" t="n"/>
      <c r="AJ195" s="66" t="n"/>
      <c r="AK195" s="66" t="n"/>
      <c r="AL195" s="66" t="n"/>
      <c r="AM195" s="66" t="n"/>
      <c r="AN195" s="66" t="n"/>
      <c r="AO195" s="66" t="n"/>
      <c r="AP195" s="66" t="n"/>
      <c r="AQ195" s="66" t="n">
        <v>186930000</v>
      </c>
      <c r="AS195" s="67">
        <f>RANDBETWEEN(1,5)*1000000</f>
        <v/>
      </c>
    </row>
    <row r="196">
      <c r="A196" s="60" t="n">
        <v>34943</v>
      </c>
      <c r="B196" s="66" t="n"/>
      <c r="C196" s="66" t="n"/>
      <c r="D196" s="66" t="n"/>
      <c r="E196" s="66" t="n"/>
      <c r="F196" s="66" t="n"/>
      <c r="G196" s="66" t="n"/>
      <c r="H196" s="66" t="n"/>
      <c r="I196" s="66" t="n"/>
      <c r="J196" s="66" t="n"/>
      <c r="K196" s="66" t="n"/>
      <c r="L196" s="66" t="n"/>
      <c r="M196" s="66" t="n"/>
      <c r="N196" s="66" t="n"/>
      <c r="O196" s="66" t="n"/>
      <c r="P196" s="66" t="n"/>
      <c r="Q196" s="66" t="n"/>
      <c r="R196" s="66" t="n"/>
      <c r="S196" s="66" t="n"/>
      <c r="T196" s="66" t="n"/>
      <c r="U196" s="66" t="n"/>
      <c r="V196" s="66" t="n"/>
      <c r="W196" s="66" t="n"/>
      <c r="X196" s="66" t="n"/>
      <c r="Y196" s="66" t="n"/>
      <c r="Z196" s="66" t="n"/>
      <c r="AA196" s="66" t="n"/>
      <c r="AB196" s="66" t="n"/>
      <c r="AC196" s="66" t="n"/>
      <c r="AD196" s="66" t="n"/>
      <c r="AE196" s="66" t="n"/>
      <c r="AF196" s="66" t="n"/>
      <c r="AG196" s="66" t="n"/>
      <c r="AH196" s="66" t="n"/>
      <c r="AI196" s="66" t="n"/>
      <c r="AJ196" s="66" t="n"/>
      <c r="AK196" s="66" t="n"/>
      <c r="AL196" s="66" t="n"/>
      <c r="AM196" s="66" t="n"/>
      <c r="AN196" s="66" t="n"/>
      <c r="AO196" s="66" t="n"/>
      <c r="AP196" s="66" t="n"/>
      <c r="AQ196" s="66" t="n">
        <v>186930000</v>
      </c>
      <c r="AS196" s="67">
        <f>RANDBETWEEN(1,5)*1000000</f>
        <v/>
      </c>
    </row>
    <row r="197">
      <c r="A197" s="60" t="n">
        <v>34973</v>
      </c>
      <c r="B197" s="66" t="n"/>
      <c r="C197" s="66" t="n"/>
      <c r="D197" s="66" t="n"/>
      <c r="E197" s="66" t="n"/>
      <c r="F197" s="66" t="n"/>
      <c r="G197" s="66" t="n"/>
      <c r="H197" s="66" t="n"/>
      <c r="I197" s="66" t="n"/>
      <c r="J197" s="66" t="n"/>
      <c r="K197" s="66" t="n"/>
      <c r="L197" s="66" t="n"/>
      <c r="M197" s="66" t="n"/>
      <c r="N197" s="66" t="n"/>
      <c r="O197" s="66" t="n"/>
      <c r="P197" s="66" t="n"/>
      <c r="Q197" s="66" t="n"/>
      <c r="R197" s="66" t="n"/>
      <c r="S197" s="66" t="n"/>
      <c r="T197" s="66" t="n"/>
      <c r="U197" s="66" t="n"/>
      <c r="V197" s="66" t="n"/>
      <c r="W197" s="66" t="n"/>
      <c r="X197" s="66" t="n"/>
      <c r="Y197" s="66" t="n"/>
      <c r="Z197" s="66" t="n"/>
      <c r="AA197" s="66" t="n"/>
      <c r="AB197" s="66" t="n"/>
      <c r="AC197" s="66" t="n"/>
      <c r="AD197" s="66" t="n"/>
      <c r="AE197" s="66" t="n"/>
      <c r="AF197" s="66" t="n"/>
      <c r="AG197" s="66" t="n"/>
      <c r="AH197" s="66" t="n"/>
      <c r="AI197" s="66" t="n"/>
      <c r="AJ197" s="66" t="n"/>
      <c r="AK197" s="66" t="n"/>
      <c r="AL197" s="66" t="n"/>
      <c r="AM197" s="66" t="n"/>
      <c r="AN197" s="66" t="n"/>
      <c r="AO197" s="66" t="n"/>
      <c r="AP197" s="66" t="n"/>
      <c r="AQ197" s="66" t="n">
        <v>186930000</v>
      </c>
      <c r="AS197" s="67">
        <f>RANDBETWEEN(1,5)*1000000</f>
        <v/>
      </c>
    </row>
    <row r="198">
      <c r="A198" s="60" t="n">
        <v>35004</v>
      </c>
      <c r="B198" s="66" t="n"/>
      <c r="C198" s="66" t="n"/>
      <c r="D198" s="66" t="n"/>
      <c r="E198" s="66" t="n"/>
      <c r="F198" s="66" t="n"/>
      <c r="G198" s="66" t="n"/>
      <c r="H198" s="66" t="n"/>
      <c r="I198" s="66" t="n"/>
      <c r="J198" s="66" t="n"/>
      <c r="K198" s="66" t="n"/>
      <c r="L198" s="66" t="n"/>
      <c r="M198" s="66" t="n"/>
      <c r="N198" s="66" t="n"/>
      <c r="O198" s="66" t="n"/>
      <c r="P198" s="66" t="n"/>
      <c r="Q198" s="66" t="n"/>
      <c r="R198" s="66" t="n"/>
      <c r="S198" s="66" t="n"/>
      <c r="T198" s="66" t="n"/>
      <c r="U198" s="66" t="n"/>
      <c r="V198" s="66" t="n"/>
      <c r="W198" s="66" t="n"/>
      <c r="X198" s="66" t="n"/>
      <c r="Y198" s="66" t="n"/>
      <c r="Z198" s="66" t="n"/>
      <c r="AA198" s="66" t="n"/>
      <c r="AB198" s="66" t="n"/>
      <c r="AC198" s="66" t="n"/>
      <c r="AD198" s="66" t="n"/>
      <c r="AE198" s="66" t="n"/>
      <c r="AF198" s="66" t="n"/>
      <c r="AG198" s="66" t="n"/>
      <c r="AH198" s="66" t="n"/>
      <c r="AI198" s="66" t="n"/>
      <c r="AJ198" s="66" t="n"/>
      <c r="AK198" s="66" t="n"/>
      <c r="AL198" s="66" t="n"/>
      <c r="AM198" s="66" t="n"/>
      <c r="AN198" s="66" t="n"/>
      <c r="AO198" s="66" t="n"/>
      <c r="AP198" s="66" t="n"/>
      <c r="AQ198" s="66" t="n">
        <v>186930000</v>
      </c>
      <c r="AS198" s="67">
        <f>RANDBETWEEN(1,5)*1000000</f>
        <v/>
      </c>
    </row>
    <row r="199">
      <c r="A199" s="60" t="n">
        <v>35034</v>
      </c>
      <c r="B199" s="66" t="n"/>
      <c r="C199" s="66" t="n"/>
      <c r="D199" s="66" t="n"/>
      <c r="E199" s="66" t="n"/>
      <c r="F199" s="66" t="n"/>
      <c r="G199" s="66" t="n"/>
      <c r="H199" s="66" t="n"/>
      <c r="I199" s="66" t="n"/>
      <c r="J199" s="66" t="n"/>
      <c r="K199" s="66" t="n"/>
      <c r="L199" s="66" t="n"/>
      <c r="M199" s="66" t="n"/>
      <c r="N199" s="66" t="n"/>
      <c r="O199" s="66" t="n"/>
      <c r="P199" s="66" t="n"/>
      <c r="Q199" s="66" t="n"/>
      <c r="R199" s="66" t="n"/>
      <c r="S199" s="66" t="n"/>
      <c r="T199" s="66" t="n"/>
      <c r="U199" s="66" t="n"/>
      <c r="V199" s="66" t="n"/>
      <c r="W199" s="66" t="n"/>
      <c r="X199" s="66" t="n"/>
      <c r="Y199" s="66" t="n"/>
      <c r="Z199" s="66" t="n"/>
      <c r="AA199" s="66" t="n"/>
      <c r="AB199" s="66" t="n"/>
      <c r="AC199" s="66" t="n"/>
      <c r="AD199" s="66" t="n"/>
      <c r="AE199" s="66" t="n"/>
      <c r="AF199" s="66" t="n"/>
      <c r="AG199" s="66" t="n"/>
      <c r="AH199" s="66" t="n"/>
      <c r="AI199" s="66" t="n"/>
      <c r="AJ199" s="66" t="n"/>
      <c r="AK199" s="66" t="n"/>
      <c r="AL199" s="66" t="n"/>
      <c r="AM199" s="66" t="n"/>
      <c r="AN199" s="66" t="n"/>
      <c r="AO199" s="66" t="n"/>
      <c r="AP199" s="66" t="n"/>
      <c r="AQ199" s="66" t="n">
        <v>186930000</v>
      </c>
      <c r="AS199" s="67">
        <f>RANDBETWEEN(1,5)*1000000</f>
        <v/>
      </c>
    </row>
    <row r="200">
      <c r="A200" s="60" t="n">
        <v>35065</v>
      </c>
      <c r="B200" s="66" t="n"/>
      <c r="C200" s="66" t="n"/>
      <c r="D200" s="66" t="n"/>
      <c r="E200" s="66" t="n"/>
      <c r="F200" s="66" t="n"/>
      <c r="G200" s="66" t="n"/>
      <c r="H200" s="66" t="n"/>
      <c r="I200" s="66" t="n"/>
      <c r="J200" s="66" t="n"/>
      <c r="K200" s="66" t="n"/>
      <c r="L200" s="66" t="n"/>
      <c r="M200" s="66" t="n"/>
      <c r="N200" s="66" t="n"/>
      <c r="O200" s="66" t="n"/>
      <c r="P200" s="66" t="n"/>
      <c r="Q200" s="66" t="n"/>
      <c r="R200" s="66" t="n"/>
      <c r="S200" s="66" t="n"/>
      <c r="T200" s="66" t="n"/>
      <c r="U200" s="66" t="n"/>
      <c r="V200" s="66" t="n"/>
      <c r="W200" s="66" t="n"/>
      <c r="X200" s="66" t="n"/>
      <c r="Y200" s="66" t="n"/>
      <c r="Z200" s="66" t="n"/>
      <c r="AA200" s="66" t="n"/>
      <c r="AB200" s="66" t="n"/>
      <c r="AC200" s="66" t="n"/>
      <c r="AD200" s="66" t="n"/>
      <c r="AE200" s="66" t="n"/>
      <c r="AF200" s="66" t="n"/>
      <c r="AG200" s="66" t="n"/>
      <c r="AH200" s="66" t="n"/>
      <c r="AI200" s="66" t="n"/>
      <c r="AJ200" s="66" t="n"/>
      <c r="AK200" s="66" t="n"/>
      <c r="AL200" s="66" t="n"/>
      <c r="AM200" s="66" t="n"/>
      <c r="AN200" s="66" t="n"/>
      <c r="AO200" s="66" t="n"/>
      <c r="AP200" s="66" t="n"/>
      <c r="AQ200" s="66" t="n">
        <v>186930000</v>
      </c>
      <c r="AS200" s="67">
        <f>RANDBETWEEN(1,5)*1000000</f>
        <v/>
      </c>
    </row>
    <row r="201">
      <c r="A201" s="60" t="n">
        <v>35096</v>
      </c>
      <c r="B201" s="66" t="n"/>
      <c r="C201" s="66" t="n"/>
      <c r="D201" s="66" t="n"/>
      <c r="E201" s="66" t="n"/>
      <c r="F201" s="66" t="n"/>
      <c r="G201" s="66" t="n"/>
      <c r="H201" s="66" t="n"/>
      <c r="I201" s="66" t="n"/>
      <c r="J201" s="66" t="n"/>
      <c r="K201" s="66" t="n"/>
      <c r="L201" s="66" t="n"/>
      <c r="M201" s="66" t="n"/>
      <c r="N201" s="66" t="n"/>
      <c r="O201" s="66" t="n"/>
      <c r="P201" s="66" t="n"/>
      <c r="Q201" s="66" t="n"/>
      <c r="R201" s="66" t="n"/>
      <c r="S201" s="66" t="n"/>
      <c r="T201" s="66" t="n"/>
      <c r="U201" s="66" t="n"/>
      <c r="V201" s="66" t="n"/>
      <c r="W201" s="66" t="n"/>
      <c r="X201" s="66" t="n"/>
      <c r="Y201" s="66" t="n"/>
      <c r="Z201" s="66" t="n"/>
      <c r="AA201" s="66" t="n"/>
      <c r="AB201" s="66" t="n"/>
      <c r="AC201" s="66" t="n"/>
      <c r="AD201" s="66" t="n"/>
      <c r="AE201" s="66" t="n"/>
      <c r="AF201" s="66" t="n"/>
      <c r="AG201" s="66" t="n"/>
      <c r="AH201" s="66" t="n"/>
      <c r="AI201" s="66" t="n"/>
      <c r="AJ201" s="66" t="n"/>
      <c r="AK201" s="66" t="n"/>
      <c r="AL201" s="66" t="n"/>
      <c r="AM201" s="66" t="n"/>
      <c r="AN201" s="66" t="n"/>
      <c r="AO201" s="66" t="n"/>
      <c r="AP201" s="66" t="n"/>
      <c r="AQ201" s="66" t="n">
        <v>186930000</v>
      </c>
      <c r="AS201" s="67">
        <f>RANDBETWEEN(1,5)*1000000</f>
        <v/>
      </c>
    </row>
    <row r="202">
      <c r="A202" s="60" t="n">
        <v>35125</v>
      </c>
      <c r="B202" s="66" t="n"/>
      <c r="C202" s="66" t="n"/>
      <c r="D202" s="66" t="n"/>
      <c r="E202" s="66" t="n"/>
      <c r="F202" s="66" t="n"/>
      <c r="G202" s="66" t="n"/>
      <c r="H202" s="66" t="n"/>
      <c r="I202" s="66" t="n"/>
      <c r="J202" s="66" t="n"/>
      <c r="K202" s="66" t="n"/>
      <c r="L202" s="66" t="n"/>
      <c r="M202" s="66" t="n"/>
      <c r="N202" s="66" t="n"/>
      <c r="O202" s="66" t="n"/>
      <c r="P202" s="66" t="n"/>
      <c r="Q202" s="66" t="n"/>
      <c r="R202" s="66" t="n"/>
      <c r="S202" s="66" t="n"/>
      <c r="T202" s="66" t="n"/>
      <c r="U202" s="66" t="n"/>
      <c r="V202" s="66" t="n"/>
      <c r="W202" s="66" t="n"/>
      <c r="X202" s="66" t="n"/>
      <c r="Y202" s="66" t="n"/>
      <c r="Z202" s="66" t="n"/>
      <c r="AA202" s="66" t="n"/>
      <c r="AB202" s="66" t="n"/>
      <c r="AC202" s="66" t="n"/>
      <c r="AD202" s="66" t="n"/>
      <c r="AE202" s="66" t="n"/>
      <c r="AF202" s="66" t="n"/>
      <c r="AG202" s="66" t="n"/>
      <c r="AH202" s="66" t="n"/>
      <c r="AI202" s="66" t="n"/>
      <c r="AJ202" s="66" t="n"/>
      <c r="AK202" s="66" t="n"/>
      <c r="AL202" s="66" t="n"/>
      <c r="AM202" s="66" t="n"/>
      <c r="AN202" s="66" t="n"/>
      <c r="AO202" s="66" t="n"/>
      <c r="AP202" s="66" t="n"/>
      <c r="AQ202" s="66" t="n">
        <v>186930000</v>
      </c>
      <c r="AS202" s="67">
        <f>RANDBETWEEN(1,5)*1000000</f>
        <v/>
      </c>
    </row>
    <row r="203">
      <c r="A203" s="60" t="n">
        <v>35156</v>
      </c>
      <c r="B203" s="66" t="n"/>
      <c r="C203" s="66" t="n"/>
      <c r="D203" s="66" t="n"/>
      <c r="E203" s="66" t="n"/>
      <c r="F203" s="66" t="n"/>
      <c r="G203" s="66" t="n"/>
      <c r="H203" s="66" t="n"/>
      <c r="I203" s="66" t="n"/>
      <c r="J203" s="66" t="n"/>
      <c r="K203" s="66" t="n"/>
      <c r="L203" s="66" t="n"/>
      <c r="M203" s="66" t="n"/>
      <c r="N203" s="66" t="n"/>
      <c r="O203" s="66" t="n"/>
      <c r="P203" s="66" t="n"/>
      <c r="Q203" s="66" t="n"/>
      <c r="R203" s="66" t="n"/>
      <c r="S203" s="66" t="n"/>
      <c r="T203" s="66" t="n"/>
      <c r="U203" s="66" t="n"/>
      <c r="V203" s="66" t="n"/>
      <c r="W203" s="66" t="n"/>
      <c r="X203" s="66" t="n"/>
      <c r="Y203" s="66" t="n"/>
      <c r="Z203" s="66" t="n"/>
      <c r="AA203" s="66" t="n"/>
      <c r="AB203" s="66" t="n"/>
      <c r="AC203" s="66" t="n"/>
      <c r="AD203" s="66" t="n"/>
      <c r="AE203" s="66" t="n"/>
      <c r="AF203" s="66" t="n"/>
      <c r="AG203" s="66" t="n"/>
      <c r="AH203" s="66" t="n"/>
      <c r="AI203" s="66" t="n"/>
      <c r="AJ203" s="66" t="n"/>
      <c r="AK203" s="66" t="n"/>
      <c r="AL203" s="66" t="n"/>
      <c r="AM203" s="66" t="n"/>
      <c r="AN203" s="66" t="n"/>
      <c r="AO203" s="66" t="n"/>
      <c r="AP203" s="66" t="n"/>
      <c r="AQ203" s="66" t="n">
        <v>186930000</v>
      </c>
      <c r="AS203" s="67">
        <f>RANDBETWEEN(1,5)*1000000</f>
        <v/>
      </c>
    </row>
    <row r="204">
      <c r="A204" s="60" t="n">
        <v>35186</v>
      </c>
      <c r="B204" s="66" t="n"/>
      <c r="C204" s="66" t="n"/>
      <c r="D204" s="66" t="n"/>
      <c r="E204" s="66" t="n"/>
      <c r="F204" s="66" t="n"/>
      <c r="G204" s="66" t="n"/>
      <c r="H204" s="66" t="n"/>
      <c r="I204" s="66" t="n"/>
      <c r="J204" s="66" t="n"/>
      <c r="K204" s="66" t="n"/>
      <c r="L204" s="66" t="n"/>
      <c r="M204" s="66" t="n"/>
      <c r="N204" s="66" t="n"/>
      <c r="O204" s="66" t="n"/>
      <c r="P204" s="66" t="n"/>
      <c r="Q204" s="66" t="n"/>
      <c r="R204" s="66" t="n"/>
      <c r="S204" s="66" t="n"/>
      <c r="T204" s="66" t="n"/>
      <c r="U204" s="66" t="n"/>
      <c r="V204" s="66" t="n"/>
      <c r="W204" s="66" t="n"/>
      <c r="X204" s="66" t="n"/>
      <c r="Y204" s="66" t="n"/>
      <c r="Z204" s="66" t="n"/>
      <c r="AA204" s="66" t="n"/>
      <c r="AB204" s="66" t="n"/>
      <c r="AC204" s="66" t="n"/>
      <c r="AD204" s="66" t="n"/>
      <c r="AE204" s="66" t="n"/>
      <c r="AF204" s="66" t="n"/>
      <c r="AG204" s="66" t="n"/>
      <c r="AH204" s="66" t="n"/>
      <c r="AI204" s="66" t="n"/>
      <c r="AJ204" s="66" t="n"/>
      <c r="AK204" s="66" t="n"/>
      <c r="AL204" s="66" t="n"/>
      <c r="AM204" s="66" t="n"/>
      <c r="AN204" s="66" t="n"/>
      <c r="AO204" s="66" t="n"/>
      <c r="AP204" s="66" t="n"/>
      <c r="AQ204" s="66" t="n">
        <v>186930000</v>
      </c>
      <c r="AS204" s="67">
        <f>RANDBETWEEN(1,5)*1000000</f>
        <v/>
      </c>
    </row>
    <row r="205">
      <c r="A205" s="60" t="n">
        <v>35217</v>
      </c>
      <c r="B205" s="66" t="n"/>
      <c r="C205" s="66" t="n"/>
      <c r="D205" s="66" t="n"/>
      <c r="E205" s="66" t="n"/>
      <c r="F205" s="66" t="n"/>
      <c r="G205" s="66" t="n"/>
      <c r="H205" s="66" t="n"/>
      <c r="I205" s="66" t="n"/>
      <c r="J205" s="66" t="n"/>
      <c r="K205" s="66" t="n"/>
      <c r="L205" s="66" t="n"/>
      <c r="M205" s="66" t="n"/>
      <c r="N205" s="66" t="n"/>
      <c r="O205" s="66" t="n"/>
      <c r="P205" s="66" t="n"/>
      <c r="Q205" s="66" t="n"/>
      <c r="R205" s="66" t="n"/>
      <c r="S205" s="66" t="n"/>
      <c r="T205" s="66" t="n"/>
      <c r="U205" s="66" t="n"/>
      <c r="V205" s="66" t="n"/>
      <c r="W205" s="66" t="n"/>
      <c r="X205" s="66" t="n"/>
      <c r="Y205" s="66" t="n"/>
      <c r="Z205" s="66" t="n"/>
      <c r="AA205" s="66" t="n"/>
      <c r="AB205" s="66" t="n"/>
      <c r="AC205" s="66" t="n"/>
      <c r="AD205" s="66" t="n"/>
      <c r="AE205" s="66" t="n"/>
      <c r="AF205" s="66" t="n"/>
      <c r="AG205" s="66" t="n"/>
      <c r="AH205" s="66" t="n"/>
      <c r="AI205" s="66" t="n"/>
      <c r="AJ205" s="66" t="n"/>
      <c r="AK205" s="66" t="n"/>
      <c r="AL205" s="66" t="n"/>
      <c r="AM205" s="66" t="n"/>
      <c r="AN205" s="66" t="n"/>
      <c r="AO205" s="66" t="n"/>
      <c r="AP205" s="66" t="n"/>
      <c r="AQ205" s="66" t="n">
        <v>186930000</v>
      </c>
      <c r="AS205" s="67">
        <f>RANDBETWEEN(1,5)*1000000</f>
        <v/>
      </c>
    </row>
    <row r="206">
      <c r="A206" s="60" t="n">
        <v>35247</v>
      </c>
      <c r="B206" s="66" t="n"/>
      <c r="C206" s="66" t="n"/>
      <c r="D206" s="66" t="n"/>
      <c r="E206" s="66" t="n"/>
      <c r="F206" s="66" t="n"/>
      <c r="G206" s="66" t="n"/>
      <c r="H206" s="66" t="n"/>
      <c r="I206" s="66" t="n"/>
      <c r="J206" s="66" t="n"/>
      <c r="K206" s="66" t="n"/>
      <c r="L206" s="66" t="n"/>
      <c r="M206" s="66" t="n"/>
      <c r="N206" s="66" t="n"/>
      <c r="O206" s="66" t="n"/>
      <c r="P206" s="66" t="n"/>
      <c r="Q206" s="66" t="n"/>
      <c r="R206" s="66" t="n"/>
      <c r="S206" s="66" t="n"/>
      <c r="T206" s="66" t="n"/>
      <c r="U206" s="66" t="n"/>
      <c r="V206" s="66" t="n"/>
      <c r="W206" s="66" t="n"/>
      <c r="X206" s="66" t="n"/>
      <c r="Y206" s="66" t="n"/>
      <c r="Z206" s="66" t="n"/>
      <c r="AA206" s="66" t="n"/>
      <c r="AB206" s="66" t="n"/>
      <c r="AC206" s="66" t="n"/>
      <c r="AD206" s="66" t="n"/>
      <c r="AE206" s="66" t="n"/>
      <c r="AF206" s="66" t="n"/>
      <c r="AG206" s="66" t="n"/>
      <c r="AH206" s="66" t="n"/>
      <c r="AI206" s="66" t="n"/>
      <c r="AJ206" s="66" t="n"/>
      <c r="AK206" s="66" t="n"/>
      <c r="AL206" s="66" t="n"/>
      <c r="AM206" s="66" t="n"/>
      <c r="AN206" s="66" t="n"/>
      <c r="AO206" s="66" t="n"/>
      <c r="AP206" s="66" t="n"/>
      <c r="AQ206" s="66" t="n">
        <v>186930000</v>
      </c>
      <c r="AS206" s="67">
        <f>RANDBETWEEN(1,5)*1000000</f>
        <v/>
      </c>
    </row>
    <row r="207">
      <c r="A207" s="60" t="n">
        <v>35278</v>
      </c>
      <c r="B207" s="66" t="n"/>
      <c r="C207" s="66" t="n"/>
      <c r="D207" s="66" t="n"/>
      <c r="E207" s="66" t="n"/>
      <c r="F207" s="66" t="n"/>
      <c r="G207" s="66" t="n"/>
      <c r="H207" s="66" t="n"/>
      <c r="I207" s="66" t="n"/>
      <c r="J207" s="66" t="n"/>
      <c r="K207" s="66" t="n"/>
      <c r="L207" s="66" t="n"/>
      <c r="M207" s="66" t="n"/>
      <c r="N207" s="66" t="n"/>
      <c r="O207" s="66" t="n"/>
      <c r="P207" s="66" t="n"/>
      <c r="Q207" s="66" t="n"/>
      <c r="R207" s="66" t="n"/>
      <c r="S207" s="66" t="n"/>
      <c r="T207" s="66" t="n"/>
      <c r="U207" s="66" t="n"/>
      <c r="V207" s="66" t="n"/>
      <c r="W207" s="66" t="n"/>
      <c r="X207" s="66" t="n"/>
      <c r="Y207" s="66" t="n"/>
      <c r="Z207" s="66" t="n"/>
      <c r="AA207" s="66" t="n"/>
      <c r="AB207" s="66" t="n"/>
      <c r="AC207" s="66" t="n"/>
      <c r="AD207" s="66" t="n"/>
      <c r="AE207" s="66" t="n"/>
      <c r="AF207" s="66" t="n"/>
      <c r="AG207" s="66" t="n"/>
      <c r="AH207" s="66" t="n"/>
      <c r="AI207" s="66" t="n"/>
      <c r="AJ207" s="66" t="n"/>
      <c r="AK207" s="66" t="n"/>
      <c r="AL207" s="66" t="n"/>
      <c r="AM207" s="66" t="n"/>
      <c r="AN207" s="66" t="n"/>
      <c r="AO207" s="66" t="n"/>
      <c r="AP207" s="66" t="n"/>
      <c r="AQ207" s="66" t="n">
        <v>186930000</v>
      </c>
      <c r="AS207" s="67">
        <f>RANDBETWEEN(1,5)*1000000</f>
        <v/>
      </c>
    </row>
    <row r="208">
      <c r="A208" s="60" t="n">
        <v>35309</v>
      </c>
      <c r="B208" s="66" t="n"/>
      <c r="C208" s="66" t="n"/>
      <c r="D208" s="66" t="n"/>
      <c r="E208" s="66" t="n"/>
      <c r="F208" s="66" t="n"/>
      <c r="G208" s="66" t="n"/>
      <c r="H208" s="66" t="n"/>
      <c r="I208" s="66" t="n"/>
      <c r="J208" s="66" t="n"/>
      <c r="K208" s="66" t="n"/>
      <c r="L208" s="66" t="n"/>
      <c r="M208" s="66" t="n"/>
      <c r="N208" s="66" t="n"/>
      <c r="O208" s="66" t="n"/>
      <c r="P208" s="66" t="n"/>
      <c r="Q208" s="66" t="n"/>
      <c r="R208" s="66" t="n"/>
      <c r="S208" s="66" t="n"/>
      <c r="T208" s="66" t="n"/>
      <c r="U208" s="66" t="n"/>
      <c r="V208" s="66" t="n"/>
      <c r="W208" s="66" t="n"/>
      <c r="X208" s="66" t="n"/>
      <c r="Y208" s="66" t="n"/>
      <c r="Z208" s="66" t="n"/>
      <c r="AA208" s="66" t="n"/>
      <c r="AB208" s="66" t="n"/>
      <c r="AC208" s="66" t="n"/>
      <c r="AD208" s="66" t="n"/>
      <c r="AE208" s="66" t="n"/>
      <c r="AF208" s="66" t="n"/>
      <c r="AG208" s="66" t="n"/>
      <c r="AH208" s="66" t="n"/>
      <c r="AI208" s="66" t="n"/>
      <c r="AJ208" s="66" t="n"/>
      <c r="AK208" s="66" t="n"/>
      <c r="AL208" s="66" t="n"/>
      <c r="AM208" s="66" t="n"/>
      <c r="AN208" s="66" t="n"/>
      <c r="AO208" s="66" t="n"/>
      <c r="AP208" s="66" t="n"/>
      <c r="AQ208" s="66" t="n">
        <v>186930000</v>
      </c>
      <c r="AS208" s="67">
        <f>RANDBETWEEN(1,5)*1000000</f>
        <v/>
      </c>
    </row>
    <row r="209">
      <c r="A209" s="60" t="n">
        <v>35339</v>
      </c>
      <c r="B209" s="66" t="n"/>
      <c r="C209" s="66" t="n"/>
      <c r="D209" s="66" t="n"/>
      <c r="E209" s="66" t="n"/>
      <c r="F209" s="66" t="n"/>
      <c r="G209" s="66" t="n"/>
      <c r="H209" s="66" t="n"/>
      <c r="I209" s="66" t="n"/>
      <c r="J209" s="66" t="n"/>
      <c r="K209" s="66" t="n"/>
      <c r="L209" s="66" t="n"/>
      <c r="M209" s="66" t="n"/>
      <c r="N209" s="66" t="n"/>
      <c r="O209" s="66" t="n"/>
      <c r="P209" s="66" t="n"/>
      <c r="Q209" s="66" t="n"/>
      <c r="R209" s="66" t="n"/>
      <c r="S209" s="66" t="n"/>
      <c r="T209" s="66" t="n"/>
      <c r="U209" s="66" t="n"/>
      <c r="V209" s="66" t="n"/>
      <c r="W209" s="66" t="n"/>
      <c r="X209" s="66" t="n"/>
      <c r="Y209" s="66" t="n"/>
      <c r="Z209" s="66" t="n"/>
      <c r="AA209" s="66" t="n"/>
      <c r="AB209" s="66" t="n"/>
      <c r="AC209" s="66" t="n"/>
      <c r="AD209" s="66" t="n"/>
      <c r="AE209" s="66" t="n"/>
      <c r="AF209" s="66" t="n"/>
      <c r="AG209" s="66" t="n"/>
      <c r="AH209" s="66" t="n"/>
      <c r="AI209" s="66" t="n"/>
      <c r="AJ209" s="66" t="n"/>
      <c r="AK209" s="66" t="n"/>
      <c r="AL209" s="66" t="n"/>
      <c r="AM209" s="66" t="n"/>
      <c r="AN209" s="66" t="n"/>
      <c r="AO209" s="66" t="n"/>
      <c r="AP209" s="66" t="n"/>
      <c r="AQ209" s="66" t="n">
        <v>186930000</v>
      </c>
      <c r="AS209" s="67">
        <f>RANDBETWEEN(1,5)*1000000</f>
        <v/>
      </c>
    </row>
    <row r="210">
      <c r="A210" s="60" t="n">
        <v>35370</v>
      </c>
      <c r="B210" s="66" t="n"/>
      <c r="C210" s="66" t="n"/>
      <c r="D210" s="66" t="n"/>
      <c r="E210" s="66" t="n"/>
      <c r="F210" s="66" t="n"/>
      <c r="G210" s="66" t="n"/>
      <c r="H210" s="66" t="n"/>
      <c r="I210" s="66" t="n"/>
      <c r="J210" s="66" t="n"/>
      <c r="K210" s="66" t="n"/>
      <c r="L210" s="66" t="n"/>
      <c r="M210" s="66" t="n"/>
      <c r="N210" s="66" t="n"/>
      <c r="O210" s="66" t="n"/>
      <c r="P210" s="66" t="n"/>
      <c r="Q210" s="66" t="n"/>
      <c r="R210" s="66" t="n"/>
      <c r="S210" s="66" t="n"/>
      <c r="T210" s="66" t="n"/>
      <c r="U210" s="66" t="n"/>
      <c r="V210" s="66" t="n"/>
      <c r="W210" s="66" t="n"/>
      <c r="X210" s="66" t="n"/>
      <c r="Y210" s="66" t="n"/>
      <c r="Z210" s="66" t="n"/>
      <c r="AA210" s="66" t="n"/>
      <c r="AB210" s="66" t="n"/>
      <c r="AC210" s="66" t="n"/>
      <c r="AD210" s="66" t="n"/>
      <c r="AE210" s="66" t="n"/>
      <c r="AF210" s="66" t="n"/>
      <c r="AG210" s="66" t="n"/>
      <c r="AH210" s="66" t="n"/>
      <c r="AI210" s="66" t="n"/>
      <c r="AJ210" s="66" t="n"/>
      <c r="AK210" s="66" t="n"/>
      <c r="AL210" s="66" t="n"/>
      <c r="AM210" s="66" t="n"/>
      <c r="AN210" s="66" t="n"/>
      <c r="AO210" s="66" t="n"/>
      <c r="AP210" s="66" t="n"/>
      <c r="AQ210" s="66" t="n">
        <v>186930000</v>
      </c>
      <c r="AS210" s="67">
        <f>RANDBETWEEN(1,5)*1000000</f>
        <v/>
      </c>
    </row>
    <row r="211">
      <c r="A211" s="60" t="n">
        <v>35400</v>
      </c>
      <c r="B211" s="66" t="n"/>
      <c r="C211" s="66" t="n"/>
      <c r="D211" s="66" t="n"/>
      <c r="E211" s="66" t="n"/>
      <c r="F211" s="66" t="n"/>
      <c r="G211" s="66" t="n"/>
      <c r="H211" s="66" t="n"/>
      <c r="I211" s="66" t="n"/>
      <c r="J211" s="66" t="n"/>
      <c r="K211" s="66" t="n"/>
      <c r="L211" s="66" t="n"/>
      <c r="M211" s="66" t="n"/>
      <c r="N211" s="66" t="n"/>
      <c r="O211" s="66" t="n"/>
      <c r="P211" s="66" t="n"/>
      <c r="Q211" s="66" t="n"/>
      <c r="R211" s="66" t="n"/>
      <c r="S211" s="66" t="n"/>
      <c r="T211" s="66" t="n"/>
      <c r="U211" s="66" t="n"/>
      <c r="V211" s="66" t="n"/>
      <c r="W211" s="66" t="n"/>
      <c r="X211" s="66" t="n"/>
      <c r="Y211" s="66" t="n"/>
      <c r="Z211" s="66" t="n"/>
      <c r="AA211" s="66" t="n"/>
      <c r="AB211" s="66" t="n"/>
      <c r="AC211" s="66" t="n"/>
      <c r="AD211" s="66" t="n"/>
      <c r="AE211" s="66" t="n"/>
      <c r="AF211" s="66" t="n"/>
      <c r="AG211" s="66" t="n"/>
      <c r="AH211" s="66" t="n"/>
      <c r="AI211" s="66" t="n"/>
      <c r="AJ211" s="66" t="n"/>
      <c r="AK211" s="66" t="n"/>
      <c r="AL211" s="66" t="n"/>
      <c r="AM211" s="66" t="n"/>
      <c r="AN211" s="66" t="n"/>
      <c r="AO211" s="66" t="n"/>
      <c r="AP211" s="66" t="n"/>
      <c r="AQ211" s="66" t="n">
        <v>186930000</v>
      </c>
      <c r="AS211" s="67">
        <f>RANDBETWEEN(1,5)*1000000</f>
        <v/>
      </c>
    </row>
    <row r="212">
      <c r="A212" s="60" t="n">
        <v>35431</v>
      </c>
      <c r="B212" s="66" t="n"/>
      <c r="C212" s="66" t="n"/>
      <c r="D212" s="66" t="n"/>
      <c r="E212" s="66" t="n"/>
      <c r="F212" s="66" t="n"/>
      <c r="G212" s="66" t="n"/>
      <c r="H212" s="66" t="n"/>
      <c r="I212" s="66" t="n"/>
      <c r="J212" s="66" t="n"/>
      <c r="K212" s="66" t="n"/>
      <c r="L212" s="66" t="n"/>
      <c r="M212" s="66" t="n"/>
      <c r="N212" s="66" t="n"/>
      <c r="O212" s="66" t="n"/>
      <c r="P212" s="66" t="n"/>
      <c r="Q212" s="66" t="n"/>
      <c r="R212" s="66" t="n"/>
      <c r="S212" s="66" t="n"/>
      <c r="T212" s="66" t="n"/>
      <c r="U212" s="66" t="n"/>
      <c r="V212" s="66" t="n"/>
      <c r="W212" s="66" t="n"/>
      <c r="X212" s="66" t="n"/>
      <c r="Y212" s="66" t="n"/>
      <c r="Z212" s="66" t="n"/>
      <c r="AA212" s="66" t="n"/>
      <c r="AB212" s="66" t="n"/>
      <c r="AC212" s="66" t="n"/>
      <c r="AD212" s="66" t="n"/>
      <c r="AE212" s="66" t="n"/>
      <c r="AF212" s="66" t="n"/>
      <c r="AG212" s="66" t="n"/>
      <c r="AH212" s="66" t="n"/>
      <c r="AI212" s="66" t="n"/>
      <c r="AJ212" s="66" t="n"/>
      <c r="AK212" s="66" t="n"/>
      <c r="AL212" s="66" t="n"/>
      <c r="AM212" s="66" t="n"/>
      <c r="AN212" s="66" t="n"/>
      <c r="AO212" s="66" t="n"/>
      <c r="AP212" s="66" t="n"/>
      <c r="AQ212" s="66" t="n">
        <v>169320000</v>
      </c>
      <c r="AS212" s="67">
        <f>MROUND(FORECAST(AQ212,AQ200:AQ211,AS200:AS211),100000)</f>
        <v/>
      </c>
    </row>
    <row r="213">
      <c r="A213" s="60" t="n">
        <v>35462</v>
      </c>
      <c r="B213" s="66" t="n"/>
      <c r="C213" s="66" t="n"/>
      <c r="D213" s="66" t="n"/>
      <c r="E213" s="66" t="n"/>
      <c r="F213" s="66" t="n"/>
      <c r="G213" s="66" t="n"/>
      <c r="H213" s="66" t="n"/>
      <c r="I213" s="66" t="n"/>
      <c r="J213" s="66" t="n"/>
      <c r="K213" s="66" t="n"/>
      <c r="L213" s="66" t="n"/>
      <c r="M213" s="66" t="n"/>
      <c r="N213" s="66" t="n"/>
      <c r="O213" s="66" t="n"/>
      <c r="P213" s="66" t="n"/>
      <c r="Q213" s="66" t="n"/>
      <c r="R213" s="66" t="n"/>
      <c r="S213" s="66" t="n"/>
      <c r="T213" s="66" t="n"/>
      <c r="U213" s="66" t="n"/>
      <c r="V213" s="66" t="n"/>
      <c r="W213" s="66" t="n"/>
      <c r="X213" s="66" t="n"/>
      <c r="Y213" s="66" t="n"/>
      <c r="Z213" s="66" t="n"/>
      <c r="AA213" s="66" t="n"/>
      <c r="AB213" s="66" t="n"/>
      <c r="AC213" s="66" t="n"/>
      <c r="AD213" s="66" t="n"/>
      <c r="AE213" s="66" t="n"/>
      <c r="AF213" s="66" t="n"/>
      <c r="AG213" s="66" t="n"/>
      <c r="AH213" s="66" t="n"/>
      <c r="AI213" s="66" t="n"/>
      <c r="AJ213" s="66" t="n"/>
      <c r="AK213" s="66" t="n"/>
      <c r="AL213" s="66" t="n"/>
      <c r="AM213" s="66" t="n"/>
      <c r="AN213" s="66" t="n"/>
      <c r="AO213" s="66" t="n"/>
      <c r="AP213" s="66" t="n"/>
      <c r="AQ213" s="66" t="n">
        <v>168040000</v>
      </c>
      <c r="AS213" s="67">
        <f>MROUND(FORECAST(AQ213,AQ201:AQ212,AS201:AS212),100000)</f>
        <v/>
      </c>
    </row>
    <row r="214">
      <c r="A214" s="60" t="n">
        <v>35490</v>
      </c>
      <c r="B214" s="66" t="n"/>
      <c r="C214" s="66" t="n"/>
      <c r="D214" s="66" t="n"/>
      <c r="E214" s="66" t="n"/>
      <c r="F214" s="66" t="n"/>
      <c r="G214" s="66" t="n"/>
      <c r="H214" s="66" t="n"/>
      <c r="I214" s="66" t="n"/>
      <c r="J214" s="66" t="n"/>
      <c r="K214" s="66" t="n"/>
      <c r="L214" s="66" t="n"/>
      <c r="M214" s="66" t="n"/>
      <c r="N214" s="66" t="n"/>
      <c r="O214" s="66" t="n"/>
      <c r="P214" s="66" t="n"/>
      <c r="Q214" s="66" t="n"/>
      <c r="R214" s="66" t="n"/>
      <c r="S214" s="66" t="n"/>
      <c r="T214" s="66" t="n"/>
      <c r="U214" s="66" t="n"/>
      <c r="V214" s="66" t="n"/>
      <c r="W214" s="66" t="n"/>
      <c r="X214" s="66" t="n"/>
      <c r="Y214" s="66" t="n"/>
      <c r="Z214" s="66" t="n"/>
      <c r="AA214" s="66" t="n"/>
      <c r="AB214" s="66" t="n"/>
      <c r="AC214" s="66" t="n"/>
      <c r="AD214" s="66" t="n"/>
      <c r="AE214" s="66" t="n"/>
      <c r="AF214" s="66" t="n"/>
      <c r="AG214" s="66" t="n"/>
      <c r="AH214" s="66" t="n"/>
      <c r="AI214" s="66" t="n"/>
      <c r="AJ214" s="66" t="n"/>
      <c r="AK214" s="66" t="n"/>
      <c r="AL214" s="66" t="n"/>
      <c r="AM214" s="66" t="n"/>
      <c r="AN214" s="66" t="n"/>
      <c r="AO214" s="66" t="n"/>
      <c r="AP214" s="66" t="n"/>
      <c r="AQ214" s="66" t="n">
        <v>186170000</v>
      </c>
      <c r="AS214" s="67">
        <f>MROUND(FORECAST(AQ214,AQ202:AQ213,AS202:AS213),100000)</f>
        <v/>
      </c>
    </row>
    <row r="215">
      <c r="A215" s="60" t="n">
        <v>35521</v>
      </c>
      <c r="B215" s="66" t="n"/>
      <c r="C215" s="66" t="n"/>
      <c r="D215" s="66" t="n"/>
      <c r="E215" s="66" t="n"/>
      <c r="F215" s="66" t="n"/>
      <c r="G215" s="66" t="n"/>
      <c r="H215" s="66" t="n"/>
      <c r="I215" s="66" t="n"/>
      <c r="J215" s="66" t="n"/>
      <c r="K215" s="66" t="n"/>
      <c r="L215" s="66" t="n"/>
      <c r="M215" s="66" t="n"/>
      <c r="N215" s="66" t="n"/>
      <c r="O215" s="66" t="n"/>
      <c r="P215" s="66" t="n"/>
      <c r="Q215" s="66" t="n"/>
      <c r="R215" s="66" t="n"/>
      <c r="S215" s="66" t="n"/>
      <c r="T215" s="66" t="n"/>
      <c r="U215" s="66" t="n"/>
      <c r="V215" s="66" t="n"/>
      <c r="W215" s="66" t="n"/>
      <c r="X215" s="66" t="n"/>
      <c r="Y215" s="66" t="n"/>
      <c r="Z215" s="66" t="n"/>
      <c r="AA215" s="66" t="n"/>
      <c r="AB215" s="66" t="n"/>
      <c r="AC215" s="66" t="n"/>
      <c r="AD215" s="66" t="n"/>
      <c r="AE215" s="66" t="n"/>
      <c r="AF215" s="66" t="n"/>
      <c r="AG215" s="66" t="n"/>
      <c r="AH215" s="66" t="n"/>
      <c r="AI215" s="66" t="n"/>
      <c r="AJ215" s="66" t="n"/>
      <c r="AK215" s="66" t="n"/>
      <c r="AL215" s="66" t="n"/>
      <c r="AM215" s="66" t="n"/>
      <c r="AN215" s="66" t="n"/>
      <c r="AO215" s="66" t="n"/>
      <c r="AP215" s="66" t="n"/>
      <c r="AQ215" s="66" t="n">
        <v>184290000</v>
      </c>
      <c r="AS215" s="67">
        <f>MROUND(FORECAST(AQ215,AQ203:AQ214,AS203:AS214),100000)</f>
        <v/>
      </c>
    </row>
    <row r="216">
      <c r="A216" s="60" t="n">
        <v>35551</v>
      </c>
      <c r="B216" s="66" t="n"/>
      <c r="C216" s="66" t="n"/>
      <c r="D216" s="66" t="n"/>
      <c r="E216" s="66" t="n"/>
      <c r="F216" s="66" t="n"/>
      <c r="G216" s="66" t="n"/>
      <c r="H216" s="66" t="n"/>
      <c r="I216" s="66" t="n"/>
      <c r="J216" s="66" t="n"/>
      <c r="K216" s="66" t="n"/>
      <c r="L216" s="66" t="n"/>
      <c r="M216" s="66" t="n"/>
      <c r="N216" s="66" t="n"/>
      <c r="O216" s="66" t="n"/>
      <c r="P216" s="66" t="n"/>
      <c r="Q216" s="66" t="n"/>
      <c r="R216" s="66" t="n"/>
      <c r="S216" s="66" t="n"/>
      <c r="T216" s="66" t="n"/>
      <c r="U216" s="66" t="n"/>
      <c r="V216" s="66" t="n"/>
      <c r="W216" s="66" t="n"/>
      <c r="X216" s="66" t="n"/>
      <c r="Y216" s="66" t="n"/>
      <c r="Z216" s="66" t="n"/>
      <c r="AA216" s="66" t="n"/>
      <c r="AB216" s="66" t="n"/>
      <c r="AC216" s="66" t="n"/>
      <c r="AD216" s="66" t="n"/>
      <c r="AE216" s="66" t="n"/>
      <c r="AF216" s="66" t="n"/>
      <c r="AG216" s="66" t="n"/>
      <c r="AH216" s="66" t="n"/>
      <c r="AI216" s="66" t="n"/>
      <c r="AJ216" s="66" t="n"/>
      <c r="AK216" s="66" t="n"/>
      <c r="AL216" s="66" t="n"/>
      <c r="AM216" s="66" t="n"/>
      <c r="AN216" s="66" t="n"/>
      <c r="AO216" s="66" t="n"/>
      <c r="AP216" s="66" t="n"/>
      <c r="AQ216" s="66" t="n">
        <v>197640000</v>
      </c>
      <c r="AS216" s="67">
        <f>MROUND(FORECAST(AQ216,AQ204:AQ215,AS204:AS215),100000)</f>
        <v/>
      </c>
    </row>
    <row r="217">
      <c r="A217" s="60" t="n">
        <v>35582</v>
      </c>
      <c r="B217" s="66" t="n"/>
      <c r="C217" s="66" t="n"/>
      <c r="D217" s="66" t="n"/>
      <c r="E217" s="66" t="n"/>
      <c r="F217" s="66" t="n"/>
      <c r="G217" s="66" t="n"/>
      <c r="H217" s="66" t="n"/>
      <c r="I217" s="66" t="n"/>
      <c r="J217" s="66" t="n"/>
      <c r="K217" s="66" t="n"/>
      <c r="L217" s="66" t="n"/>
      <c r="M217" s="66" t="n"/>
      <c r="N217" s="66" t="n"/>
      <c r="O217" s="66" t="n"/>
      <c r="P217" s="66" t="n"/>
      <c r="Q217" s="66" t="n"/>
      <c r="R217" s="66" t="n"/>
      <c r="S217" s="66" t="n"/>
      <c r="T217" s="66" t="n"/>
      <c r="U217" s="66" t="n"/>
      <c r="V217" s="66" t="n"/>
      <c r="W217" s="66" t="n"/>
      <c r="X217" s="66" t="n"/>
      <c r="Y217" s="66" t="n"/>
      <c r="Z217" s="66" t="n"/>
      <c r="AA217" s="66" t="n"/>
      <c r="AB217" s="66" t="n"/>
      <c r="AC217" s="66" t="n"/>
      <c r="AD217" s="66" t="n"/>
      <c r="AE217" s="66" t="n"/>
      <c r="AF217" s="66" t="n"/>
      <c r="AG217" s="66" t="n"/>
      <c r="AH217" s="66" t="n"/>
      <c r="AI217" s="66" t="n"/>
      <c r="AJ217" s="66" t="n"/>
      <c r="AK217" s="66" t="n"/>
      <c r="AL217" s="66" t="n"/>
      <c r="AM217" s="66" t="n"/>
      <c r="AN217" s="66" t="n"/>
      <c r="AO217" s="66" t="n"/>
      <c r="AP217" s="66" t="n"/>
      <c r="AQ217" s="66" t="n">
        <v>191950000</v>
      </c>
      <c r="AS217" s="67">
        <f>MROUND(FORECAST(AQ217,AQ205:AQ216,AS205:AS216),100000)</f>
        <v/>
      </c>
    </row>
    <row r="218">
      <c r="A218" s="60" t="n">
        <v>35612</v>
      </c>
      <c r="B218" s="66" t="n"/>
      <c r="C218" s="66" t="n"/>
      <c r="D218" s="66" t="n"/>
      <c r="E218" s="66" t="n"/>
      <c r="F218" s="66" t="n"/>
      <c r="G218" s="66" t="n"/>
      <c r="H218" s="66" t="n"/>
      <c r="I218" s="66" t="n"/>
      <c r="J218" s="66" t="n"/>
      <c r="K218" s="66" t="n"/>
      <c r="L218" s="66" t="n"/>
      <c r="M218" s="66" t="n"/>
      <c r="N218" s="66" t="n"/>
      <c r="O218" s="66" t="n"/>
      <c r="P218" s="66" t="n"/>
      <c r="Q218" s="66" t="n"/>
      <c r="R218" s="66" t="n"/>
      <c r="S218" s="66" t="n"/>
      <c r="T218" s="66" t="n"/>
      <c r="U218" s="66" t="n"/>
      <c r="V218" s="66" t="n"/>
      <c r="W218" s="66" t="n"/>
      <c r="X218" s="66" t="n"/>
      <c r="Y218" s="66" t="n"/>
      <c r="Z218" s="66" t="n"/>
      <c r="AA218" s="66" t="n"/>
      <c r="AB218" s="66" t="n"/>
      <c r="AC218" s="66" t="n"/>
      <c r="AD218" s="66" t="n"/>
      <c r="AE218" s="66" t="n"/>
      <c r="AF218" s="66" t="n"/>
      <c r="AG218" s="66" t="n"/>
      <c r="AH218" s="66" t="n"/>
      <c r="AI218" s="66" t="n"/>
      <c r="AJ218" s="66" t="n"/>
      <c r="AK218" s="66" t="n"/>
      <c r="AL218" s="66" t="n"/>
      <c r="AM218" s="66" t="n"/>
      <c r="AN218" s="66" t="n"/>
      <c r="AO218" s="66" t="n"/>
      <c r="AP218" s="66" t="n"/>
      <c r="AQ218" s="66" t="n">
        <v>198040000</v>
      </c>
      <c r="AS218" s="67">
        <f>MROUND(FORECAST(AQ218,AQ206:AQ217,AS206:AS217),100000)</f>
        <v/>
      </c>
    </row>
    <row r="219">
      <c r="A219" s="60" t="n">
        <v>35643</v>
      </c>
      <c r="B219" s="66" t="n"/>
      <c r="C219" s="66" t="n"/>
      <c r="D219" s="66" t="n"/>
      <c r="E219" s="66" t="n"/>
      <c r="F219" s="66" t="n"/>
      <c r="G219" s="66" t="n"/>
      <c r="H219" s="66" t="n"/>
      <c r="I219" s="66" t="n"/>
      <c r="J219" s="66" t="n"/>
      <c r="K219" s="66" t="n"/>
      <c r="L219" s="66" t="n"/>
      <c r="M219" s="66" t="n"/>
      <c r="N219" s="66" t="n"/>
      <c r="O219" s="66" t="n"/>
      <c r="P219" s="66" t="n"/>
      <c r="Q219" s="66" t="n"/>
      <c r="R219" s="66" t="n"/>
      <c r="S219" s="66" t="n"/>
      <c r="T219" s="66" t="n"/>
      <c r="U219" s="66" t="n"/>
      <c r="V219" s="66" t="n"/>
      <c r="W219" s="66" t="n"/>
      <c r="X219" s="66" t="n"/>
      <c r="Y219" s="66" t="n"/>
      <c r="Z219" s="66" t="n"/>
      <c r="AA219" s="66" t="n"/>
      <c r="AB219" s="66" t="n"/>
      <c r="AC219" s="66" t="n"/>
      <c r="AD219" s="66" t="n"/>
      <c r="AE219" s="66" t="n"/>
      <c r="AF219" s="66" t="n"/>
      <c r="AG219" s="66" t="n"/>
      <c r="AH219" s="66" t="n"/>
      <c r="AI219" s="66" t="n"/>
      <c r="AJ219" s="66" t="n"/>
      <c r="AK219" s="66" t="n"/>
      <c r="AL219" s="66" t="n"/>
      <c r="AM219" s="66" t="n"/>
      <c r="AN219" s="66" t="n"/>
      <c r="AO219" s="66" t="n"/>
      <c r="AP219" s="66" t="n"/>
      <c r="AQ219" s="66" t="n">
        <v>202430000</v>
      </c>
      <c r="AS219" s="67">
        <f>MROUND(FORECAST(AQ219,AQ207:AQ218,AS207:AS218),100000)</f>
        <v/>
      </c>
    </row>
    <row r="220">
      <c r="A220" s="60" t="n">
        <v>35674</v>
      </c>
      <c r="B220" s="66" t="n"/>
      <c r="C220" s="66" t="n"/>
      <c r="D220" s="66" t="n"/>
      <c r="E220" s="66" t="n"/>
      <c r="F220" s="66" t="n"/>
      <c r="G220" s="66" t="n"/>
      <c r="H220" s="66" t="n"/>
      <c r="I220" s="66" t="n"/>
      <c r="J220" s="66" t="n"/>
      <c r="K220" s="66" t="n"/>
      <c r="L220" s="66" t="n"/>
      <c r="M220" s="66" t="n"/>
      <c r="N220" s="66" t="n"/>
      <c r="O220" s="66" t="n"/>
      <c r="P220" s="66" t="n"/>
      <c r="Q220" s="66" t="n"/>
      <c r="R220" s="66" t="n"/>
      <c r="S220" s="66" t="n"/>
      <c r="T220" s="66" t="n"/>
      <c r="U220" s="66" t="n"/>
      <c r="V220" s="66" t="n"/>
      <c r="W220" s="66" t="n"/>
      <c r="X220" s="66" t="n"/>
      <c r="Y220" s="66" t="n"/>
      <c r="Z220" s="66" t="n"/>
      <c r="AA220" s="66" t="n"/>
      <c r="AB220" s="66" t="n"/>
      <c r="AC220" s="66" t="n"/>
      <c r="AD220" s="66" t="n"/>
      <c r="AE220" s="66" t="n"/>
      <c r="AF220" s="66" t="n"/>
      <c r="AG220" s="66" t="n"/>
      <c r="AH220" s="66" t="n"/>
      <c r="AI220" s="66" t="n"/>
      <c r="AJ220" s="66" t="n"/>
      <c r="AK220" s="66" t="n"/>
      <c r="AL220" s="66" t="n"/>
      <c r="AM220" s="66" t="n"/>
      <c r="AN220" s="66" t="n"/>
      <c r="AO220" s="66" t="n"/>
      <c r="AP220" s="66" t="n"/>
      <c r="AQ220" s="66" t="n">
        <v>185970000</v>
      </c>
      <c r="AS220" s="67">
        <f>MROUND(FORECAST(AQ220,AQ208:AQ219,AS208:AS219),100000)</f>
        <v/>
      </c>
    </row>
    <row r="221">
      <c r="A221" s="60" t="n">
        <v>35704</v>
      </c>
      <c r="B221" s="66" t="n"/>
      <c r="C221" s="66" t="n"/>
      <c r="D221" s="66" t="n"/>
      <c r="E221" s="66" t="n"/>
      <c r="F221" s="66" t="n"/>
      <c r="G221" s="66" t="n"/>
      <c r="H221" s="66" t="n"/>
      <c r="I221" s="66" t="n"/>
      <c r="J221" s="66" t="n"/>
      <c r="K221" s="66" t="n"/>
      <c r="L221" s="66" t="n"/>
      <c r="M221" s="66" t="n"/>
      <c r="N221" s="66" t="n"/>
      <c r="O221" s="66" t="n"/>
      <c r="P221" s="66" t="n"/>
      <c r="Q221" s="66" t="n"/>
      <c r="R221" s="66" t="n"/>
      <c r="S221" s="66" t="n"/>
      <c r="T221" s="66" t="n"/>
      <c r="U221" s="66" t="n"/>
      <c r="V221" s="66" t="n"/>
      <c r="W221" s="66" t="n"/>
      <c r="X221" s="66" t="n"/>
      <c r="Y221" s="66" t="n"/>
      <c r="Z221" s="66" t="n"/>
      <c r="AA221" s="66" t="n"/>
      <c r="AB221" s="66" t="n"/>
      <c r="AC221" s="66" t="n"/>
      <c r="AD221" s="66" t="n"/>
      <c r="AE221" s="66" t="n"/>
      <c r="AF221" s="66" t="n"/>
      <c r="AG221" s="66" t="n"/>
      <c r="AH221" s="66" t="n"/>
      <c r="AI221" s="66" t="n"/>
      <c r="AJ221" s="66" t="n"/>
      <c r="AK221" s="66" t="n"/>
      <c r="AL221" s="66" t="n"/>
      <c r="AM221" s="66" t="n"/>
      <c r="AN221" s="66" t="n"/>
      <c r="AO221" s="66" t="n"/>
      <c r="AP221" s="66" t="n"/>
      <c r="AQ221" s="66" t="n">
        <v>191060000</v>
      </c>
      <c r="AS221" s="67">
        <f>MROUND(FORECAST(AQ221,AQ209:AQ220,AS209:AS220),100000)</f>
        <v/>
      </c>
    </row>
    <row r="222">
      <c r="A222" s="60" t="n">
        <v>35735</v>
      </c>
      <c r="B222" s="66" t="n"/>
      <c r="C222" s="66" t="n"/>
      <c r="D222" s="66" t="n"/>
      <c r="E222" s="66" t="n"/>
      <c r="F222" s="66" t="n"/>
      <c r="G222" s="66" t="n"/>
      <c r="H222" s="66" t="n"/>
      <c r="I222" s="66" t="n"/>
      <c r="J222" s="66" t="n"/>
      <c r="K222" s="66" t="n"/>
      <c r="L222" s="66" t="n"/>
      <c r="M222" s="66" t="n"/>
      <c r="N222" s="66" t="n"/>
      <c r="O222" s="66" t="n"/>
      <c r="P222" s="66" t="n"/>
      <c r="Q222" s="66" t="n"/>
      <c r="R222" s="66" t="n"/>
      <c r="S222" s="66" t="n"/>
      <c r="T222" s="66" t="n"/>
      <c r="U222" s="66" t="n"/>
      <c r="V222" s="66" t="n"/>
      <c r="W222" s="66" t="n"/>
      <c r="X222" s="66" t="n"/>
      <c r="Y222" s="66" t="n"/>
      <c r="Z222" s="66" t="n"/>
      <c r="AA222" s="66" t="n"/>
      <c r="AB222" s="66" t="n"/>
      <c r="AC222" s="66" t="n"/>
      <c r="AD222" s="66" t="n"/>
      <c r="AE222" s="66" t="n"/>
      <c r="AF222" s="66" t="n"/>
      <c r="AG222" s="66" t="n"/>
      <c r="AH222" s="66" t="n"/>
      <c r="AI222" s="66" t="n"/>
      <c r="AJ222" s="66" t="n"/>
      <c r="AK222" s="66" t="n"/>
      <c r="AL222" s="66" t="n"/>
      <c r="AM222" s="66" t="n"/>
      <c r="AN222" s="66" t="n"/>
      <c r="AO222" s="66" t="n"/>
      <c r="AP222" s="66" t="n"/>
      <c r="AQ222" s="66" t="n">
        <v>180170000</v>
      </c>
      <c r="AS222" s="67">
        <f>MROUND(FORECAST(AQ222,AQ210:AQ221,AS210:AS221),100000)</f>
        <v/>
      </c>
    </row>
    <row r="223">
      <c r="A223" s="60" t="n">
        <v>35765</v>
      </c>
      <c r="B223" s="66" t="n"/>
      <c r="C223" s="66" t="n"/>
      <c r="D223" s="66" t="n"/>
      <c r="E223" s="66" t="n"/>
      <c r="F223" s="66" t="n"/>
      <c r="G223" s="66" t="n"/>
      <c r="H223" s="66" t="n"/>
      <c r="I223" s="66" t="n"/>
      <c r="J223" s="66" t="n"/>
      <c r="K223" s="66" t="n"/>
      <c r="L223" s="66" t="n"/>
      <c r="M223" s="66" t="n"/>
      <c r="N223" s="66" t="n"/>
      <c r="O223" s="66" t="n"/>
      <c r="P223" s="66" t="n"/>
      <c r="Q223" s="66" t="n"/>
      <c r="R223" s="66" t="n"/>
      <c r="S223" s="66" t="n"/>
      <c r="T223" s="66" t="n"/>
      <c r="U223" s="66" t="n"/>
      <c r="V223" s="66" t="n"/>
      <c r="W223" s="66" t="n"/>
      <c r="X223" s="66" t="n"/>
      <c r="Y223" s="66" t="n"/>
      <c r="Z223" s="66" t="n"/>
      <c r="AA223" s="66" t="n"/>
      <c r="AB223" s="66" t="n"/>
      <c r="AC223" s="66" t="n"/>
      <c r="AD223" s="66" t="n"/>
      <c r="AE223" s="66" t="n"/>
      <c r="AF223" s="66" t="n"/>
      <c r="AG223" s="66" t="n"/>
      <c r="AH223" s="66" t="n"/>
      <c r="AI223" s="66" t="n"/>
      <c r="AJ223" s="66" t="n"/>
      <c r="AK223" s="66" t="n"/>
      <c r="AL223" s="66" t="n"/>
      <c r="AM223" s="66" t="n"/>
      <c r="AN223" s="66" t="n"/>
      <c r="AO223" s="66" t="n"/>
      <c r="AP223" s="66" t="n"/>
      <c r="AQ223" s="66" t="n">
        <v>188110000</v>
      </c>
      <c r="AS223" s="67">
        <f>MROUND(FORECAST(AQ223,AQ211:AQ222,AS211:AS222),100000)</f>
        <v/>
      </c>
    </row>
    <row r="224">
      <c r="A224" s="60" t="n">
        <v>35796</v>
      </c>
      <c r="B224" s="66" t="n"/>
      <c r="C224" s="66" t="n"/>
      <c r="D224" s="66" t="n"/>
      <c r="E224" s="66" t="n"/>
      <c r="F224" s="66" t="n"/>
      <c r="G224" s="66" t="n"/>
      <c r="H224" s="66" t="n"/>
      <c r="I224" s="66" t="n"/>
      <c r="J224" s="66" t="n"/>
      <c r="K224" s="66" t="n"/>
      <c r="L224" s="66" t="n"/>
      <c r="M224" s="66" t="n"/>
      <c r="N224" s="66" t="n"/>
      <c r="O224" s="66" t="n"/>
      <c r="P224" s="66" t="n"/>
      <c r="Q224" s="66" t="n"/>
      <c r="R224" s="66" t="n"/>
      <c r="S224" s="66" t="n"/>
      <c r="T224" s="66" t="n"/>
      <c r="U224" s="66" t="n"/>
      <c r="V224" s="66" t="n"/>
      <c r="W224" s="66" t="n"/>
      <c r="X224" s="66" t="n"/>
      <c r="Y224" s="66" t="n"/>
      <c r="Z224" s="66" t="n"/>
      <c r="AA224" s="66" t="n"/>
      <c r="AB224" s="66" t="n"/>
      <c r="AC224" s="66" t="n"/>
      <c r="AD224" s="66" t="n"/>
      <c r="AE224" s="66" t="n"/>
      <c r="AF224" s="66" t="n"/>
      <c r="AG224" s="66" t="n"/>
      <c r="AH224" s="66" t="n"/>
      <c r="AI224" s="66" t="n"/>
      <c r="AJ224" s="66" t="n"/>
      <c r="AK224" s="66" t="n"/>
      <c r="AL224" s="66" t="n"/>
      <c r="AM224" s="66" t="n"/>
      <c r="AN224" s="66" t="n"/>
      <c r="AO224" s="66" t="n"/>
      <c r="AP224" s="66" t="n"/>
      <c r="AQ224" s="66" t="n">
        <v>169830000</v>
      </c>
      <c r="AS224" s="67">
        <f>MROUND(FORECAST(AQ224,AQ212:AQ223,AS212:AS223),100000)</f>
        <v/>
      </c>
    </row>
    <row r="225">
      <c r="A225" s="60" t="n">
        <v>35827</v>
      </c>
      <c r="B225" s="66" t="n"/>
      <c r="C225" s="66" t="n"/>
      <c r="D225" s="66" t="n"/>
      <c r="E225" s="66" t="n"/>
      <c r="F225" s="66" t="n"/>
      <c r="G225" s="66" t="n"/>
      <c r="H225" s="66" t="n"/>
      <c r="I225" s="66" t="n"/>
      <c r="J225" s="66" t="n"/>
      <c r="K225" s="66" t="n"/>
      <c r="L225" s="66" t="n"/>
      <c r="M225" s="66" t="n"/>
      <c r="N225" s="66" t="n"/>
      <c r="O225" s="66" t="n"/>
      <c r="P225" s="66" t="n"/>
      <c r="Q225" s="66" t="n"/>
      <c r="R225" s="66" t="n"/>
      <c r="S225" s="66" t="n"/>
      <c r="T225" s="66" t="n"/>
      <c r="U225" s="66" t="n"/>
      <c r="V225" s="66" t="n"/>
      <c r="W225" s="66" t="n"/>
      <c r="X225" s="66" t="n"/>
      <c r="Y225" s="66" t="n"/>
      <c r="Z225" s="66" t="n"/>
      <c r="AA225" s="66" t="n"/>
      <c r="AB225" s="66" t="n"/>
      <c r="AC225" s="66" t="n"/>
      <c r="AD225" s="66" t="n"/>
      <c r="AE225" s="66" t="n"/>
      <c r="AF225" s="66" t="n"/>
      <c r="AG225" s="66" t="n"/>
      <c r="AH225" s="66" t="n"/>
      <c r="AI225" s="66" t="n"/>
      <c r="AJ225" s="66" t="n"/>
      <c r="AK225" s="66" t="n"/>
      <c r="AL225" s="66" t="n"/>
      <c r="AM225" s="66" t="n"/>
      <c r="AN225" s="66" t="n"/>
      <c r="AO225" s="66" t="n"/>
      <c r="AP225" s="66" t="n"/>
      <c r="AQ225" s="66" t="n">
        <v>167100000</v>
      </c>
      <c r="AS225" s="67">
        <f>MROUND(FORECAST(AQ225,AQ213:AQ224,AS213:AS224),100000)</f>
        <v/>
      </c>
    </row>
    <row r="226">
      <c r="A226" s="60" t="n">
        <v>35855</v>
      </c>
      <c r="B226" s="66" t="n"/>
      <c r="C226" s="66" t="n"/>
      <c r="D226" s="66" t="n"/>
      <c r="E226" s="66" t="n"/>
      <c r="F226" s="66" t="n"/>
      <c r="G226" s="66" t="n"/>
      <c r="H226" s="66" t="n"/>
      <c r="I226" s="66" t="n"/>
      <c r="J226" s="66" t="n"/>
      <c r="K226" s="66" t="n"/>
      <c r="L226" s="66" t="n"/>
      <c r="M226" s="66" t="n"/>
      <c r="N226" s="66" t="n"/>
      <c r="O226" s="66" t="n"/>
      <c r="P226" s="66" t="n"/>
      <c r="Q226" s="66" t="n"/>
      <c r="R226" s="66" t="n"/>
      <c r="S226" s="66" t="n"/>
      <c r="T226" s="66" t="n"/>
      <c r="U226" s="66" t="n"/>
      <c r="V226" s="66" t="n"/>
      <c r="W226" s="66" t="n"/>
      <c r="X226" s="66" t="n"/>
      <c r="Y226" s="66" t="n"/>
      <c r="Z226" s="66" t="n"/>
      <c r="AA226" s="66" t="n"/>
      <c r="AB226" s="66" t="n"/>
      <c r="AC226" s="66" t="n"/>
      <c r="AD226" s="66" t="n"/>
      <c r="AE226" s="66" t="n"/>
      <c r="AF226" s="66" t="n"/>
      <c r="AG226" s="66" t="n"/>
      <c r="AH226" s="66" t="n"/>
      <c r="AI226" s="66" t="n"/>
      <c r="AJ226" s="66" t="n"/>
      <c r="AK226" s="66" t="n"/>
      <c r="AL226" s="66" t="n"/>
      <c r="AM226" s="66" t="n"/>
      <c r="AN226" s="66" t="n"/>
      <c r="AO226" s="66" t="n"/>
      <c r="AP226" s="66" t="n"/>
      <c r="AQ226" s="66" t="n">
        <v>184110000</v>
      </c>
      <c r="AS226" s="67">
        <f>MROUND(FORECAST(AQ226,AQ214:AQ225,AS214:AS225),100000)</f>
        <v/>
      </c>
    </row>
    <row r="227">
      <c r="A227" s="60" t="n">
        <v>35886</v>
      </c>
      <c r="B227" s="66" t="n"/>
      <c r="C227" s="66" t="n"/>
      <c r="D227" s="66" t="n"/>
      <c r="E227" s="66" t="n"/>
      <c r="F227" s="66" t="n"/>
      <c r="G227" s="66" t="n"/>
      <c r="H227" s="66" t="n"/>
      <c r="I227" s="66" t="n"/>
      <c r="J227" s="66" t="n"/>
      <c r="K227" s="66" t="n"/>
      <c r="L227" s="66" t="n"/>
      <c r="M227" s="66" t="n"/>
      <c r="N227" s="66" t="n"/>
      <c r="O227" s="66" t="n"/>
      <c r="P227" s="66" t="n"/>
      <c r="Q227" s="66" t="n"/>
      <c r="R227" s="66" t="n"/>
      <c r="S227" s="66" t="n"/>
      <c r="T227" s="66" t="n"/>
      <c r="U227" s="66" t="n"/>
      <c r="V227" s="66" t="n"/>
      <c r="W227" s="66" t="n"/>
      <c r="X227" s="66" t="n"/>
      <c r="Y227" s="66" t="n"/>
      <c r="Z227" s="66" t="n"/>
      <c r="AA227" s="66" t="n"/>
      <c r="AB227" s="66" t="n"/>
      <c r="AC227" s="66" t="n"/>
      <c r="AD227" s="66" t="n"/>
      <c r="AE227" s="66" t="n"/>
      <c r="AF227" s="66" t="n"/>
      <c r="AG227" s="66" t="n"/>
      <c r="AH227" s="66" t="n"/>
      <c r="AI227" s="66" t="n"/>
      <c r="AJ227" s="66" t="n"/>
      <c r="AK227" s="66" t="n"/>
      <c r="AL227" s="66" t="n"/>
      <c r="AM227" s="66" t="n"/>
      <c r="AN227" s="66" t="n"/>
      <c r="AO227" s="66" t="n"/>
      <c r="AP227" s="66" t="n"/>
      <c r="AQ227" s="66" t="n">
        <v>184500000</v>
      </c>
      <c r="AS227" s="67">
        <f>MROUND(FORECAST(AQ227,AQ215:AQ226,AS215:AS226),100000)</f>
        <v/>
      </c>
    </row>
    <row r="228">
      <c r="A228" s="60" t="n">
        <v>35916</v>
      </c>
      <c r="B228" s="66" t="n"/>
      <c r="C228" s="66" t="n"/>
      <c r="D228" s="66" t="n"/>
      <c r="E228" s="66" t="n"/>
      <c r="F228" s="66" t="n"/>
      <c r="G228" s="66" t="n"/>
      <c r="H228" s="66" t="n"/>
      <c r="I228" s="66" t="n"/>
      <c r="J228" s="66" t="n"/>
      <c r="K228" s="66" t="n"/>
      <c r="L228" s="66" t="n"/>
      <c r="M228" s="66" t="n"/>
      <c r="N228" s="66" t="n"/>
      <c r="O228" s="66" t="n"/>
      <c r="P228" s="66" t="n"/>
      <c r="Q228" s="66" t="n"/>
      <c r="R228" s="66" t="n"/>
      <c r="S228" s="66" t="n"/>
      <c r="T228" s="66" t="n"/>
      <c r="U228" s="66" t="n"/>
      <c r="V228" s="66" t="n"/>
      <c r="W228" s="66" t="n"/>
      <c r="X228" s="66" t="n"/>
      <c r="Y228" s="66" t="n"/>
      <c r="Z228" s="66" t="n"/>
      <c r="AA228" s="66" t="n"/>
      <c r="AB228" s="66" t="n"/>
      <c r="AC228" s="66" t="n"/>
      <c r="AD228" s="66" t="n"/>
      <c r="AE228" s="66" t="n"/>
      <c r="AF228" s="66" t="n"/>
      <c r="AG228" s="66" t="n"/>
      <c r="AH228" s="66" t="n"/>
      <c r="AI228" s="66" t="n"/>
      <c r="AJ228" s="66" t="n"/>
      <c r="AK228" s="66" t="n"/>
      <c r="AL228" s="66" t="n"/>
      <c r="AM228" s="66" t="n"/>
      <c r="AN228" s="66" t="n"/>
      <c r="AO228" s="66" t="n"/>
      <c r="AP228" s="66" t="n"/>
      <c r="AQ228" s="66" t="n">
        <v>197230000</v>
      </c>
      <c r="AS228" s="67">
        <f>MROUND(FORECAST(AQ228,AQ216:AQ227,AS216:AS227),100000)</f>
        <v/>
      </c>
    </row>
    <row r="229">
      <c r="A229" s="60" t="n">
        <v>35947</v>
      </c>
      <c r="B229" s="66" t="n"/>
      <c r="C229" s="66" t="n"/>
      <c r="D229" s="66" t="n"/>
      <c r="E229" s="66" t="n"/>
      <c r="F229" s="66" t="n"/>
      <c r="G229" s="66" t="n"/>
      <c r="H229" s="66" t="n"/>
      <c r="I229" s="66" t="n"/>
      <c r="J229" s="66" t="n"/>
      <c r="K229" s="66" t="n"/>
      <c r="L229" s="66" t="n"/>
      <c r="M229" s="66" t="n"/>
      <c r="N229" s="66" t="n"/>
      <c r="O229" s="66" t="n"/>
      <c r="P229" s="66" t="n"/>
      <c r="Q229" s="66" t="n"/>
      <c r="R229" s="66" t="n"/>
      <c r="S229" s="66" t="n"/>
      <c r="T229" s="66" t="n"/>
      <c r="U229" s="66" t="n"/>
      <c r="V229" s="66" t="n"/>
      <c r="W229" s="66" t="n"/>
      <c r="X229" s="66" t="n"/>
      <c r="Y229" s="66" t="n"/>
      <c r="Z229" s="66" t="n"/>
      <c r="AA229" s="66" t="n"/>
      <c r="AB229" s="66" t="n"/>
      <c r="AC229" s="66" t="n"/>
      <c r="AD229" s="66" t="n"/>
      <c r="AE229" s="66" t="n"/>
      <c r="AF229" s="66" t="n"/>
      <c r="AG229" s="66" t="n"/>
      <c r="AH229" s="66" t="n"/>
      <c r="AI229" s="66" t="n"/>
      <c r="AJ229" s="66" t="n"/>
      <c r="AK229" s="66" t="n"/>
      <c r="AL229" s="66" t="n"/>
      <c r="AM229" s="66" t="n"/>
      <c r="AN229" s="66" t="n"/>
      <c r="AO229" s="66" t="n"/>
      <c r="AP229" s="66" t="n"/>
      <c r="AQ229" s="66" t="n">
        <v>192960000</v>
      </c>
      <c r="AS229" s="67">
        <f>MROUND(FORECAST(AQ229,AQ217:AQ228,AS217:AS228),100000)</f>
        <v/>
      </c>
    </row>
    <row r="230">
      <c r="A230" s="60" t="n">
        <v>35977</v>
      </c>
      <c r="B230" s="66" t="n"/>
      <c r="C230" s="66" t="n"/>
      <c r="D230" s="66" t="n"/>
      <c r="E230" s="66" t="n"/>
      <c r="F230" s="66" t="n"/>
      <c r="G230" s="66" t="n"/>
      <c r="H230" s="66" t="n"/>
      <c r="I230" s="66" t="n"/>
      <c r="J230" s="66" t="n"/>
      <c r="K230" s="66" t="n"/>
      <c r="L230" s="66" t="n"/>
      <c r="M230" s="66" t="n"/>
      <c r="N230" s="66" t="n"/>
      <c r="O230" s="66" t="n"/>
      <c r="P230" s="66" t="n"/>
      <c r="Q230" s="66" t="n"/>
      <c r="R230" s="66" t="n"/>
      <c r="S230" s="66" t="n"/>
      <c r="T230" s="66" t="n"/>
      <c r="U230" s="66" t="n"/>
      <c r="V230" s="66" t="n"/>
      <c r="W230" s="66" t="n"/>
      <c r="X230" s="66" t="n"/>
      <c r="Y230" s="66" t="n"/>
      <c r="Z230" s="66" t="n"/>
      <c r="AA230" s="66" t="n"/>
      <c r="AB230" s="66" t="n"/>
      <c r="AC230" s="66" t="n"/>
      <c r="AD230" s="66" t="n"/>
      <c r="AE230" s="66" t="n"/>
      <c r="AF230" s="66" t="n"/>
      <c r="AG230" s="66" t="n"/>
      <c r="AH230" s="66" t="n"/>
      <c r="AI230" s="66" t="n"/>
      <c r="AJ230" s="66" t="n"/>
      <c r="AK230" s="66" t="n"/>
      <c r="AL230" s="66" t="n"/>
      <c r="AM230" s="66" t="n"/>
      <c r="AN230" s="66" t="n"/>
      <c r="AO230" s="66" t="n"/>
      <c r="AP230" s="66" t="n"/>
      <c r="AQ230" s="66" t="n">
        <v>197150000</v>
      </c>
      <c r="AS230" s="67">
        <f>MROUND(FORECAST(AQ230,AQ218:AQ229,AS218:AS229),100000)</f>
        <v/>
      </c>
    </row>
    <row r="231">
      <c r="A231" s="60" t="n">
        <v>36008</v>
      </c>
      <c r="B231" s="66" t="n"/>
      <c r="C231" s="66" t="n"/>
      <c r="D231" s="66" t="n"/>
      <c r="E231" s="66" t="n"/>
      <c r="F231" s="66" t="n"/>
      <c r="G231" s="66" t="n"/>
      <c r="H231" s="66" t="n"/>
      <c r="I231" s="66" t="n"/>
      <c r="J231" s="66" t="n"/>
      <c r="K231" s="66" t="n"/>
      <c r="L231" s="66" t="n"/>
      <c r="M231" s="66" t="n"/>
      <c r="N231" s="66" t="n"/>
      <c r="O231" s="66" t="n"/>
      <c r="P231" s="66" t="n"/>
      <c r="Q231" s="66" t="n"/>
      <c r="R231" s="66" t="n"/>
      <c r="S231" s="66" t="n"/>
      <c r="T231" s="66" t="n"/>
      <c r="U231" s="66" t="n"/>
      <c r="V231" s="66" t="n"/>
      <c r="W231" s="66" t="n"/>
      <c r="X231" s="66" t="n"/>
      <c r="Y231" s="66" t="n"/>
      <c r="Z231" s="66" t="n"/>
      <c r="AA231" s="66" t="n"/>
      <c r="AB231" s="66" t="n"/>
      <c r="AC231" s="66" t="n"/>
      <c r="AD231" s="66" t="n"/>
      <c r="AE231" s="66" t="n"/>
      <c r="AF231" s="66" t="n"/>
      <c r="AG231" s="66" t="n"/>
      <c r="AH231" s="66" t="n"/>
      <c r="AI231" s="66" t="n"/>
      <c r="AJ231" s="66" t="n"/>
      <c r="AK231" s="66" t="n"/>
      <c r="AL231" s="66" t="n"/>
      <c r="AM231" s="66" t="n"/>
      <c r="AN231" s="66" t="n"/>
      <c r="AO231" s="66" t="n"/>
      <c r="AP231" s="66" t="n"/>
      <c r="AQ231" s="66" t="n">
        <v>197530000</v>
      </c>
      <c r="AS231" s="67">
        <f>MROUND(FORECAST(AQ231,AQ219:AQ230,AS219:AS230),100000)</f>
        <v/>
      </c>
    </row>
    <row r="232">
      <c r="A232" s="60" t="n">
        <v>36039</v>
      </c>
      <c r="B232" s="66" t="n"/>
      <c r="C232" s="66" t="n"/>
      <c r="D232" s="66" t="n"/>
      <c r="E232" s="66" t="n"/>
      <c r="F232" s="66" t="n"/>
      <c r="G232" s="66" t="n"/>
      <c r="H232" s="66" t="n"/>
      <c r="I232" s="66" t="n"/>
      <c r="J232" s="66" t="n"/>
      <c r="K232" s="66" t="n"/>
      <c r="L232" s="66" t="n"/>
      <c r="M232" s="66" t="n"/>
      <c r="N232" s="66" t="n"/>
      <c r="O232" s="66" t="n"/>
      <c r="P232" s="66" t="n"/>
      <c r="Q232" s="66" t="n"/>
      <c r="R232" s="66" t="n"/>
      <c r="S232" s="66" t="n"/>
      <c r="T232" s="66" t="n"/>
      <c r="U232" s="66" t="n"/>
      <c r="V232" s="66" t="n"/>
      <c r="W232" s="66" t="n"/>
      <c r="X232" s="66" t="n"/>
      <c r="Y232" s="66" t="n"/>
      <c r="Z232" s="66" t="n"/>
      <c r="AA232" s="66" t="n"/>
      <c r="AB232" s="66" t="n"/>
      <c r="AC232" s="66" t="n"/>
      <c r="AD232" s="66" t="n"/>
      <c r="AE232" s="66" t="n"/>
      <c r="AF232" s="66" t="n"/>
      <c r="AG232" s="66" t="n"/>
      <c r="AH232" s="66" t="n"/>
      <c r="AI232" s="66" t="n"/>
      <c r="AJ232" s="66" t="n"/>
      <c r="AK232" s="66" t="n"/>
      <c r="AL232" s="66" t="n"/>
      <c r="AM232" s="66" t="n"/>
      <c r="AN232" s="66" t="n"/>
      <c r="AO232" s="66" t="n"/>
      <c r="AP232" s="66" t="n"/>
      <c r="AQ232" s="66" t="n">
        <v>184670000</v>
      </c>
      <c r="AS232" s="67">
        <f>MROUND(FORECAST(AQ232,AQ220:AQ231,AS220:AS231),100000)</f>
        <v/>
      </c>
    </row>
    <row r="233">
      <c r="A233" s="60" t="n">
        <v>36069</v>
      </c>
      <c r="B233" s="66" t="n"/>
      <c r="C233" s="66" t="n"/>
      <c r="D233" s="66" t="n"/>
      <c r="E233" s="66" t="n"/>
      <c r="F233" s="66" t="n"/>
      <c r="G233" s="66" t="n"/>
      <c r="H233" s="66" t="n"/>
      <c r="I233" s="66" t="n"/>
      <c r="J233" s="66" t="n"/>
      <c r="K233" s="66" t="n"/>
      <c r="L233" s="66" t="n"/>
      <c r="M233" s="66" t="n"/>
      <c r="N233" s="66" t="n"/>
      <c r="O233" s="66" t="n"/>
      <c r="P233" s="66" t="n"/>
      <c r="Q233" s="66" t="n"/>
      <c r="R233" s="66" t="n"/>
      <c r="S233" s="66" t="n"/>
      <c r="T233" s="66" t="n"/>
      <c r="U233" s="66" t="n"/>
      <c r="V233" s="66" t="n"/>
      <c r="W233" s="66" t="n"/>
      <c r="X233" s="66" t="n"/>
      <c r="Y233" s="66" t="n"/>
      <c r="Z233" s="66" t="n"/>
      <c r="AA233" s="66" t="n"/>
      <c r="AB233" s="66" t="n"/>
      <c r="AC233" s="66" t="n"/>
      <c r="AD233" s="66" t="n"/>
      <c r="AE233" s="66" t="n"/>
      <c r="AF233" s="66" t="n"/>
      <c r="AG233" s="66" t="n"/>
      <c r="AH233" s="66" t="n"/>
      <c r="AI233" s="66" t="n"/>
      <c r="AJ233" s="66" t="n"/>
      <c r="AK233" s="66" t="n"/>
      <c r="AL233" s="66" t="n"/>
      <c r="AM233" s="66" t="n"/>
      <c r="AN233" s="66" t="n"/>
      <c r="AO233" s="66" t="n"/>
      <c r="AP233" s="66" t="n"/>
      <c r="AQ233" s="66" t="n">
        <v>194310000</v>
      </c>
      <c r="AS233" s="67">
        <f>MROUND(FORECAST(AQ233,AQ221:AQ232,AS221:AS232),100000)</f>
        <v/>
      </c>
    </row>
    <row r="234">
      <c r="A234" s="60" t="n">
        <v>36100</v>
      </c>
      <c r="B234" s="66" t="n"/>
      <c r="C234" s="66" t="n"/>
      <c r="D234" s="66" t="n"/>
      <c r="E234" s="66" t="n"/>
      <c r="F234" s="66" t="n"/>
      <c r="G234" s="66" t="n"/>
      <c r="H234" s="66" t="n"/>
      <c r="I234" s="66" t="n"/>
      <c r="J234" s="66" t="n"/>
      <c r="K234" s="66" t="n"/>
      <c r="L234" s="66" t="n"/>
      <c r="M234" s="66" t="n"/>
      <c r="N234" s="66" t="n"/>
      <c r="O234" s="66" t="n"/>
      <c r="P234" s="66" t="n"/>
      <c r="Q234" s="66" t="n"/>
      <c r="R234" s="66" t="n"/>
      <c r="S234" s="66" t="n"/>
      <c r="T234" s="66" t="n"/>
      <c r="U234" s="66" t="n"/>
      <c r="V234" s="66" t="n"/>
      <c r="W234" s="66" t="n"/>
      <c r="X234" s="66" t="n"/>
      <c r="Y234" s="66" t="n"/>
      <c r="Z234" s="66" t="n"/>
      <c r="AA234" s="66" t="n"/>
      <c r="AB234" s="66" t="n"/>
      <c r="AC234" s="66" t="n"/>
      <c r="AD234" s="66" t="n"/>
      <c r="AE234" s="66" t="n"/>
      <c r="AF234" s="66" t="n"/>
      <c r="AG234" s="66" t="n"/>
      <c r="AH234" s="66" t="n"/>
      <c r="AI234" s="66" t="n"/>
      <c r="AJ234" s="66" t="n"/>
      <c r="AK234" s="66" t="n"/>
      <c r="AL234" s="66" t="n"/>
      <c r="AM234" s="66" t="n"/>
      <c r="AN234" s="66" t="n"/>
      <c r="AO234" s="66" t="n"/>
      <c r="AP234" s="66" t="n"/>
      <c r="AQ234" s="66" t="n">
        <v>181590000</v>
      </c>
      <c r="AS234" s="67">
        <f>MROUND(FORECAST(AQ234,AQ222:AQ233,AS222:AS233),100000)</f>
        <v/>
      </c>
    </row>
    <row r="235">
      <c r="A235" s="60" t="n">
        <v>36130</v>
      </c>
      <c r="B235" s="66" t="n"/>
      <c r="C235" s="66" t="n"/>
      <c r="D235" s="66" t="n"/>
      <c r="E235" s="66" t="n"/>
      <c r="F235" s="66" t="n"/>
      <c r="G235" s="66" t="n"/>
      <c r="H235" s="66" t="n"/>
      <c r="I235" s="66" t="n"/>
      <c r="J235" s="66" t="n"/>
      <c r="K235" s="66" t="n"/>
      <c r="L235" s="66" t="n"/>
      <c r="M235" s="66" t="n"/>
      <c r="N235" s="66" t="n"/>
      <c r="O235" s="66" t="n"/>
      <c r="P235" s="66" t="n"/>
      <c r="Q235" s="66" t="n"/>
      <c r="R235" s="66" t="n"/>
      <c r="S235" s="66" t="n"/>
      <c r="T235" s="66" t="n"/>
      <c r="U235" s="66" t="n"/>
      <c r="V235" s="66" t="n"/>
      <c r="W235" s="66" t="n"/>
      <c r="X235" s="66" t="n"/>
      <c r="Y235" s="66" t="n"/>
      <c r="Z235" s="66" t="n"/>
      <c r="AA235" s="66" t="n"/>
      <c r="AB235" s="66" t="n"/>
      <c r="AC235" s="66" t="n"/>
      <c r="AD235" s="66" t="n"/>
      <c r="AE235" s="66" t="n"/>
      <c r="AF235" s="66" t="n"/>
      <c r="AG235" s="66" t="n"/>
      <c r="AH235" s="66" t="n"/>
      <c r="AI235" s="66" t="n"/>
      <c r="AJ235" s="66" t="n"/>
      <c r="AK235" s="66" t="n"/>
      <c r="AL235" s="66" t="n"/>
      <c r="AM235" s="66" t="n"/>
      <c r="AN235" s="66" t="n"/>
      <c r="AO235" s="66" t="n"/>
      <c r="AP235" s="66" t="n"/>
      <c r="AQ235" s="66" t="n">
        <v>192220000</v>
      </c>
      <c r="AS235" s="67">
        <f>MROUND(FORECAST(AQ235,AQ223:AQ234,AS223:AS234),100000)</f>
        <v/>
      </c>
    </row>
    <row r="236">
      <c r="A236" s="60" t="n">
        <v>36161</v>
      </c>
      <c r="B236" s="66" t="n"/>
      <c r="C236" s="66" t="n"/>
      <c r="D236" s="66" t="n"/>
      <c r="E236" s="66" t="n"/>
      <c r="F236" s="66" t="n"/>
      <c r="G236" s="66" t="n"/>
      <c r="H236" s="66" t="n"/>
      <c r="I236" s="66" t="n"/>
      <c r="J236" s="66" t="n"/>
      <c r="K236" s="66" t="n"/>
      <c r="L236" s="66" t="n"/>
      <c r="M236" s="66" t="n"/>
      <c r="N236" s="66" t="n"/>
      <c r="O236" s="66" t="n"/>
      <c r="P236" s="66" t="n"/>
      <c r="Q236" s="66" t="n"/>
      <c r="R236" s="66" t="n"/>
      <c r="S236" s="66" t="n"/>
      <c r="T236" s="66" t="n"/>
      <c r="U236" s="66" t="n"/>
      <c r="V236" s="66" t="n"/>
      <c r="W236" s="66" t="n"/>
      <c r="X236" s="66" t="n"/>
      <c r="Y236" s="66" t="n"/>
      <c r="Z236" s="66" t="n"/>
      <c r="AA236" s="66" t="n"/>
      <c r="AB236" s="66" t="n"/>
      <c r="AC236" s="66" t="n"/>
      <c r="AD236" s="66" t="n"/>
      <c r="AE236" s="66" t="n"/>
      <c r="AF236" s="66" t="n"/>
      <c r="AG236" s="66" t="n"/>
      <c r="AH236" s="66" t="n"/>
      <c r="AI236" s="66" t="n"/>
      <c r="AJ236" s="66" t="n"/>
      <c r="AK236" s="66" t="n"/>
      <c r="AL236" s="66" t="n"/>
      <c r="AM236" s="66" t="n"/>
      <c r="AN236" s="66" t="n"/>
      <c r="AO236" s="66" t="n"/>
      <c r="AP236" s="66" t="n"/>
      <c r="AQ236" s="66" t="n">
        <v>169410000</v>
      </c>
      <c r="AS236" s="67">
        <f>MROUND(FORECAST(AQ236,AQ224:AQ235,AS224:AS235),100000)</f>
        <v/>
      </c>
    </row>
    <row r="237">
      <c r="A237" s="60" t="n">
        <v>36192</v>
      </c>
      <c r="B237" s="66" t="n"/>
      <c r="C237" s="66" t="n"/>
      <c r="D237" s="66" t="n"/>
      <c r="E237" s="66" t="n"/>
      <c r="F237" s="66" t="n"/>
      <c r="G237" s="66" t="n"/>
      <c r="H237" s="66" t="n"/>
      <c r="I237" s="66" t="n"/>
      <c r="J237" s="66" t="n"/>
      <c r="K237" s="66" t="n"/>
      <c r="L237" s="66" t="n"/>
      <c r="M237" s="66" t="n"/>
      <c r="N237" s="66" t="n"/>
      <c r="O237" s="66" t="n"/>
      <c r="P237" s="66" t="n"/>
      <c r="Q237" s="66" t="n"/>
      <c r="R237" s="66" t="n"/>
      <c r="S237" s="66" t="n"/>
      <c r="T237" s="66" t="n"/>
      <c r="U237" s="66" t="n"/>
      <c r="V237" s="66" t="n"/>
      <c r="W237" s="66" t="n"/>
      <c r="X237" s="66" t="n"/>
      <c r="Y237" s="66" t="n"/>
      <c r="Z237" s="66" t="n"/>
      <c r="AA237" s="66" t="n"/>
      <c r="AB237" s="66" t="n"/>
      <c r="AC237" s="66" t="n"/>
      <c r="AD237" s="66" t="n"/>
      <c r="AE237" s="66" t="n"/>
      <c r="AF237" s="66" t="n"/>
      <c r="AG237" s="66" t="n"/>
      <c r="AH237" s="66" t="n"/>
      <c r="AI237" s="66" t="n"/>
      <c r="AJ237" s="66" t="n"/>
      <c r="AK237" s="66" t="n"/>
      <c r="AL237" s="66" t="n"/>
      <c r="AM237" s="66" t="n"/>
      <c r="AN237" s="66" t="n"/>
      <c r="AO237" s="66" t="n"/>
      <c r="AP237" s="66" t="n"/>
      <c r="AQ237" s="66" t="n">
        <v>168190000</v>
      </c>
      <c r="AS237" s="67">
        <f>MROUND(FORECAST(AQ237,AQ225:AQ236,AS225:AS236),100000)</f>
        <v/>
      </c>
    </row>
    <row r="238">
      <c r="A238" s="60" t="n">
        <v>36220</v>
      </c>
      <c r="B238" s="66" t="n"/>
      <c r="C238" s="66" t="n"/>
      <c r="D238" s="66" t="n"/>
      <c r="E238" s="66" t="n"/>
      <c r="F238" s="66" t="n"/>
      <c r="G238" s="66" t="n"/>
      <c r="H238" s="66" t="n"/>
      <c r="I238" s="66" t="n"/>
      <c r="J238" s="66" t="n"/>
      <c r="K238" s="66" t="n"/>
      <c r="L238" s="66" t="n"/>
      <c r="M238" s="66" t="n"/>
      <c r="N238" s="66" t="n"/>
      <c r="O238" s="66" t="n"/>
      <c r="P238" s="66" t="n"/>
      <c r="Q238" s="66" t="n"/>
      <c r="R238" s="66" t="n"/>
      <c r="S238" s="66" t="n"/>
      <c r="T238" s="66" t="n"/>
      <c r="U238" s="66" t="n"/>
      <c r="V238" s="66" t="n"/>
      <c r="W238" s="66" t="n"/>
      <c r="X238" s="66" t="n"/>
      <c r="Y238" s="66" t="n"/>
      <c r="Z238" s="66" t="n"/>
      <c r="AA238" s="66" t="n"/>
      <c r="AB238" s="66" t="n"/>
      <c r="AC238" s="66" t="n"/>
      <c r="AD238" s="66" t="n"/>
      <c r="AE238" s="66" t="n"/>
      <c r="AF238" s="66" t="n"/>
      <c r="AG238" s="66" t="n"/>
      <c r="AH238" s="66" t="n"/>
      <c r="AI238" s="66" t="n"/>
      <c r="AJ238" s="66" t="n"/>
      <c r="AK238" s="66" t="n"/>
      <c r="AL238" s="66" t="n"/>
      <c r="AM238" s="66" t="n"/>
      <c r="AN238" s="66" t="n"/>
      <c r="AO238" s="66" t="n"/>
      <c r="AP238" s="66" t="n"/>
      <c r="AQ238" s="66" t="n">
        <v>183520000</v>
      </c>
      <c r="AS238" s="67">
        <f>MROUND(FORECAST(AQ238,AQ226:AQ237,AS226:AS237),100000)</f>
        <v/>
      </c>
    </row>
    <row r="239">
      <c r="A239" s="60" t="n">
        <v>36251</v>
      </c>
      <c r="B239" s="66" t="n"/>
      <c r="C239" s="66" t="n"/>
      <c r="D239" s="66" t="n"/>
      <c r="E239" s="66" t="n"/>
      <c r="F239" s="66" t="n"/>
      <c r="G239" s="66" t="n"/>
      <c r="H239" s="66" t="n"/>
      <c r="I239" s="66" t="n"/>
      <c r="J239" s="66" t="n"/>
      <c r="K239" s="66" t="n"/>
      <c r="L239" s="66" t="n"/>
      <c r="M239" s="66" t="n"/>
      <c r="N239" s="66" t="n"/>
      <c r="O239" s="66" t="n"/>
      <c r="P239" s="66" t="n"/>
      <c r="Q239" s="66" t="n"/>
      <c r="R239" s="66" t="n"/>
      <c r="S239" s="66" t="n"/>
      <c r="T239" s="66" t="n"/>
      <c r="U239" s="66" t="n"/>
      <c r="V239" s="66" t="n"/>
      <c r="W239" s="66" t="n"/>
      <c r="X239" s="66" t="n"/>
      <c r="Y239" s="66" t="n"/>
      <c r="Z239" s="66" t="n"/>
      <c r="AA239" s="66" t="n"/>
      <c r="AB239" s="66" t="n"/>
      <c r="AC239" s="66" t="n"/>
      <c r="AD239" s="66" t="n"/>
      <c r="AE239" s="66" t="n"/>
      <c r="AF239" s="66" t="n"/>
      <c r="AG239" s="66" t="n"/>
      <c r="AH239" s="66" t="n"/>
      <c r="AI239" s="66" t="n"/>
      <c r="AJ239" s="66" t="n"/>
      <c r="AK239" s="66" t="n"/>
      <c r="AL239" s="66" t="n"/>
      <c r="AM239" s="66" t="n"/>
      <c r="AN239" s="66" t="n"/>
      <c r="AO239" s="66" t="n"/>
      <c r="AP239" s="66" t="n"/>
      <c r="AQ239" s="66" t="n">
        <v>186700000</v>
      </c>
      <c r="AS239" s="67">
        <f>MROUND(FORECAST(AQ239,AQ227:AQ238,AS227:AS238),100000)</f>
        <v/>
      </c>
    </row>
    <row r="240">
      <c r="A240" s="60" t="n">
        <v>36281</v>
      </c>
      <c r="B240" s="66" t="n"/>
      <c r="C240" s="66" t="n"/>
      <c r="D240" s="66" t="n"/>
      <c r="E240" s="66" t="n"/>
      <c r="F240" s="66" t="n"/>
      <c r="G240" s="66" t="n"/>
      <c r="H240" s="66" t="n"/>
      <c r="I240" s="66" t="n"/>
      <c r="J240" s="66" t="n"/>
      <c r="K240" s="66" t="n"/>
      <c r="L240" s="66" t="n"/>
      <c r="M240" s="66" t="n"/>
      <c r="N240" s="66" t="n"/>
      <c r="O240" s="66" t="n"/>
      <c r="P240" s="66" t="n"/>
      <c r="Q240" s="66" t="n"/>
      <c r="R240" s="66" t="n"/>
      <c r="S240" s="66" t="n"/>
      <c r="T240" s="66" t="n"/>
      <c r="U240" s="66" t="n"/>
      <c r="V240" s="66" t="n"/>
      <c r="W240" s="66" t="n"/>
      <c r="X240" s="66" t="n"/>
      <c r="Y240" s="66" t="n"/>
      <c r="Z240" s="66" t="n"/>
      <c r="AA240" s="66" t="n"/>
      <c r="AB240" s="66" t="n"/>
      <c r="AC240" s="66" t="n"/>
      <c r="AD240" s="66" t="n"/>
      <c r="AE240" s="66" t="n"/>
      <c r="AF240" s="66" t="n"/>
      <c r="AG240" s="66" t="n"/>
      <c r="AH240" s="66" t="n"/>
      <c r="AI240" s="66" t="n"/>
      <c r="AJ240" s="66" t="n"/>
      <c r="AK240" s="66" t="n"/>
      <c r="AL240" s="66" t="n"/>
      <c r="AM240" s="66" t="n"/>
      <c r="AN240" s="66" t="n"/>
      <c r="AO240" s="66" t="n"/>
      <c r="AP240" s="66" t="n"/>
      <c r="AQ240" s="66" t="n">
        <v>194650000</v>
      </c>
      <c r="AS240" s="67">
        <f>MROUND(FORECAST(AQ240,AQ228:AQ239,AS228:AS239),100000)</f>
        <v/>
      </c>
    </row>
    <row r="241">
      <c r="A241" s="60" t="n">
        <v>36312</v>
      </c>
      <c r="B241" s="66" t="n"/>
      <c r="C241" s="66" t="n"/>
      <c r="D241" s="66" t="n"/>
      <c r="E241" s="66" t="n"/>
      <c r="F241" s="66" t="n"/>
      <c r="G241" s="66" t="n"/>
      <c r="H241" s="66" t="n"/>
      <c r="I241" s="66" t="n"/>
      <c r="J241" s="66" t="n"/>
      <c r="K241" s="66" t="n"/>
      <c r="L241" s="66" t="n"/>
      <c r="M241" s="66" t="n"/>
      <c r="N241" s="66" t="n"/>
      <c r="O241" s="66" t="n"/>
      <c r="P241" s="66" t="n"/>
      <c r="Q241" s="66" t="n"/>
      <c r="R241" s="66" t="n"/>
      <c r="S241" s="66" t="n"/>
      <c r="T241" s="66" t="n"/>
      <c r="U241" s="66" t="n"/>
      <c r="V241" s="66" t="n"/>
      <c r="W241" s="66" t="n"/>
      <c r="X241" s="66" t="n"/>
      <c r="Y241" s="66" t="n"/>
      <c r="Z241" s="66" t="n"/>
      <c r="AA241" s="66" t="n"/>
      <c r="AB241" s="66" t="n"/>
      <c r="AC241" s="66" t="n"/>
      <c r="AD241" s="66" t="n"/>
      <c r="AE241" s="66" t="n"/>
      <c r="AF241" s="66" t="n"/>
      <c r="AG241" s="66" t="n"/>
      <c r="AH241" s="66" t="n"/>
      <c r="AI241" s="66" t="n"/>
      <c r="AJ241" s="66" t="n"/>
      <c r="AK241" s="66" t="n"/>
      <c r="AL241" s="66" t="n"/>
      <c r="AM241" s="66" t="n"/>
      <c r="AN241" s="66" t="n"/>
      <c r="AO241" s="66" t="n"/>
      <c r="AP241" s="66" t="n"/>
      <c r="AQ241" s="66" t="n">
        <v>191480000</v>
      </c>
      <c r="AS241" s="67">
        <f>MROUND(FORECAST(AQ241,AQ229:AQ240,AS229:AS240),100000)</f>
        <v/>
      </c>
    </row>
    <row r="242">
      <c r="A242" s="60" t="n">
        <v>36342</v>
      </c>
      <c r="B242" s="66" t="n"/>
      <c r="C242" s="66" t="n"/>
      <c r="D242" s="66" t="n"/>
      <c r="E242" s="66" t="n"/>
      <c r="F242" s="66" t="n"/>
      <c r="G242" s="66" t="n"/>
      <c r="H242" s="66" t="n"/>
      <c r="I242" s="66" t="n"/>
      <c r="J242" s="66" t="n"/>
      <c r="K242" s="66" t="n"/>
      <c r="L242" s="66" t="n"/>
      <c r="M242" s="66" t="n"/>
      <c r="N242" s="66" t="n"/>
      <c r="O242" s="66" t="n"/>
      <c r="P242" s="66" t="n"/>
      <c r="Q242" s="66" t="n"/>
      <c r="R242" s="66" t="n"/>
      <c r="S242" s="66" t="n"/>
      <c r="T242" s="66" t="n"/>
      <c r="U242" s="66" t="n"/>
      <c r="V242" s="66" t="n"/>
      <c r="W242" s="66" t="n"/>
      <c r="X242" s="66" t="n"/>
      <c r="Y242" s="66" t="n"/>
      <c r="Z242" s="66" t="n"/>
      <c r="AA242" s="66" t="n"/>
      <c r="AB242" s="66" t="n"/>
      <c r="AC242" s="66" t="n"/>
      <c r="AD242" s="66" t="n"/>
      <c r="AE242" s="66" t="n"/>
      <c r="AF242" s="66" t="n"/>
      <c r="AG242" s="66" t="n"/>
      <c r="AH242" s="66" t="n"/>
      <c r="AI242" s="66" t="n"/>
      <c r="AJ242" s="66" t="n"/>
      <c r="AK242" s="66" t="n"/>
      <c r="AL242" s="66" t="n"/>
      <c r="AM242" s="66" t="n"/>
      <c r="AN242" s="66" t="n"/>
      <c r="AO242" s="66" t="n"/>
      <c r="AP242" s="66" t="n"/>
      <c r="AQ242" s="66" t="n">
        <v>198590000</v>
      </c>
      <c r="AS242" s="67">
        <f>MROUND(FORECAST(AQ242,AQ230:AQ241,AS230:AS241),100000)</f>
        <v/>
      </c>
    </row>
    <row r="243">
      <c r="A243" s="60" t="n">
        <v>36373</v>
      </c>
      <c r="B243" s="66" t="n"/>
      <c r="C243" s="66" t="n"/>
      <c r="D243" s="66" t="n"/>
      <c r="E243" s="66" t="n"/>
      <c r="F243" s="66" t="n"/>
      <c r="G243" s="66" t="n"/>
      <c r="H243" s="66" t="n"/>
      <c r="I243" s="66" t="n"/>
      <c r="J243" s="66" t="n"/>
      <c r="K243" s="66" t="n"/>
      <c r="L243" s="66" t="n"/>
      <c r="M243" s="66" t="n"/>
      <c r="N243" s="66" t="n"/>
      <c r="O243" s="66" t="n"/>
      <c r="P243" s="66" t="n"/>
      <c r="Q243" s="66" t="n"/>
      <c r="R243" s="66" t="n"/>
      <c r="S243" s="66" t="n"/>
      <c r="T243" s="66" t="n"/>
      <c r="U243" s="66" t="n"/>
      <c r="V243" s="66" t="n"/>
      <c r="W243" s="66" t="n"/>
      <c r="X243" s="66" t="n"/>
      <c r="Y243" s="66" t="n"/>
      <c r="Z243" s="66" t="n"/>
      <c r="AA243" s="66" t="n"/>
      <c r="AB243" s="66" t="n"/>
      <c r="AC243" s="66" t="n"/>
      <c r="AD243" s="66" t="n"/>
      <c r="AE243" s="66" t="n"/>
      <c r="AF243" s="66" t="n"/>
      <c r="AG243" s="66" t="n"/>
      <c r="AH243" s="66" t="n"/>
      <c r="AI243" s="66" t="n"/>
      <c r="AJ243" s="66" t="n"/>
      <c r="AK243" s="66" t="n"/>
      <c r="AL243" s="66" t="n"/>
      <c r="AM243" s="66" t="n"/>
      <c r="AN243" s="66" t="n"/>
      <c r="AO243" s="66" t="n"/>
      <c r="AP243" s="66" t="n"/>
      <c r="AQ243" s="66" t="n">
        <v>195060000</v>
      </c>
      <c r="AS243" s="67">
        <f>MROUND(FORECAST(AQ243,AQ231:AQ242,AS231:AS242),100000)</f>
        <v/>
      </c>
    </row>
    <row r="244">
      <c r="A244" s="60" t="n">
        <v>36404</v>
      </c>
      <c r="B244" s="66" t="n"/>
      <c r="C244" s="66" t="n"/>
      <c r="D244" s="66" t="n"/>
      <c r="E244" s="66" t="n"/>
      <c r="F244" s="66" t="n"/>
      <c r="G244" s="66" t="n"/>
      <c r="H244" s="66" t="n"/>
      <c r="I244" s="66" t="n"/>
      <c r="J244" s="66" t="n"/>
      <c r="K244" s="66" t="n"/>
      <c r="L244" s="66" t="n"/>
      <c r="M244" s="66" t="n"/>
      <c r="N244" s="66" t="n"/>
      <c r="O244" s="66" t="n"/>
      <c r="P244" s="66" t="n"/>
      <c r="Q244" s="66" t="n"/>
      <c r="R244" s="66" t="n"/>
      <c r="S244" s="66" t="n"/>
      <c r="T244" s="66" t="n"/>
      <c r="U244" s="66" t="n"/>
      <c r="V244" s="66" t="n"/>
      <c r="W244" s="66" t="n"/>
      <c r="X244" s="66" t="n"/>
      <c r="Y244" s="66" t="n"/>
      <c r="Z244" s="66" t="n"/>
      <c r="AA244" s="66" t="n"/>
      <c r="AB244" s="66" t="n"/>
      <c r="AC244" s="66" t="n"/>
      <c r="AD244" s="66" t="n"/>
      <c r="AE244" s="66" t="n"/>
      <c r="AF244" s="66" t="n"/>
      <c r="AG244" s="66" t="n"/>
      <c r="AH244" s="66" t="n"/>
      <c r="AI244" s="66" t="n"/>
      <c r="AJ244" s="66" t="n"/>
      <c r="AK244" s="66" t="n"/>
      <c r="AL244" s="66" t="n"/>
      <c r="AM244" s="66" t="n"/>
      <c r="AN244" s="66" t="n"/>
      <c r="AO244" s="66" t="n"/>
      <c r="AP244" s="66" t="n"/>
      <c r="AQ244" s="66" t="n">
        <v>184100000</v>
      </c>
      <c r="AS244" s="67">
        <f>MROUND(FORECAST(AQ244,AQ232:AQ243,AS232:AS243),100000)</f>
        <v/>
      </c>
    </row>
    <row r="245">
      <c r="A245" s="60" t="n">
        <v>36434</v>
      </c>
      <c r="B245" s="66" t="n"/>
      <c r="C245" s="66" t="n"/>
      <c r="D245" s="66" t="n"/>
      <c r="E245" s="66" t="n"/>
      <c r="F245" s="66" t="n"/>
      <c r="G245" s="66" t="n"/>
      <c r="H245" s="66" t="n"/>
      <c r="I245" s="66" t="n"/>
      <c r="J245" s="66" t="n"/>
      <c r="K245" s="66" t="n"/>
      <c r="L245" s="66" t="n"/>
      <c r="M245" s="66" t="n"/>
      <c r="N245" s="66" t="n"/>
      <c r="O245" s="66" t="n"/>
      <c r="P245" s="66" t="n"/>
      <c r="Q245" s="66" t="n"/>
      <c r="R245" s="66" t="n"/>
      <c r="S245" s="66" t="n"/>
      <c r="T245" s="66" t="n"/>
      <c r="U245" s="66" t="n"/>
      <c r="V245" s="66" t="n"/>
      <c r="W245" s="66" t="n"/>
      <c r="X245" s="66" t="n"/>
      <c r="Y245" s="66" t="n"/>
      <c r="Z245" s="66" t="n"/>
      <c r="AA245" s="66" t="n"/>
      <c r="AB245" s="66" t="n"/>
      <c r="AC245" s="66" t="n"/>
      <c r="AD245" s="66" t="n"/>
      <c r="AE245" s="66" t="n"/>
      <c r="AF245" s="66" t="n"/>
      <c r="AG245" s="66" t="n"/>
      <c r="AH245" s="66" t="n"/>
      <c r="AI245" s="66" t="n"/>
      <c r="AJ245" s="66" t="n"/>
      <c r="AK245" s="66" t="n"/>
      <c r="AL245" s="66" t="n"/>
      <c r="AM245" s="66" t="n"/>
      <c r="AN245" s="66" t="n"/>
      <c r="AO245" s="66" t="n"/>
      <c r="AP245" s="66" t="n"/>
      <c r="AQ245" s="66" t="n">
        <v>194410000</v>
      </c>
      <c r="AS245" s="67">
        <f>MROUND(FORECAST(AQ245,AQ233:AQ244,AS233:AS244),100000)</f>
        <v/>
      </c>
    </row>
    <row r="246">
      <c r="A246" s="60" t="n">
        <v>36465</v>
      </c>
      <c r="B246" s="66" t="n"/>
      <c r="C246" s="66" t="n"/>
      <c r="D246" s="66" t="n"/>
      <c r="E246" s="66" t="n"/>
      <c r="F246" s="66" t="n"/>
      <c r="G246" s="66" t="n"/>
      <c r="H246" s="66" t="n"/>
      <c r="I246" s="66" t="n"/>
      <c r="J246" s="66" t="n"/>
      <c r="K246" s="66" t="n"/>
      <c r="L246" s="66" t="n"/>
      <c r="M246" s="66" t="n"/>
      <c r="N246" s="66" t="n"/>
      <c r="O246" s="66" t="n"/>
      <c r="P246" s="66" t="n"/>
      <c r="Q246" s="66" t="n"/>
      <c r="R246" s="66" t="n"/>
      <c r="S246" s="66" t="n"/>
      <c r="T246" s="66" t="n"/>
      <c r="U246" s="66" t="n"/>
      <c r="V246" s="66" t="n"/>
      <c r="W246" s="66" t="n"/>
      <c r="X246" s="66" t="n"/>
      <c r="Y246" s="66" t="n"/>
      <c r="Z246" s="66" t="n"/>
      <c r="AA246" s="66" t="n"/>
      <c r="AB246" s="66" t="n"/>
      <c r="AC246" s="66" t="n"/>
      <c r="AD246" s="66" t="n"/>
      <c r="AE246" s="66" t="n"/>
      <c r="AF246" s="66" t="n"/>
      <c r="AG246" s="66" t="n"/>
      <c r="AH246" s="66" t="n"/>
      <c r="AI246" s="66" t="n"/>
      <c r="AJ246" s="66" t="n"/>
      <c r="AK246" s="66" t="n"/>
      <c r="AL246" s="66" t="n"/>
      <c r="AM246" s="66" t="n"/>
      <c r="AN246" s="66" t="n"/>
      <c r="AO246" s="66" t="n"/>
      <c r="AP246" s="66" t="n"/>
      <c r="AQ246" s="66" t="n">
        <v>183070000</v>
      </c>
      <c r="AS246" s="67">
        <f>MROUND(FORECAST(AQ246,AQ234:AQ245,AS234:AS245),100000)</f>
        <v/>
      </c>
    </row>
    <row r="247">
      <c r="A247" s="60" t="n">
        <v>36495</v>
      </c>
      <c r="B247" s="66" t="n"/>
      <c r="C247" s="66" t="n"/>
      <c r="D247" s="66" t="n"/>
      <c r="E247" s="66" t="n"/>
      <c r="F247" s="66" t="n"/>
      <c r="G247" s="66" t="n"/>
      <c r="H247" s="66" t="n"/>
      <c r="I247" s="66" t="n"/>
      <c r="J247" s="66" t="n"/>
      <c r="K247" s="66" t="n"/>
      <c r="L247" s="66" t="n"/>
      <c r="M247" s="66" t="n"/>
      <c r="N247" s="66" t="n"/>
      <c r="O247" s="66" t="n"/>
      <c r="P247" s="66" t="n"/>
      <c r="Q247" s="66" t="n"/>
      <c r="R247" s="66" t="n"/>
      <c r="S247" s="66" t="n"/>
      <c r="T247" s="66" t="n"/>
      <c r="U247" s="66" t="n"/>
      <c r="V247" s="66" t="n"/>
      <c r="W247" s="66" t="n"/>
      <c r="X247" s="66" t="n"/>
      <c r="Y247" s="66" t="n"/>
      <c r="Z247" s="66" t="n"/>
      <c r="AA247" s="66" t="n"/>
      <c r="AB247" s="66" t="n"/>
      <c r="AC247" s="66" t="n"/>
      <c r="AD247" s="66" t="n"/>
      <c r="AE247" s="66" t="n"/>
      <c r="AF247" s="66" t="n"/>
      <c r="AG247" s="66" t="n"/>
      <c r="AH247" s="66" t="n"/>
      <c r="AI247" s="66" t="n"/>
      <c r="AJ247" s="66" t="n"/>
      <c r="AK247" s="66" t="n"/>
      <c r="AL247" s="66" t="n"/>
      <c r="AM247" s="66" t="n"/>
      <c r="AN247" s="66" t="n"/>
      <c r="AO247" s="66" t="n"/>
      <c r="AP247" s="66" t="n"/>
      <c r="AQ247" s="66" t="n">
        <v>194010000</v>
      </c>
      <c r="AS247" s="67">
        <f>MROUND(FORECAST(AQ247,AQ235:AQ246,AS235:AS246),100000)</f>
        <v/>
      </c>
    </row>
    <row r="248">
      <c r="A248" s="60" t="n">
        <v>36526</v>
      </c>
      <c r="B248" s="66" t="n"/>
      <c r="C248" s="66" t="n"/>
      <c r="D248" s="66" t="n"/>
      <c r="E248" s="66" t="n"/>
      <c r="F248" s="66" t="n"/>
      <c r="G248" s="66" t="n"/>
      <c r="H248" s="66" t="n"/>
      <c r="I248" s="66" t="n"/>
      <c r="J248" s="66" t="n"/>
      <c r="K248" s="66" t="n"/>
      <c r="L248" s="66" t="n"/>
      <c r="M248" s="66" t="n"/>
      <c r="N248" s="66" t="n"/>
      <c r="O248" s="66" t="n"/>
      <c r="P248" s="66" t="n"/>
      <c r="Q248" s="66" t="n"/>
      <c r="R248" s="66" t="n"/>
      <c r="S248" s="66" t="n"/>
      <c r="T248" s="66" t="n"/>
      <c r="U248" s="66" t="n"/>
      <c r="V248" s="66" t="n"/>
      <c r="W248" s="66" t="n"/>
      <c r="X248" s="66" t="n"/>
      <c r="Y248" s="66" t="n"/>
      <c r="Z248" s="66" t="n"/>
      <c r="AA248" s="66" t="n"/>
      <c r="AB248" s="66" t="n"/>
      <c r="AC248" s="66" t="n"/>
      <c r="AD248" s="66" t="n"/>
      <c r="AE248" s="66" t="n"/>
      <c r="AF248" s="66" t="n"/>
      <c r="AG248" s="66" t="n"/>
      <c r="AH248" s="66" t="n"/>
      <c r="AI248" s="66" t="n"/>
      <c r="AJ248" s="66" t="n"/>
      <c r="AK248" s="66" t="n"/>
      <c r="AL248" s="66" t="n"/>
      <c r="AM248" s="66" t="n"/>
      <c r="AN248" s="66" t="n"/>
      <c r="AO248" s="66" t="n"/>
      <c r="AP248" s="66" t="n"/>
      <c r="AQ248" s="66" t="n">
        <v>168210000</v>
      </c>
      <c r="AS248" s="67">
        <f>MROUND(FORECAST(AQ248,AQ236:AQ247,AS236:AS247),100000)</f>
        <v/>
      </c>
    </row>
    <row r="249">
      <c r="A249" s="60" t="n">
        <v>36557</v>
      </c>
      <c r="B249" s="66" t="n"/>
      <c r="C249" s="66" t="n"/>
      <c r="D249" s="66" t="n"/>
      <c r="E249" s="66" t="n"/>
      <c r="F249" s="66" t="n"/>
      <c r="G249" s="66" t="n"/>
      <c r="H249" s="66" t="n"/>
      <c r="I249" s="66" t="n"/>
      <c r="J249" s="66" t="n"/>
      <c r="K249" s="66" t="n"/>
      <c r="L249" s="66" t="n"/>
      <c r="M249" s="66" t="n"/>
      <c r="N249" s="66" t="n"/>
      <c r="O249" s="66" t="n"/>
      <c r="P249" s="66" t="n"/>
      <c r="Q249" s="66" t="n"/>
      <c r="R249" s="66" t="n"/>
      <c r="S249" s="66" t="n"/>
      <c r="T249" s="66" t="n"/>
      <c r="U249" s="66" t="n"/>
      <c r="V249" s="66" t="n"/>
      <c r="W249" s="66" t="n"/>
      <c r="X249" s="66" t="n"/>
      <c r="Y249" s="66" t="n"/>
      <c r="Z249" s="66" t="n"/>
      <c r="AA249" s="66" t="n"/>
      <c r="AB249" s="66" t="n"/>
      <c r="AC249" s="66" t="n"/>
      <c r="AD249" s="66" t="n"/>
      <c r="AE249" s="66" t="n"/>
      <c r="AF249" s="66" t="n"/>
      <c r="AG249" s="66" t="n"/>
      <c r="AH249" s="66" t="n"/>
      <c r="AI249" s="66" t="n"/>
      <c r="AJ249" s="66" t="n"/>
      <c r="AK249" s="66" t="n"/>
      <c r="AL249" s="66" t="n"/>
      <c r="AM249" s="66" t="n"/>
      <c r="AN249" s="66" t="n"/>
      <c r="AO249" s="66" t="n"/>
      <c r="AP249" s="66" t="n"/>
      <c r="AQ249" s="66" t="n">
        <v>173390000</v>
      </c>
      <c r="AS249" s="67">
        <f>MROUND(FORECAST(AQ249,AQ237:AQ248,AS237:AS248),100000)</f>
        <v/>
      </c>
    </row>
    <row r="250">
      <c r="A250" s="60" t="n">
        <v>36586</v>
      </c>
      <c r="B250" s="66" t="n"/>
      <c r="C250" s="66" t="n"/>
      <c r="D250" s="66" t="n"/>
      <c r="E250" s="66" t="n"/>
      <c r="F250" s="66" t="n"/>
      <c r="G250" s="66" t="n"/>
      <c r="H250" s="66" t="n"/>
      <c r="I250" s="66" t="n"/>
      <c r="J250" s="66" t="n"/>
      <c r="K250" s="66" t="n"/>
      <c r="L250" s="66" t="n"/>
      <c r="M250" s="66" t="n"/>
      <c r="N250" s="66" t="n"/>
      <c r="O250" s="66" t="n"/>
      <c r="P250" s="66" t="n"/>
      <c r="Q250" s="66" t="n"/>
      <c r="R250" s="66" t="n"/>
      <c r="S250" s="66" t="n"/>
      <c r="T250" s="66" t="n"/>
      <c r="U250" s="66" t="n"/>
      <c r="V250" s="66" t="n"/>
      <c r="W250" s="66" t="n"/>
      <c r="X250" s="66" t="n"/>
      <c r="Y250" s="66" t="n"/>
      <c r="Z250" s="66" t="n"/>
      <c r="AA250" s="66" t="n"/>
      <c r="AB250" s="66" t="n"/>
      <c r="AC250" s="66" t="n"/>
      <c r="AD250" s="66" t="n"/>
      <c r="AE250" s="66" t="n"/>
      <c r="AF250" s="66" t="n"/>
      <c r="AG250" s="66" t="n"/>
      <c r="AH250" s="66" t="n"/>
      <c r="AI250" s="66" t="n"/>
      <c r="AJ250" s="66" t="n"/>
      <c r="AK250" s="66" t="n"/>
      <c r="AL250" s="66" t="n"/>
      <c r="AM250" s="66" t="n"/>
      <c r="AN250" s="66" t="n"/>
      <c r="AO250" s="66" t="n"/>
      <c r="AP250" s="66" t="n"/>
      <c r="AQ250" s="66" t="n">
        <v>188740000</v>
      </c>
      <c r="AS250" s="67">
        <f>MROUND(FORECAST(AQ250,AQ238:AQ249,AS238:AS249),100000)</f>
        <v/>
      </c>
    </row>
    <row r="251">
      <c r="A251" s="60" t="n">
        <v>36617</v>
      </c>
      <c r="B251" s="66" t="n"/>
      <c r="C251" s="66" t="n"/>
      <c r="D251" s="66" t="n"/>
      <c r="E251" s="66" t="n"/>
      <c r="F251" s="66" t="n"/>
      <c r="G251" s="66" t="n"/>
      <c r="H251" s="66" t="n"/>
      <c r="I251" s="66" t="n"/>
      <c r="J251" s="66" t="n"/>
      <c r="K251" s="66" t="n"/>
      <c r="L251" s="66" t="n"/>
      <c r="M251" s="66" t="n"/>
      <c r="N251" s="66" t="n"/>
      <c r="O251" s="66" t="n"/>
      <c r="P251" s="66" t="n"/>
      <c r="Q251" s="66" t="n"/>
      <c r="R251" s="66" t="n"/>
      <c r="S251" s="66" t="n"/>
      <c r="T251" s="66" t="n"/>
      <c r="U251" s="66" t="n"/>
      <c r="V251" s="66" t="n"/>
      <c r="W251" s="66" t="n"/>
      <c r="X251" s="66" t="n"/>
      <c r="Y251" s="66" t="n"/>
      <c r="Z251" s="66" t="n"/>
      <c r="AA251" s="66" t="n"/>
      <c r="AB251" s="66" t="n"/>
      <c r="AC251" s="66" t="n"/>
      <c r="AD251" s="66" t="n"/>
      <c r="AE251" s="66" t="n"/>
      <c r="AF251" s="66" t="n"/>
      <c r="AG251" s="66" t="n"/>
      <c r="AH251" s="66" t="n"/>
      <c r="AI251" s="66" t="n"/>
      <c r="AJ251" s="66" t="n"/>
      <c r="AK251" s="66" t="n"/>
      <c r="AL251" s="66" t="n"/>
      <c r="AM251" s="66" t="n"/>
      <c r="AN251" s="66" t="n"/>
      <c r="AO251" s="66" t="n"/>
      <c r="AP251" s="66" t="n"/>
      <c r="AQ251" s="66" t="n">
        <v>186760000</v>
      </c>
      <c r="AS251" s="67">
        <f>MROUND(FORECAST(AQ251,AQ239:AQ250,AS239:AS250),100000)</f>
        <v/>
      </c>
    </row>
    <row r="252">
      <c r="A252" s="60" t="n">
        <v>36647</v>
      </c>
      <c r="B252" s="66" t="n"/>
      <c r="C252" s="66" t="n"/>
      <c r="D252" s="66" t="n"/>
      <c r="E252" s="66" t="n"/>
      <c r="F252" s="66" t="n"/>
      <c r="G252" s="66" t="n"/>
      <c r="H252" s="66" t="n"/>
      <c r="I252" s="66" t="n"/>
      <c r="J252" s="66" t="n"/>
      <c r="K252" s="66" t="n"/>
      <c r="L252" s="66" t="n"/>
      <c r="M252" s="66" t="n"/>
      <c r="N252" s="66" t="n"/>
      <c r="O252" s="66" t="n"/>
      <c r="P252" s="66" t="n"/>
      <c r="Q252" s="66" t="n"/>
      <c r="R252" s="66" t="n"/>
      <c r="S252" s="66" t="n"/>
      <c r="T252" s="66" t="n"/>
      <c r="U252" s="66" t="n"/>
      <c r="V252" s="66" t="n"/>
      <c r="W252" s="66" t="n"/>
      <c r="X252" s="66" t="n"/>
      <c r="Y252" s="66" t="n"/>
      <c r="Z252" s="66" t="n"/>
      <c r="AA252" s="66" t="n"/>
      <c r="AB252" s="66" t="n"/>
      <c r="AC252" s="66" t="n"/>
      <c r="AD252" s="66" t="n"/>
      <c r="AE252" s="66" t="n"/>
      <c r="AF252" s="66" t="n"/>
      <c r="AG252" s="66" t="n"/>
      <c r="AH252" s="66" t="n"/>
      <c r="AI252" s="66" t="n"/>
      <c r="AJ252" s="66" t="n"/>
      <c r="AK252" s="66" t="n"/>
      <c r="AL252" s="66" t="n"/>
      <c r="AM252" s="66" t="n"/>
      <c r="AN252" s="66" t="n"/>
      <c r="AO252" s="66" t="n"/>
      <c r="AP252" s="66" t="n"/>
      <c r="AQ252" s="66" t="n">
        <v>192470000</v>
      </c>
      <c r="AS252" s="67">
        <f>MROUND(FORECAST(AQ252,AQ240:AQ251,AS240:AS251),100000)</f>
        <v/>
      </c>
    </row>
    <row r="253">
      <c r="A253" s="60" t="n">
        <v>36678</v>
      </c>
      <c r="B253" s="66" t="n"/>
      <c r="C253" s="66" t="n"/>
      <c r="D253" s="66" t="n"/>
      <c r="E253" s="66" t="n"/>
      <c r="F253" s="66" t="n"/>
      <c r="G253" s="66" t="n"/>
      <c r="H253" s="66" t="n"/>
      <c r="I253" s="66" t="n"/>
      <c r="J253" s="66" t="n"/>
      <c r="K253" s="66" t="n"/>
      <c r="L253" s="66" t="n"/>
      <c r="M253" s="66" t="n"/>
      <c r="N253" s="66" t="n"/>
      <c r="O253" s="66" t="n"/>
      <c r="P253" s="66" t="n"/>
      <c r="Q253" s="66" t="n"/>
      <c r="R253" s="66" t="n"/>
      <c r="S253" s="66" t="n"/>
      <c r="T253" s="66" t="n"/>
      <c r="U253" s="66" t="n"/>
      <c r="V253" s="66" t="n"/>
      <c r="W253" s="66" t="n"/>
      <c r="X253" s="66" t="n"/>
      <c r="Y253" s="66" t="n"/>
      <c r="Z253" s="66" t="n"/>
      <c r="AA253" s="66" t="n"/>
      <c r="AB253" s="66" t="n"/>
      <c r="AC253" s="66" t="n"/>
      <c r="AD253" s="66" t="n"/>
      <c r="AE253" s="66" t="n"/>
      <c r="AF253" s="66" t="n"/>
      <c r="AG253" s="66" t="n"/>
      <c r="AH253" s="66" t="n"/>
      <c r="AI253" s="66" t="n"/>
      <c r="AJ253" s="66" t="n"/>
      <c r="AK253" s="66" t="n"/>
      <c r="AL253" s="66" t="n"/>
      <c r="AM253" s="66" t="n"/>
      <c r="AN253" s="66" t="n"/>
      <c r="AO253" s="66" t="n"/>
      <c r="AP253" s="66" t="n"/>
      <c r="AQ253" s="66" t="n">
        <v>194230000</v>
      </c>
      <c r="AS253" s="67">
        <f>MROUND(FORECAST(AQ253,AQ241:AQ252,AS241:AS252),100000)</f>
        <v/>
      </c>
    </row>
    <row r="254">
      <c r="A254" s="60" t="n">
        <v>36708</v>
      </c>
      <c r="B254" s="66" t="n"/>
      <c r="C254" s="66" t="n"/>
      <c r="D254" s="66" t="n"/>
      <c r="E254" s="66" t="n"/>
      <c r="F254" s="66" t="n"/>
      <c r="G254" s="66" t="n"/>
      <c r="H254" s="66" t="n"/>
      <c r="I254" s="66" t="n"/>
      <c r="J254" s="66" t="n"/>
      <c r="K254" s="66" t="n"/>
      <c r="L254" s="66" t="n"/>
      <c r="M254" s="66" t="n"/>
      <c r="N254" s="66" t="n"/>
      <c r="O254" s="66" t="n"/>
      <c r="P254" s="66" t="n"/>
      <c r="Q254" s="66" t="n"/>
      <c r="R254" s="66" t="n"/>
      <c r="S254" s="66" t="n"/>
      <c r="T254" s="66" t="n"/>
      <c r="U254" s="66" t="n"/>
      <c r="V254" s="66" t="n"/>
      <c r="W254" s="66" t="n"/>
      <c r="X254" s="66" t="n"/>
      <c r="Y254" s="66" t="n"/>
      <c r="Z254" s="66" t="n"/>
      <c r="AA254" s="66" t="n"/>
      <c r="AB254" s="66" t="n"/>
      <c r="AC254" s="66" t="n"/>
      <c r="AD254" s="66" t="n"/>
      <c r="AE254" s="66" t="n"/>
      <c r="AF254" s="66" t="n"/>
      <c r="AG254" s="66" t="n"/>
      <c r="AH254" s="66" t="n"/>
      <c r="AI254" s="66" t="n"/>
      <c r="AJ254" s="66" t="n"/>
      <c r="AK254" s="66" t="n"/>
      <c r="AL254" s="66" t="n"/>
      <c r="AM254" s="66" t="n"/>
      <c r="AN254" s="66" t="n"/>
      <c r="AO254" s="66" t="n"/>
      <c r="AP254" s="66" t="n"/>
      <c r="AQ254" s="66" t="n">
        <v>197170000</v>
      </c>
      <c r="AS254" s="67">
        <f>MROUND(FORECAST(AQ254,AQ242:AQ253,AS242:AS253),100000)</f>
        <v/>
      </c>
    </row>
    <row r="255">
      <c r="A255" s="60" t="n">
        <v>36739</v>
      </c>
      <c r="B255" s="66" t="n"/>
      <c r="C255" s="66" t="n"/>
      <c r="D255" s="66" t="n"/>
      <c r="E255" s="66" t="n"/>
      <c r="F255" s="66" t="n"/>
      <c r="G255" s="66" t="n"/>
      <c r="H255" s="66" t="n"/>
      <c r="I255" s="66" t="n"/>
      <c r="J255" s="66" t="n"/>
      <c r="K255" s="66" t="n"/>
      <c r="L255" s="66" t="n"/>
      <c r="M255" s="66" t="n"/>
      <c r="N255" s="66" t="n"/>
      <c r="O255" s="66" t="n"/>
      <c r="P255" s="66" t="n"/>
      <c r="Q255" s="66" t="n"/>
      <c r="R255" s="66" t="n"/>
      <c r="S255" s="66" t="n"/>
      <c r="T255" s="66" t="n"/>
      <c r="U255" s="66" t="n"/>
      <c r="V255" s="66" t="n"/>
      <c r="W255" s="66" t="n"/>
      <c r="X255" s="66" t="n"/>
      <c r="Y255" s="66" t="n"/>
      <c r="Z255" s="66" t="n"/>
      <c r="AA255" s="66" t="n"/>
      <c r="AB255" s="66" t="n"/>
      <c r="AC255" s="66" t="n"/>
      <c r="AD255" s="66" t="n"/>
      <c r="AE255" s="66" t="n"/>
      <c r="AF255" s="66" t="n"/>
      <c r="AG255" s="66" t="n"/>
      <c r="AH255" s="66" t="n"/>
      <c r="AI255" s="66" t="n"/>
      <c r="AJ255" s="66" t="n"/>
      <c r="AK255" s="66" t="n"/>
      <c r="AL255" s="66" t="n"/>
      <c r="AM255" s="66" t="n"/>
      <c r="AN255" s="66" t="n"/>
      <c r="AO255" s="66" t="n"/>
      <c r="AP255" s="66" t="n"/>
      <c r="AQ255" s="66" t="n">
        <v>195280000</v>
      </c>
      <c r="AS255" s="67">
        <f>MROUND(FORECAST(AQ255,AQ243:AQ254,AS243:AS254),100000)</f>
        <v/>
      </c>
    </row>
    <row r="256">
      <c r="A256" s="60" t="n">
        <v>36770</v>
      </c>
      <c r="B256" s="66" t="n"/>
      <c r="C256" s="66" t="n"/>
      <c r="D256" s="66" t="n"/>
      <c r="E256" s="66" t="n"/>
      <c r="F256" s="66" t="n"/>
      <c r="G256" s="66" t="n"/>
      <c r="H256" s="66" t="n"/>
      <c r="I256" s="66" t="n"/>
      <c r="J256" s="66" t="n"/>
      <c r="K256" s="66" t="n"/>
      <c r="L256" s="66" t="n"/>
      <c r="M256" s="66" t="n"/>
      <c r="N256" s="66" t="n"/>
      <c r="O256" s="66" t="n"/>
      <c r="P256" s="66" t="n"/>
      <c r="Q256" s="66" t="n"/>
      <c r="R256" s="66" t="n"/>
      <c r="S256" s="66" t="n"/>
      <c r="T256" s="66" t="n"/>
      <c r="U256" s="66" t="n"/>
      <c r="V256" s="66" t="n"/>
      <c r="W256" s="66" t="n"/>
      <c r="X256" s="66" t="n"/>
      <c r="Y256" s="66" t="n"/>
      <c r="Z256" s="66" t="n"/>
      <c r="AA256" s="66" t="n"/>
      <c r="AB256" s="66" t="n"/>
      <c r="AC256" s="66" t="n"/>
      <c r="AD256" s="66" t="n"/>
      <c r="AE256" s="66" t="n"/>
      <c r="AF256" s="66" t="n"/>
      <c r="AG256" s="66" t="n"/>
      <c r="AH256" s="66" t="n"/>
      <c r="AI256" s="66" t="n"/>
      <c r="AJ256" s="66" t="n"/>
      <c r="AK256" s="66" t="n"/>
      <c r="AL256" s="66" t="n"/>
      <c r="AM256" s="66" t="n"/>
      <c r="AN256" s="66" t="n"/>
      <c r="AO256" s="66" t="n"/>
      <c r="AP256" s="66" t="n"/>
      <c r="AQ256" s="66" t="n">
        <v>187830000</v>
      </c>
      <c r="AS256" s="67">
        <f>MROUND(FORECAST(AQ256,AQ244:AQ255,AS244:AS255),100000)</f>
        <v/>
      </c>
    </row>
    <row r="257">
      <c r="A257" s="60" t="n">
        <v>36800</v>
      </c>
      <c r="B257" s="66" t="n"/>
      <c r="C257" s="66" t="n"/>
      <c r="D257" s="66" t="n"/>
      <c r="E257" s="66" t="n"/>
      <c r="F257" s="66" t="n"/>
      <c r="G257" s="66" t="n"/>
      <c r="H257" s="66" t="n"/>
      <c r="I257" s="66" t="n"/>
      <c r="J257" s="66" t="n"/>
      <c r="K257" s="66" t="n"/>
      <c r="L257" s="66" t="n"/>
      <c r="M257" s="66" t="n"/>
      <c r="N257" s="66" t="n"/>
      <c r="O257" s="66" t="n"/>
      <c r="P257" s="66" t="n"/>
      <c r="Q257" s="66" t="n"/>
      <c r="R257" s="66" t="n"/>
      <c r="S257" s="66" t="n"/>
      <c r="T257" s="66" t="n"/>
      <c r="U257" s="66" t="n"/>
      <c r="V257" s="66" t="n"/>
      <c r="W257" s="66" t="n"/>
      <c r="X257" s="66" t="n"/>
      <c r="Y257" s="66" t="n"/>
      <c r="Z257" s="66" t="n"/>
      <c r="AA257" s="66" t="n"/>
      <c r="AB257" s="66" t="n"/>
      <c r="AC257" s="66" t="n"/>
      <c r="AD257" s="66" t="n"/>
      <c r="AE257" s="66" t="n"/>
      <c r="AF257" s="66" t="n"/>
      <c r="AG257" s="66" t="n"/>
      <c r="AH257" s="66" t="n"/>
      <c r="AI257" s="66" t="n"/>
      <c r="AJ257" s="66" t="n"/>
      <c r="AK257" s="66" t="n"/>
      <c r="AL257" s="66" t="n"/>
      <c r="AM257" s="66" t="n"/>
      <c r="AN257" s="66" t="n"/>
      <c r="AO257" s="66" t="n"/>
      <c r="AP257" s="66" t="n"/>
      <c r="AQ257" s="66" t="n">
        <v>189230000</v>
      </c>
      <c r="AS257" s="67">
        <f>MROUND(FORECAST(AQ257,AQ245:AQ256,AS245:AS256),100000)</f>
        <v/>
      </c>
    </row>
    <row r="258">
      <c r="A258" s="60" t="n">
        <v>36831</v>
      </c>
      <c r="B258" s="66" t="n"/>
      <c r="C258" s="66" t="n"/>
      <c r="D258" s="66" t="n"/>
      <c r="E258" s="66" t="n"/>
      <c r="F258" s="66" t="n"/>
      <c r="G258" s="66" t="n"/>
      <c r="H258" s="66" t="n"/>
      <c r="I258" s="66" t="n"/>
      <c r="J258" s="66" t="n"/>
      <c r="K258" s="66" t="n"/>
      <c r="L258" s="66" t="n"/>
      <c r="M258" s="66" t="n"/>
      <c r="N258" s="66" t="n"/>
      <c r="O258" s="66" t="n"/>
      <c r="P258" s="66" t="n"/>
      <c r="Q258" s="66" t="n"/>
      <c r="R258" s="66" t="n"/>
      <c r="S258" s="66" t="n"/>
      <c r="T258" s="66" t="n"/>
      <c r="U258" s="66" t="n"/>
      <c r="V258" s="66" t="n"/>
      <c r="W258" s="66" t="n"/>
      <c r="X258" s="66" t="n"/>
      <c r="Y258" s="66" t="n"/>
      <c r="Z258" s="66" t="n"/>
      <c r="AA258" s="66" t="n"/>
      <c r="AB258" s="66" t="n"/>
      <c r="AC258" s="66" t="n"/>
      <c r="AD258" s="66" t="n"/>
      <c r="AE258" s="66" t="n"/>
      <c r="AF258" s="66" t="n"/>
      <c r="AG258" s="66" t="n"/>
      <c r="AH258" s="66" t="n"/>
      <c r="AI258" s="66" t="n"/>
      <c r="AJ258" s="66" t="n"/>
      <c r="AK258" s="66" t="n"/>
      <c r="AL258" s="66" t="n"/>
      <c r="AM258" s="66" t="n"/>
      <c r="AN258" s="66" t="n"/>
      <c r="AO258" s="66" t="n"/>
      <c r="AP258" s="66" t="n"/>
      <c r="AQ258" s="66" t="n">
        <v>180320000</v>
      </c>
      <c r="AS258" s="67">
        <f>MROUND(FORECAST(AQ258,AQ246:AQ257,AS246:AS257),100000)</f>
        <v/>
      </c>
    </row>
    <row r="259">
      <c r="A259" s="60" t="n">
        <v>36861</v>
      </c>
      <c r="B259" s="66" t="n"/>
      <c r="C259" s="66" t="n"/>
      <c r="D259" s="66" t="n"/>
      <c r="E259" s="66" t="n"/>
      <c r="F259" s="66" t="n"/>
      <c r="G259" s="66" t="n"/>
      <c r="H259" s="66" t="n"/>
      <c r="I259" s="66" t="n"/>
      <c r="J259" s="66" t="n"/>
      <c r="K259" s="66" t="n"/>
      <c r="L259" s="66" t="n"/>
      <c r="M259" s="66" t="n"/>
      <c r="N259" s="66" t="n"/>
      <c r="O259" s="66" t="n"/>
      <c r="P259" s="66" t="n"/>
      <c r="Q259" s="66" t="n"/>
      <c r="R259" s="66" t="n"/>
      <c r="S259" s="66" t="n"/>
      <c r="T259" s="66" t="n"/>
      <c r="U259" s="66" t="n"/>
      <c r="V259" s="66" t="n"/>
      <c r="W259" s="66" t="n"/>
      <c r="X259" s="66" t="n"/>
      <c r="Y259" s="66" t="n"/>
      <c r="Z259" s="66" t="n"/>
      <c r="AA259" s="66" t="n"/>
      <c r="AB259" s="66" t="n"/>
      <c r="AC259" s="66" t="n"/>
      <c r="AD259" s="66" t="n"/>
      <c r="AE259" s="66" t="n"/>
      <c r="AF259" s="66" t="n"/>
      <c r="AG259" s="66" t="n"/>
      <c r="AH259" s="66" t="n"/>
      <c r="AI259" s="66" t="n"/>
      <c r="AJ259" s="66" t="n"/>
      <c r="AK259" s="66" t="n"/>
      <c r="AL259" s="66" t="n"/>
      <c r="AM259" s="66" t="n"/>
      <c r="AN259" s="66" t="n"/>
      <c r="AO259" s="66" t="n"/>
      <c r="AP259" s="66" t="n"/>
      <c r="AQ259" s="66" t="n">
        <v>189550000</v>
      </c>
      <c r="AS259" s="67">
        <f>MROUND(FORECAST(AQ259,AQ247:AQ258,AS247:AS258),100000)</f>
        <v/>
      </c>
    </row>
    <row r="260">
      <c r="A260" s="60" t="n">
        <v>36892</v>
      </c>
      <c r="B260" s="66" t="n"/>
      <c r="C260" s="66" t="n"/>
      <c r="D260" s="66" t="n"/>
      <c r="E260" s="66" t="n"/>
      <c r="F260" s="66" t="n"/>
      <c r="G260" s="66" t="n"/>
      <c r="H260" s="66" t="n"/>
      <c r="I260" s="66" t="n"/>
      <c r="J260" s="66" t="n"/>
      <c r="K260" s="66" t="n"/>
      <c r="L260" s="66" t="n"/>
      <c r="M260" s="66" t="n"/>
      <c r="N260" s="66" t="n"/>
      <c r="O260" s="66" t="n"/>
      <c r="P260" s="66" t="n"/>
      <c r="Q260" s="66" t="n"/>
      <c r="R260" s="66" t="n"/>
      <c r="S260" s="66" t="n"/>
      <c r="T260" s="66" t="n"/>
      <c r="U260" s="66" t="n"/>
      <c r="V260" s="66" t="n"/>
      <c r="W260" s="66" t="n"/>
      <c r="X260" s="66" t="n"/>
      <c r="Y260" s="66" t="n"/>
      <c r="Z260" s="66" t="n"/>
      <c r="AA260" s="66" t="n"/>
      <c r="AB260" s="66" t="n"/>
      <c r="AC260" s="66" t="n"/>
      <c r="AD260" s="66" t="n"/>
      <c r="AE260" s="66" t="n"/>
      <c r="AF260" s="66" t="n"/>
      <c r="AG260" s="66" t="n"/>
      <c r="AH260" s="66" t="n"/>
      <c r="AI260" s="66" t="n"/>
      <c r="AJ260" s="66" t="n"/>
      <c r="AK260" s="66" t="n"/>
      <c r="AL260" s="66" t="n"/>
      <c r="AM260" s="66" t="n"/>
      <c r="AN260" s="66" t="n"/>
      <c r="AO260" s="66" t="n"/>
      <c r="AP260" s="66" t="n"/>
      <c r="AQ260" s="66" t="n">
        <v>171480000</v>
      </c>
      <c r="AS260" s="67">
        <f>MROUND(FORECAST(AQ260,AQ248:AQ259,AS248:AS259),100000)</f>
        <v/>
      </c>
    </row>
    <row r="261">
      <c r="A261" s="60" t="n">
        <v>36923</v>
      </c>
      <c r="B261" s="66" t="n"/>
      <c r="C261" s="66" t="n"/>
      <c r="D261" s="66" t="n"/>
      <c r="E261" s="66" t="n"/>
      <c r="F261" s="66" t="n"/>
      <c r="G261" s="66" t="n"/>
      <c r="H261" s="66" t="n"/>
      <c r="I261" s="66" t="n"/>
      <c r="J261" s="66" t="n"/>
      <c r="K261" s="66" t="n"/>
      <c r="L261" s="66" t="n"/>
      <c r="M261" s="66" t="n"/>
      <c r="N261" s="66" t="n"/>
      <c r="O261" s="66" t="n"/>
      <c r="P261" s="66" t="n"/>
      <c r="Q261" s="66" t="n"/>
      <c r="R261" s="66" t="n"/>
      <c r="S261" s="66" t="n"/>
      <c r="T261" s="66" t="n"/>
      <c r="U261" s="66" t="n"/>
      <c r="V261" s="66" t="n"/>
      <c r="W261" s="66" t="n"/>
      <c r="X261" s="66" t="n"/>
      <c r="Y261" s="66" t="n"/>
      <c r="Z261" s="66" t="n"/>
      <c r="AA261" s="66" t="n"/>
      <c r="AB261" s="66" t="n"/>
      <c r="AC261" s="66" t="n"/>
      <c r="AD261" s="66" t="n"/>
      <c r="AE261" s="66" t="n"/>
      <c r="AF261" s="66" t="n"/>
      <c r="AG261" s="66" t="n"/>
      <c r="AH261" s="66" t="n"/>
      <c r="AI261" s="66" t="n"/>
      <c r="AJ261" s="66" t="n"/>
      <c r="AK261" s="66" t="n"/>
      <c r="AL261" s="66" t="n"/>
      <c r="AM261" s="66" t="n"/>
      <c r="AN261" s="66" t="n"/>
      <c r="AO261" s="66" t="n"/>
      <c r="AP261" s="66" t="n"/>
      <c r="AQ261" s="66" t="n">
        <v>169840000</v>
      </c>
      <c r="AS261" s="67">
        <f>MROUND(FORECAST(AQ261,AQ249:AQ260,AS249:AS260),100000)</f>
        <v/>
      </c>
    </row>
    <row r="262">
      <c r="A262" s="60" t="n">
        <v>36951</v>
      </c>
      <c r="B262" s="66" t="n"/>
      <c r="C262" s="66" t="n"/>
      <c r="D262" s="66" t="n"/>
      <c r="E262" s="66" t="n"/>
      <c r="F262" s="66" t="n"/>
      <c r="G262" s="66" t="n"/>
      <c r="H262" s="66" t="n"/>
      <c r="I262" s="66" t="n"/>
      <c r="J262" s="66" t="n"/>
      <c r="K262" s="66" t="n"/>
      <c r="L262" s="66" t="n"/>
      <c r="M262" s="66" t="n"/>
      <c r="N262" s="66" t="n"/>
      <c r="O262" s="66" t="n"/>
      <c r="P262" s="66" t="n"/>
      <c r="Q262" s="66" t="n"/>
      <c r="R262" s="66" t="n"/>
      <c r="S262" s="66" t="n"/>
      <c r="T262" s="66" t="n"/>
      <c r="U262" s="66" t="n"/>
      <c r="V262" s="66" t="n"/>
      <c r="W262" s="66" t="n"/>
      <c r="X262" s="66" t="n"/>
      <c r="Y262" s="66" t="n"/>
      <c r="Z262" s="66" t="n"/>
      <c r="AA262" s="66" t="n"/>
      <c r="AB262" s="66" t="n"/>
      <c r="AC262" s="66" t="n"/>
      <c r="AD262" s="66" t="n"/>
      <c r="AE262" s="66" t="n"/>
      <c r="AF262" s="66" t="n"/>
      <c r="AG262" s="66" t="n"/>
      <c r="AH262" s="66" t="n"/>
      <c r="AI262" s="66" t="n"/>
      <c r="AJ262" s="66" t="n"/>
      <c r="AK262" s="66" t="n"/>
      <c r="AL262" s="66" t="n"/>
      <c r="AM262" s="66" t="n"/>
      <c r="AN262" s="66" t="n"/>
      <c r="AO262" s="66" t="n"/>
      <c r="AP262" s="66" t="n"/>
      <c r="AQ262" s="66" t="n">
        <v>190160000</v>
      </c>
      <c r="AS262" s="67">
        <f>MROUND(FORECAST(AQ262,AQ250:AQ261,AS250:AS261),100000)</f>
        <v/>
      </c>
    </row>
    <row r="263">
      <c r="A263" s="60" t="n">
        <v>36982</v>
      </c>
      <c r="B263" s="66" t="n"/>
      <c r="C263" s="66" t="n"/>
      <c r="D263" s="66" t="n"/>
      <c r="E263" s="66" t="n"/>
      <c r="F263" s="66" t="n"/>
      <c r="G263" s="66" t="n"/>
      <c r="H263" s="66" t="n"/>
      <c r="I263" s="66" t="n"/>
      <c r="J263" s="66" t="n"/>
      <c r="K263" s="66" t="n"/>
      <c r="L263" s="66" t="n"/>
      <c r="M263" s="66" t="n"/>
      <c r="N263" s="66" t="n"/>
      <c r="O263" s="66" t="n"/>
      <c r="P263" s="66" t="n"/>
      <c r="Q263" s="66" t="n"/>
      <c r="R263" s="66" t="n"/>
      <c r="S263" s="66" t="n"/>
      <c r="T263" s="66" t="n"/>
      <c r="U263" s="66" t="n"/>
      <c r="V263" s="66" t="n"/>
      <c r="W263" s="66" t="n"/>
      <c r="X263" s="66" t="n"/>
      <c r="Y263" s="66" t="n"/>
      <c r="Z263" s="66" t="n"/>
      <c r="AA263" s="66" t="n"/>
      <c r="AB263" s="66" t="n"/>
      <c r="AC263" s="66" t="n"/>
      <c r="AD263" s="66" t="n"/>
      <c r="AE263" s="66" t="n"/>
      <c r="AF263" s="66" t="n"/>
      <c r="AG263" s="66" t="n"/>
      <c r="AH263" s="66" t="n"/>
      <c r="AI263" s="66" t="n"/>
      <c r="AJ263" s="66" t="n"/>
      <c r="AK263" s="66" t="n"/>
      <c r="AL263" s="66" t="n"/>
      <c r="AM263" s="66" t="n"/>
      <c r="AN263" s="66" t="n"/>
      <c r="AO263" s="66" t="n"/>
      <c r="AP263" s="66" t="n"/>
      <c r="AQ263" s="66" t="n">
        <v>183850000</v>
      </c>
      <c r="AS263" s="67">
        <f>MROUND(FORECAST(AQ263,AQ251:AQ262,AS251:AS262),100000)</f>
        <v/>
      </c>
    </row>
    <row r="264">
      <c r="A264" s="60" t="n">
        <v>37012</v>
      </c>
      <c r="B264" s="66" t="n"/>
      <c r="C264" s="66" t="n"/>
      <c r="D264" s="66" t="n"/>
      <c r="E264" s="66" t="n"/>
      <c r="F264" s="66" t="n"/>
      <c r="G264" s="66" t="n"/>
      <c r="H264" s="66" t="n"/>
      <c r="I264" s="66" t="n"/>
      <c r="J264" s="66" t="n"/>
      <c r="K264" s="66" t="n"/>
      <c r="L264" s="66" t="n"/>
      <c r="M264" s="66" t="n"/>
      <c r="N264" s="66" t="n"/>
      <c r="O264" s="66" t="n"/>
      <c r="P264" s="66" t="n"/>
      <c r="Q264" s="66" t="n"/>
      <c r="R264" s="66" t="n"/>
      <c r="S264" s="66" t="n"/>
      <c r="T264" s="66" t="n"/>
      <c r="U264" s="66" t="n"/>
      <c r="V264" s="66" t="n"/>
      <c r="W264" s="66" t="n"/>
      <c r="X264" s="66" t="n"/>
      <c r="Y264" s="66" t="n"/>
      <c r="Z264" s="66" t="n"/>
      <c r="AA264" s="66" t="n"/>
      <c r="AB264" s="66" t="n"/>
      <c r="AC264" s="66" t="n"/>
      <c r="AD264" s="66" t="n"/>
      <c r="AE264" s="66" t="n"/>
      <c r="AF264" s="66" t="n"/>
      <c r="AG264" s="66" t="n"/>
      <c r="AH264" s="66" t="n"/>
      <c r="AI264" s="66" t="n"/>
      <c r="AJ264" s="66" t="n"/>
      <c r="AK264" s="66" t="n"/>
      <c r="AL264" s="66" t="n"/>
      <c r="AM264" s="66" t="n"/>
      <c r="AN264" s="66" t="n"/>
      <c r="AO264" s="66" t="n"/>
      <c r="AP264" s="66" t="n"/>
      <c r="AQ264" s="66" t="n">
        <v>194310000</v>
      </c>
      <c r="AS264" s="67">
        <f>MROUND(FORECAST(AQ264,AQ252:AQ263,AS252:AS263),100000)</f>
        <v/>
      </c>
    </row>
    <row r="265">
      <c r="A265" s="60" t="n">
        <v>37043</v>
      </c>
      <c r="B265" s="66" t="n"/>
      <c r="C265" s="66" t="n"/>
      <c r="D265" s="66" t="n"/>
      <c r="E265" s="66" t="n"/>
      <c r="F265" s="66" t="n"/>
      <c r="G265" s="66" t="n"/>
      <c r="H265" s="66" t="n"/>
      <c r="I265" s="66" t="n"/>
      <c r="J265" s="66" t="n"/>
      <c r="K265" s="66" t="n"/>
      <c r="L265" s="66" t="n"/>
      <c r="M265" s="66" t="n"/>
      <c r="N265" s="66" t="n"/>
      <c r="O265" s="66" t="n"/>
      <c r="P265" s="66" t="n"/>
      <c r="Q265" s="66" t="n"/>
      <c r="R265" s="66" t="n"/>
      <c r="S265" s="66" t="n"/>
      <c r="T265" s="66" t="n"/>
      <c r="U265" s="66" t="n"/>
      <c r="V265" s="66" t="n"/>
      <c r="W265" s="66" t="n"/>
      <c r="X265" s="66" t="n"/>
      <c r="Y265" s="66" t="n"/>
      <c r="Z265" s="66" t="n"/>
      <c r="AA265" s="66" t="n"/>
      <c r="AB265" s="66" t="n"/>
      <c r="AC265" s="66" t="n"/>
      <c r="AD265" s="66" t="n"/>
      <c r="AE265" s="66" t="n"/>
      <c r="AF265" s="66" t="n"/>
      <c r="AG265" s="66" t="n"/>
      <c r="AH265" s="66" t="n"/>
      <c r="AI265" s="66" t="n"/>
      <c r="AJ265" s="66" t="n"/>
      <c r="AK265" s="66" t="n"/>
      <c r="AL265" s="66" t="n"/>
      <c r="AM265" s="66" t="n"/>
      <c r="AN265" s="66" t="n"/>
      <c r="AO265" s="66" t="n"/>
      <c r="AP265" s="66" t="n"/>
      <c r="AQ265" s="66" t="n">
        <v>196060000</v>
      </c>
      <c r="AS265" s="67">
        <f>MROUND(FORECAST(AQ265,AQ253:AQ264,AS253:AS264),100000)</f>
        <v/>
      </c>
    </row>
    <row r="266">
      <c r="A266" s="60" t="n">
        <v>37073</v>
      </c>
      <c r="B266" s="66" t="n"/>
      <c r="C266" s="66" t="n"/>
      <c r="D266" s="66" t="n"/>
      <c r="E266" s="66" t="n"/>
      <c r="F266" s="66" t="n"/>
      <c r="G266" s="66" t="n"/>
      <c r="H266" s="66" t="n"/>
      <c r="I266" s="66" t="n"/>
      <c r="J266" s="66" t="n"/>
      <c r="K266" s="66" t="n"/>
      <c r="L266" s="66" t="n"/>
      <c r="M266" s="66" t="n"/>
      <c r="N266" s="66" t="n"/>
      <c r="O266" s="66" t="n"/>
      <c r="P266" s="66" t="n"/>
      <c r="Q266" s="66" t="n"/>
      <c r="R266" s="66" t="n"/>
      <c r="S266" s="66" t="n"/>
      <c r="T266" s="66" t="n"/>
      <c r="U266" s="66" t="n"/>
      <c r="V266" s="66" t="n"/>
      <c r="W266" s="66" t="n"/>
      <c r="X266" s="66" t="n"/>
      <c r="Y266" s="66" t="n"/>
      <c r="Z266" s="66" t="n"/>
      <c r="AA266" s="66" t="n"/>
      <c r="AB266" s="66" t="n"/>
      <c r="AC266" s="66" t="n"/>
      <c r="AD266" s="66" t="n"/>
      <c r="AE266" s="66" t="n"/>
      <c r="AF266" s="66" t="n"/>
      <c r="AG266" s="66" t="n"/>
      <c r="AH266" s="66" t="n"/>
      <c r="AI266" s="66" t="n"/>
      <c r="AJ266" s="66" t="n"/>
      <c r="AK266" s="66" t="n"/>
      <c r="AL266" s="66" t="n"/>
      <c r="AM266" s="66" t="n"/>
      <c r="AN266" s="66" t="n"/>
      <c r="AO266" s="66" t="n"/>
      <c r="AP266" s="66" t="n"/>
      <c r="AQ266" s="66" t="n">
        <v>196350000</v>
      </c>
      <c r="AS266" s="67">
        <f>MROUND(FORECAST(AQ266,AQ254:AQ265,AS254:AS265),100000)</f>
        <v/>
      </c>
    </row>
    <row r="267">
      <c r="A267" s="60" t="n">
        <v>37104</v>
      </c>
      <c r="B267" s="66" t="n"/>
      <c r="C267" s="66" t="n"/>
      <c r="D267" s="66" t="n"/>
      <c r="E267" s="66" t="n"/>
      <c r="F267" s="66" t="n"/>
      <c r="G267" s="66" t="n"/>
      <c r="H267" s="66" t="n"/>
      <c r="I267" s="66" t="n"/>
      <c r="J267" s="66" t="n"/>
      <c r="K267" s="66" t="n"/>
      <c r="L267" s="66" t="n"/>
      <c r="M267" s="66" t="n"/>
      <c r="N267" s="66" t="n"/>
      <c r="O267" s="66" t="n"/>
      <c r="P267" s="66" t="n"/>
      <c r="Q267" s="66" t="n"/>
      <c r="R267" s="66" t="n"/>
      <c r="S267" s="66" t="n"/>
      <c r="T267" s="66" t="n"/>
      <c r="U267" s="66" t="n"/>
      <c r="V267" s="66" t="n"/>
      <c r="W267" s="66" t="n"/>
      <c r="X267" s="66" t="n"/>
      <c r="Y267" s="66" t="n"/>
      <c r="Z267" s="66" t="n"/>
      <c r="AA267" s="66" t="n"/>
      <c r="AB267" s="66" t="n"/>
      <c r="AC267" s="66" t="n"/>
      <c r="AD267" s="66" t="n"/>
      <c r="AE267" s="66" t="n"/>
      <c r="AF267" s="66" t="n"/>
      <c r="AG267" s="66" t="n"/>
      <c r="AH267" s="66" t="n"/>
      <c r="AI267" s="66" t="n"/>
      <c r="AJ267" s="66" t="n"/>
      <c r="AK267" s="66" t="n"/>
      <c r="AL267" s="66" t="n"/>
      <c r="AM267" s="66" t="n"/>
      <c r="AN267" s="66" t="n"/>
      <c r="AO267" s="66" t="n"/>
      <c r="AP267" s="66" t="n"/>
      <c r="AQ267" s="66" t="n">
        <v>200150000</v>
      </c>
      <c r="AS267" s="67">
        <f>MROUND(FORECAST(AQ267,AQ255:AQ266,AS255:AS266),100000)</f>
        <v/>
      </c>
    </row>
    <row r="268">
      <c r="A268" s="60" t="n">
        <v>37135</v>
      </c>
      <c r="B268" s="66" t="n"/>
      <c r="C268" s="66" t="n"/>
      <c r="D268" s="66" t="n"/>
      <c r="E268" s="66" t="n"/>
      <c r="F268" s="66" t="n"/>
      <c r="G268" s="66" t="n"/>
      <c r="H268" s="66" t="n"/>
      <c r="I268" s="66" t="n"/>
      <c r="J268" s="66" t="n"/>
      <c r="K268" s="66" t="n"/>
      <c r="L268" s="66" t="n"/>
      <c r="M268" s="66" t="n"/>
      <c r="N268" s="66" t="n"/>
      <c r="O268" s="66" t="n"/>
      <c r="P268" s="66" t="n"/>
      <c r="Q268" s="66" t="n"/>
      <c r="R268" s="66" t="n"/>
      <c r="S268" s="66" t="n"/>
      <c r="T268" s="66" t="n"/>
      <c r="U268" s="66" t="n"/>
      <c r="V268" s="66" t="n"/>
      <c r="W268" s="66" t="n"/>
      <c r="X268" s="66" t="n"/>
      <c r="Y268" s="66" t="n"/>
      <c r="Z268" s="66" t="n"/>
      <c r="AA268" s="66" t="n"/>
      <c r="AB268" s="66" t="n"/>
      <c r="AC268" s="66" t="n"/>
      <c r="AD268" s="66" t="n"/>
      <c r="AE268" s="66" t="n"/>
      <c r="AF268" s="66" t="n"/>
      <c r="AG268" s="66" t="n"/>
      <c r="AH268" s="66" t="n"/>
      <c r="AI268" s="66" t="n"/>
      <c r="AJ268" s="66" t="n"/>
      <c r="AK268" s="66" t="n"/>
      <c r="AL268" s="66" t="n"/>
      <c r="AM268" s="66" t="n"/>
      <c r="AN268" s="66" t="n"/>
      <c r="AO268" s="66" t="n"/>
      <c r="AP268" s="66" t="n"/>
      <c r="AQ268" s="66" t="n">
        <v>181930000</v>
      </c>
      <c r="AS268" s="67">
        <f>MROUND(FORECAST(AQ268,AQ256:AQ267,AS256:AS267),100000)</f>
        <v/>
      </c>
    </row>
    <row r="269">
      <c r="A269" s="60" t="n">
        <v>37165</v>
      </c>
      <c r="B269" s="66" t="n"/>
      <c r="C269" s="66" t="n"/>
      <c r="D269" s="66" t="n"/>
      <c r="E269" s="66" t="n"/>
      <c r="F269" s="66" t="n"/>
      <c r="G269" s="66" t="n"/>
      <c r="H269" s="66" t="n"/>
      <c r="I269" s="66" t="n"/>
      <c r="J269" s="66" t="n"/>
      <c r="K269" s="66" t="n"/>
      <c r="L269" s="66" t="n"/>
      <c r="M269" s="66" t="n"/>
      <c r="N269" s="66" t="n"/>
      <c r="O269" s="66" t="n"/>
      <c r="P269" s="66" t="n"/>
      <c r="Q269" s="66" t="n"/>
      <c r="R269" s="66" t="n"/>
      <c r="S269" s="66" t="n"/>
      <c r="T269" s="66" t="n"/>
      <c r="U269" s="66" t="n"/>
      <c r="V269" s="66" t="n"/>
      <c r="W269" s="66" t="n"/>
      <c r="X269" s="66" t="n"/>
      <c r="Y269" s="66" t="n"/>
      <c r="Z269" s="66" t="n"/>
      <c r="AA269" s="66" t="n"/>
      <c r="AB269" s="66" t="n"/>
      <c r="AC269" s="66" t="n"/>
      <c r="AD269" s="66" t="n"/>
      <c r="AE269" s="66" t="n"/>
      <c r="AF269" s="66" t="n"/>
      <c r="AG269" s="66" t="n"/>
      <c r="AH269" s="66" t="n"/>
      <c r="AI269" s="66" t="n"/>
      <c r="AJ269" s="66" t="n"/>
      <c r="AK269" s="66" t="n"/>
      <c r="AL269" s="66" t="n"/>
      <c r="AM269" s="66" t="n"/>
      <c r="AN269" s="66" t="n"/>
      <c r="AO269" s="66" t="n"/>
      <c r="AP269" s="66" t="n"/>
      <c r="AQ269" s="66" t="n">
        <v>185830000</v>
      </c>
      <c r="AS269" s="67">
        <f>MROUND(FORECAST(AQ269,AQ257:AQ268,AS257:AS268),100000)</f>
        <v/>
      </c>
    </row>
    <row r="270">
      <c r="A270" s="60" t="n">
        <v>37196</v>
      </c>
      <c r="B270" s="66" t="n"/>
      <c r="C270" s="66" t="n"/>
      <c r="D270" s="66" t="n"/>
      <c r="E270" s="66" t="n"/>
      <c r="F270" s="66" t="n"/>
      <c r="G270" s="66" t="n"/>
      <c r="H270" s="66" t="n"/>
      <c r="I270" s="66" t="n"/>
      <c r="J270" s="66" t="n"/>
      <c r="K270" s="66" t="n"/>
      <c r="L270" s="66" t="n"/>
      <c r="M270" s="66" t="n"/>
      <c r="N270" s="66" t="n"/>
      <c r="O270" s="66" t="n"/>
      <c r="P270" s="66" t="n"/>
      <c r="Q270" s="66" t="n"/>
      <c r="R270" s="66" t="n"/>
      <c r="S270" s="66" t="n"/>
      <c r="T270" s="66" t="n"/>
      <c r="U270" s="66" t="n"/>
      <c r="V270" s="66" t="n"/>
      <c r="W270" s="66" t="n"/>
      <c r="X270" s="66" t="n"/>
      <c r="Y270" s="66" t="n"/>
      <c r="Z270" s="66" t="n"/>
      <c r="AA270" s="66" t="n"/>
      <c r="AB270" s="66" t="n"/>
      <c r="AC270" s="66" t="n"/>
      <c r="AD270" s="66" t="n"/>
      <c r="AE270" s="66" t="n"/>
      <c r="AF270" s="66" t="n"/>
      <c r="AG270" s="66" t="n"/>
      <c r="AH270" s="66" t="n"/>
      <c r="AI270" s="66" t="n"/>
      <c r="AJ270" s="66" t="n"/>
      <c r="AK270" s="66" t="n"/>
      <c r="AL270" s="66" t="n"/>
      <c r="AM270" s="66" t="n"/>
      <c r="AN270" s="66" t="n"/>
      <c r="AO270" s="66" t="n"/>
      <c r="AP270" s="66" t="n"/>
      <c r="AQ270" s="66" t="n">
        <v>180030000</v>
      </c>
      <c r="AS270" s="67">
        <f>MROUND(FORECAST(AQ270,AQ258:AQ269,AS258:AS269),100000)</f>
        <v/>
      </c>
    </row>
    <row r="271">
      <c r="A271" s="60" t="n">
        <v>37226</v>
      </c>
      <c r="B271" s="66" t="n"/>
      <c r="C271" s="66" t="n"/>
      <c r="D271" s="66" t="n"/>
      <c r="E271" s="66" t="n"/>
      <c r="F271" s="66" t="n"/>
      <c r="G271" s="66" t="n"/>
      <c r="H271" s="66" t="n"/>
      <c r="I271" s="66" t="n"/>
      <c r="J271" s="66" t="n"/>
      <c r="K271" s="66" t="n"/>
      <c r="L271" s="66" t="n"/>
      <c r="M271" s="66" t="n"/>
      <c r="N271" s="66" t="n"/>
      <c r="O271" s="66" t="n"/>
      <c r="P271" s="66" t="n"/>
      <c r="Q271" s="66" t="n"/>
      <c r="R271" s="66" t="n"/>
      <c r="S271" s="66" t="n"/>
      <c r="T271" s="66" t="n"/>
      <c r="U271" s="66" t="n"/>
      <c r="V271" s="66" t="n"/>
      <c r="W271" s="66" t="n"/>
      <c r="X271" s="66" t="n"/>
      <c r="Y271" s="66" t="n"/>
      <c r="Z271" s="66" t="n"/>
      <c r="AA271" s="66" t="n"/>
      <c r="AB271" s="66" t="n"/>
      <c r="AC271" s="66" t="n"/>
      <c r="AD271" s="66" t="n"/>
      <c r="AE271" s="66" t="n"/>
      <c r="AF271" s="66" t="n"/>
      <c r="AG271" s="66" t="n"/>
      <c r="AH271" s="66" t="n"/>
      <c r="AI271" s="66" t="n"/>
      <c r="AJ271" s="66" t="n"/>
      <c r="AK271" s="66" t="n"/>
      <c r="AL271" s="66" t="n"/>
      <c r="AM271" s="66" t="n"/>
      <c r="AN271" s="66" t="n"/>
      <c r="AO271" s="66" t="n"/>
      <c r="AP271" s="66" t="n"/>
      <c r="AQ271" s="66" t="n">
        <v>193200000</v>
      </c>
      <c r="AS271" s="67">
        <f>MROUND(FORECAST(AQ271,AQ259:AQ270,AS259:AS270),100000)</f>
        <v/>
      </c>
    </row>
    <row r="272">
      <c r="A272" s="60" t="n">
        <v>37257</v>
      </c>
      <c r="B272" s="66" t="n"/>
      <c r="C272" s="66" t="n"/>
      <c r="D272" s="66" t="n"/>
      <c r="E272" s="66" t="n"/>
      <c r="F272" s="66" t="n"/>
      <c r="G272" s="66" t="n"/>
      <c r="H272" s="66" t="n"/>
      <c r="I272" s="66" t="n"/>
      <c r="J272" s="66" t="n"/>
      <c r="K272" s="66" t="n"/>
      <c r="L272" s="66" t="n"/>
      <c r="M272" s="66" t="n"/>
      <c r="N272" s="66" t="n"/>
      <c r="O272" s="66" t="n"/>
      <c r="P272" s="66" t="n"/>
      <c r="Q272" s="66" t="n"/>
      <c r="R272" s="66" t="n"/>
      <c r="S272" s="66" t="n"/>
      <c r="T272" s="66" t="n"/>
      <c r="U272" s="66" t="n"/>
      <c r="V272" s="66" t="n"/>
      <c r="W272" s="66" t="n"/>
      <c r="X272" s="66" t="n"/>
      <c r="Y272" s="66" t="n"/>
      <c r="Z272" s="66" t="n"/>
      <c r="AA272" s="66" t="n"/>
      <c r="AB272" s="66" t="n"/>
      <c r="AC272" s="66" t="n"/>
      <c r="AD272" s="66" t="n"/>
      <c r="AE272" s="66" t="n"/>
      <c r="AF272" s="66" t="n"/>
      <c r="AG272" s="66" t="n"/>
      <c r="AH272" s="66" t="n"/>
      <c r="AI272" s="66" t="n"/>
      <c r="AJ272" s="66" t="n"/>
      <c r="AK272" s="66" t="n"/>
      <c r="AL272" s="66" t="n"/>
      <c r="AM272" s="66" t="n"/>
      <c r="AN272" s="66" t="n"/>
      <c r="AO272" s="66" t="n"/>
      <c r="AP272" s="66" t="n"/>
      <c r="AQ272" s="66" t="n">
        <v>170840000</v>
      </c>
      <c r="AS272" s="67">
        <f>MROUND(FORECAST(AQ272,AQ260:AQ271,AS260:AS271),100000)</f>
        <v/>
      </c>
    </row>
    <row r="273">
      <c r="A273" s="60" t="n">
        <v>37288</v>
      </c>
      <c r="B273" s="66" t="n"/>
      <c r="C273" s="66" t="n"/>
      <c r="D273" s="66" t="n"/>
      <c r="E273" s="66" t="n"/>
      <c r="F273" s="66" t="n"/>
      <c r="G273" s="66" t="n"/>
      <c r="H273" s="66" t="n"/>
      <c r="I273" s="66" t="n"/>
      <c r="J273" s="66" t="n"/>
      <c r="K273" s="66" t="n"/>
      <c r="L273" s="66" t="n"/>
      <c r="M273" s="66" t="n"/>
      <c r="N273" s="66" t="n"/>
      <c r="O273" s="66" t="n"/>
      <c r="P273" s="66" t="n"/>
      <c r="Q273" s="66" t="n"/>
      <c r="R273" s="66" t="n"/>
      <c r="S273" s="66" t="n"/>
      <c r="T273" s="66" t="n"/>
      <c r="U273" s="66" t="n"/>
      <c r="V273" s="66" t="n"/>
      <c r="W273" s="66" t="n"/>
      <c r="X273" s="66" t="n"/>
      <c r="Y273" s="66" t="n"/>
      <c r="Z273" s="66" t="n"/>
      <c r="AA273" s="66" t="n"/>
      <c r="AB273" s="66" t="n"/>
      <c r="AC273" s="66" t="n"/>
      <c r="AD273" s="66" t="n"/>
      <c r="AE273" s="66" t="n"/>
      <c r="AF273" s="66" t="n"/>
      <c r="AG273" s="66" t="n"/>
      <c r="AH273" s="66" t="n"/>
      <c r="AI273" s="66" t="n"/>
      <c r="AJ273" s="66" t="n"/>
      <c r="AK273" s="66" t="n"/>
      <c r="AL273" s="66" t="n"/>
      <c r="AM273" s="66" t="n"/>
      <c r="AN273" s="66" t="n"/>
      <c r="AO273" s="66" t="n"/>
      <c r="AP273" s="66" t="n"/>
      <c r="AQ273" s="66" t="n">
        <v>169780000</v>
      </c>
      <c r="AS273" s="67">
        <f>MROUND(FORECAST(AQ273,AQ261:AQ272,AS261:AS272),100000)</f>
        <v/>
      </c>
    </row>
    <row r="274">
      <c r="A274" s="60" t="n">
        <v>37316</v>
      </c>
      <c r="B274" s="66" t="n"/>
      <c r="C274" s="66" t="n"/>
      <c r="D274" s="66" t="n"/>
      <c r="E274" s="66" t="n"/>
      <c r="F274" s="66" t="n"/>
      <c r="G274" s="66" t="n"/>
      <c r="H274" s="66" t="n"/>
      <c r="I274" s="66" t="n"/>
      <c r="J274" s="66" t="n"/>
      <c r="K274" s="66" t="n"/>
      <c r="L274" s="66" t="n"/>
      <c r="M274" s="66" t="n"/>
      <c r="N274" s="66" t="n"/>
      <c r="O274" s="66" t="n"/>
      <c r="P274" s="66" t="n"/>
      <c r="Q274" s="66" t="n"/>
      <c r="R274" s="66" t="n"/>
      <c r="S274" s="66" t="n"/>
      <c r="T274" s="66" t="n"/>
      <c r="U274" s="66" t="n"/>
      <c r="V274" s="66" t="n"/>
      <c r="W274" s="66" t="n"/>
      <c r="X274" s="66" t="n"/>
      <c r="Y274" s="66" t="n"/>
      <c r="Z274" s="66" t="n"/>
      <c r="AA274" s="66" t="n"/>
      <c r="AB274" s="66" t="n"/>
      <c r="AC274" s="66" t="n"/>
      <c r="AD274" s="66" t="n"/>
      <c r="AE274" s="66" t="n"/>
      <c r="AF274" s="66" t="n"/>
      <c r="AG274" s="66" t="n"/>
      <c r="AH274" s="66" t="n"/>
      <c r="AI274" s="66" t="n"/>
      <c r="AJ274" s="66" t="n"/>
      <c r="AK274" s="66" t="n"/>
      <c r="AL274" s="66" t="n"/>
      <c r="AM274" s="66" t="n"/>
      <c r="AN274" s="66" t="n"/>
      <c r="AO274" s="66" t="n"/>
      <c r="AP274" s="66" t="n"/>
      <c r="AQ274" s="66" t="n">
        <v>189600000</v>
      </c>
      <c r="AS274" s="67">
        <f>MROUND(FORECAST(AQ274,AQ262:AQ273,AS262:AS273),100000)</f>
        <v/>
      </c>
    </row>
    <row r="275">
      <c r="A275" s="60" t="n">
        <v>37347</v>
      </c>
      <c r="B275" s="66" t="n"/>
      <c r="C275" s="66" t="n"/>
      <c r="D275" s="66" t="n"/>
      <c r="E275" s="66" t="n"/>
      <c r="F275" s="66" t="n"/>
      <c r="G275" s="66" t="n"/>
      <c r="H275" s="66" t="n"/>
      <c r="I275" s="66" t="n"/>
      <c r="J275" s="66" t="n"/>
      <c r="K275" s="66" t="n"/>
      <c r="L275" s="66" t="n"/>
      <c r="M275" s="66" t="n"/>
      <c r="N275" s="66" t="n"/>
      <c r="O275" s="66" t="n"/>
      <c r="P275" s="66" t="n"/>
      <c r="Q275" s="66" t="n"/>
      <c r="R275" s="66" t="n"/>
      <c r="S275" s="66" t="n"/>
      <c r="T275" s="66" t="n"/>
      <c r="U275" s="66" t="n"/>
      <c r="V275" s="66" t="n"/>
      <c r="W275" s="66" t="n"/>
      <c r="X275" s="66" t="n"/>
      <c r="Y275" s="66" t="n"/>
      <c r="Z275" s="66" t="n"/>
      <c r="AA275" s="66" t="n"/>
      <c r="AB275" s="66" t="n"/>
      <c r="AC275" s="66" t="n"/>
      <c r="AD275" s="66" t="n"/>
      <c r="AE275" s="66" t="n"/>
      <c r="AF275" s="66" t="n"/>
      <c r="AG275" s="66" t="n"/>
      <c r="AH275" s="66" t="n"/>
      <c r="AI275" s="66" t="n"/>
      <c r="AJ275" s="66" t="n"/>
      <c r="AK275" s="66" t="n"/>
      <c r="AL275" s="66" t="n"/>
      <c r="AM275" s="66" t="n"/>
      <c r="AN275" s="66" t="n"/>
      <c r="AO275" s="66" t="n"/>
      <c r="AP275" s="66" t="n"/>
      <c r="AQ275" s="66" t="n">
        <v>185730000</v>
      </c>
      <c r="AS275" s="67">
        <f>MROUND(FORECAST(AQ275,AQ263:AQ274,AS263:AS274),100000)</f>
        <v/>
      </c>
    </row>
    <row r="276">
      <c r="A276" s="60" t="n">
        <v>37377</v>
      </c>
      <c r="B276" s="66" t="n"/>
      <c r="C276" s="66" t="n"/>
      <c r="D276" s="66" t="n"/>
      <c r="E276" s="66" t="n"/>
      <c r="F276" s="66" t="n"/>
      <c r="G276" s="66" t="n"/>
      <c r="H276" s="66" t="n"/>
      <c r="I276" s="66" t="n"/>
      <c r="J276" s="66" t="n"/>
      <c r="K276" s="66" t="n"/>
      <c r="L276" s="66" t="n"/>
      <c r="M276" s="66" t="n"/>
      <c r="N276" s="66" t="n"/>
      <c r="O276" s="66" t="n"/>
      <c r="P276" s="66" t="n"/>
      <c r="Q276" s="66" t="n"/>
      <c r="R276" s="66" t="n"/>
      <c r="S276" s="66" t="n"/>
      <c r="T276" s="66" t="n"/>
      <c r="U276" s="66" t="n"/>
      <c r="V276" s="66" t="n"/>
      <c r="W276" s="66" t="n"/>
      <c r="X276" s="66" t="n"/>
      <c r="Y276" s="66" t="n"/>
      <c r="Z276" s="66" t="n"/>
      <c r="AA276" s="66" t="n"/>
      <c r="AB276" s="66" t="n"/>
      <c r="AC276" s="66" t="n"/>
      <c r="AD276" s="66" t="n"/>
      <c r="AE276" s="66" t="n"/>
      <c r="AF276" s="66" t="n"/>
      <c r="AG276" s="66" t="n"/>
      <c r="AH276" s="66" t="n"/>
      <c r="AI276" s="66" t="n"/>
      <c r="AJ276" s="66" t="n"/>
      <c r="AK276" s="66" t="n"/>
      <c r="AL276" s="66" t="n"/>
      <c r="AM276" s="66" t="n"/>
      <c r="AN276" s="66" t="n"/>
      <c r="AO276" s="66" t="n"/>
      <c r="AP276" s="66" t="n"/>
      <c r="AQ276" s="66" t="n">
        <v>195020000</v>
      </c>
      <c r="AS276" s="67">
        <f>MROUND(FORECAST(AQ276,AQ264:AQ275,AS264:AS275),100000)</f>
        <v/>
      </c>
    </row>
    <row r="277">
      <c r="A277" s="60" t="n">
        <v>37408</v>
      </c>
      <c r="B277" s="66" t="n"/>
      <c r="C277" s="66" t="n"/>
      <c r="D277" s="66" t="n"/>
      <c r="E277" s="66" t="n"/>
      <c r="F277" s="66" t="n"/>
      <c r="G277" s="66" t="n"/>
      <c r="H277" s="66" t="n"/>
      <c r="I277" s="66" t="n"/>
      <c r="J277" s="66" t="n"/>
      <c r="K277" s="66" t="n"/>
      <c r="L277" s="66" t="n"/>
      <c r="M277" s="66" t="n"/>
      <c r="N277" s="66" t="n"/>
      <c r="O277" s="66" t="n"/>
      <c r="P277" s="66" t="n"/>
      <c r="Q277" s="66" t="n"/>
      <c r="R277" s="66" t="n"/>
      <c r="S277" s="66" t="n"/>
      <c r="T277" s="66" t="n"/>
      <c r="U277" s="66" t="n"/>
      <c r="V277" s="66" t="n"/>
      <c r="W277" s="66" t="n"/>
      <c r="X277" s="66" t="n"/>
      <c r="Y277" s="66" t="n"/>
      <c r="Z277" s="66" t="n"/>
      <c r="AA277" s="66" t="n"/>
      <c r="AB277" s="66" t="n"/>
      <c r="AC277" s="66" t="n"/>
      <c r="AD277" s="66" t="n"/>
      <c r="AE277" s="66" t="n"/>
      <c r="AF277" s="66" t="n"/>
      <c r="AG277" s="66" t="n"/>
      <c r="AH277" s="66" t="n"/>
      <c r="AI277" s="66" t="n"/>
      <c r="AJ277" s="66" t="n"/>
      <c r="AK277" s="66" t="n"/>
      <c r="AL277" s="66" t="n"/>
      <c r="AM277" s="66" t="n"/>
      <c r="AN277" s="66" t="n"/>
      <c r="AO277" s="66" t="n"/>
      <c r="AP277" s="66" t="n"/>
      <c r="AQ277" s="66" t="n">
        <v>193930000</v>
      </c>
      <c r="AS277" s="67">
        <f>MROUND(FORECAST(AQ277,AQ265:AQ276,AS265:AS276),100000)</f>
        <v/>
      </c>
    </row>
    <row r="278">
      <c r="A278" s="60" t="n">
        <v>37438</v>
      </c>
      <c r="B278" s="66" t="n"/>
      <c r="C278" s="66" t="n"/>
      <c r="D278" s="66" t="n"/>
      <c r="E278" s="66" t="n"/>
      <c r="F278" s="66" t="n"/>
      <c r="G278" s="66" t="n"/>
      <c r="H278" s="66" t="n"/>
      <c r="I278" s="66" t="n"/>
      <c r="J278" s="66" t="n"/>
      <c r="K278" s="66" t="n"/>
      <c r="L278" s="66" t="n"/>
      <c r="M278" s="66" t="n"/>
      <c r="N278" s="66" t="n"/>
      <c r="O278" s="66" t="n"/>
      <c r="P278" s="66" t="n"/>
      <c r="Q278" s="66" t="n"/>
      <c r="R278" s="66" t="n"/>
      <c r="S278" s="66" t="n"/>
      <c r="T278" s="66" t="n"/>
      <c r="U278" s="66" t="n"/>
      <c r="V278" s="66" t="n"/>
      <c r="W278" s="66" t="n"/>
      <c r="X278" s="66" t="n"/>
      <c r="Y278" s="66" t="n"/>
      <c r="Z278" s="66" t="n"/>
      <c r="AA278" s="66" t="n"/>
      <c r="AB278" s="66" t="n"/>
      <c r="AC278" s="66" t="n"/>
      <c r="AD278" s="66" t="n"/>
      <c r="AE278" s="66" t="n"/>
      <c r="AF278" s="66" t="n"/>
      <c r="AG278" s="66" t="n"/>
      <c r="AH278" s="66" t="n"/>
      <c r="AI278" s="66" t="n"/>
      <c r="AJ278" s="66" t="n"/>
      <c r="AK278" s="66" t="n"/>
      <c r="AL278" s="66" t="n"/>
      <c r="AM278" s="66" t="n"/>
      <c r="AN278" s="66" t="n"/>
      <c r="AO278" s="66" t="n"/>
      <c r="AP278" s="66" t="n"/>
      <c r="AQ278" s="66" t="n">
        <v>195500000</v>
      </c>
      <c r="AS278" s="67">
        <f>MROUND(FORECAST(AQ278,AQ266:AQ277,AS266:AS277),100000)</f>
        <v/>
      </c>
    </row>
    <row r="279">
      <c r="A279" s="60" t="n">
        <v>37469</v>
      </c>
      <c r="B279" s="66" t="n"/>
      <c r="C279" s="66" t="n"/>
      <c r="D279" s="66" t="n"/>
      <c r="E279" s="66" t="n"/>
      <c r="F279" s="66" t="n"/>
      <c r="G279" s="66" t="n"/>
      <c r="H279" s="66" t="n"/>
      <c r="I279" s="66" t="n"/>
      <c r="J279" s="66" t="n"/>
      <c r="K279" s="66" t="n"/>
      <c r="L279" s="66" t="n"/>
      <c r="M279" s="66" t="n"/>
      <c r="N279" s="66" t="n"/>
      <c r="O279" s="66" t="n"/>
      <c r="P279" s="66" t="n"/>
      <c r="Q279" s="66" t="n"/>
      <c r="R279" s="66" t="n"/>
      <c r="S279" s="66" t="n"/>
      <c r="T279" s="66" t="n"/>
      <c r="U279" s="66" t="n"/>
      <c r="V279" s="66" t="n"/>
      <c r="W279" s="66" t="n"/>
      <c r="X279" s="66" t="n"/>
      <c r="Y279" s="66" t="n"/>
      <c r="Z279" s="66" t="n"/>
      <c r="AA279" s="66" t="n"/>
      <c r="AB279" s="66" t="n"/>
      <c r="AC279" s="66" t="n"/>
      <c r="AD279" s="66" t="n"/>
      <c r="AE279" s="66" t="n"/>
      <c r="AF279" s="66" t="n"/>
      <c r="AG279" s="66" t="n"/>
      <c r="AH279" s="66" t="n"/>
      <c r="AI279" s="66" t="n"/>
      <c r="AJ279" s="66" t="n"/>
      <c r="AK279" s="66" t="n"/>
      <c r="AL279" s="66" t="n"/>
      <c r="AM279" s="66" t="n"/>
      <c r="AN279" s="66" t="n"/>
      <c r="AO279" s="66" t="n"/>
      <c r="AP279" s="66" t="n"/>
      <c r="AQ279" s="66" t="n">
        <v>200570000</v>
      </c>
      <c r="AS279" s="67">
        <f>MROUND(FORECAST(AQ279,AQ267:AQ278,AS267:AS278),100000)</f>
        <v/>
      </c>
    </row>
    <row r="280">
      <c r="A280" s="60" t="n">
        <v>37500</v>
      </c>
      <c r="B280" s="66" t="n"/>
      <c r="C280" s="66" t="n"/>
      <c r="D280" s="66" t="n"/>
      <c r="E280" s="66" t="n"/>
      <c r="F280" s="66" t="n"/>
      <c r="G280" s="66" t="n"/>
      <c r="H280" s="66" t="n"/>
      <c r="I280" s="66" t="n"/>
      <c r="J280" s="66" t="n"/>
      <c r="K280" s="66" t="n"/>
      <c r="L280" s="66" t="n"/>
      <c r="M280" s="66" t="n"/>
      <c r="N280" s="66" t="n"/>
      <c r="O280" s="66" t="n"/>
      <c r="P280" s="66" t="n"/>
      <c r="Q280" s="66" t="n"/>
      <c r="R280" s="66" t="n"/>
      <c r="S280" s="66" t="n"/>
      <c r="T280" s="66" t="n"/>
      <c r="U280" s="66" t="n"/>
      <c r="V280" s="66" t="n"/>
      <c r="W280" s="66" t="n"/>
      <c r="X280" s="66" t="n"/>
      <c r="Y280" s="66" t="n"/>
      <c r="Z280" s="66" t="n"/>
      <c r="AA280" s="66" t="n"/>
      <c r="AB280" s="66" t="n"/>
      <c r="AC280" s="66" t="n"/>
      <c r="AD280" s="66" t="n"/>
      <c r="AE280" s="66" t="n"/>
      <c r="AF280" s="66" t="n"/>
      <c r="AG280" s="66" t="n"/>
      <c r="AH280" s="66" t="n"/>
      <c r="AI280" s="66" t="n"/>
      <c r="AJ280" s="66" t="n"/>
      <c r="AK280" s="66" t="n"/>
      <c r="AL280" s="66" t="n"/>
      <c r="AM280" s="66" t="n"/>
      <c r="AN280" s="66" t="n"/>
      <c r="AO280" s="66" t="n"/>
      <c r="AP280" s="66" t="n"/>
      <c r="AQ280" s="66" t="n">
        <v>182320000</v>
      </c>
      <c r="AS280" s="67">
        <f>MROUND(FORECAST(AQ280,AQ268:AQ279,AS268:AS279),100000)</f>
        <v/>
      </c>
    </row>
    <row r="281">
      <c r="A281" s="60" t="n">
        <v>37530</v>
      </c>
      <c r="B281" s="66" t="n"/>
      <c r="C281" s="66" t="n"/>
      <c r="D281" s="66" t="n"/>
      <c r="E281" s="66" t="n"/>
      <c r="F281" s="66" t="n"/>
      <c r="G281" s="66" t="n"/>
      <c r="H281" s="66" t="n"/>
      <c r="I281" s="66" t="n"/>
      <c r="J281" s="66" t="n"/>
      <c r="K281" s="66" t="n"/>
      <c r="L281" s="66" t="n"/>
      <c r="M281" s="66" t="n"/>
      <c r="N281" s="66" t="n"/>
      <c r="O281" s="66" t="n"/>
      <c r="P281" s="66" t="n"/>
      <c r="Q281" s="66" t="n"/>
      <c r="R281" s="66" t="n"/>
      <c r="S281" s="66" t="n"/>
      <c r="T281" s="66" t="n"/>
      <c r="U281" s="66" t="n"/>
      <c r="V281" s="66" t="n"/>
      <c r="W281" s="66" t="n"/>
      <c r="X281" s="66" t="n"/>
      <c r="Y281" s="66" t="n"/>
      <c r="Z281" s="66" t="n"/>
      <c r="AA281" s="66" t="n"/>
      <c r="AB281" s="66" t="n"/>
      <c r="AC281" s="66" t="n"/>
      <c r="AD281" s="66" t="n"/>
      <c r="AE281" s="66" t="n"/>
      <c r="AF281" s="66" t="n"/>
      <c r="AG281" s="66" t="n"/>
      <c r="AH281" s="66" t="n"/>
      <c r="AI281" s="66" t="n"/>
      <c r="AJ281" s="66" t="n"/>
      <c r="AK281" s="66" t="n"/>
      <c r="AL281" s="66" t="n"/>
      <c r="AM281" s="66" t="n"/>
      <c r="AN281" s="66" t="n"/>
      <c r="AO281" s="66" t="n"/>
      <c r="AP281" s="66" t="n"/>
      <c r="AQ281" s="66" t="n">
        <v>186580000</v>
      </c>
      <c r="AS281" s="67">
        <f>MROUND(FORECAST(AQ281,AQ269:AQ280,AS269:AS280),100000)</f>
        <v/>
      </c>
    </row>
    <row r="282">
      <c r="A282" s="60" t="n">
        <v>37561</v>
      </c>
      <c r="B282" s="66" t="n"/>
      <c r="C282" s="66" t="n"/>
      <c r="D282" s="66" t="n"/>
      <c r="E282" s="66" t="n"/>
      <c r="F282" s="66" t="n"/>
      <c r="G282" s="66" t="n"/>
      <c r="H282" s="66" t="n"/>
      <c r="I282" s="66" t="n"/>
      <c r="J282" s="66" t="n"/>
      <c r="K282" s="66" t="n"/>
      <c r="L282" s="66" t="n"/>
      <c r="M282" s="66" t="n"/>
      <c r="N282" s="66" t="n"/>
      <c r="O282" s="66" t="n"/>
      <c r="P282" s="66" t="n"/>
      <c r="Q282" s="66" t="n"/>
      <c r="R282" s="66" t="n"/>
      <c r="S282" s="66" t="n"/>
      <c r="T282" s="66" t="n"/>
      <c r="U282" s="66" t="n"/>
      <c r="V282" s="66" t="n"/>
      <c r="W282" s="66" t="n"/>
      <c r="X282" s="66" t="n"/>
      <c r="Y282" s="66" t="n"/>
      <c r="Z282" s="66" t="n"/>
      <c r="AA282" s="66" t="n"/>
      <c r="AB282" s="66" t="n"/>
      <c r="AC282" s="66" t="n"/>
      <c r="AD282" s="66" t="n"/>
      <c r="AE282" s="66" t="n"/>
      <c r="AF282" s="66" t="n"/>
      <c r="AG282" s="66" t="n"/>
      <c r="AH282" s="66" t="n"/>
      <c r="AI282" s="66" t="n"/>
      <c r="AJ282" s="66" t="n"/>
      <c r="AK282" s="66" t="n"/>
      <c r="AL282" s="66" t="n"/>
      <c r="AM282" s="66" t="n"/>
      <c r="AN282" s="66" t="n"/>
      <c r="AO282" s="66" t="n"/>
      <c r="AP282" s="66" t="n"/>
      <c r="AQ282" s="66" t="n">
        <v>182520000</v>
      </c>
      <c r="AS282" s="67">
        <f>MROUND(FORECAST(AQ282,AQ270:AQ281,AS270:AS281),100000)</f>
        <v/>
      </c>
    </row>
    <row r="283">
      <c r="A283" s="60" t="n">
        <v>37591</v>
      </c>
      <c r="B283" s="66" t="n"/>
      <c r="C283" s="66" t="n"/>
      <c r="D283" s="66" t="n"/>
      <c r="E283" s="66" t="n"/>
      <c r="F283" s="66" t="n"/>
      <c r="G283" s="66" t="n"/>
      <c r="H283" s="66" t="n"/>
      <c r="I283" s="66" t="n"/>
      <c r="J283" s="66" t="n"/>
      <c r="K283" s="66" t="n"/>
      <c r="L283" s="66" t="n"/>
      <c r="M283" s="66" t="n"/>
      <c r="N283" s="66" t="n"/>
      <c r="O283" s="66" t="n"/>
      <c r="P283" s="66" t="n"/>
      <c r="Q283" s="66" t="n"/>
      <c r="R283" s="66" t="n"/>
      <c r="S283" s="66" t="n"/>
      <c r="T283" s="66" t="n"/>
      <c r="U283" s="66" t="n"/>
      <c r="V283" s="66" t="n"/>
      <c r="W283" s="66" t="n"/>
      <c r="X283" s="66" t="n"/>
      <c r="Y283" s="66" t="n"/>
      <c r="Z283" s="66" t="n"/>
      <c r="AA283" s="66" t="n"/>
      <c r="AB283" s="66" t="n"/>
      <c r="AC283" s="66" t="n"/>
      <c r="AD283" s="66" t="n"/>
      <c r="AE283" s="66" t="n"/>
      <c r="AF283" s="66" t="n"/>
      <c r="AG283" s="66" t="n"/>
      <c r="AH283" s="66" t="n"/>
      <c r="AI283" s="66" t="n"/>
      <c r="AJ283" s="66" t="n"/>
      <c r="AK283" s="66" t="n"/>
      <c r="AL283" s="66" t="n"/>
      <c r="AM283" s="66" t="n"/>
      <c r="AN283" s="66" t="n"/>
      <c r="AO283" s="66" t="n"/>
      <c r="AP283" s="66" t="n"/>
      <c r="AQ283" s="66" t="n">
        <v>190800000</v>
      </c>
      <c r="AS283" s="67">
        <f>MROUND(FORECAST(AQ283,AQ271:AQ282,AS271:AS282),100000)</f>
        <v/>
      </c>
    </row>
    <row r="284">
      <c r="A284" s="60" t="n">
        <v>37622</v>
      </c>
      <c r="B284" s="66" t="n"/>
      <c r="C284" s="66" t="n"/>
      <c r="D284" s="66" t="n"/>
      <c r="E284" s="66" t="n"/>
      <c r="F284" s="66" t="n"/>
      <c r="G284" s="66" t="n"/>
      <c r="H284" s="66" t="n"/>
      <c r="I284" s="66" t="n"/>
      <c r="J284" s="66" t="n"/>
      <c r="K284" s="66" t="n"/>
      <c r="L284" s="66" t="n"/>
      <c r="M284" s="66" t="n"/>
      <c r="N284" s="66" t="n"/>
      <c r="O284" s="66" t="n"/>
      <c r="P284" s="66" t="n"/>
      <c r="Q284" s="66" t="n"/>
      <c r="R284" s="66" t="n"/>
      <c r="S284" s="66" t="n"/>
      <c r="T284" s="66" t="n"/>
      <c r="U284" s="66" t="n"/>
      <c r="V284" s="66" t="n"/>
      <c r="W284" s="66" t="n"/>
      <c r="X284" s="66" t="n"/>
      <c r="Y284" s="66" t="n"/>
      <c r="Z284" s="66" t="n"/>
      <c r="AA284" s="66" t="n"/>
      <c r="AB284" s="66" t="n"/>
      <c r="AC284" s="66" t="n"/>
      <c r="AD284" s="66" t="n"/>
      <c r="AE284" s="66" t="n"/>
      <c r="AF284" s="66" t="n"/>
      <c r="AG284" s="66" t="n"/>
      <c r="AH284" s="66" t="n"/>
      <c r="AI284" s="66" t="n"/>
      <c r="AJ284" s="66" t="n"/>
      <c r="AK284" s="66" t="n"/>
      <c r="AL284" s="66" t="n"/>
      <c r="AM284" s="66" t="n"/>
      <c r="AN284" s="66" t="n"/>
      <c r="AO284" s="66" t="n"/>
      <c r="AP284" s="66" t="n"/>
      <c r="AQ284" s="66" t="n">
        <v>168880000</v>
      </c>
      <c r="AS284" s="67">
        <f>MROUND(FORECAST(AQ284,AQ272:AQ283,AS272:AS283),100000)</f>
        <v/>
      </c>
    </row>
    <row r="285">
      <c r="A285" s="60" t="n">
        <v>37653</v>
      </c>
      <c r="B285" s="66" t="n"/>
      <c r="C285" s="66" t="n"/>
      <c r="D285" s="66" t="n"/>
      <c r="E285" s="66" t="n"/>
      <c r="F285" s="66" t="n"/>
      <c r="G285" s="66" t="n"/>
      <c r="H285" s="66" t="n"/>
      <c r="I285" s="66" t="n"/>
      <c r="J285" s="66" t="n"/>
      <c r="K285" s="66" t="n"/>
      <c r="L285" s="66" t="n"/>
      <c r="M285" s="66" t="n"/>
      <c r="N285" s="66" t="n"/>
      <c r="O285" s="66" t="n"/>
      <c r="P285" s="66" t="n"/>
      <c r="Q285" s="66" t="n"/>
      <c r="R285" s="66" t="n"/>
      <c r="S285" s="66" t="n"/>
      <c r="T285" s="66" t="n"/>
      <c r="U285" s="66" t="n"/>
      <c r="V285" s="66" t="n"/>
      <c r="W285" s="66" t="n"/>
      <c r="X285" s="66" t="n"/>
      <c r="Y285" s="66" t="n"/>
      <c r="Z285" s="66" t="n"/>
      <c r="AA285" s="66" t="n"/>
      <c r="AB285" s="66" t="n"/>
      <c r="AC285" s="66" t="n"/>
      <c r="AD285" s="66" t="n"/>
      <c r="AE285" s="66" t="n"/>
      <c r="AF285" s="66" t="n"/>
      <c r="AG285" s="66" t="n"/>
      <c r="AH285" s="66" t="n"/>
      <c r="AI285" s="66" t="n"/>
      <c r="AJ285" s="66" t="n"/>
      <c r="AK285" s="66" t="n"/>
      <c r="AL285" s="66" t="n"/>
      <c r="AM285" s="66" t="n"/>
      <c r="AN285" s="66" t="n"/>
      <c r="AO285" s="66" t="n"/>
      <c r="AP285" s="66" t="n"/>
      <c r="AQ285" s="66" t="n">
        <v>165470000</v>
      </c>
      <c r="AS285" s="67">
        <f>MROUND(FORECAST(AQ285,AQ273:AQ284,AS273:AS284),100000)</f>
        <v/>
      </c>
    </row>
    <row r="286">
      <c r="A286" s="60" t="n">
        <v>37681</v>
      </c>
      <c r="B286" s="66" t="n"/>
      <c r="C286" s="66" t="n"/>
      <c r="D286" s="66" t="n"/>
      <c r="E286" s="66" t="n"/>
      <c r="F286" s="66" t="n"/>
      <c r="G286" s="66" t="n"/>
      <c r="H286" s="66" t="n"/>
      <c r="I286" s="66" t="n"/>
      <c r="J286" s="66" t="n"/>
      <c r="K286" s="66" t="n"/>
      <c r="L286" s="66" t="n"/>
      <c r="M286" s="66" t="n"/>
      <c r="N286" s="66" t="n"/>
      <c r="O286" s="66" t="n"/>
      <c r="P286" s="66" t="n"/>
      <c r="Q286" s="66" t="n"/>
      <c r="R286" s="66" t="n"/>
      <c r="S286" s="66" t="n"/>
      <c r="T286" s="66" t="n"/>
      <c r="U286" s="66" t="n"/>
      <c r="V286" s="66" t="n"/>
      <c r="W286" s="66" t="n"/>
      <c r="X286" s="66" t="n"/>
      <c r="Y286" s="66" t="n"/>
      <c r="Z286" s="66" t="n"/>
      <c r="AA286" s="66" t="n"/>
      <c r="AB286" s="66" t="n"/>
      <c r="AC286" s="66" t="n"/>
      <c r="AD286" s="66" t="n"/>
      <c r="AE286" s="66" t="n"/>
      <c r="AF286" s="66" t="n"/>
      <c r="AG286" s="66" t="n"/>
      <c r="AH286" s="66" t="n"/>
      <c r="AI286" s="66" t="n"/>
      <c r="AJ286" s="66" t="n"/>
      <c r="AK286" s="66" t="n"/>
      <c r="AL286" s="66" t="n"/>
      <c r="AM286" s="66" t="n"/>
      <c r="AN286" s="66" t="n"/>
      <c r="AO286" s="66" t="n"/>
      <c r="AP286" s="66" t="n"/>
      <c r="AQ286" s="66" t="n">
        <v>186400000</v>
      </c>
      <c r="AS286" s="67">
        <f>MROUND(FORECAST(AQ286,AQ274:AQ285,AS274:AS285),100000)</f>
        <v/>
      </c>
    </row>
    <row r="287">
      <c r="A287" s="60" t="n">
        <v>37712</v>
      </c>
      <c r="B287" s="66" t="n"/>
      <c r="C287" s="66" t="n"/>
      <c r="D287" s="66" t="n"/>
      <c r="E287" s="66" t="n"/>
      <c r="F287" s="66" t="n"/>
      <c r="G287" s="66" t="n"/>
      <c r="H287" s="66" t="n"/>
      <c r="I287" s="66" t="n"/>
      <c r="J287" s="66" t="n"/>
      <c r="K287" s="66" t="n"/>
      <c r="L287" s="66" t="n"/>
      <c r="M287" s="66" t="n"/>
      <c r="N287" s="66" t="n"/>
      <c r="O287" s="66" t="n"/>
      <c r="P287" s="66" t="n"/>
      <c r="Q287" s="66" t="n"/>
      <c r="R287" s="66" t="n"/>
      <c r="S287" s="66" t="n"/>
      <c r="T287" s="66" t="n"/>
      <c r="U287" s="66" t="n"/>
      <c r="V287" s="66" t="n"/>
      <c r="W287" s="66" t="n"/>
      <c r="X287" s="66" t="n"/>
      <c r="Y287" s="66" t="n"/>
      <c r="Z287" s="66" t="n"/>
      <c r="AA287" s="66" t="n"/>
      <c r="AB287" s="66" t="n"/>
      <c r="AC287" s="66" t="n"/>
      <c r="AD287" s="66" t="n"/>
      <c r="AE287" s="66" t="n"/>
      <c r="AF287" s="66" t="n"/>
      <c r="AG287" s="66" t="n"/>
      <c r="AH287" s="66" t="n"/>
      <c r="AI287" s="66" t="n"/>
      <c r="AJ287" s="66" t="n"/>
      <c r="AK287" s="66" t="n"/>
      <c r="AL287" s="66" t="n"/>
      <c r="AM287" s="66" t="n"/>
      <c r="AN287" s="66" t="n"/>
      <c r="AO287" s="66" t="n"/>
      <c r="AP287" s="66" t="n"/>
      <c r="AQ287" s="66" t="n">
        <v>181740000</v>
      </c>
      <c r="AS287" s="67">
        <f>MROUND(FORECAST(AQ287,AQ275:AQ286,AS275:AS286),100000)</f>
        <v/>
      </c>
    </row>
    <row r="288">
      <c r="A288" s="60" t="n">
        <v>37742</v>
      </c>
      <c r="B288" s="66" t="n"/>
      <c r="C288" s="66" t="n"/>
      <c r="D288" s="66" t="n"/>
      <c r="E288" s="66" t="n"/>
      <c r="F288" s="66" t="n"/>
      <c r="G288" s="66" t="n"/>
      <c r="H288" s="66" t="n"/>
      <c r="I288" s="66" t="n"/>
      <c r="J288" s="66" t="n"/>
      <c r="K288" s="66" t="n"/>
      <c r="L288" s="66" t="n"/>
      <c r="M288" s="66" t="n"/>
      <c r="N288" s="66" t="n"/>
      <c r="O288" s="66" t="n"/>
      <c r="P288" s="66" t="n"/>
      <c r="Q288" s="66" t="n"/>
      <c r="R288" s="66" t="n"/>
      <c r="S288" s="66" t="n"/>
      <c r="T288" s="66" t="n"/>
      <c r="U288" s="66" t="n"/>
      <c r="V288" s="66" t="n"/>
      <c r="W288" s="66" t="n"/>
      <c r="X288" s="66" t="n"/>
      <c r="Y288" s="66" t="n"/>
      <c r="Z288" s="66" t="n"/>
      <c r="AA288" s="66" t="n"/>
      <c r="AB288" s="66" t="n"/>
      <c r="AC288" s="66" t="n"/>
      <c r="AD288" s="66" t="n"/>
      <c r="AE288" s="66" t="n"/>
      <c r="AF288" s="66" t="n"/>
      <c r="AG288" s="66" t="n"/>
      <c r="AH288" s="66" t="n"/>
      <c r="AI288" s="66" t="n"/>
      <c r="AJ288" s="66" t="n"/>
      <c r="AK288" s="66" t="n"/>
      <c r="AL288" s="66" t="n"/>
      <c r="AM288" s="66" t="n"/>
      <c r="AN288" s="66" t="n"/>
      <c r="AO288" s="66" t="n"/>
      <c r="AP288" s="66" t="n"/>
      <c r="AQ288" s="66" t="n">
        <v>197500000</v>
      </c>
      <c r="AS288" s="67">
        <f>MROUND(FORECAST(AQ288,AQ276:AQ287,AS276:AS287),100000)</f>
        <v/>
      </c>
    </row>
    <row r="289">
      <c r="A289" s="60" t="n">
        <v>37773</v>
      </c>
      <c r="B289" s="66" t="n"/>
      <c r="C289" s="66" t="n"/>
      <c r="D289" s="66" t="n"/>
      <c r="E289" s="66" t="n"/>
      <c r="F289" s="66" t="n"/>
      <c r="G289" s="66" t="n"/>
      <c r="H289" s="66" t="n"/>
      <c r="I289" s="66" t="n"/>
      <c r="J289" s="66" t="n"/>
      <c r="K289" s="66" t="n"/>
      <c r="L289" s="66" t="n"/>
      <c r="M289" s="66" t="n"/>
      <c r="N289" s="66" t="n"/>
      <c r="O289" s="66" t="n"/>
      <c r="P289" s="66" t="n"/>
      <c r="Q289" s="66" t="n"/>
      <c r="R289" s="66" t="n"/>
      <c r="S289" s="66" t="n"/>
      <c r="T289" s="66" t="n"/>
      <c r="U289" s="66" t="n"/>
      <c r="V289" s="66" t="n"/>
      <c r="W289" s="66" t="n"/>
      <c r="X289" s="66" t="n"/>
      <c r="Y289" s="66" t="n"/>
      <c r="Z289" s="66" t="n"/>
      <c r="AA289" s="66" t="n"/>
      <c r="AB289" s="66" t="n"/>
      <c r="AC289" s="66" t="n"/>
      <c r="AD289" s="66" t="n"/>
      <c r="AE289" s="66" t="n"/>
      <c r="AF289" s="66" t="n"/>
      <c r="AG289" s="66" t="n"/>
      <c r="AH289" s="66" t="n"/>
      <c r="AI289" s="66" t="n"/>
      <c r="AJ289" s="66" t="n"/>
      <c r="AK289" s="66" t="n"/>
      <c r="AL289" s="66" t="n"/>
      <c r="AM289" s="66" t="n"/>
      <c r="AN289" s="66" t="n"/>
      <c r="AO289" s="66" t="n"/>
      <c r="AP289" s="66" t="n"/>
      <c r="AQ289" s="66" t="n">
        <v>192060000</v>
      </c>
      <c r="AS289" s="67">
        <f>MROUND(FORECAST(AQ289,AQ277:AQ288,AS277:AS288),100000)</f>
        <v/>
      </c>
    </row>
    <row r="290">
      <c r="A290" s="60" t="n">
        <v>37803</v>
      </c>
      <c r="B290" s="66" t="n"/>
      <c r="C290" s="66" t="n"/>
      <c r="D290" s="66" t="n"/>
      <c r="E290" s="66" t="n"/>
      <c r="F290" s="66" t="n"/>
      <c r="G290" s="66" t="n"/>
      <c r="H290" s="66" t="n"/>
      <c r="I290" s="66" t="n"/>
      <c r="J290" s="66" t="n"/>
      <c r="K290" s="66" t="n"/>
      <c r="L290" s="66" t="n"/>
      <c r="M290" s="66" t="n"/>
      <c r="N290" s="66" t="n"/>
      <c r="O290" s="66" t="n"/>
      <c r="P290" s="66" t="n"/>
      <c r="Q290" s="66" t="n"/>
      <c r="R290" s="66" t="n"/>
      <c r="S290" s="66" t="n"/>
      <c r="T290" s="66" t="n"/>
      <c r="U290" s="66" t="n"/>
      <c r="V290" s="66" t="n"/>
      <c r="W290" s="66" t="n"/>
      <c r="X290" s="66" t="n"/>
      <c r="Y290" s="66" t="n"/>
      <c r="Z290" s="66" t="n"/>
      <c r="AA290" s="66" t="n"/>
      <c r="AB290" s="66" t="n"/>
      <c r="AC290" s="66" t="n"/>
      <c r="AD290" s="66" t="n"/>
      <c r="AE290" s="66" t="n"/>
      <c r="AF290" s="66" t="n"/>
      <c r="AG290" s="66" t="n"/>
      <c r="AH290" s="66" t="n"/>
      <c r="AI290" s="66" t="n"/>
      <c r="AJ290" s="66" t="n"/>
      <c r="AK290" s="66" t="n"/>
      <c r="AL290" s="66" t="n"/>
      <c r="AM290" s="66" t="n"/>
      <c r="AN290" s="66" t="n"/>
      <c r="AO290" s="66" t="n"/>
      <c r="AP290" s="66" t="n"/>
      <c r="AQ290" s="66" t="n">
        <v>197250000</v>
      </c>
      <c r="AS290" s="67">
        <f>MROUND(FORECAST(AQ290,AQ278:AQ289,AS278:AS289),100000)</f>
        <v/>
      </c>
    </row>
    <row r="291">
      <c r="A291" s="60" t="n">
        <v>37834</v>
      </c>
      <c r="B291" s="66" t="n"/>
      <c r="C291" s="66" t="n"/>
      <c r="D291" s="66" t="n"/>
      <c r="E291" s="66" t="n"/>
      <c r="F291" s="66" t="n"/>
      <c r="G291" s="66" t="n"/>
      <c r="H291" s="66" t="n"/>
      <c r="I291" s="66" t="n"/>
      <c r="J291" s="66" t="n"/>
      <c r="K291" s="66" t="n"/>
      <c r="L291" s="66" t="n"/>
      <c r="M291" s="66" t="n"/>
      <c r="N291" s="66" t="n"/>
      <c r="O291" s="66" t="n"/>
      <c r="P291" s="66" t="n"/>
      <c r="Q291" s="66" t="n"/>
      <c r="R291" s="66" t="n"/>
      <c r="S291" s="66" t="n"/>
      <c r="T291" s="66" t="n"/>
      <c r="U291" s="66" t="n"/>
      <c r="V291" s="66" t="n"/>
      <c r="W291" s="66" t="n"/>
      <c r="X291" s="66" t="n"/>
      <c r="Y291" s="66" t="n"/>
      <c r="Z291" s="66" t="n"/>
      <c r="AA291" s="66" t="n"/>
      <c r="AB291" s="66" t="n"/>
      <c r="AC291" s="66" t="n"/>
      <c r="AD291" s="66" t="n"/>
      <c r="AE291" s="66" t="n"/>
      <c r="AF291" s="66" t="n"/>
      <c r="AG291" s="66" t="n"/>
      <c r="AH291" s="66" t="n"/>
      <c r="AI291" s="66" t="n"/>
      <c r="AJ291" s="66" t="n"/>
      <c r="AK291" s="66" t="n"/>
      <c r="AL291" s="66" t="n"/>
      <c r="AM291" s="66" t="n"/>
      <c r="AN291" s="66" t="n"/>
      <c r="AO291" s="66" t="n"/>
      <c r="AP291" s="66" t="n"/>
      <c r="AQ291" s="66" t="n">
        <v>203380000</v>
      </c>
      <c r="AS291" s="67">
        <f>MROUND(FORECAST(AQ291,AQ279:AQ290,AS279:AS290),100000)</f>
        <v/>
      </c>
    </row>
    <row r="292">
      <c r="A292" s="60" t="n">
        <v>37865</v>
      </c>
      <c r="B292" s="66" t="n"/>
      <c r="C292" s="66" t="n"/>
      <c r="D292" s="66" t="n"/>
      <c r="E292" s="66" t="n"/>
      <c r="F292" s="66" t="n"/>
      <c r="G292" s="66" t="n"/>
      <c r="H292" s="66" t="n"/>
      <c r="I292" s="66" t="n"/>
      <c r="J292" s="66" t="n"/>
      <c r="K292" s="66" t="n"/>
      <c r="L292" s="66" t="n"/>
      <c r="M292" s="66" t="n"/>
      <c r="N292" s="66" t="n"/>
      <c r="O292" s="66" t="n"/>
      <c r="P292" s="66" t="n"/>
      <c r="Q292" s="66" t="n"/>
      <c r="R292" s="66" t="n"/>
      <c r="S292" s="66" t="n"/>
      <c r="T292" s="66" t="n"/>
      <c r="U292" s="66" t="n"/>
      <c r="V292" s="66" t="n"/>
      <c r="W292" s="66" t="n"/>
      <c r="X292" s="66" t="n"/>
      <c r="Y292" s="66" t="n"/>
      <c r="Z292" s="66" t="n"/>
      <c r="AA292" s="66" t="n"/>
      <c r="AB292" s="66" t="n"/>
      <c r="AC292" s="66" t="n"/>
      <c r="AD292" s="66" t="n"/>
      <c r="AE292" s="66" t="n"/>
      <c r="AF292" s="66" t="n"/>
      <c r="AG292" s="66" t="n"/>
      <c r="AH292" s="66" t="n"/>
      <c r="AI292" s="66" t="n"/>
      <c r="AJ292" s="66" t="n"/>
      <c r="AK292" s="66" t="n"/>
      <c r="AL292" s="66" t="n"/>
      <c r="AM292" s="66" t="n"/>
      <c r="AN292" s="66" t="n"/>
      <c r="AO292" s="66" t="n"/>
      <c r="AP292" s="66" t="n"/>
      <c r="AQ292" s="66" t="n">
        <v>182810000</v>
      </c>
      <c r="AS292" s="67">
        <f>MROUND(FORECAST(AQ292,AQ280:AQ291,AS280:AS291),100000)</f>
        <v/>
      </c>
    </row>
    <row r="293">
      <c r="A293" s="60" t="n">
        <v>37895</v>
      </c>
      <c r="B293" s="66" t="n"/>
      <c r="C293" s="66" t="n"/>
      <c r="D293" s="66" t="n"/>
      <c r="E293" s="66" t="n"/>
      <c r="F293" s="66" t="n"/>
      <c r="G293" s="66" t="n"/>
      <c r="H293" s="66" t="n"/>
      <c r="I293" s="66" t="n"/>
      <c r="J293" s="66" t="n"/>
      <c r="K293" s="66" t="n"/>
      <c r="L293" s="66" t="n"/>
      <c r="M293" s="66" t="n"/>
      <c r="N293" s="66" t="n"/>
      <c r="O293" s="66" t="n"/>
      <c r="P293" s="66" t="n"/>
      <c r="Q293" s="66" t="n"/>
      <c r="R293" s="66" t="n"/>
      <c r="S293" s="66" t="n"/>
      <c r="T293" s="66" t="n"/>
      <c r="U293" s="66" t="n"/>
      <c r="V293" s="66" t="n"/>
      <c r="W293" s="66" t="n"/>
      <c r="X293" s="66" t="n"/>
      <c r="Y293" s="66" t="n"/>
      <c r="Z293" s="66" t="n"/>
      <c r="AA293" s="66" t="n"/>
      <c r="AB293" s="66" t="n"/>
      <c r="AC293" s="66" t="n"/>
      <c r="AD293" s="66" t="n"/>
      <c r="AE293" s="66" t="n"/>
      <c r="AF293" s="66" t="n"/>
      <c r="AG293" s="66" t="n"/>
      <c r="AH293" s="66" t="n"/>
      <c r="AI293" s="66" t="n"/>
      <c r="AJ293" s="66" t="n"/>
      <c r="AK293" s="66" t="n"/>
      <c r="AL293" s="66" t="n"/>
      <c r="AM293" s="66" t="n"/>
      <c r="AN293" s="66" t="n"/>
      <c r="AO293" s="66" t="n"/>
      <c r="AP293" s="66" t="n"/>
      <c r="AQ293" s="66" t="n">
        <v>191800000</v>
      </c>
      <c r="AS293" s="67">
        <f>MROUND(FORECAST(AQ293,AQ281:AQ292,AS281:AS292),100000)</f>
        <v/>
      </c>
    </row>
    <row r="294">
      <c r="A294" s="60" t="n">
        <v>37926</v>
      </c>
      <c r="B294" s="66" t="n"/>
      <c r="C294" s="66" t="n"/>
      <c r="D294" s="66" t="n"/>
      <c r="E294" s="66" t="n"/>
      <c r="F294" s="66" t="n"/>
      <c r="G294" s="66" t="n"/>
      <c r="H294" s="66" t="n"/>
      <c r="I294" s="66" t="n"/>
      <c r="J294" s="66" t="n"/>
      <c r="K294" s="66" t="n"/>
      <c r="L294" s="66" t="n"/>
      <c r="M294" s="66" t="n"/>
      <c r="N294" s="66" t="n"/>
      <c r="O294" s="66" t="n"/>
      <c r="P294" s="66" t="n"/>
      <c r="Q294" s="66" t="n"/>
      <c r="R294" s="66" t="n"/>
      <c r="S294" s="66" t="n"/>
      <c r="T294" s="66" t="n"/>
      <c r="U294" s="66" t="n"/>
      <c r="V294" s="66" t="n"/>
      <c r="W294" s="66" t="n"/>
      <c r="X294" s="66" t="n"/>
      <c r="Y294" s="66" t="n"/>
      <c r="Z294" s="66" t="n"/>
      <c r="AA294" s="66" t="n"/>
      <c r="AB294" s="66" t="n"/>
      <c r="AC294" s="66" t="n"/>
      <c r="AD294" s="66" t="n"/>
      <c r="AE294" s="66" t="n"/>
      <c r="AF294" s="66" t="n"/>
      <c r="AG294" s="66" t="n"/>
      <c r="AH294" s="66" t="n"/>
      <c r="AI294" s="66" t="n"/>
      <c r="AJ294" s="66" t="n"/>
      <c r="AK294" s="66" t="n"/>
      <c r="AL294" s="66" t="n"/>
      <c r="AM294" s="66" t="n"/>
      <c r="AN294" s="66" t="n"/>
      <c r="AO294" s="66" t="n"/>
      <c r="AP294" s="66" t="n"/>
      <c r="AQ294" s="66" t="n">
        <v>183980000</v>
      </c>
      <c r="AS294" s="67">
        <f>MROUND(FORECAST(AQ294,AQ282:AQ293,AS282:AS293),100000)</f>
        <v/>
      </c>
    </row>
    <row r="295">
      <c r="A295" s="60" t="n">
        <v>37956</v>
      </c>
      <c r="B295" s="66" t="n"/>
      <c r="C295" s="66" t="n"/>
      <c r="D295" s="66" t="n"/>
      <c r="E295" s="66" t="n"/>
      <c r="F295" s="66" t="n"/>
      <c r="G295" s="66" t="n"/>
      <c r="H295" s="66" t="n"/>
      <c r="I295" s="66" t="n"/>
      <c r="J295" s="66" t="n"/>
      <c r="K295" s="66" t="n"/>
      <c r="L295" s="66" t="n"/>
      <c r="M295" s="66" t="n"/>
      <c r="N295" s="66" t="n"/>
      <c r="O295" s="66" t="n"/>
      <c r="P295" s="66" t="n"/>
      <c r="Q295" s="66" t="n"/>
      <c r="R295" s="66" t="n"/>
      <c r="S295" s="66" t="n"/>
      <c r="T295" s="66" t="n"/>
      <c r="U295" s="66" t="n"/>
      <c r="V295" s="66" t="n"/>
      <c r="W295" s="66" t="n"/>
      <c r="X295" s="66" t="n"/>
      <c r="Y295" s="66" t="n"/>
      <c r="Z295" s="66" t="n"/>
      <c r="AA295" s="66" t="n"/>
      <c r="AB295" s="66" t="n"/>
      <c r="AC295" s="66" t="n"/>
      <c r="AD295" s="66" t="n"/>
      <c r="AE295" s="66" t="n"/>
      <c r="AF295" s="66" t="n"/>
      <c r="AG295" s="66" t="n"/>
      <c r="AH295" s="66" t="n"/>
      <c r="AI295" s="66" t="n"/>
      <c r="AJ295" s="66" t="n"/>
      <c r="AK295" s="66" t="n"/>
      <c r="AL295" s="66" t="n"/>
      <c r="AM295" s="66" t="n"/>
      <c r="AN295" s="66" t="n"/>
      <c r="AO295" s="66" t="n"/>
      <c r="AP295" s="66" t="n"/>
      <c r="AQ295" s="66" t="n">
        <v>191920000</v>
      </c>
      <c r="AS295" s="67">
        <f>MROUND(FORECAST(AQ295,AQ283:AQ294,AS283:AS294),100000)</f>
        <v/>
      </c>
    </row>
    <row r="296">
      <c r="A296" s="60" t="n">
        <v>37987</v>
      </c>
      <c r="B296" s="66" t="n"/>
      <c r="C296" s="66" t="n"/>
      <c r="D296" s="66" t="n"/>
      <c r="E296" s="66" t="n"/>
      <c r="F296" s="66" t="n"/>
      <c r="G296" s="66" t="n"/>
      <c r="H296" s="66" t="n"/>
      <c r="I296" s="66" t="n"/>
      <c r="J296" s="66" t="n"/>
      <c r="K296" s="66" t="n"/>
      <c r="L296" s="66" t="n"/>
      <c r="M296" s="66" t="n"/>
      <c r="N296" s="66" t="n"/>
      <c r="O296" s="66" t="n"/>
      <c r="P296" s="66" t="n"/>
      <c r="Q296" s="66" t="n"/>
      <c r="R296" s="66" t="n"/>
      <c r="S296" s="66" t="n"/>
      <c r="T296" s="66" t="n"/>
      <c r="U296" s="66" t="n"/>
      <c r="V296" s="66" t="n"/>
      <c r="W296" s="66" t="n"/>
      <c r="X296" s="66" t="n"/>
      <c r="Y296" s="66" t="n"/>
      <c r="Z296" s="66" t="n"/>
      <c r="AA296" s="66" t="n"/>
      <c r="AB296" s="66" t="n"/>
      <c r="AC296" s="66" t="n"/>
      <c r="AD296" s="66" t="n"/>
      <c r="AE296" s="66" t="n"/>
      <c r="AF296" s="66" t="n"/>
      <c r="AG296" s="66" t="n"/>
      <c r="AH296" s="66" t="n"/>
      <c r="AI296" s="66" t="n"/>
      <c r="AJ296" s="66" t="n"/>
      <c r="AK296" s="66" t="n"/>
      <c r="AL296" s="66" t="n"/>
      <c r="AM296" s="66" t="n"/>
      <c r="AN296" s="66" t="n"/>
      <c r="AO296" s="66" t="n"/>
      <c r="AP296" s="66" t="n"/>
      <c r="AQ296" s="66" t="n">
        <v>172220000</v>
      </c>
      <c r="AS296" s="67">
        <f>MROUND(FORECAST(AQ296,AQ284:AQ295,AS284:AS295),100000)</f>
        <v/>
      </c>
    </row>
    <row r="297">
      <c r="A297" s="60" t="n">
        <v>38018</v>
      </c>
      <c r="B297" s="66" t="n"/>
      <c r="C297" s="66" t="n"/>
      <c r="D297" s="66" t="n"/>
      <c r="E297" s="66" t="n"/>
      <c r="F297" s="66" t="n"/>
      <c r="G297" s="66" t="n"/>
      <c r="H297" s="66" t="n"/>
      <c r="I297" s="66" t="n"/>
      <c r="J297" s="66" t="n"/>
      <c r="K297" s="66" t="n"/>
      <c r="L297" s="66" t="n"/>
      <c r="M297" s="66" t="n"/>
      <c r="N297" s="66" t="n"/>
      <c r="O297" s="66" t="n"/>
      <c r="P297" s="66" t="n"/>
      <c r="Q297" s="66" t="n"/>
      <c r="R297" s="66" t="n"/>
      <c r="S297" s="66" t="n"/>
      <c r="T297" s="66" t="n"/>
      <c r="U297" s="66" t="n"/>
      <c r="V297" s="66" t="n"/>
      <c r="W297" s="66" t="n"/>
      <c r="X297" s="66" t="n"/>
      <c r="Y297" s="66" t="n"/>
      <c r="Z297" s="66" t="n"/>
      <c r="AA297" s="66" t="n"/>
      <c r="AB297" s="66" t="n"/>
      <c r="AC297" s="66" t="n"/>
      <c r="AD297" s="66" t="n"/>
      <c r="AE297" s="66" t="n"/>
      <c r="AF297" s="66" t="n"/>
      <c r="AG297" s="66" t="n"/>
      <c r="AH297" s="66" t="n"/>
      <c r="AI297" s="66" t="n"/>
      <c r="AJ297" s="66" t="n"/>
      <c r="AK297" s="66" t="n"/>
      <c r="AL297" s="66" t="n"/>
      <c r="AM297" s="66" t="n"/>
      <c r="AN297" s="66" t="n"/>
      <c r="AO297" s="66" t="n"/>
      <c r="AP297" s="66" t="n"/>
      <c r="AQ297" s="66" t="n">
        <v>173080000</v>
      </c>
      <c r="AS297" s="67">
        <f>MROUND(FORECAST(AQ297,AQ285:AQ296,AS285:AS296),100000)</f>
        <v/>
      </c>
    </row>
    <row r="298">
      <c r="A298" s="60" t="n">
        <v>38047</v>
      </c>
      <c r="B298" s="66" t="n"/>
      <c r="C298" s="66" t="n"/>
      <c r="D298" s="66" t="n"/>
      <c r="E298" s="66" t="n"/>
      <c r="F298" s="66" t="n"/>
      <c r="G298" s="66" t="n"/>
      <c r="H298" s="66" t="n"/>
      <c r="I298" s="66" t="n"/>
      <c r="J298" s="66" t="n"/>
      <c r="K298" s="66" t="n"/>
      <c r="L298" s="66" t="n"/>
      <c r="M298" s="66" t="n"/>
      <c r="N298" s="66" t="n"/>
      <c r="O298" s="66" t="n"/>
      <c r="P298" s="66" t="n"/>
      <c r="Q298" s="66" t="n"/>
      <c r="R298" s="66" t="n"/>
      <c r="S298" s="66" t="n"/>
      <c r="T298" s="66" t="n"/>
      <c r="U298" s="66" t="n"/>
      <c r="V298" s="66" t="n"/>
      <c r="W298" s="66" t="n"/>
      <c r="X298" s="66" t="n"/>
      <c r="Y298" s="66" t="n"/>
      <c r="Z298" s="66" t="n"/>
      <c r="AA298" s="66" t="n"/>
      <c r="AB298" s="66" t="n"/>
      <c r="AC298" s="66" t="n"/>
      <c r="AD298" s="66" t="n"/>
      <c r="AE298" s="66" t="n"/>
      <c r="AF298" s="66" t="n"/>
      <c r="AG298" s="66" t="n"/>
      <c r="AH298" s="66" t="n"/>
      <c r="AI298" s="66" t="n"/>
      <c r="AJ298" s="66" t="n"/>
      <c r="AK298" s="66" t="n"/>
      <c r="AL298" s="66" t="n"/>
      <c r="AM298" s="66" t="n"/>
      <c r="AN298" s="66" t="n"/>
      <c r="AO298" s="66" t="n"/>
      <c r="AP298" s="66" t="n"/>
      <c r="AQ298" s="66" t="n">
        <v>186670000</v>
      </c>
      <c r="AS298" s="67">
        <f>MROUND(FORECAST(AQ298,AQ286:AQ297,AS286:AS297),100000)</f>
        <v/>
      </c>
    </row>
    <row r="299">
      <c r="A299" s="60" t="n">
        <v>38078</v>
      </c>
      <c r="B299" s="66" t="n"/>
      <c r="C299" s="66" t="n"/>
      <c r="D299" s="66" t="n"/>
      <c r="E299" s="66" t="n"/>
      <c r="F299" s="66" t="n"/>
      <c r="G299" s="66" t="n"/>
      <c r="H299" s="66" t="n"/>
      <c r="I299" s="66" t="n"/>
      <c r="J299" s="66" t="n"/>
      <c r="K299" s="66" t="n"/>
      <c r="L299" s="66" t="n"/>
      <c r="M299" s="66" t="n"/>
      <c r="N299" s="66" t="n"/>
      <c r="O299" s="66" t="n"/>
      <c r="P299" s="66" t="n"/>
      <c r="Q299" s="66" t="n"/>
      <c r="R299" s="66" t="n"/>
      <c r="S299" s="66" t="n"/>
      <c r="T299" s="66" t="n"/>
      <c r="U299" s="66" t="n"/>
      <c r="V299" s="66" t="n"/>
      <c r="W299" s="66" t="n"/>
      <c r="X299" s="66" t="n"/>
      <c r="Y299" s="66" t="n"/>
      <c r="Z299" s="66" t="n"/>
      <c r="AA299" s="66" t="n"/>
      <c r="AB299" s="66" t="n"/>
      <c r="AC299" s="66" t="n"/>
      <c r="AD299" s="66" t="n"/>
      <c r="AE299" s="66" t="n"/>
      <c r="AF299" s="66" t="n"/>
      <c r="AG299" s="66" t="n"/>
      <c r="AH299" s="66" t="n"/>
      <c r="AI299" s="66" t="n"/>
      <c r="AJ299" s="66" t="n"/>
      <c r="AK299" s="66" t="n"/>
      <c r="AL299" s="66" t="n"/>
      <c r="AM299" s="66" t="n"/>
      <c r="AN299" s="66" t="n"/>
      <c r="AO299" s="66" t="n"/>
      <c r="AP299" s="66" t="n"/>
      <c r="AQ299" s="66" t="n">
        <v>185550000</v>
      </c>
      <c r="AS299" s="67">
        <f>MROUND(FORECAST(AQ299,AQ287:AQ298,AS287:AS298),100000)</f>
        <v/>
      </c>
    </row>
    <row r="300">
      <c r="A300" s="60" t="n">
        <v>38108</v>
      </c>
      <c r="B300" s="66" t="n"/>
      <c r="C300" s="66" t="n"/>
      <c r="D300" s="66" t="n"/>
      <c r="E300" s="66" t="n"/>
      <c r="F300" s="66" t="n"/>
      <c r="G300" s="66" t="n"/>
      <c r="H300" s="66" t="n"/>
      <c r="I300" s="66" t="n"/>
      <c r="J300" s="66" t="n"/>
      <c r="K300" s="66" t="n"/>
      <c r="L300" s="66" t="n"/>
      <c r="M300" s="66" t="n"/>
      <c r="N300" s="66" t="n"/>
      <c r="O300" s="66" t="n"/>
      <c r="P300" s="66" t="n"/>
      <c r="Q300" s="66" t="n"/>
      <c r="R300" s="66" t="n"/>
      <c r="S300" s="66" t="n"/>
      <c r="T300" s="66" t="n"/>
      <c r="U300" s="66" t="n"/>
      <c r="V300" s="66" t="n"/>
      <c r="W300" s="66" t="n"/>
      <c r="X300" s="66" t="n"/>
      <c r="Y300" s="66" t="n"/>
      <c r="Z300" s="66" t="n"/>
      <c r="AA300" s="66" t="n"/>
      <c r="AB300" s="66" t="n"/>
      <c r="AC300" s="66" t="n"/>
      <c r="AD300" s="66" t="n"/>
      <c r="AE300" s="66" t="n"/>
      <c r="AF300" s="66" t="n"/>
      <c r="AG300" s="66" t="n"/>
      <c r="AH300" s="66" t="n"/>
      <c r="AI300" s="66" t="n"/>
      <c r="AJ300" s="66" t="n"/>
      <c r="AK300" s="66" t="n"/>
      <c r="AL300" s="66" t="n"/>
      <c r="AM300" s="66" t="n"/>
      <c r="AN300" s="66" t="n"/>
      <c r="AO300" s="66" t="n"/>
      <c r="AP300" s="66" t="n"/>
      <c r="AQ300" s="66" t="n">
        <v>193090000</v>
      </c>
      <c r="AS300" s="67">
        <f>MROUND(FORECAST(AQ300,AQ288:AQ299,AS288:AS299),100000)</f>
        <v/>
      </c>
    </row>
    <row r="301">
      <c r="A301" s="60" t="n">
        <v>38139</v>
      </c>
      <c r="B301" s="66" t="n"/>
      <c r="C301" s="66" t="n"/>
      <c r="D301" s="66" t="n"/>
      <c r="E301" s="66" t="n"/>
      <c r="F301" s="66" t="n"/>
      <c r="G301" s="66" t="n"/>
      <c r="H301" s="66" t="n"/>
      <c r="I301" s="66" t="n"/>
      <c r="J301" s="66" t="n"/>
      <c r="K301" s="66" t="n"/>
      <c r="L301" s="66" t="n"/>
      <c r="M301" s="66" t="n"/>
      <c r="N301" s="66" t="n"/>
      <c r="O301" s="66" t="n"/>
      <c r="P301" s="66" t="n"/>
      <c r="Q301" s="66" t="n"/>
      <c r="R301" s="66" t="n"/>
      <c r="S301" s="66" t="n"/>
      <c r="T301" s="66" t="n"/>
      <c r="U301" s="66" t="n"/>
      <c r="V301" s="66" t="n"/>
      <c r="W301" s="66" t="n"/>
      <c r="X301" s="66" t="n"/>
      <c r="Y301" s="66" t="n"/>
      <c r="Z301" s="66" t="n"/>
      <c r="AA301" s="66" t="n"/>
      <c r="AB301" s="66" t="n"/>
      <c r="AC301" s="66" t="n"/>
      <c r="AD301" s="66" t="n"/>
      <c r="AE301" s="66" t="n"/>
      <c r="AF301" s="66" t="n"/>
      <c r="AG301" s="66" t="n"/>
      <c r="AH301" s="66" t="n"/>
      <c r="AI301" s="66" t="n"/>
      <c r="AJ301" s="66" t="n"/>
      <c r="AK301" s="66" t="n"/>
      <c r="AL301" s="66" t="n"/>
      <c r="AM301" s="66" t="n"/>
      <c r="AN301" s="66" t="n"/>
      <c r="AO301" s="66" t="n"/>
      <c r="AP301" s="66" t="n"/>
      <c r="AQ301" s="66" t="n">
        <v>189790000</v>
      </c>
      <c r="AS301" s="67">
        <f>MROUND(FORECAST(AQ301,AQ289:AQ300,AS289:AS300),100000)</f>
        <v/>
      </c>
    </row>
    <row r="302">
      <c r="A302" s="60" t="n">
        <v>38169</v>
      </c>
      <c r="B302" s="66" t="n"/>
      <c r="C302" s="66" t="n"/>
      <c r="D302" s="66" t="n"/>
      <c r="E302" s="66" t="n"/>
      <c r="F302" s="66" t="n"/>
      <c r="G302" s="66" t="n"/>
      <c r="H302" s="66" t="n"/>
      <c r="I302" s="66" t="n"/>
      <c r="J302" s="66" t="n"/>
      <c r="K302" s="66" t="n"/>
      <c r="L302" s="66" t="n"/>
      <c r="M302" s="66" t="n"/>
      <c r="N302" s="66" t="n"/>
      <c r="O302" s="66" t="n"/>
      <c r="P302" s="66" t="n"/>
      <c r="Q302" s="66" t="n"/>
      <c r="R302" s="66" t="n"/>
      <c r="S302" s="66" t="n"/>
      <c r="T302" s="66" t="n"/>
      <c r="U302" s="66" t="n"/>
      <c r="V302" s="66" t="n"/>
      <c r="W302" s="66" t="n"/>
      <c r="X302" s="66" t="n"/>
      <c r="Y302" s="66" t="n"/>
      <c r="Z302" s="66" t="n"/>
      <c r="AA302" s="66" t="n"/>
      <c r="AB302" s="66" t="n"/>
      <c r="AC302" s="66" t="n"/>
      <c r="AD302" s="66" t="n"/>
      <c r="AE302" s="66" t="n"/>
      <c r="AF302" s="66" t="n"/>
      <c r="AG302" s="66" t="n"/>
      <c r="AH302" s="66" t="n"/>
      <c r="AI302" s="66" t="n"/>
      <c r="AJ302" s="66" t="n"/>
      <c r="AK302" s="66" t="n"/>
      <c r="AL302" s="66" t="n"/>
      <c r="AM302" s="66" t="n"/>
      <c r="AN302" s="66" t="n"/>
      <c r="AO302" s="66" t="n"/>
      <c r="AP302" s="66" t="n"/>
      <c r="AQ302" s="66" t="n">
        <v>199230000</v>
      </c>
      <c r="AS302" s="67">
        <f>MROUND(FORECAST(AQ302,AQ290:AQ301,AS290:AS301),100000)</f>
        <v/>
      </c>
    </row>
    <row r="303">
      <c r="A303" s="60" t="n">
        <v>38200</v>
      </c>
      <c r="B303" s="66" t="n"/>
      <c r="C303" s="66" t="n"/>
      <c r="D303" s="66" t="n"/>
      <c r="E303" s="66" t="n"/>
      <c r="F303" s="66" t="n"/>
      <c r="G303" s="66" t="n"/>
      <c r="H303" s="66" t="n"/>
      <c r="I303" s="66" t="n"/>
      <c r="J303" s="66" t="n"/>
      <c r="K303" s="66" t="n"/>
      <c r="L303" s="66" t="n"/>
      <c r="M303" s="66" t="n"/>
      <c r="N303" s="66" t="n"/>
      <c r="O303" s="66" t="n"/>
      <c r="P303" s="66" t="n"/>
      <c r="Q303" s="66" t="n"/>
      <c r="R303" s="66" t="n"/>
      <c r="S303" s="66" t="n"/>
      <c r="T303" s="66" t="n"/>
      <c r="U303" s="66" t="n"/>
      <c r="V303" s="66" t="n"/>
      <c r="W303" s="66" t="n"/>
      <c r="X303" s="66" t="n"/>
      <c r="Y303" s="66" t="n"/>
      <c r="Z303" s="66" t="n"/>
      <c r="AA303" s="66" t="n"/>
      <c r="AB303" s="66" t="n"/>
      <c r="AC303" s="66" t="n"/>
      <c r="AD303" s="66" t="n"/>
      <c r="AE303" s="66" t="n"/>
      <c r="AF303" s="66" t="n"/>
      <c r="AG303" s="66" t="n"/>
      <c r="AH303" s="66" t="n"/>
      <c r="AI303" s="66" t="n"/>
      <c r="AJ303" s="66" t="n"/>
      <c r="AK303" s="66" t="n"/>
      <c r="AL303" s="66" t="n"/>
      <c r="AM303" s="66" t="n"/>
      <c r="AN303" s="66" t="n"/>
      <c r="AO303" s="66" t="n"/>
      <c r="AP303" s="66" t="n"/>
      <c r="AQ303" s="66" t="n">
        <v>193580000</v>
      </c>
      <c r="AS303" s="67">
        <f>MROUND(FORECAST(AQ303,AQ291:AQ302,AS291:AS302),100000)</f>
        <v/>
      </c>
    </row>
    <row r="304">
      <c r="A304" s="60" t="n">
        <v>38231</v>
      </c>
      <c r="B304" s="66" t="n"/>
      <c r="C304" s="66" t="n"/>
      <c r="D304" s="66" t="n"/>
      <c r="E304" s="66" t="n"/>
      <c r="F304" s="66" t="n"/>
      <c r="G304" s="66" t="n"/>
      <c r="H304" s="66" t="n"/>
      <c r="I304" s="66" t="n"/>
      <c r="J304" s="66" t="n"/>
      <c r="K304" s="66" t="n"/>
      <c r="L304" s="66" t="n"/>
      <c r="M304" s="66" t="n"/>
      <c r="N304" s="66" t="n"/>
      <c r="O304" s="66" t="n"/>
      <c r="P304" s="66" t="n"/>
      <c r="Q304" s="66" t="n"/>
      <c r="R304" s="66" t="n"/>
      <c r="S304" s="66" t="n"/>
      <c r="T304" s="66" t="n"/>
      <c r="U304" s="66" t="n"/>
      <c r="V304" s="66" t="n"/>
      <c r="W304" s="66" t="n"/>
      <c r="X304" s="66" t="n"/>
      <c r="Y304" s="66" t="n"/>
      <c r="Z304" s="66" t="n"/>
      <c r="AA304" s="66" t="n"/>
      <c r="AB304" s="66" t="n"/>
      <c r="AC304" s="66" t="n"/>
      <c r="AD304" s="66" t="n"/>
      <c r="AE304" s="66" t="n"/>
      <c r="AF304" s="66" t="n"/>
      <c r="AG304" s="66" t="n"/>
      <c r="AH304" s="66" t="n"/>
      <c r="AI304" s="66" t="n"/>
      <c r="AJ304" s="66" t="n"/>
      <c r="AK304" s="66" t="n"/>
      <c r="AL304" s="66" t="n"/>
      <c r="AM304" s="66" t="n"/>
      <c r="AN304" s="66" t="n"/>
      <c r="AO304" s="66" t="n"/>
      <c r="AP304" s="66" t="n"/>
      <c r="AQ304" s="66" t="n">
        <v>183080000</v>
      </c>
      <c r="AS304" s="67">
        <f>MROUND(FORECAST(AQ304,AQ292:AQ303,AS292:AS303),100000)</f>
        <v/>
      </c>
    </row>
    <row r="305">
      <c r="A305" s="60" t="n">
        <v>38261</v>
      </c>
      <c r="B305" s="66" t="n"/>
      <c r="C305" s="66" t="n"/>
      <c r="D305" s="66" t="n"/>
      <c r="E305" s="66" t="n"/>
      <c r="F305" s="66" t="n"/>
      <c r="G305" s="66" t="n"/>
      <c r="H305" s="66" t="n"/>
      <c r="I305" s="66" t="n"/>
      <c r="J305" s="66" t="n"/>
      <c r="K305" s="66" t="n"/>
      <c r="L305" s="66" t="n"/>
      <c r="M305" s="66" t="n"/>
      <c r="N305" s="66" t="n"/>
      <c r="O305" s="66" t="n"/>
      <c r="P305" s="66" t="n"/>
      <c r="Q305" s="66" t="n"/>
      <c r="R305" s="66" t="n"/>
      <c r="S305" s="66" t="n"/>
      <c r="T305" s="66" t="n"/>
      <c r="U305" s="66" t="n"/>
      <c r="V305" s="66" t="n"/>
      <c r="W305" s="66" t="n"/>
      <c r="X305" s="66" t="n"/>
      <c r="Y305" s="66" t="n"/>
      <c r="Z305" s="66" t="n"/>
      <c r="AA305" s="66" t="n"/>
      <c r="AB305" s="66" t="n"/>
      <c r="AC305" s="66" t="n"/>
      <c r="AD305" s="66" t="n"/>
      <c r="AE305" s="66" t="n"/>
      <c r="AF305" s="66" t="n"/>
      <c r="AG305" s="66" t="n"/>
      <c r="AH305" s="66" t="n"/>
      <c r="AI305" s="66" t="n"/>
      <c r="AJ305" s="66" t="n"/>
      <c r="AK305" s="66" t="n"/>
      <c r="AL305" s="66" t="n"/>
      <c r="AM305" s="66" t="n"/>
      <c r="AN305" s="66" t="n"/>
      <c r="AO305" s="66" t="n"/>
      <c r="AP305" s="66" t="n"/>
      <c r="AQ305" s="66" t="n">
        <v>191740000</v>
      </c>
      <c r="AS305" s="67">
        <f>MROUND(FORECAST(AQ305,AQ293:AQ304,AS293:AS304),100000)</f>
        <v/>
      </c>
    </row>
    <row r="306">
      <c r="A306" s="60" t="n">
        <v>38292</v>
      </c>
      <c r="B306" s="66" t="n"/>
      <c r="C306" s="66" t="n"/>
      <c r="D306" s="66" t="n"/>
      <c r="E306" s="66" t="n"/>
      <c r="F306" s="66" t="n"/>
      <c r="G306" s="66" t="n"/>
      <c r="H306" s="66" t="n"/>
      <c r="I306" s="66" t="n"/>
      <c r="J306" s="66" t="n"/>
      <c r="K306" s="66" t="n"/>
      <c r="L306" s="66" t="n"/>
      <c r="M306" s="66" t="n"/>
      <c r="N306" s="66" t="n"/>
      <c r="O306" s="66" t="n"/>
      <c r="P306" s="66" t="n"/>
      <c r="Q306" s="66" t="n"/>
      <c r="R306" s="66" t="n"/>
      <c r="S306" s="66" t="n"/>
      <c r="T306" s="66" t="n"/>
      <c r="U306" s="66" t="n"/>
      <c r="V306" s="66" t="n"/>
      <c r="W306" s="66" t="n"/>
      <c r="X306" s="66" t="n"/>
      <c r="Y306" s="66" t="n"/>
      <c r="Z306" s="66" t="n"/>
      <c r="AA306" s="66" t="n"/>
      <c r="AB306" s="66" t="n"/>
      <c r="AC306" s="66" t="n"/>
      <c r="AD306" s="66" t="n"/>
      <c r="AE306" s="66" t="n"/>
      <c r="AF306" s="66" t="n"/>
      <c r="AG306" s="66" t="n"/>
      <c r="AH306" s="66" t="n"/>
      <c r="AI306" s="66" t="n"/>
      <c r="AJ306" s="66" t="n"/>
      <c r="AK306" s="66" t="n"/>
      <c r="AL306" s="66" t="n"/>
      <c r="AM306" s="66" t="n"/>
      <c r="AN306" s="66" t="n"/>
      <c r="AO306" s="66" t="n"/>
      <c r="AP306" s="66" t="n"/>
      <c r="AQ306" s="66" t="n">
        <v>180200000</v>
      </c>
      <c r="AS306" s="67">
        <f>MROUND(FORECAST(AQ306,AQ294:AQ305,AS294:AS305),100000)</f>
        <v/>
      </c>
    </row>
    <row r="307">
      <c r="A307" s="60" t="n">
        <v>38322</v>
      </c>
      <c r="B307" s="66" t="n"/>
      <c r="C307" s="66" t="n"/>
      <c r="D307" s="66" t="n"/>
      <c r="E307" s="66" t="n"/>
      <c r="F307" s="66" t="n"/>
      <c r="G307" s="66" t="n"/>
      <c r="H307" s="66" t="n"/>
      <c r="I307" s="66" t="n"/>
      <c r="J307" s="66" t="n"/>
      <c r="K307" s="66" t="n"/>
      <c r="L307" s="66" t="n"/>
      <c r="M307" s="66" t="n"/>
      <c r="N307" s="66" t="n"/>
      <c r="O307" s="66" t="n"/>
      <c r="P307" s="66" t="n"/>
      <c r="Q307" s="66" t="n"/>
      <c r="R307" s="66" t="n"/>
      <c r="S307" s="66" t="n"/>
      <c r="T307" s="66" t="n"/>
      <c r="U307" s="66" t="n"/>
      <c r="V307" s="66" t="n"/>
      <c r="W307" s="66" t="n"/>
      <c r="X307" s="66" t="n"/>
      <c r="Y307" s="66" t="n"/>
      <c r="Z307" s="66" t="n"/>
      <c r="AA307" s="66" t="n"/>
      <c r="AB307" s="66" t="n"/>
      <c r="AC307" s="66" t="n"/>
      <c r="AD307" s="66" t="n"/>
      <c r="AE307" s="66" t="n"/>
      <c r="AF307" s="66" t="n"/>
      <c r="AG307" s="66" t="n"/>
      <c r="AH307" s="66" t="n"/>
      <c r="AI307" s="66" t="n"/>
      <c r="AJ307" s="66" t="n"/>
      <c r="AK307" s="66" t="n"/>
      <c r="AL307" s="66" t="n"/>
      <c r="AM307" s="66" t="n"/>
      <c r="AN307" s="66" t="n"/>
      <c r="AO307" s="66" t="n"/>
      <c r="AP307" s="66" t="n"/>
      <c r="AQ307" s="66" t="n">
        <v>194970000</v>
      </c>
      <c r="AS307" s="67">
        <f>MROUND(FORECAST(AQ307,AQ295:AQ306,AS295:AS306),100000)</f>
        <v/>
      </c>
    </row>
    <row r="308">
      <c r="A308" s="60" t="n">
        <v>38353</v>
      </c>
      <c r="B308" s="66" t="n"/>
      <c r="C308" s="66" t="n"/>
      <c r="D308" s="66" t="n"/>
      <c r="E308" s="66" t="n"/>
      <c r="F308" s="66" t="n"/>
      <c r="G308" s="66" t="n"/>
      <c r="H308" s="66" t="n"/>
      <c r="I308" s="66" t="n"/>
      <c r="J308" s="66" t="n"/>
      <c r="K308" s="66" t="n"/>
      <c r="L308" s="66" t="n"/>
      <c r="M308" s="66" t="n"/>
      <c r="N308" s="66" t="n"/>
      <c r="O308" s="66" t="n"/>
      <c r="P308" s="66" t="n"/>
      <c r="Q308" s="66" t="n"/>
      <c r="R308" s="66" t="n"/>
      <c r="S308" s="66" t="n"/>
      <c r="T308" s="66" t="n"/>
      <c r="U308" s="66" t="n"/>
      <c r="V308" s="66" t="n"/>
      <c r="W308" s="66" t="n"/>
      <c r="X308" s="66" t="n"/>
      <c r="Y308" s="66" t="n"/>
      <c r="Z308" s="66" t="n"/>
      <c r="AA308" s="66" t="n"/>
      <c r="AB308" s="66" t="n"/>
      <c r="AC308" s="66" t="n"/>
      <c r="AD308" s="66" t="n"/>
      <c r="AE308" s="66" t="n"/>
      <c r="AF308" s="66" t="n"/>
      <c r="AG308" s="66" t="n"/>
      <c r="AH308" s="66" t="n"/>
      <c r="AI308" s="66" t="n"/>
      <c r="AJ308" s="66" t="n"/>
      <c r="AK308" s="66" t="n"/>
      <c r="AL308" s="66" t="n"/>
      <c r="AM308" s="66" t="n"/>
      <c r="AN308" s="66" t="n"/>
      <c r="AO308" s="66" t="n"/>
      <c r="AP308" s="66" t="n"/>
      <c r="AQ308" s="66" t="n">
        <v>169930000</v>
      </c>
      <c r="AS308" s="67">
        <f>MROUND(FORECAST(AQ308,AQ296:AQ307,AS296:AS307),100000)</f>
        <v/>
      </c>
    </row>
    <row r="309">
      <c r="A309" s="60" t="n">
        <v>38384</v>
      </c>
      <c r="B309" s="66" t="n"/>
      <c r="C309" s="66" t="n"/>
      <c r="D309" s="66" t="n"/>
      <c r="E309" s="66" t="n"/>
      <c r="F309" s="66" t="n"/>
      <c r="G309" s="66" t="n"/>
      <c r="H309" s="66" t="n"/>
      <c r="I309" s="66" t="n"/>
      <c r="J309" s="66" t="n"/>
      <c r="K309" s="66" t="n"/>
      <c r="L309" s="66" t="n"/>
      <c r="M309" s="66" t="n"/>
      <c r="N309" s="66" t="n"/>
      <c r="O309" s="66" t="n"/>
      <c r="P309" s="66" t="n"/>
      <c r="Q309" s="66" t="n"/>
      <c r="R309" s="66" t="n"/>
      <c r="S309" s="66" t="n"/>
      <c r="T309" s="66" t="n"/>
      <c r="U309" s="66" t="n"/>
      <c r="V309" s="66" t="n"/>
      <c r="W309" s="66" t="n"/>
      <c r="X309" s="66" t="n"/>
      <c r="Y309" s="66" t="n"/>
      <c r="Z309" s="66" t="n"/>
      <c r="AA309" s="66" t="n"/>
      <c r="AB309" s="66" t="n"/>
      <c r="AC309" s="66" t="n"/>
      <c r="AD309" s="66" t="n"/>
      <c r="AE309" s="66" t="n"/>
      <c r="AF309" s="66" t="n"/>
      <c r="AG309" s="66" t="n"/>
      <c r="AH309" s="66" t="n"/>
      <c r="AI309" s="66" t="n"/>
      <c r="AJ309" s="66" t="n"/>
      <c r="AK309" s="66" t="n"/>
      <c r="AL309" s="66" t="n"/>
      <c r="AM309" s="66" t="n"/>
      <c r="AN309" s="66" t="n"/>
      <c r="AO309" s="66" t="n"/>
      <c r="AP309" s="66" t="n"/>
      <c r="AQ309" s="66" t="n">
        <v>169340000</v>
      </c>
      <c r="AS309" s="67">
        <f>MROUND(FORECAST(AQ309,AQ297:AQ308,AS297:AS308),100000)</f>
        <v/>
      </c>
    </row>
    <row r="310">
      <c r="A310" s="60" t="n">
        <v>38412</v>
      </c>
      <c r="B310" s="66" t="n"/>
      <c r="C310" s="66" t="n"/>
      <c r="D310" s="66" t="n"/>
      <c r="E310" s="66" t="n"/>
      <c r="F310" s="66" t="n"/>
      <c r="G310" s="66" t="n"/>
      <c r="H310" s="66" t="n"/>
      <c r="I310" s="66" t="n"/>
      <c r="J310" s="66" t="n"/>
      <c r="K310" s="66" t="n"/>
      <c r="L310" s="66" t="n"/>
      <c r="M310" s="66" t="n"/>
      <c r="N310" s="66" t="n"/>
      <c r="O310" s="66" t="n"/>
      <c r="P310" s="66" t="n"/>
      <c r="Q310" s="66" t="n"/>
      <c r="R310" s="66" t="n"/>
      <c r="S310" s="66" t="n"/>
      <c r="T310" s="66" t="n"/>
      <c r="U310" s="66" t="n"/>
      <c r="V310" s="66" t="n"/>
      <c r="W310" s="66" t="n"/>
      <c r="X310" s="66" t="n"/>
      <c r="Y310" s="66" t="n"/>
      <c r="Z310" s="66" t="n"/>
      <c r="AA310" s="66" t="n"/>
      <c r="AB310" s="66" t="n"/>
      <c r="AC310" s="66" t="n"/>
      <c r="AD310" s="66" t="n"/>
      <c r="AE310" s="66" t="n"/>
      <c r="AF310" s="66" t="n"/>
      <c r="AG310" s="66" t="n"/>
      <c r="AH310" s="66" t="n"/>
      <c r="AI310" s="66" t="n"/>
      <c r="AJ310" s="66" t="n"/>
      <c r="AK310" s="66" t="n"/>
      <c r="AL310" s="66" t="n"/>
      <c r="AM310" s="66" t="n"/>
      <c r="AN310" s="66" t="n"/>
      <c r="AO310" s="66" t="n"/>
      <c r="AP310" s="66" t="n"/>
      <c r="AQ310" s="66" t="n">
        <v>185460000</v>
      </c>
      <c r="AS310" s="67">
        <f>MROUND(FORECAST(AQ310,AQ298:AQ309,AS298:AS309),100000)</f>
        <v/>
      </c>
    </row>
    <row r="311">
      <c r="A311" s="60" t="n">
        <v>38443</v>
      </c>
      <c r="B311" s="66" t="n"/>
      <c r="C311" s="66" t="n"/>
      <c r="D311" s="66" t="n"/>
      <c r="E311" s="66" t="n"/>
      <c r="F311" s="66" t="n"/>
      <c r="G311" s="66" t="n"/>
      <c r="H311" s="66" t="n"/>
      <c r="I311" s="66" t="n"/>
      <c r="J311" s="66" t="n"/>
      <c r="K311" s="66" t="n"/>
      <c r="L311" s="66" t="n"/>
      <c r="M311" s="66" t="n"/>
      <c r="N311" s="66" t="n"/>
      <c r="O311" s="66" t="n"/>
      <c r="P311" s="66" t="n"/>
      <c r="Q311" s="66" t="n"/>
      <c r="R311" s="66" t="n"/>
      <c r="S311" s="66" t="n"/>
      <c r="T311" s="66" t="n"/>
      <c r="U311" s="66" t="n"/>
      <c r="V311" s="66" t="n"/>
      <c r="W311" s="66" t="n"/>
      <c r="X311" s="66" t="n"/>
      <c r="Y311" s="66" t="n"/>
      <c r="Z311" s="66" t="n"/>
      <c r="AA311" s="66" t="n"/>
      <c r="AB311" s="66" t="n"/>
      <c r="AC311" s="66" t="n"/>
      <c r="AD311" s="66" t="n"/>
      <c r="AE311" s="66" t="n"/>
      <c r="AF311" s="66" t="n"/>
      <c r="AG311" s="66" t="n"/>
      <c r="AH311" s="66" t="n"/>
      <c r="AI311" s="66" t="n"/>
      <c r="AJ311" s="66" t="n"/>
      <c r="AK311" s="66" t="n"/>
      <c r="AL311" s="66" t="n"/>
      <c r="AM311" s="66" t="n"/>
      <c r="AN311" s="66" t="n"/>
      <c r="AO311" s="66" t="n"/>
      <c r="AP311" s="66" t="n"/>
      <c r="AQ311" s="66" t="n">
        <v>189140000</v>
      </c>
      <c r="AS311" s="67">
        <f>MROUND(FORECAST(AQ311,AQ299:AQ310,AS299:AS310),100000)</f>
        <v/>
      </c>
    </row>
    <row r="312">
      <c r="A312" s="60" t="n">
        <v>38473</v>
      </c>
      <c r="B312" s="66" t="n"/>
      <c r="C312" s="66" t="n"/>
      <c r="D312" s="66" t="n"/>
      <c r="E312" s="66" t="n"/>
      <c r="F312" s="66" t="n"/>
      <c r="G312" s="66" t="n"/>
      <c r="H312" s="66" t="n"/>
      <c r="I312" s="66" t="n"/>
      <c r="J312" s="66" t="n"/>
      <c r="K312" s="66" t="n"/>
      <c r="L312" s="66" t="n"/>
      <c r="M312" s="66" t="n"/>
      <c r="N312" s="66" t="n"/>
      <c r="O312" s="66" t="n"/>
      <c r="P312" s="66" t="n"/>
      <c r="Q312" s="66" t="n"/>
      <c r="R312" s="66" t="n"/>
      <c r="S312" s="66" t="n"/>
      <c r="T312" s="66" t="n"/>
      <c r="U312" s="66" t="n"/>
      <c r="V312" s="66" t="n"/>
      <c r="W312" s="66" t="n"/>
      <c r="X312" s="66" t="n"/>
      <c r="Y312" s="66" t="n"/>
      <c r="Z312" s="66" t="n"/>
      <c r="AA312" s="66" t="n"/>
      <c r="AB312" s="66" t="n"/>
      <c r="AC312" s="66" t="n"/>
      <c r="AD312" s="66" t="n"/>
      <c r="AE312" s="66" t="n"/>
      <c r="AF312" s="66" t="n"/>
      <c r="AG312" s="66" t="n"/>
      <c r="AH312" s="66" t="n"/>
      <c r="AI312" s="66" t="n"/>
      <c r="AJ312" s="66" t="n"/>
      <c r="AK312" s="66" t="n"/>
      <c r="AL312" s="66" t="n"/>
      <c r="AM312" s="66" t="n"/>
      <c r="AN312" s="66" t="n"/>
      <c r="AO312" s="66" t="n"/>
      <c r="AP312" s="66" t="n"/>
      <c r="AQ312" s="66" t="n">
        <v>192610000</v>
      </c>
      <c r="AS312" s="67">
        <f>MROUND(FORECAST(AQ312,AQ300:AQ311,AS300:AS311),100000)</f>
        <v/>
      </c>
    </row>
    <row r="313">
      <c r="A313" s="60" t="n">
        <v>38504</v>
      </c>
      <c r="B313" s="66" t="n"/>
      <c r="C313" s="66" t="n"/>
      <c r="D313" s="66" t="n"/>
      <c r="E313" s="66" t="n"/>
      <c r="F313" s="66" t="n"/>
      <c r="G313" s="66" t="n"/>
      <c r="H313" s="66" t="n"/>
      <c r="I313" s="66" t="n"/>
      <c r="J313" s="66" t="n"/>
      <c r="K313" s="66" t="n"/>
      <c r="L313" s="66" t="n"/>
      <c r="M313" s="66" t="n"/>
      <c r="N313" s="66" t="n"/>
      <c r="O313" s="66" t="n"/>
      <c r="P313" s="66" t="n"/>
      <c r="Q313" s="66" t="n"/>
      <c r="R313" s="66" t="n"/>
      <c r="S313" s="66" t="n"/>
      <c r="T313" s="66" t="n"/>
      <c r="U313" s="66" t="n"/>
      <c r="V313" s="66" t="n"/>
      <c r="W313" s="66" t="n"/>
      <c r="X313" s="66" t="n"/>
      <c r="Y313" s="66" t="n"/>
      <c r="Z313" s="66" t="n"/>
      <c r="AA313" s="66" t="n"/>
      <c r="AB313" s="66" t="n"/>
      <c r="AC313" s="66" t="n"/>
      <c r="AD313" s="66" t="n"/>
      <c r="AE313" s="66" t="n"/>
      <c r="AF313" s="66" t="n"/>
      <c r="AG313" s="66" t="n"/>
      <c r="AH313" s="66" t="n"/>
      <c r="AI313" s="66" t="n"/>
      <c r="AJ313" s="66" t="n"/>
      <c r="AK313" s="66" t="n"/>
      <c r="AL313" s="66" t="n"/>
      <c r="AM313" s="66" t="n"/>
      <c r="AN313" s="66" t="n"/>
      <c r="AO313" s="66" t="n"/>
      <c r="AP313" s="66" t="n"/>
      <c r="AQ313" s="66" t="n">
        <v>191060000</v>
      </c>
      <c r="AS313" s="67">
        <f>MROUND(FORECAST(AQ313,AQ301:AQ312,AS301:AS312),100000)</f>
        <v/>
      </c>
    </row>
    <row r="314">
      <c r="A314" s="60" t="n">
        <v>38534</v>
      </c>
      <c r="B314" s="66" t="n"/>
      <c r="C314" s="66" t="n"/>
      <c r="D314" s="66" t="n"/>
      <c r="E314" s="66" t="n"/>
      <c r="F314" s="66" t="n"/>
      <c r="G314" s="66" t="n"/>
      <c r="H314" s="66" t="n"/>
      <c r="I314" s="66" t="n"/>
      <c r="J314" s="66" t="n"/>
      <c r="K314" s="66" t="n"/>
      <c r="L314" s="66" t="n"/>
      <c r="M314" s="66" t="n"/>
      <c r="N314" s="66" t="n"/>
      <c r="O314" s="66" t="n"/>
      <c r="P314" s="66" t="n"/>
      <c r="Q314" s="66" t="n"/>
      <c r="R314" s="66" t="n"/>
      <c r="S314" s="66" t="n"/>
      <c r="T314" s="66" t="n"/>
      <c r="U314" s="66" t="n"/>
      <c r="V314" s="66" t="n"/>
      <c r="W314" s="66" t="n"/>
      <c r="X314" s="66" t="n"/>
      <c r="Y314" s="66" t="n"/>
      <c r="Z314" s="66" t="n"/>
      <c r="AA314" s="66" t="n"/>
      <c r="AB314" s="66" t="n"/>
      <c r="AC314" s="66" t="n"/>
      <c r="AD314" s="66" t="n"/>
      <c r="AE314" s="66" t="n"/>
      <c r="AF314" s="66" t="n"/>
      <c r="AG314" s="66" t="n"/>
      <c r="AH314" s="66" t="n"/>
      <c r="AI314" s="66" t="n"/>
      <c r="AJ314" s="66" t="n"/>
      <c r="AK314" s="66" t="n"/>
      <c r="AL314" s="66" t="n"/>
      <c r="AM314" s="66" t="n"/>
      <c r="AN314" s="66" t="n"/>
      <c r="AO314" s="66" t="n"/>
      <c r="AP314" s="66" t="n"/>
      <c r="AQ314" s="66" t="n">
        <v>198190000</v>
      </c>
      <c r="AS314" s="67">
        <f>MROUND(FORECAST(AQ314,AQ302:AQ313,AS302:AS313),100000)</f>
        <v/>
      </c>
    </row>
    <row r="315">
      <c r="A315" s="60" t="n">
        <v>38565</v>
      </c>
      <c r="B315" s="66" t="n"/>
      <c r="C315" s="66" t="n"/>
      <c r="D315" s="66" t="n"/>
      <c r="E315" s="66" t="n"/>
      <c r="F315" s="66" t="n"/>
      <c r="G315" s="66" t="n"/>
      <c r="H315" s="66" t="n"/>
      <c r="I315" s="66" t="n"/>
      <c r="J315" s="66" t="n"/>
      <c r="K315" s="66" t="n"/>
      <c r="L315" s="66" t="n"/>
      <c r="M315" s="66" t="n"/>
      <c r="N315" s="66" t="n"/>
      <c r="O315" s="66" t="n"/>
      <c r="P315" s="66" t="n"/>
      <c r="Q315" s="66" t="n"/>
      <c r="R315" s="66" t="n"/>
      <c r="S315" s="66" t="n"/>
      <c r="T315" s="66" t="n"/>
      <c r="U315" s="66" t="n"/>
      <c r="V315" s="66" t="n"/>
      <c r="W315" s="66" t="n"/>
      <c r="X315" s="66" t="n"/>
      <c r="Y315" s="66" t="n"/>
      <c r="Z315" s="66" t="n"/>
      <c r="AA315" s="66" t="n"/>
      <c r="AB315" s="66" t="n"/>
      <c r="AC315" s="66" t="n"/>
      <c r="AD315" s="66" t="n"/>
      <c r="AE315" s="66" t="n"/>
      <c r="AF315" s="66" t="n"/>
      <c r="AG315" s="66" t="n"/>
      <c r="AH315" s="66" t="n"/>
      <c r="AI315" s="66" t="n"/>
      <c r="AJ315" s="66" t="n"/>
      <c r="AK315" s="66" t="n"/>
      <c r="AL315" s="66" t="n"/>
      <c r="AM315" s="66" t="n"/>
      <c r="AN315" s="66" t="n"/>
      <c r="AO315" s="66" t="n"/>
      <c r="AP315" s="66" t="n"/>
      <c r="AQ315" s="66" t="n">
        <v>194730000</v>
      </c>
      <c r="AS315" s="67">
        <f>MROUND(FORECAST(AQ315,AQ303:AQ314,AS303:AS314),100000)</f>
        <v/>
      </c>
    </row>
    <row r="316">
      <c r="A316" s="60" t="n">
        <v>38596</v>
      </c>
      <c r="B316" s="66" t="n"/>
      <c r="C316" s="66" t="n"/>
      <c r="D316" s="66" t="n"/>
      <c r="E316" s="66" t="n"/>
      <c r="F316" s="66" t="n"/>
      <c r="G316" s="66" t="n"/>
      <c r="H316" s="66" t="n"/>
      <c r="I316" s="66" t="n"/>
      <c r="J316" s="66" t="n"/>
      <c r="K316" s="66" t="n"/>
      <c r="L316" s="66" t="n"/>
      <c r="M316" s="66" t="n"/>
      <c r="N316" s="66" t="n"/>
      <c r="O316" s="66" t="n"/>
      <c r="P316" s="66" t="n"/>
      <c r="Q316" s="66" t="n"/>
      <c r="R316" s="66" t="n"/>
      <c r="S316" s="66" t="n"/>
      <c r="T316" s="66" t="n"/>
      <c r="U316" s="66" t="n"/>
      <c r="V316" s="66" t="n"/>
      <c r="W316" s="66" t="n"/>
      <c r="X316" s="66" t="n"/>
      <c r="Y316" s="66" t="n"/>
      <c r="Z316" s="66" t="n"/>
      <c r="AA316" s="66" t="n"/>
      <c r="AB316" s="66" t="n"/>
      <c r="AC316" s="66" t="n"/>
      <c r="AD316" s="66" t="n"/>
      <c r="AE316" s="66" t="n"/>
      <c r="AF316" s="66" t="n"/>
      <c r="AG316" s="66" t="n"/>
      <c r="AH316" s="66" t="n"/>
      <c r="AI316" s="66" t="n"/>
      <c r="AJ316" s="66" t="n"/>
      <c r="AK316" s="66" t="n"/>
      <c r="AL316" s="66" t="n"/>
      <c r="AM316" s="66" t="n"/>
      <c r="AN316" s="66" t="n"/>
      <c r="AO316" s="66" t="n"/>
      <c r="AP316" s="66" t="n"/>
      <c r="AQ316" s="66" t="n">
        <v>185180000</v>
      </c>
      <c r="AS316" s="67">
        <f>MROUND(FORECAST(AQ316,AQ304:AQ315,AS304:AS315),100000)</f>
        <v/>
      </c>
    </row>
    <row r="317">
      <c r="A317" s="60" t="n">
        <v>38626</v>
      </c>
      <c r="B317" s="66" t="n"/>
      <c r="C317" s="66" t="n"/>
      <c r="D317" s="66" t="n"/>
      <c r="E317" s="66" t="n"/>
      <c r="F317" s="66" t="n"/>
      <c r="G317" s="66" t="n"/>
      <c r="H317" s="66" t="n"/>
      <c r="I317" s="66" t="n"/>
      <c r="J317" s="66" t="n"/>
      <c r="K317" s="66" t="n"/>
      <c r="L317" s="66" t="n"/>
      <c r="M317" s="66" t="n"/>
      <c r="N317" s="66" t="n"/>
      <c r="O317" s="66" t="n"/>
      <c r="P317" s="66" t="n"/>
      <c r="Q317" s="66" t="n"/>
      <c r="R317" s="66" t="n"/>
      <c r="S317" s="66" t="n"/>
      <c r="T317" s="66" t="n"/>
      <c r="U317" s="66" t="n"/>
      <c r="V317" s="66" t="n"/>
      <c r="W317" s="66" t="n"/>
      <c r="X317" s="66" t="n"/>
      <c r="Y317" s="66" t="n"/>
      <c r="Z317" s="66" t="n"/>
      <c r="AA317" s="66" t="n"/>
      <c r="AB317" s="66" t="n"/>
      <c r="AC317" s="66" t="n"/>
      <c r="AD317" s="66" t="n"/>
      <c r="AE317" s="66" t="n"/>
      <c r="AF317" s="66" t="n"/>
      <c r="AG317" s="66" t="n"/>
      <c r="AH317" s="66" t="n"/>
      <c r="AI317" s="66" t="n"/>
      <c r="AJ317" s="66" t="n"/>
      <c r="AK317" s="66" t="n"/>
      <c r="AL317" s="66" t="n"/>
      <c r="AM317" s="66" t="n"/>
      <c r="AN317" s="66" t="n"/>
      <c r="AO317" s="66" t="n"/>
      <c r="AP317" s="66" t="n"/>
      <c r="AQ317" s="66" t="n">
        <v>190360000</v>
      </c>
      <c r="AS317" s="67">
        <f>MROUND(FORECAST(AQ317,AQ305:AQ316,AS305:AS316),100000)</f>
        <v/>
      </c>
    </row>
    <row r="318">
      <c r="A318" s="60" t="n">
        <v>38657</v>
      </c>
      <c r="B318" s="66" t="n"/>
      <c r="C318" s="66" t="n"/>
      <c r="D318" s="66" t="n"/>
      <c r="E318" s="66" t="n"/>
      <c r="F318" s="66" t="n"/>
      <c r="G318" s="66" t="n"/>
      <c r="H318" s="66" t="n"/>
      <c r="I318" s="66" t="n"/>
      <c r="J318" s="66" t="n"/>
      <c r="K318" s="66" t="n"/>
      <c r="L318" s="66" t="n"/>
      <c r="M318" s="66" t="n"/>
      <c r="N318" s="66" t="n"/>
      <c r="O318" s="66" t="n"/>
      <c r="P318" s="66" t="n"/>
      <c r="Q318" s="66" t="n"/>
      <c r="R318" s="66" t="n"/>
      <c r="S318" s="66" t="n"/>
      <c r="T318" s="66" t="n"/>
      <c r="U318" s="66" t="n"/>
      <c r="V318" s="66" t="n"/>
      <c r="W318" s="66" t="n"/>
      <c r="X318" s="66" t="n"/>
      <c r="Y318" s="66" t="n"/>
      <c r="Z318" s="66" t="n"/>
      <c r="AA318" s="66" t="n"/>
      <c r="AB318" s="66" t="n"/>
      <c r="AC318" s="66" t="n"/>
      <c r="AD318" s="66" t="n"/>
      <c r="AE318" s="66" t="n"/>
      <c r="AF318" s="66" t="n"/>
      <c r="AG318" s="66" t="n"/>
      <c r="AH318" s="66" t="n"/>
      <c r="AI318" s="66" t="n"/>
      <c r="AJ318" s="66" t="n"/>
      <c r="AK318" s="66" t="n"/>
      <c r="AL318" s="66" t="n"/>
      <c r="AM318" s="66" t="n"/>
      <c r="AN318" s="66" t="n"/>
      <c r="AO318" s="66" t="n"/>
      <c r="AP318" s="66" t="n"/>
      <c r="AQ318" s="66" t="n">
        <v>181160000</v>
      </c>
      <c r="AS318" s="67">
        <f>MROUND(FORECAST(AQ318,AQ306:AQ317,AS306:AS317),100000)</f>
        <v/>
      </c>
    </row>
    <row r="319">
      <c r="A319" s="60" t="n">
        <v>38687</v>
      </c>
      <c r="B319" s="66" t="n"/>
      <c r="C319" s="66" t="n"/>
      <c r="D319" s="66" t="n"/>
      <c r="E319" s="66" t="n"/>
      <c r="F319" s="66" t="n"/>
      <c r="G319" s="66" t="n"/>
      <c r="H319" s="66" t="n"/>
      <c r="I319" s="66" t="n"/>
      <c r="J319" s="66" t="n"/>
      <c r="K319" s="66" t="n"/>
      <c r="L319" s="66" t="n"/>
      <c r="M319" s="66" t="n"/>
      <c r="N319" s="66" t="n"/>
      <c r="O319" s="66" t="n"/>
      <c r="P319" s="66" t="n"/>
      <c r="Q319" s="66" t="n"/>
      <c r="R319" s="66" t="n"/>
      <c r="S319" s="66" t="n"/>
      <c r="T319" s="66" t="n"/>
      <c r="U319" s="66" t="n"/>
      <c r="V319" s="66" t="n"/>
      <c r="W319" s="66" t="n"/>
      <c r="X319" s="66" t="n"/>
      <c r="Y319" s="66" t="n"/>
      <c r="Z319" s="66" t="n"/>
      <c r="AA319" s="66" t="n"/>
      <c r="AB319" s="66" t="n"/>
      <c r="AC319" s="66" t="n"/>
      <c r="AD319" s="66" t="n"/>
      <c r="AE319" s="66" t="n"/>
      <c r="AF319" s="66" t="n"/>
      <c r="AG319" s="66" t="n"/>
      <c r="AH319" s="66" t="n"/>
      <c r="AI319" s="66" t="n"/>
      <c r="AJ319" s="66" t="n"/>
      <c r="AK319" s="66" t="n"/>
      <c r="AL319" s="66" t="n"/>
      <c r="AM319" s="66" t="n"/>
      <c r="AN319" s="66" t="n"/>
      <c r="AO319" s="66" t="n"/>
      <c r="AP319" s="66" t="n"/>
      <c r="AQ319" s="66" t="n">
        <v>196050000</v>
      </c>
      <c r="AS319" s="67">
        <f>MROUND(FORECAST(AQ319,AQ307:AQ318,AS307:AS318),100000)</f>
        <v/>
      </c>
    </row>
    <row r="320">
      <c r="A320" s="60" t="n">
        <v>38718</v>
      </c>
      <c r="B320" s="66" t="n"/>
      <c r="C320" s="66" t="n"/>
      <c r="D320" s="66" t="n"/>
      <c r="E320" s="66" t="n"/>
      <c r="F320" s="66" t="n"/>
      <c r="G320" s="66" t="n"/>
      <c r="H320" s="66" t="n"/>
      <c r="I320" s="66" t="n"/>
      <c r="J320" s="66" t="n"/>
      <c r="K320" s="66" t="n"/>
      <c r="L320" s="66" t="n"/>
      <c r="M320" s="66" t="n"/>
      <c r="N320" s="66" t="n"/>
      <c r="O320" s="66" t="n"/>
      <c r="P320" s="66" t="n"/>
      <c r="Q320" s="66" t="n"/>
      <c r="R320" s="66" t="n"/>
      <c r="S320" s="66" t="n"/>
      <c r="T320" s="66" t="n"/>
      <c r="U320" s="66" t="n"/>
      <c r="V320" s="66" t="n"/>
      <c r="W320" s="66" t="n"/>
      <c r="X320" s="66" t="n"/>
      <c r="Y320" s="66" t="n"/>
      <c r="Z320" s="66" t="n"/>
      <c r="AA320" s="66" t="n"/>
      <c r="AB320" s="66" t="n"/>
      <c r="AC320" s="66" t="n"/>
      <c r="AD320" s="66" t="n"/>
      <c r="AE320" s="66" t="n"/>
      <c r="AF320" s="66" t="n"/>
      <c r="AG320" s="66" t="n"/>
      <c r="AH320" s="66" t="n"/>
      <c r="AI320" s="66" t="n"/>
      <c r="AJ320" s="66" t="n"/>
      <c r="AK320" s="66" t="n"/>
      <c r="AL320" s="66" t="n"/>
      <c r="AM320" s="66" t="n"/>
      <c r="AN320" s="66" t="n"/>
      <c r="AO320" s="66" t="n"/>
      <c r="AP320" s="66" t="n"/>
      <c r="AQ320" s="66" t="n">
        <v>173290000</v>
      </c>
      <c r="AS320" s="67">
        <f>MROUND(FORECAST(AQ320,AQ308:AQ319,AS308:AS319),100000)</f>
        <v/>
      </c>
    </row>
    <row r="321">
      <c r="A321" s="60" t="n">
        <v>38749</v>
      </c>
      <c r="B321" s="66" t="n"/>
      <c r="C321" s="66" t="n"/>
      <c r="D321" s="66" t="n"/>
      <c r="E321" s="66" t="n"/>
      <c r="F321" s="66" t="n"/>
      <c r="G321" s="66" t="n"/>
      <c r="H321" s="66" t="n"/>
      <c r="I321" s="66" t="n"/>
      <c r="J321" s="66" t="n"/>
      <c r="K321" s="66" t="n"/>
      <c r="L321" s="66" t="n"/>
      <c r="M321" s="66" t="n"/>
      <c r="N321" s="66" t="n"/>
      <c r="O321" s="66" t="n"/>
      <c r="P321" s="66" t="n"/>
      <c r="Q321" s="66" t="n"/>
      <c r="R321" s="66" t="n"/>
      <c r="S321" s="66" t="n"/>
      <c r="T321" s="66" t="n"/>
      <c r="U321" s="66" t="n"/>
      <c r="V321" s="66" t="n"/>
      <c r="W321" s="66" t="n"/>
      <c r="X321" s="66" t="n"/>
      <c r="Y321" s="66" t="n"/>
      <c r="Z321" s="66" t="n"/>
      <c r="AA321" s="66" t="n"/>
      <c r="AB321" s="66" t="n"/>
      <c r="AC321" s="66" t="n"/>
      <c r="AD321" s="66" t="n"/>
      <c r="AE321" s="66" t="n"/>
      <c r="AF321" s="66" t="n"/>
      <c r="AG321" s="66" t="n"/>
      <c r="AH321" s="66" t="n"/>
      <c r="AI321" s="66" t="n"/>
      <c r="AJ321" s="66" t="n"/>
      <c r="AK321" s="66" t="n"/>
      <c r="AL321" s="66" t="n"/>
      <c r="AM321" s="66" t="n"/>
      <c r="AN321" s="66" t="n"/>
      <c r="AO321" s="66" t="n"/>
      <c r="AP321" s="66" t="n"/>
      <c r="AQ321" s="66" t="n">
        <v>168950000</v>
      </c>
      <c r="AS321" s="67">
        <f>MROUND(FORECAST(AQ321,AQ309:AQ320,AS309:AS320),100000)</f>
        <v/>
      </c>
    </row>
    <row r="322">
      <c r="A322" s="60" t="n">
        <v>38777</v>
      </c>
      <c r="B322" s="66" t="n"/>
      <c r="C322" s="66" t="n"/>
      <c r="D322" s="66" t="n"/>
      <c r="E322" s="66" t="n"/>
      <c r="F322" s="66" t="n"/>
      <c r="G322" s="66" t="n"/>
      <c r="H322" s="66" t="n"/>
      <c r="I322" s="66" t="n"/>
      <c r="J322" s="66" t="n"/>
      <c r="K322" s="66" t="n"/>
      <c r="L322" s="66" t="n"/>
      <c r="M322" s="66" t="n"/>
      <c r="N322" s="66" t="n"/>
      <c r="O322" s="66" t="n"/>
      <c r="P322" s="66" t="n"/>
      <c r="Q322" s="66" t="n"/>
      <c r="R322" s="66" t="n"/>
      <c r="S322" s="66" t="n"/>
      <c r="T322" s="66" t="n"/>
      <c r="U322" s="66" t="n"/>
      <c r="V322" s="66" t="n"/>
      <c r="W322" s="66" t="n"/>
      <c r="X322" s="66" t="n"/>
      <c r="Y322" s="66" t="n"/>
      <c r="Z322" s="66" t="n"/>
      <c r="AA322" s="66" t="n"/>
      <c r="AB322" s="66" t="n"/>
      <c r="AC322" s="66" t="n"/>
      <c r="AD322" s="66" t="n"/>
      <c r="AE322" s="66" t="n"/>
      <c r="AF322" s="66" t="n"/>
      <c r="AG322" s="66" t="n"/>
      <c r="AH322" s="66" t="n"/>
      <c r="AI322" s="66" t="n"/>
      <c r="AJ322" s="66" t="n"/>
      <c r="AK322" s="66" t="n"/>
      <c r="AL322" s="66" t="n"/>
      <c r="AM322" s="66" t="n"/>
      <c r="AN322" s="66" t="n"/>
      <c r="AO322" s="66" t="n"/>
      <c r="AP322" s="66" t="n"/>
      <c r="AQ322" s="66" t="n">
        <v>189460000</v>
      </c>
      <c r="AS322" s="67">
        <f>MROUND(FORECAST(AQ322,AQ310:AQ321,AS310:AS321),100000)</f>
        <v/>
      </c>
    </row>
    <row r="323">
      <c r="A323" s="60" t="n">
        <v>38808</v>
      </c>
      <c r="B323" s="66" t="n"/>
      <c r="C323" s="66" t="n"/>
      <c r="D323" s="66" t="n"/>
      <c r="E323" s="66" t="n"/>
      <c r="F323" s="66" t="n"/>
      <c r="G323" s="66" t="n"/>
      <c r="H323" s="66" t="n"/>
      <c r="I323" s="66" t="n"/>
      <c r="J323" s="66" t="n"/>
      <c r="K323" s="66" t="n"/>
      <c r="L323" s="66" t="n"/>
      <c r="M323" s="66" t="n"/>
      <c r="N323" s="66" t="n"/>
      <c r="O323" s="66" t="n"/>
      <c r="P323" s="66" t="n"/>
      <c r="Q323" s="66" t="n"/>
      <c r="R323" s="66" t="n"/>
      <c r="S323" s="66" t="n"/>
      <c r="T323" s="66" t="n"/>
      <c r="U323" s="66" t="n"/>
      <c r="V323" s="66" t="n"/>
      <c r="W323" s="66" t="n"/>
      <c r="X323" s="66" t="n"/>
      <c r="Y323" s="66" t="n"/>
      <c r="Z323" s="66" t="n"/>
      <c r="AA323" s="66" t="n"/>
      <c r="AB323" s="66" t="n"/>
      <c r="AC323" s="66" t="n"/>
      <c r="AD323" s="66" t="n"/>
      <c r="AE323" s="66" t="n"/>
      <c r="AF323" s="66" t="n"/>
      <c r="AG323" s="66" t="n"/>
      <c r="AH323" s="66" t="n"/>
      <c r="AI323" s="66" t="n"/>
      <c r="AJ323" s="66" t="n"/>
      <c r="AK323" s="66" t="n"/>
      <c r="AL323" s="66" t="n"/>
      <c r="AM323" s="66" t="n"/>
      <c r="AN323" s="66" t="n"/>
      <c r="AO323" s="66" t="n"/>
      <c r="AP323" s="66" t="n"/>
      <c r="AQ323" s="66" t="n">
        <v>186360000</v>
      </c>
      <c r="AS323" s="67">
        <f>MROUND(FORECAST(AQ323,AQ311:AQ322,AS311:AS322),100000)</f>
        <v/>
      </c>
    </row>
    <row r="324">
      <c r="A324" s="60" t="n">
        <v>38838</v>
      </c>
      <c r="B324" s="66" t="n"/>
      <c r="C324" s="66" t="n"/>
      <c r="D324" s="66" t="n"/>
      <c r="E324" s="66" t="n"/>
      <c r="F324" s="66" t="n"/>
      <c r="G324" s="66" t="n"/>
      <c r="H324" s="66" t="n"/>
      <c r="I324" s="66" t="n"/>
      <c r="J324" s="66" t="n"/>
      <c r="K324" s="66" t="n"/>
      <c r="L324" s="66" t="n"/>
      <c r="M324" s="66" t="n"/>
      <c r="N324" s="66" t="n"/>
      <c r="O324" s="66" t="n"/>
      <c r="P324" s="66" t="n"/>
      <c r="Q324" s="66" t="n"/>
      <c r="R324" s="66" t="n"/>
      <c r="S324" s="66" t="n"/>
      <c r="T324" s="66" t="n"/>
      <c r="U324" s="66" t="n"/>
      <c r="V324" s="66" t="n"/>
      <c r="W324" s="66" t="n"/>
      <c r="X324" s="66" t="n"/>
      <c r="Y324" s="66" t="n"/>
      <c r="Z324" s="66" t="n"/>
      <c r="AA324" s="66" t="n"/>
      <c r="AB324" s="66" t="n"/>
      <c r="AC324" s="66" t="n"/>
      <c r="AD324" s="66" t="n"/>
      <c r="AE324" s="66" t="n"/>
      <c r="AF324" s="66" t="n"/>
      <c r="AG324" s="66" t="n"/>
      <c r="AH324" s="66" t="n"/>
      <c r="AI324" s="66" t="n"/>
      <c r="AJ324" s="66" t="n"/>
      <c r="AK324" s="66" t="n"/>
      <c r="AL324" s="66" t="n"/>
      <c r="AM324" s="66" t="n"/>
      <c r="AN324" s="66" t="n"/>
      <c r="AO324" s="66" t="n"/>
      <c r="AP324" s="66" t="n"/>
      <c r="AQ324" s="66" t="n">
        <v>192150000</v>
      </c>
      <c r="AS324" s="67">
        <f>MROUND(FORECAST(AQ324,AQ312:AQ323,AS312:AS323),100000)</f>
        <v/>
      </c>
    </row>
    <row r="325">
      <c r="A325" s="60" t="n">
        <v>38869</v>
      </c>
      <c r="B325" s="66" t="n"/>
      <c r="C325" s="66" t="n"/>
      <c r="D325" s="66" t="n"/>
      <c r="E325" s="66" t="n"/>
      <c r="F325" s="66" t="n"/>
      <c r="G325" s="66" t="n"/>
      <c r="H325" s="66" t="n"/>
      <c r="I325" s="66" t="n"/>
      <c r="J325" s="66" t="n"/>
      <c r="K325" s="66" t="n"/>
      <c r="L325" s="66" t="n"/>
      <c r="M325" s="66" t="n"/>
      <c r="N325" s="66" t="n"/>
      <c r="O325" s="66" t="n"/>
      <c r="P325" s="66" t="n"/>
      <c r="Q325" s="66" t="n"/>
      <c r="R325" s="66" t="n"/>
      <c r="S325" s="66" t="n"/>
      <c r="T325" s="66" t="n"/>
      <c r="U325" s="66" t="n"/>
      <c r="V325" s="66" t="n"/>
      <c r="W325" s="66" t="n"/>
      <c r="X325" s="66" t="n"/>
      <c r="Y325" s="66" t="n"/>
      <c r="Z325" s="66" t="n"/>
      <c r="AA325" s="66" t="n"/>
      <c r="AB325" s="66" t="n"/>
      <c r="AC325" s="66" t="n"/>
      <c r="AD325" s="66" t="n"/>
      <c r="AE325" s="66" t="n"/>
      <c r="AF325" s="66" t="n"/>
      <c r="AG325" s="66" t="n"/>
      <c r="AH325" s="66" t="n"/>
      <c r="AI325" s="66" t="n"/>
      <c r="AJ325" s="66" t="n"/>
      <c r="AK325" s="66" t="n"/>
      <c r="AL325" s="66" t="n"/>
      <c r="AM325" s="66" t="n"/>
      <c r="AN325" s="66" t="n"/>
      <c r="AO325" s="66" t="n"/>
      <c r="AP325" s="66" t="n"/>
      <c r="AQ325" s="66" t="n">
        <v>191150000</v>
      </c>
      <c r="AS325" s="67">
        <f>MROUND(FORECAST(AQ325,AQ313:AQ324,AS313:AS324),100000)</f>
        <v/>
      </c>
    </row>
    <row r="326">
      <c r="A326" s="60" t="n">
        <v>38899</v>
      </c>
      <c r="B326" s="66" t="n"/>
      <c r="C326" s="66" t="n"/>
      <c r="D326" s="66" t="n"/>
      <c r="E326" s="66" t="n"/>
      <c r="F326" s="66" t="n"/>
      <c r="G326" s="66" t="n"/>
      <c r="H326" s="66" t="n"/>
      <c r="I326" s="66" t="n"/>
      <c r="J326" s="66" t="n"/>
      <c r="K326" s="66" t="n"/>
      <c r="L326" s="66" t="n"/>
      <c r="M326" s="66" t="n"/>
      <c r="N326" s="66" t="n"/>
      <c r="O326" s="66" t="n"/>
      <c r="P326" s="66" t="n"/>
      <c r="Q326" s="66" t="n"/>
      <c r="R326" s="66" t="n"/>
      <c r="S326" s="66" t="n"/>
      <c r="T326" s="66" t="n"/>
      <c r="U326" s="66" t="n"/>
      <c r="V326" s="66" t="n"/>
      <c r="W326" s="66" t="n"/>
      <c r="X326" s="66" t="n"/>
      <c r="Y326" s="66" t="n"/>
      <c r="Z326" s="66" t="n"/>
      <c r="AA326" s="66" t="n"/>
      <c r="AB326" s="66" t="n"/>
      <c r="AC326" s="66" t="n"/>
      <c r="AD326" s="66" t="n"/>
      <c r="AE326" s="66" t="n"/>
      <c r="AF326" s="66" t="n"/>
      <c r="AG326" s="66" t="n"/>
      <c r="AH326" s="66" t="n"/>
      <c r="AI326" s="66" t="n"/>
      <c r="AJ326" s="66" t="n"/>
      <c r="AK326" s="66" t="n"/>
      <c r="AL326" s="66" t="n"/>
      <c r="AM326" s="66" t="n"/>
      <c r="AN326" s="66" t="n"/>
      <c r="AO326" s="66" t="n"/>
      <c r="AP326" s="66" t="n"/>
      <c r="AQ326" s="66" t="n">
        <v>193780000</v>
      </c>
      <c r="AS326" s="67">
        <f>MROUND(FORECAST(AQ326,AQ314:AQ325,AS314:AS325),100000)</f>
        <v/>
      </c>
    </row>
    <row r="327">
      <c r="A327" s="60" t="n">
        <v>38930</v>
      </c>
      <c r="B327" s="66" t="n"/>
      <c r="C327" s="66" t="n"/>
      <c r="D327" s="66" t="n"/>
      <c r="E327" s="66" t="n"/>
      <c r="F327" s="66" t="n"/>
      <c r="G327" s="66" t="n"/>
      <c r="H327" s="66" t="n"/>
      <c r="I327" s="66" t="n"/>
      <c r="J327" s="66" t="n"/>
      <c r="K327" s="66" t="n"/>
      <c r="L327" s="66" t="n"/>
      <c r="M327" s="66" t="n"/>
      <c r="N327" s="66" t="n"/>
      <c r="O327" s="66" t="n"/>
      <c r="P327" s="66" t="n"/>
      <c r="Q327" s="66" t="n"/>
      <c r="R327" s="66" t="n"/>
      <c r="S327" s="66" t="n"/>
      <c r="T327" s="66" t="n"/>
      <c r="U327" s="66" t="n"/>
      <c r="V327" s="66" t="n"/>
      <c r="W327" s="66" t="n"/>
      <c r="X327" s="66" t="n"/>
      <c r="Y327" s="66" t="n"/>
      <c r="Z327" s="66" t="n"/>
      <c r="AA327" s="66" t="n"/>
      <c r="AB327" s="66" t="n"/>
      <c r="AC327" s="66" t="n"/>
      <c r="AD327" s="66" t="n"/>
      <c r="AE327" s="66" t="n"/>
      <c r="AF327" s="66" t="n"/>
      <c r="AG327" s="66" t="n"/>
      <c r="AH327" s="66" t="n"/>
      <c r="AI327" s="66" t="n"/>
      <c r="AJ327" s="66" t="n"/>
      <c r="AK327" s="66" t="n"/>
      <c r="AL327" s="66" t="n"/>
      <c r="AM327" s="66" t="n"/>
      <c r="AN327" s="66" t="n"/>
      <c r="AO327" s="66" t="n"/>
      <c r="AP327" s="66" t="n"/>
      <c r="AQ327" s="66" t="n">
        <v>195000000</v>
      </c>
      <c r="AS327" s="67">
        <f>MROUND(FORECAST(AQ327,AQ315:AQ326,AS315:AS326),100000)</f>
        <v/>
      </c>
    </row>
    <row r="328">
      <c r="A328" s="60" t="n">
        <v>38961</v>
      </c>
      <c r="B328" s="66" t="n"/>
      <c r="C328" s="66" t="n"/>
      <c r="D328" s="66" t="n"/>
      <c r="E328" s="66" t="n"/>
      <c r="F328" s="66" t="n"/>
      <c r="G328" s="66" t="n"/>
      <c r="H328" s="66" t="n"/>
      <c r="I328" s="66" t="n"/>
      <c r="J328" s="66" t="n"/>
      <c r="K328" s="66" t="n"/>
      <c r="L328" s="66" t="n"/>
      <c r="M328" s="66" t="n"/>
      <c r="N328" s="66" t="n"/>
      <c r="O328" s="66" t="n"/>
      <c r="P328" s="66" t="n"/>
      <c r="Q328" s="66" t="n"/>
      <c r="R328" s="66" t="n"/>
      <c r="S328" s="66" t="n"/>
      <c r="T328" s="66" t="n"/>
      <c r="U328" s="66" t="n"/>
      <c r="V328" s="66" t="n"/>
      <c r="W328" s="66" t="n"/>
      <c r="X328" s="66" t="n"/>
      <c r="Y328" s="66" t="n"/>
      <c r="Z328" s="66" t="n"/>
      <c r="AA328" s="66" t="n"/>
      <c r="AB328" s="66" t="n"/>
      <c r="AC328" s="66" t="n"/>
      <c r="AD328" s="66" t="n"/>
      <c r="AE328" s="66" t="n"/>
      <c r="AF328" s="66" t="n"/>
      <c r="AG328" s="66" t="n"/>
      <c r="AH328" s="66" t="n"/>
      <c r="AI328" s="66" t="n"/>
      <c r="AJ328" s="66" t="n"/>
      <c r="AK328" s="66" t="n"/>
      <c r="AL328" s="66" t="n"/>
      <c r="AM328" s="66" t="n"/>
      <c r="AN328" s="66" t="n"/>
      <c r="AO328" s="66" t="n"/>
      <c r="AP328" s="66" t="n"/>
      <c r="AQ328" s="66" t="n">
        <v>186820000</v>
      </c>
      <c r="AS328" s="67">
        <f>MROUND(FORECAST(AQ328,AQ316:AQ327,AS316:AS327),100000)</f>
        <v/>
      </c>
    </row>
    <row r="329">
      <c r="A329" s="60" t="n">
        <v>38991</v>
      </c>
      <c r="B329" s="66" t="n"/>
      <c r="C329" s="66" t="n"/>
      <c r="D329" s="66" t="n"/>
      <c r="E329" s="66" t="n"/>
      <c r="F329" s="66" t="n"/>
      <c r="G329" s="66" t="n"/>
      <c r="H329" s="66" t="n"/>
      <c r="I329" s="66" t="n"/>
      <c r="J329" s="66" t="n"/>
      <c r="K329" s="66" t="n"/>
      <c r="L329" s="66" t="n"/>
      <c r="M329" s="66" t="n"/>
      <c r="N329" s="66" t="n"/>
      <c r="O329" s="66" t="n"/>
      <c r="P329" s="66" t="n"/>
      <c r="Q329" s="66" t="n"/>
      <c r="R329" s="66" t="n"/>
      <c r="S329" s="66" t="n"/>
      <c r="T329" s="66" t="n"/>
      <c r="U329" s="66" t="n"/>
      <c r="V329" s="66" t="n"/>
      <c r="W329" s="66" t="n"/>
      <c r="X329" s="66" t="n"/>
      <c r="Y329" s="66" t="n"/>
      <c r="Z329" s="66" t="n"/>
      <c r="AA329" s="66" t="n"/>
      <c r="AB329" s="66" t="n"/>
      <c r="AC329" s="66" t="n"/>
      <c r="AD329" s="66" t="n"/>
      <c r="AE329" s="66" t="n"/>
      <c r="AF329" s="66" t="n"/>
      <c r="AG329" s="66" t="n"/>
      <c r="AH329" s="66" t="n"/>
      <c r="AI329" s="66" t="n"/>
      <c r="AJ329" s="66" t="n"/>
      <c r="AK329" s="66" t="n"/>
      <c r="AL329" s="66" t="n"/>
      <c r="AM329" s="66" t="n"/>
      <c r="AN329" s="66" t="n"/>
      <c r="AO329" s="66" t="n"/>
      <c r="AP329" s="66" t="n"/>
      <c r="AQ329" s="66" t="n">
        <v>188200000</v>
      </c>
      <c r="AS329" s="67">
        <f>MROUND(FORECAST(AQ329,AQ317:AQ328,AS317:AS328),100000)</f>
        <v/>
      </c>
    </row>
    <row r="330">
      <c r="A330" s="60" t="n">
        <v>39022</v>
      </c>
      <c r="B330" s="66" t="n"/>
      <c r="C330" s="66" t="n"/>
      <c r="D330" s="66" t="n"/>
      <c r="E330" s="66" t="n"/>
      <c r="F330" s="66" t="n"/>
      <c r="G330" s="66" t="n"/>
      <c r="H330" s="66" t="n"/>
      <c r="I330" s="66" t="n"/>
      <c r="J330" s="66" t="n"/>
      <c r="K330" s="66" t="n"/>
      <c r="L330" s="66" t="n"/>
      <c r="M330" s="66" t="n"/>
      <c r="N330" s="66" t="n"/>
      <c r="O330" s="66" t="n"/>
      <c r="P330" s="66" t="n"/>
      <c r="Q330" s="66" t="n"/>
      <c r="R330" s="66" t="n"/>
      <c r="S330" s="66" t="n"/>
      <c r="T330" s="66" t="n"/>
      <c r="U330" s="66" t="n"/>
      <c r="V330" s="66" t="n"/>
      <c r="W330" s="66" t="n"/>
      <c r="X330" s="66" t="n"/>
      <c r="Y330" s="66" t="n"/>
      <c r="Z330" s="66" t="n"/>
      <c r="AA330" s="66" t="n"/>
      <c r="AB330" s="66" t="n"/>
      <c r="AC330" s="66" t="n"/>
      <c r="AD330" s="66" t="n"/>
      <c r="AE330" s="66" t="n"/>
      <c r="AF330" s="66" t="n"/>
      <c r="AG330" s="66" t="n"/>
      <c r="AH330" s="66" t="n"/>
      <c r="AI330" s="66" t="n"/>
      <c r="AJ330" s="66" t="n"/>
      <c r="AK330" s="66" t="n"/>
      <c r="AL330" s="66" t="n"/>
      <c r="AM330" s="66" t="n"/>
      <c r="AN330" s="66" t="n"/>
      <c r="AO330" s="66" t="n"/>
      <c r="AP330" s="66" t="n"/>
      <c r="AQ330" s="66" t="n">
        <v>179310000</v>
      </c>
      <c r="AS330" s="67">
        <f>MROUND(FORECAST(AQ330,AQ318:AQ329,AS318:AS329),100000)</f>
        <v/>
      </c>
    </row>
    <row r="331">
      <c r="A331" s="60" t="n">
        <v>39052</v>
      </c>
      <c r="B331" s="66" t="n"/>
      <c r="C331" s="66" t="n"/>
      <c r="D331" s="66" t="n"/>
      <c r="E331" s="66" t="n"/>
      <c r="F331" s="66" t="n"/>
      <c r="G331" s="66" t="n"/>
      <c r="H331" s="66" t="n"/>
      <c r="I331" s="66" t="n"/>
      <c r="J331" s="66" t="n"/>
      <c r="K331" s="66" t="n"/>
      <c r="L331" s="66" t="n"/>
      <c r="M331" s="66" t="n"/>
      <c r="N331" s="66" t="n"/>
      <c r="O331" s="66" t="n"/>
      <c r="P331" s="66" t="n"/>
      <c r="Q331" s="66" t="n"/>
      <c r="R331" s="66" t="n"/>
      <c r="S331" s="66" t="n"/>
      <c r="T331" s="66" t="n"/>
      <c r="U331" s="66" t="n"/>
      <c r="V331" s="66" t="n"/>
      <c r="W331" s="66" t="n"/>
      <c r="X331" s="66" t="n"/>
      <c r="Y331" s="66" t="n"/>
      <c r="Z331" s="66" t="n"/>
      <c r="AA331" s="66" t="n"/>
      <c r="AB331" s="66" t="n"/>
      <c r="AC331" s="66" t="n"/>
      <c r="AD331" s="66" t="n"/>
      <c r="AE331" s="66" t="n"/>
      <c r="AF331" s="66" t="n"/>
      <c r="AG331" s="66" t="n"/>
      <c r="AH331" s="66" t="n"/>
      <c r="AI331" s="66" t="n"/>
      <c r="AJ331" s="66" t="n"/>
      <c r="AK331" s="66" t="n"/>
      <c r="AL331" s="66" t="n"/>
      <c r="AM331" s="66" t="n"/>
      <c r="AN331" s="66" t="n"/>
      <c r="AO331" s="66" t="n"/>
      <c r="AP331" s="66" t="n"/>
      <c r="AQ331" s="66" t="n">
        <v>198720000</v>
      </c>
      <c r="AS331" s="67">
        <f>MROUND(FORECAST(AQ331,AQ319:AQ330,AS319:AS330),100000)</f>
        <v/>
      </c>
    </row>
    <row r="332">
      <c r="A332" s="60" t="n">
        <v>39083</v>
      </c>
      <c r="B332" s="66" t="n"/>
      <c r="C332" s="66" t="n"/>
      <c r="D332" s="66" t="n"/>
      <c r="E332" s="66" t="n"/>
      <c r="F332" s="66" t="n"/>
      <c r="G332" s="66" t="n"/>
      <c r="H332" s="66" t="n"/>
      <c r="I332" s="66" t="n"/>
      <c r="J332" s="66" t="n"/>
      <c r="K332" s="66" t="n"/>
      <c r="L332" s="66" t="n"/>
      <c r="M332" s="66" t="n"/>
      <c r="N332" s="66" t="n"/>
      <c r="O332" s="66" t="n"/>
      <c r="P332" s="66" t="n"/>
      <c r="Q332" s="66" t="n"/>
      <c r="R332" s="66" t="n"/>
      <c r="S332" s="66" t="n"/>
      <c r="T332" s="66" t="n"/>
      <c r="U332" s="66" t="n"/>
      <c r="V332" s="66" t="n"/>
      <c r="W332" s="66" t="n"/>
      <c r="X332" s="66" t="n"/>
      <c r="Y332" s="66" t="n"/>
      <c r="Z332" s="66" t="n"/>
      <c r="AA332" s="66" t="n"/>
      <c r="AB332" s="66" t="n"/>
      <c r="AC332" s="66" t="n"/>
      <c r="AD332" s="66" t="n"/>
      <c r="AE332" s="66" t="n"/>
      <c r="AF332" s="66" t="n"/>
      <c r="AG332" s="66" t="n"/>
      <c r="AH332" s="66" t="n"/>
      <c r="AI332" s="66" t="n"/>
      <c r="AJ332" s="66" t="n"/>
      <c r="AK332" s="66" t="n"/>
      <c r="AL332" s="66" t="n"/>
      <c r="AM332" s="66" t="n"/>
      <c r="AN332" s="66" t="n"/>
      <c r="AO332" s="66" t="n"/>
      <c r="AP332" s="66" t="n"/>
      <c r="AQ332" s="66" t="n">
        <v>171240000</v>
      </c>
      <c r="AS332" s="67">
        <f>MROUND(FORECAST(AQ332,AQ320:AQ331,AS320:AS331),100000)</f>
        <v/>
      </c>
    </row>
    <row r="333">
      <c r="A333" s="60" t="n">
        <v>39114</v>
      </c>
      <c r="B333" s="66" t="n"/>
      <c r="C333" s="66" t="n"/>
      <c r="D333" s="66" t="n"/>
      <c r="E333" s="66" t="n"/>
      <c r="F333" s="66" t="n"/>
      <c r="G333" s="66" t="n"/>
      <c r="H333" s="66" t="n"/>
      <c r="I333" s="66" t="n"/>
      <c r="J333" s="66" t="n"/>
      <c r="K333" s="66" t="n"/>
      <c r="L333" s="66" t="n"/>
      <c r="M333" s="66" t="n"/>
      <c r="N333" s="66" t="n"/>
      <c r="O333" s="66" t="n"/>
      <c r="P333" s="66" t="n"/>
      <c r="Q333" s="66" t="n"/>
      <c r="R333" s="66" t="n"/>
      <c r="S333" s="66" t="n"/>
      <c r="T333" s="66" t="n"/>
      <c r="U333" s="66" t="n"/>
      <c r="V333" s="66" t="n"/>
      <c r="W333" s="66" t="n"/>
      <c r="X333" s="66" t="n"/>
      <c r="Y333" s="66" t="n"/>
      <c r="Z333" s="66" t="n"/>
      <c r="AA333" s="66" t="n"/>
      <c r="AB333" s="66" t="n"/>
      <c r="AC333" s="66" t="n"/>
      <c r="AD333" s="66" t="n"/>
      <c r="AE333" s="66" t="n"/>
      <c r="AF333" s="66" t="n"/>
      <c r="AG333" s="66" t="n"/>
      <c r="AH333" s="66" t="n"/>
      <c r="AI333" s="66" t="n"/>
      <c r="AJ333" s="66" t="n"/>
      <c r="AK333" s="66" t="n"/>
      <c r="AL333" s="66" t="n"/>
      <c r="AM333" s="66" t="n"/>
      <c r="AN333" s="66" t="n"/>
      <c r="AO333" s="66" t="n"/>
      <c r="AP333" s="66" t="n"/>
      <c r="AQ333" s="66" t="n">
        <v>168400000</v>
      </c>
      <c r="AS333" s="67">
        <f>MROUND(FORECAST(AQ333,AQ321:AQ332,AS321:AS332),100000)</f>
        <v/>
      </c>
    </row>
    <row r="334">
      <c r="A334" s="60" t="n">
        <v>39142</v>
      </c>
      <c r="B334" s="66" t="n"/>
      <c r="C334" s="66" t="n"/>
      <c r="D334" s="66" t="n"/>
      <c r="E334" s="66" t="n"/>
      <c r="F334" s="66" t="n"/>
      <c r="G334" s="66" t="n"/>
      <c r="H334" s="66" t="n"/>
      <c r="I334" s="66" t="n"/>
      <c r="J334" s="66" t="n"/>
      <c r="K334" s="66" t="n"/>
      <c r="L334" s="66" t="n"/>
      <c r="M334" s="66" t="n"/>
      <c r="N334" s="66" t="n"/>
      <c r="O334" s="66" t="n"/>
      <c r="P334" s="66" t="n"/>
      <c r="Q334" s="66" t="n"/>
      <c r="R334" s="66" t="n"/>
      <c r="S334" s="66" t="n"/>
      <c r="T334" s="66" t="n"/>
      <c r="U334" s="66" t="n"/>
      <c r="V334" s="66" t="n"/>
      <c r="W334" s="66" t="n"/>
      <c r="X334" s="66" t="n"/>
      <c r="Y334" s="66" t="n"/>
      <c r="Z334" s="66" t="n"/>
      <c r="AA334" s="66" t="n"/>
      <c r="AB334" s="66" t="n"/>
      <c r="AC334" s="66" t="n"/>
      <c r="AD334" s="66" t="n"/>
      <c r="AE334" s="66" t="n"/>
      <c r="AF334" s="66" t="n"/>
      <c r="AG334" s="66" t="n"/>
      <c r="AH334" s="66" t="n"/>
      <c r="AI334" s="66" t="n"/>
      <c r="AJ334" s="66" t="n"/>
      <c r="AK334" s="66" t="n"/>
      <c r="AL334" s="66" t="n"/>
      <c r="AM334" s="66" t="n"/>
      <c r="AN334" s="66" t="n"/>
      <c r="AO334" s="66" t="n"/>
      <c r="AP334" s="66" t="n"/>
      <c r="AQ334" s="66" t="n">
        <v>192120000</v>
      </c>
      <c r="AS334" s="67">
        <f>MROUND(FORECAST(AQ334,AQ322:AQ333,AS322:AS333),100000)</f>
        <v/>
      </c>
    </row>
    <row r="335">
      <c r="A335" s="60" t="n">
        <v>39173</v>
      </c>
      <c r="B335" s="66" t="n"/>
      <c r="C335" s="66" t="n"/>
      <c r="D335" s="66" t="n"/>
      <c r="E335" s="66" t="n"/>
      <c r="F335" s="66" t="n"/>
      <c r="G335" s="66" t="n"/>
      <c r="H335" s="66" t="n"/>
      <c r="I335" s="66" t="n"/>
      <c r="J335" s="66" t="n"/>
      <c r="K335" s="66" t="n"/>
      <c r="L335" s="66" t="n"/>
      <c r="M335" s="66" t="n"/>
      <c r="N335" s="66" t="n"/>
      <c r="O335" s="66" t="n"/>
      <c r="P335" s="66" t="n"/>
      <c r="Q335" s="66" t="n"/>
      <c r="R335" s="66" t="n"/>
      <c r="S335" s="66" t="n"/>
      <c r="T335" s="66" t="n"/>
      <c r="U335" s="66" t="n"/>
      <c r="V335" s="66" t="n"/>
      <c r="W335" s="66" t="n"/>
      <c r="X335" s="66" t="n"/>
      <c r="Y335" s="66" t="n"/>
      <c r="Z335" s="66" t="n"/>
      <c r="AA335" s="66" t="n"/>
      <c r="AB335" s="66" t="n"/>
      <c r="AC335" s="66" t="n"/>
      <c r="AD335" s="66" t="n"/>
      <c r="AE335" s="66" t="n"/>
      <c r="AF335" s="66" t="n"/>
      <c r="AG335" s="66" t="n"/>
      <c r="AH335" s="66" t="n"/>
      <c r="AI335" s="66" t="n"/>
      <c r="AJ335" s="66" t="n"/>
      <c r="AK335" s="66" t="n"/>
      <c r="AL335" s="66" t="n"/>
      <c r="AM335" s="66" t="n"/>
      <c r="AN335" s="66" t="n"/>
      <c r="AO335" s="66" t="n"/>
      <c r="AP335" s="66" t="n"/>
      <c r="AQ335" s="66" t="n">
        <v>184520000</v>
      </c>
      <c r="AS335" s="67">
        <f>MROUND(FORECAST(AQ335,AQ323:AQ334,AS323:AS334),100000)</f>
        <v/>
      </c>
    </row>
    <row r="336">
      <c r="A336" s="60" t="n">
        <v>39203</v>
      </c>
      <c r="B336" s="66" t="n"/>
      <c r="C336" s="66" t="n"/>
      <c r="D336" s="66" t="n"/>
      <c r="E336" s="66" t="n"/>
      <c r="F336" s="66" t="n"/>
      <c r="G336" s="66" t="n"/>
      <c r="H336" s="66" t="n"/>
      <c r="I336" s="66" t="n"/>
      <c r="J336" s="66" t="n"/>
      <c r="K336" s="66" t="n"/>
      <c r="L336" s="66" t="n"/>
      <c r="M336" s="66" t="n"/>
      <c r="N336" s="66" t="n"/>
      <c r="O336" s="66" t="n"/>
      <c r="P336" s="66" t="n"/>
      <c r="Q336" s="66" t="n"/>
      <c r="R336" s="66" t="n"/>
      <c r="S336" s="66" t="n"/>
      <c r="T336" s="66" t="n"/>
      <c r="U336" s="66" t="n"/>
      <c r="V336" s="66" t="n"/>
      <c r="W336" s="66" t="n"/>
      <c r="X336" s="66" t="n"/>
      <c r="Y336" s="66" t="n"/>
      <c r="Z336" s="66" t="n"/>
      <c r="AA336" s="66" t="n"/>
      <c r="AB336" s="66" t="n"/>
      <c r="AC336" s="66" t="n"/>
      <c r="AD336" s="66" t="n"/>
      <c r="AE336" s="66" t="n"/>
      <c r="AF336" s="66" t="n"/>
      <c r="AG336" s="66" t="n"/>
      <c r="AH336" s="66" t="n"/>
      <c r="AI336" s="66" t="n"/>
      <c r="AJ336" s="66" t="n"/>
      <c r="AK336" s="66" t="n"/>
      <c r="AL336" s="66" t="n"/>
      <c r="AM336" s="66" t="n"/>
      <c r="AN336" s="66" t="n"/>
      <c r="AO336" s="66" t="n"/>
      <c r="AP336" s="66" t="n"/>
      <c r="AQ336" s="66" t="n">
        <v>193750000</v>
      </c>
      <c r="AS336" s="67">
        <f>MROUND(FORECAST(AQ336,AQ324:AQ335,AS324:AS335),100000)</f>
        <v/>
      </c>
    </row>
    <row r="337">
      <c r="A337" s="60" t="n">
        <v>39234</v>
      </c>
      <c r="B337" s="66" t="n"/>
      <c r="C337" s="66" t="n"/>
      <c r="D337" s="66" t="n"/>
      <c r="E337" s="66" t="n"/>
      <c r="F337" s="66" t="n"/>
      <c r="G337" s="66" t="n"/>
      <c r="H337" s="66" t="n"/>
      <c r="I337" s="66" t="n"/>
      <c r="J337" s="66" t="n"/>
      <c r="K337" s="66" t="n"/>
      <c r="L337" s="66" t="n"/>
      <c r="M337" s="66" t="n"/>
      <c r="N337" s="66" t="n"/>
      <c r="O337" s="66" t="n"/>
      <c r="P337" s="66" t="n"/>
      <c r="Q337" s="66" t="n"/>
      <c r="R337" s="66" t="n"/>
      <c r="S337" s="66" t="n"/>
      <c r="T337" s="66" t="n"/>
      <c r="U337" s="66" t="n"/>
      <c r="V337" s="66" t="n"/>
      <c r="W337" s="66" t="n"/>
      <c r="X337" s="66" t="n"/>
      <c r="Y337" s="66" t="n"/>
      <c r="Z337" s="66" t="n"/>
      <c r="AA337" s="66" t="n"/>
      <c r="AB337" s="66" t="n"/>
      <c r="AC337" s="66" t="n"/>
      <c r="AD337" s="66" t="n"/>
      <c r="AE337" s="66" t="n"/>
      <c r="AF337" s="66" t="n"/>
      <c r="AG337" s="66" t="n"/>
      <c r="AH337" s="66" t="n"/>
      <c r="AI337" s="66" t="n"/>
      <c r="AJ337" s="66" t="n"/>
      <c r="AK337" s="66" t="n"/>
      <c r="AL337" s="66" t="n"/>
      <c r="AM337" s="66" t="n"/>
      <c r="AN337" s="66" t="n"/>
      <c r="AO337" s="66" t="n"/>
      <c r="AP337" s="66" t="n"/>
      <c r="AQ337" s="66" t="n">
        <v>194810000</v>
      </c>
      <c r="AS337" s="67">
        <f>MROUND(FORECAST(AQ337,AQ325:AQ336,AS325:AS336),100000)</f>
        <v/>
      </c>
    </row>
    <row r="338">
      <c r="A338" s="60" t="n">
        <v>39264</v>
      </c>
      <c r="B338" s="66" t="n"/>
      <c r="C338" s="66" t="n"/>
      <c r="D338" s="66" t="n"/>
      <c r="E338" s="66" t="n"/>
      <c r="F338" s="66" t="n"/>
      <c r="G338" s="66" t="n"/>
      <c r="H338" s="66" t="n"/>
      <c r="I338" s="66" t="n"/>
      <c r="J338" s="66" t="n"/>
      <c r="K338" s="66" t="n"/>
      <c r="L338" s="66" t="n"/>
      <c r="M338" s="66" t="n"/>
      <c r="N338" s="66" t="n"/>
      <c r="O338" s="66" t="n"/>
      <c r="P338" s="66" t="n"/>
      <c r="Q338" s="66" t="n"/>
      <c r="R338" s="66" t="n"/>
      <c r="S338" s="66" t="n"/>
      <c r="T338" s="66" t="n"/>
      <c r="U338" s="66" t="n"/>
      <c r="V338" s="66" t="n"/>
      <c r="W338" s="66" t="n"/>
      <c r="X338" s="66" t="n"/>
      <c r="Y338" s="66" t="n"/>
      <c r="Z338" s="66" t="n"/>
      <c r="AA338" s="66" t="n"/>
      <c r="AB338" s="66" t="n"/>
      <c r="AC338" s="66" t="n"/>
      <c r="AD338" s="66" t="n"/>
      <c r="AE338" s="66" t="n"/>
      <c r="AF338" s="66" t="n"/>
      <c r="AG338" s="66" t="n"/>
      <c r="AH338" s="66" t="n"/>
      <c r="AI338" s="66" t="n"/>
      <c r="AJ338" s="66" t="n"/>
      <c r="AK338" s="66" t="n"/>
      <c r="AL338" s="66" t="n"/>
      <c r="AM338" s="66" t="n"/>
      <c r="AN338" s="66" t="n"/>
      <c r="AO338" s="66" t="n"/>
      <c r="AP338" s="66" t="n"/>
      <c r="AQ338" s="66" t="n">
        <v>194640000</v>
      </c>
      <c r="AS338" s="67">
        <f>MROUND(FORECAST(AQ338,AQ326:AQ337,AS326:AS337),100000)</f>
        <v/>
      </c>
    </row>
    <row r="339">
      <c r="A339" s="60" t="n">
        <v>39295</v>
      </c>
      <c r="B339" s="66" t="n"/>
      <c r="C339" s="66" t="n"/>
      <c r="D339" s="66" t="n"/>
      <c r="E339" s="66" t="n"/>
      <c r="F339" s="66" t="n"/>
      <c r="G339" s="66" t="n"/>
      <c r="H339" s="66" t="n"/>
      <c r="I339" s="66" t="n"/>
      <c r="J339" s="66" t="n"/>
      <c r="K339" s="66" t="n"/>
      <c r="L339" s="66" t="n"/>
      <c r="M339" s="66" t="n"/>
      <c r="N339" s="66" t="n"/>
      <c r="O339" s="66" t="n"/>
      <c r="P339" s="66" t="n"/>
      <c r="Q339" s="66" t="n"/>
      <c r="R339" s="66" t="n"/>
      <c r="S339" s="66" t="n"/>
      <c r="T339" s="66" t="n"/>
      <c r="U339" s="66" t="n"/>
      <c r="V339" s="66" t="n"/>
      <c r="W339" s="66" t="n"/>
      <c r="X339" s="66" t="n"/>
      <c r="Y339" s="66" t="n"/>
      <c r="Z339" s="66" t="n"/>
      <c r="AA339" s="66" t="n"/>
      <c r="AB339" s="66" t="n"/>
      <c r="AC339" s="66" t="n"/>
      <c r="AD339" s="66" t="n"/>
      <c r="AE339" s="66" t="n"/>
      <c r="AF339" s="66" t="n"/>
      <c r="AG339" s="66" t="n"/>
      <c r="AH339" s="66" t="n"/>
      <c r="AI339" s="66" t="n"/>
      <c r="AJ339" s="66" t="n"/>
      <c r="AK339" s="66" t="n"/>
      <c r="AL339" s="66" t="n"/>
      <c r="AM339" s="66" t="n"/>
      <c r="AN339" s="66" t="n"/>
      <c r="AO339" s="66" t="n"/>
      <c r="AP339" s="66" t="n"/>
      <c r="AQ339" s="66" t="n">
        <v>196310000</v>
      </c>
      <c r="AS339" s="67">
        <f>MROUND(FORECAST(AQ339,AQ327:AQ338,AS327:AS338),100000)</f>
        <v/>
      </c>
    </row>
    <row r="340">
      <c r="A340" s="60" t="n">
        <v>39326</v>
      </c>
      <c r="B340" s="66" t="n"/>
      <c r="C340" s="66" t="n"/>
      <c r="D340" s="66" t="n"/>
      <c r="E340" s="66" t="n"/>
      <c r="F340" s="66" t="n"/>
      <c r="G340" s="66" t="n"/>
      <c r="H340" s="66" t="n"/>
      <c r="I340" s="66" t="n"/>
      <c r="J340" s="66" t="n"/>
      <c r="K340" s="66" t="n"/>
      <c r="L340" s="66" t="n"/>
      <c r="M340" s="66" t="n"/>
      <c r="N340" s="66" t="n"/>
      <c r="O340" s="66" t="n"/>
      <c r="P340" s="66" t="n"/>
      <c r="Q340" s="66" t="n"/>
      <c r="R340" s="66" t="n"/>
      <c r="S340" s="66" t="n"/>
      <c r="T340" s="66" t="n"/>
      <c r="U340" s="66" t="n"/>
      <c r="V340" s="66" t="n"/>
      <c r="W340" s="66" t="n"/>
      <c r="X340" s="66" t="n"/>
      <c r="Y340" s="66" t="n"/>
      <c r="Z340" s="66" t="n"/>
      <c r="AA340" s="66" t="n"/>
      <c r="AB340" s="66" t="n"/>
      <c r="AC340" s="66" t="n"/>
      <c r="AD340" s="66" t="n"/>
      <c r="AE340" s="66" t="n"/>
      <c r="AF340" s="66" t="n"/>
      <c r="AG340" s="66" t="n"/>
      <c r="AH340" s="66" t="n"/>
      <c r="AI340" s="66" t="n"/>
      <c r="AJ340" s="66" t="n"/>
      <c r="AK340" s="66" t="n"/>
      <c r="AL340" s="66" t="n"/>
      <c r="AM340" s="66" t="n"/>
      <c r="AN340" s="66" t="n"/>
      <c r="AO340" s="66" t="n"/>
      <c r="AP340" s="66" t="n"/>
      <c r="AQ340" s="66" t="n">
        <v>184160000</v>
      </c>
      <c r="AS340" s="67">
        <f>MROUND(FORECAST(AQ340,AQ328:AQ339,AS328:AS339),100000)</f>
        <v/>
      </c>
    </row>
    <row r="341">
      <c r="A341" s="60" t="n">
        <v>39356</v>
      </c>
      <c r="B341" s="66" t="n"/>
      <c r="C341" s="66" t="n"/>
      <c r="D341" s="66" t="n"/>
      <c r="E341" s="66" t="n"/>
      <c r="F341" s="66" t="n"/>
      <c r="G341" s="66" t="n"/>
      <c r="H341" s="66" t="n"/>
      <c r="I341" s="66" t="n"/>
      <c r="J341" s="66" t="n"/>
      <c r="K341" s="66" t="n"/>
      <c r="L341" s="66" t="n"/>
      <c r="M341" s="66" t="n"/>
      <c r="N341" s="66" t="n"/>
      <c r="O341" s="66" t="n"/>
      <c r="P341" s="66" t="n"/>
      <c r="Q341" s="66" t="n"/>
      <c r="R341" s="66" t="n"/>
      <c r="S341" s="66" t="n"/>
      <c r="T341" s="66" t="n"/>
      <c r="U341" s="66" t="n"/>
      <c r="V341" s="66" t="n"/>
      <c r="W341" s="66" t="n"/>
      <c r="X341" s="66" t="n"/>
      <c r="Y341" s="66" t="n"/>
      <c r="Z341" s="66" t="n"/>
      <c r="AA341" s="66" t="n"/>
      <c r="AB341" s="66" t="n"/>
      <c r="AC341" s="66" t="n"/>
      <c r="AD341" s="66" t="n"/>
      <c r="AE341" s="66" t="n"/>
      <c r="AF341" s="66" t="n"/>
      <c r="AG341" s="66" t="n"/>
      <c r="AH341" s="66" t="n"/>
      <c r="AI341" s="66" t="n"/>
      <c r="AJ341" s="66" t="n"/>
      <c r="AK341" s="66" t="n"/>
      <c r="AL341" s="66" t="n"/>
      <c r="AM341" s="66" t="n"/>
      <c r="AN341" s="66" t="n"/>
      <c r="AO341" s="66" t="n"/>
      <c r="AP341" s="66" t="n"/>
      <c r="AQ341" s="66" t="n">
        <v>188100000</v>
      </c>
      <c r="AS341" s="67">
        <f>MROUND(FORECAST(AQ341,AQ329:AQ340,AS329:AS340),100000)</f>
        <v/>
      </c>
    </row>
    <row r="342">
      <c r="A342" s="60" t="n">
        <v>39387</v>
      </c>
      <c r="B342" s="66" t="n"/>
      <c r="C342" s="66" t="n"/>
      <c r="D342" s="66" t="n"/>
      <c r="E342" s="66" t="n"/>
      <c r="F342" s="66" t="n"/>
      <c r="G342" s="66" t="n"/>
      <c r="H342" s="66" t="n"/>
      <c r="I342" s="66" t="n"/>
      <c r="J342" s="66" t="n"/>
      <c r="K342" s="66" t="n"/>
      <c r="L342" s="66" t="n"/>
      <c r="M342" s="66" t="n"/>
      <c r="N342" s="66" t="n"/>
      <c r="O342" s="66" t="n"/>
      <c r="P342" s="66" t="n"/>
      <c r="Q342" s="66" t="n"/>
      <c r="R342" s="66" t="n"/>
      <c r="S342" s="66" t="n"/>
      <c r="T342" s="66" t="n"/>
      <c r="U342" s="66" t="n"/>
      <c r="V342" s="66" t="n"/>
      <c r="W342" s="66" t="n"/>
      <c r="X342" s="66" t="n"/>
      <c r="Y342" s="66" t="n"/>
      <c r="Z342" s="66" t="n"/>
      <c r="AA342" s="66" t="n"/>
      <c r="AB342" s="66" t="n"/>
      <c r="AC342" s="66" t="n"/>
      <c r="AD342" s="66" t="n"/>
      <c r="AE342" s="66" t="n"/>
      <c r="AF342" s="66" t="n"/>
      <c r="AG342" s="66" t="n"/>
      <c r="AH342" s="66" t="n"/>
      <c r="AI342" s="66" t="n"/>
      <c r="AJ342" s="66" t="n"/>
      <c r="AK342" s="66" t="n"/>
      <c r="AL342" s="66" t="n"/>
      <c r="AM342" s="66" t="n"/>
      <c r="AN342" s="66" t="n"/>
      <c r="AO342" s="66" t="n"/>
      <c r="AP342" s="66" t="n"/>
      <c r="AQ342" s="66" t="n">
        <v>181240000</v>
      </c>
      <c r="AS342" s="67">
        <f>MROUND(FORECAST(AQ342,AQ330:AQ341,AS330:AS341),100000)</f>
        <v/>
      </c>
    </row>
    <row r="343">
      <c r="A343" s="60" t="n">
        <v>39417</v>
      </c>
      <c r="B343" s="66" t="n"/>
      <c r="C343" s="66" t="n"/>
      <c r="D343" s="66" t="n"/>
      <c r="E343" s="66" t="n"/>
      <c r="F343" s="66" t="n"/>
      <c r="G343" s="66" t="n"/>
      <c r="H343" s="66" t="n"/>
      <c r="I343" s="66" t="n"/>
      <c r="J343" s="66" t="n"/>
      <c r="K343" s="66" t="n"/>
      <c r="L343" s="66" t="n"/>
      <c r="M343" s="66" t="n"/>
      <c r="N343" s="66" t="n"/>
      <c r="O343" s="66" t="n"/>
      <c r="P343" s="66" t="n"/>
      <c r="Q343" s="66" t="n"/>
      <c r="R343" s="66" t="n"/>
      <c r="S343" s="66" t="n"/>
      <c r="T343" s="66" t="n"/>
      <c r="U343" s="66" t="n"/>
      <c r="V343" s="66" t="n"/>
      <c r="W343" s="66" t="n"/>
      <c r="X343" s="66" t="n"/>
      <c r="Y343" s="66" t="n"/>
      <c r="Z343" s="66" t="n"/>
      <c r="AA343" s="66" t="n"/>
      <c r="AB343" s="66" t="n"/>
      <c r="AC343" s="66" t="n"/>
      <c r="AD343" s="66" t="n"/>
      <c r="AE343" s="66" t="n"/>
      <c r="AF343" s="66" t="n"/>
      <c r="AG343" s="66" t="n"/>
      <c r="AH343" s="66" t="n"/>
      <c r="AI343" s="66" t="n"/>
      <c r="AJ343" s="66" t="n"/>
      <c r="AK343" s="66" t="n"/>
      <c r="AL343" s="66" t="n"/>
      <c r="AM343" s="66" t="n"/>
      <c r="AN343" s="66" t="n"/>
      <c r="AO343" s="66" t="n"/>
      <c r="AP343" s="66" t="n"/>
      <c r="AQ343" s="66" t="n">
        <v>193910000</v>
      </c>
      <c r="AS343" s="67">
        <f>MROUND(FORECAST(AQ343,AQ331:AQ342,AS331:AS342),100000)</f>
        <v/>
      </c>
    </row>
    <row r="344">
      <c r="A344" s="60" t="n">
        <v>39448</v>
      </c>
      <c r="B344" s="66" t="n"/>
      <c r="C344" s="66" t="n"/>
      <c r="D344" s="66" t="n"/>
      <c r="E344" s="66" t="n"/>
      <c r="F344" s="66" t="n"/>
      <c r="G344" s="66" t="n"/>
      <c r="H344" s="66" t="n"/>
      <c r="I344" s="66" t="n"/>
      <c r="J344" s="66" t="n"/>
      <c r="K344" s="66" t="n"/>
      <c r="L344" s="66" t="n"/>
      <c r="M344" s="66" t="n"/>
      <c r="N344" s="66" t="n"/>
      <c r="O344" s="66" t="n"/>
      <c r="P344" s="66" t="n"/>
      <c r="Q344" s="66" t="n"/>
      <c r="R344" s="66" t="n"/>
      <c r="S344" s="66" t="n"/>
      <c r="T344" s="66" t="n"/>
      <c r="U344" s="66" t="n"/>
      <c r="V344" s="66" t="n"/>
      <c r="W344" s="66" t="n"/>
      <c r="X344" s="66" t="n"/>
      <c r="Y344" s="66" t="n"/>
      <c r="Z344" s="66" t="n"/>
      <c r="AA344" s="66" t="n"/>
      <c r="AB344" s="66" t="n"/>
      <c r="AC344" s="66" t="n"/>
      <c r="AD344" s="66" t="n"/>
      <c r="AE344" s="66" t="n"/>
      <c r="AF344" s="66" t="n"/>
      <c r="AG344" s="66" t="n"/>
      <c r="AH344" s="66" t="n"/>
      <c r="AI344" s="66" t="n"/>
      <c r="AJ344" s="66" t="n"/>
      <c r="AK344" s="66" t="n"/>
      <c r="AL344" s="66" t="n"/>
      <c r="AM344" s="66" t="n"/>
      <c r="AN344" s="66" t="n"/>
      <c r="AO344" s="66" t="n"/>
      <c r="AP344" s="66" t="n"/>
      <c r="AQ344" s="66" t="n">
        <v>174800000</v>
      </c>
      <c r="AS344" s="67">
        <f>MROUND(FORECAST(AQ344,AQ332:AQ343,AS332:AS343),100000)</f>
        <v/>
      </c>
    </row>
    <row r="345">
      <c r="A345" s="60" t="n">
        <v>39479</v>
      </c>
      <c r="B345" s="66" t="n"/>
      <c r="C345" s="66" t="n"/>
      <c r="D345" s="66" t="n"/>
      <c r="E345" s="66" t="n"/>
      <c r="F345" s="66" t="n"/>
      <c r="G345" s="66" t="n"/>
      <c r="H345" s="66" t="n"/>
      <c r="I345" s="66" t="n"/>
      <c r="J345" s="66" t="n"/>
      <c r="K345" s="66" t="n"/>
      <c r="L345" s="66" t="n"/>
      <c r="M345" s="66" t="n"/>
      <c r="N345" s="66" t="n"/>
      <c r="O345" s="66" t="n"/>
      <c r="P345" s="66" t="n"/>
      <c r="Q345" s="66" t="n"/>
      <c r="R345" s="66" t="n"/>
      <c r="S345" s="66" t="n"/>
      <c r="T345" s="66" t="n"/>
      <c r="U345" s="66" t="n"/>
      <c r="V345" s="66" t="n"/>
      <c r="W345" s="66" t="n"/>
      <c r="X345" s="66" t="n"/>
      <c r="Y345" s="66" t="n"/>
      <c r="Z345" s="66" t="n"/>
      <c r="AA345" s="66" t="n"/>
      <c r="AB345" s="66" t="n"/>
      <c r="AC345" s="66" t="n"/>
      <c r="AD345" s="66" t="n"/>
      <c r="AE345" s="66" t="n"/>
      <c r="AF345" s="66" t="n"/>
      <c r="AG345" s="66" t="n"/>
      <c r="AH345" s="66" t="n"/>
      <c r="AI345" s="66" t="n"/>
      <c r="AJ345" s="66" t="n"/>
      <c r="AK345" s="66" t="n"/>
      <c r="AL345" s="66" t="n"/>
      <c r="AM345" s="66" t="n"/>
      <c r="AN345" s="66" t="n"/>
      <c r="AO345" s="66" t="n"/>
      <c r="AP345" s="66" t="n"/>
      <c r="AQ345" s="66" t="n">
        <v>176930000</v>
      </c>
      <c r="AS345" s="67">
        <f>MROUND(FORECAST(AQ345,AQ333:AQ344,AS333:AS344),100000)</f>
        <v/>
      </c>
    </row>
    <row r="346">
      <c r="A346" s="60" t="n">
        <v>39508</v>
      </c>
      <c r="B346" s="66" t="n"/>
      <c r="C346" s="66" t="n"/>
      <c r="D346" s="66" t="n"/>
      <c r="E346" s="66" t="n"/>
      <c r="F346" s="66" t="n"/>
      <c r="G346" s="66" t="n"/>
      <c r="H346" s="66" t="n"/>
      <c r="I346" s="66" t="n"/>
      <c r="J346" s="66" t="n"/>
      <c r="K346" s="66" t="n"/>
      <c r="L346" s="66" t="n"/>
      <c r="M346" s="66" t="n"/>
      <c r="N346" s="66" t="n"/>
      <c r="O346" s="66" t="n"/>
      <c r="P346" s="66" t="n"/>
      <c r="Q346" s="66" t="n"/>
      <c r="R346" s="66" t="n"/>
      <c r="S346" s="66" t="n"/>
      <c r="T346" s="66" t="n"/>
      <c r="U346" s="66" t="n"/>
      <c r="V346" s="66" t="n"/>
      <c r="W346" s="66" t="n"/>
      <c r="X346" s="66" t="n"/>
      <c r="Y346" s="66" t="n"/>
      <c r="Z346" s="66" t="n"/>
      <c r="AA346" s="66" t="n"/>
      <c r="AB346" s="66" t="n"/>
      <c r="AC346" s="66" t="n"/>
      <c r="AD346" s="66" t="n"/>
      <c r="AE346" s="66" t="n"/>
      <c r="AF346" s="66" t="n"/>
      <c r="AG346" s="66" t="n"/>
      <c r="AH346" s="66" t="n"/>
      <c r="AI346" s="66" t="n"/>
      <c r="AJ346" s="66" t="n"/>
      <c r="AK346" s="66" t="n"/>
      <c r="AL346" s="66" t="n"/>
      <c r="AM346" s="66" t="n"/>
      <c r="AN346" s="66" t="n"/>
      <c r="AO346" s="66" t="n"/>
      <c r="AP346" s="66" t="n"/>
      <c r="AQ346" s="66" t="n">
        <v>189570000</v>
      </c>
      <c r="AS346" s="67">
        <f>MROUND(FORECAST(AQ346,AQ334:AQ345,AS334:AS345),100000)</f>
        <v/>
      </c>
    </row>
    <row r="347">
      <c r="A347" s="60" t="n">
        <v>39539</v>
      </c>
      <c r="B347" s="66" t="n"/>
      <c r="C347" s="66" t="n"/>
      <c r="D347" s="66" t="n"/>
      <c r="E347" s="66" t="n"/>
      <c r="F347" s="66" t="n"/>
      <c r="G347" s="66" t="n"/>
      <c r="H347" s="66" t="n"/>
      <c r="I347" s="66" t="n"/>
      <c r="J347" s="66" t="n"/>
      <c r="K347" s="66" t="n"/>
      <c r="L347" s="66" t="n"/>
      <c r="M347" s="66" t="n"/>
      <c r="N347" s="66" t="n"/>
      <c r="O347" s="66" t="n"/>
      <c r="P347" s="66" t="n"/>
      <c r="Q347" s="66" t="n"/>
      <c r="R347" s="66" t="n"/>
      <c r="S347" s="66" t="n"/>
      <c r="T347" s="66" t="n"/>
      <c r="U347" s="66" t="n"/>
      <c r="V347" s="66" t="n"/>
      <c r="W347" s="66" t="n"/>
      <c r="X347" s="66" t="n"/>
      <c r="Y347" s="66" t="n"/>
      <c r="Z347" s="66" t="n"/>
      <c r="AA347" s="66" t="n"/>
      <c r="AB347" s="66" t="n"/>
      <c r="AC347" s="66" t="n"/>
      <c r="AD347" s="66" t="n"/>
      <c r="AE347" s="66" t="n"/>
      <c r="AF347" s="66" t="n"/>
      <c r="AG347" s="66" t="n"/>
      <c r="AH347" s="66" t="n"/>
      <c r="AI347" s="66" t="n"/>
      <c r="AJ347" s="66" t="n"/>
      <c r="AK347" s="66" t="n"/>
      <c r="AL347" s="66" t="n"/>
      <c r="AM347" s="66" t="n"/>
      <c r="AN347" s="66" t="n"/>
      <c r="AO347" s="66" t="n"/>
      <c r="AP347" s="66" t="n"/>
      <c r="AQ347" s="66" t="n">
        <v>186660000</v>
      </c>
      <c r="AS347" s="67">
        <f>MROUND(FORECAST(AQ347,AQ335:AQ346,AS335:AS346),100000)</f>
        <v/>
      </c>
    </row>
    <row r="348">
      <c r="A348" s="60" t="n">
        <v>39569</v>
      </c>
      <c r="B348" s="66" t="n"/>
      <c r="C348" s="66" t="n"/>
      <c r="D348" s="66" t="n"/>
      <c r="E348" s="66" t="n"/>
      <c r="F348" s="66" t="n"/>
      <c r="G348" s="66" t="n"/>
      <c r="H348" s="66" t="n"/>
      <c r="I348" s="66" t="n"/>
      <c r="J348" s="66" t="n"/>
      <c r="K348" s="66" t="n"/>
      <c r="L348" s="66" t="n"/>
      <c r="M348" s="66" t="n"/>
      <c r="N348" s="66" t="n"/>
      <c r="O348" s="66" t="n"/>
      <c r="P348" s="66" t="n"/>
      <c r="Q348" s="66" t="n"/>
      <c r="R348" s="66" t="n"/>
      <c r="S348" s="66" t="n"/>
      <c r="T348" s="66" t="n"/>
      <c r="U348" s="66" t="n"/>
      <c r="V348" s="66" t="n"/>
      <c r="W348" s="66" t="n"/>
      <c r="X348" s="66" t="n"/>
      <c r="Y348" s="66" t="n"/>
      <c r="Z348" s="66" t="n"/>
      <c r="AA348" s="66" t="n"/>
      <c r="AB348" s="66" t="n"/>
      <c r="AC348" s="66" t="n"/>
      <c r="AD348" s="66" t="n"/>
      <c r="AE348" s="66" t="n"/>
      <c r="AF348" s="66" t="n"/>
      <c r="AG348" s="66" t="n"/>
      <c r="AH348" s="66" t="n"/>
      <c r="AI348" s="66" t="n"/>
      <c r="AJ348" s="66" t="n"/>
      <c r="AK348" s="66" t="n"/>
      <c r="AL348" s="66" t="n"/>
      <c r="AM348" s="66" t="n"/>
      <c r="AN348" s="66" t="n"/>
      <c r="AO348" s="66" t="n"/>
      <c r="AP348" s="66" t="n"/>
      <c r="AQ348" s="66" t="n">
        <v>200050000</v>
      </c>
      <c r="AS348" s="67">
        <f>MROUND(FORECAST(AQ348,AQ336:AQ347,AS336:AS347),100000)</f>
        <v/>
      </c>
    </row>
    <row r="349">
      <c r="A349" s="60" t="n">
        <v>39600</v>
      </c>
      <c r="B349" s="66" t="n"/>
      <c r="C349" s="66" t="n"/>
      <c r="D349" s="66" t="n"/>
      <c r="E349" s="66" t="n"/>
      <c r="F349" s="66" t="n"/>
      <c r="G349" s="66" t="n"/>
      <c r="H349" s="66" t="n"/>
      <c r="I349" s="66" t="n"/>
      <c r="J349" s="66" t="n"/>
      <c r="K349" s="66" t="n"/>
      <c r="L349" s="66" t="n"/>
      <c r="M349" s="66" t="n"/>
      <c r="N349" s="66" t="n"/>
      <c r="O349" s="66" t="n"/>
      <c r="P349" s="66" t="n"/>
      <c r="Q349" s="66" t="n"/>
      <c r="R349" s="66" t="n"/>
      <c r="S349" s="66" t="n"/>
      <c r="T349" s="66" t="n"/>
      <c r="U349" s="66" t="n"/>
      <c r="V349" s="66" t="n"/>
      <c r="W349" s="66" t="n"/>
      <c r="X349" s="66" t="n"/>
      <c r="Y349" s="66" t="n"/>
      <c r="Z349" s="66" t="n"/>
      <c r="AA349" s="66" t="n"/>
      <c r="AB349" s="66" t="n"/>
      <c r="AC349" s="66" t="n"/>
      <c r="AD349" s="66" t="n"/>
      <c r="AE349" s="66" t="n"/>
      <c r="AF349" s="66" t="n"/>
      <c r="AG349" s="66" t="n"/>
      <c r="AH349" s="66" t="n"/>
      <c r="AI349" s="66" t="n"/>
      <c r="AJ349" s="66" t="n"/>
      <c r="AK349" s="66" t="n"/>
      <c r="AL349" s="66" t="n"/>
      <c r="AM349" s="66" t="n"/>
      <c r="AN349" s="66" t="n"/>
      <c r="AO349" s="66" t="n"/>
      <c r="AP349" s="66" t="n"/>
      <c r="AQ349" s="66" t="n">
        <v>192010000</v>
      </c>
      <c r="AS349" s="67">
        <f>MROUND(FORECAST(AQ349,AQ337:AQ348,AS337:AS348),100000)</f>
        <v/>
      </c>
    </row>
    <row r="350">
      <c r="A350" s="60" t="n">
        <v>39630</v>
      </c>
      <c r="B350" s="66" t="n"/>
      <c r="C350" s="66" t="n"/>
      <c r="D350" s="66" t="n"/>
      <c r="E350" s="66" t="n"/>
      <c r="F350" s="66" t="n"/>
      <c r="G350" s="66" t="n"/>
      <c r="H350" s="66" t="n"/>
      <c r="I350" s="66" t="n"/>
      <c r="J350" s="66" t="n"/>
      <c r="K350" s="66" t="n"/>
      <c r="L350" s="66" t="n"/>
      <c r="M350" s="66" t="n"/>
      <c r="N350" s="66" t="n"/>
      <c r="O350" s="66" t="n"/>
      <c r="P350" s="66" t="n"/>
      <c r="Q350" s="66" t="n"/>
      <c r="R350" s="66" t="n"/>
      <c r="S350" s="66" t="n"/>
      <c r="T350" s="66" t="n"/>
      <c r="U350" s="66" t="n"/>
      <c r="V350" s="66" t="n"/>
      <c r="W350" s="66" t="n"/>
      <c r="X350" s="66" t="n"/>
      <c r="Y350" s="66" t="n"/>
      <c r="Z350" s="66" t="n"/>
      <c r="AA350" s="66" t="n"/>
      <c r="AB350" s="66" t="n"/>
      <c r="AC350" s="66" t="n"/>
      <c r="AD350" s="66" t="n"/>
      <c r="AE350" s="66" t="n"/>
      <c r="AF350" s="66" t="n"/>
      <c r="AG350" s="66" t="n"/>
      <c r="AH350" s="66" t="n"/>
      <c r="AI350" s="66" t="n"/>
      <c r="AJ350" s="66" t="n"/>
      <c r="AK350" s="66" t="n"/>
      <c r="AL350" s="66" t="n"/>
      <c r="AM350" s="66" t="n"/>
      <c r="AN350" s="66" t="n"/>
      <c r="AO350" s="66" t="n"/>
      <c r="AP350" s="66" t="n"/>
      <c r="AQ350" s="66" t="n">
        <v>195330000</v>
      </c>
      <c r="AS350" s="67">
        <f>MROUND(FORECAST(AQ350,AQ338:AQ349,AS338:AS349),100000)</f>
        <v/>
      </c>
    </row>
    <row r="351">
      <c r="A351" s="60" t="n">
        <v>39661</v>
      </c>
      <c r="B351" s="66" t="n"/>
      <c r="C351" s="66" t="n"/>
      <c r="D351" s="66" t="n"/>
      <c r="E351" s="66" t="n"/>
      <c r="F351" s="66" t="n"/>
      <c r="G351" s="66" t="n"/>
      <c r="H351" s="66" t="n"/>
      <c r="I351" s="66" t="n"/>
      <c r="J351" s="66" t="n"/>
      <c r="K351" s="66" t="n"/>
      <c r="L351" s="66" t="n"/>
      <c r="M351" s="66" t="n"/>
      <c r="N351" s="66" t="n"/>
      <c r="O351" s="66" t="n"/>
      <c r="P351" s="66" t="n"/>
      <c r="Q351" s="66" t="n"/>
      <c r="R351" s="66" t="n"/>
      <c r="S351" s="66" t="n"/>
      <c r="T351" s="66" t="n"/>
      <c r="U351" s="66" t="n"/>
      <c r="V351" s="66" t="n"/>
      <c r="W351" s="66" t="n"/>
      <c r="X351" s="66" t="n"/>
      <c r="Y351" s="66" t="n"/>
      <c r="Z351" s="66" t="n"/>
      <c r="AA351" s="66" t="n"/>
      <c r="AB351" s="66" t="n"/>
      <c r="AC351" s="66" t="n"/>
      <c r="AD351" s="66" t="n"/>
      <c r="AE351" s="66" t="n"/>
      <c r="AF351" s="66" t="n"/>
      <c r="AG351" s="66" t="n"/>
      <c r="AH351" s="66" t="n"/>
      <c r="AI351" s="66" t="n"/>
      <c r="AJ351" s="66" t="n"/>
      <c r="AK351" s="66" t="n"/>
      <c r="AL351" s="66" t="n"/>
      <c r="AM351" s="66" t="n"/>
      <c r="AN351" s="66" t="n"/>
      <c r="AO351" s="66" t="n"/>
      <c r="AP351" s="66" t="n"/>
      <c r="AQ351" s="66" t="n">
        <v>198470000</v>
      </c>
      <c r="AS351" s="67">
        <f>MROUND(FORECAST(AQ351,AQ339:AQ350,AS339:AS350),100000)</f>
        <v/>
      </c>
    </row>
    <row r="352">
      <c r="A352" s="60" t="n">
        <v>39692</v>
      </c>
      <c r="B352" s="66" t="n"/>
      <c r="C352" s="66" t="n"/>
      <c r="D352" s="66" t="n"/>
      <c r="E352" s="66" t="n"/>
      <c r="F352" s="66" t="n"/>
      <c r="G352" s="66" t="n"/>
      <c r="H352" s="66" t="n"/>
      <c r="I352" s="66" t="n"/>
      <c r="J352" s="66" t="n"/>
      <c r="K352" s="66" t="n"/>
      <c r="L352" s="66" t="n"/>
      <c r="M352" s="66" t="n"/>
      <c r="N352" s="66" t="n"/>
      <c r="O352" s="66" t="n"/>
      <c r="P352" s="66" t="n"/>
      <c r="Q352" s="66" t="n"/>
      <c r="R352" s="66" t="n"/>
      <c r="S352" s="66" t="n"/>
      <c r="T352" s="66" t="n"/>
      <c r="U352" s="66" t="n"/>
      <c r="V352" s="66" t="n"/>
      <c r="W352" s="66" t="n"/>
      <c r="X352" s="66" t="n"/>
      <c r="Y352" s="66" t="n"/>
      <c r="Z352" s="66" t="n"/>
      <c r="AA352" s="66" t="n"/>
      <c r="AB352" s="66" t="n"/>
      <c r="AC352" s="66" t="n"/>
      <c r="AD352" s="66" t="n"/>
      <c r="AE352" s="66" t="n"/>
      <c r="AF352" s="66" t="n"/>
      <c r="AG352" s="66" t="n"/>
      <c r="AH352" s="66" t="n"/>
      <c r="AI352" s="66" t="n"/>
      <c r="AJ352" s="66" t="n"/>
      <c r="AK352" s="66" t="n"/>
      <c r="AL352" s="66" t="n"/>
      <c r="AM352" s="66" t="n"/>
      <c r="AN352" s="66" t="n"/>
      <c r="AO352" s="66" t="n"/>
      <c r="AP352" s="66" t="n"/>
      <c r="AQ352" s="66" t="n">
        <v>181850000</v>
      </c>
      <c r="AS352" s="67">
        <f>MROUND(FORECAST(AQ352,AQ340:AQ351,AS340:AS351),100000)</f>
        <v/>
      </c>
    </row>
    <row r="353">
      <c r="A353" s="60" t="n">
        <v>39722</v>
      </c>
      <c r="B353" s="66" t="n"/>
      <c r="C353" s="66" t="n"/>
      <c r="D353" s="66" t="n"/>
      <c r="E353" s="66" t="n"/>
      <c r="F353" s="66" t="n"/>
      <c r="G353" s="66" t="n"/>
      <c r="H353" s="66" t="n"/>
      <c r="I353" s="66" t="n"/>
      <c r="J353" s="66" t="n"/>
      <c r="K353" s="66" t="n"/>
      <c r="L353" s="66" t="n"/>
      <c r="M353" s="66" t="n"/>
      <c r="N353" s="66" t="n"/>
      <c r="O353" s="66" t="n"/>
      <c r="P353" s="66" t="n"/>
      <c r="Q353" s="66" t="n"/>
      <c r="R353" s="66" t="n"/>
      <c r="S353" s="66" t="n"/>
      <c r="T353" s="66" t="n"/>
      <c r="U353" s="66" t="n"/>
      <c r="V353" s="66" t="n"/>
      <c r="W353" s="66" t="n"/>
      <c r="X353" s="66" t="n"/>
      <c r="Y353" s="66" t="n"/>
      <c r="Z353" s="66" t="n"/>
      <c r="AA353" s="66" t="n"/>
      <c r="AB353" s="66" t="n"/>
      <c r="AC353" s="66" t="n"/>
      <c r="AD353" s="66" t="n"/>
      <c r="AE353" s="66" t="n"/>
      <c r="AF353" s="66" t="n"/>
      <c r="AG353" s="66" t="n"/>
      <c r="AH353" s="66" t="n"/>
      <c r="AI353" s="66" t="n"/>
      <c r="AJ353" s="66" t="n"/>
      <c r="AK353" s="66" t="n"/>
      <c r="AL353" s="66" t="n"/>
      <c r="AM353" s="66" t="n"/>
      <c r="AN353" s="66" t="n"/>
      <c r="AO353" s="66" t="n"/>
      <c r="AP353" s="66" t="n"/>
      <c r="AQ353" s="66" t="n">
        <v>187190000</v>
      </c>
      <c r="AS353" s="67">
        <f>MROUND(FORECAST(AQ353,AQ341:AQ352,AS341:AS352),100000)</f>
        <v/>
      </c>
    </row>
    <row r="354">
      <c r="A354" s="60" t="n">
        <v>39753</v>
      </c>
      <c r="B354" s="66" t="n"/>
      <c r="C354" s="66" t="n"/>
      <c r="D354" s="66" t="n"/>
      <c r="E354" s="66" t="n"/>
      <c r="F354" s="66" t="n"/>
      <c r="G354" s="66" t="n"/>
      <c r="H354" s="66" t="n"/>
      <c r="I354" s="66" t="n"/>
      <c r="J354" s="66" t="n"/>
      <c r="K354" s="66" t="n"/>
      <c r="L354" s="66" t="n"/>
      <c r="M354" s="66" t="n"/>
      <c r="N354" s="66" t="n"/>
      <c r="O354" s="66" t="n"/>
      <c r="P354" s="66" t="n"/>
      <c r="Q354" s="66" t="n"/>
      <c r="R354" s="66" t="n"/>
      <c r="S354" s="66" t="n"/>
      <c r="T354" s="66" t="n"/>
      <c r="U354" s="66" t="n"/>
      <c r="V354" s="66" t="n"/>
      <c r="W354" s="66" t="n"/>
      <c r="X354" s="66" t="n"/>
      <c r="Y354" s="66" t="n"/>
      <c r="Z354" s="66" t="n"/>
      <c r="AA354" s="66" t="n"/>
      <c r="AB354" s="66" t="n"/>
      <c r="AC354" s="66" t="n"/>
      <c r="AD354" s="66" t="n"/>
      <c r="AE354" s="66" t="n"/>
      <c r="AF354" s="66" t="n"/>
      <c r="AG354" s="66" t="n"/>
      <c r="AH354" s="66" t="n"/>
      <c r="AI354" s="66" t="n"/>
      <c r="AJ354" s="66" t="n"/>
      <c r="AK354" s="66" t="n"/>
      <c r="AL354" s="66" t="n"/>
      <c r="AM354" s="66" t="n"/>
      <c r="AN354" s="66" t="n"/>
      <c r="AO354" s="66" t="n"/>
      <c r="AP354" s="66" t="n"/>
      <c r="AQ354" s="66" t="n">
        <v>177140000</v>
      </c>
      <c r="AS354" s="67">
        <f>MROUND(FORECAST(AQ354,AQ342:AQ353,AS342:AS353),100000)</f>
        <v/>
      </c>
    </row>
    <row r="355">
      <c r="A355" s="60" t="n">
        <v>39783</v>
      </c>
      <c r="B355" s="66" t="n"/>
      <c r="C355" s="66" t="n"/>
      <c r="D355" s="66" t="n"/>
      <c r="E355" s="66" t="n"/>
      <c r="F355" s="66" t="n"/>
      <c r="G355" s="66" t="n"/>
      <c r="H355" s="66" t="n"/>
      <c r="I355" s="66" t="n"/>
      <c r="J355" s="66" t="n"/>
      <c r="K355" s="66" t="n"/>
      <c r="L355" s="66" t="n"/>
      <c r="M355" s="66" t="n"/>
      <c r="N355" s="66" t="n"/>
      <c r="O355" s="66" t="n"/>
      <c r="P355" s="66" t="n"/>
      <c r="Q355" s="66" t="n"/>
      <c r="R355" s="66" t="n"/>
      <c r="S355" s="66" t="n"/>
      <c r="T355" s="66" t="n"/>
      <c r="U355" s="66" t="n"/>
      <c r="V355" s="66" t="n"/>
      <c r="W355" s="66" t="n"/>
      <c r="X355" s="66" t="n"/>
      <c r="Y355" s="66" t="n"/>
      <c r="Z355" s="66" t="n"/>
      <c r="AA355" s="66" t="n"/>
      <c r="AB355" s="66" t="n"/>
      <c r="AC355" s="66" t="n"/>
      <c r="AD355" s="66" t="n"/>
      <c r="AE355" s="66" t="n"/>
      <c r="AF355" s="66" t="n"/>
      <c r="AG355" s="66" t="n"/>
      <c r="AH355" s="66" t="n"/>
      <c r="AI355" s="66" t="n"/>
      <c r="AJ355" s="66" t="n"/>
      <c r="AK355" s="66" t="n"/>
      <c r="AL355" s="66" t="n"/>
      <c r="AM355" s="66" t="n"/>
      <c r="AN355" s="66" t="n"/>
      <c r="AO355" s="66" t="n"/>
      <c r="AP355" s="66" t="n"/>
      <c r="AQ355" s="66" t="n">
        <v>183190000</v>
      </c>
      <c r="AS355" s="67">
        <f>MROUND(FORECAST(AQ355,AQ343:AQ354,AS343:AS354),100000)</f>
        <v/>
      </c>
    </row>
    <row r="356">
      <c r="A356" s="60" t="n">
        <v>39814</v>
      </c>
      <c r="B356" s="66" t="n"/>
      <c r="C356" s="66" t="n"/>
      <c r="D356" s="66" t="n"/>
      <c r="E356" s="66" t="n"/>
      <c r="F356" s="66" t="n"/>
      <c r="G356" s="66" t="n"/>
      <c r="H356" s="66" t="n"/>
      <c r="I356" s="66" t="n"/>
      <c r="J356" s="66" t="n"/>
      <c r="K356" s="66" t="n"/>
      <c r="L356" s="66" t="n"/>
      <c r="M356" s="66" t="n"/>
      <c r="N356" s="66" t="n"/>
      <c r="O356" s="66" t="n"/>
      <c r="P356" s="66" t="n"/>
      <c r="Q356" s="66" t="n"/>
      <c r="R356" s="66" t="n"/>
      <c r="S356" s="66" t="n"/>
      <c r="T356" s="66" t="n"/>
      <c r="U356" s="66" t="n"/>
      <c r="V356" s="66" t="n"/>
      <c r="W356" s="66" t="n"/>
      <c r="X356" s="66" t="n"/>
      <c r="Y356" s="66" t="n"/>
      <c r="Z356" s="66" t="n"/>
      <c r="AA356" s="66" t="n"/>
      <c r="AB356" s="66" t="n"/>
      <c r="AC356" s="66" t="n"/>
      <c r="AD356" s="66" t="n"/>
      <c r="AE356" s="66" t="n"/>
      <c r="AF356" s="66" t="n"/>
      <c r="AG356" s="66" t="n"/>
      <c r="AH356" s="66" t="n"/>
      <c r="AI356" s="66" t="n"/>
      <c r="AJ356" s="66" t="n"/>
      <c r="AK356" s="66" t="n"/>
      <c r="AL356" s="66" t="n"/>
      <c r="AM356" s="66" t="n"/>
      <c r="AN356" s="66" t="n"/>
      <c r="AO356" s="66" t="n"/>
      <c r="AP356" s="66" t="n"/>
      <c r="AQ356" s="66" t="n">
        <v>180090000</v>
      </c>
      <c r="AS356" s="67">
        <f>MROUND(FORECAST(AQ356,AQ344:AQ355,AS344:AS355),100000)</f>
        <v/>
      </c>
    </row>
    <row r="357">
      <c r="A357" s="60" t="n">
        <v>39845</v>
      </c>
      <c r="B357" s="66" t="n"/>
      <c r="C357" s="66" t="n"/>
      <c r="D357" s="66" t="n"/>
      <c r="E357" s="66" t="n"/>
      <c r="F357" s="66" t="n"/>
      <c r="G357" s="66" t="n"/>
      <c r="H357" s="66" t="n"/>
      <c r="I357" s="66" t="n"/>
      <c r="J357" s="66" t="n"/>
      <c r="K357" s="66" t="n"/>
      <c r="L357" s="66" t="n"/>
      <c r="M357" s="66" t="n"/>
      <c r="N357" s="66" t="n"/>
      <c r="O357" s="66" t="n"/>
      <c r="P357" s="66" t="n"/>
      <c r="Q357" s="66" t="n"/>
      <c r="R357" s="66" t="n"/>
      <c r="S357" s="66" t="n"/>
      <c r="T357" s="66" t="n"/>
      <c r="U357" s="66" t="n"/>
      <c r="V357" s="66" t="n"/>
      <c r="W357" s="66" t="n"/>
      <c r="X357" s="66" t="n"/>
      <c r="Y357" s="66" t="n"/>
      <c r="Z357" s="66" t="n"/>
      <c r="AA357" s="66" t="n"/>
      <c r="AB357" s="66" t="n"/>
      <c r="AC357" s="66" t="n"/>
      <c r="AD357" s="66" t="n"/>
      <c r="AE357" s="66" t="n"/>
      <c r="AF357" s="66" t="n"/>
      <c r="AG357" s="66" t="n"/>
      <c r="AH357" s="66" t="n"/>
      <c r="AI357" s="66" t="n"/>
      <c r="AJ357" s="66" t="n"/>
      <c r="AK357" s="66" t="n"/>
      <c r="AL357" s="66" t="n"/>
      <c r="AM357" s="66" t="n"/>
      <c r="AN357" s="66" t="n"/>
      <c r="AO357" s="66" t="n"/>
      <c r="AP357" s="66" t="n"/>
      <c r="AQ357" s="66" t="n">
        <v>173490000</v>
      </c>
      <c r="AS357" s="67">
        <f>MROUND(FORECAST(AQ357,AQ345:AQ356,AS345:AS356),100000)</f>
        <v/>
      </c>
    </row>
    <row r="358">
      <c r="A358" s="60" t="n">
        <v>39873</v>
      </c>
      <c r="B358" s="66" t="n"/>
      <c r="C358" s="66" t="n"/>
      <c r="D358" s="66" t="n"/>
      <c r="E358" s="66" t="n"/>
      <c r="F358" s="66" t="n"/>
      <c r="G358" s="66" t="n"/>
      <c r="H358" s="66" t="n"/>
      <c r="I358" s="66" t="n"/>
      <c r="J358" s="66" t="n"/>
      <c r="K358" s="66" t="n"/>
      <c r="L358" s="66" t="n"/>
      <c r="M358" s="66" t="n"/>
      <c r="N358" s="66" t="n"/>
      <c r="O358" s="66" t="n"/>
      <c r="P358" s="66" t="n"/>
      <c r="Q358" s="66" t="n"/>
      <c r="R358" s="66" t="n"/>
      <c r="S358" s="66" t="n"/>
      <c r="T358" s="66" t="n"/>
      <c r="U358" s="66" t="n"/>
      <c r="V358" s="66" t="n"/>
      <c r="W358" s="66" t="n"/>
      <c r="X358" s="66" t="n"/>
      <c r="Y358" s="66" t="n"/>
      <c r="Z358" s="66" t="n"/>
      <c r="AA358" s="66" t="n"/>
      <c r="AB358" s="66" t="n"/>
      <c r="AC358" s="66" t="n"/>
      <c r="AD358" s="66" t="n"/>
      <c r="AE358" s="66" t="n"/>
      <c r="AF358" s="66" t="n"/>
      <c r="AG358" s="66" t="n"/>
      <c r="AH358" s="66" t="n"/>
      <c r="AI358" s="66" t="n"/>
      <c r="AJ358" s="66" t="n"/>
      <c r="AK358" s="66" t="n"/>
      <c r="AL358" s="66" t="n"/>
      <c r="AM358" s="66" t="n"/>
      <c r="AN358" s="66" t="n"/>
      <c r="AO358" s="66" t="n"/>
      <c r="AP358" s="66" t="n"/>
      <c r="AQ358" s="66" t="n">
        <v>189140000</v>
      </c>
      <c r="AS358" s="67">
        <f>MROUND(FORECAST(AQ358,AQ346:AQ357,AS346:AS357),100000)</f>
        <v/>
      </c>
    </row>
    <row r="359">
      <c r="A359" s="60" t="n">
        <v>39904</v>
      </c>
      <c r="B359" s="66" t="n"/>
      <c r="C359" s="66" t="n"/>
      <c r="D359" s="66" t="n"/>
      <c r="E359" s="66" t="n"/>
      <c r="F359" s="66" t="n"/>
      <c r="G359" s="66" t="n"/>
      <c r="H359" s="66" t="n"/>
      <c r="I359" s="66" t="n"/>
      <c r="J359" s="66" t="n"/>
      <c r="K359" s="66" t="n"/>
      <c r="L359" s="66" t="n"/>
      <c r="M359" s="66" t="n"/>
      <c r="N359" s="66" t="n"/>
      <c r="O359" s="66" t="n"/>
      <c r="P359" s="66" t="n"/>
      <c r="Q359" s="66" t="n"/>
      <c r="R359" s="66" t="n"/>
      <c r="S359" s="66" t="n"/>
      <c r="T359" s="66" t="n"/>
      <c r="U359" s="66" t="n"/>
      <c r="V359" s="66" t="n"/>
      <c r="W359" s="66" t="n"/>
      <c r="X359" s="66" t="n"/>
      <c r="Y359" s="66" t="n"/>
      <c r="Z359" s="66" t="n"/>
      <c r="AA359" s="66" t="n"/>
      <c r="AB359" s="66" t="n"/>
      <c r="AC359" s="66" t="n"/>
      <c r="AD359" s="66" t="n"/>
      <c r="AE359" s="66" t="n"/>
      <c r="AF359" s="66" t="n"/>
      <c r="AG359" s="66" t="n"/>
      <c r="AH359" s="66" t="n"/>
      <c r="AI359" s="66" t="n"/>
      <c r="AJ359" s="66" t="n"/>
      <c r="AK359" s="66" t="n"/>
      <c r="AL359" s="66" t="n"/>
      <c r="AM359" s="66" t="n"/>
      <c r="AN359" s="66" t="n"/>
      <c r="AO359" s="66" t="n"/>
      <c r="AP359" s="66" t="n"/>
      <c r="AQ359" s="66" t="n">
        <v>186640000</v>
      </c>
      <c r="AS359" s="67">
        <f>MROUND(FORECAST(AQ359,AQ347:AQ358,AS347:AS358),100000)</f>
        <v/>
      </c>
    </row>
    <row r="360">
      <c r="A360" s="60" t="n">
        <v>39934</v>
      </c>
      <c r="B360" s="66" t="n"/>
      <c r="C360" s="66" t="n"/>
      <c r="D360" s="66" t="n"/>
      <c r="E360" s="66" t="n"/>
      <c r="F360" s="66" t="n"/>
      <c r="G360" s="66" t="n"/>
      <c r="H360" s="66" t="n"/>
      <c r="I360" s="66" t="n"/>
      <c r="J360" s="66" t="n"/>
      <c r="K360" s="66" t="n"/>
      <c r="L360" s="66" t="n"/>
      <c r="M360" s="66" t="n"/>
      <c r="N360" s="66" t="n"/>
      <c r="O360" s="66" t="n"/>
      <c r="P360" s="66" t="n"/>
      <c r="Q360" s="66" t="n"/>
      <c r="R360" s="66" t="n"/>
      <c r="S360" s="66" t="n"/>
      <c r="T360" s="66" t="n"/>
      <c r="U360" s="66" t="n"/>
      <c r="V360" s="66" t="n"/>
      <c r="W360" s="66" t="n"/>
      <c r="X360" s="66" t="n"/>
      <c r="Y360" s="66" t="n"/>
      <c r="Z360" s="66" t="n"/>
      <c r="AA360" s="66" t="n"/>
      <c r="AB360" s="66" t="n"/>
      <c r="AC360" s="66" t="n"/>
      <c r="AD360" s="66" t="n"/>
      <c r="AE360" s="66" t="n"/>
      <c r="AF360" s="66" t="n"/>
      <c r="AG360" s="66" t="n"/>
      <c r="AH360" s="66" t="n"/>
      <c r="AI360" s="66" t="n"/>
      <c r="AJ360" s="66" t="n"/>
      <c r="AK360" s="66" t="n"/>
      <c r="AL360" s="66" t="n"/>
      <c r="AM360" s="66" t="n"/>
      <c r="AN360" s="66" t="n"/>
      <c r="AO360" s="66" t="n"/>
      <c r="AP360" s="66" t="n"/>
      <c r="AQ360" s="66" t="n">
        <v>198780000</v>
      </c>
      <c r="AS360" s="67">
        <f>MROUND(FORECAST(AQ360,AQ348:AQ359,AS348:AS359),100000)</f>
        <v/>
      </c>
    </row>
    <row r="361">
      <c r="A361" s="60" t="n">
        <v>39965</v>
      </c>
      <c r="B361" s="66" t="n"/>
      <c r="C361" s="66" t="n"/>
      <c r="D361" s="66" t="n"/>
      <c r="E361" s="66" t="n"/>
      <c r="F361" s="66" t="n"/>
      <c r="G361" s="66" t="n"/>
      <c r="H361" s="66" t="n"/>
      <c r="I361" s="66" t="n"/>
      <c r="J361" s="66" t="n"/>
      <c r="K361" s="66" t="n"/>
      <c r="L361" s="66" t="n"/>
      <c r="M361" s="66" t="n"/>
      <c r="N361" s="66" t="n"/>
      <c r="O361" s="66" t="n"/>
      <c r="P361" s="66" t="n"/>
      <c r="Q361" s="66" t="n"/>
      <c r="R361" s="66" t="n"/>
      <c r="S361" s="66" t="n"/>
      <c r="T361" s="66" t="n"/>
      <c r="U361" s="66" t="n"/>
      <c r="V361" s="66" t="n"/>
      <c r="W361" s="66" t="n"/>
      <c r="X361" s="66" t="n"/>
      <c r="Y361" s="66" t="n"/>
      <c r="Z361" s="66" t="n"/>
      <c r="AA361" s="66" t="n"/>
      <c r="AB361" s="66" t="n"/>
      <c r="AC361" s="66" t="n"/>
      <c r="AD361" s="66" t="n"/>
      <c r="AE361" s="66" t="n"/>
      <c r="AF361" s="66" t="n"/>
      <c r="AG361" s="66" t="n"/>
      <c r="AH361" s="66" t="n"/>
      <c r="AI361" s="66" t="n"/>
      <c r="AJ361" s="66" t="n"/>
      <c r="AK361" s="66" t="n"/>
      <c r="AL361" s="66" t="n"/>
      <c r="AM361" s="66" t="n"/>
      <c r="AN361" s="66" t="n"/>
      <c r="AO361" s="66" t="n"/>
      <c r="AP361" s="66" t="n"/>
      <c r="AQ361" s="66" t="n">
        <v>191280000</v>
      </c>
      <c r="AS361" s="67">
        <f>MROUND(FORECAST(AQ361,AQ349:AQ360,AS349:AS360),100000)</f>
        <v/>
      </c>
    </row>
    <row r="362">
      <c r="A362" s="60" t="n">
        <v>39995</v>
      </c>
      <c r="B362" s="66" t="n"/>
      <c r="C362" s="66" t="n"/>
      <c r="D362" s="66" t="n"/>
      <c r="E362" s="66" t="n"/>
      <c r="F362" s="66" t="n"/>
      <c r="G362" s="66" t="n"/>
      <c r="H362" s="66" t="n"/>
      <c r="I362" s="66" t="n"/>
      <c r="J362" s="66" t="n"/>
      <c r="K362" s="66" t="n"/>
      <c r="L362" s="66" t="n"/>
      <c r="M362" s="66" t="n"/>
      <c r="N362" s="66" t="n"/>
      <c r="O362" s="66" t="n"/>
      <c r="P362" s="66" t="n"/>
      <c r="Q362" s="66" t="n"/>
      <c r="R362" s="66" t="n"/>
      <c r="S362" s="66" t="n"/>
      <c r="T362" s="66" t="n"/>
      <c r="U362" s="66" t="n"/>
      <c r="V362" s="66" t="n"/>
      <c r="W362" s="66" t="n"/>
      <c r="X362" s="66" t="n"/>
      <c r="Y362" s="66" t="n"/>
      <c r="Z362" s="66" t="n"/>
      <c r="AA362" s="66" t="n"/>
      <c r="AB362" s="66" t="n"/>
      <c r="AC362" s="66" t="n"/>
      <c r="AD362" s="66" t="n"/>
      <c r="AE362" s="66" t="n"/>
      <c r="AF362" s="66" t="n"/>
      <c r="AG362" s="66" t="n"/>
      <c r="AH362" s="66" t="n"/>
      <c r="AI362" s="66" t="n"/>
      <c r="AJ362" s="66" t="n"/>
      <c r="AK362" s="66" t="n"/>
      <c r="AL362" s="66" t="n"/>
      <c r="AM362" s="66" t="n"/>
      <c r="AN362" s="66" t="n"/>
      <c r="AO362" s="66" t="n"/>
      <c r="AP362" s="66" t="n"/>
      <c r="AQ362" s="66" t="n">
        <v>195520000</v>
      </c>
      <c r="AS362" s="67">
        <f>MROUND(FORECAST(AQ362,AQ350:AQ361,AS350:AS361),100000)</f>
        <v/>
      </c>
    </row>
    <row r="363">
      <c r="A363" s="60" t="n">
        <v>40026</v>
      </c>
      <c r="B363" s="66" t="n"/>
      <c r="C363" s="66" t="n"/>
      <c r="D363" s="66" t="n"/>
      <c r="E363" s="66" t="n"/>
      <c r="F363" s="66" t="n"/>
      <c r="G363" s="66" t="n"/>
      <c r="H363" s="66" t="n"/>
      <c r="I363" s="66" t="n"/>
      <c r="J363" s="66" t="n"/>
      <c r="K363" s="66" t="n"/>
      <c r="L363" s="66" t="n"/>
      <c r="M363" s="66" t="n"/>
      <c r="N363" s="66" t="n"/>
      <c r="O363" s="66" t="n"/>
      <c r="P363" s="66" t="n"/>
      <c r="Q363" s="66" t="n"/>
      <c r="R363" s="66" t="n"/>
      <c r="S363" s="66" t="n"/>
      <c r="T363" s="66" t="n"/>
      <c r="U363" s="66" t="n"/>
      <c r="V363" s="66" t="n"/>
      <c r="W363" s="66" t="n"/>
      <c r="X363" s="66" t="n"/>
      <c r="Y363" s="66" t="n"/>
      <c r="Z363" s="66" t="n"/>
      <c r="AA363" s="66" t="n"/>
      <c r="AB363" s="66" t="n"/>
      <c r="AC363" s="66" t="n"/>
      <c r="AD363" s="66" t="n"/>
      <c r="AE363" s="66" t="n"/>
      <c r="AF363" s="66" t="n"/>
      <c r="AG363" s="66" t="n"/>
      <c r="AH363" s="66" t="n"/>
      <c r="AI363" s="66" t="n"/>
      <c r="AJ363" s="66" t="n"/>
      <c r="AK363" s="66" t="n"/>
      <c r="AL363" s="66" t="n"/>
      <c r="AM363" s="66" t="n"/>
      <c r="AN363" s="66" t="n"/>
      <c r="AO363" s="66" t="n"/>
      <c r="AP363" s="66" t="n"/>
      <c r="AQ363" s="66" t="n">
        <v>194090000</v>
      </c>
      <c r="AS363" s="67">
        <f>MROUND(FORECAST(AQ363,AQ351:AQ362,AS351:AS362),100000)</f>
        <v/>
      </c>
    </row>
    <row r="364">
      <c r="A364" s="60" t="n">
        <v>40057</v>
      </c>
      <c r="B364" s="66" t="n"/>
      <c r="C364" s="66" t="n"/>
      <c r="D364" s="66" t="n"/>
      <c r="E364" s="66" t="n"/>
      <c r="F364" s="66" t="n"/>
      <c r="G364" s="66" t="n"/>
      <c r="H364" s="66" t="n"/>
      <c r="I364" s="66" t="n"/>
      <c r="J364" s="66" t="n"/>
      <c r="K364" s="66" t="n"/>
      <c r="L364" s="66" t="n"/>
      <c r="M364" s="66" t="n"/>
      <c r="N364" s="66" t="n"/>
      <c r="O364" s="66" t="n"/>
      <c r="P364" s="66" t="n"/>
      <c r="Q364" s="66" t="n"/>
      <c r="R364" s="66" t="n"/>
      <c r="S364" s="66" t="n"/>
      <c r="T364" s="66" t="n"/>
      <c r="U364" s="66" t="n"/>
      <c r="V364" s="66" t="n"/>
      <c r="W364" s="66" t="n"/>
      <c r="X364" s="66" t="n"/>
      <c r="Y364" s="66" t="n"/>
      <c r="Z364" s="66" t="n"/>
      <c r="AA364" s="66" t="n"/>
      <c r="AB364" s="66" t="n"/>
      <c r="AC364" s="66" t="n"/>
      <c r="AD364" s="66" t="n"/>
      <c r="AE364" s="66" t="n"/>
      <c r="AF364" s="66" t="n"/>
      <c r="AG364" s="66" t="n"/>
      <c r="AH364" s="66" t="n"/>
      <c r="AI364" s="66" t="n"/>
      <c r="AJ364" s="66" t="n"/>
      <c r="AK364" s="66" t="n"/>
      <c r="AL364" s="66" t="n"/>
      <c r="AM364" s="66" t="n"/>
      <c r="AN364" s="66" t="n"/>
      <c r="AO364" s="66" t="n"/>
      <c r="AP364" s="66" t="n"/>
      <c r="AQ364" s="66" t="n">
        <v>181440000</v>
      </c>
      <c r="AS364" s="67">
        <f>MROUND(FORECAST(AQ364,AQ352:AQ363,AS352:AS363),100000)</f>
        <v/>
      </c>
    </row>
    <row r="365">
      <c r="A365" s="60" t="n">
        <v>40087</v>
      </c>
      <c r="B365" s="66" t="n"/>
      <c r="C365" s="66" t="n"/>
      <c r="D365" s="66" t="n"/>
      <c r="E365" s="66" t="n"/>
      <c r="F365" s="66" t="n"/>
      <c r="G365" s="66" t="n"/>
      <c r="H365" s="66" t="n"/>
      <c r="I365" s="66" t="n"/>
      <c r="J365" s="66" t="n"/>
      <c r="K365" s="66" t="n"/>
      <c r="L365" s="66" t="n"/>
      <c r="M365" s="66" t="n"/>
      <c r="N365" s="66" t="n"/>
      <c r="O365" s="66" t="n"/>
      <c r="P365" s="66" t="n"/>
      <c r="Q365" s="66" t="n"/>
      <c r="R365" s="66" t="n"/>
      <c r="S365" s="66" t="n"/>
      <c r="T365" s="66" t="n"/>
      <c r="U365" s="66" t="n"/>
      <c r="V365" s="66" t="n"/>
      <c r="W365" s="66" t="n"/>
      <c r="X365" s="66" t="n"/>
      <c r="Y365" s="66" t="n"/>
      <c r="Z365" s="66" t="n"/>
      <c r="AA365" s="66" t="n"/>
      <c r="AB365" s="66" t="n"/>
      <c r="AC365" s="66" t="n"/>
      <c r="AD365" s="66" t="n"/>
      <c r="AE365" s="66" t="n"/>
      <c r="AF365" s="66" t="n"/>
      <c r="AG365" s="66" t="n"/>
      <c r="AH365" s="66" t="n"/>
      <c r="AI365" s="66" t="n"/>
      <c r="AJ365" s="66" t="n"/>
      <c r="AK365" s="66" t="n"/>
      <c r="AL365" s="66" t="n"/>
      <c r="AM365" s="66" t="n"/>
      <c r="AN365" s="66" t="n"/>
      <c r="AO365" s="66" t="n"/>
      <c r="AP365" s="66" t="n"/>
      <c r="AQ365" s="66" t="n">
        <v>188650000</v>
      </c>
      <c r="AS365" s="67">
        <f>MROUND(FORECAST(AQ365,AQ353:AQ364,AS353:AS364),100000)</f>
        <v/>
      </c>
    </row>
    <row r="366">
      <c r="A366" s="60" t="n">
        <v>40118</v>
      </c>
      <c r="B366" s="66" t="n"/>
      <c r="C366" s="66" t="n"/>
      <c r="D366" s="66" t="n"/>
      <c r="E366" s="66" t="n"/>
      <c r="F366" s="66" t="n"/>
      <c r="G366" s="66" t="n"/>
      <c r="H366" s="66" t="n"/>
      <c r="I366" s="66" t="n"/>
      <c r="J366" s="66" t="n"/>
      <c r="K366" s="66" t="n"/>
      <c r="L366" s="66" t="n"/>
      <c r="M366" s="66" t="n"/>
      <c r="N366" s="66" t="n"/>
      <c r="O366" s="66" t="n"/>
      <c r="P366" s="66" t="n"/>
      <c r="Q366" s="66" t="n"/>
      <c r="R366" s="66" t="n"/>
      <c r="S366" s="66" t="n"/>
      <c r="T366" s="66" t="n"/>
      <c r="U366" s="66" t="n"/>
      <c r="V366" s="66" t="n"/>
      <c r="W366" s="66" t="n"/>
      <c r="X366" s="66" t="n"/>
      <c r="Y366" s="66" t="n"/>
      <c r="Z366" s="66" t="n"/>
      <c r="AA366" s="66" t="n"/>
      <c r="AB366" s="66" t="n"/>
      <c r="AC366" s="66" t="n"/>
      <c r="AD366" s="66" t="n"/>
      <c r="AE366" s="66" t="n"/>
      <c r="AF366" s="66" t="n"/>
      <c r="AG366" s="66" t="n"/>
      <c r="AH366" s="66" t="n"/>
      <c r="AI366" s="66" t="n"/>
      <c r="AJ366" s="66" t="n"/>
      <c r="AK366" s="66" t="n"/>
      <c r="AL366" s="66" t="n"/>
      <c r="AM366" s="66" t="n"/>
      <c r="AN366" s="66" t="n"/>
      <c r="AO366" s="66" t="n"/>
      <c r="AP366" s="66" t="n"/>
      <c r="AQ366" s="66" t="n">
        <v>176980000</v>
      </c>
      <c r="AS366" s="67">
        <f>MROUND(FORECAST(AQ366,AQ354:AQ365,AS354:AS365),100000)</f>
        <v/>
      </c>
    </row>
    <row r="367">
      <c r="A367" s="60" t="n">
        <v>40148</v>
      </c>
      <c r="B367" s="66" t="n"/>
      <c r="C367" s="66" t="n"/>
      <c r="D367" s="66" t="n"/>
      <c r="E367" s="66" t="n"/>
      <c r="F367" s="66" t="n"/>
      <c r="G367" s="66" t="n"/>
      <c r="H367" s="66" t="n"/>
      <c r="I367" s="66" t="n"/>
      <c r="J367" s="66" t="n"/>
      <c r="K367" s="66" t="n"/>
      <c r="L367" s="66" t="n"/>
      <c r="M367" s="66" t="n"/>
      <c r="N367" s="66" t="n"/>
      <c r="O367" s="66" t="n"/>
      <c r="P367" s="66" t="n"/>
      <c r="Q367" s="66" t="n"/>
      <c r="R367" s="66" t="n"/>
      <c r="S367" s="66" t="n"/>
      <c r="T367" s="66" t="n"/>
      <c r="U367" s="66" t="n"/>
      <c r="V367" s="66" t="n"/>
      <c r="W367" s="66" t="n"/>
      <c r="X367" s="66" t="n"/>
      <c r="Y367" s="66" t="n"/>
      <c r="Z367" s="66" t="n"/>
      <c r="AA367" s="66" t="n"/>
      <c r="AB367" s="66" t="n"/>
      <c r="AC367" s="66" t="n"/>
      <c r="AD367" s="66" t="n"/>
      <c r="AE367" s="66" t="n"/>
      <c r="AF367" s="66" t="n"/>
      <c r="AG367" s="66" t="n"/>
      <c r="AH367" s="66" t="n"/>
      <c r="AI367" s="66" t="n"/>
      <c r="AJ367" s="66" t="n"/>
      <c r="AK367" s="66" t="n"/>
      <c r="AL367" s="66" t="n"/>
      <c r="AM367" s="66" t="n"/>
      <c r="AN367" s="66" t="n"/>
      <c r="AO367" s="66" t="n"/>
      <c r="AP367" s="66" t="n"/>
      <c r="AQ367" s="66" t="n">
        <v>187100000</v>
      </c>
      <c r="AS367" s="67">
        <f>MROUND(FORECAST(AQ367,AQ355:AQ366,AS355:AS366),100000)</f>
        <v/>
      </c>
    </row>
    <row r="368">
      <c r="A368" s="60" t="n">
        <v>40179</v>
      </c>
      <c r="B368" s="66" t="n"/>
      <c r="C368" s="66" t="n"/>
      <c r="D368" s="66" t="n"/>
      <c r="E368" s="66" t="n"/>
      <c r="F368" s="66" t="n"/>
      <c r="G368" s="66" t="n"/>
      <c r="H368" s="66" t="n"/>
      <c r="I368" s="66" t="n"/>
      <c r="J368" s="66" t="n"/>
      <c r="K368" s="66" t="n"/>
      <c r="L368" s="66" t="n"/>
      <c r="M368" s="66" t="n"/>
      <c r="N368" s="66" t="n"/>
      <c r="O368" s="66" t="n"/>
      <c r="P368" s="66" t="n"/>
      <c r="Q368" s="66" t="n"/>
      <c r="R368" s="66" t="n"/>
      <c r="S368" s="66" t="n"/>
      <c r="T368" s="66" t="n"/>
      <c r="U368" s="66" t="n"/>
      <c r="V368" s="66" t="n"/>
      <c r="W368" s="66" t="n"/>
      <c r="X368" s="66" t="n"/>
      <c r="Y368" s="66" t="n"/>
      <c r="Z368" s="66" t="n"/>
      <c r="AA368" s="66" t="n"/>
      <c r="AB368" s="66" t="n"/>
      <c r="AC368" s="66" t="n"/>
      <c r="AD368" s="66" t="n"/>
      <c r="AE368" s="66" t="n"/>
      <c r="AF368" s="66" t="n"/>
      <c r="AG368" s="66" t="n"/>
      <c r="AH368" s="66" t="n"/>
      <c r="AI368" s="66" t="n"/>
      <c r="AJ368" s="66" t="n"/>
      <c r="AK368" s="66" t="n"/>
      <c r="AL368" s="66" t="n"/>
      <c r="AM368" s="66" t="n"/>
      <c r="AN368" s="66" t="n"/>
      <c r="AO368" s="66" t="n"/>
      <c r="AP368" s="66" t="n"/>
      <c r="AQ368" s="66" t="n">
        <v>172030000</v>
      </c>
      <c r="AS368" s="67">
        <f>MROUND(FORECAST(AQ368,AQ356:AQ367,AS356:AS367),100000)</f>
        <v/>
      </c>
    </row>
    <row r="369">
      <c r="A369" s="60" t="n">
        <v>40210</v>
      </c>
      <c r="B369" s="66" t="n"/>
      <c r="C369" s="66" t="n"/>
      <c r="D369" s="66" t="n"/>
      <c r="E369" s="66" t="n"/>
      <c r="F369" s="66" t="n"/>
      <c r="G369" s="66" t="n"/>
      <c r="H369" s="66" t="n"/>
      <c r="I369" s="66" t="n"/>
      <c r="J369" s="66" t="n"/>
      <c r="K369" s="66" t="n"/>
      <c r="L369" s="66" t="n"/>
      <c r="M369" s="66" t="n"/>
      <c r="N369" s="66" t="n"/>
      <c r="O369" s="66" t="n"/>
      <c r="P369" s="66" t="n"/>
      <c r="Q369" s="66" t="n"/>
      <c r="R369" s="66" t="n"/>
      <c r="S369" s="66" t="n"/>
      <c r="T369" s="66" t="n"/>
      <c r="U369" s="66" t="n"/>
      <c r="V369" s="66" t="n"/>
      <c r="W369" s="66" t="n"/>
      <c r="X369" s="66" t="n"/>
      <c r="Y369" s="66" t="n"/>
      <c r="Z369" s="66" t="n"/>
      <c r="AA369" s="66" t="n"/>
      <c r="AB369" s="66" t="n"/>
      <c r="AC369" s="66" t="n"/>
      <c r="AD369" s="66" t="n"/>
      <c r="AE369" s="66" t="n"/>
      <c r="AF369" s="66" t="n"/>
      <c r="AG369" s="66" t="n"/>
      <c r="AH369" s="66" t="n"/>
      <c r="AI369" s="66" t="n"/>
      <c r="AJ369" s="66" t="n"/>
      <c r="AK369" s="66" t="n"/>
      <c r="AL369" s="66" t="n"/>
      <c r="AM369" s="66" t="n"/>
      <c r="AN369" s="66" t="n"/>
      <c r="AO369" s="66" t="n"/>
      <c r="AP369" s="66" t="n"/>
      <c r="AQ369" s="66" t="n">
        <v>170360000</v>
      </c>
      <c r="AS369" s="67">
        <f>MROUND(FORECAST(AQ369,AQ357:AQ368,AS357:AS368),100000)</f>
        <v/>
      </c>
    </row>
    <row r="370">
      <c r="A370" s="60" t="n">
        <v>40238</v>
      </c>
      <c r="B370" s="66" t="n"/>
      <c r="C370" s="66" t="n"/>
      <c r="D370" s="66" t="n"/>
      <c r="E370" s="66" t="n"/>
      <c r="F370" s="66" t="n"/>
      <c r="G370" s="66" t="n"/>
      <c r="H370" s="66" t="n"/>
      <c r="I370" s="66" t="n"/>
      <c r="J370" s="66" t="n"/>
      <c r="K370" s="66" t="n"/>
      <c r="L370" s="66" t="n"/>
      <c r="M370" s="66" t="n"/>
      <c r="N370" s="66" t="n"/>
      <c r="O370" s="66" t="n"/>
      <c r="P370" s="66" t="n"/>
      <c r="Q370" s="66" t="n"/>
      <c r="R370" s="66" t="n"/>
      <c r="S370" s="66" t="n"/>
      <c r="T370" s="66" t="n"/>
      <c r="U370" s="66" t="n"/>
      <c r="V370" s="66" t="n"/>
      <c r="W370" s="66" t="n"/>
      <c r="X370" s="66" t="n"/>
      <c r="Y370" s="66" t="n"/>
      <c r="Z370" s="66" t="n"/>
      <c r="AA370" s="66" t="n"/>
      <c r="AB370" s="66" t="n"/>
      <c r="AC370" s="66" t="n"/>
      <c r="AD370" s="66" t="n"/>
      <c r="AE370" s="66" t="n"/>
      <c r="AF370" s="66" t="n"/>
      <c r="AG370" s="66" t="n"/>
      <c r="AH370" s="66" t="n"/>
      <c r="AI370" s="66" t="n"/>
      <c r="AJ370" s="66" t="n"/>
      <c r="AK370" s="66" t="n"/>
      <c r="AL370" s="66" t="n"/>
      <c r="AM370" s="66" t="n"/>
      <c r="AN370" s="66" t="n"/>
      <c r="AO370" s="66" t="n"/>
      <c r="AP370" s="66" t="n"/>
      <c r="AQ370" s="66" t="n">
        <v>188680000</v>
      </c>
      <c r="AS370" s="67">
        <f>MROUND(FORECAST(AQ370,AQ358:AQ369,AS358:AS369),100000)</f>
        <v/>
      </c>
    </row>
    <row r="371">
      <c r="A371" s="60" t="n">
        <v>40269</v>
      </c>
      <c r="B371" s="66" t="n"/>
      <c r="C371" s="66" t="n"/>
      <c r="D371" s="66" t="n"/>
      <c r="E371" s="66" t="n"/>
      <c r="F371" s="66" t="n"/>
      <c r="G371" s="66" t="n"/>
      <c r="H371" s="66" t="n"/>
      <c r="I371" s="66" t="n"/>
      <c r="J371" s="66" t="n"/>
      <c r="K371" s="66" t="n"/>
      <c r="L371" s="66" t="n"/>
      <c r="M371" s="66" t="n"/>
      <c r="N371" s="66" t="n"/>
      <c r="O371" s="66" t="n"/>
      <c r="P371" s="66" t="n"/>
      <c r="Q371" s="66" t="n"/>
      <c r="R371" s="66" t="n"/>
      <c r="S371" s="66" t="n"/>
      <c r="T371" s="66" t="n"/>
      <c r="U371" s="66" t="n"/>
      <c r="V371" s="66" t="n"/>
      <c r="W371" s="66" t="n"/>
      <c r="X371" s="66" t="n"/>
      <c r="Y371" s="66" t="n"/>
      <c r="Z371" s="66" t="n"/>
      <c r="AA371" s="66" t="n"/>
      <c r="AB371" s="66" t="n"/>
      <c r="AC371" s="66" t="n"/>
      <c r="AD371" s="66" t="n"/>
      <c r="AE371" s="66" t="n"/>
      <c r="AF371" s="66" t="n"/>
      <c r="AG371" s="66" t="n"/>
      <c r="AH371" s="66" t="n"/>
      <c r="AI371" s="66" t="n"/>
      <c r="AJ371" s="66" t="n"/>
      <c r="AK371" s="66" t="n"/>
      <c r="AL371" s="66" t="n"/>
      <c r="AM371" s="66" t="n"/>
      <c r="AN371" s="66" t="n"/>
      <c r="AO371" s="66" t="n"/>
      <c r="AP371" s="66" t="n"/>
      <c r="AQ371" s="66" t="n">
        <v>188590000</v>
      </c>
      <c r="AS371" s="67">
        <f>MROUND(FORECAST(AQ371,AQ359:AQ370,AS359:AS370),100000)</f>
        <v/>
      </c>
    </row>
    <row r="372">
      <c r="A372" s="60" t="n">
        <v>40299</v>
      </c>
      <c r="B372" s="66" t="n"/>
      <c r="C372" s="66" t="n"/>
      <c r="D372" s="66" t="n"/>
      <c r="E372" s="66" t="n"/>
      <c r="F372" s="66" t="n"/>
      <c r="G372" s="66" t="n"/>
      <c r="H372" s="66" t="n"/>
      <c r="I372" s="66" t="n"/>
      <c r="J372" s="66" t="n"/>
      <c r="K372" s="66" t="n"/>
      <c r="L372" s="66" t="n"/>
      <c r="M372" s="66" t="n"/>
      <c r="N372" s="66" t="n"/>
      <c r="O372" s="66" t="n"/>
      <c r="P372" s="66" t="n"/>
      <c r="Q372" s="66" t="n"/>
      <c r="R372" s="66" t="n"/>
      <c r="S372" s="66" t="n"/>
      <c r="T372" s="66" t="n"/>
      <c r="U372" s="66" t="n"/>
      <c r="V372" s="66" t="n"/>
      <c r="W372" s="66" t="n"/>
      <c r="X372" s="66" t="n"/>
      <c r="Y372" s="66" t="n"/>
      <c r="Z372" s="66" t="n"/>
      <c r="AA372" s="66" t="n"/>
      <c r="AB372" s="66" t="n"/>
      <c r="AC372" s="66" t="n"/>
      <c r="AD372" s="66" t="n"/>
      <c r="AE372" s="66" t="n"/>
      <c r="AF372" s="66" t="n"/>
      <c r="AG372" s="66" t="n"/>
      <c r="AH372" s="66" t="n"/>
      <c r="AI372" s="66" t="n"/>
      <c r="AJ372" s="66" t="n"/>
      <c r="AK372" s="66" t="n"/>
      <c r="AL372" s="66" t="n"/>
      <c r="AM372" s="66" t="n"/>
      <c r="AN372" s="66" t="n"/>
      <c r="AO372" s="66" t="n"/>
      <c r="AP372" s="66" t="n"/>
      <c r="AQ372" s="66" t="n">
        <v>195590000</v>
      </c>
      <c r="AS372" s="67">
        <f>MROUND(FORECAST(AQ372,AQ360:AQ371,AS360:AS371),100000)</f>
        <v/>
      </c>
    </row>
    <row r="373">
      <c r="A373" s="60" t="n">
        <v>40330</v>
      </c>
      <c r="B373" s="66" t="n"/>
      <c r="C373" s="66" t="n"/>
      <c r="D373" s="66" t="n"/>
      <c r="E373" s="66" t="n"/>
      <c r="F373" s="66" t="n"/>
      <c r="G373" s="66" t="n"/>
      <c r="H373" s="66" t="n"/>
      <c r="I373" s="66" t="n"/>
      <c r="J373" s="66" t="n"/>
      <c r="K373" s="66" t="n"/>
      <c r="L373" s="66" t="n"/>
      <c r="M373" s="66" t="n"/>
      <c r="N373" s="66" t="n"/>
      <c r="O373" s="66" t="n"/>
      <c r="P373" s="66" t="n"/>
      <c r="Q373" s="66" t="n"/>
      <c r="R373" s="66" t="n"/>
      <c r="S373" s="66" t="n"/>
      <c r="T373" s="66" t="n"/>
      <c r="U373" s="66" t="n"/>
      <c r="V373" s="66" t="n"/>
      <c r="W373" s="66" t="n"/>
      <c r="X373" s="66" t="n"/>
      <c r="Y373" s="66" t="n"/>
      <c r="Z373" s="66" t="n"/>
      <c r="AA373" s="66" t="n"/>
      <c r="AB373" s="66" t="n"/>
      <c r="AC373" s="66" t="n"/>
      <c r="AD373" s="66" t="n"/>
      <c r="AE373" s="66" t="n"/>
      <c r="AF373" s="66" t="n"/>
      <c r="AG373" s="66" t="n"/>
      <c r="AH373" s="66" t="n"/>
      <c r="AI373" s="66" t="n"/>
      <c r="AJ373" s="66" t="n"/>
      <c r="AK373" s="66" t="n"/>
      <c r="AL373" s="66" t="n"/>
      <c r="AM373" s="66" t="n"/>
      <c r="AN373" s="66" t="n"/>
      <c r="AO373" s="66" t="n"/>
      <c r="AP373" s="66" t="n"/>
      <c r="AQ373" s="66" t="n">
        <v>190520000</v>
      </c>
      <c r="AS373" s="67">
        <f>MROUND(FORECAST(AQ373,AQ361:AQ372,AS361:AS372),100000)</f>
        <v/>
      </c>
    </row>
    <row r="374">
      <c r="A374" s="60" t="n">
        <v>40360</v>
      </c>
      <c r="B374" s="66" t="n"/>
      <c r="C374" s="66" t="n"/>
      <c r="D374" s="66" t="n"/>
      <c r="E374" s="66" t="n"/>
      <c r="F374" s="66" t="n"/>
      <c r="G374" s="66" t="n"/>
      <c r="H374" s="66" t="n"/>
      <c r="I374" s="66" t="n"/>
      <c r="J374" s="66" t="n"/>
      <c r="K374" s="66" t="n"/>
      <c r="L374" s="66" t="n"/>
      <c r="M374" s="66" t="n"/>
      <c r="N374" s="66" t="n"/>
      <c r="O374" s="66" t="n"/>
      <c r="P374" s="66" t="n"/>
      <c r="Q374" s="66" t="n"/>
      <c r="R374" s="66" t="n"/>
      <c r="S374" s="66" t="n"/>
      <c r="T374" s="66" t="n"/>
      <c r="U374" s="66" t="n"/>
      <c r="V374" s="66" t="n"/>
      <c r="W374" s="66" t="n"/>
      <c r="X374" s="66" t="n"/>
      <c r="Y374" s="66" t="n"/>
      <c r="Z374" s="66" t="n"/>
      <c r="AA374" s="66" t="n"/>
      <c r="AB374" s="66" t="n"/>
      <c r="AC374" s="66" t="n"/>
      <c r="AD374" s="66" t="n"/>
      <c r="AE374" s="66" t="n"/>
      <c r="AF374" s="66" t="n"/>
      <c r="AG374" s="66" t="n"/>
      <c r="AH374" s="66" t="n"/>
      <c r="AI374" s="66" t="n"/>
      <c r="AJ374" s="66" t="n"/>
      <c r="AK374" s="66" t="n"/>
      <c r="AL374" s="66" t="n"/>
      <c r="AM374" s="66" t="n"/>
      <c r="AN374" s="66" t="n"/>
      <c r="AO374" s="66" t="n"/>
      <c r="AP374" s="66" t="n"/>
      <c r="AQ374" s="66" t="n">
        <v>197690000</v>
      </c>
      <c r="AS374" s="67">
        <f>MROUND(FORECAST(AQ374,AQ362:AQ373,AS362:AS373),100000)</f>
        <v/>
      </c>
    </row>
    <row r="375">
      <c r="A375" s="60" t="n">
        <v>40391</v>
      </c>
      <c r="B375" s="66" t="n"/>
      <c r="C375" s="66" t="n"/>
      <c r="D375" s="66" t="n"/>
      <c r="E375" s="66" t="n"/>
      <c r="F375" s="66" t="n"/>
      <c r="G375" s="66" t="n"/>
      <c r="H375" s="66" t="n"/>
      <c r="I375" s="66" t="n"/>
      <c r="J375" s="66" t="n"/>
      <c r="K375" s="66" t="n"/>
      <c r="L375" s="66" t="n"/>
      <c r="M375" s="66" t="n"/>
      <c r="N375" s="66" t="n"/>
      <c r="O375" s="66" t="n"/>
      <c r="P375" s="66" t="n"/>
      <c r="Q375" s="66" t="n"/>
      <c r="R375" s="66" t="n"/>
      <c r="S375" s="66" t="n"/>
      <c r="T375" s="66" t="n"/>
      <c r="U375" s="66" t="n"/>
      <c r="V375" s="66" t="n"/>
      <c r="W375" s="66" t="n"/>
      <c r="X375" s="66" t="n"/>
      <c r="Y375" s="66" t="n"/>
      <c r="Z375" s="66" t="n"/>
      <c r="AA375" s="66" t="n"/>
      <c r="AB375" s="66" t="n"/>
      <c r="AC375" s="66" t="n"/>
      <c r="AD375" s="66" t="n"/>
      <c r="AE375" s="66" t="n"/>
      <c r="AF375" s="66" t="n"/>
      <c r="AG375" s="66" t="n"/>
      <c r="AH375" s="66" t="n"/>
      <c r="AI375" s="66" t="n"/>
      <c r="AJ375" s="66" t="n"/>
      <c r="AK375" s="66" t="n"/>
      <c r="AL375" s="66" t="n"/>
      <c r="AM375" s="66" t="n"/>
      <c r="AN375" s="66" t="n"/>
      <c r="AO375" s="66" t="n"/>
      <c r="AP375" s="66" t="n"/>
      <c r="AQ375" s="66" t="n">
        <v>194200000</v>
      </c>
      <c r="AS375" s="67">
        <f>MROUND(FORECAST(AQ375,AQ363:AQ374,AS363:AS374),100000)</f>
        <v/>
      </c>
    </row>
    <row r="376">
      <c r="A376" s="60" t="n">
        <v>40422</v>
      </c>
      <c r="B376" s="66" t="n"/>
      <c r="C376" s="66" t="n"/>
      <c r="D376" s="66" t="n"/>
      <c r="E376" s="66" t="n"/>
      <c r="F376" s="66" t="n"/>
      <c r="G376" s="66" t="n"/>
      <c r="H376" s="66" t="n"/>
      <c r="I376" s="66" t="n"/>
      <c r="J376" s="66" t="n"/>
      <c r="K376" s="66" t="n"/>
      <c r="L376" s="66" t="n"/>
      <c r="M376" s="66" t="n"/>
      <c r="N376" s="66" t="n"/>
      <c r="O376" s="66" t="n"/>
      <c r="P376" s="66" t="n"/>
      <c r="Q376" s="66" t="n"/>
      <c r="R376" s="66" t="n"/>
      <c r="S376" s="66" t="n"/>
      <c r="T376" s="66" t="n"/>
      <c r="U376" s="66" t="n"/>
      <c r="V376" s="66" t="n"/>
      <c r="W376" s="66" t="n"/>
      <c r="X376" s="66" t="n"/>
      <c r="Y376" s="66" t="n"/>
      <c r="Z376" s="66" t="n"/>
      <c r="AA376" s="66" t="n"/>
      <c r="AB376" s="66" t="n"/>
      <c r="AC376" s="66" t="n"/>
      <c r="AD376" s="66" t="n"/>
      <c r="AE376" s="66" t="n"/>
      <c r="AF376" s="66" t="n"/>
      <c r="AG376" s="66" t="n"/>
      <c r="AH376" s="66" t="n"/>
      <c r="AI376" s="66" t="n"/>
      <c r="AJ376" s="66" t="n"/>
      <c r="AK376" s="66" t="n"/>
      <c r="AL376" s="66" t="n"/>
      <c r="AM376" s="66" t="n"/>
      <c r="AN376" s="66" t="n"/>
      <c r="AO376" s="66" t="n"/>
      <c r="AP376" s="66" t="n"/>
      <c r="AQ376" s="66" t="n">
        <v>183170000</v>
      </c>
      <c r="AS376" s="67">
        <f>MROUND(FORECAST(AQ376,AQ364:AQ375,AS364:AS375),100000)</f>
        <v/>
      </c>
    </row>
    <row r="377">
      <c r="A377" s="60" t="n">
        <v>40452</v>
      </c>
      <c r="B377" s="66" t="n"/>
      <c r="C377" s="66" t="n"/>
      <c r="D377" s="66" t="n"/>
      <c r="E377" s="66" t="n"/>
      <c r="F377" s="66" t="n"/>
      <c r="G377" s="66" t="n"/>
      <c r="H377" s="66" t="n"/>
      <c r="I377" s="66" t="n"/>
      <c r="J377" s="66" t="n"/>
      <c r="K377" s="66" t="n"/>
      <c r="L377" s="66" t="n"/>
      <c r="M377" s="66" t="n"/>
      <c r="N377" s="66" t="n"/>
      <c r="O377" s="66" t="n"/>
      <c r="P377" s="66" t="n"/>
      <c r="Q377" s="66" t="n"/>
      <c r="R377" s="66" t="n"/>
      <c r="S377" s="66" t="n"/>
      <c r="T377" s="66" t="n"/>
      <c r="U377" s="66" t="n"/>
      <c r="V377" s="66" t="n"/>
      <c r="W377" s="66" t="n"/>
      <c r="X377" s="66" t="n"/>
      <c r="Y377" s="66" t="n"/>
      <c r="Z377" s="66" t="n"/>
      <c r="AA377" s="66" t="n"/>
      <c r="AB377" s="66" t="n"/>
      <c r="AC377" s="66" t="n"/>
      <c r="AD377" s="66" t="n"/>
      <c r="AE377" s="66" t="n"/>
      <c r="AF377" s="66" t="n"/>
      <c r="AG377" s="66" t="n"/>
      <c r="AH377" s="66" t="n"/>
      <c r="AI377" s="66" t="n"/>
      <c r="AJ377" s="66" t="n"/>
      <c r="AK377" s="66" t="n"/>
      <c r="AL377" s="66" t="n"/>
      <c r="AM377" s="66" t="n"/>
      <c r="AN377" s="66" t="n"/>
      <c r="AO377" s="66" t="n"/>
      <c r="AP377" s="66" t="n"/>
      <c r="AQ377" s="66" t="n">
        <v>191080000</v>
      </c>
      <c r="AS377" s="67">
        <f>MROUND(FORECAST(AQ377,AQ365:AQ376,AS365:AS376),100000)</f>
        <v/>
      </c>
    </row>
    <row r="378">
      <c r="A378" s="60" t="n">
        <v>40483</v>
      </c>
      <c r="B378" s="66" t="n"/>
      <c r="C378" s="66" t="n"/>
      <c r="D378" s="66" t="n"/>
      <c r="E378" s="66" t="n"/>
      <c r="F378" s="66" t="n"/>
      <c r="G378" s="66" t="n"/>
      <c r="H378" s="66" t="n"/>
      <c r="I378" s="66" t="n"/>
      <c r="J378" s="66" t="n"/>
      <c r="K378" s="66" t="n"/>
      <c r="L378" s="66" t="n"/>
      <c r="M378" s="66" t="n"/>
      <c r="N378" s="66" t="n"/>
      <c r="O378" s="66" t="n"/>
      <c r="P378" s="66" t="n"/>
      <c r="Q378" s="66" t="n"/>
      <c r="R378" s="66" t="n"/>
      <c r="S378" s="66" t="n"/>
      <c r="T378" s="66" t="n"/>
      <c r="U378" s="66" t="n"/>
      <c r="V378" s="66" t="n"/>
      <c r="W378" s="66" t="n"/>
      <c r="X378" s="66" t="n"/>
      <c r="Y378" s="66" t="n"/>
      <c r="Z378" s="66" t="n"/>
      <c r="AA378" s="66" t="n"/>
      <c r="AB378" s="66" t="n"/>
      <c r="AC378" s="66" t="n"/>
      <c r="AD378" s="66" t="n"/>
      <c r="AE378" s="66" t="n"/>
      <c r="AF378" s="66" t="n"/>
      <c r="AG378" s="66" t="n"/>
      <c r="AH378" s="66" t="n"/>
      <c r="AI378" s="66" t="n"/>
      <c r="AJ378" s="66" t="n"/>
      <c r="AK378" s="66" t="n"/>
      <c r="AL378" s="66" t="n"/>
      <c r="AM378" s="66" t="n"/>
      <c r="AN378" s="66" t="n"/>
      <c r="AO378" s="66" t="n"/>
      <c r="AP378" s="66" t="n"/>
      <c r="AQ378" s="66" t="n">
        <v>179980000</v>
      </c>
      <c r="AS378" s="67">
        <f>MROUND(FORECAST(AQ378,AQ366:AQ377,AS366:AS377),100000)</f>
        <v/>
      </c>
    </row>
    <row r="379">
      <c r="A379" s="60" t="n">
        <v>40513</v>
      </c>
      <c r="B379" s="66" t="n"/>
      <c r="C379" s="66" t="n"/>
      <c r="D379" s="66" t="n"/>
      <c r="E379" s="66" t="n"/>
      <c r="F379" s="66" t="n"/>
      <c r="G379" s="66" t="n"/>
      <c r="H379" s="66" t="n"/>
      <c r="I379" s="66" t="n"/>
      <c r="J379" s="66" t="n"/>
      <c r="K379" s="66" t="n"/>
      <c r="L379" s="66" t="n"/>
      <c r="M379" s="66" t="n"/>
      <c r="N379" s="66" t="n"/>
      <c r="O379" s="66" t="n"/>
      <c r="P379" s="66" t="n"/>
      <c r="Q379" s="66" t="n"/>
      <c r="R379" s="66" t="n"/>
      <c r="S379" s="66" t="n"/>
      <c r="T379" s="66" t="n"/>
      <c r="U379" s="66" t="n"/>
      <c r="V379" s="66" t="n"/>
      <c r="W379" s="66" t="n"/>
      <c r="X379" s="66" t="n"/>
      <c r="Y379" s="66" t="n"/>
      <c r="Z379" s="66" t="n"/>
      <c r="AA379" s="66" t="n"/>
      <c r="AB379" s="66" t="n"/>
      <c r="AC379" s="66" t="n"/>
      <c r="AD379" s="66" t="n"/>
      <c r="AE379" s="66" t="n"/>
      <c r="AF379" s="66" t="n"/>
      <c r="AG379" s="66" t="n"/>
      <c r="AH379" s="66" t="n"/>
      <c r="AI379" s="66" t="n"/>
      <c r="AJ379" s="66" t="n"/>
      <c r="AK379" s="66" t="n"/>
      <c r="AL379" s="66" t="n"/>
      <c r="AM379" s="66" t="n"/>
      <c r="AN379" s="66" t="n"/>
      <c r="AO379" s="66" t="n"/>
      <c r="AP379" s="66" t="n"/>
      <c r="AQ379" s="66" t="n">
        <v>191300000</v>
      </c>
      <c r="AS379" s="67">
        <f>MROUND(FORECAST(AQ379,AQ367:AQ378,AS367:AS378),100000)</f>
        <v/>
      </c>
    </row>
    <row r="380">
      <c r="A380" s="60" t="n">
        <v>40544</v>
      </c>
      <c r="B380" s="66" t="n"/>
      <c r="C380" s="66" t="n"/>
      <c r="D380" s="66" t="n"/>
      <c r="E380" s="66" t="n"/>
      <c r="F380" s="66" t="n"/>
      <c r="G380" s="66" t="n"/>
      <c r="H380" s="66" t="n"/>
      <c r="I380" s="66" t="n"/>
      <c r="J380" s="66" t="n"/>
      <c r="K380" s="66" t="n"/>
      <c r="L380" s="66" t="n"/>
      <c r="M380" s="66" t="n"/>
      <c r="N380" s="66" t="n"/>
      <c r="O380" s="66" t="n"/>
      <c r="P380" s="66" t="n"/>
      <c r="Q380" s="66" t="n"/>
      <c r="R380" s="66" t="n"/>
      <c r="S380" s="66" t="n"/>
      <c r="T380" s="66" t="n"/>
      <c r="U380" s="66" t="n"/>
      <c r="V380" s="66" t="n"/>
      <c r="W380" s="66" t="n"/>
      <c r="X380" s="66" t="n"/>
      <c r="Y380" s="66" t="n"/>
      <c r="Z380" s="66" t="n"/>
      <c r="AA380" s="66" t="n"/>
      <c r="AB380" s="66" t="n"/>
      <c r="AC380" s="66" t="n"/>
      <c r="AD380" s="66" t="n"/>
      <c r="AE380" s="66" t="n"/>
      <c r="AF380" s="66" t="n"/>
      <c r="AG380" s="66" t="n"/>
      <c r="AH380" s="66" t="n"/>
      <c r="AI380" s="66" t="n"/>
      <c r="AJ380" s="66" t="n"/>
      <c r="AK380" s="66" t="n"/>
      <c r="AL380" s="66" t="n"/>
      <c r="AM380" s="66" t="n"/>
      <c r="AN380" s="66" t="n"/>
      <c r="AO380" s="66" t="n"/>
      <c r="AP380" s="66" t="n"/>
      <c r="AQ380" s="66" t="n">
        <v>188000000</v>
      </c>
      <c r="AS380" s="67">
        <f>MROUND(FORECAST(AQ380,AQ368:AQ379,AS368:AS379),100000)</f>
        <v/>
      </c>
    </row>
    <row r="381">
      <c r="A381" s="60" t="n">
        <v>40575</v>
      </c>
      <c r="B381" s="66" t="n"/>
      <c r="C381" s="66" t="n"/>
      <c r="D381" s="66" t="n"/>
      <c r="E381" s="66" t="n"/>
      <c r="F381" s="66" t="n"/>
      <c r="G381" s="66" t="n"/>
      <c r="H381" s="66" t="n"/>
      <c r="I381" s="66" t="n"/>
      <c r="J381" s="66" t="n"/>
      <c r="K381" s="66" t="n"/>
      <c r="L381" s="66" t="n"/>
      <c r="M381" s="66" t="n"/>
      <c r="N381" s="66" t="n"/>
      <c r="O381" s="66" t="n"/>
      <c r="P381" s="66" t="n"/>
      <c r="Q381" s="66" t="n"/>
      <c r="R381" s="66" t="n"/>
      <c r="S381" s="66" t="n"/>
      <c r="T381" s="66" t="n"/>
      <c r="U381" s="66" t="n"/>
      <c r="V381" s="66" t="n"/>
      <c r="W381" s="66" t="n"/>
      <c r="X381" s="66" t="n"/>
      <c r="Y381" s="66" t="n"/>
      <c r="Z381" s="66" t="n"/>
      <c r="AA381" s="66" t="n"/>
      <c r="AB381" s="66" t="n"/>
      <c r="AC381" s="66" t="n"/>
      <c r="AD381" s="66" t="n"/>
      <c r="AE381" s="66" t="n"/>
      <c r="AF381" s="66" t="n"/>
      <c r="AG381" s="66" t="n"/>
      <c r="AH381" s="66" t="n"/>
      <c r="AI381" s="66" t="n"/>
      <c r="AJ381" s="66" t="n"/>
      <c r="AK381" s="66" t="n"/>
      <c r="AL381" s="66" t="n"/>
      <c r="AM381" s="66" t="n"/>
      <c r="AN381" s="66" t="n"/>
      <c r="AO381" s="66" t="n"/>
      <c r="AP381" s="66" t="n"/>
      <c r="AQ381" s="66" t="n">
        <v>189130000</v>
      </c>
      <c r="AS381" s="67">
        <f>MROUND(FORECAST(AQ381,AQ369:AQ380,AS369:AS380),100000)</f>
        <v/>
      </c>
    </row>
    <row r="382">
      <c r="A382" s="60" t="n">
        <v>40603</v>
      </c>
      <c r="B382" s="66" t="n"/>
      <c r="C382" s="66" t="n"/>
      <c r="D382" s="66" t="n"/>
      <c r="E382" s="66" t="n"/>
      <c r="F382" s="66" t="n"/>
      <c r="G382" s="66" t="n"/>
      <c r="H382" s="66" t="n"/>
      <c r="I382" s="66" t="n"/>
      <c r="J382" s="66" t="n"/>
      <c r="K382" s="66" t="n"/>
      <c r="L382" s="66" t="n"/>
      <c r="M382" s="66" t="n"/>
      <c r="N382" s="66" t="n"/>
      <c r="O382" s="66" t="n"/>
      <c r="P382" s="66" t="n"/>
      <c r="Q382" s="66" t="n"/>
      <c r="R382" s="66" t="n"/>
      <c r="S382" s="66" t="n"/>
      <c r="T382" s="66" t="n"/>
      <c r="U382" s="66" t="n"/>
      <c r="V382" s="66" t="n"/>
      <c r="W382" s="66" t="n"/>
      <c r="X382" s="66" t="n"/>
      <c r="Y382" s="66" t="n"/>
      <c r="Z382" s="66" t="n"/>
      <c r="AA382" s="66" t="n"/>
      <c r="AB382" s="66" t="n"/>
      <c r="AC382" s="66" t="n"/>
      <c r="AD382" s="66" t="n"/>
      <c r="AE382" s="66" t="n"/>
      <c r="AF382" s="66" t="n"/>
      <c r="AG382" s="66" t="n"/>
      <c r="AH382" s="66" t="n"/>
      <c r="AI382" s="66" t="n"/>
      <c r="AJ382" s="66" t="n"/>
      <c r="AK382" s="66" t="n"/>
      <c r="AL382" s="66" t="n"/>
      <c r="AM382" s="66" t="n"/>
      <c r="AN382" s="66" t="n"/>
      <c r="AO382" s="66" t="n"/>
      <c r="AP382" s="66" t="n"/>
      <c r="AQ382" s="66" t="n">
        <v>211020000</v>
      </c>
      <c r="AS382" s="67">
        <f>MROUND(FORECAST(AQ382,AQ370:AQ381,AS370:AS381),100000)</f>
        <v/>
      </c>
    </row>
    <row r="383">
      <c r="A383" s="60" t="n">
        <v>40634</v>
      </c>
      <c r="B383" s="66" t="n"/>
      <c r="C383" s="66" t="n"/>
      <c r="D383" s="66" t="n"/>
      <c r="E383" s="66" t="n"/>
      <c r="F383" s="66" t="n"/>
      <c r="G383" s="66" t="n"/>
      <c r="H383" s="66" t="n"/>
      <c r="I383" s="66" t="n"/>
      <c r="J383" s="66" t="n"/>
      <c r="K383" s="66" t="n"/>
      <c r="L383" s="66" t="n"/>
      <c r="M383" s="66" t="n"/>
      <c r="N383" s="66" t="n"/>
      <c r="O383" s="66" t="n"/>
      <c r="P383" s="66" t="n"/>
      <c r="Q383" s="66" t="n"/>
      <c r="R383" s="66" t="n"/>
      <c r="S383" s="66" t="n"/>
      <c r="T383" s="66" t="n"/>
      <c r="U383" s="66" t="n"/>
      <c r="V383" s="66" t="n"/>
      <c r="W383" s="66" t="n"/>
      <c r="X383" s="66" t="n"/>
      <c r="Y383" s="66" t="n"/>
      <c r="Z383" s="66" t="n"/>
      <c r="AA383" s="66" t="n"/>
      <c r="AB383" s="66" t="n"/>
      <c r="AC383" s="66" t="n"/>
      <c r="AD383" s="66" t="n"/>
      <c r="AE383" s="66" t="n"/>
      <c r="AF383" s="66" t="n"/>
      <c r="AG383" s="66" t="n"/>
      <c r="AH383" s="66" t="n"/>
      <c r="AI383" s="66" t="n"/>
      <c r="AJ383" s="66" t="n"/>
      <c r="AK383" s="66" t="n"/>
      <c r="AL383" s="66" t="n"/>
      <c r="AM383" s="66" t="n"/>
      <c r="AN383" s="66" t="n"/>
      <c r="AO383" s="66" t="n"/>
      <c r="AP383" s="66" t="n"/>
      <c r="AQ383" s="66" t="n">
        <v>209970000</v>
      </c>
      <c r="AS383" s="67">
        <f>MROUND(FORECAST(AQ383,AQ371:AQ382,AS371:AS382),100000)</f>
        <v/>
      </c>
    </row>
    <row r="384">
      <c r="A384" s="60" t="n">
        <v>40664</v>
      </c>
      <c r="B384" s="66" t="n"/>
      <c r="C384" s="66" t="n"/>
      <c r="D384" s="66" t="n"/>
      <c r="E384" s="66" t="n"/>
      <c r="F384" s="66" t="n"/>
      <c r="G384" s="66" t="n"/>
      <c r="H384" s="66" t="n"/>
      <c r="I384" s="66" t="n"/>
      <c r="J384" s="66" t="n"/>
      <c r="K384" s="66" t="n"/>
      <c r="L384" s="66" t="n"/>
      <c r="M384" s="66" t="n"/>
      <c r="N384" s="66" t="n"/>
      <c r="O384" s="66" t="n"/>
      <c r="P384" s="66" t="n"/>
      <c r="Q384" s="66" t="n"/>
      <c r="R384" s="66" t="n"/>
      <c r="S384" s="66" t="n"/>
      <c r="T384" s="66" t="n"/>
      <c r="U384" s="66" t="n"/>
      <c r="V384" s="66" t="n"/>
      <c r="W384" s="66" t="n"/>
      <c r="X384" s="66" t="n"/>
      <c r="Y384" s="66" t="n"/>
      <c r="Z384" s="66" t="n"/>
      <c r="AA384" s="66" t="n"/>
      <c r="AB384" s="66" t="n"/>
      <c r="AC384" s="66" t="n"/>
      <c r="AD384" s="66" t="n"/>
      <c r="AE384" s="66" t="n"/>
      <c r="AF384" s="66" t="n"/>
      <c r="AG384" s="66" t="n"/>
      <c r="AH384" s="66" t="n"/>
      <c r="AI384" s="66" t="n"/>
      <c r="AJ384" s="66" t="n"/>
      <c r="AK384" s="66" t="n"/>
      <c r="AL384" s="66" t="n"/>
      <c r="AM384" s="66" t="n"/>
      <c r="AN384" s="66" t="n"/>
      <c r="AO384" s="66" t="n"/>
      <c r="AP384" s="66" t="n"/>
      <c r="AQ384" s="66" t="n">
        <v>216670000</v>
      </c>
      <c r="AS384" s="67">
        <f>MROUND(FORECAST(AQ384,AQ372:AQ383,AS372:AS383),100000)</f>
        <v/>
      </c>
    </row>
    <row r="385">
      <c r="A385" s="60" t="n">
        <v>40695</v>
      </c>
      <c r="B385" s="66" t="n"/>
      <c r="C385" s="66" t="n"/>
      <c r="D385" s="66" t="n"/>
      <c r="E385" s="66" t="n"/>
      <c r="F385" s="66" t="n"/>
      <c r="G385" s="66" t="n"/>
      <c r="H385" s="66" t="n"/>
      <c r="I385" s="66" t="n"/>
      <c r="J385" s="66" t="n"/>
      <c r="K385" s="66" t="n"/>
      <c r="L385" s="66" t="n"/>
      <c r="M385" s="66" t="n"/>
      <c r="N385" s="66" t="n"/>
      <c r="O385" s="66" t="n"/>
      <c r="P385" s="66" t="n"/>
      <c r="Q385" s="66" t="n"/>
      <c r="R385" s="66" t="n"/>
      <c r="S385" s="66" t="n"/>
      <c r="T385" s="66" t="n"/>
      <c r="U385" s="66" t="n"/>
      <c r="V385" s="66" t="n"/>
      <c r="W385" s="66" t="n"/>
      <c r="X385" s="66" t="n"/>
      <c r="Y385" s="66" t="n"/>
      <c r="Z385" s="66" t="n"/>
      <c r="AA385" s="66" t="n"/>
      <c r="AB385" s="66" t="n"/>
      <c r="AC385" s="66" t="n"/>
      <c r="AD385" s="66" t="n"/>
      <c r="AE385" s="66" t="n"/>
      <c r="AF385" s="66" t="n"/>
      <c r="AG385" s="66" t="n"/>
      <c r="AH385" s="66" t="n"/>
      <c r="AI385" s="66" t="n"/>
      <c r="AJ385" s="66" t="n"/>
      <c r="AK385" s="66" t="n"/>
      <c r="AL385" s="66" t="n"/>
      <c r="AM385" s="66" t="n"/>
      <c r="AN385" s="66" t="n"/>
      <c r="AO385" s="66" t="n"/>
      <c r="AP385" s="66" t="n"/>
      <c r="AQ385" s="66" t="n">
        <v>213260000</v>
      </c>
      <c r="AS385" s="67">
        <f>MROUND(FORECAST(AQ385,AQ373:AQ384,AS373:AS384),100000)</f>
        <v/>
      </c>
    </row>
    <row r="386">
      <c r="A386" s="60" t="n">
        <v>40725</v>
      </c>
      <c r="B386" s="66" t="n"/>
      <c r="C386" s="66" t="n"/>
      <c r="D386" s="66" t="n"/>
      <c r="E386" s="66" t="n"/>
      <c r="F386" s="66" t="n"/>
      <c r="G386" s="66" t="n"/>
      <c r="H386" s="66" t="n"/>
      <c r="I386" s="66" t="n"/>
      <c r="J386" s="66" t="n"/>
      <c r="K386" s="66" t="n"/>
      <c r="L386" s="66" t="n"/>
      <c r="M386" s="66" t="n"/>
      <c r="N386" s="66" t="n"/>
      <c r="O386" s="66" t="n"/>
      <c r="P386" s="66" t="n"/>
      <c r="Q386" s="66" t="n"/>
      <c r="R386" s="66" t="n"/>
      <c r="S386" s="66" t="n"/>
      <c r="T386" s="66" t="n"/>
      <c r="U386" s="66" t="n"/>
      <c r="V386" s="66" t="n"/>
      <c r="W386" s="66" t="n"/>
      <c r="X386" s="66" t="n"/>
      <c r="Y386" s="66" t="n"/>
      <c r="Z386" s="66" t="n"/>
      <c r="AA386" s="66" t="n"/>
      <c r="AB386" s="66" t="n"/>
      <c r="AC386" s="66" t="n"/>
      <c r="AD386" s="66" t="n"/>
      <c r="AE386" s="66" t="n"/>
      <c r="AF386" s="66" t="n"/>
      <c r="AG386" s="66" t="n"/>
      <c r="AH386" s="66" t="n"/>
      <c r="AI386" s="66" t="n"/>
      <c r="AJ386" s="66" t="n"/>
      <c r="AK386" s="66" t="n"/>
      <c r="AL386" s="66" t="n"/>
      <c r="AM386" s="66" t="n"/>
      <c r="AN386" s="66" t="n"/>
      <c r="AO386" s="66" t="n"/>
      <c r="AP386" s="66" t="n"/>
      <c r="AQ386" s="66" t="n">
        <v>219110000</v>
      </c>
      <c r="AS386" s="67">
        <f>MROUND(FORECAST(AQ386,AQ374:AQ385,AS374:AS385),100000)</f>
        <v/>
      </c>
    </row>
    <row r="387">
      <c r="A387" s="60" t="n">
        <v>40756</v>
      </c>
      <c r="B387" s="66" t="n"/>
      <c r="C387" s="66" t="n"/>
      <c r="D387" s="66" t="n"/>
      <c r="E387" s="66" t="n"/>
      <c r="F387" s="66" t="n"/>
      <c r="G387" s="66" t="n"/>
      <c r="H387" s="66" t="n"/>
      <c r="I387" s="66" t="n"/>
      <c r="J387" s="66" t="n"/>
      <c r="K387" s="66" t="n"/>
      <c r="L387" s="66" t="n"/>
      <c r="M387" s="66" t="n"/>
      <c r="N387" s="66" t="n"/>
      <c r="O387" s="66" t="n"/>
      <c r="P387" s="66" t="n"/>
      <c r="Q387" s="66" t="n"/>
      <c r="R387" s="66" t="n"/>
      <c r="S387" s="66" t="n"/>
      <c r="T387" s="66" t="n"/>
      <c r="U387" s="66" t="n"/>
      <c r="V387" s="66" t="n"/>
      <c r="W387" s="66" t="n"/>
      <c r="X387" s="66" t="n"/>
      <c r="Y387" s="66" t="n"/>
      <c r="Z387" s="66" t="n"/>
      <c r="AA387" s="66" t="n"/>
      <c r="AB387" s="66" t="n"/>
      <c r="AC387" s="66" t="n"/>
      <c r="AD387" s="66" t="n"/>
      <c r="AE387" s="66" t="n"/>
      <c r="AF387" s="66" t="n"/>
      <c r="AG387" s="66" t="n"/>
      <c r="AH387" s="66" t="n"/>
      <c r="AI387" s="66" t="n"/>
      <c r="AJ387" s="66" t="n"/>
      <c r="AK387" s="66" t="n"/>
      <c r="AL387" s="66" t="n"/>
      <c r="AM387" s="66" t="n"/>
      <c r="AN387" s="66" t="n"/>
      <c r="AO387" s="66" t="n"/>
      <c r="AP387" s="66" t="n"/>
      <c r="AQ387" s="66" t="n">
        <v>214800000</v>
      </c>
      <c r="AS387" s="67">
        <f>MROUND(FORECAST(AQ387,AQ375:AQ386,AS375:AS386),100000)</f>
        <v/>
      </c>
    </row>
    <row r="388">
      <c r="A388" s="60" t="n">
        <v>40787</v>
      </c>
      <c r="B388" s="66" t="n"/>
      <c r="C388" s="66" t="n"/>
      <c r="D388" s="66" t="n"/>
      <c r="E388" s="66" t="n"/>
      <c r="F388" s="66" t="n"/>
      <c r="G388" s="66" t="n"/>
      <c r="H388" s="66" t="n"/>
      <c r="I388" s="66" t="n"/>
      <c r="J388" s="66" t="n"/>
      <c r="K388" s="66" t="n"/>
      <c r="L388" s="66" t="n"/>
      <c r="M388" s="66" t="n"/>
      <c r="N388" s="66" t="n"/>
      <c r="O388" s="66" t="n"/>
      <c r="P388" s="66" t="n"/>
      <c r="Q388" s="66" t="n"/>
      <c r="R388" s="66" t="n"/>
      <c r="S388" s="66" t="n"/>
      <c r="T388" s="66" t="n"/>
      <c r="U388" s="66" t="n"/>
      <c r="V388" s="66" t="n"/>
      <c r="W388" s="66" t="n"/>
      <c r="X388" s="66" t="n"/>
      <c r="Y388" s="66" t="n"/>
      <c r="Z388" s="66" t="n"/>
      <c r="AA388" s="66" t="n"/>
      <c r="AB388" s="66" t="n"/>
      <c r="AC388" s="66" t="n"/>
      <c r="AD388" s="66" t="n"/>
      <c r="AE388" s="66" t="n"/>
      <c r="AF388" s="66" t="n"/>
      <c r="AG388" s="66" t="n"/>
      <c r="AH388" s="66" t="n"/>
      <c r="AI388" s="66" t="n"/>
      <c r="AJ388" s="66" t="n"/>
      <c r="AK388" s="66" t="n"/>
      <c r="AL388" s="66" t="n"/>
      <c r="AM388" s="66" t="n"/>
      <c r="AN388" s="66" t="n"/>
      <c r="AO388" s="66" t="n"/>
      <c r="AP388" s="66" t="n"/>
      <c r="AQ388" s="66" t="n">
        <v>206830000</v>
      </c>
      <c r="AS388" s="67">
        <f>MROUND(FORECAST(AQ388,AQ376:AQ387,AS376:AS387),100000)</f>
        <v/>
      </c>
    </row>
    <row r="389">
      <c r="A389" s="60" t="n">
        <v>40817</v>
      </c>
      <c r="B389" s="66" t="n"/>
      <c r="C389" s="66" t="n"/>
      <c r="D389" s="66" t="n"/>
      <c r="E389" s="66" t="n"/>
      <c r="F389" s="66" t="n"/>
      <c r="G389" s="66" t="n"/>
      <c r="H389" s="66" t="n"/>
      <c r="I389" s="66" t="n"/>
      <c r="J389" s="66" t="n"/>
      <c r="K389" s="66" t="n"/>
      <c r="L389" s="66" t="n"/>
      <c r="M389" s="66" t="n"/>
      <c r="N389" s="66" t="n"/>
      <c r="O389" s="66" t="n"/>
      <c r="P389" s="66" t="n"/>
      <c r="Q389" s="66" t="n"/>
      <c r="R389" s="66" t="n"/>
      <c r="S389" s="66" t="n"/>
      <c r="T389" s="66" t="n"/>
      <c r="U389" s="66" t="n"/>
      <c r="V389" s="66" t="n"/>
      <c r="W389" s="66" t="n"/>
      <c r="X389" s="66" t="n"/>
      <c r="Y389" s="66" t="n"/>
      <c r="Z389" s="66" t="n"/>
      <c r="AA389" s="66" t="n"/>
      <c r="AB389" s="66" t="n"/>
      <c r="AC389" s="66" t="n"/>
      <c r="AD389" s="66" t="n"/>
      <c r="AE389" s="66" t="n"/>
      <c r="AF389" s="66" t="n"/>
      <c r="AG389" s="66" t="n"/>
      <c r="AH389" s="66" t="n"/>
      <c r="AI389" s="66" t="n"/>
      <c r="AJ389" s="66" t="n"/>
      <c r="AK389" s="66" t="n"/>
      <c r="AL389" s="66" t="n"/>
      <c r="AM389" s="66" t="n"/>
      <c r="AN389" s="66" t="n"/>
      <c r="AO389" s="66" t="n"/>
      <c r="AP389" s="66" t="n"/>
      <c r="AQ389" s="66" t="n">
        <v>211200000</v>
      </c>
      <c r="AS389" s="67">
        <f>MROUND(FORECAST(AQ389,AQ377:AQ388,AS377:AS388),100000)</f>
        <v/>
      </c>
    </row>
    <row r="390">
      <c r="A390" s="60" t="n">
        <v>40848</v>
      </c>
      <c r="B390" s="66" t="n"/>
      <c r="C390" s="66" t="n"/>
      <c r="D390" s="66" t="n"/>
      <c r="E390" s="66" t="n"/>
      <c r="F390" s="66" t="n"/>
      <c r="G390" s="66" t="n"/>
      <c r="H390" s="66" t="n"/>
      <c r="I390" s="66" t="n"/>
      <c r="J390" s="66" t="n"/>
      <c r="K390" s="66" t="n"/>
      <c r="L390" s="66" t="n"/>
      <c r="M390" s="66" t="n"/>
      <c r="N390" s="66" t="n"/>
      <c r="O390" s="66" t="n"/>
      <c r="P390" s="66" t="n"/>
      <c r="Q390" s="66" t="n"/>
      <c r="R390" s="66" t="n"/>
      <c r="S390" s="66" t="n"/>
      <c r="T390" s="66" t="n"/>
      <c r="U390" s="66" t="n"/>
      <c r="V390" s="66" t="n"/>
      <c r="W390" s="66" t="n"/>
      <c r="X390" s="66" t="n"/>
      <c r="Y390" s="66" t="n"/>
      <c r="Z390" s="66" t="n"/>
      <c r="AA390" s="66" t="n"/>
      <c r="AB390" s="66" t="n"/>
      <c r="AC390" s="66" t="n"/>
      <c r="AD390" s="66" t="n"/>
      <c r="AE390" s="66" t="n"/>
      <c r="AF390" s="66" t="n"/>
      <c r="AG390" s="66" t="n"/>
      <c r="AH390" s="66" t="n"/>
      <c r="AI390" s="66" t="n"/>
      <c r="AJ390" s="66" t="n"/>
      <c r="AK390" s="66" t="n"/>
      <c r="AL390" s="66" t="n"/>
      <c r="AM390" s="66" t="n"/>
      <c r="AN390" s="66" t="n"/>
      <c r="AO390" s="66" t="n"/>
      <c r="AP390" s="66" t="n"/>
      <c r="AQ390" s="66" t="n">
        <v>199410000</v>
      </c>
      <c r="AS390" s="67">
        <f>MROUND(FORECAST(AQ390,AQ378:AQ389,AS378:AS389),100000)</f>
        <v/>
      </c>
    </row>
    <row r="391">
      <c r="A391" s="60" t="n">
        <v>40878</v>
      </c>
      <c r="B391" s="66" t="n"/>
      <c r="C391" s="66" t="n"/>
      <c r="D391" s="66" t="n"/>
      <c r="E391" s="66" t="n"/>
      <c r="F391" s="66" t="n"/>
      <c r="G391" s="66" t="n"/>
      <c r="H391" s="66" t="n"/>
      <c r="I391" s="66" t="n"/>
      <c r="J391" s="66" t="n"/>
      <c r="K391" s="66" t="n"/>
      <c r="L391" s="66" t="n"/>
      <c r="M391" s="66" t="n"/>
      <c r="N391" s="66" t="n"/>
      <c r="O391" s="66" t="n"/>
      <c r="P391" s="66" t="n"/>
      <c r="Q391" s="66" t="n"/>
      <c r="R391" s="66" t="n"/>
      <c r="S391" s="66" t="n"/>
      <c r="T391" s="66" t="n"/>
      <c r="U391" s="66" t="n"/>
      <c r="V391" s="66" t="n"/>
      <c r="W391" s="66" t="n"/>
      <c r="X391" s="66" t="n"/>
      <c r="Y391" s="66" t="n"/>
      <c r="Z391" s="66" t="n"/>
      <c r="AA391" s="66" t="n"/>
      <c r="AB391" s="66" t="n"/>
      <c r="AC391" s="66" t="n"/>
      <c r="AD391" s="66" t="n"/>
      <c r="AE391" s="66" t="n"/>
      <c r="AF391" s="66" t="n"/>
      <c r="AG391" s="66" t="n"/>
      <c r="AH391" s="66" t="n"/>
      <c r="AI391" s="66" t="n"/>
      <c r="AJ391" s="66" t="n"/>
      <c r="AK391" s="66" t="n"/>
      <c r="AL391" s="66" t="n"/>
      <c r="AM391" s="66" t="n"/>
      <c r="AN391" s="66" t="n"/>
      <c r="AO391" s="66" t="n"/>
      <c r="AP391" s="66" t="n"/>
      <c r="AQ391" s="66" t="n">
        <v>215040000</v>
      </c>
      <c r="AS391" s="67">
        <f>MROUND(FORECAST(AQ391,AQ379:AQ390,AS379:AS390),100000)</f>
        <v/>
      </c>
    </row>
    <row r="392">
      <c r="A392" s="60" t="n">
        <v>40909</v>
      </c>
      <c r="B392" s="66" t="n"/>
      <c r="C392" s="66" t="n"/>
      <c r="D392" s="66" t="n"/>
      <c r="E392" s="66" t="n"/>
      <c r="F392" s="66" t="n"/>
      <c r="G392" s="66" t="n"/>
      <c r="H392" s="66" t="n"/>
      <c r="I392" s="66" t="n"/>
      <c r="J392" s="66" t="n"/>
      <c r="K392" s="66" t="n"/>
      <c r="L392" s="66" t="n"/>
      <c r="M392" s="66" t="n"/>
      <c r="N392" s="66" t="n"/>
      <c r="O392" s="66" t="n"/>
      <c r="P392" s="66" t="n"/>
      <c r="Q392" s="66" t="n"/>
      <c r="R392" s="66" t="n"/>
      <c r="S392" s="66" t="n"/>
      <c r="T392" s="66" t="n"/>
      <c r="U392" s="66" t="n"/>
      <c r="V392" s="66" t="n"/>
      <c r="W392" s="66" t="n"/>
      <c r="X392" s="66" t="n"/>
      <c r="Y392" s="66" t="n"/>
      <c r="Z392" s="66" t="n"/>
      <c r="AA392" s="66" t="n"/>
      <c r="AB392" s="66" t="n"/>
      <c r="AC392" s="66" t="n"/>
      <c r="AD392" s="66" t="n"/>
      <c r="AE392" s="66" t="n"/>
      <c r="AF392" s="66" t="n"/>
      <c r="AG392" s="66" t="n"/>
      <c r="AH392" s="66" t="n"/>
      <c r="AI392" s="66" t="n"/>
      <c r="AJ392" s="66" t="n"/>
      <c r="AK392" s="66" t="n"/>
      <c r="AL392" s="66" t="n"/>
      <c r="AM392" s="66" t="n"/>
      <c r="AN392" s="66" t="n"/>
      <c r="AO392" s="66" t="n"/>
      <c r="AP392" s="66" t="n"/>
      <c r="AQ392" s="66" t="n">
        <v>194240000</v>
      </c>
      <c r="AS392" s="67">
        <f>MROUND(FORECAST(AQ392,AQ380:AQ391,AS380:AS391),100000)</f>
        <v/>
      </c>
    </row>
    <row r="393">
      <c r="A393" s="60" t="n">
        <v>40940</v>
      </c>
      <c r="B393" s="66" t="n"/>
      <c r="C393" s="66" t="n"/>
      <c r="D393" s="66" t="n"/>
      <c r="E393" s="66" t="n"/>
      <c r="F393" s="66" t="n"/>
      <c r="G393" s="66" t="n"/>
      <c r="H393" s="66" t="n"/>
      <c r="I393" s="66" t="n"/>
      <c r="J393" s="66" t="n"/>
      <c r="K393" s="66" t="n"/>
      <c r="L393" s="66" t="n"/>
      <c r="M393" s="66" t="n"/>
      <c r="N393" s="66" t="n"/>
      <c r="O393" s="66" t="n"/>
      <c r="P393" s="66" t="n"/>
      <c r="Q393" s="66" t="n"/>
      <c r="R393" s="66" t="n"/>
      <c r="S393" s="66" t="n"/>
      <c r="T393" s="66" t="n"/>
      <c r="U393" s="66" t="n"/>
      <c r="V393" s="66" t="n"/>
      <c r="W393" s="66" t="n"/>
      <c r="X393" s="66" t="n"/>
      <c r="Y393" s="66" t="n"/>
      <c r="Z393" s="66" t="n"/>
      <c r="AA393" s="66" t="n"/>
      <c r="AB393" s="66" t="n"/>
      <c r="AC393" s="66" t="n"/>
      <c r="AD393" s="66" t="n"/>
      <c r="AE393" s="66" t="n"/>
      <c r="AF393" s="66" t="n"/>
      <c r="AG393" s="66" t="n"/>
      <c r="AH393" s="66" t="n"/>
      <c r="AI393" s="66" t="n"/>
      <c r="AJ393" s="66" t="n"/>
      <c r="AK393" s="66" t="n"/>
      <c r="AL393" s="66" t="n"/>
      <c r="AM393" s="66" t="n"/>
      <c r="AN393" s="66" t="n"/>
      <c r="AO393" s="66" t="n"/>
      <c r="AP393" s="66" t="n"/>
      <c r="AQ393" s="66" t="n">
        <v>199640000</v>
      </c>
      <c r="AS393" s="67">
        <f>MROUND(FORECAST(AQ393,AQ381:AQ392,AS381:AS392),100000)</f>
        <v/>
      </c>
    </row>
    <row r="394">
      <c r="A394" s="60" t="n">
        <v>40969</v>
      </c>
      <c r="B394" s="66" t="n"/>
      <c r="C394" s="66" t="n"/>
      <c r="D394" s="66" t="n"/>
      <c r="E394" s="66" t="n"/>
      <c r="F394" s="66" t="n"/>
      <c r="G394" s="66" t="n"/>
      <c r="H394" s="66" t="n"/>
      <c r="I394" s="66" t="n"/>
      <c r="J394" s="66" t="n"/>
      <c r="K394" s="66" t="n"/>
      <c r="L394" s="66" t="n"/>
      <c r="M394" s="66" t="n"/>
      <c r="N394" s="66" t="n"/>
      <c r="O394" s="66" t="n"/>
      <c r="P394" s="66" t="n"/>
      <c r="Q394" s="66" t="n"/>
      <c r="R394" s="66" t="n"/>
      <c r="S394" s="66" t="n"/>
      <c r="T394" s="66" t="n"/>
      <c r="U394" s="66" t="n"/>
      <c r="V394" s="66" t="n"/>
      <c r="W394" s="66" t="n"/>
      <c r="X394" s="66" t="n"/>
      <c r="Y394" s="66" t="n"/>
      <c r="Z394" s="66" t="n"/>
      <c r="AA394" s="66" t="n"/>
      <c r="AB394" s="66" t="n"/>
      <c r="AC394" s="66" t="n"/>
      <c r="AD394" s="66" t="n"/>
      <c r="AE394" s="66" t="n"/>
      <c r="AF394" s="66" t="n"/>
      <c r="AG394" s="66" t="n"/>
      <c r="AH394" s="66" t="n"/>
      <c r="AI394" s="66" t="n"/>
      <c r="AJ394" s="66" t="n"/>
      <c r="AK394" s="66" t="n"/>
      <c r="AL394" s="66" t="n"/>
      <c r="AM394" s="66" t="n"/>
      <c r="AN394" s="66" t="n"/>
      <c r="AO394" s="66" t="n"/>
      <c r="AP394" s="66" t="n"/>
      <c r="AQ394" s="66" t="n">
        <v>220460000</v>
      </c>
      <c r="AS394" s="67">
        <f>MROUND(FORECAST(AQ394,AQ382:AQ393,AS382:AS393),100000)</f>
        <v/>
      </c>
    </row>
    <row r="395">
      <c r="A395" s="60" t="n">
        <v>41000</v>
      </c>
      <c r="B395" s="66" t="n"/>
      <c r="C395" s="66" t="n"/>
      <c r="D395" s="66" t="n"/>
      <c r="E395" s="66" t="n"/>
      <c r="F395" s="66" t="n"/>
      <c r="G395" s="66" t="n"/>
      <c r="H395" s="66" t="n"/>
      <c r="I395" s="66" t="n"/>
      <c r="J395" s="66" t="n"/>
      <c r="K395" s="66" t="n"/>
      <c r="L395" s="66" t="n"/>
      <c r="M395" s="66" t="n"/>
      <c r="N395" s="66" t="n"/>
      <c r="O395" s="66" t="n"/>
      <c r="P395" s="66" t="n"/>
      <c r="Q395" s="66" t="n"/>
      <c r="R395" s="66" t="n"/>
      <c r="S395" s="66" t="n"/>
      <c r="T395" s="66" t="n"/>
      <c r="U395" s="66" t="n"/>
      <c r="V395" s="66" t="n"/>
      <c r="W395" s="66" t="n"/>
      <c r="X395" s="66" t="n"/>
      <c r="Y395" s="66" t="n"/>
      <c r="Z395" s="66" t="n"/>
      <c r="AA395" s="66" t="n"/>
      <c r="AB395" s="66" t="n"/>
      <c r="AC395" s="66" t="n"/>
      <c r="AD395" s="66" t="n"/>
      <c r="AE395" s="66" t="n"/>
      <c r="AF395" s="66" t="n"/>
      <c r="AG395" s="66" t="n"/>
      <c r="AH395" s="66" t="n"/>
      <c r="AI395" s="66" t="n"/>
      <c r="AJ395" s="66" t="n"/>
      <c r="AK395" s="66" t="n"/>
      <c r="AL395" s="66" t="n"/>
      <c r="AM395" s="66" t="n"/>
      <c r="AN395" s="66" t="n"/>
      <c r="AO395" s="66" t="n"/>
      <c r="AP395" s="66" t="n"/>
      <c r="AQ395" s="66" t="n">
        <v>212110000</v>
      </c>
      <c r="AS395" s="67">
        <f>MROUND(FORECAST(AQ395,AQ383:AQ394,AS383:AS394),100000)</f>
        <v/>
      </c>
    </row>
    <row r="396">
      <c r="A396" s="60" t="n">
        <v>41030</v>
      </c>
      <c r="B396" s="66" t="n"/>
      <c r="C396" s="66" t="n"/>
      <c r="D396" s="66" t="n"/>
      <c r="E396" s="66" t="n"/>
      <c r="F396" s="66" t="n"/>
      <c r="G396" s="66" t="n"/>
      <c r="H396" s="66" t="n"/>
      <c r="I396" s="66" t="n"/>
      <c r="J396" s="66" t="n"/>
      <c r="K396" s="66" t="n"/>
      <c r="L396" s="66" t="n"/>
      <c r="M396" s="66" t="n"/>
      <c r="N396" s="66" t="n"/>
      <c r="O396" s="66" t="n"/>
      <c r="P396" s="66" t="n"/>
      <c r="Q396" s="66" t="n"/>
      <c r="R396" s="66" t="n"/>
      <c r="S396" s="66" t="n"/>
      <c r="T396" s="66" t="n"/>
      <c r="U396" s="66" t="n"/>
      <c r="V396" s="66" t="n"/>
      <c r="W396" s="66" t="n"/>
      <c r="X396" s="66" t="n"/>
      <c r="Y396" s="66" t="n"/>
      <c r="Z396" s="66" t="n"/>
      <c r="AA396" s="66" t="n"/>
      <c r="AB396" s="66" t="n"/>
      <c r="AC396" s="66" t="n"/>
      <c r="AD396" s="66" t="n"/>
      <c r="AE396" s="66" t="n"/>
      <c r="AF396" s="66" t="n"/>
      <c r="AG396" s="66" t="n"/>
      <c r="AH396" s="66" t="n"/>
      <c r="AI396" s="66" t="n"/>
      <c r="AJ396" s="66" t="n"/>
      <c r="AK396" s="66" t="n"/>
      <c r="AL396" s="66" t="n"/>
      <c r="AM396" s="66" t="n"/>
      <c r="AN396" s="66" t="n"/>
      <c r="AO396" s="66" t="n"/>
      <c r="AP396" s="66" t="n"/>
      <c r="AQ396" s="66" t="n">
        <v>220460000</v>
      </c>
      <c r="AS396" s="67">
        <f>MROUND(FORECAST(AQ396,AQ384:AQ395,AS384:AS395),100000)</f>
        <v/>
      </c>
    </row>
    <row r="397">
      <c r="A397" s="60" t="n">
        <v>41061</v>
      </c>
      <c r="B397" s="66" t="n"/>
      <c r="C397" s="66" t="n"/>
      <c r="D397" s="66" t="n"/>
      <c r="E397" s="66" t="n"/>
      <c r="F397" s="66" t="n"/>
      <c r="G397" s="66" t="n"/>
      <c r="H397" s="66" t="n"/>
      <c r="I397" s="66" t="n"/>
      <c r="J397" s="66" t="n"/>
      <c r="K397" s="66" t="n"/>
      <c r="L397" s="66" t="n"/>
      <c r="M397" s="66" t="n"/>
      <c r="N397" s="66" t="n"/>
      <c r="O397" s="66" t="n"/>
      <c r="P397" s="66" t="n"/>
      <c r="Q397" s="66" t="n"/>
      <c r="R397" s="66" t="n"/>
      <c r="S397" s="66" t="n"/>
      <c r="T397" s="66" t="n"/>
      <c r="U397" s="66" t="n"/>
      <c r="V397" s="66" t="n"/>
      <c r="W397" s="66" t="n"/>
      <c r="X397" s="66" t="n"/>
      <c r="Y397" s="66" t="n"/>
      <c r="Z397" s="66" t="n"/>
      <c r="AA397" s="66" t="n"/>
      <c r="AB397" s="66" t="n"/>
      <c r="AC397" s="66" t="n"/>
      <c r="AD397" s="66" t="n"/>
      <c r="AE397" s="66" t="n"/>
      <c r="AF397" s="66" t="n"/>
      <c r="AG397" s="66" t="n"/>
      <c r="AH397" s="66" t="n"/>
      <c r="AI397" s="66" t="n"/>
      <c r="AJ397" s="66" t="n"/>
      <c r="AK397" s="66" t="n"/>
      <c r="AL397" s="66" t="n"/>
      <c r="AM397" s="66" t="n"/>
      <c r="AN397" s="66" t="n"/>
      <c r="AO397" s="66" t="n"/>
      <c r="AP397" s="66" t="n"/>
      <c r="AQ397" s="66" t="n">
        <v>218630000</v>
      </c>
      <c r="AS397" s="67">
        <f>MROUND(FORECAST(AQ397,AQ385:AQ396,AS385:AS396),100000)</f>
        <v/>
      </c>
    </row>
    <row r="398">
      <c r="A398" s="60" t="n">
        <v>41091</v>
      </c>
      <c r="B398" s="66" t="n"/>
      <c r="C398" s="66" t="n"/>
      <c r="D398" s="66" t="n"/>
      <c r="E398" s="66" t="n"/>
      <c r="F398" s="66" t="n"/>
      <c r="G398" s="66" t="n"/>
      <c r="H398" s="66" t="n"/>
      <c r="I398" s="66" t="n"/>
      <c r="J398" s="66" t="n"/>
      <c r="K398" s="66" t="n"/>
      <c r="L398" s="66" t="n"/>
      <c r="M398" s="66" t="n"/>
      <c r="N398" s="66" t="n"/>
      <c r="O398" s="66" t="n"/>
      <c r="P398" s="66" t="n"/>
      <c r="Q398" s="66" t="n"/>
      <c r="R398" s="66" t="n"/>
      <c r="S398" s="66" t="n"/>
      <c r="T398" s="66" t="n"/>
      <c r="U398" s="66" t="n"/>
      <c r="V398" s="66" t="n"/>
      <c r="W398" s="66" t="n"/>
      <c r="X398" s="66" t="n"/>
      <c r="Y398" s="66" t="n"/>
      <c r="Z398" s="66" t="n"/>
      <c r="AA398" s="66" t="n"/>
      <c r="AB398" s="66" t="n"/>
      <c r="AC398" s="66" t="n"/>
      <c r="AD398" s="66" t="n"/>
      <c r="AE398" s="66" t="n"/>
      <c r="AF398" s="66" t="n"/>
      <c r="AG398" s="66" t="n"/>
      <c r="AH398" s="66" t="n"/>
      <c r="AI398" s="66" t="n"/>
      <c r="AJ398" s="66" t="n"/>
      <c r="AK398" s="66" t="n"/>
      <c r="AL398" s="66" t="n"/>
      <c r="AM398" s="66" t="n"/>
      <c r="AN398" s="66" t="n"/>
      <c r="AO398" s="66" t="n"/>
      <c r="AP398" s="66" t="n"/>
      <c r="AQ398" s="66" t="n">
        <v>217730000</v>
      </c>
      <c r="AS398" s="67">
        <f>MROUND(FORECAST(AQ398,AQ386:AQ397,AS386:AS397),100000)</f>
        <v/>
      </c>
    </row>
    <row r="399">
      <c r="A399" s="60" t="n">
        <v>41122</v>
      </c>
      <c r="B399" s="66" t="n"/>
      <c r="C399" s="66" t="n"/>
      <c r="D399" s="66" t="n"/>
      <c r="E399" s="66" t="n"/>
      <c r="F399" s="66" t="n"/>
      <c r="G399" s="66" t="n"/>
      <c r="H399" s="66" t="n"/>
      <c r="I399" s="66" t="n"/>
      <c r="J399" s="66" t="n"/>
      <c r="K399" s="66" t="n"/>
      <c r="L399" s="66" t="n"/>
      <c r="M399" s="66" t="n"/>
      <c r="N399" s="66" t="n"/>
      <c r="O399" s="66" t="n"/>
      <c r="P399" s="66" t="n"/>
      <c r="Q399" s="66" t="n"/>
      <c r="R399" s="66" t="n"/>
      <c r="S399" s="66" t="n"/>
      <c r="T399" s="66" t="n"/>
      <c r="U399" s="66" t="n"/>
      <c r="V399" s="66" t="n"/>
      <c r="W399" s="66" t="n"/>
      <c r="X399" s="66" t="n"/>
      <c r="Y399" s="66" t="n"/>
      <c r="Z399" s="66" t="n"/>
      <c r="AA399" s="66" t="n"/>
      <c r="AB399" s="66" t="n"/>
      <c r="AC399" s="66" t="n"/>
      <c r="AD399" s="66" t="n"/>
      <c r="AE399" s="66" t="n"/>
      <c r="AF399" s="66" t="n"/>
      <c r="AG399" s="66" t="n"/>
      <c r="AH399" s="66" t="n"/>
      <c r="AI399" s="66" t="n"/>
      <c r="AJ399" s="66" t="n"/>
      <c r="AK399" s="66" t="n"/>
      <c r="AL399" s="66" t="n"/>
      <c r="AM399" s="66" t="n"/>
      <c r="AN399" s="66" t="n"/>
      <c r="AO399" s="66" t="n"/>
      <c r="AP399" s="66" t="n"/>
      <c r="AQ399" s="66" t="n">
        <v>219270000</v>
      </c>
      <c r="AS399" s="67">
        <f>MROUND(FORECAST(AQ399,AQ387:AQ398,AS387:AS398),100000)</f>
        <v/>
      </c>
    </row>
    <row r="400">
      <c r="A400" s="60" t="n">
        <v>41153</v>
      </c>
      <c r="B400" s="66" t="n"/>
      <c r="C400" s="66" t="n"/>
      <c r="D400" s="66" t="n"/>
      <c r="E400" s="66" t="n"/>
      <c r="F400" s="66" t="n"/>
      <c r="G400" s="66" t="n"/>
      <c r="H400" s="66" t="n"/>
      <c r="I400" s="66" t="n"/>
      <c r="J400" s="66" t="n"/>
      <c r="K400" s="66" t="n"/>
      <c r="L400" s="66" t="n"/>
      <c r="M400" s="66" t="n"/>
      <c r="N400" s="66" t="n"/>
      <c r="O400" s="66" t="n"/>
      <c r="P400" s="66" t="n"/>
      <c r="Q400" s="66" t="n"/>
      <c r="R400" s="66" t="n"/>
      <c r="S400" s="66" t="n"/>
      <c r="T400" s="66" t="n"/>
      <c r="U400" s="66" t="n"/>
      <c r="V400" s="66" t="n"/>
      <c r="W400" s="66" t="n"/>
      <c r="X400" s="66" t="n"/>
      <c r="Y400" s="66" t="n"/>
      <c r="Z400" s="66" t="n"/>
      <c r="AA400" s="66" t="n"/>
      <c r="AB400" s="66" t="n"/>
      <c r="AC400" s="66" t="n"/>
      <c r="AD400" s="66" t="n"/>
      <c r="AE400" s="66" t="n"/>
      <c r="AF400" s="66" t="n"/>
      <c r="AG400" s="66" t="n"/>
      <c r="AH400" s="66" t="n"/>
      <c r="AI400" s="66" t="n"/>
      <c r="AJ400" s="66" t="n"/>
      <c r="AK400" s="66" t="n"/>
      <c r="AL400" s="66" t="n"/>
      <c r="AM400" s="66" t="n"/>
      <c r="AN400" s="66" t="n"/>
      <c r="AO400" s="66" t="n"/>
      <c r="AP400" s="66" t="n"/>
      <c r="AQ400" s="66" t="n">
        <v>208010000</v>
      </c>
      <c r="AS400" s="67">
        <f>MROUND(FORECAST(AQ400,AQ388:AQ399,AS388:AS399),100000)</f>
        <v/>
      </c>
    </row>
    <row r="401">
      <c r="A401" s="60" t="n">
        <v>41183</v>
      </c>
      <c r="B401" s="66" t="n"/>
      <c r="C401" s="66" t="n"/>
      <c r="D401" s="66" t="n"/>
      <c r="E401" s="66" t="n"/>
      <c r="F401" s="66" t="n"/>
      <c r="G401" s="66" t="n"/>
      <c r="H401" s="66" t="n"/>
      <c r="I401" s="66" t="n"/>
      <c r="J401" s="66" t="n"/>
      <c r="K401" s="66" t="n"/>
      <c r="L401" s="66" t="n"/>
      <c r="M401" s="66" t="n"/>
      <c r="N401" s="66" t="n"/>
      <c r="O401" s="66" t="n"/>
      <c r="P401" s="66" t="n"/>
      <c r="Q401" s="66" t="n"/>
      <c r="R401" s="66" t="n"/>
      <c r="S401" s="66" t="n"/>
      <c r="T401" s="66" t="n"/>
      <c r="U401" s="66" t="n"/>
      <c r="V401" s="66" t="n"/>
      <c r="W401" s="66" t="n"/>
      <c r="X401" s="66" t="n"/>
      <c r="Y401" s="66" t="n"/>
      <c r="Z401" s="66" t="n"/>
      <c r="AA401" s="66" t="n"/>
      <c r="AB401" s="66" t="n"/>
      <c r="AC401" s="66" t="n"/>
      <c r="AD401" s="66" t="n"/>
      <c r="AE401" s="66" t="n"/>
      <c r="AF401" s="66" t="n"/>
      <c r="AG401" s="66" t="n"/>
      <c r="AH401" s="66" t="n"/>
      <c r="AI401" s="66" t="n"/>
      <c r="AJ401" s="66" t="n"/>
      <c r="AK401" s="66" t="n"/>
      <c r="AL401" s="66" t="n"/>
      <c r="AM401" s="66" t="n"/>
      <c r="AN401" s="66" t="n"/>
      <c r="AO401" s="66" t="n"/>
      <c r="AP401" s="66" t="n"/>
      <c r="AQ401" s="66" t="n">
        <v>211080000</v>
      </c>
      <c r="AS401" s="67">
        <f>MROUND(FORECAST(AQ401,AQ389:AQ400,AS389:AS400),100000)</f>
        <v/>
      </c>
    </row>
    <row r="402">
      <c r="A402" s="60" t="n">
        <v>41214</v>
      </c>
      <c r="B402" s="66" t="n"/>
      <c r="C402" s="66" t="n"/>
      <c r="D402" s="66" t="n"/>
      <c r="E402" s="66" t="n"/>
      <c r="F402" s="66" t="n"/>
      <c r="G402" s="66" t="n"/>
      <c r="H402" s="66" t="n"/>
      <c r="I402" s="66" t="n"/>
      <c r="J402" s="66" t="n"/>
      <c r="K402" s="66" t="n"/>
      <c r="L402" s="66" t="n"/>
      <c r="M402" s="66" t="n"/>
      <c r="N402" s="66" t="n"/>
      <c r="O402" s="66" t="n"/>
      <c r="P402" s="66" t="n"/>
      <c r="Q402" s="66" t="n"/>
      <c r="R402" s="66" t="n"/>
      <c r="S402" s="66" t="n"/>
      <c r="T402" s="66" t="n"/>
      <c r="U402" s="66" t="n"/>
      <c r="V402" s="66" t="n"/>
      <c r="W402" s="66" t="n"/>
      <c r="X402" s="66" t="n"/>
      <c r="Y402" s="66" t="n"/>
      <c r="Z402" s="66" t="n"/>
      <c r="AA402" s="66" t="n"/>
      <c r="AB402" s="66" t="n"/>
      <c r="AC402" s="66" t="n"/>
      <c r="AD402" s="66" t="n"/>
      <c r="AE402" s="66" t="n"/>
      <c r="AF402" s="66" t="n"/>
      <c r="AG402" s="66" t="n"/>
      <c r="AH402" s="66" t="n"/>
      <c r="AI402" s="66" t="n"/>
      <c r="AJ402" s="66" t="n"/>
      <c r="AK402" s="66" t="n"/>
      <c r="AL402" s="66" t="n"/>
      <c r="AM402" s="66" t="n"/>
      <c r="AN402" s="66" t="n"/>
      <c r="AO402" s="66" t="n"/>
      <c r="AP402" s="66" t="n"/>
      <c r="AQ402" s="66" t="n">
        <v>206360000</v>
      </c>
      <c r="AS402" s="67">
        <f>MROUND(FORECAST(AQ402,AQ390:AQ401,AS390:AS401),100000)</f>
        <v/>
      </c>
    </row>
    <row r="403">
      <c r="A403" s="60" t="n">
        <v>41244</v>
      </c>
      <c r="B403" s="66" t="n"/>
      <c r="C403" s="66" t="n"/>
      <c r="D403" s="66" t="n"/>
      <c r="E403" s="66" t="n"/>
      <c r="F403" s="66" t="n"/>
      <c r="G403" s="66" t="n"/>
      <c r="H403" s="66" t="n"/>
      <c r="I403" s="66" t="n"/>
      <c r="J403" s="66" t="n"/>
      <c r="K403" s="66" t="n"/>
      <c r="L403" s="66" t="n"/>
      <c r="M403" s="66" t="n"/>
      <c r="N403" s="66" t="n"/>
      <c r="O403" s="66" t="n"/>
      <c r="P403" s="66" t="n"/>
      <c r="Q403" s="66" t="n"/>
      <c r="R403" s="66" t="n"/>
      <c r="S403" s="66" t="n"/>
      <c r="T403" s="66" t="n"/>
      <c r="U403" s="66" t="n"/>
      <c r="V403" s="66" t="n"/>
      <c r="W403" s="66" t="n"/>
      <c r="X403" s="66" t="n"/>
      <c r="Y403" s="66" t="n"/>
      <c r="Z403" s="66" t="n"/>
      <c r="AA403" s="66" t="n"/>
      <c r="AB403" s="66" t="n"/>
      <c r="AC403" s="66" t="n"/>
      <c r="AD403" s="66" t="n"/>
      <c r="AE403" s="66" t="n"/>
      <c r="AF403" s="66" t="n"/>
      <c r="AG403" s="66" t="n"/>
      <c r="AH403" s="66" t="n"/>
      <c r="AI403" s="66" t="n"/>
      <c r="AJ403" s="66" t="n"/>
      <c r="AK403" s="66" t="n"/>
      <c r="AL403" s="66" t="n"/>
      <c r="AM403" s="66" t="n"/>
      <c r="AN403" s="66" t="n"/>
      <c r="AO403" s="66" t="n"/>
      <c r="AP403" s="66" t="n"/>
      <c r="AQ403" s="66" t="n">
        <v>219280000</v>
      </c>
      <c r="AS403" s="67">
        <f>MROUND(FORECAST(AQ403,AQ391:AQ402,AS391:AS402),100000)</f>
        <v/>
      </c>
    </row>
    <row r="404">
      <c r="A404" s="60" t="n">
        <v>41275</v>
      </c>
      <c r="B404" s="66" t="n"/>
      <c r="C404" s="66" t="n"/>
      <c r="D404" s="66" t="n"/>
      <c r="E404" s="66" t="n"/>
      <c r="F404" s="66" t="n"/>
      <c r="G404" s="66" t="n"/>
      <c r="H404" s="66" t="n"/>
      <c r="I404" s="66" t="n"/>
      <c r="J404" s="66" t="n"/>
      <c r="K404" s="66" t="n"/>
      <c r="L404" s="66" t="n"/>
      <c r="M404" s="66" t="n"/>
      <c r="N404" s="66" t="n"/>
      <c r="O404" s="66" t="n"/>
      <c r="P404" s="66" t="n"/>
      <c r="Q404" s="66" t="n"/>
      <c r="R404" s="66" t="n"/>
      <c r="S404" s="66" t="n"/>
      <c r="T404" s="66" t="n"/>
      <c r="U404" s="66" t="n"/>
      <c r="V404" s="66" t="n"/>
      <c r="W404" s="66" t="n"/>
      <c r="X404" s="66" t="n"/>
      <c r="Y404" s="66" t="n"/>
      <c r="Z404" s="66" t="n"/>
      <c r="AA404" s="66" t="n"/>
      <c r="AB404" s="66" t="n"/>
      <c r="AC404" s="66" t="n"/>
      <c r="AD404" s="66" t="n"/>
      <c r="AE404" s="66" t="n"/>
      <c r="AF404" s="66" t="n"/>
      <c r="AG404" s="66" t="n"/>
      <c r="AH404" s="66" t="n"/>
      <c r="AI404" s="66" t="n"/>
      <c r="AJ404" s="66" t="n"/>
      <c r="AK404" s="66" t="n"/>
      <c r="AL404" s="66" t="n"/>
      <c r="AM404" s="66" t="n"/>
      <c r="AN404" s="66" t="n"/>
      <c r="AO404" s="66" t="n"/>
      <c r="AP404" s="66" t="n"/>
      <c r="AQ404" s="66" t="n">
        <v>205110000</v>
      </c>
      <c r="AS404" s="67">
        <f>MROUND(FORECAST(AQ404,AQ392:AQ403,AS392:AS403),100000)</f>
        <v/>
      </c>
    </row>
    <row r="405">
      <c r="A405" s="60" t="n">
        <v>41306</v>
      </c>
      <c r="B405" s="66" t="n"/>
      <c r="C405" s="66" t="n"/>
      <c r="D405" s="66" t="n"/>
      <c r="E405" s="66" t="n"/>
      <c r="F405" s="66" t="n"/>
      <c r="G405" s="66" t="n"/>
      <c r="H405" s="66" t="n"/>
      <c r="I405" s="66" t="n"/>
      <c r="J405" s="66" t="n"/>
      <c r="K405" s="66" t="n"/>
      <c r="L405" s="66" t="n"/>
      <c r="M405" s="66" t="n"/>
      <c r="N405" s="66" t="n"/>
      <c r="O405" s="66" t="n"/>
      <c r="P405" s="66" t="n"/>
      <c r="Q405" s="66" t="n"/>
      <c r="R405" s="66" t="n"/>
      <c r="S405" s="66" t="n"/>
      <c r="T405" s="66" t="n"/>
      <c r="U405" s="66" t="n"/>
      <c r="V405" s="66" t="n"/>
      <c r="W405" s="66" t="n"/>
      <c r="X405" s="66" t="n"/>
      <c r="Y405" s="66" t="n"/>
      <c r="Z405" s="66" t="n"/>
      <c r="AA405" s="66" t="n"/>
      <c r="AB405" s="66" t="n"/>
      <c r="AC405" s="66" t="n"/>
      <c r="AD405" s="66" t="n"/>
      <c r="AE405" s="66" t="n"/>
      <c r="AF405" s="66" t="n"/>
      <c r="AG405" s="66" t="n"/>
      <c r="AH405" s="66" t="n"/>
      <c r="AI405" s="66" t="n"/>
      <c r="AJ405" s="66" t="n"/>
      <c r="AK405" s="66" t="n"/>
      <c r="AL405" s="66" t="n"/>
      <c r="AM405" s="66" t="n"/>
      <c r="AN405" s="66" t="n"/>
      <c r="AO405" s="66" t="n"/>
      <c r="AP405" s="66" t="n"/>
      <c r="AQ405" s="66" t="n">
        <v>203430000</v>
      </c>
      <c r="AS405" s="67">
        <f>MROUND(FORECAST(AQ405,AQ393:AQ404,AS393:AS404),100000)</f>
        <v/>
      </c>
    </row>
    <row r="406">
      <c r="A406" s="60" t="n">
        <v>41334</v>
      </c>
      <c r="B406" s="66" t="n"/>
      <c r="C406" s="66" t="n"/>
      <c r="D406" s="66" t="n"/>
      <c r="E406" s="66" t="n"/>
      <c r="F406" s="66" t="n"/>
      <c r="G406" s="66" t="n"/>
      <c r="H406" s="66" t="n"/>
      <c r="I406" s="66" t="n"/>
      <c r="J406" s="66" t="n"/>
      <c r="K406" s="66" t="n"/>
      <c r="L406" s="66" t="n"/>
      <c r="M406" s="66" t="n"/>
      <c r="N406" s="66" t="n"/>
      <c r="O406" s="66" t="n"/>
      <c r="P406" s="66" t="n"/>
      <c r="Q406" s="66" t="n"/>
      <c r="R406" s="66" t="n"/>
      <c r="S406" s="66" t="n"/>
      <c r="T406" s="66" t="n"/>
      <c r="U406" s="66" t="n"/>
      <c r="V406" s="66" t="n"/>
      <c r="W406" s="66" t="n"/>
      <c r="X406" s="66" t="n"/>
      <c r="Y406" s="66" t="n"/>
      <c r="Z406" s="66" t="n"/>
      <c r="AA406" s="66" t="n"/>
      <c r="AB406" s="66" t="n"/>
      <c r="AC406" s="66" t="n"/>
      <c r="AD406" s="66" t="n"/>
      <c r="AE406" s="66" t="n"/>
      <c r="AF406" s="66" t="n"/>
      <c r="AG406" s="66" t="n"/>
      <c r="AH406" s="66" t="n"/>
      <c r="AI406" s="66" t="n"/>
      <c r="AJ406" s="66" t="n"/>
      <c r="AK406" s="66" t="n"/>
      <c r="AL406" s="66" t="n"/>
      <c r="AM406" s="66" t="n"/>
      <c r="AN406" s="66" t="n"/>
      <c r="AO406" s="66" t="n"/>
      <c r="AP406" s="66" t="n"/>
      <c r="AQ406" s="66" t="n">
        <v>230530000</v>
      </c>
      <c r="AS406" s="67">
        <f>MROUND(FORECAST(AQ406,AQ394:AQ405,AS394:AS405),100000)</f>
        <v/>
      </c>
    </row>
    <row r="407">
      <c r="A407" s="60" t="n">
        <v>41365</v>
      </c>
      <c r="B407" s="66" t="n"/>
      <c r="C407" s="66" t="n"/>
      <c r="D407" s="66" t="n"/>
      <c r="E407" s="66" t="n"/>
      <c r="F407" s="66" t="n"/>
      <c r="G407" s="66" t="n"/>
      <c r="H407" s="66" t="n"/>
      <c r="I407" s="66" t="n"/>
      <c r="J407" s="66" t="n"/>
      <c r="K407" s="66" t="n"/>
      <c r="L407" s="66" t="n"/>
      <c r="M407" s="66" t="n"/>
      <c r="N407" s="66" t="n"/>
      <c r="O407" s="66" t="n"/>
      <c r="P407" s="66" t="n"/>
      <c r="Q407" s="66" t="n"/>
      <c r="R407" s="66" t="n"/>
      <c r="S407" s="66" t="n"/>
      <c r="T407" s="66" t="n"/>
      <c r="U407" s="66" t="n"/>
      <c r="V407" s="66" t="n"/>
      <c r="W407" s="66" t="n"/>
      <c r="X407" s="66" t="n"/>
      <c r="Y407" s="66" t="n"/>
      <c r="Z407" s="66" t="n"/>
      <c r="AA407" s="66" t="n"/>
      <c r="AB407" s="66" t="n"/>
      <c r="AC407" s="66" t="n"/>
      <c r="AD407" s="66" t="n"/>
      <c r="AE407" s="66" t="n"/>
      <c r="AF407" s="66" t="n"/>
      <c r="AG407" s="66" t="n"/>
      <c r="AH407" s="66" t="n"/>
      <c r="AI407" s="66" t="n"/>
      <c r="AJ407" s="66" t="n"/>
      <c r="AK407" s="66" t="n"/>
      <c r="AL407" s="66" t="n"/>
      <c r="AM407" s="66" t="n"/>
      <c r="AN407" s="66" t="n"/>
      <c r="AO407" s="66" t="n"/>
      <c r="AP407" s="66" t="n"/>
      <c r="AQ407" s="66" t="n">
        <v>221120000</v>
      </c>
      <c r="AS407" s="67">
        <f>MROUND(FORECAST(AQ407,AQ395:AQ406,AS395:AS406),100000)</f>
        <v/>
      </c>
    </row>
    <row r="408">
      <c r="A408" s="60" t="n">
        <v>41395</v>
      </c>
      <c r="B408" s="66" t="n"/>
      <c r="C408" s="66" t="n"/>
      <c r="D408" s="66" t="n"/>
      <c r="E408" s="66" t="n"/>
      <c r="F408" s="66" t="n"/>
      <c r="G408" s="66" t="n"/>
      <c r="H408" s="66" t="n"/>
      <c r="I408" s="66" t="n"/>
      <c r="J408" s="66" t="n"/>
      <c r="K408" s="66" t="n"/>
      <c r="L408" s="66" t="n"/>
      <c r="M408" s="66" t="n"/>
      <c r="N408" s="66" t="n"/>
      <c r="O408" s="66" t="n"/>
      <c r="P408" s="66" t="n"/>
      <c r="Q408" s="66" t="n"/>
      <c r="R408" s="66" t="n"/>
      <c r="S408" s="66" t="n"/>
      <c r="T408" s="66" t="n"/>
      <c r="U408" s="66" t="n"/>
      <c r="V408" s="66" t="n"/>
      <c r="W408" s="66" t="n"/>
      <c r="X408" s="66" t="n"/>
      <c r="Y408" s="66" t="n"/>
      <c r="Z408" s="66" t="n"/>
      <c r="AA408" s="66" t="n"/>
      <c r="AB408" s="66" t="n"/>
      <c r="AC408" s="66" t="n"/>
      <c r="AD408" s="66" t="n"/>
      <c r="AE408" s="66" t="n"/>
      <c r="AF408" s="66" t="n"/>
      <c r="AG408" s="66" t="n"/>
      <c r="AH408" s="66" t="n"/>
      <c r="AI408" s="66" t="n"/>
      <c r="AJ408" s="66" t="n"/>
      <c r="AK408" s="66" t="n"/>
      <c r="AL408" s="66" t="n"/>
      <c r="AM408" s="66" t="n"/>
      <c r="AN408" s="66" t="n"/>
      <c r="AO408" s="66" t="n"/>
      <c r="AP408" s="66" t="n"/>
      <c r="AQ408" s="66" t="n">
        <v>231170000</v>
      </c>
      <c r="AS408" s="67">
        <f>MROUND(FORECAST(AQ408,AQ396:AQ407,AS396:AS407),100000)</f>
        <v/>
      </c>
    </row>
    <row r="409">
      <c r="A409" s="60" t="n">
        <v>41426</v>
      </c>
      <c r="B409" s="66" t="n"/>
      <c r="C409" s="66" t="n"/>
      <c r="D409" s="66" t="n"/>
      <c r="E409" s="66" t="n"/>
      <c r="F409" s="66" t="n"/>
      <c r="G409" s="66" t="n"/>
      <c r="H409" s="66" t="n"/>
      <c r="I409" s="66" t="n"/>
      <c r="J409" s="66" t="n"/>
      <c r="K409" s="66" t="n"/>
      <c r="L409" s="66" t="n"/>
      <c r="M409" s="66" t="n"/>
      <c r="N409" s="66" t="n"/>
      <c r="O409" s="66" t="n"/>
      <c r="P409" s="66" t="n"/>
      <c r="Q409" s="66" t="n"/>
      <c r="R409" s="66" t="n"/>
      <c r="S409" s="66" t="n"/>
      <c r="T409" s="66" t="n"/>
      <c r="U409" s="66" t="n"/>
      <c r="V409" s="66" t="n"/>
      <c r="W409" s="66" t="n"/>
      <c r="X409" s="66" t="n"/>
      <c r="Y409" s="66" t="n"/>
      <c r="Z409" s="66" t="n"/>
      <c r="AA409" s="66" t="n"/>
      <c r="AB409" s="66" t="n"/>
      <c r="AC409" s="66" t="n"/>
      <c r="AD409" s="66" t="n"/>
      <c r="AE409" s="66" t="n"/>
      <c r="AF409" s="66" t="n"/>
      <c r="AG409" s="66" t="n"/>
      <c r="AH409" s="66" t="n"/>
      <c r="AI409" s="66" t="n"/>
      <c r="AJ409" s="66" t="n"/>
      <c r="AK409" s="66" t="n"/>
      <c r="AL409" s="66" t="n"/>
      <c r="AM409" s="66" t="n"/>
      <c r="AN409" s="66" t="n"/>
      <c r="AO409" s="66" t="n"/>
      <c r="AP409" s="66" t="n"/>
      <c r="AQ409" s="66" t="n">
        <v>224020000</v>
      </c>
      <c r="AS409" s="67">
        <f>MROUND(FORECAST(AQ409,AQ397:AQ408,AS397:AS408),100000)</f>
        <v/>
      </c>
    </row>
    <row r="410">
      <c r="A410" s="60" t="n">
        <v>41456</v>
      </c>
      <c r="B410" s="66" t="n"/>
      <c r="C410" s="66" t="n"/>
      <c r="D410" s="66" t="n"/>
      <c r="E410" s="66" t="n"/>
      <c r="F410" s="66" t="n"/>
      <c r="G410" s="66" t="n"/>
      <c r="H410" s="66" t="n"/>
      <c r="I410" s="66" t="n"/>
      <c r="J410" s="66" t="n"/>
      <c r="K410" s="66" t="n"/>
      <c r="L410" s="66" t="n"/>
      <c r="M410" s="66" t="n"/>
      <c r="N410" s="66" t="n"/>
      <c r="O410" s="66" t="n"/>
      <c r="P410" s="66" t="n"/>
      <c r="Q410" s="66" t="n"/>
      <c r="R410" s="66" t="n"/>
      <c r="S410" s="66" t="n"/>
      <c r="T410" s="66" t="n"/>
      <c r="U410" s="66" t="n"/>
      <c r="V410" s="66" t="n"/>
      <c r="W410" s="66" t="n"/>
      <c r="X410" s="66" t="n"/>
      <c r="Y410" s="66" t="n"/>
      <c r="Z410" s="66" t="n"/>
      <c r="AA410" s="66" t="n"/>
      <c r="AB410" s="66" t="n"/>
      <c r="AC410" s="66" t="n"/>
      <c r="AD410" s="66" t="n"/>
      <c r="AE410" s="66" t="n"/>
      <c r="AF410" s="66" t="n"/>
      <c r="AG410" s="66" t="n"/>
      <c r="AH410" s="66" t="n"/>
      <c r="AI410" s="66" t="n"/>
      <c r="AJ410" s="66" t="n"/>
      <c r="AK410" s="66" t="n"/>
      <c r="AL410" s="66" t="n"/>
      <c r="AM410" s="66" t="n"/>
      <c r="AN410" s="66" t="n"/>
      <c r="AO410" s="66" t="n"/>
      <c r="AP410" s="66" t="n"/>
      <c r="AQ410" s="66" t="n">
        <v>224920000</v>
      </c>
      <c r="AS410" s="67">
        <f>MROUND(FORECAST(AQ410,AQ398:AQ409,AS398:AS409),100000)</f>
        <v/>
      </c>
    </row>
    <row r="411">
      <c r="A411" s="60" t="n">
        <v>41487</v>
      </c>
      <c r="B411" s="66" t="n"/>
      <c r="C411" s="66" t="n"/>
      <c r="D411" s="66" t="n"/>
      <c r="E411" s="66" t="n"/>
      <c r="F411" s="66" t="n"/>
      <c r="G411" s="66" t="n"/>
      <c r="H411" s="66" t="n"/>
      <c r="I411" s="66" t="n"/>
      <c r="J411" s="66" t="n"/>
      <c r="K411" s="66" t="n"/>
      <c r="L411" s="66" t="n"/>
      <c r="M411" s="66" t="n"/>
      <c r="N411" s="66" t="n"/>
      <c r="O411" s="66" t="n"/>
      <c r="P411" s="66" t="n"/>
      <c r="Q411" s="66" t="n"/>
      <c r="R411" s="66" t="n"/>
      <c r="S411" s="66" t="n"/>
      <c r="T411" s="66" t="n"/>
      <c r="U411" s="66" t="n"/>
      <c r="V411" s="66" t="n"/>
      <c r="W411" s="66" t="n"/>
      <c r="X411" s="66" t="n"/>
      <c r="Y411" s="66" t="n"/>
      <c r="Z411" s="66" t="n"/>
      <c r="AA411" s="66" t="n"/>
      <c r="AB411" s="66" t="n"/>
      <c r="AC411" s="66" t="n"/>
      <c r="AD411" s="66" t="n"/>
      <c r="AE411" s="66" t="n"/>
      <c r="AF411" s="66" t="n"/>
      <c r="AG411" s="66" t="n"/>
      <c r="AH411" s="66" t="n"/>
      <c r="AI411" s="66" t="n"/>
      <c r="AJ411" s="66" t="n"/>
      <c r="AK411" s="66" t="n"/>
      <c r="AL411" s="66" t="n"/>
      <c r="AM411" s="66" t="n"/>
      <c r="AN411" s="66" t="n"/>
      <c r="AO411" s="66" t="n"/>
      <c r="AP411" s="66" t="n"/>
      <c r="AQ411" s="66" t="n">
        <v>230060000</v>
      </c>
      <c r="AS411" s="67">
        <f>MROUND(FORECAST(AQ411,AQ399:AQ410,AS399:AS410),100000)</f>
        <v/>
      </c>
    </row>
    <row r="412">
      <c r="A412" s="60" t="n">
        <v>41518</v>
      </c>
      <c r="B412" s="66" t="n"/>
      <c r="C412" s="66" t="n"/>
      <c r="D412" s="66" t="n"/>
      <c r="E412" s="66" t="n"/>
      <c r="F412" s="66" t="n"/>
      <c r="G412" s="66" t="n"/>
      <c r="H412" s="66" t="n"/>
      <c r="I412" s="66" t="n"/>
      <c r="J412" s="66" t="n"/>
      <c r="K412" s="66" t="n"/>
      <c r="L412" s="66" t="n"/>
      <c r="M412" s="66" t="n"/>
      <c r="N412" s="66" t="n"/>
      <c r="O412" s="66" t="n"/>
      <c r="P412" s="66" t="n"/>
      <c r="Q412" s="66" t="n"/>
      <c r="R412" s="66" t="n"/>
      <c r="S412" s="66" t="n"/>
      <c r="T412" s="66" t="n"/>
      <c r="U412" s="66" t="n"/>
      <c r="V412" s="66" t="n"/>
      <c r="W412" s="66" t="n"/>
      <c r="X412" s="66" t="n"/>
      <c r="Y412" s="66" t="n"/>
      <c r="Z412" s="66" t="n"/>
      <c r="AA412" s="66" t="n"/>
      <c r="AB412" s="66" t="n"/>
      <c r="AC412" s="66" t="n"/>
      <c r="AD412" s="66" t="n"/>
      <c r="AE412" s="66" t="n"/>
      <c r="AF412" s="66" t="n"/>
      <c r="AG412" s="66" t="n"/>
      <c r="AH412" s="66" t="n"/>
      <c r="AI412" s="66" t="n"/>
      <c r="AJ412" s="66" t="n"/>
      <c r="AK412" s="66" t="n"/>
      <c r="AL412" s="66" t="n"/>
      <c r="AM412" s="66" t="n"/>
      <c r="AN412" s="66" t="n"/>
      <c r="AO412" s="66" t="n"/>
      <c r="AP412" s="66" t="n"/>
      <c r="AQ412" s="66" t="n">
        <v>213070000</v>
      </c>
      <c r="AS412" s="67">
        <f>MROUND(FORECAST(AQ412,AQ400:AQ411,AS400:AS411),100000)</f>
        <v/>
      </c>
    </row>
    <row r="413">
      <c r="A413" s="60" t="n">
        <v>41548</v>
      </c>
      <c r="B413" s="66" t="n"/>
      <c r="C413" s="66" t="n"/>
      <c r="D413" s="66" t="n"/>
      <c r="E413" s="66" t="n"/>
      <c r="F413" s="66" t="n"/>
      <c r="G413" s="66" t="n"/>
      <c r="H413" s="66" t="n"/>
      <c r="I413" s="66" t="n"/>
      <c r="J413" s="66" t="n"/>
      <c r="K413" s="66" t="n"/>
      <c r="L413" s="66" t="n"/>
      <c r="M413" s="66" t="n"/>
      <c r="N413" s="66" t="n"/>
      <c r="O413" s="66" t="n"/>
      <c r="P413" s="66" t="n"/>
      <c r="Q413" s="66" t="n"/>
      <c r="R413" s="66" t="n"/>
      <c r="S413" s="66" t="n"/>
      <c r="T413" s="66" t="n"/>
      <c r="U413" s="66" t="n"/>
      <c r="V413" s="66" t="n"/>
      <c r="W413" s="66" t="n"/>
      <c r="X413" s="66" t="n"/>
      <c r="Y413" s="66" t="n"/>
      <c r="Z413" s="66" t="n"/>
      <c r="AA413" s="66" t="n"/>
      <c r="AB413" s="66" t="n"/>
      <c r="AC413" s="66" t="n"/>
      <c r="AD413" s="66" t="n"/>
      <c r="AE413" s="66" t="n"/>
      <c r="AF413" s="66" t="n"/>
      <c r="AG413" s="66" t="n"/>
      <c r="AH413" s="66" t="n"/>
      <c r="AI413" s="66" t="n"/>
      <c r="AJ413" s="66" t="n"/>
      <c r="AK413" s="66" t="n"/>
      <c r="AL413" s="66" t="n"/>
      <c r="AM413" s="66" t="n"/>
      <c r="AN413" s="66" t="n"/>
      <c r="AO413" s="66" t="n"/>
      <c r="AP413" s="66" t="n"/>
      <c r="AQ413" s="66" t="n">
        <v>222950000</v>
      </c>
      <c r="AS413" s="67">
        <f>MROUND(FORECAST(AQ413,AQ401:AQ412,AS401:AS412),100000)</f>
        <v/>
      </c>
    </row>
    <row r="414">
      <c r="A414" s="60" t="n">
        <v>41579</v>
      </c>
      <c r="B414" s="66" t="n"/>
      <c r="C414" s="66" t="n"/>
      <c r="D414" s="66" t="n"/>
      <c r="E414" s="66" t="n"/>
      <c r="F414" s="66" t="n"/>
      <c r="G414" s="66" t="n"/>
      <c r="H414" s="66" t="n"/>
      <c r="I414" s="66" t="n"/>
      <c r="J414" s="66" t="n"/>
      <c r="K414" s="66" t="n"/>
      <c r="L414" s="66" t="n"/>
      <c r="M414" s="66" t="n"/>
      <c r="N414" s="66" t="n"/>
      <c r="O414" s="66" t="n"/>
      <c r="P414" s="66" t="n"/>
      <c r="Q414" s="66" t="n"/>
      <c r="R414" s="66" t="n"/>
      <c r="S414" s="66" t="n"/>
      <c r="T414" s="66" t="n"/>
      <c r="U414" s="66" t="n"/>
      <c r="V414" s="66" t="n"/>
      <c r="W414" s="66" t="n"/>
      <c r="X414" s="66" t="n"/>
      <c r="Y414" s="66" t="n"/>
      <c r="Z414" s="66" t="n"/>
      <c r="AA414" s="66" t="n"/>
      <c r="AB414" s="66" t="n"/>
      <c r="AC414" s="66" t="n"/>
      <c r="AD414" s="66" t="n"/>
      <c r="AE414" s="66" t="n"/>
      <c r="AF414" s="66" t="n"/>
      <c r="AG414" s="66" t="n"/>
      <c r="AH414" s="66" t="n"/>
      <c r="AI414" s="66" t="n"/>
      <c r="AJ414" s="66" t="n"/>
      <c r="AK414" s="66" t="n"/>
      <c r="AL414" s="66" t="n"/>
      <c r="AM414" s="66" t="n"/>
      <c r="AN414" s="66" t="n"/>
      <c r="AO414" s="66" t="n"/>
      <c r="AP414" s="66" t="n"/>
      <c r="AQ414" s="66" t="n">
        <v>219880000</v>
      </c>
      <c r="AS414" s="67">
        <f>MROUND(FORECAST(AQ414,AQ402:AQ413,AS402:AS413),100000)</f>
        <v/>
      </c>
    </row>
    <row r="415">
      <c r="A415" s="60" t="n">
        <v>41609</v>
      </c>
      <c r="B415" s="66" t="n"/>
      <c r="C415" s="66" t="n"/>
      <c r="D415" s="66" t="n"/>
      <c r="E415" s="66" t="n"/>
      <c r="F415" s="66" t="n"/>
      <c r="G415" s="66" t="n"/>
      <c r="H415" s="66" t="n"/>
      <c r="I415" s="66" t="n"/>
      <c r="J415" s="66" t="n"/>
      <c r="K415" s="66" t="n"/>
      <c r="L415" s="66" t="n"/>
      <c r="M415" s="66" t="n"/>
      <c r="N415" s="66" t="n"/>
      <c r="O415" s="66" t="n"/>
      <c r="P415" s="66" t="n"/>
      <c r="Q415" s="66" t="n"/>
      <c r="R415" s="66" t="n"/>
      <c r="S415" s="66" t="n"/>
      <c r="T415" s="66" t="n"/>
      <c r="U415" s="66" t="n"/>
      <c r="V415" s="66" t="n"/>
      <c r="W415" s="66" t="n"/>
      <c r="X415" s="66" t="n"/>
      <c r="Y415" s="66" t="n"/>
      <c r="Z415" s="66" t="n"/>
      <c r="AA415" s="66" t="n"/>
      <c r="AB415" s="66" t="n"/>
      <c r="AC415" s="66" t="n"/>
      <c r="AD415" s="66" t="n"/>
      <c r="AE415" s="66" t="n"/>
      <c r="AF415" s="66" t="n"/>
      <c r="AG415" s="66" t="n"/>
      <c r="AH415" s="66" t="n"/>
      <c r="AI415" s="66" t="n"/>
      <c r="AJ415" s="66" t="n"/>
      <c r="AK415" s="66" t="n"/>
      <c r="AL415" s="66" t="n"/>
      <c r="AM415" s="66" t="n"/>
      <c r="AN415" s="66" t="n"/>
      <c r="AO415" s="66" t="n"/>
      <c r="AP415" s="66" t="n"/>
      <c r="AQ415" s="66" t="n">
        <v>227160000</v>
      </c>
      <c r="AS415" s="67">
        <f>MROUND(FORECAST(AQ415,AQ403:AQ414,AS403:AS414),100000)</f>
        <v/>
      </c>
    </row>
    <row r="416">
      <c r="A416" s="60" t="n">
        <v>41640</v>
      </c>
      <c r="B416" s="66" t="n"/>
      <c r="C416" s="66" t="n"/>
      <c r="D416" s="66" t="n"/>
      <c r="E416" s="66" t="n"/>
      <c r="F416" s="66" t="n"/>
      <c r="G416" s="66" t="n"/>
      <c r="H416" s="66" t="n"/>
      <c r="I416" s="66" t="n"/>
      <c r="J416" s="66" t="n"/>
      <c r="K416" s="66" t="n"/>
      <c r="L416" s="66" t="n"/>
      <c r="M416" s="66" t="n"/>
      <c r="N416" s="66" t="n"/>
      <c r="O416" s="66" t="n"/>
      <c r="P416" s="66" t="n"/>
      <c r="Q416" s="66" t="n"/>
      <c r="R416" s="66" t="n"/>
      <c r="S416" s="66" t="n"/>
      <c r="T416" s="66" t="n"/>
      <c r="U416" s="66" t="n"/>
      <c r="V416" s="66" t="n"/>
      <c r="W416" s="66" t="n"/>
      <c r="X416" s="66" t="n"/>
      <c r="Y416" s="66" t="n"/>
      <c r="Z416" s="66" t="n"/>
      <c r="AA416" s="66" t="n"/>
      <c r="AB416" s="66" t="n"/>
      <c r="AC416" s="66" t="n"/>
      <c r="AD416" s="66" t="n"/>
      <c r="AE416" s="66" t="n"/>
      <c r="AF416" s="66" t="n"/>
      <c r="AG416" s="66" t="n"/>
      <c r="AH416" s="66" t="n"/>
      <c r="AI416" s="66" t="n"/>
      <c r="AJ416" s="66" t="n"/>
      <c r="AK416" s="66" t="n"/>
      <c r="AL416" s="66" t="n"/>
      <c r="AM416" s="66" t="n"/>
      <c r="AN416" s="66" t="n"/>
      <c r="AO416" s="66" t="n"/>
      <c r="AP416" s="66" t="n"/>
      <c r="AQ416" s="66" t="n">
        <v>202140000</v>
      </c>
      <c r="AS416" s="67">
        <f>MROUND(FORECAST(AQ416,AQ404:AQ415,AS404:AS415),100000)</f>
        <v/>
      </c>
    </row>
    <row r="417">
      <c r="A417" s="60" t="n">
        <v>41671</v>
      </c>
      <c r="B417" s="66" t="n"/>
      <c r="C417" s="66" t="n"/>
      <c r="D417" s="66" t="n"/>
      <c r="E417" s="66" t="n"/>
      <c r="F417" s="66" t="n"/>
      <c r="G417" s="66" t="n"/>
      <c r="H417" s="66" t="n"/>
      <c r="I417" s="66" t="n"/>
      <c r="J417" s="66" t="n"/>
      <c r="K417" s="66" t="n"/>
      <c r="L417" s="66" t="n"/>
      <c r="M417" s="66" t="n"/>
      <c r="N417" s="66" t="n"/>
      <c r="O417" s="66" t="n"/>
      <c r="P417" s="66" t="n"/>
      <c r="Q417" s="66" t="n"/>
      <c r="R417" s="66" t="n"/>
      <c r="S417" s="66" t="n"/>
      <c r="T417" s="66" t="n"/>
      <c r="U417" s="66" t="n"/>
      <c r="V417" s="66" t="n"/>
      <c r="W417" s="66" t="n"/>
      <c r="X417" s="66" t="n"/>
      <c r="Y417" s="66" t="n"/>
      <c r="Z417" s="66" t="n"/>
      <c r="AA417" s="66" t="n"/>
      <c r="AB417" s="66" t="n"/>
      <c r="AC417" s="66" t="n"/>
      <c r="AD417" s="66" t="n"/>
      <c r="AE417" s="66" t="n"/>
      <c r="AF417" s="66" t="n"/>
      <c r="AG417" s="66" t="n"/>
      <c r="AH417" s="66" t="n"/>
      <c r="AI417" s="66" t="n"/>
      <c r="AJ417" s="66" t="n"/>
      <c r="AK417" s="66" t="n"/>
      <c r="AL417" s="66" t="n"/>
      <c r="AM417" s="66" t="n"/>
      <c r="AN417" s="66" t="n"/>
      <c r="AO417" s="66" t="n"/>
      <c r="AP417" s="66" t="n"/>
      <c r="AQ417" s="66" t="n">
        <v>200960000</v>
      </c>
      <c r="AS417" s="67">
        <f>MROUND(FORECAST(AQ417,AQ405:AQ416,AS405:AS416),100000)</f>
        <v/>
      </c>
    </row>
    <row r="418">
      <c r="A418" s="60" t="n">
        <v>41699</v>
      </c>
      <c r="B418" s="66" t="n"/>
      <c r="C418" s="66" t="n"/>
      <c r="D418" s="66" t="n"/>
      <c r="E418" s="66" t="n"/>
      <c r="F418" s="66" t="n"/>
      <c r="G418" s="66" t="n"/>
      <c r="H418" s="66" t="n"/>
      <c r="I418" s="66" t="n"/>
      <c r="J418" s="66" t="n"/>
      <c r="K418" s="66" t="n"/>
      <c r="L418" s="66" t="n"/>
      <c r="M418" s="66" t="n"/>
      <c r="N418" s="66" t="n"/>
      <c r="O418" s="66" t="n"/>
      <c r="P418" s="66" t="n"/>
      <c r="Q418" s="66" t="n"/>
      <c r="R418" s="66" t="n"/>
      <c r="S418" s="66" t="n"/>
      <c r="T418" s="66" t="n"/>
      <c r="U418" s="66" t="n"/>
      <c r="V418" s="66" t="n"/>
      <c r="W418" s="66" t="n"/>
      <c r="X418" s="66" t="n"/>
      <c r="Y418" s="66" t="n"/>
      <c r="Z418" s="66" t="n"/>
      <c r="AA418" s="66" t="n"/>
      <c r="AB418" s="66" t="n"/>
      <c r="AC418" s="66" t="n"/>
      <c r="AD418" s="66" t="n"/>
      <c r="AE418" s="66" t="n"/>
      <c r="AF418" s="66" t="n"/>
      <c r="AG418" s="66" t="n"/>
      <c r="AH418" s="66" t="n"/>
      <c r="AI418" s="66" t="n"/>
      <c r="AJ418" s="66" t="n"/>
      <c r="AK418" s="66" t="n"/>
      <c r="AL418" s="66" t="n"/>
      <c r="AM418" s="66" t="n"/>
      <c r="AN418" s="66" t="n"/>
      <c r="AO418" s="66" t="n"/>
      <c r="AP418" s="66" t="n"/>
      <c r="AQ418" s="66" t="n">
        <v>228850000</v>
      </c>
      <c r="AS418" s="67">
        <f>MROUND(FORECAST(AQ418,AQ406:AQ417,AS406:AS417),100000)</f>
        <v/>
      </c>
    </row>
    <row r="419">
      <c r="A419" s="60" t="n">
        <v>41730</v>
      </c>
      <c r="B419" s="66" t="n"/>
      <c r="C419" s="66" t="n"/>
      <c r="D419" s="66" t="n"/>
      <c r="E419" s="66" t="n"/>
      <c r="F419" s="66" t="n"/>
      <c r="G419" s="66" t="n"/>
      <c r="H419" s="66" t="n"/>
      <c r="I419" s="66" t="n"/>
      <c r="J419" s="66" t="n"/>
      <c r="K419" s="66" t="n"/>
      <c r="L419" s="66" t="n"/>
      <c r="M419" s="66" t="n"/>
      <c r="N419" s="66" t="n"/>
      <c r="O419" s="66" t="n"/>
      <c r="P419" s="66" t="n"/>
      <c r="Q419" s="66" t="n"/>
      <c r="R419" s="66" t="n"/>
      <c r="S419" s="66" t="n"/>
      <c r="T419" s="66" t="n"/>
      <c r="U419" s="66" t="n"/>
      <c r="V419" s="66" t="n"/>
      <c r="W419" s="66" t="n"/>
      <c r="X419" s="66" t="n"/>
      <c r="Y419" s="66" t="n"/>
      <c r="Z419" s="66" t="n"/>
      <c r="AA419" s="66" t="n"/>
      <c r="AB419" s="66" t="n"/>
      <c r="AC419" s="66" t="n"/>
      <c r="AD419" s="66" t="n"/>
      <c r="AE419" s="66" t="n"/>
      <c r="AF419" s="66" t="n"/>
      <c r="AG419" s="66" t="n"/>
      <c r="AH419" s="66" t="n"/>
      <c r="AI419" s="66" t="n"/>
      <c r="AJ419" s="66" t="n"/>
      <c r="AK419" s="66" t="n"/>
      <c r="AL419" s="66" t="n"/>
      <c r="AM419" s="66" t="n"/>
      <c r="AN419" s="66" t="n"/>
      <c r="AO419" s="66" t="n"/>
      <c r="AP419" s="66" t="n"/>
      <c r="AQ419" s="66" t="n">
        <v>222020000</v>
      </c>
      <c r="AS419" s="67">
        <f>MROUND(FORECAST(AQ419,AQ407:AQ418,AS407:AS418),100000)</f>
        <v/>
      </c>
    </row>
    <row r="420">
      <c r="A420" s="60" t="n">
        <v>41760</v>
      </c>
      <c r="B420" s="66" t="n"/>
      <c r="C420" s="66" t="n"/>
      <c r="D420" s="66" t="n"/>
      <c r="E420" s="66" t="n"/>
      <c r="F420" s="66" t="n"/>
      <c r="G420" s="66" t="n"/>
      <c r="H420" s="66" t="n"/>
      <c r="I420" s="66" t="n"/>
      <c r="J420" s="66" t="n"/>
      <c r="K420" s="66" t="n"/>
      <c r="L420" s="66" t="n"/>
      <c r="M420" s="66" t="n"/>
      <c r="N420" s="66" t="n"/>
      <c r="O420" s="66" t="n"/>
      <c r="P420" s="66" t="n"/>
      <c r="Q420" s="66" t="n"/>
      <c r="R420" s="66" t="n"/>
      <c r="S420" s="66" t="n"/>
      <c r="T420" s="66" t="n"/>
      <c r="U420" s="66" t="n"/>
      <c r="V420" s="66" t="n"/>
      <c r="W420" s="66" t="n"/>
      <c r="X420" s="66" t="n"/>
      <c r="Y420" s="66" t="n"/>
      <c r="Z420" s="66" t="n"/>
      <c r="AA420" s="66" t="n"/>
      <c r="AB420" s="66" t="n"/>
      <c r="AC420" s="66" t="n"/>
      <c r="AD420" s="66" t="n"/>
      <c r="AE420" s="66" t="n"/>
      <c r="AF420" s="66" t="n"/>
      <c r="AG420" s="66" t="n"/>
      <c r="AH420" s="66" t="n"/>
      <c r="AI420" s="66" t="n"/>
      <c r="AJ420" s="66" t="n"/>
      <c r="AK420" s="66" t="n"/>
      <c r="AL420" s="66" t="n"/>
      <c r="AM420" s="66" t="n"/>
      <c r="AN420" s="66" t="n"/>
      <c r="AO420" s="66" t="n"/>
      <c r="AP420" s="66" t="n"/>
      <c r="AQ420" s="66" t="n">
        <v>236850000</v>
      </c>
      <c r="AS420" s="67">
        <f>MROUND(FORECAST(AQ420,AQ408:AQ419,AS408:AS419),100000)</f>
        <v/>
      </c>
    </row>
    <row r="421">
      <c r="A421" s="60" t="n">
        <v>41791</v>
      </c>
      <c r="B421" s="66" t="n"/>
      <c r="C421" s="66" t="n"/>
      <c r="D421" s="66" t="n"/>
      <c r="E421" s="66" t="n"/>
      <c r="F421" s="66" t="n"/>
      <c r="G421" s="66" t="n"/>
      <c r="H421" s="66" t="n"/>
      <c r="I421" s="66" t="n"/>
      <c r="J421" s="66" t="n"/>
      <c r="K421" s="66" t="n"/>
      <c r="L421" s="66" t="n"/>
      <c r="M421" s="66" t="n"/>
      <c r="N421" s="66" t="n"/>
      <c r="O421" s="66" t="n"/>
      <c r="P421" s="66" t="n"/>
      <c r="Q421" s="66" t="n"/>
      <c r="R421" s="66" t="n"/>
      <c r="S421" s="66" t="n"/>
      <c r="T421" s="66" t="n"/>
      <c r="U421" s="66" t="n"/>
      <c r="V421" s="66" t="n"/>
      <c r="W421" s="66" t="n"/>
      <c r="X421" s="66" t="n"/>
      <c r="Y421" s="66" t="n"/>
      <c r="Z421" s="66" t="n"/>
      <c r="AA421" s="66" t="n"/>
      <c r="AB421" s="66" t="n"/>
      <c r="AC421" s="66" t="n"/>
      <c r="AD421" s="66" t="n"/>
      <c r="AE421" s="66" t="n"/>
      <c r="AF421" s="66" t="n"/>
      <c r="AG421" s="66" t="n"/>
      <c r="AH421" s="66" t="n"/>
      <c r="AI421" s="66" t="n"/>
      <c r="AJ421" s="66" t="n"/>
      <c r="AK421" s="66" t="n"/>
      <c r="AL421" s="66" t="n"/>
      <c r="AM421" s="66" t="n"/>
      <c r="AN421" s="66" t="n"/>
      <c r="AO421" s="66" t="n"/>
      <c r="AP421" s="66" t="n"/>
      <c r="AQ421" s="66" t="n">
        <v>225200000</v>
      </c>
      <c r="AS421" s="67">
        <f>MROUND(FORECAST(AQ421,AQ409:AQ420,AS409:AS420),100000)</f>
        <v/>
      </c>
    </row>
    <row r="422">
      <c r="A422" s="60" t="n">
        <v>41821</v>
      </c>
      <c r="B422" s="66" t="n"/>
      <c r="C422" s="66" t="n"/>
      <c r="D422" s="66" t="n"/>
      <c r="E422" s="66" t="n"/>
      <c r="F422" s="66" t="n"/>
      <c r="G422" s="66" t="n"/>
      <c r="H422" s="66" t="n"/>
      <c r="I422" s="66" t="n"/>
      <c r="J422" s="66" t="n"/>
      <c r="K422" s="66" t="n"/>
      <c r="L422" s="66" t="n"/>
      <c r="M422" s="66" t="n"/>
      <c r="N422" s="66" t="n"/>
      <c r="O422" s="66" t="n"/>
      <c r="P422" s="66" t="n"/>
      <c r="Q422" s="66" t="n"/>
      <c r="R422" s="66" t="n"/>
      <c r="S422" s="66" t="n"/>
      <c r="T422" s="66" t="n"/>
      <c r="U422" s="66" t="n"/>
      <c r="V422" s="66" t="n"/>
      <c r="W422" s="66" t="n"/>
      <c r="X422" s="66" t="n"/>
      <c r="Y422" s="66" t="n"/>
      <c r="Z422" s="66" t="n"/>
      <c r="AA422" s="66" t="n"/>
      <c r="AB422" s="66" t="n"/>
      <c r="AC422" s="66" t="n"/>
      <c r="AD422" s="66" t="n"/>
      <c r="AE422" s="66" t="n"/>
      <c r="AF422" s="66" t="n"/>
      <c r="AG422" s="66" t="n"/>
      <c r="AH422" s="66" t="n"/>
      <c r="AI422" s="66" t="n"/>
      <c r="AJ422" s="66" t="n"/>
      <c r="AK422" s="66" t="n"/>
      <c r="AL422" s="66" t="n"/>
      <c r="AM422" s="66" t="n"/>
      <c r="AN422" s="66" t="n"/>
      <c r="AO422" s="66" t="n"/>
      <c r="AP422" s="66" t="n"/>
      <c r="AQ422" s="66" t="n">
        <v>229140000</v>
      </c>
      <c r="AS422" s="67">
        <f>MROUND(FORECAST(AQ422,AQ410:AQ421,AS410:AS421),100000)</f>
        <v/>
      </c>
    </row>
    <row r="423">
      <c r="A423" s="60" t="n">
        <v>41852</v>
      </c>
      <c r="B423" s="66" t="n"/>
      <c r="C423" s="66" t="n"/>
      <c r="D423" s="66" t="n"/>
      <c r="E423" s="66" t="n"/>
      <c r="F423" s="66" t="n"/>
      <c r="G423" s="66" t="n"/>
      <c r="H423" s="66" t="n"/>
      <c r="I423" s="66" t="n"/>
      <c r="J423" s="66" t="n"/>
      <c r="K423" s="66" t="n"/>
      <c r="L423" s="66" t="n"/>
      <c r="M423" s="66" t="n"/>
      <c r="N423" s="66" t="n"/>
      <c r="O423" s="66" t="n"/>
      <c r="P423" s="66" t="n"/>
      <c r="Q423" s="66" t="n"/>
      <c r="R423" s="66" t="n"/>
      <c r="S423" s="66" t="n"/>
      <c r="T423" s="66" t="n"/>
      <c r="U423" s="66" t="n"/>
      <c r="V423" s="66" t="n"/>
      <c r="W423" s="66" t="n"/>
      <c r="X423" s="66" t="n"/>
      <c r="Y423" s="66" t="n"/>
      <c r="Z423" s="66" t="n"/>
      <c r="AA423" s="66" t="n"/>
      <c r="AB423" s="66" t="n"/>
      <c r="AC423" s="66" t="n"/>
      <c r="AD423" s="66" t="n"/>
      <c r="AE423" s="66" t="n"/>
      <c r="AF423" s="66" t="n"/>
      <c r="AG423" s="66" t="n"/>
      <c r="AH423" s="66" t="n"/>
      <c r="AI423" s="66" t="n"/>
      <c r="AJ423" s="66" t="n"/>
      <c r="AK423" s="66" t="n"/>
      <c r="AL423" s="66" t="n"/>
      <c r="AM423" s="66" t="n"/>
      <c r="AN423" s="66" t="n"/>
      <c r="AO423" s="66" t="n"/>
      <c r="AP423" s="66" t="n"/>
      <c r="AQ423" s="66" t="n">
        <v>234250000</v>
      </c>
      <c r="AS423" s="67">
        <f>MROUND(FORECAST(AQ423,AQ411:AQ422,AS411:AS422),100000)</f>
        <v/>
      </c>
    </row>
    <row r="424">
      <c r="A424" s="60" t="n">
        <v>41883</v>
      </c>
      <c r="B424" s="66" t="n"/>
      <c r="C424" s="66" t="n"/>
      <c r="D424" s="66" t="n"/>
      <c r="E424" s="66" t="n"/>
      <c r="F424" s="66" t="n"/>
      <c r="G424" s="66" t="n"/>
      <c r="H424" s="66" t="n"/>
      <c r="I424" s="66" t="n"/>
      <c r="J424" s="66" t="n"/>
      <c r="K424" s="66" t="n"/>
      <c r="L424" s="66" t="n"/>
      <c r="M424" s="66" t="n"/>
      <c r="N424" s="66" t="n"/>
      <c r="O424" s="66" t="n"/>
      <c r="P424" s="66" t="n"/>
      <c r="Q424" s="66" t="n"/>
      <c r="R424" s="66" t="n"/>
      <c r="S424" s="66" t="n"/>
      <c r="T424" s="66" t="n"/>
      <c r="U424" s="66" t="n"/>
      <c r="V424" s="66" t="n"/>
      <c r="W424" s="66" t="n"/>
      <c r="X424" s="66" t="n"/>
      <c r="Y424" s="66" t="n"/>
      <c r="Z424" s="66" t="n"/>
      <c r="AA424" s="66" t="n"/>
      <c r="AB424" s="66" t="n"/>
      <c r="AC424" s="66" t="n"/>
      <c r="AD424" s="66" t="n"/>
      <c r="AE424" s="66" t="n"/>
      <c r="AF424" s="66" t="n"/>
      <c r="AG424" s="66" t="n"/>
      <c r="AH424" s="66" t="n"/>
      <c r="AI424" s="66" t="n"/>
      <c r="AJ424" s="66" t="n"/>
      <c r="AK424" s="66" t="n"/>
      <c r="AL424" s="66" t="n"/>
      <c r="AM424" s="66" t="n"/>
      <c r="AN424" s="66" t="n"/>
      <c r="AO424" s="66" t="n"/>
      <c r="AP424" s="66" t="n"/>
      <c r="AQ424" s="66" t="n">
        <v>218410000</v>
      </c>
      <c r="AS424" s="67">
        <f>MROUND(FORECAST(AQ424,AQ412:AQ423,AS412:AS423),100000)</f>
        <v/>
      </c>
    </row>
    <row r="425">
      <c r="A425" s="60" t="n">
        <v>41913</v>
      </c>
      <c r="B425" s="66" t="n"/>
      <c r="C425" s="66" t="n"/>
      <c r="D425" s="66" t="n"/>
      <c r="E425" s="66" t="n"/>
      <c r="F425" s="66" t="n"/>
      <c r="G425" s="66" t="n"/>
      <c r="H425" s="66" t="n"/>
      <c r="I425" s="66" t="n"/>
      <c r="J425" s="66" t="n"/>
      <c r="K425" s="66" t="n"/>
      <c r="L425" s="66" t="n"/>
      <c r="M425" s="66" t="n"/>
      <c r="N425" s="66" t="n"/>
      <c r="O425" s="66" t="n"/>
      <c r="P425" s="66" t="n"/>
      <c r="Q425" s="66" t="n"/>
      <c r="R425" s="66" t="n"/>
      <c r="S425" s="66" t="n"/>
      <c r="T425" s="66" t="n"/>
      <c r="U425" s="66" t="n"/>
      <c r="V425" s="66" t="n"/>
      <c r="W425" s="66" t="n"/>
      <c r="X425" s="66" t="n"/>
      <c r="Y425" s="66" t="n"/>
      <c r="Z425" s="66" t="n"/>
      <c r="AA425" s="66" t="n"/>
      <c r="AB425" s="66" t="n"/>
      <c r="AC425" s="66" t="n"/>
      <c r="AD425" s="66" t="n"/>
      <c r="AE425" s="66" t="n"/>
      <c r="AF425" s="66" t="n"/>
      <c r="AG425" s="66" t="n"/>
      <c r="AH425" s="66" t="n"/>
      <c r="AI425" s="66" t="n"/>
      <c r="AJ425" s="66" t="n"/>
      <c r="AK425" s="66" t="n"/>
      <c r="AL425" s="66" t="n"/>
      <c r="AM425" s="66" t="n"/>
      <c r="AN425" s="66" t="n"/>
      <c r="AO425" s="66" t="n"/>
      <c r="AP425" s="66" t="n"/>
      <c r="AQ425" s="66" t="n">
        <v>230600000</v>
      </c>
      <c r="AS425" s="67">
        <f>MROUND(FORECAST(AQ425,AQ413:AQ424,AS413:AS424),100000)</f>
        <v/>
      </c>
    </row>
    <row r="426">
      <c r="A426" s="60" t="n">
        <v>41944</v>
      </c>
      <c r="B426" s="66" t="n"/>
      <c r="C426" s="66" t="n"/>
      <c r="D426" s="66" t="n"/>
      <c r="E426" s="66" t="n"/>
      <c r="F426" s="66" t="n"/>
      <c r="G426" s="66" t="n"/>
      <c r="H426" s="66" t="n"/>
      <c r="I426" s="66" t="n"/>
      <c r="J426" s="66" t="n"/>
      <c r="K426" s="66" t="n"/>
      <c r="L426" s="66" t="n"/>
      <c r="M426" s="66" t="n"/>
      <c r="N426" s="66" t="n"/>
      <c r="O426" s="66" t="n"/>
      <c r="P426" s="66" t="n"/>
      <c r="Q426" s="66" t="n"/>
      <c r="R426" s="66" t="n"/>
      <c r="S426" s="66" t="n"/>
      <c r="T426" s="66" t="n"/>
      <c r="U426" s="66" t="n"/>
      <c r="V426" s="66" t="n"/>
      <c r="W426" s="66" t="n"/>
      <c r="X426" s="66" t="n"/>
      <c r="Y426" s="66" t="n"/>
      <c r="Z426" s="66" t="n"/>
      <c r="AA426" s="66" t="n"/>
      <c r="AB426" s="66" t="n"/>
      <c r="AC426" s="66" t="n"/>
      <c r="AD426" s="66" t="n"/>
      <c r="AE426" s="66" t="n"/>
      <c r="AF426" s="66" t="n"/>
      <c r="AG426" s="66" t="n"/>
      <c r="AH426" s="66" t="n"/>
      <c r="AI426" s="66" t="n"/>
      <c r="AJ426" s="66" t="n"/>
      <c r="AK426" s="66" t="n"/>
      <c r="AL426" s="66" t="n"/>
      <c r="AM426" s="66" t="n"/>
      <c r="AN426" s="66" t="n"/>
      <c r="AO426" s="66" t="n"/>
      <c r="AP426" s="66" t="n"/>
      <c r="AQ426" s="66" t="n">
        <v>220450000</v>
      </c>
      <c r="AS426" s="67">
        <f>MROUND(FORECAST(AQ426,AQ414:AQ425,AS414:AS425),100000)</f>
        <v/>
      </c>
    </row>
    <row r="427">
      <c r="A427" s="60" t="n">
        <v>41974</v>
      </c>
      <c r="B427" s="66" t="n"/>
      <c r="C427" s="66" t="n"/>
      <c r="D427" s="66" t="n"/>
      <c r="E427" s="66" t="n"/>
      <c r="F427" s="66" t="n"/>
      <c r="G427" s="66" t="n"/>
      <c r="H427" s="66" t="n"/>
      <c r="I427" s="66" t="n"/>
      <c r="J427" s="66" t="n"/>
      <c r="K427" s="66" t="n"/>
      <c r="L427" s="66" t="n"/>
      <c r="M427" s="66" t="n"/>
      <c r="N427" s="66" t="n"/>
      <c r="O427" s="66" t="n"/>
      <c r="P427" s="66" t="n"/>
      <c r="Q427" s="66" t="n"/>
      <c r="R427" s="66" t="n"/>
      <c r="S427" s="66" t="n"/>
      <c r="T427" s="66" t="n"/>
      <c r="U427" s="66" t="n"/>
      <c r="V427" s="66" t="n"/>
      <c r="W427" s="66" t="n"/>
      <c r="X427" s="66" t="n"/>
      <c r="Y427" s="66" t="n"/>
      <c r="Z427" s="66" t="n"/>
      <c r="AA427" s="66" t="n"/>
      <c r="AB427" s="66" t="n"/>
      <c r="AC427" s="66" t="n"/>
      <c r="AD427" s="66" t="n"/>
      <c r="AE427" s="66" t="n"/>
      <c r="AF427" s="66" t="n"/>
      <c r="AG427" s="66" t="n"/>
      <c r="AH427" s="66" t="n"/>
      <c r="AI427" s="66" t="n"/>
      <c r="AJ427" s="66" t="n"/>
      <c r="AK427" s="66" t="n"/>
      <c r="AL427" s="66" t="n"/>
      <c r="AM427" s="66" t="n"/>
      <c r="AN427" s="66" t="n"/>
      <c r="AO427" s="66" t="n"/>
      <c r="AP427" s="66" t="n"/>
      <c r="AQ427" s="66" t="n">
        <v>234320000</v>
      </c>
      <c r="AS427" s="67">
        <f>MROUND(FORECAST(AQ427,AQ415:AQ426,AS415:AS426),100000)</f>
        <v/>
      </c>
    </row>
    <row r="428">
      <c r="A428" s="60" t="n">
        <v>42005</v>
      </c>
      <c r="B428" s="66" t="n"/>
      <c r="C428" s="66" t="n"/>
      <c r="D428" s="66" t="n"/>
      <c r="E428" s="66" t="n"/>
      <c r="F428" s="66" t="n"/>
      <c r="G428" s="66" t="n"/>
      <c r="H428" s="66" t="n"/>
      <c r="I428" s="66" t="n"/>
      <c r="J428" s="66" t="n"/>
      <c r="K428" s="66" t="n"/>
      <c r="L428" s="66" t="n"/>
      <c r="M428" s="66" t="n"/>
      <c r="N428" s="66" t="n"/>
      <c r="O428" s="66" t="n"/>
      <c r="P428" s="66" t="n"/>
      <c r="Q428" s="66" t="n"/>
      <c r="R428" s="66" t="n"/>
      <c r="S428" s="66" t="n"/>
      <c r="T428" s="66" t="n"/>
      <c r="U428" s="66" t="n"/>
      <c r="V428" s="66" t="n"/>
      <c r="W428" s="66" t="n"/>
      <c r="X428" s="66" t="n"/>
      <c r="Y428" s="66" t="n"/>
      <c r="Z428" s="66" t="n"/>
      <c r="AA428" s="66" t="n"/>
      <c r="AB428" s="66" t="n"/>
      <c r="AC428" s="66" t="n"/>
      <c r="AD428" s="66" t="n"/>
      <c r="AE428" s="66" t="n"/>
      <c r="AF428" s="66" t="n"/>
      <c r="AG428" s="66" t="n"/>
      <c r="AH428" s="66" t="n"/>
      <c r="AI428" s="66" t="n"/>
      <c r="AJ428" s="66" t="n"/>
      <c r="AK428" s="66" t="n"/>
      <c r="AL428" s="66" t="n"/>
      <c r="AM428" s="66" t="n"/>
      <c r="AN428" s="66" t="n"/>
      <c r="AO428" s="66" t="n"/>
      <c r="AP428" s="66" t="n"/>
      <c r="AQ428" s="66" t="n">
        <v>223280000</v>
      </c>
      <c r="AS428" s="67">
        <f>MROUND(FORECAST(AQ428,AQ416:AQ427,AS416:AS427),100000)</f>
        <v/>
      </c>
    </row>
    <row r="429">
      <c r="A429" s="60" t="n">
        <v>42036</v>
      </c>
      <c r="B429" s="66" t="n"/>
      <c r="C429" s="66" t="n"/>
      <c r="D429" s="66" t="n"/>
      <c r="E429" s="66" t="n"/>
      <c r="F429" s="66" t="n"/>
      <c r="G429" s="66" t="n"/>
      <c r="H429" s="66" t="n"/>
      <c r="I429" s="66" t="n"/>
      <c r="J429" s="66" t="n"/>
      <c r="K429" s="66" t="n"/>
      <c r="L429" s="66" t="n"/>
      <c r="M429" s="66" t="n"/>
      <c r="N429" s="66" t="n"/>
      <c r="O429" s="66" t="n"/>
      <c r="P429" s="66" t="n"/>
      <c r="Q429" s="66" t="n"/>
      <c r="R429" s="66" t="n"/>
      <c r="S429" s="66" t="n"/>
      <c r="T429" s="66" t="n"/>
      <c r="U429" s="66" t="n"/>
      <c r="V429" s="66" t="n"/>
      <c r="W429" s="66" t="n"/>
      <c r="X429" s="66" t="n"/>
      <c r="Y429" s="66" t="n"/>
      <c r="Z429" s="66" t="n"/>
      <c r="AA429" s="66" t="n"/>
      <c r="AB429" s="66" t="n"/>
      <c r="AC429" s="66" t="n"/>
      <c r="AD429" s="66" t="n"/>
      <c r="AE429" s="66" t="n"/>
      <c r="AF429" s="66" t="n"/>
      <c r="AG429" s="66" t="n"/>
      <c r="AH429" s="66" t="n"/>
      <c r="AI429" s="66" t="n"/>
      <c r="AJ429" s="66" t="n"/>
      <c r="AK429" s="66" t="n"/>
      <c r="AL429" s="66" t="n"/>
      <c r="AM429" s="66" t="n"/>
      <c r="AN429" s="66" t="n"/>
      <c r="AO429" s="66" t="n"/>
      <c r="AP429" s="66" t="n"/>
      <c r="AQ429" s="66" t="n">
        <v>216800000</v>
      </c>
      <c r="AS429" s="67">
        <f>MROUND(FORECAST(AQ429,AQ417:AQ428,AS417:AS428),100000)</f>
        <v/>
      </c>
    </row>
    <row r="430">
      <c r="A430" s="60" t="n">
        <v>42064</v>
      </c>
      <c r="B430" s="66" t="n"/>
      <c r="C430" s="66" t="n"/>
      <c r="D430" s="66" t="n"/>
      <c r="E430" s="66" t="n"/>
      <c r="F430" s="66" t="n"/>
      <c r="G430" s="66" t="n"/>
      <c r="H430" s="66" t="n"/>
      <c r="I430" s="66" t="n"/>
      <c r="J430" s="66" t="n"/>
      <c r="K430" s="66" t="n"/>
      <c r="L430" s="66" t="n"/>
      <c r="M430" s="66" t="n"/>
      <c r="N430" s="66" t="n"/>
      <c r="O430" s="66" t="n"/>
      <c r="P430" s="66" t="n"/>
      <c r="Q430" s="66" t="n"/>
      <c r="R430" s="66" t="n"/>
      <c r="S430" s="66" t="n"/>
      <c r="T430" s="66" t="n"/>
      <c r="U430" s="66" t="n"/>
      <c r="V430" s="66" t="n"/>
      <c r="W430" s="66" t="n"/>
      <c r="X430" s="66" t="n"/>
      <c r="Y430" s="66" t="n"/>
      <c r="Z430" s="66" t="n"/>
      <c r="AA430" s="66" t="n"/>
      <c r="AB430" s="66" t="n"/>
      <c r="AC430" s="66" t="n"/>
      <c r="AD430" s="66" t="n"/>
      <c r="AE430" s="66" t="n"/>
      <c r="AF430" s="66" t="n"/>
      <c r="AG430" s="66" t="n"/>
      <c r="AH430" s="66" t="n"/>
      <c r="AI430" s="66" t="n"/>
      <c r="AJ430" s="66" t="n"/>
      <c r="AK430" s="66" t="n"/>
      <c r="AL430" s="66" t="n"/>
      <c r="AM430" s="66" t="n"/>
      <c r="AN430" s="66" t="n"/>
      <c r="AO430" s="66" t="n"/>
      <c r="AP430" s="66" t="n"/>
      <c r="AQ430" s="66" t="n">
        <v>245020000</v>
      </c>
      <c r="AS430" s="67">
        <f>MROUND(FORECAST(AQ430,AQ418:AQ429,AS418:AS429),100000)</f>
        <v/>
      </c>
    </row>
    <row r="431">
      <c r="A431" s="60" t="n">
        <v>42095</v>
      </c>
      <c r="B431" s="66" t="n"/>
      <c r="C431" s="66" t="n"/>
      <c r="D431" s="66" t="n"/>
      <c r="E431" s="66" t="n"/>
      <c r="F431" s="66" t="n"/>
      <c r="G431" s="66" t="n"/>
      <c r="H431" s="66" t="n"/>
      <c r="I431" s="66" t="n"/>
      <c r="J431" s="66" t="n"/>
      <c r="K431" s="66" t="n"/>
      <c r="L431" s="66" t="n"/>
      <c r="M431" s="66" t="n"/>
      <c r="N431" s="66" t="n"/>
      <c r="O431" s="66" t="n"/>
      <c r="P431" s="66" t="n"/>
      <c r="Q431" s="66" t="n"/>
      <c r="R431" s="66" t="n"/>
      <c r="S431" s="66" t="n"/>
      <c r="T431" s="66" t="n"/>
      <c r="U431" s="66" t="n"/>
      <c r="V431" s="66" t="n"/>
      <c r="W431" s="66" t="n"/>
      <c r="X431" s="66" t="n"/>
      <c r="Y431" s="66" t="n"/>
      <c r="Z431" s="66" t="n"/>
      <c r="AA431" s="66" t="n"/>
      <c r="AB431" s="66" t="n"/>
      <c r="AC431" s="66" t="n"/>
      <c r="AD431" s="66" t="n"/>
      <c r="AE431" s="66" t="n"/>
      <c r="AF431" s="66" t="n"/>
      <c r="AG431" s="66" t="n"/>
      <c r="AH431" s="66" t="n"/>
      <c r="AI431" s="66" t="n"/>
      <c r="AJ431" s="66" t="n"/>
      <c r="AK431" s="66" t="n"/>
      <c r="AL431" s="66" t="n"/>
      <c r="AM431" s="66" t="n"/>
      <c r="AN431" s="66" t="n"/>
      <c r="AO431" s="66" t="n"/>
      <c r="AP431" s="66" t="n"/>
      <c r="AQ431" s="66" t="n">
        <v>241130000</v>
      </c>
      <c r="AS431" s="67">
        <f>MROUND(FORECAST(AQ431,AQ419:AQ430,AS419:AS430),100000)</f>
        <v/>
      </c>
    </row>
    <row r="432">
      <c r="A432" s="60" t="n">
        <v>42125</v>
      </c>
      <c r="B432" s="66" t="n"/>
      <c r="C432" s="66" t="n"/>
      <c r="D432" s="66" t="n"/>
      <c r="E432" s="66" t="n"/>
      <c r="F432" s="66" t="n"/>
      <c r="G432" s="66" t="n"/>
      <c r="H432" s="66" t="n"/>
      <c r="I432" s="66" t="n"/>
      <c r="J432" s="66" t="n"/>
      <c r="K432" s="66" t="n"/>
      <c r="L432" s="66" t="n"/>
      <c r="M432" s="66" t="n"/>
      <c r="N432" s="66" t="n"/>
      <c r="O432" s="66" t="n"/>
      <c r="P432" s="66" t="n"/>
      <c r="Q432" s="66" t="n"/>
      <c r="R432" s="66" t="n"/>
      <c r="S432" s="66" t="n"/>
      <c r="T432" s="66" t="n"/>
      <c r="U432" s="66" t="n"/>
      <c r="V432" s="66" t="n"/>
      <c r="W432" s="66" t="n"/>
      <c r="X432" s="66" t="n"/>
      <c r="Y432" s="66" t="n"/>
      <c r="Z432" s="66" t="n"/>
      <c r="AA432" s="66" t="n"/>
      <c r="AB432" s="66" t="n"/>
      <c r="AC432" s="66" t="n"/>
      <c r="AD432" s="66" t="n"/>
      <c r="AE432" s="66" t="n"/>
      <c r="AF432" s="66" t="n"/>
      <c r="AG432" s="66" t="n"/>
      <c r="AH432" s="66" t="n"/>
      <c r="AI432" s="66" t="n"/>
      <c r="AJ432" s="66" t="n"/>
      <c r="AK432" s="66" t="n"/>
      <c r="AL432" s="66" t="n"/>
      <c r="AM432" s="66" t="n"/>
      <c r="AN432" s="66" t="n"/>
      <c r="AO432" s="66" t="n"/>
      <c r="AP432" s="66" t="n"/>
      <c r="AQ432" s="66" t="n">
        <v>255570000</v>
      </c>
      <c r="AS432" s="67">
        <f>MROUND(FORECAST(AQ432,AQ420:AQ431,AS420:AS431),100000)</f>
        <v/>
      </c>
    </row>
    <row r="433">
      <c r="A433" s="60" t="n">
        <v>42156</v>
      </c>
      <c r="B433" s="66" t="n"/>
      <c r="C433" s="66" t="n"/>
      <c r="D433" s="66" t="n"/>
      <c r="E433" s="66" t="n"/>
      <c r="F433" s="66" t="n"/>
      <c r="G433" s="66" t="n"/>
      <c r="H433" s="66" t="n"/>
      <c r="I433" s="66" t="n"/>
      <c r="J433" s="66" t="n"/>
      <c r="K433" s="66" t="n"/>
      <c r="L433" s="66" t="n"/>
      <c r="M433" s="66" t="n"/>
      <c r="N433" s="66" t="n"/>
      <c r="O433" s="66" t="n"/>
      <c r="P433" s="66" t="n"/>
      <c r="Q433" s="66" t="n"/>
      <c r="R433" s="66" t="n"/>
      <c r="S433" s="66" t="n"/>
      <c r="T433" s="66" t="n"/>
      <c r="U433" s="66" t="n"/>
      <c r="V433" s="66" t="n"/>
      <c r="W433" s="66" t="n"/>
      <c r="X433" s="66" t="n"/>
      <c r="Y433" s="66" t="n"/>
      <c r="Z433" s="66" t="n"/>
      <c r="AA433" s="66" t="n"/>
      <c r="AB433" s="66" t="n"/>
      <c r="AC433" s="66" t="n"/>
      <c r="AD433" s="66" t="n"/>
      <c r="AE433" s="66" t="n"/>
      <c r="AF433" s="66" t="n"/>
      <c r="AG433" s="66" t="n"/>
      <c r="AH433" s="66" t="n"/>
      <c r="AI433" s="66" t="n"/>
      <c r="AJ433" s="66" t="n"/>
      <c r="AK433" s="66" t="n"/>
      <c r="AL433" s="66" t="n"/>
      <c r="AM433" s="66" t="n"/>
      <c r="AN433" s="66" t="n"/>
      <c r="AO433" s="66" t="n"/>
      <c r="AP433" s="66" t="n"/>
      <c r="AQ433" s="66" t="n">
        <v>243120000</v>
      </c>
      <c r="AS433" s="67">
        <f>MROUND(FORECAST(AQ433,AQ421:AQ432,AS421:AS432),100000)</f>
        <v/>
      </c>
    </row>
    <row r="434">
      <c r="A434" s="60" t="n">
        <v>42186</v>
      </c>
      <c r="B434" s="66" t="n"/>
      <c r="C434" s="66" t="n"/>
      <c r="D434" s="66" t="n"/>
      <c r="E434" s="66" t="n"/>
      <c r="F434" s="66" t="n"/>
      <c r="G434" s="66" t="n"/>
      <c r="H434" s="66" t="n"/>
      <c r="I434" s="66" t="n"/>
      <c r="J434" s="66" t="n"/>
      <c r="K434" s="66" t="n"/>
      <c r="L434" s="66" t="n"/>
      <c r="M434" s="66" t="n"/>
      <c r="N434" s="66" t="n"/>
      <c r="O434" s="66" t="n"/>
      <c r="P434" s="66" t="n"/>
      <c r="Q434" s="66" t="n"/>
      <c r="R434" s="66" t="n"/>
      <c r="S434" s="66" t="n"/>
      <c r="T434" s="66" t="n"/>
      <c r="U434" s="66" t="n"/>
      <c r="V434" s="66" t="n"/>
      <c r="W434" s="66" t="n"/>
      <c r="X434" s="66" t="n"/>
      <c r="Y434" s="66" t="n"/>
      <c r="Z434" s="66" t="n"/>
      <c r="AA434" s="66" t="n"/>
      <c r="AB434" s="66" t="n"/>
      <c r="AC434" s="66" t="n"/>
      <c r="AD434" s="66" t="n"/>
      <c r="AE434" s="66" t="n"/>
      <c r="AF434" s="66" t="n"/>
      <c r="AG434" s="66" t="n"/>
      <c r="AH434" s="66" t="n"/>
      <c r="AI434" s="66" t="n"/>
      <c r="AJ434" s="66" t="n"/>
      <c r="AK434" s="66" t="n"/>
      <c r="AL434" s="66" t="n"/>
      <c r="AM434" s="66" t="n"/>
      <c r="AN434" s="66" t="n"/>
      <c r="AO434" s="66" t="n"/>
      <c r="AP434" s="66" t="n"/>
      <c r="AQ434" s="66" t="n">
        <v>248140000</v>
      </c>
      <c r="AS434" s="67">
        <f>MROUND(FORECAST(AQ434,AQ422:AQ433,AS422:AS433),100000)</f>
        <v/>
      </c>
    </row>
    <row r="435">
      <c r="A435" s="60" t="n">
        <v>42217</v>
      </c>
      <c r="B435" s="66" t="n"/>
      <c r="C435" s="66" t="n"/>
      <c r="D435" s="66" t="n"/>
      <c r="E435" s="66" t="n"/>
      <c r="F435" s="66" t="n"/>
      <c r="G435" s="66" t="n"/>
      <c r="H435" s="66" t="n"/>
      <c r="I435" s="66" t="n"/>
      <c r="J435" s="66" t="n"/>
      <c r="K435" s="66" t="n"/>
      <c r="L435" s="66" t="n"/>
      <c r="M435" s="66" t="n"/>
      <c r="N435" s="66" t="n"/>
      <c r="O435" s="66" t="n"/>
      <c r="P435" s="66" t="n"/>
      <c r="Q435" s="66" t="n"/>
      <c r="R435" s="66" t="n"/>
      <c r="S435" s="66" t="n"/>
      <c r="T435" s="66" t="n"/>
      <c r="U435" s="66" t="n"/>
      <c r="V435" s="66" t="n"/>
      <c r="W435" s="66" t="n"/>
      <c r="X435" s="66" t="n"/>
      <c r="Y435" s="66" t="n"/>
      <c r="Z435" s="66" t="n"/>
      <c r="AA435" s="66" t="n"/>
      <c r="AB435" s="66" t="n"/>
      <c r="AC435" s="66" t="n"/>
      <c r="AD435" s="66" t="n"/>
      <c r="AE435" s="66" t="n"/>
      <c r="AF435" s="66" t="n"/>
      <c r="AG435" s="66" t="n"/>
      <c r="AH435" s="66" t="n"/>
      <c r="AI435" s="66" t="n"/>
      <c r="AJ435" s="66" t="n"/>
      <c r="AK435" s="66" t="n"/>
      <c r="AL435" s="66" t="n"/>
      <c r="AM435" s="66" t="n"/>
      <c r="AN435" s="66" t="n"/>
      <c r="AO435" s="66" t="n"/>
      <c r="AP435" s="66" t="n"/>
      <c r="AQ435" s="66" t="n">
        <v>247430000</v>
      </c>
      <c r="AS435" s="67">
        <f>MROUND(FORECAST(AQ435,AQ423:AQ434,AS423:AS434),100000)</f>
        <v/>
      </c>
    </row>
    <row r="436">
      <c r="A436" s="60" t="n">
        <v>42248</v>
      </c>
      <c r="B436" s="66" t="n"/>
      <c r="C436" s="66" t="n"/>
      <c r="D436" s="66" t="n"/>
      <c r="E436" s="66" t="n"/>
      <c r="F436" s="66" t="n"/>
      <c r="G436" s="66" t="n"/>
      <c r="H436" s="66" t="n"/>
      <c r="I436" s="66" t="n"/>
      <c r="J436" s="66" t="n"/>
      <c r="K436" s="66" t="n"/>
      <c r="L436" s="66" t="n"/>
      <c r="M436" s="66" t="n"/>
      <c r="N436" s="66" t="n"/>
      <c r="O436" s="66" t="n"/>
      <c r="P436" s="66" t="n"/>
      <c r="Q436" s="66" t="n"/>
      <c r="R436" s="66" t="n"/>
      <c r="S436" s="66" t="n"/>
      <c r="T436" s="66" t="n"/>
      <c r="U436" s="66" t="n"/>
      <c r="V436" s="66" t="n"/>
      <c r="W436" s="66" t="n"/>
      <c r="X436" s="66" t="n"/>
      <c r="Y436" s="66" t="n"/>
      <c r="Z436" s="66" t="n"/>
      <c r="AA436" s="66" t="n"/>
      <c r="AB436" s="66" t="n"/>
      <c r="AC436" s="66" t="n"/>
      <c r="AD436" s="66" t="n"/>
      <c r="AE436" s="66" t="n"/>
      <c r="AF436" s="66" t="n"/>
      <c r="AG436" s="66" t="n"/>
      <c r="AH436" s="66" t="n"/>
      <c r="AI436" s="66" t="n"/>
      <c r="AJ436" s="66" t="n"/>
      <c r="AK436" s="66" t="n"/>
      <c r="AL436" s="66" t="n"/>
      <c r="AM436" s="66" t="n"/>
      <c r="AN436" s="66" t="n"/>
      <c r="AO436" s="66" t="n"/>
      <c r="AP436" s="66" t="n"/>
      <c r="AQ436" s="66" t="n">
        <v>233910000</v>
      </c>
      <c r="AS436" s="67">
        <f>MROUND(FORECAST(AQ436,AQ424:AQ435,AS424:AS435),100000)</f>
        <v/>
      </c>
    </row>
    <row r="437">
      <c r="A437" s="60" t="n">
        <v>42278</v>
      </c>
      <c r="B437" s="66" t="n"/>
      <c r="C437" s="66" t="n"/>
      <c r="D437" s="66" t="n"/>
      <c r="E437" s="66" t="n"/>
      <c r="F437" s="66" t="n"/>
      <c r="G437" s="66" t="n"/>
      <c r="H437" s="66" t="n"/>
      <c r="I437" s="66" t="n"/>
      <c r="J437" s="66" t="n"/>
      <c r="K437" s="66" t="n"/>
      <c r="L437" s="66" t="n"/>
      <c r="M437" s="66" t="n"/>
      <c r="N437" s="66" t="n"/>
      <c r="O437" s="66" t="n"/>
      <c r="P437" s="66" t="n"/>
      <c r="Q437" s="66" t="n"/>
      <c r="R437" s="66" t="n"/>
      <c r="S437" s="66" t="n"/>
      <c r="T437" s="66" t="n"/>
      <c r="U437" s="66" t="n"/>
      <c r="V437" s="66" t="n"/>
      <c r="W437" s="66" t="n"/>
      <c r="X437" s="66" t="n"/>
      <c r="Y437" s="66" t="n"/>
      <c r="Z437" s="66" t="n"/>
      <c r="AA437" s="66" t="n"/>
      <c r="AB437" s="66" t="n"/>
      <c r="AC437" s="66" t="n"/>
      <c r="AD437" s="66" t="n"/>
      <c r="AE437" s="66" t="n"/>
      <c r="AF437" s="66" t="n"/>
      <c r="AG437" s="66" t="n"/>
      <c r="AH437" s="66" t="n"/>
      <c r="AI437" s="66" t="n"/>
      <c r="AJ437" s="66" t="n"/>
      <c r="AK437" s="66" t="n"/>
      <c r="AL437" s="66" t="n"/>
      <c r="AM437" s="66" t="n"/>
      <c r="AN437" s="66" t="n"/>
      <c r="AO437" s="66" t="n"/>
      <c r="AP437" s="66" t="n"/>
      <c r="AQ437" s="66" t="n">
        <v>247110000</v>
      </c>
      <c r="AS437" s="67">
        <f>MROUND(FORECAST(AQ437,AQ425:AQ436,AS425:AS436),100000)</f>
        <v/>
      </c>
    </row>
    <row r="438">
      <c r="A438" s="60" t="n">
        <v>42309</v>
      </c>
      <c r="B438" s="66" t="n"/>
      <c r="C438" s="66" t="n"/>
      <c r="D438" s="66" t="n"/>
      <c r="E438" s="66" t="n"/>
      <c r="F438" s="66" t="n"/>
      <c r="G438" s="66" t="n"/>
      <c r="H438" s="66" t="n"/>
      <c r="I438" s="66" t="n"/>
      <c r="J438" s="66" t="n"/>
      <c r="K438" s="66" t="n"/>
      <c r="L438" s="66" t="n"/>
      <c r="M438" s="66" t="n"/>
      <c r="N438" s="66" t="n"/>
      <c r="O438" s="66" t="n"/>
      <c r="P438" s="66" t="n"/>
      <c r="Q438" s="66" t="n"/>
      <c r="R438" s="66" t="n"/>
      <c r="S438" s="66" t="n"/>
      <c r="T438" s="66" t="n"/>
      <c r="U438" s="66" t="n"/>
      <c r="V438" s="66" t="n"/>
      <c r="W438" s="66" t="n"/>
      <c r="X438" s="66" t="n"/>
      <c r="Y438" s="66" t="n"/>
      <c r="Z438" s="66" t="n"/>
      <c r="AA438" s="66" t="n"/>
      <c r="AB438" s="66" t="n"/>
      <c r="AC438" s="66" t="n"/>
      <c r="AD438" s="66" t="n"/>
      <c r="AE438" s="66" t="n"/>
      <c r="AF438" s="66" t="n"/>
      <c r="AG438" s="66" t="n"/>
      <c r="AH438" s="66" t="n"/>
      <c r="AI438" s="66" t="n"/>
      <c r="AJ438" s="66" t="n"/>
      <c r="AK438" s="66" t="n"/>
      <c r="AL438" s="66" t="n"/>
      <c r="AM438" s="66" t="n"/>
      <c r="AN438" s="66" t="n"/>
      <c r="AO438" s="66" t="n"/>
      <c r="AP438" s="66" t="n"/>
      <c r="AQ438" s="66" t="n">
        <v>232210000</v>
      </c>
      <c r="AS438" s="67">
        <f>MROUND(FORECAST(AQ438,AQ426:AQ437,AS426:AS437),100000)</f>
        <v/>
      </c>
    </row>
    <row r="439">
      <c r="A439" s="60" t="n">
        <v>42339</v>
      </c>
      <c r="B439" s="66" t="n"/>
      <c r="C439" s="66" t="n"/>
      <c r="D439" s="66" t="n"/>
      <c r="E439" s="66" t="n"/>
      <c r="F439" s="66" t="n"/>
      <c r="G439" s="66" t="n"/>
      <c r="H439" s="66" t="n"/>
      <c r="I439" s="66" t="n"/>
      <c r="J439" s="66" t="n"/>
      <c r="K439" s="66" t="n"/>
      <c r="L439" s="66" t="n"/>
      <c r="M439" s="66" t="n"/>
      <c r="N439" s="66" t="n"/>
      <c r="O439" s="66" t="n"/>
      <c r="P439" s="66" t="n"/>
      <c r="Q439" s="66" t="n"/>
      <c r="R439" s="66" t="n"/>
      <c r="S439" s="66" t="n"/>
      <c r="T439" s="66" t="n"/>
      <c r="U439" s="66" t="n"/>
      <c r="V439" s="66" t="n"/>
      <c r="W439" s="66" t="n"/>
      <c r="X439" s="66" t="n"/>
      <c r="Y439" s="66" t="n"/>
      <c r="Z439" s="66" t="n"/>
      <c r="AA439" s="66" t="n"/>
      <c r="AB439" s="66" t="n"/>
      <c r="AC439" s="66" t="n"/>
      <c r="AD439" s="66" t="n"/>
      <c r="AE439" s="66" t="n"/>
      <c r="AF439" s="66" t="n"/>
      <c r="AG439" s="66" t="n"/>
      <c r="AH439" s="66" t="n"/>
      <c r="AI439" s="66" t="n"/>
      <c r="AJ439" s="66" t="n"/>
      <c r="AK439" s="66" t="n"/>
      <c r="AL439" s="66" t="n"/>
      <c r="AM439" s="66" t="n"/>
      <c r="AN439" s="66" t="n"/>
      <c r="AO439" s="66" t="n"/>
      <c r="AP439" s="66" t="n"/>
      <c r="AQ439" s="66" t="n">
        <v>251600000</v>
      </c>
      <c r="AS439" s="67">
        <f>MROUND(FORECAST(AQ439,AQ427:AQ438,AS427:AS438),100000)</f>
        <v/>
      </c>
    </row>
    <row r="440">
      <c r="A440" s="60" t="n">
        <v>42370</v>
      </c>
      <c r="B440" s="66" t="n"/>
      <c r="C440" s="66" t="n"/>
      <c r="D440" s="66" t="n"/>
      <c r="E440" s="66" t="n"/>
      <c r="F440" s="66" t="n"/>
      <c r="G440" s="66" t="n"/>
      <c r="H440" s="66" t="n"/>
      <c r="I440" s="66" t="n"/>
      <c r="J440" s="66" t="n"/>
      <c r="K440" s="66" t="n"/>
      <c r="L440" s="66" t="n"/>
      <c r="M440" s="66" t="n"/>
      <c r="N440" s="66" t="n"/>
      <c r="O440" s="66" t="n"/>
      <c r="P440" s="66" t="n"/>
      <c r="Q440" s="66" t="n"/>
      <c r="R440" s="66" t="n"/>
      <c r="S440" s="66" t="n"/>
      <c r="T440" s="66" t="n"/>
      <c r="U440" s="66" t="n"/>
      <c r="V440" s="66" t="n"/>
      <c r="W440" s="66" t="n"/>
      <c r="X440" s="66" t="n"/>
      <c r="Y440" s="66" t="n"/>
      <c r="Z440" s="66" t="n"/>
      <c r="AA440" s="66" t="n"/>
      <c r="AB440" s="66" t="n"/>
      <c r="AC440" s="66" t="n"/>
      <c r="AD440" s="66" t="n"/>
      <c r="AE440" s="66" t="n"/>
      <c r="AF440" s="66" t="n"/>
      <c r="AG440" s="66" t="n"/>
      <c r="AH440" s="66" t="n"/>
      <c r="AI440" s="66" t="n"/>
      <c r="AJ440" s="66" t="n"/>
      <c r="AK440" s="66" t="n"/>
      <c r="AL440" s="66" t="n"/>
      <c r="AM440" s="66" t="n"/>
      <c r="AN440" s="66" t="n"/>
      <c r="AO440" s="66" t="n"/>
      <c r="AP440" s="66" t="n"/>
      <c r="AQ440" s="66" t="n">
        <v>221030000</v>
      </c>
      <c r="AS440" s="67">
        <f>MROUND(FORECAST(AQ440,AQ428:AQ439,AS428:AS439),100000)</f>
        <v/>
      </c>
    </row>
    <row r="441">
      <c r="A441" s="60" t="n">
        <v>42401</v>
      </c>
      <c r="B441" s="66" t="n"/>
      <c r="C441" s="66" t="n"/>
      <c r="D441" s="66" t="n"/>
      <c r="E441" s="66" t="n"/>
      <c r="F441" s="66" t="n"/>
      <c r="G441" s="66" t="n"/>
      <c r="H441" s="66" t="n"/>
      <c r="I441" s="66" t="n"/>
      <c r="J441" s="66" t="n"/>
      <c r="K441" s="66" t="n"/>
      <c r="L441" s="66" t="n"/>
      <c r="M441" s="66" t="n"/>
      <c r="N441" s="66" t="n"/>
      <c r="O441" s="66" t="n"/>
      <c r="P441" s="66" t="n"/>
      <c r="Q441" s="66" t="n"/>
      <c r="R441" s="66" t="n"/>
      <c r="S441" s="66" t="n"/>
      <c r="T441" s="66" t="n"/>
      <c r="U441" s="66" t="n"/>
      <c r="V441" s="66" t="n"/>
      <c r="W441" s="66" t="n"/>
      <c r="X441" s="66" t="n"/>
      <c r="Y441" s="66" t="n"/>
      <c r="Z441" s="66" t="n"/>
      <c r="AA441" s="66" t="n"/>
      <c r="AB441" s="66" t="n"/>
      <c r="AC441" s="66" t="n"/>
      <c r="AD441" s="66" t="n"/>
      <c r="AE441" s="66" t="n"/>
      <c r="AF441" s="66" t="n"/>
      <c r="AG441" s="66" t="n"/>
      <c r="AH441" s="66" t="n"/>
      <c r="AI441" s="66" t="n"/>
      <c r="AJ441" s="66" t="n"/>
      <c r="AK441" s="66" t="n"/>
      <c r="AL441" s="66" t="n"/>
      <c r="AM441" s="66" t="n"/>
      <c r="AN441" s="66" t="n"/>
      <c r="AO441" s="66" t="n"/>
      <c r="AP441" s="66" t="n"/>
      <c r="AQ441" s="66" t="n">
        <v>226480000</v>
      </c>
      <c r="AS441" s="67">
        <f>MROUND(FORECAST(AQ441,AQ429:AQ440,AS429:AS440),100000)</f>
        <v/>
      </c>
    </row>
    <row r="442">
      <c r="A442" s="60" t="n">
        <v>42430</v>
      </c>
      <c r="B442" s="66" t="n">
        <v>112681000</v>
      </c>
      <c r="C442" s="66" t="n">
        <v>110810000</v>
      </c>
      <c r="D442" s="66" t="n">
        <v>11811000</v>
      </c>
      <c r="E442" s="66" t="n"/>
      <c r="F442" s="66" t="n">
        <v>96025000</v>
      </c>
      <c r="G442" s="66" t="n">
        <v>16192000</v>
      </c>
      <c r="H442" s="66" t="n"/>
      <c r="I442" s="66" t="n">
        <v>26542000</v>
      </c>
      <c r="J442" s="66" t="n">
        <v>26673000</v>
      </c>
      <c r="K442" s="66" t="n">
        <v>11498000</v>
      </c>
      <c r="L442" s="66" t="n"/>
      <c r="M442" s="66" t="n">
        <v>495307000</v>
      </c>
      <c r="N442" s="66" t="n">
        <v>45464000</v>
      </c>
      <c r="O442" s="66" t="n"/>
      <c r="P442" s="66" t="n">
        <v>58085000</v>
      </c>
      <c r="Q442" s="66" t="n">
        <v>56198000</v>
      </c>
      <c r="R442" s="66" t="n"/>
      <c r="S442" s="66" t="n"/>
      <c r="T442" s="66" t="n">
        <v>207255000</v>
      </c>
      <c r="U442" s="66" t="n">
        <v>206182000</v>
      </c>
      <c r="V442" s="66" t="n">
        <v>19844000</v>
      </c>
      <c r="W442" s="66" t="n"/>
      <c r="X442" s="66" t="n">
        <v>250708000</v>
      </c>
      <c r="Y442" s="66" t="n">
        <v>42813000</v>
      </c>
      <c r="Z442" s="66" t="n"/>
      <c r="AA442" s="66" t="n">
        <v>62600000</v>
      </c>
      <c r="AB442" s="66" t="n">
        <v>64704000</v>
      </c>
      <c r="AC442" s="66" t="n">
        <v>14674000</v>
      </c>
      <c r="AD442" s="66" t="n"/>
      <c r="AE442" s="66" t="n">
        <v>287102000</v>
      </c>
      <c r="AF442" s="66" t="n">
        <v>292582000</v>
      </c>
      <c r="AG442" s="66" t="n">
        <v>81601000</v>
      </c>
      <c r="AH442" s="66" t="n"/>
      <c r="AI442" s="66" t="n">
        <v>92732000</v>
      </c>
      <c r="AJ442" s="66" t="n">
        <v>104112000</v>
      </c>
      <c r="AK442" s="66" t="n">
        <v>13189000</v>
      </c>
      <c r="AL442" s="66" t="n"/>
      <c r="AM442" s="66" t="n">
        <v>194203000</v>
      </c>
      <c r="AN442" s="66" t="n">
        <v>181581000</v>
      </c>
      <c r="AO442" s="66" t="n">
        <v>92854000</v>
      </c>
      <c r="AP442" s="66" t="n"/>
      <c r="AQ442" s="66" t="n">
        <v>244910000</v>
      </c>
      <c r="AS442" s="67">
        <f>MROUND(FORECAST(AQ442,AQ430:AQ441,AS430:AS441),100000)</f>
        <v/>
      </c>
    </row>
    <row r="443">
      <c r="A443" s="60" t="n">
        <v>42461</v>
      </c>
      <c r="B443" s="66" t="n">
        <v>111103000</v>
      </c>
      <c r="C443" s="66" t="n">
        <v>111044000</v>
      </c>
      <c r="D443" s="66" t="n">
        <v>11969000</v>
      </c>
      <c r="E443" s="66" t="n"/>
      <c r="F443" s="66" t="n">
        <v>94072000</v>
      </c>
      <c r="G443" s="66" t="n">
        <v>19795000</v>
      </c>
      <c r="H443" s="66" t="n"/>
      <c r="I443" s="66" t="n">
        <v>28245000</v>
      </c>
      <c r="J443" s="66" t="n">
        <v>28718000</v>
      </c>
      <c r="K443" s="66" t="n">
        <v>12416000</v>
      </c>
      <c r="L443" s="66" t="n"/>
      <c r="M443" s="66" t="n">
        <v>469177000</v>
      </c>
      <c r="N443" s="66" t="n">
        <v>43428000</v>
      </c>
      <c r="O443" s="66" t="n"/>
      <c r="P443" s="66" t="n">
        <v>55198000</v>
      </c>
      <c r="Q443" s="66" t="n">
        <v>55881000</v>
      </c>
      <c r="R443" s="66" t="n"/>
      <c r="S443" s="66" t="n"/>
      <c r="T443" s="66" t="n">
        <v>198257000</v>
      </c>
      <c r="U443" s="66" t="n">
        <v>196734000</v>
      </c>
      <c r="V443" s="66" t="n">
        <v>21347000</v>
      </c>
      <c r="W443" s="66" t="n"/>
      <c r="X443" s="66" t="n">
        <v>246193000</v>
      </c>
      <c r="Y443" s="66" t="n">
        <v>50498000</v>
      </c>
      <c r="Z443" s="66" t="n"/>
      <c r="AA443" s="66" t="n">
        <v>76064000</v>
      </c>
      <c r="AB443" s="66" t="n">
        <v>76078000</v>
      </c>
      <c r="AC443" s="66" t="n">
        <v>16214000</v>
      </c>
      <c r="AD443" s="66" t="n"/>
      <c r="AE443" s="66" t="n">
        <v>275434000</v>
      </c>
      <c r="AF443" s="66" t="n">
        <v>281517000</v>
      </c>
      <c r="AG443" s="66" t="n">
        <v>76974000</v>
      </c>
      <c r="AH443" s="66" t="n"/>
      <c r="AI443" s="66" t="n">
        <v>84550000</v>
      </c>
      <c r="AJ443" s="66" t="n">
        <v>92387000</v>
      </c>
      <c r="AK443" s="66" t="n">
        <v>12408000</v>
      </c>
      <c r="AL443" s="66" t="n"/>
      <c r="AM443" s="66" t="n">
        <v>167301000</v>
      </c>
      <c r="AN443" s="66" t="n">
        <v>171403000</v>
      </c>
      <c r="AO443" s="66" t="n">
        <v>86614000</v>
      </c>
      <c r="AP443" s="66" t="n"/>
      <c r="AQ443" s="66" t="n">
        <v>246270000</v>
      </c>
      <c r="AS443" s="67">
        <f>MROUND(FORECAST(AQ443,AQ431:AQ442,AS431:AS442),100000)</f>
        <v/>
      </c>
    </row>
    <row r="444">
      <c r="A444" s="60" t="n">
        <v>42491</v>
      </c>
      <c r="B444" s="66" t="n">
        <v>116462000</v>
      </c>
      <c r="C444" s="66" t="n">
        <v>115463000</v>
      </c>
      <c r="D444" s="66" t="n">
        <v>12861000</v>
      </c>
      <c r="E444" s="66" t="n"/>
      <c r="F444" s="66" t="n">
        <v>97415000</v>
      </c>
      <c r="G444" s="66" t="n">
        <v>20674000</v>
      </c>
      <c r="H444" s="66" t="n"/>
      <c r="I444" s="66" t="n">
        <v>31471000</v>
      </c>
      <c r="J444" s="66" t="n">
        <v>30376000</v>
      </c>
      <c r="K444" s="66" t="n">
        <v>12486000</v>
      </c>
      <c r="L444" s="66" t="n"/>
      <c r="M444" s="66" t="n">
        <v>510653000</v>
      </c>
      <c r="N444" s="66" t="n">
        <v>46803000</v>
      </c>
      <c r="O444" s="66" t="n"/>
      <c r="P444" s="66" t="n">
        <v>59082000</v>
      </c>
      <c r="Q444" s="66" t="n">
        <v>60419000</v>
      </c>
      <c r="R444" s="66" t="n"/>
      <c r="S444" s="66" t="n"/>
      <c r="T444" s="66" t="n">
        <v>211672000</v>
      </c>
      <c r="U444" s="66" t="n">
        <v>211493000</v>
      </c>
      <c r="V444" s="66" t="n">
        <v>21550000</v>
      </c>
      <c r="W444" s="66" t="n"/>
      <c r="X444" s="66" t="n">
        <v>262634000</v>
      </c>
      <c r="Y444" s="66" t="n">
        <v>55626000</v>
      </c>
      <c r="Z444" s="66" t="n"/>
      <c r="AA444" s="66" t="n">
        <v>83169000</v>
      </c>
      <c r="AB444" s="66" t="n">
        <v>84325000</v>
      </c>
      <c r="AC444" s="66" t="n">
        <v>16808000</v>
      </c>
      <c r="AD444" s="66" t="n"/>
      <c r="AE444" s="66" t="n">
        <v>291743000</v>
      </c>
      <c r="AF444" s="66" t="n">
        <v>290770000</v>
      </c>
      <c r="AG444" s="66" t="n">
        <v>71354000</v>
      </c>
      <c r="AH444" s="66" t="n"/>
      <c r="AI444" s="66" t="n">
        <v>112546000</v>
      </c>
      <c r="AJ444" s="66" t="n">
        <v>120518000</v>
      </c>
      <c r="AK444" s="66" t="n">
        <v>12358000</v>
      </c>
      <c r="AL444" s="66" t="n"/>
      <c r="AM444" s="66" t="n">
        <v>166724000</v>
      </c>
      <c r="AN444" s="66" t="n">
        <v>170951000</v>
      </c>
      <c r="AO444" s="66" t="n">
        <v>79929000</v>
      </c>
      <c r="AP444" s="66" t="n"/>
      <c r="AQ444" s="66" t="n">
        <v>250490000</v>
      </c>
      <c r="AS444" s="67">
        <f>MROUND(FORECAST(AQ444,AQ432:AQ443,AS432:AS443),100000)</f>
        <v/>
      </c>
    </row>
    <row r="445">
      <c r="A445" s="60" t="n">
        <v>42522</v>
      </c>
      <c r="B445" s="66" t="n">
        <v>115558000</v>
      </c>
      <c r="C445" s="66" t="n">
        <v>115517000</v>
      </c>
      <c r="D445" s="66" t="n">
        <v>12825000</v>
      </c>
      <c r="E445" s="66" t="n"/>
      <c r="F445" s="66" t="n">
        <v>98910000</v>
      </c>
      <c r="G445" s="66" t="n">
        <v>17726000</v>
      </c>
      <c r="H445" s="66" t="n"/>
      <c r="I445" s="66" t="n">
        <v>27802000</v>
      </c>
      <c r="J445" s="66" t="n">
        <v>29918000</v>
      </c>
      <c r="K445" s="66" t="n">
        <v>10253000</v>
      </c>
      <c r="L445" s="66" t="n"/>
      <c r="M445" s="66" t="n">
        <v>492239000</v>
      </c>
      <c r="N445" s="66" t="n">
        <v>45154000</v>
      </c>
      <c r="O445" s="66" t="n"/>
      <c r="P445" s="66" t="n">
        <v>59515000</v>
      </c>
      <c r="Q445" s="66" t="n">
        <v>56859000</v>
      </c>
      <c r="R445" s="66" t="n"/>
      <c r="S445" s="66" t="n"/>
      <c r="T445" s="66" t="n">
        <v>209324000</v>
      </c>
      <c r="U445" s="66" t="n">
        <v>209156000</v>
      </c>
      <c r="V445" s="66" t="n">
        <v>21714000</v>
      </c>
      <c r="W445" s="66" t="n"/>
      <c r="X445" s="66" t="n">
        <v>254393000</v>
      </c>
      <c r="Y445" s="66" t="n">
        <v>43738000</v>
      </c>
      <c r="Z445" s="66" t="n"/>
      <c r="AA445" s="66" t="n">
        <v>74100000</v>
      </c>
      <c r="AB445" s="66" t="n">
        <v>75946000</v>
      </c>
      <c r="AC445" s="66" t="n">
        <v>16177000</v>
      </c>
      <c r="AD445" s="66" t="n"/>
      <c r="AE445" s="66" t="n">
        <v>290235000</v>
      </c>
      <c r="AF445" s="66" t="n">
        <v>287121000</v>
      </c>
      <c r="AG445" s="66" t="n">
        <v>78061000</v>
      </c>
      <c r="AH445" s="66" t="n"/>
      <c r="AI445" s="66" t="n">
        <v>97704000</v>
      </c>
      <c r="AJ445" s="66" t="n">
        <v>106150000</v>
      </c>
      <c r="AK445" s="66" t="n">
        <v>13020000</v>
      </c>
      <c r="AL445" s="66" t="n"/>
      <c r="AM445" s="66" t="n">
        <v>181812000</v>
      </c>
      <c r="AN445" s="66" t="n">
        <v>186012000</v>
      </c>
      <c r="AO445" s="66" t="n">
        <v>77887000</v>
      </c>
      <c r="AP445" s="66" t="n"/>
      <c r="AQ445" s="66" t="n">
        <v>242750000</v>
      </c>
      <c r="AS445" s="67">
        <f>MROUND(FORECAST(AQ445,AQ433:AQ444,AS433:AS444),100000)</f>
        <v/>
      </c>
    </row>
    <row r="446">
      <c r="A446" s="60" t="n">
        <v>42552</v>
      </c>
      <c r="B446" s="66" t="n">
        <v>95777000</v>
      </c>
      <c r="C446" s="66" t="n">
        <v>96897000</v>
      </c>
      <c r="D446" s="66" t="n">
        <v>12252000</v>
      </c>
      <c r="E446" s="66" t="n"/>
      <c r="F446" s="66" t="n">
        <v>91725000</v>
      </c>
      <c r="G446" s="66" t="n">
        <v>19076000</v>
      </c>
      <c r="H446" s="66" t="n"/>
      <c r="I446" s="66" t="n">
        <v>22838000</v>
      </c>
      <c r="J446" s="66" t="n">
        <v>27791000</v>
      </c>
      <c r="K446" s="66" t="n">
        <v>11251000</v>
      </c>
      <c r="L446" s="66" t="n"/>
      <c r="M446" s="66" t="n">
        <v>444643000</v>
      </c>
      <c r="N446" s="66" t="n">
        <v>49154000</v>
      </c>
      <c r="O446" s="66" t="n"/>
      <c r="P446" s="66" t="n">
        <v>56708000</v>
      </c>
      <c r="Q446" s="66" t="n">
        <v>50859000</v>
      </c>
      <c r="R446" s="66" t="n"/>
      <c r="S446" s="66" t="n"/>
      <c r="T446" s="66" t="n">
        <v>191219000</v>
      </c>
      <c r="U446" s="66" t="n">
        <v>191277000</v>
      </c>
      <c r="V446" s="66" t="n">
        <v>21652000</v>
      </c>
      <c r="W446" s="66" t="n"/>
      <c r="X446" s="66" t="n">
        <v>237469000</v>
      </c>
      <c r="Y446" s="66" t="n">
        <v>46749000</v>
      </c>
      <c r="Z446" s="66" t="n"/>
      <c r="AA446" s="66" t="n">
        <v>67837000</v>
      </c>
      <c r="AB446" s="66" t="n">
        <v>69760000</v>
      </c>
      <c r="AC446" s="66" t="n">
        <v>15862000</v>
      </c>
      <c r="AD446" s="66" t="n"/>
      <c r="AE446" s="66" t="n">
        <v>267045000</v>
      </c>
      <c r="AF446" s="66" t="n">
        <v>260958000</v>
      </c>
      <c r="AG446" s="66" t="n">
        <v>81101000</v>
      </c>
      <c r="AH446" s="66" t="n"/>
      <c r="AI446" s="66" t="n">
        <v>85729000</v>
      </c>
      <c r="AJ446" s="66" t="n">
        <v>91622000</v>
      </c>
      <c r="AK446" s="66" t="n">
        <v>13475000</v>
      </c>
      <c r="AL446" s="66" t="n"/>
      <c r="AM446" s="66" t="n">
        <v>158542000</v>
      </c>
      <c r="AN446" s="66" t="n">
        <v>163555000</v>
      </c>
      <c r="AO446" s="66" t="n">
        <v>74228000</v>
      </c>
      <c r="AP446" s="66" t="n"/>
      <c r="AQ446" s="66" t="n">
        <v>248410000</v>
      </c>
      <c r="AS446" s="67">
        <f>MROUND(FORECAST(AQ446,AQ434:AQ445,AS434:AS445),100000)</f>
        <v/>
      </c>
    </row>
    <row r="447">
      <c r="A447" s="60" t="n">
        <v>42583</v>
      </c>
      <c r="B447" s="66" t="n">
        <v>114603000</v>
      </c>
      <c r="C447" s="66" t="n">
        <v>115996000</v>
      </c>
      <c r="D447" s="66" t="n">
        <v>11268000</v>
      </c>
      <c r="E447" s="66" t="n"/>
      <c r="F447" s="66" t="n">
        <v>101611000</v>
      </c>
      <c r="G447" s="66" t="n">
        <v>20373000</v>
      </c>
      <c r="H447" s="66" t="n"/>
      <c r="I447" s="66" t="n">
        <v>27542000</v>
      </c>
      <c r="J447" s="66" t="n">
        <v>28872000</v>
      </c>
      <c r="K447" s="66" t="n">
        <v>8276000</v>
      </c>
      <c r="L447" s="66" t="n"/>
      <c r="M447" s="66" t="n">
        <v>523656000</v>
      </c>
      <c r="N447" s="66" t="n">
        <v>49067000</v>
      </c>
      <c r="O447" s="66" t="n"/>
      <c r="P447" s="66" t="n">
        <v>53022000</v>
      </c>
      <c r="Q447" s="66" t="n">
        <v>50439000</v>
      </c>
      <c r="R447" s="66" t="n"/>
      <c r="S447" s="66" t="n"/>
      <c r="T447" s="66" t="n">
        <v>220418000</v>
      </c>
      <c r="U447" s="66" t="n">
        <v>217721000</v>
      </c>
      <c r="V447" s="66" t="n">
        <v>24937000</v>
      </c>
      <c r="W447" s="66" t="n"/>
      <c r="X447" s="66" t="n">
        <v>269451000</v>
      </c>
      <c r="Y447" s="66" t="n">
        <v>59168000</v>
      </c>
      <c r="Z447" s="66" t="n"/>
      <c r="AA447" s="66" t="n">
        <v>79711000</v>
      </c>
      <c r="AB447" s="66" t="n">
        <v>81365000</v>
      </c>
      <c r="AC447" s="66" t="n">
        <v>16737000</v>
      </c>
      <c r="AD447" s="66" t="n"/>
      <c r="AE447" s="66" t="n">
        <v>304113000</v>
      </c>
      <c r="AF447" s="66" t="n">
        <v>304938000</v>
      </c>
      <c r="AG447" s="66" t="n">
        <v>82904000</v>
      </c>
      <c r="AH447" s="66" t="n"/>
      <c r="AI447" s="66" t="n">
        <v>117708000</v>
      </c>
      <c r="AJ447" s="66" t="n">
        <v>124528000</v>
      </c>
      <c r="AK447" s="66" t="n">
        <v>10432000</v>
      </c>
      <c r="AL447" s="66" t="n"/>
      <c r="AM447" s="66" t="n">
        <v>172990000</v>
      </c>
      <c r="AN447" s="66" t="n">
        <v>164968000</v>
      </c>
      <c r="AO447" s="66" t="n">
        <v>84021000</v>
      </c>
      <c r="AP447" s="66" t="n"/>
      <c r="AQ447" s="66" t="n">
        <v>244190000</v>
      </c>
      <c r="AS447" s="67">
        <f>MROUND(FORECAST(AQ447,AQ435:AQ446,AS435:AS446),100000)</f>
        <v/>
      </c>
    </row>
    <row r="448">
      <c r="A448" s="60" t="n">
        <v>42614</v>
      </c>
      <c r="B448" s="66" t="n">
        <v>112216000</v>
      </c>
      <c r="C448" s="66" t="n">
        <v>110832000</v>
      </c>
      <c r="D448" s="66" t="n">
        <v>13077000</v>
      </c>
      <c r="E448" s="66" t="n"/>
      <c r="F448" s="66" t="n">
        <v>96961000</v>
      </c>
      <c r="G448" s="66" t="n">
        <v>18460000</v>
      </c>
      <c r="H448" s="66" t="n"/>
      <c r="I448" s="66" t="n">
        <v>30362000</v>
      </c>
      <c r="J448" s="66" t="n">
        <v>29845000</v>
      </c>
      <c r="K448" s="66" t="n">
        <v>9144000</v>
      </c>
      <c r="L448" s="66" t="n"/>
      <c r="M448" s="66" t="n">
        <v>489606000</v>
      </c>
      <c r="N448" s="66" t="n">
        <v>56741000</v>
      </c>
      <c r="O448" s="66" t="n"/>
      <c r="P448" s="66" t="n">
        <v>60357000</v>
      </c>
      <c r="Q448" s="66" t="n">
        <v>62161000</v>
      </c>
      <c r="R448" s="66" t="n"/>
      <c r="S448" s="66" t="n"/>
      <c r="T448" s="66" t="n">
        <v>209206000</v>
      </c>
      <c r="U448" s="66" t="n">
        <v>211536000</v>
      </c>
      <c r="V448" s="66" t="n">
        <v>22649000</v>
      </c>
      <c r="W448" s="66" t="n"/>
      <c r="X448" s="66" t="n">
        <v>259234000</v>
      </c>
      <c r="Y448" s="66" t="n">
        <v>57767000</v>
      </c>
      <c r="Z448" s="66" t="n"/>
      <c r="AA448" s="66" t="n">
        <v>68841000</v>
      </c>
      <c r="AB448" s="66" t="n">
        <v>69200000</v>
      </c>
      <c r="AC448" s="66" t="n">
        <v>17062000</v>
      </c>
      <c r="AD448" s="66" t="n"/>
      <c r="AE448" s="66" t="n">
        <v>310898000</v>
      </c>
      <c r="AF448" s="66" t="n">
        <v>310377000</v>
      </c>
      <c r="AG448" s="66" t="n">
        <v>84911000</v>
      </c>
      <c r="AH448" s="66" t="n"/>
      <c r="AI448" s="66" t="n">
        <v>103861000</v>
      </c>
      <c r="AJ448" s="66" t="n">
        <v>111198000</v>
      </c>
      <c r="AK448" s="66" t="n">
        <v>13136000</v>
      </c>
      <c r="AL448" s="66" t="n"/>
      <c r="AM448" s="66" t="n">
        <v>183125000</v>
      </c>
      <c r="AN448" s="66" t="n">
        <v>178108000</v>
      </c>
      <c r="AO448" s="66" t="n">
        <v>89281000</v>
      </c>
      <c r="AP448" s="66" t="n"/>
      <c r="AQ448" s="66" t="n">
        <v>236340000</v>
      </c>
      <c r="AS448" s="67">
        <f>MROUND(FORECAST(AQ448,AQ436:AQ447,AS436:AS447),100000)</f>
        <v/>
      </c>
    </row>
    <row r="449">
      <c r="A449" s="60" t="n">
        <v>42644</v>
      </c>
      <c r="B449" s="66" t="n">
        <v>116183000</v>
      </c>
      <c r="C449" s="66" t="n">
        <v>115514000</v>
      </c>
      <c r="D449" s="66" t="n">
        <v>13914000</v>
      </c>
      <c r="E449" s="66" t="n"/>
      <c r="F449" s="66" t="n">
        <v>93992000</v>
      </c>
      <c r="G449" s="66" t="n">
        <v>23806000</v>
      </c>
      <c r="H449" s="66" t="n"/>
      <c r="I449" s="66" t="n">
        <v>33270000</v>
      </c>
      <c r="J449" s="66" t="n">
        <v>33841000</v>
      </c>
      <c r="K449" s="66" t="n">
        <v>7255000</v>
      </c>
      <c r="L449" s="66" t="n"/>
      <c r="M449" s="66" t="n">
        <v>491455000</v>
      </c>
      <c r="N449" s="66" t="n">
        <v>58536000</v>
      </c>
      <c r="O449" s="66" t="n"/>
      <c r="P449" s="66" t="n">
        <v>78086000</v>
      </c>
      <c r="Q449" s="66" t="n">
        <v>86208000</v>
      </c>
      <c r="R449" s="66" t="n"/>
      <c r="S449" s="66" t="n"/>
      <c r="T449" s="66" t="n">
        <v>197480000</v>
      </c>
      <c r="U449" s="66" t="n">
        <v>196654000</v>
      </c>
      <c r="V449" s="66" t="n">
        <v>23470000</v>
      </c>
      <c r="W449" s="66" t="n"/>
      <c r="X449" s="66" t="n">
        <v>250062000</v>
      </c>
      <c r="Y449" s="66" t="n">
        <v>64897000</v>
      </c>
      <c r="Z449" s="66" t="n"/>
      <c r="AA449" s="66" t="n">
        <v>67281000</v>
      </c>
      <c r="AB449" s="66" t="n">
        <v>71007000</v>
      </c>
      <c r="AC449" s="66" t="n">
        <v>15230000</v>
      </c>
      <c r="AD449" s="66" t="n"/>
      <c r="AE449" s="66" t="n">
        <v>284782000</v>
      </c>
      <c r="AF449" s="66" t="n">
        <v>287010000</v>
      </c>
      <c r="AG449" s="66" t="n">
        <v>92570000</v>
      </c>
      <c r="AH449" s="66" t="n"/>
      <c r="AI449" s="66" t="n">
        <v>110249000</v>
      </c>
      <c r="AJ449" s="66" t="n">
        <v>118756000</v>
      </c>
      <c r="AK449" s="66" t="n">
        <v>12207000</v>
      </c>
      <c r="AL449" s="66" t="n"/>
      <c r="AM449" s="66" t="n">
        <v>157019000</v>
      </c>
      <c r="AN449" s="66" t="n">
        <v>161472000</v>
      </c>
      <c r="AO449" s="66" t="n">
        <v>84076000</v>
      </c>
      <c r="AP449" s="66" t="n"/>
      <c r="AQ449" s="66" t="n">
        <v>241930000</v>
      </c>
      <c r="AS449" s="67">
        <f>MROUND(FORECAST(AQ449,AQ437:AQ448,AS437:AS448),100000)</f>
        <v/>
      </c>
    </row>
    <row r="450">
      <c r="A450" s="60" t="n">
        <v>42675</v>
      </c>
      <c r="B450" s="66" t="n">
        <v>127696000</v>
      </c>
      <c r="C450" s="66" t="n">
        <v>128052000</v>
      </c>
      <c r="D450" s="66" t="n">
        <v>13656000</v>
      </c>
      <c r="E450" s="66" t="n"/>
      <c r="F450" s="66" t="n">
        <v>103760000</v>
      </c>
      <c r="G450" s="66" t="n">
        <v>22997000</v>
      </c>
      <c r="H450" s="66" t="n"/>
      <c r="I450" s="66" t="n">
        <v>35670000</v>
      </c>
      <c r="J450" s="66" t="n">
        <v>37204000</v>
      </c>
      <c r="K450" s="66" t="n">
        <v>7661000</v>
      </c>
      <c r="L450" s="66" t="n"/>
      <c r="M450" s="66" t="n">
        <v>548073000</v>
      </c>
      <c r="N450" s="66" t="n">
        <v>62871000</v>
      </c>
      <c r="O450" s="66" t="n"/>
      <c r="P450" s="66" t="n">
        <v>85048000</v>
      </c>
      <c r="Q450" s="66" t="n">
        <v>77543000</v>
      </c>
      <c r="R450" s="66" t="n"/>
      <c r="S450" s="66" t="n"/>
      <c r="T450" s="66" t="n">
        <v>207194000</v>
      </c>
      <c r="U450" s="66" t="n">
        <v>204038000</v>
      </c>
      <c r="V450" s="66" t="n">
        <v>26540000</v>
      </c>
      <c r="W450" s="66" t="n"/>
      <c r="X450" s="66" t="n">
        <v>254462000</v>
      </c>
      <c r="Y450" s="66" t="n">
        <v>64465000</v>
      </c>
      <c r="Z450" s="66" t="n"/>
      <c r="AA450" s="66" t="n">
        <v>81756000</v>
      </c>
      <c r="AB450" s="66" t="n">
        <v>85476000</v>
      </c>
      <c r="AC450" s="66" t="n">
        <v>15792000</v>
      </c>
      <c r="AD450" s="66" t="n"/>
      <c r="AE450" s="66" t="n">
        <v>316296000</v>
      </c>
      <c r="AF450" s="66" t="n">
        <v>316000000</v>
      </c>
      <c r="AG450" s="66" t="n">
        <v>85897000</v>
      </c>
      <c r="AH450" s="66" t="n"/>
      <c r="AI450" s="66" t="n">
        <v>125974000</v>
      </c>
      <c r="AJ450" s="66" t="n">
        <v>130307000</v>
      </c>
      <c r="AK450" s="66" t="n">
        <v>14608000</v>
      </c>
      <c r="AL450" s="66" t="n"/>
      <c r="AM450" s="66" t="n">
        <v>161550000</v>
      </c>
      <c r="AN450" s="66" t="n">
        <v>156209000</v>
      </c>
      <c r="AO450" s="66" t="n">
        <v>87201000</v>
      </c>
      <c r="AP450" s="66" t="n"/>
      <c r="AQ450" s="66" t="n">
        <v>232430000</v>
      </c>
      <c r="AS450" s="67">
        <f>MROUND(FORECAST(AQ450,AQ438:AQ449,AS438:AS449),100000)</f>
        <v/>
      </c>
    </row>
    <row r="451">
      <c r="A451" s="60" t="n">
        <v>42705</v>
      </c>
      <c r="B451" s="66" t="n">
        <v>121400000</v>
      </c>
      <c r="C451" s="66" t="n">
        <v>124399000</v>
      </c>
      <c r="D451" s="66" t="n">
        <v>10463000</v>
      </c>
      <c r="E451" s="66" t="n"/>
      <c r="F451" s="66" t="n">
        <v>96485000</v>
      </c>
      <c r="G451" s="66" t="n">
        <v>17039000</v>
      </c>
      <c r="H451" s="66" t="n"/>
      <c r="I451" s="66" t="n">
        <v>41586000</v>
      </c>
      <c r="J451" s="66" t="n">
        <v>42776000</v>
      </c>
      <c r="K451" s="66" t="n"/>
      <c r="L451" s="66" t="n"/>
      <c r="M451" s="66" t="n">
        <v>540870000</v>
      </c>
      <c r="N451" s="66" t="n">
        <v>60233000</v>
      </c>
      <c r="O451" s="66" t="n"/>
      <c r="P451" s="66" t="n">
        <v>70213000</v>
      </c>
      <c r="Q451" s="66" t="n">
        <v>72635000</v>
      </c>
      <c r="R451" s="66" t="n"/>
      <c r="S451" s="66" t="n"/>
      <c r="T451" s="66" t="n">
        <v>198816000</v>
      </c>
      <c r="U451" s="66" t="n">
        <v>204487000</v>
      </c>
      <c r="V451" s="66" t="n">
        <v>20637000</v>
      </c>
      <c r="W451" s="66" t="n"/>
      <c r="X451" s="66" t="n">
        <v>257030000</v>
      </c>
      <c r="Y451" s="66" t="n">
        <v>49846000</v>
      </c>
      <c r="Z451" s="66" t="n"/>
      <c r="AA451" s="66" t="n">
        <v>75621000</v>
      </c>
      <c r="AB451" s="66" t="n">
        <v>75240000</v>
      </c>
      <c r="AC451" s="66" t="n">
        <v>23394000</v>
      </c>
      <c r="AD451" s="66" t="n"/>
      <c r="AE451" s="66" t="n">
        <v>314080000</v>
      </c>
      <c r="AF451" s="66" t="n">
        <v>309464000</v>
      </c>
      <c r="AG451" s="66" t="n">
        <v>89800000</v>
      </c>
      <c r="AH451" s="66" t="n"/>
      <c r="AI451" s="66" t="n">
        <v>99891000</v>
      </c>
      <c r="AJ451" s="66" t="n">
        <v>108418000</v>
      </c>
      <c r="AK451" s="66" t="n">
        <v>17540000</v>
      </c>
      <c r="AL451" s="66" t="n"/>
      <c r="AM451" s="66" t="n">
        <v>169013000</v>
      </c>
      <c r="AN451" s="66" t="n">
        <v>181148000</v>
      </c>
      <c r="AO451" s="66" t="n">
        <v>76163000</v>
      </c>
      <c r="AP451" s="66" t="n"/>
      <c r="AQ451" s="66" t="n">
        <v>249380000</v>
      </c>
      <c r="AS451" s="67">
        <f>MROUND(FORECAST(AQ451,AQ439:AQ450,AS439:AS450),100000)</f>
        <v/>
      </c>
    </row>
    <row r="452">
      <c r="A452" s="60" t="n">
        <v>42736</v>
      </c>
      <c r="B452" s="66" t="n">
        <v>113025000</v>
      </c>
      <c r="C452" s="66" t="n">
        <v>112189000</v>
      </c>
      <c r="D452" s="66" t="n">
        <v>13569000</v>
      </c>
      <c r="E452" s="66" t="n"/>
      <c r="F452" s="66" t="n">
        <v>92182000</v>
      </c>
      <c r="G452" s="66" t="n">
        <v>17694000</v>
      </c>
      <c r="H452" s="66" t="n"/>
      <c r="I452" s="66" t="n">
        <v>26461000</v>
      </c>
      <c r="J452" s="66" t="n">
        <v>26771000</v>
      </c>
      <c r="K452" s="66" t="n">
        <v>8749000</v>
      </c>
      <c r="L452" s="66" t="n"/>
      <c r="M452" s="66" t="n">
        <v>521353000</v>
      </c>
      <c r="N452" s="66" t="n">
        <v>63863000</v>
      </c>
      <c r="O452" s="66" t="n"/>
      <c r="P452" s="66" t="n">
        <v>68664000</v>
      </c>
      <c r="Q452" s="66" t="n">
        <v>84556000</v>
      </c>
      <c r="R452" s="66" t="n"/>
      <c r="S452" s="66" t="n"/>
      <c r="T452" s="66" t="n">
        <v>190070000</v>
      </c>
      <c r="U452" s="66" t="n">
        <v>189646000</v>
      </c>
      <c r="V452" s="66" t="n">
        <v>20663000</v>
      </c>
      <c r="W452" s="66" t="n"/>
      <c r="X452" s="66" t="n">
        <v>252208000</v>
      </c>
      <c r="Y452" s="66" t="n">
        <v>49860000</v>
      </c>
      <c r="Z452" s="66" t="n"/>
      <c r="AA452" s="66" t="n">
        <v>70383000</v>
      </c>
      <c r="AB452" s="66" t="n">
        <v>76047000</v>
      </c>
      <c r="AC452" s="66" t="n">
        <v>17784000</v>
      </c>
      <c r="AD452" s="66" t="n"/>
      <c r="AE452" s="66" t="n">
        <v>301826000</v>
      </c>
      <c r="AF452" s="66" t="n">
        <v>286762000</v>
      </c>
      <c r="AG452" s="66" t="n">
        <v>103118000</v>
      </c>
      <c r="AH452" s="66" t="n"/>
      <c r="AI452" s="66" t="n">
        <v>95809000</v>
      </c>
      <c r="AJ452" s="66" t="n">
        <v>113903000</v>
      </c>
      <c r="AK452" s="66" t="n">
        <v>12415000</v>
      </c>
      <c r="AL452" s="66" t="n"/>
      <c r="AM452" s="66" t="n">
        <v>161085000</v>
      </c>
      <c r="AN452" s="66" t="n">
        <v>146820000</v>
      </c>
      <c r="AO452" s="66" t="n">
        <v>90070000</v>
      </c>
      <c r="AP452" s="66" t="n"/>
      <c r="AQ452" s="66" t="n">
        <v>235470000</v>
      </c>
      <c r="AS452" s="67">
        <f>MROUND(FORECAST(AQ452,AQ440:AQ451,AS440:AS451),100000)</f>
        <v/>
      </c>
    </row>
    <row r="453">
      <c r="A453" s="60" t="n">
        <v>42767</v>
      </c>
      <c r="B453" s="66" t="n">
        <v>120739000</v>
      </c>
      <c r="C453" s="66" t="n">
        <v>122163000</v>
      </c>
      <c r="D453" s="66" t="n">
        <v>11287000</v>
      </c>
      <c r="E453" s="66" t="n"/>
      <c r="F453" s="66" t="n">
        <v>98858000</v>
      </c>
      <c r="G453" s="66" t="n">
        <v>19324000</v>
      </c>
      <c r="H453" s="66" t="n"/>
      <c r="I453" s="66" t="n">
        <v>33415000</v>
      </c>
      <c r="J453" s="66" t="n">
        <v>32846000</v>
      </c>
      <c r="K453" s="66" t="n">
        <v>10433000</v>
      </c>
      <c r="L453" s="66" t="n"/>
      <c r="M453" s="66" t="n">
        <v>546750000</v>
      </c>
      <c r="N453" s="66" t="n">
        <v>64110000</v>
      </c>
      <c r="O453" s="66" t="n"/>
      <c r="P453" s="66" t="n">
        <v>71217000</v>
      </c>
      <c r="Q453" s="66" t="n">
        <v>69707000</v>
      </c>
      <c r="R453" s="66" t="n"/>
      <c r="S453" s="66" t="n"/>
      <c r="T453" s="66" t="n">
        <v>202624000</v>
      </c>
      <c r="U453" s="66" t="n">
        <v>203413000</v>
      </c>
      <c r="V453" s="66" t="n">
        <v>19466000</v>
      </c>
      <c r="W453" s="66" t="n"/>
      <c r="X453" s="66" t="n">
        <v>266614000</v>
      </c>
      <c r="Y453" s="66" t="n">
        <v>45921000</v>
      </c>
      <c r="Z453" s="66" t="n"/>
      <c r="AA453" s="66" t="n">
        <v>71978000</v>
      </c>
      <c r="AB453" s="66" t="n">
        <v>71408000</v>
      </c>
      <c r="AC453" s="66" t="n">
        <v>18383000</v>
      </c>
      <c r="AD453" s="66" t="n"/>
      <c r="AE453" s="66" t="n">
        <v>333887000</v>
      </c>
      <c r="AF453" s="66" t="n">
        <v>327570000</v>
      </c>
      <c r="AG453" s="66" t="n">
        <v>88440000</v>
      </c>
      <c r="AH453" s="66" t="n"/>
      <c r="AI453" s="66" t="n">
        <v>114630000</v>
      </c>
      <c r="AJ453" s="66" t="n">
        <v>121856000</v>
      </c>
      <c r="AK453" s="67">
        <f>MROUND(FORECAST(AI453,AI441:AI452,AK441:AK452)*0.35,100000)</f>
        <v/>
      </c>
      <c r="AL453" s="66" t="n"/>
      <c r="AM453" s="66" t="n">
        <v>157786000</v>
      </c>
      <c r="AN453" s="66" t="n">
        <v>155967000</v>
      </c>
      <c r="AO453" s="66" t="n">
        <v>91707000</v>
      </c>
      <c r="AP453" s="66" t="n"/>
      <c r="AQ453" s="66" t="n">
        <v>233150000</v>
      </c>
      <c r="AS453" s="67">
        <f>MROUND(FORECAST(AQ453,AQ441:AQ452,AS441:AS452),100000)</f>
        <v/>
      </c>
    </row>
    <row r="454">
      <c r="A454" s="60" t="n">
        <v>42795</v>
      </c>
      <c r="B454" s="66" t="n">
        <v>110196000</v>
      </c>
      <c r="C454" s="66" t="n">
        <v>112753000</v>
      </c>
      <c r="D454" s="66" t="n">
        <v>8635000</v>
      </c>
      <c r="E454" s="66" t="n"/>
      <c r="F454" s="66" t="n">
        <v>97129000</v>
      </c>
      <c r="G454" s="66" t="n">
        <v>18655000</v>
      </c>
      <c r="H454" s="66" t="n"/>
      <c r="I454" s="66" t="n">
        <v>27078000</v>
      </c>
      <c r="J454" s="66" t="n">
        <v>28048000</v>
      </c>
      <c r="K454" s="66" t="n">
        <v>9264000</v>
      </c>
      <c r="L454" s="66" t="n"/>
      <c r="M454" s="66" t="n">
        <v>456885000</v>
      </c>
      <c r="N454" s="66" t="n">
        <v>53914000</v>
      </c>
      <c r="O454" s="66" t="n"/>
      <c r="P454" s="66" t="n">
        <v>76569000</v>
      </c>
      <c r="Q454" s="66" t="n">
        <v>80397000</v>
      </c>
      <c r="R454" s="66" t="n"/>
      <c r="S454" s="66" t="n"/>
      <c r="T454" s="66" t="n">
        <v>197090000</v>
      </c>
      <c r="U454" s="66" t="n">
        <v>196704000</v>
      </c>
      <c r="V454" s="66" t="n">
        <v>20430000</v>
      </c>
      <c r="W454" s="66" t="n"/>
      <c r="X454" s="66" t="n">
        <v>262806000</v>
      </c>
      <c r="Y454" s="66" t="n">
        <v>49516000</v>
      </c>
      <c r="Z454" s="66" t="n"/>
      <c r="AA454" s="66" t="n">
        <v>79287000</v>
      </c>
      <c r="AB454" s="66" t="n">
        <v>82037000</v>
      </c>
      <c r="AC454" s="66" t="n">
        <v>16780000</v>
      </c>
      <c r="AD454" s="66" t="n"/>
      <c r="AE454" s="66" t="n">
        <v>321430000</v>
      </c>
      <c r="AF454" s="66" t="n">
        <v>328088000</v>
      </c>
      <c r="AG454" s="66" t="n">
        <v>78270000</v>
      </c>
      <c r="AH454" s="66" t="n"/>
      <c r="AI454" s="66" t="n">
        <v>82931000</v>
      </c>
      <c r="AJ454" s="66" t="n">
        <v>93093000</v>
      </c>
      <c r="AK454" s="67">
        <f>MROUND(FORECAST(AI454,AI442:AI453,AK442:AK453)*0.35,100000)</f>
        <v/>
      </c>
      <c r="AL454" s="66" t="n"/>
      <c r="AM454" s="66" t="n">
        <v>174479000</v>
      </c>
      <c r="AN454" s="66" t="n">
        <v>182937000</v>
      </c>
      <c r="AO454" s="66" t="n">
        <v>77811000</v>
      </c>
      <c r="AP454" s="66" t="n"/>
      <c r="AQ454" s="66" t="n">
        <v>262710000</v>
      </c>
      <c r="AS454" s="67">
        <f>MROUND(FORECAST(AQ454,AQ442:AQ453,AS442:AS453),100000)</f>
        <v/>
      </c>
    </row>
    <row r="455">
      <c r="A455" s="60" t="n">
        <v>42826</v>
      </c>
      <c r="B455" s="66" t="n">
        <v>101511000</v>
      </c>
      <c r="C455" s="66" t="n">
        <v>102104000</v>
      </c>
      <c r="D455" s="66" t="n">
        <v>8197000</v>
      </c>
      <c r="E455" s="66" t="n"/>
      <c r="F455" s="66" t="n">
        <v>94979000</v>
      </c>
      <c r="G455" s="66" t="n">
        <v>22452000</v>
      </c>
      <c r="H455" s="66" t="n"/>
      <c r="I455" s="66" t="n">
        <v>28099000</v>
      </c>
      <c r="J455" s="66" t="n">
        <v>28243000</v>
      </c>
      <c r="K455" s="66" t="n">
        <v>9740000</v>
      </c>
      <c r="L455" s="66" t="n"/>
      <c r="M455" s="66" t="n">
        <v>492745000</v>
      </c>
      <c r="N455" s="66" t="n">
        <v>49285000</v>
      </c>
      <c r="O455" s="66" t="n"/>
      <c r="P455" s="66" t="n">
        <v>63418000</v>
      </c>
      <c r="Q455" s="66" t="n">
        <v>61888000</v>
      </c>
      <c r="R455" s="66" t="n"/>
      <c r="S455" s="66" t="n"/>
      <c r="T455" s="66" t="n">
        <v>188763000</v>
      </c>
      <c r="U455" s="66" t="n">
        <v>185035000</v>
      </c>
      <c r="V455" s="66" t="n">
        <v>23706000</v>
      </c>
      <c r="W455" s="66" t="n"/>
      <c r="X455" s="66" t="n">
        <v>245796000</v>
      </c>
      <c r="Y455" s="66" t="n">
        <v>49516000</v>
      </c>
      <c r="Z455" s="66" t="n"/>
      <c r="AA455" s="66" t="n">
        <v>72413000</v>
      </c>
      <c r="AB455" s="66" t="n">
        <v>73890000</v>
      </c>
      <c r="AC455" s="66" t="n">
        <v>16655000</v>
      </c>
      <c r="AD455" s="66" t="n"/>
      <c r="AE455" s="66" t="n">
        <v>289604000</v>
      </c>
      <c r="AF455" s="66" t="n">
        <v>301184000</v>
      </c>
      <c r="AG455" s="66" t="n">
        <v>71125000</v>
      </c>
      <c r="AH455" s="66" t="n"/>
      <c r="AI455" s="66" t="n">
        <v>89713000</v>
      </c>
      <c r="AJ455" s="66" t="n">
        <v>99811000</v>
      </c>
      <c r="AK455" s="67">
        <f>MROUND(FORECAST(AI455,AI443:AI454,AK443:AK454)*3,100000)</f>
        <v/>
      </c>
      <c r="AL455" s="66" t="n"/>
      <c r="AM455" s="66" t="n">
        <v>158108000</v>
      </c>
      <c r="AN455" s="66" t="n">
        <v>150161000</v>
      </c>
      <c r="AO455" s="66" t="n">
        <v>88839000</v>
      </c>
      <c r="AP455" s="66" t="n"/>
      <c r="AQ455" s="66" t="n">
        <v>256210000</v>
      </c>
      <c r="AS455" s="67">
        <f>MROUND(FORECAST(AQ455,AQ443:AQ454,AS443:AS454),100000)</f>
        <v/>
      </c>
    </row>
    <row r="456">
      <c r="A456" s="60" t="n">
        <v>42856</v>
      </c>
      <c r="B456" s="66" t="n">
        <v>108828000</v>
      </c>
      <c r="C456" s="66" t="n">
        <v>108956000</v>
      </c>
      <c r="D456" s="66" t="n">
        <v>7907000</v>
      </c>
      <c r="E456" s="66" t="n"/>
      <c r="F456" s="66" t="n">
        <v>101340000</v>
      </c>
      <c r="G456" s="66" t="n">
        <v>21892000</v>
      </c>
      <c r="H456" s="66" t="n"/>
      <c r="I456" s="66" t="n">
        <v>31898000</v>
      </c>
      <c r="J456" s="66" t="n">
        <v>31245000</v>
      </c>
      <c r="K456" s="66" t="n">
        <v>10981000</v>
      </c>
      <c r="L456" s="66" t="n"/>
      <c r="M456" s="66" t="n">
        <v>516432000</v>
      </c>
      <c r="N456" s="66" t="n">
        <v>46128000</v>
      </c>
      <c r="O456" s="66" t="n"/>
      <c r="P456" s="66" t="n">
        <v>67120000</v>
      </c>
      <c r="Q456" s="66" t="n">
        <v>69022000</v>
      </c>
      <c r="R456" s="66" t="n"/>
      <c r="S456" s="66" t="n"/>
      <c r="T456" s="66" t="n">
        <v>200595000</v>
      </c>
      <c r="U456" s="66" t="n">
        <v>194216000</v>
      </c>
      <c r="V456" s="66" t="n">
        <v>22148000</v>
      </c>
      <c r="W456" s="66" t="n"/>
      <c r="X456" s="66" t="n">
        <v>275136000</v>
      </c>
      <c r="Y456" s="66" t="n">
        <v>64037000</v>
      </c>
      <c r="Z456" s="66" t="n"/>
      <c r="AA456" s="66" t="n">
        <v>73310000</v>
      </c>
      <c r="AB456" s="66" t="n">
        <v>72526000</v>
      </c>
      <c r="AC456" s="66" t="n">
        <v>21547000</v>
      </c>
      <c r="AD456" s="66" t="n"/>
      <c r="AE456" s="66" t="n">
        <v>321310000</v>
      </c>
      <c r="AF456" s="66" t="n">
        <v>291575000</v>
      </c>
      <c r="AG456" s="66" t="n">
        <v>73612000</v>
      </c>
      <c r="AH456" s="66" t="n"/>
      <c r="AI456" s="66" t="n">
        <v>106920000</v>
      </c>
      <c r="AJ456" s="66" t="n">
        <v>111818000</v>
      </c>
      <c r="AK456" s="67">
        <f>MROUND(FORECAST(AI456,AI444:AI455,AK444:AK455)*0.15,100000)</f>
        <v/>
      </c>
      <c r="AL456" s="66" t="n"/>
      <c r="AM456" s="66" t="n">
        <v>171163000</v>
      </c>
      <c r="AN456" s="66" t="n">
        <v>158264000</v>
      </c>
      <c r="AO456" s="66" t="n">
        <v>79184000</v>
      </c>
      <c r="AP456" s="66" t="n"/>
      <c r="AQ456" s="66" t="n">
        <v>263240000</v>
      </c>
      <c r="AS456" s="67">
        <f>MROUND(FORECAST(AQ456,AQ444:AQ455,AS444:AS455),100000)</f>
        <v/>
      </c>
    </row>
    <row r="457">
      <c r="A457" s="60" t="n">
        <v>42887</v>
      </c>
      <c r="B457" s="66" t="n">
        <v>118168000</v>
      </c>
      <c r="C457" s="66" t="n">
        <v>116019000</v>
      </c>
      <c r="D457" s="66" t="n">
        <v>6357000</v>
      </c>
      <c r="E457" s="66" t="n"/>
      <c r="F457" s="66" t="n">
        <v>94995000</v>
      </c>
      <c r="G457" s="66" t="n">
        <v>19494000</v>
      </c>
      <c r="H457" s="66" t="n"/>
      <c r="I457" s="66" t="n">
        <v>27305000</v>
      </c>
      <c r="J457" s="66" t="n">
        <v>29299000</v>
      </c>
      <c r="K457" s="66" t="n">
        <v>9899000</v>
      </c>
      <c r="L457" s="66" t="n"/>
      <c r="M457" s="66" t="n">
        <v>490202000</v>
      </c>
      <c r="N457" s="66" t="n">
        <v>49102000</v>
      </c>
      <c r="O457" s="66" t="n"/>
      <c r="P457" s="66" t="n">
        <v>69202000</v>
      </c>
      <c r="Q457" s="66" t="n">
        <v>67884000</v>
      </c>
      <c r="R457" s="66" t="n"/>
      <c r="S457" s="66" t="n"/>
      <c r="T457" s="66" t="n">
        <v>208662000</v>
      </c>
      <c r="U457" s="66" t="n">
        <v>195666000</v>
      </c>
      <c r="V457" s="66" t="n">
        <v>25883000</v>
      </c>
      <c r="W457" s="66" t="n"/>
      <c r="X457" s="66" t="n">
        <v>269251000</v>
      </c>
      <c r="Y457" s="66" t="n">
        <v>43118000</v>
      </c>
      <c r="Z457" s="66" t="n"/>
      <c r="AA457" s="66" t="n">
        <v>70642000</v>
      </c>
      <c r="AB457" s="66" t="n">
        <v>71893000</v>
      </c>
      <c r="AC457" s="66" t="n">
        <v>21676000</v>
      </c>
      <c r="AD457" s="66" t="n"/>
      <c r="AE457" s="66" t="n">
        <v>297590000</v>
      </c>
      <c r="AF457" s="66" t="n">
        <v>275042000</v>
      </c>
      <c r="AG457" s="66" t="n">
        <v>75152000</v>
      </c>
      <c r="AH457" s="66" t="n"/>
      <c r="AI457" s="66" t="n">
        <v>78476000</v>
      </c>
      <c r="AJ457" s="66" t="n">
        <v>89949000</v>
      </c>
      <c r="AK457" s="67">
        <f>MROUND(FORECAST(AI457,AI445:AI456,AK445:AK456)*0.15,100000)</f>
        <v/>
      </c>
      <c r="AL457" s="66" t="n"/>
      <c r="AM457" s="66" t="n">
        <v>183953000</v>
      </c>
      <c r="AN457" s="66" t="n">
        <v>164839000</v>
      </c>
      <c r="AO457" s="66" t="n">
        <v>85383000</v>
      </c>
      <c r="AP457" s="66" t="n"/>
      <c r="AQ457" s="66" t="n">
        <v>258690000</v>
      </c>
      <c r="AS457" s="67">
        <f>MROUND(FORECAST(AQ457,AQ445:AQ456,AS445:AS456),100000)</f>
        <v/>
      </c>
    </row>
    <row r="458">
      <c r="A458" s="60" t="n">
        <v>42917</v>
      </c>
      <c r="B458" s="66" t="n">
        <v>88859000</v>
      </c>
      <c r="C458" s="66" t="n">
        <v>86533000</v>
      </c>
      <c r="D458" s="66" t="n">
        <v>7684000</v>
      </c>
      <c r="E458" s="66" t="n"/>
      <c r="F458" s="66" t="n">
        <v>86983000</v>
      </c>
      <c r="G458" s="66" t="n">
        <v>18695000</v>
      </c>
      <c r="H458" s="66" t="n"/>
      <c r="I458" s="66" t="n">
        <v>23958000</v>
      </c>
      <c r="J458" s="66" t="n">
        <v>24025000</v>
      </c>
      <c r="K458" s="66" t="n">
        <v>9035000</v>
      </c>
      <c r="L458" s="66" t="n"/>
      <c r="M458" s="66" t="n">
        <v>445531000</v>
      </c>
      <c r="N458" s="66" t="n">
        <v>49757000</v>
      </c>
      <c r="O458" s="66" t="n"/>
      <c r="P458" s="66" t="n">
        <v>65428000</v>
      </c>
      <c r="Q458" s="66" t="n">
        <v>65854000</v>
      </c>
      <c r="R458" s="66" t="n"/>
      <c r="S458" s="66" t="n"/>
      <c r="T458" s="66" t="n">
        <v>189241000</v>
      </c>
      <c r="U458" s="66" t="n">
        <v>180872000</v>
      </c>
      <c r="V458" s="66" t="n">
        <v>24499000</v>
      </c>
      <c r="W458" s="66" t="n"/>
      <c r="X458" s="66" t="n">
        <v>246591000</v>
      </c>
      <c r="Y458" s="66" t="n">
        <v>58370000</v>
      </c>
      <c r="Z458" s="66" t="n"/>
      <c r="AA458" s="66" t="n">
        <v>63405000</v>
      </c>
      <c r="AB458" s="66" t="n">
        <v>65223000</v>
      </c>
      <c r="AC458" s="66" t="n">
        <v>20734000</v>
      </c>
      <c r="AD458" s="66" t="n"/>
      <c r="AE458" s="66" t="n">
        <v>269553000</v>
      </c>
      <c r="AF458" s="66" t="n">
        <v>240844000</v>
      </c>
      <c r="AG458" s="66" t="n">
        <v>80780000</v>
      </c>
      <c r="AH458" s="66" t="n"/>
      <c r="AI458" s="66" t="n">
        <v>78337000</v>
      </c>
      <c r="AJ458" s="66" t="n">
        <v>84487000</v>
      </c>
      <c r="AK458" s="67">
        <f>MROUND(FORECAST(AI458,AI446:AI457,AK446:AK457),100000)</f>
        <v/>
      </c>
      <c r="AL458" s="66" t="n"/>
      <c r="AM458" s="66" t="n">
        <v>160823000</v>
      </c>
      <c r="AN458" s="66" t="n">
        <v>138746000</v>
      </c>
      <c r="AO458" s="66" t="n">
        <v>92934000</v>
      </c>
      <c r="AP458" s="66" t="n"/>
      <c r="AQ458" s="66" t="n">
        <v>258240000</v>
      </c>
      <c r="AS458" s="67">
        <f>MROUND(FORECAST(AQ458,AQ446:AQ457,AS446:AS457),100000)</f>
        <v/>
      </c>
    </row>
    <row r="459">
      <c r="A459" s="60" t="n">
        <v>42948</v>
      </c>
      <c r="B459" s="66" t="n">
        <v>111635000</v>
      </c>
      <c r="C459" s="66" t="n">
        <v>112037000</v>
      </c>
      <c r="D459" s="66" t="n">
        <v>7282000</v>
      </c>
      <c r="E459" s="66" t="n"/>
      <c r="F459" s="66" t="n">
        <v>99989000</v>
      </c>
      <c r="G459" s="66" t="n">
        <v>18130000</v>
      </c>
      <c r="H459" s="66" t="n"/>
      <c r="I459" s="66" t="n">
        <v>29052000</v>
      </c>
      <c r="J459" s="66" t="n">
        <v>29029000</v>
      </c>
      <c r="K459" s="66" t="n">
        <v>6732000</v>
      </c>
      <c r="L459" s="66" t="n"/>
      <c r="M459" s="66" t="n">
        <v>528087000</v>
      </c>
      <c r="N459" s="66" t="n">
        <v>48220000</v>
      </c>
      <c r="O459" s="66" t="n"/>
      <c r="P459" s="66" t="n">
        <v>72628000</v>
      </c>
      <c r="Q459" s="66" t="n">
        <v>70547000</v>
      </c>
      <c r="R459" s="66" t="n"/>
      <c r="S459" s="66" t="n"/>
      <c r="T459" s="66" t="n">
        <v>216053000</v>
      </c>
      <c r="U459" s="66" t="n">
        <v>211032000</v>
      </c>
      <c r="V459" s="66" t="n">
        <v>28721000</v>
      </c>
      <c r="W459" s="66" t="n"/>
      <c r="X459" s="66" t="n">
        <v>280460000</v>
      </c>
      <c r="Y459" s="66" t="n">
        <v>64227000</v>
      </c>
      <c r="Z459" s="66" t="n"/>
      <c r="AA459" s="66" t="n">
        <v>81494000</v>
      </c>
      <c r="AB459" s="66" t="n">
        <v>82950000</v>
      </c>
      <c r="AC459" s="66" t="n">
        <v>20480000</v>
      </c>
      <c r="AD459" s="66" t="n"/>
      <c r="AE459" s="66" t="n">
        <v>315213000</v>
      </c>
      <c r="AF459" s="66" t="n">
        <v>318150000</v>
      </c>
      <c r="AG459" s="66" t="n">
        <v>84329000</v>
      </c>
      <c r="AH459" s="66" t="n"/>
      <c r="AI459" s="66" t="n">
        <v>97434000</v>
      </c>
      <c r="AJ459" s="66" t="n">
        <v>109974000</v>
      </c>
      <c r="AK459" s="67">
        <f>MROUND(FORECAST(AI459,AI447:AI458,AK447:AK458)*-0.15,100000)</f>
        <v/>
      </c>
      <c r="AL459" s="66" t="n"/>
      <c r="AM459" s="66" t="n">
        <v>167897000</v>
      </c>
      <c r="AN459" s="66" t="n">
        <v>179531000</v>
      </c>
      <c r="AO459" s="66" t="n">
        <v>81179000</v>
      </c>
      <c r="AP459" s="66" t="n"/>
      <c r="AQ459" s="66" t="n">
        <v>257320000</v>
      </c>
      <c r="AS459" s="67">
        <f>MROUND(FORECAST(AQ459,AQ447:AQ458,AS447:AS458),100000)</f>
        <v/>
      </c>
    </row>
    <row r="460">
      <c r="A460" s="60" t="n">
        <v>42979</v>
      </c>
      <c r="B460" s="66" t="n">
        <v>103468000</v>
      </c>
      <c r="C460" s="66" t="n">
        <v>101877000</v>
      </c>
      <c r="D460" s="66" t="n">
        <v>8872000</v>
      </c>
      <c r="E460" s="66" t="n"/>
      <c r="F460" s="66" t="n">
        <v>97232000</v>
      </c>
      <c r="G460" s="66" t="n">
        <v>23121000</v>
      </c>
      <c r="H460" s="66" t="n"/>
      <c r="I460" s="66" t="n">
        <v>28156000</v>
      </c>
      <c r="J460" s="66" t="n">
        <v>28726000</v>
      </c>
      <c r="K460" s="66" t="n">
        <v>5401000</v>
      </c>
      <c r="L460" s="66" t="n"/>
      <c r="M460" s="66" t="n">
        <v>533264000</v>
      </c>
      <c r="N460" s="66" t="n">
        <v>65483000</v>
      </c>
      <c r="O460" s="66" t="n"/>
      <c r="P460" s="66" t="n">
        <v>69369000</v>
      </c>
      <c r="Q460" s="66" t="n">
        <v>68324000</v>
      </c>
      <c r="R460" s="66" t="n"/>
      <c r="S460" s="66" t="n"/>
      <c r="T460" s="66" t="n">
        <v>207914000</v>
      </c>
      <c r="U460" s="66" t="n">
        <v>208526000</v>
      </c>
      <c r="V460" s="66" t="n">
        <v>23078000</v>
      </c>
      <c r="W460" s="66" t="n"/>
      <c r="X460" s="66" t="n">
        <v>266001000</v>
      </c>
      <c r="Y460" s="66" t="n">
        <v>64416000</v>
      </c>
      <c r="Z460" s="66" t="n"/>
      <c r="AA460" s="66" t="n">
        <v>77479000</v>
      </c>
      <c r="AB460" s="66" t="n">
        <v>76146000</v>
      </c>
      <c r="AC460" s="66" t="n">
        <v>23690000</v>
      </c>
      <c r="AD460" s="66" t="n"/>
      <c r="AE460" s="66" t="n">
        <v>297599000</v>
      </c>
      <c r="AF460" s="66" t="n">
        <v>292281000</v>
      </c>
      <c r="AG460" s="66" t="n">
        <v>88643000</v>
      </c>
      <c r="AH460" s="66" t="n"/>
      <c r="AI460" s="66" t="n">
        <v>85595000</v>
      </c>
      <c r="AJ460" s="66" t="n">
        <v>93222000</v>
      </c>
      <c r="AK460" s="67">
        <f>MROUND(FORECAST(AI460,AI448:AI459,AK448:AK459)*-0.55,100000)</f>
        <v/>
      </c>
      <c r="AL460" s="66" t="n"/>
      <c r="AM460" s="66" t="n">
        <v>172307000</v>
      </c>
      <c r="AN460" s="66" t="n">
        <v>171628000</v>
      </c>
      <c r="AO460" s="66" t="n">
        <v>82432000</v>
      </c>
      <c r="AP460" s="66" t="n"/>
      <c r="AQ460" s="66" t="n">
        <v>247510000</v>
      </c>
      <c r="AS460" s="67">
        <f>MROUND(FORECAST(AQ460,AQ448:AQ459,AS448:AS459),100000)</f>
        <v/>
      </c>
    </row>
    <row r="461">
      <c r="A461" s="60" t="n">
        <v>43009</v>
      </c>
      <c r="B461" s="66" t="n">
        <v>108646000</v>
      </c>
      <c r="C461" s="66" t="n">
        <v>109969000</v>
      </c>
      <c r="D461" s="66" t="n">
        <v>8098000</v>
      </c>
      <c r="E461" s="66" t="n"/>
      <c r="F461" s="66" t="n">
        <v>92530000</v>
      </c>
      <c r="G461" s="66" t="n">
        <v>21167000</v>
      </c>
      <c r="H461" s="66" t="n"/>
      <c r="I461" s="66" t="n">
        <v>29183000</v>
      </c>
      <c r="J461" s="66" t="n">
        <v>28295000</v>
      </c>
      <c r="K461" s="66" t="n">
        <v>4751000</v>
      </c>
      <c r="L461" s="66" t="n"/>
      <c r="M461" s="66" t="n">
        <v>506187000</v>
      </c>
      <c r="N461" s="66" t="n">
        <v>66583000</v>
      </c>
      <c r="O461" s="66" t="n"/>
      <c r="P461" s="66" t="n">
        <v>71183000</v>
      </c>
      <c r="Q461" s="66" t="n">
        <v>72468000</v>
      </c>
      <c r="R461" s="66" t="n"/>
      <c r="S461" s="66" t="n"/>
      <c r="T461" s="66" t="n">
        <v>196936000</v>
      </c>
      <c r="U461" s="66" t="n">
        <v>196231000</v>
      </c>
      <c r="V461" s="66" t="n">
        <v>23783000</v>
      </c>
      <c r="W461" s="66" t="n"/>
      <c r="X461" s="66" t="n">
        <v>260441000</v>
      </c>
      <c r="Y461" s="66" t="n">
        <v>66166000</v>
      </c>
      <c r="Z461" s="66" t="n"/>
      <c r="AA461" s="66" t="n">
        <v>73081000</v>
      </c>
      <c r="AB461" s="66" t="n">
        <v>69225000</v>
      </c>
      <c r="AC461" s="66" t="n">
        <v>28275000</v>
      </c>
      <c r="AD461" s="66" t="n"/>
      <c r="AE461" s="66" t="n">
        <v>273846000</v>
      </c>
      <c r="AF461" s="66" t="n">
        <v>266655000</v>
      </c>
      <c r="AG461" s="66" t="n">
        <v>95775000</v>
      </c>
      <c r="AH461" s="66" t="n"/>
      <c r="AI461" s="66" t="n">
        <v>103590000</v>
      </c>
      <c r="AJ461" s="66" t="n">
        <v>108185000</v>
      </c>
      <c r="AK461" s="67">
        <f>MROUND(FORECAST(AI461,AI449:AI460,AK449:AK460)*-0.35,100000)</f>
        <v/>
      </c>
      <c r="AL461" s="66" t="n"/>
      <c r="AM461" s="66" t="n">
        <v>162770000</v>
      </c>
      <c r="AN461" s="66" t="n">
        <v>162292000</v>
      </c>
      <c r="AO461" s="66" t="n">
        <v>84449000</v>
      </c>
      <c r="AP461" s="66" t="n"/>
      <c r="AQ461" s="66" t="n">
        <v>251140000</v>
      </c>
      <c r="AS461" s="67">
        <f>MROUND(FORECAST(AQ461,AQ449:AQ460,AS449:AS460),100000)</f>
        <v/>
      </c>
    </row>
    <row r="462">
      <c r="A462" s="60" t="n">
        <v>43040</v>
      </c>
      <c r="B462" s="66" t="n">
        <v>116982000</v>
      </c>
      <c r="C462" s="66" t="n">
        <v>116986000</v>
      </c>
      <c r="D462" s="66" t="n">
        <v>8185000</v>
      </c>
      <c r="E462" s="66" t="n"/>
      <c r="F462" s="66" t="n">
        <v>98186000</v>
      </c>
      <c r="G462" s="66" t="n">
        <v>21257000</v>
      </c>
      <c r="H462" s="66" t="n"/>
      <c r="I462" s="66" t="n">
        <v>32938000</v>
      </c>
      <c r="J462" s="66" t="n">
        <v>32278000</v>
      </c>
      <c r="K462" s="66" t="n">
        <v>5231000</v>
      </c>
      <c r="L462" s="66" t="n"/>
      <c r="M462" s="66" t="n">
        <v>560271000</v>
      </c>
      <c r="N462" s="66" t="n">
        <v>65094000</v>
      </c>
      <c r="O462" s="66" t="n"/>
      <c r="P462" s="66" t="n">
        <v>69226000</v>
      </c>
      <c r="Q462" s="66" t="n">
        <v>71501000</v>
      </c>
      <c r="R462" s="66" t="n"/>
      <c r="S462" s="66" t="n"/>
      <c r="T462" s="66" t="n">
        <v>205767000</v>
      </c>
      <c r="U462" s="66" t="n">
        <v>205961000</v>
      </c>
      <c r="V462" s="66" t="n">
        <v>23034000</v>
      </c>
      <c r="W462" s="66" t="n"/>
      <c r="X462" s="66" t="n">
        <v>269747000</v>
      </c>
      <c r="Y462" s="66" t="n">
        <v>64981000</v>
      </c>
      <c r="Z462" s="66" t="n"/>
      <c r="AA462" s="66" t="n">
        <v>91393000</v>
      </c>
      <c r="AB462" s="66" t="n">
        <v>100557000</v>
      </c>
      <c r="AC462" s="66" t="n">
        <v>19957000</v>
      </c>
      <c r="AD462" s="66" t="n"/>
      <c r="AE462" s="66" t="n">
        <v>322079000</v>
      </c>
      <c r="AF462" s="66" t="n">
        <v>323284000</v>
      </c>
      <c r="AG462" s="66" t="n">
        <v>94803000</v>
      </c>
      <c r="AH462" s="66" t="n"/>
      <c r="AI462" s="66" t="n">
        <v>120147000</v>
      </c>
      <c r="AJ462" s="66" t="n">
        <v>125991000</v>
      </c>
      <c r="AK462" s="67">
        <f>MROUND(FORECAST(AI462,AI450:AI461,AK450:AK461)*-0.35,100000)</f>
        <v/>
      </c>
      <c r="AL462" s="66" t="n"/>
      <c r="AM462" s="66" t="n">
        <v>159501000</v>
      </c>
      <c r="AN462" s="66" t="n">
        <v>153633000</v>
      </c>
      <c r="AO462" s="66" t="n">
        <v>89572000</v>
      </c>
      <c r="AP462" s="66" t="n"/>
      <c r="AQ462" s="66" t="n">
        <v>242030000</v>
      </c>
      <c r="AS462" s="67">
        <f>MROUND(FORECAST(AQ462,AQ450:AQ461,AS450:AS461),100000)</f>
        <v/>
      </c>
    </row>
    <row r="463">
      <c r="A463" s="60" t="n">
        <v>43070</v>
      </c>
      <c r="B463" s="66" t="n">
        <v>103689000</v>
      </c>
      <c r="C463" s="66" t="n">
        <v>103260000</v>
      </c>
      <c r="D463" s="66" t="n">
        <v>8523000</v>
      </c>
      <c r="E463" s="66" t="n"/>
      <c r="F463" s="66" t="n">
        <v>96508000</v>
      </c>
      <c r="G463" s="66" t="n">
        <v>22949000</v>
      </c>
      <c r="H463" s="66" t="n"/>
      <c r="I463" s="66" t="n">
        <v>31311000</v>
      </c>
      <c r="J463" s="66" t="n">
        <v>30294000</v>
      </c>
      <c r="K463" s="66" t="n">
        <v>6759000</v>
      </c>
      <c r="L463" s="66" t="n"/>
      <c r="M463" s="66" t="n">
        <v>553544000</v>
      </c>
      <c r="N463" s="66" t="n">
        <v>61593000</v>
      </c>
      <c r="O463" s="66" t="n"/>
      <c r="P463" s="66" t="n">
        <v>49905000</v>
      </c>
      <c r="Q463" s="66" t="n">
        <v>49471000</v>
      </c>
      <c r="R463" s="66" t="n"/>
      <c r="S463" s="66" t="n"/>
      <c r="T463" s="66" t="n">
        <v>211023000</v>
      </c>
      <c r="U463" s="66" t="n">
        <v>210268000</v>
      </c>
      <c r="V463" s="66" t="n">
        <v>23846000</v>
      </c>
      <c r="W463" s="66" t="n"/>
      <c r="X463" s="66" t="n">
        <v>276941000</v>
      </c>
      <c r="Y463" s="66" t="n">
        <v>74203000</v>
      </c>
      <c r="Z463" s="66" t="n"/>
      <c r="AA463" s="66" t="n">
        <v>78212000</v>
      </c>
      <c r="AB463" s="66" t="n">
        <v>75325000</v>
      </c>
      <c r="AC463" s="66" t="n">
        <v>22743000</v>
      </c>
      <c r="AD463" s="66" t="n"/>
      <c r="AE463" s="66" t="n">
        <v>324103000</v>
      </c>
      <c r="AF463" s="66" t="n">
        <v>321224000</v>
      </c>
      <c r="AG463" s="66" t="n">
        <v>96158000</v>
      </c>
      <c r="AH463" s="66" t="n"/>
      <c r="AI463" s="66" t="n">
        <v>96129000</v>
      </c>
      <c r="AJ463" s="66" t="n">
        <v>101712000</v>
      </c>
      <c r="AK463" s="66" t="n">
        <v>10295000</v>
      </c>
      <c r="AL463" s="66" t="n"/>
      <c r="AM463" s="66" t="n">
        <v>182972000</v>
      </c>
      <c r="AN463" s="66" t="n">
        <v>185585000</v>
      </c>
      <c r="AO463" s="66" t="n">
        <v>86307000</v>
      </c>
      <c r="AP463" s="66" t="n"/>
      <c r="AQ463" s="66" t="n">
        <v>264820000</v>
      </c>
      <c r="AS463" s="67">
        <f>MROUND(FORECAST(AQ463,AQ451:AQ462,AS451:AS462),100000)</f>
        <v/>
      </c>
    </row>
    <row r="464">
      <c r="A464" s="60" t="n">
        <v>43101</v>
      </c>
      <c r="B464" s="66" t="n">
        <v>106903000</v>
      </c>
      <c r="C464" s="66" t="n">
        <v>104907000</v>
      </c>
      <c r="D464" s="66" t="n">
        <v>19319000</v>
      </c>
      <c r="E464" s="66" t="n"/>
      <c r="F464" s="66" t="n">
        <v>89506000</v>
      </c>
      <c r="G464" s="66" t="n">
        <v>22467000</v>
      </c>
      <c r="H464" s="66" t="n"/>
      <c r="I464" s="66" t="n">
        <v>26605000</v>
      </c>
      <c r="J464" s="66" t="n">
        <v>26718000</v>
      </c>
      <c r="K464" s="66" t="n">
        <v>9004000</v>
      </c>
      <c r="L464" s="66" t="n"/>
      <c r="M464" s="66" t="n">
        <v>390785000</v>
      </c>
      <c r="N464" s="66" t="n">
        <v>58659000</v>
      </c>
      <c r="O464" s="66" t="n"/>
      <c r="P464" s="66" t="n">
        <v>63200000</v>
      </c>
      <c r="Q464" s="66" t="n">
        <v>62466000</v>
      </c>
      <c r="R464" s="66" t="n"/>
      <c r="S464" s="66" t="n"/>
      <c r="T464" s="66" t="n">
        <v>188779000</v>
      </c>
      <c r="U464" s="66" t="n">
        <v>186539000</v>
      </c>
      <c r="V464" s="66" t="n">
        <v>26085000</v>
      </c>
      <c r="W464" s="66" t="n"/>
      <c r="X464" s="66" t="n">
        <v>263287000</v>
      </c>
      <c r="Y464" s="66" t="n">
        <v>74449000</v>
      </c>
      <c r="Z464" s="66" t="n"/>
      <c r="AA464" s="66" t="n">
        <v>66322000</v>
      </c>
      <c r="AB464" s="66" t="n">
        <v>66567000</v>
      </c>
      <c r="AC464" s="66" t="n">
        <v>22864000</v>
      </c>
      <c r="AD464" s="66" t="n"/>
      <c r="AE464" s="66" t="n">
        <v>295053000</v>
      </c>
      <c r="AF464" s="66" t="n">
        <v>283784000</v>
      </c>
      <c r="AG464" s="66" t="n">
        <v>107914000</v>
      </c>
      <c r="AH464" s="66" t="n"/>
      <c r="AI464" s="66" t="n">
        <v>95104000</v>
      </c>
      <c r="AJ464" s="66" t="n">
        <v>104986000</v>
      </c>
      <c r="AK464" s="67">
        <f>MROUND(FORECAST(AI464,AI452:AI463,AK452:AK463)*-0.1,100000)</f>
        <v/>
      </c>
      <c r="AL464" s="66" t="n"/>
      <c r="AM464" s="66" t="n">
        <v>165398000</v>
      </c>
      <c r="AN464" s="66" t="n">
        <v>152729000</v>
      </c>
      <c r="AO464" s="66" t="n">
        <v>98395000</v>
      </c>
      <c r="AP464" s="66" t="n"/>
      <c r="AQ464" s="66" t="n">
        <v>225250000</v>
      </c>
      <c r="AS464" s="67">
        <f>MROUND(FORECAST(AQ464,AQ452:AQ463,AS452:AS463),100000)</f>
        <v/>
      </c>
    </row>
    <row r="465">
      <c r="A465" s="60" t="n">
        <v>43132</v>
      </c>
      <c r="B465" s="66" t="n">
        <v>113874000</v>
      </c>
      <c r="C465" s="66" t="n">
        <v>115491000</v>
      </c>
      <c r="D465" s="66" t="n">
        <v>8902000</v>
      </c>
      <c r="E465" s="66" t="n"/>
      <c r="F465" s="66" t="n">
        <v>96893000</v>
      </c>
      <c r="G465" s="66" t="n">
        <v>22054000</v>
      </c>
      <c r="H465" s="66" t="n"/>
      <c r="I465" s="66" t="n">
        <v>30999000</v>
      </c>
      <c r="J465" s="66" t="n">
        <v>30407000</v>
      </c>
      <c r="K465" s="66" t="n">
        <v>10214000</v>
      </c>
      <c r="L465" s="66" t="n"/>
      <c r="M465" s="66" t="n">
        <v>501428000</v>
      </c>
      <c r="N465" s="66" t="n">
        <v>48453000</v>
      </c>
      <c r="O465" s="66" t="n"/>
      <c r="P465" s="66" t="n">
        <v>54730000</v>
      </c>
      <c r="Q465" s="66" t="n">
        <v>49231000</v>
      </c>
      <c r="R465" s="66" t="n"/>
      <c r="S465" s="66" t="n"/>
      <c r="T465" s="66" t="n">
        <v>210959000</v>
      </c>
      <c r="U465" s="66" t="n">
        <v>210416000</v>
      </c>
      <c r="V465" s="66" t="n">
        <v>26627000</v>
      </c>
      <c r="W465" s="66" t="n"/>
      <c r="X465" s="66" t="n">
        <v>281330000</v>
      </c>
      <c r="Y465" s="66" t="n">
        <v>70807000</v>
      </c>
      <c r="Z465" s="66" t="n"/>
      <c r="AA465" s="66" t="n">
        <v>86836000</v>
      </c>
      <c r="AB465" s="66" t="n">
        <v>85978000</v>
      </c>
      <c r="AC465" s="66" t="n"/>
      <c r="AD465" s="66" t="n"/>
      <c r="AE465" s="66" t="n">
        <v>322935000</v>
      </c>
      <c r="AF465" s="66" t="n">
        <v>329957000</v>
      </c>
      <c r="AG465" s="66" t="n">
        <v>101210000</v>
      </c>
      <c r="AH465" s="66" t="n"/>
      <c r="AI465" s="66" t="n">
        <v>110000000</v>
      </c>
      <c r="AJ465" s="66" t="n">
        <v>118335000</v>
      </c>
      <c r="AK465" s="66" t="n">
        <v>8703000</v>
      </c>
      <c r="AL465" s="66" t="n"/>
      <c r="AM465" s="66" t="n">
        <v>167040000</v>
      </c>
      <c r="AN465" s="66" t="n">
        <v>173538000</v>
      </c>
      <c r="AO465" s="66" t="n">
        <v>91746000</v>
      </c>
      <c r="AP465" s="66" t="n"/>
      <c r="AQ465" s="66" t="n">
        <v>224920000</v>
      </c>
      <c r="AS465" s="67">
        <f>MROUND(FORECAST(AQ465,AQ453:AQ464,AS453:AS464),100000)</f>
        <v/>
      </c>
    </row>
    <row r="466">
      <c r="A466" s="60" t="n">
        <v>43160</v>
      </c>
      <c r="B466" s="66" t="n">
        <v>109976000</v>
      </c>
      <c r="C466" s="66" t="n">
        <v>110761000</v>
      </c>
      <c r="D466" s="66" t="n">
        <v>8100000</v>
      </c>
      <c r="E466" s="66" t="n"/>
      <c r="F466" s="66" t="n">
        <v>97568000</v>
      </c>
      <c r="G466" s="66" t="n">
        <v>19247000</v>
      </c>
      <c r="H466" s="66" t="n"/>
      <c r="I466" s="66" t="n">
        <v>27683000</v>
      </c>
      <c r="J466" s="66" t="n">
        <v>25790000</v>
      </c>
      <c r="K466" s="66" t="n">
        <v>13020000</v>
      </c>
      <c r="L466" s="66" t="n"/>
      <c r="M466" s="66" t="n">
        <v>517317000</v>
      </c>
      <c r="N466" s="66" t="n">
        <v>49828000</v>
      </c>
      <c r="O466" s="66" t="n"/>
      <c r="P466" s="66" t="n">
        <v>58684000</v>
      </c>
      <c r="Q466" s="66" t="n">
        <v>64511000</v>
      </c>
      <c r="R466" s="66" t="n"/>
      <c r="S466" s="66" t="n"/>
      <c r="T466" s="66" t="n">
        <v>206820000</v>
      </c>
      <c r="U466" s="66" t="n">
        <v>209447000</v>
      </c>
      <c r="V466" s="66" t="n">
        <v>24160000</v>
      </c>
      <c r="W466" s="66" t="n"/>
      <c r="X466" s="66" t="n">
        <v>278120000</v>
      </c>
      <c r="Y466" s="66" t="n">
        <v>67761000</v>
      </c>
      <c r="Z466" s="66" t="n"/>
      <c r="AA466" s="66" t="n">
        <v>87195000</v>
      </c>
      <c r="AB466" s="66" t="n">
        <v>90120000</v>
      </c>
      <c r="AC466" s="66" t="n">
        <v>23639000</v>
      </c>
      <c r="AD466" s="66" t="n"/>
      <c r="AE466" s="66" t="n">
        <v>342024000</v>
      </c>
      <c r="AF466" s="66" t="n">
        <v>353948000</v>
      </c>
      <c r="AG466" s="66" t="n">
        <v>89311000</v>
      </c>
      <c r="AH466" s="66" t="n"/>
      <c r="AI466" s="66" t="n">
        <v>99889000</v>
      </c>
      <c r="AJ466" s="66" t="n">
        <v>107037000</v>
      </c>
      <c r="AK466" s="66" t="n">
        <v>11051000</v>
      </c>
      <c r="AL466" s="66" t="n"/>
      <c r="AM466" s="66" t="n">
        <v>191395000</v>
      </c>
      <c r="AN466" s="66" t="n">
        <v>181193000</v>
      </c>
      <c r="AO466" s="66" t="n">
        <v>101867000</v>
      </c>
      <c r="AP466" s="66" t="n"/>
      <c r="AQ466" s="66" t="n">
        <v>258470000</v>
      </c>
      <c r="AS466" s="67">
        <f>MROUND(FORECAST(AQ466,AQ454:AQ465,AS454:AS465),100000)</f>
        <v/>
      </c>
    </row>
    <row r="467">
      <c r="A467" s="60" t="n">
        <v>43191</v>
      </c>
      <c r="B467" s="66" t="n">
        <v>104166000</v>
      </c>
      <c r="C467" s="66" t="n">
        <v>105285000</v>
      </c>
      <c r="D467" s="66" t="n">
        <v>6997000</v>
      </c>
      <c r="E467" s="66" t="n"/>
      <c r="F467" s="66" t="n">
        <v>90328000</v>
      </c>
      <c r="G467" s="66" t="n">
        <v>22836000</v>
      </c>
      <c r="H467" s="66" t="n"/>
      <c r="I467" s="66" t="n">
        <v>26539000</v>
      </c>
      <c r="J467" s="66" t="n">
        <v>24443000</v>
      </c>
      <c r="K467" s="66" t="n">
        <v>16030000</v>
      </c>
      <c r="L467" s="66" t="n"/>
      <c r="M467" s="66" t="n">
        <v>464909000</v>
      </c>
      <c r="N467" s="66" t="n">
        <v>50429000</v>
      </c>
      <c r="O467" s="66" t="n"/>
      <c r="P467" s="66" t="n">
        <v>48386000</v>
      </c>
      <c r="Q467" s="66" t="n">
        <v>52175000</v>
      </c>
      <c r="R467" s="66" t="n"/>
      <c r="S467" s="66" t="n"/>
      <c r="T467" s="66" t="n">
        <v>192964000</v>
      </c>
      <c r="U467" s="66" t="n">
        <v>193085000</v>
      </c>
      <c r="V467" s="66" t="n">
        <v>23826000</v>
      </c>
      <c r="W467" s="66" t="n"/>
      <c r="X467" s="66" t="n">
        <v>257530000</v>
      </c>
      <c r="Y467" s="66" t="n">
        <v>69789000</v>
      </c>
      <c r="Z467" s="66" t="n"/>
      <c r="AA467" s="66" t="n">
        <v>82637000</v>
      </c>
      <c r="AB467" s="66" t="n">
        <v>83223000</v>
      </c>
      <c r="AC467" s="66" t="n">
        <v>24151000</v>
      </c>
      <c r="AD467" s="66" t="n"/>
      <c r="AE467" s="66" t="n">
        <v>305011000</v>
      </c>
      <c r="AF467" s="66" t="n">
        <v>305746000</v>
      </c>
      <c r="AG467" s="66" t="n">
        <v>90779000</v>
      </c>
      <c r="AH467" s="66" t="n"/>
      <c r="AI467" s="66" t="n">
        <v>92787000</v>
      </c>
      <c r="AJ467" s="66" t="n">
        <v>99887000</v>
      </c>
      <c r="AK467" s="67">
        <f>MROUND(FORECAST(AI467,AI455:AI466,AK455:AK466)*-0.1,100000)</f>
        <v/>
      </c>
      <c r="AL467" s="66" t="n"/>
      <c r="AM467" s="66" t="n">
        <v>175099000</v>
      </c>
      <c r="AN467" s="66" t="n">
        <v>183104000</v>
      </c>
      <c r="AO467" s="66" t="n">
        <v>94140000</v>
      </c>
      <c r="AP467" s="66" t="n"/>
      <c r="AQ467" s="66" t="n">
        <v>247710000</v>
      </c>
      <c r="AS467" s="67">
        <f>MROUND(FORECAST(AQ467,AQ455:AQ466,AS455:AS466),100000)</f>
        <v/>
      </c>
    </row>
    <row r="468">
      <c r="A468" s="60" t="n">
        <v>43221</v>
      </c>
      <c r="B468" s="66" t="n">
        <v>113594000</v>
      </c>
      <c r="C468" s="66" t="n">
        <v>112703000</v>
      </c>
      <c r="D468" s="66" t="n">
        <v>7860000</v>
      </c>
      <c r="E468" s="66" t="n"/>
      <c r="F468" s="66" t="n">
        <v>99524000</v>
      </c>
      <c r="G468" s="66" t="n">
        <v>24002000</v>
      </c>
      <c r="H468" s="66" t="n"/>
      <c r="I468" s="66" t="n">
        <v>29882000</v>
      </c>
      <c r="J468" s="66" t="n">
        <v>28202000</v>
      </c>
      <c r="K468" s="66" t="n">
        <v>19567000</v>
      </c>
      <c r="L468" s="66" t="n"/>
      <c r="M468" s="66" t="n">
        <v>469509000</v>
      </c>
      <c r="N468" s="66" t="n">
        <v>49251000</v>
      </c>
      <c r="O468" s="66" t="n"/>
      <c r="P468" s="66" t="n">
        <v>55596000</v>
      </c>
      <c r="Q468" s="66" t="n">
        <v>51797000</v>
      </c>
      <c r="R468" s="66" t="n"/>
      <c r="S468" s="66" t="n"/>
      <c r="T468" s="66" t="n">
        <v>214202000</v>
      </c>
      <c r="U468" s="66" t="n">
        <v>211414000</v>
      </c>
      <c r="V468" s="66" t="n">
        <v>26336000</v>
      </c>
      <c r="W468" s="66" t="n"/>
      <c r="X468" s="66" t="n">
        <v>280341000</v>
      </c>
      <c r="Y468" s="66" t="n">
        <v>74189000</v>
      </c>
      <c r="Z468" s="66" t="n"/>
      <c r="AA468" s="66" t="n">
        <v>88666000</v>
      </c>
      <c r="AB468" s="66" t="n">
        <v>90813000</v>
      </c>
      <c r="AC468" s="66" t="n">
        <v>48405000</v>
      </c>
      <c r="AD468" s="66" t="n"/>
      <c r="AE468" s="66" t="n">
        <v>328252000</v>
      </c>
      <c r="AF468" s="66" t="n">
        <v>335428000</v>
      </c>
      <c r="AG468" s="66" t="n">
        <v>85193000</v>
      </c>
      <c r="AH468" s="66" t="n"/>
      <c r="AI468" s="66" t="n">
        <v>108719000</v>
      </c>
      <c r="AJ468" s="66" t="n">
        <v>115393000</v>
      </c>
      <c r="AK468" s="67">
        <f>MROUND(FORECAST(AI468,AI456:AI467,AK456:AK467)*-0.1,100000)</f>
        <v/>
      </c>
      <c r="AL468" s="66" t="n"/>
      <c r="AM468" s="66" t="n">
        <v>186554000</v>
      </c>
      <c r="AN468" s="66" t="n">
        <v>192678000</v>
      </c>
      <c r="AO468" s="66" t="n">
        <v>88198000</v>
      </c>
      <c r="AP468" s="66" t="n"/>
      <c r="AQ468" s="66" t="n">
        <v>264640000</v>
      </c>
      <c r="AS468" s="67">
        <f>MROUND(FORECAST(AQ468,AQ456:AQ467,AS456:AS467),100000)</f>
        <v/>
      </c>
    </row>
    <row r="469">
      <c r="A469" s="60" t="n">
        <v>43252</v>
      </c>
      <c r="B469" s="66" t="n">
        <v>99298000</v>
      </c>
      <c r="C469" s="66" t="n">
        <v>99851000</v>
      </c>
      <c r="D469" s="66" t="n">
        <v>7308000</v>
      </c>
      <c r="E469" s="66" t="n"/>
      <c r="F469" s="66" t="n">
        <v>81704000</v>
      </c>
      <c r="G469" s="66" t="n">
        <v>21293000</v>
      </c>
      <c r="H469" s="66" t="n"/>
      <c r="I469" s="66" t="n">
        <v>23455000</v>
      </c>
      <c r="J469" s="66" t="n">
        <v>22182000</v>
      </c>
      <c r="K469" s="66" t="n">
        <v>17704000</v>
      </c>
      <c r="L469" s="66" t="n"/>
      <c r="M469" s="66" t="n">
        <v>482620000</v>
      </c>
      <c r="N469" s="66" t="n">
        <v>54817000</v>
      </c>
      <c r="O469" s="66" t="n"/>
      <c r="P469" s="66" t="n">
        <v>47148000</v>
      </c>
      <c r="Q469" s="66" t="n">
        <v>45300000</v>
      </c>
      <c r="R469" s="66" t="n"/>
      <c r="S469" s="66" t="n"/>
      <c r="T469" s="66" t="n">
        <v>209629000</v>
      </c>
      <c r="U469" s="66" t="n">
        <v>206789000</v>
      </c>
      <c r="V469" s="66" t="n">
        <v>29396000</v>
      </c>
      <c r="W469" s="66" t="n"/>
      <c r="X469" s="66" t="n">
        <v>270500000</v>
      </c>
      <c r="Y469" s="66" t="n">
        <v>63925000</v>
      </c>
      <c r="Z469" s="66" t="n"/>
      <c r="AA469" s="66" t="n">
        <v>82012000</v>
      </c>
      <c r="AB469" s="66" t="n">
        <v>86761000</v>
      </c>
      <c r="AC469" s="66" t="n"/>
      <c r="AD469" s="66" t="n"/>
      <c r="AE469" s="66" t="n">
        <v>310869000</v>
      </c>
      <c r="AF469" s="66" t="n">
        <v>315570000</v>
      </c>
      <c r="AG469" s="66" t="n">
        <v>80741000</v>
      </c>
      <c r="AH469" s="66" t="n"/>
      <c r="AI469" s="66" t="n">
        <v>105578000</v>
      </c>
      <c r="AJ469" s="66" t="n">
        <v>114675000</v>
      </c>
      <c r="AK469" s="66" t="n">
        <v>11100000</v>
      </c>
      <c r="AL469" s="66" t="n"/>
      <c r="AM469" s="66" t="n">
        <v>199687000</v>
      </c>
      <c r="AN469" s="66" t="n">
        <v>198310000</v>
      </c>
      <c r="AO469" s="66" t="n">
        <v>89375000</v>
      </c>
      <c r="AP469" s="66" t="n"/>
      <c r="AQ469" s="66" t="n">
        <v>264130000</v>
      </c>
      <c r="AS469" s="67">
        <f>MROUND(FORECAST(AQ469,AQ457:AQ468,AS457:AS468),100000)</f>
        <v/>
      </c>
    </row>
    <row r="470">
      <c r="A470" s="60" t="n">
        <v>43282</v>
      </c>
      <c r="B470" s="66" t="n">
        <v>90095000</v>
      </c>
      <c r="C470" s="66" t="n">
        <v>89393000</v>
      </c>
      <c r="D470" s="66" t="n">
        <v>8010000</v>
      </c>
      <c r="E470" s="66" t="n"/>
      <c r="F470" s="66" t="n">
        <v>92155000</v>
      </c>
      <c r="G470" s="66" t="n">
        <v>21916000</v>
      </c>
      <c r="H470" s="66" t="n"/>
      <c r="I470" s="66" t="n">
        <v>17440000</v>
      </c>
      <c r="J470" s="66" t="n">
        <v>17441000</v>
      </c>
      <c r="K470" s="66" t="n">
        <v>12425000</v>
      </c>
      <c r="L470" s="66" t="n"/>
      <c r="M470" s="66" t="n">
        <v>451953000</v>
      </c>
      <c r="N470" s="66" t="n">
        <v>60601000</v>
      </c>
      <c r="O470" s="66" t="n"/>
      <c r="P470" s="66" t="n">
        <v>42667000</v>
      </c>
      <c r="Q470" s="66" t="n">
        <v>42247000</v>
      </c>
      <c r="R470" s="66" t="n"/>
      <c r="S470" s="66" t="n"/>
      <c r="T470" s="66" t="n">
        <v>199346000</v>
      </c>
      <c r="U470" s="66" t="n">
        <v>195636000</v>
      </c>
      <c r="V470" s="66" t="n">
        <v>27601000</v>
      </c>
      <c r="W470" s="66" t="n"/>
      <c r="X470" s="66" t="n">
        <v>252122000</v>
      </c>
      <c r="Y470" s="66" t="n">
        <v>59596000</v>
      </c>
      <c r="Z470" s="66" t="n"/>
      <c r="AA470" s="66" t="n">
        <v>75896000</v>
      </c>
      <c r="AB470" s="66" t="n">
        <v>78066000</v>
      </c>
      <c r="AC470" s="66" t="n">
        <v>26541000</v>
      </c>
      <c r="AD470" s="66" t="n"/>
      <c r="AE470" s="66" t="n">
        <v>296252000</v>
      </c>
      <c r="AF470" s="66" t="n">
        <v>279891000</v>
      </c>
      <c r="AG470" s="66" t="n">
        <v>99888000</v>
      </c>
      <c r="AH470" s="66" t="n"/>
      <c r="AI470" s="66" t="n">
        <v>77425000</v>
      </c>
      <c r="AJ470" s="66" t="n">
        <v>87260000</v>
      </c>
      <c r="AK470" s="67">
        <f>MROUND(FORECAST(AI470,AI458:AI469,AK458:AK469)*-0.4,100000)</f>
        <v/>
      </c>
      <c r="AL470" s="66" t="n"/>
      <c r="AM470" s="66" t="n">
        <v>180987000</v>
      </c>
      <c r="AN470" s="66" t="n">
        <v>169501000</v>
      </c>
      <c r="AO470" s="66" t="n">
        <v>100828000</v>
      </c>
      <c r="AP470" s="66" t="n"/>
      <c r="AQ470" s="66" t="n">
        <v>264160000</v>
      </c>
      <c r="AS470" s="67">
        <f>MROUND(FORECAST(AQ470,AQ458:AQ469,AS458:AS469),100000)</f>
        <v/>
      </c>
    </row>
    <row r="471">
      <c r="A471" s="60" t="n">
        <v>43313</v>
      </c>
      <c r="B471" s="66" t="n">
        <v>113405000</v>
      </c>
      <c r="C471" s="66" t="n">
        <v>112653000</v>
      </c>
      <c r="D471" s="66" t="n">
        <v>6944000</v>
      </c>
      <c r="E471" s="66" t="n"/>
      <c r="F471" s="66" t="n">
        <v>79265000</v>
      </c>
      <c r="G471" s="66" t="n">
        <v>23271000</v>
      </c>
      <c r="H471" s="66" t="n"/>
      <c r="I471" s="66" t="n">
        <v>28313000</v>
      </c>
      <c r="J471" s="66" t="n">
        <v>27940000</v>
      </c>
      <c r="K471" s="66" t="n">
        <v>14963000</v>
      </c>
      <c r="L471" s="66" t="n"/>
      <c r="M471" s="66" t="n">
        <v>514356000</v>
      </c>
      <c r="N471" s="66" t="n">
        <v>71194000</v>
      </c>
      <c r="O471" s="66" t="n"/>
      <c r="P471" s="66" t="n">
        <v>50852000</v>
      </c>
      <c r="Q471" s="66" t="n">
        <v>48188000</v>
      </c>
      <c r="R471" s="66" t="n"/>
      <c r="S471" s="66" t="n"/>
      <c r="T471" s="66" t="n">
        <v>179657000</v>
      </c>
      <c r="U471" s="66" t="n">
        <v>175271000</v>
      </c>
      <c r="V471" s="66" t="n">
        <v>23939000</v>
      </c>
      <c r="W471" s="66" t="n"/>
      <c r="X471" s="66" t="n">
        <v>234360000</v>
      </c>
      <c r="Y471" s="66" t="n">
        <v>54535000</v>
      </c>
      <c r="Z471" s="66" t="n"/>
      <c r="AA471" s="66" t="n">
        <v>91374000</v>
      </c>
      <c r="AB471" s="66" t="n">
        <v>87570000</v>
      </c>
      <c r="AC471" s="66" t="n">
        <v>34148000</v>
      </c>
      <c r="AD471" s="66" t="n"/>
      <c r="AE471" s="66" t="n">
        <v>332618000</v>
      </c>
      <c r="AF471" s="66" t="n">
        <v>335289000</v>
      </c>
      <c r="AG471" s="66" t="n">
        <v>102239000</v>
      </c>
      <c r="AH471" s="66" t="n"/>
      <c r="AI471" s="66" t="n">
        <v>120008000</v>
      </c>
      <c r="AJ471" s="66" t="n">
        <v>125231000</v>
      </c>
      <c r="AK471" s="67">
        <f>MROUND(FORECAST(AI471,AI459:AI470,AK459:AK470)*-0.1,100000)</f>
        <v/>
      </c>
      <c r="AL471" s="66" t="n"/>
      <c r="AM471" s="66" t="n">
        <v>187474000</v>
      </c>
      <c r="AN471" s="66" t="n">
        <v>176826000</v>
      </c>
      <c r="AO471" s="66" t="n">
        <v>111351000</v>
      </c>
      <c r="AP471" s="66" t="n"/>
      <c r="AQ471" s="66" t="n">
        <v>266270000</v>
      </c>
      <c r="AS471" s="67">
        <f>MROUND(FORECAST(AQ471,AQ459:AQ470,AS459:AS470),100000)</f>
        <v/>
      </c>
    </row>
    <row r="472">
      <c r="A472" s="60" t="n">
        <v>43344</v>
      </c>
      <c r="B472" s="66" t="n">
        <v>103973000</v>
      </c>
      <c r="C472" s="66" t="n">
        <v>102781000</v>
      </c>
      <c r="D472" s="66" t="n">
        <v>8136000</v>
      </c>
      <c r="E472" s="66" t="n"/>
      <c r="F472" s="66" t="n">
        <v>74383000</v>
      </c>
      <c r="G472" s="66" t="n">
        <v>23446000</v>
      </c>
      <c r="H472" s="66" t="n"/>
      <c r="I472" s="66" t="n">
        <v>26339000</v>
      </c>
      <c r="J472" s="66" t="n">
        <v>27345000</v>
      </c>
      <c r="K472" s="66" t="n">
        <v>13111000</v>
      </c>
      <c r="L472" s="66" t="n"/>
      <c r="M472" s="66" t="n">
        <v>498512000</v>
      </c>
      <c r="N472" s="66" t="n">
        <v>70513000</v>
      </c>
      <c r="O472" s="66" t="n"/>
      <c r="P472" s="66" t="n">
        <v>55198000</v>
      </c>
      <c r="Q472" s="66" t="n">
        <v>53128000</v>
      </c>
      <c r="R472" s="66" t="n"/>
      <c r="S472" s="66" t="n"/>
      <c r="T472" s="66" t="n">
        <v>171974000</v>
      </c>
      <c r="U472" s="66" t="n">
        <v>165937000</v>
      </c>
      <c r="V472" s="66" t="n">
        <v>25101000</v>
      </c>
      <c r="W472" s="66" t="n"/>
      <c r="X472" s="66" t="n">
        <v>224917000</v>
      </c>
      <c r="Y472" s="66" t="n">
        <v>67070000</v>
      </c>
      <c r="Z472" s="66" t="n"/>
      <c r="AA472" s="66" t="n">
        <v>77169000</v>
      </c>
      <c r="AB472" s="66" t="n">
        <v>79866000</v>
      </c>
      <c r="AC472" s="66" t="n">
        <v>31362000</v>
      </c>
      <c r="AD472" s="66" t="n"/>
      <c r="AE472" s="66" t="n">
        <v>330273000</v>
      </c>
      <c r="AF472" s="66" t="n">
        <v>322109000</v>
      </c>
      <c r="AG472" s="66" t="n">
        <v>113645000</v>
      </c>
      <c r="AH472" s="66" t="n"/>
      <c r="AI472" s="66" t="n">
        <v>108805000</v>
      </c>
      <c r="AJ472" s="66" t="n">
        <v>118993000</v>
      </c>
      <c r="AK472" s="67">
        <f>MROUND(FORECAST(AI472,AI460:AI471,AK460:AK471)*-0.2,100000)</f>
        <v/>
      </c>
      <c r="AL472" s="66" t="n"/>
      <c r="AM472" s="66" t="n">
        <v>195794000</v>
      </c>
      <c r="AN472" s="66" t="n">
        <v>200096000</v>
      </c>
      <c r="AO472" s="66" t="n">
        <v>108275000</v>
      </c>
      <c r="AP472" s="66" t="n"/>
      <c r="AQ472" s="66" t="n">
        <v>246410000</v>
      </c>
      <c r="AS472" s="67">
        <f>MROUND(FORECAST(AQ472,AQ460:AQ471,AS460:AS471),100000)</f>
        <v/>
      </c>
    </row>
    <row r="473">
      <c r="A473" s="60" t="n">
        <v>43374</v>
      </c>
      <c r="B473" s="66" t="n">
        <v>104610000</v>
      </c>
      <c r="C473" s="66" t="n">
        <v>105187000</v>
      </c>
      <c r="D473" s="66" t="n">
        <v>7529000</v>
      </c>
      <c r="E473" s="66" t="n"/>
      <c r="F473" s="66" t="n">
        <v>76452000</v>
      </c>
      <c r="G473" s="66" t="n">
        <v>19058000</v>
      </c>
      <c r="H473" s="66" t="n"/>
      <c r="I473" s="66" t="n">
        <v>26914000</v>
      </c>
      <c r="J473" s="66" t="n">
        <v>26512000</v>
      </c>
      <c r="K473" s="66" t="n">
        <v>9736000</v>
      </c>
      <c r="L473" s="66" t="n"/>
      <c r="M473" s="66" t="n">
        <v>493845000</v>
      </c>
      <c r="N473" s="66" t="n">
        <v>73420000</v>
      </c>
      <c r="O473" s="66" t="n"/>
      <c r="P473" s="66" t="n">
        <v>51389000</v>
      </c>
      <c r="Q473" s="66" t="n">
        <v>53803000</v>
      </c>
      <c r="R473" s="66" t="n"/>
      <c r="S473" s="66" t="n"/>
      <c r="T473" s="66" t="n">
        <v>168973000</v>
      </c>
      <c r="U473" s="66" t="n">
        <v>162988000</v>
      </c>
      <c r="V473" s="66" t="n">
        <v>24406000</v>
      </c>
      <c r="W473" s="66" t="n"/>
      <c r="X473" s="66" t="n">
        <v>227915000</v>
      </c>
      <c r="Y473" s="66" t="n">
        <v>61601000</v>
      </c>
      <c r="Z473" s="66" t="n"/>
      <c r="AA473" s="66" t="n">
        <v>82283000</v>
      </c>
      <c r="AB473" s="66" t="n">
        <v>83523000</v>
      </c>
      <c r="AC473" s="66" t="n">
        <v>29967000</v>
      </c>
      <c r="AD473" s="66" t="n"/>
      <c r="AE473" s="66" t="n">
        <v>322771000</v>
      </c>
      <c r="AF473" s="66" t="n">
        <v>325996000</v>
      </c>
      <c r="AG473" s="66" t="n">
        <v>110415000</v>
      </c>
      <c r="AH473" s="66" t="n"/>
      <c r="AI473" s="66" t="n">
        <v>110521000</v>
      </c>
      <c r="AJ473" s="66" t="n">
        <v>119632000</v>
      </c>
      <c r="AK473" s="67">
        <f>MROUND(FORECAST(AI473,AI461:AI472,AK461:AK472),100000)</f>
        <v/>
      </c>
      <c r="AL473" s="66" t="n"/>
      <c r="AM473" s="66" t="n">
        <v>183059000</v>
      </c>
      <c r="AN473" s="66" t="n">
        <v>191483000</v>
      </c>
      <c r="AO473" s="66" t="n">
        <v>100364000</v>
      </c>
      <c r="AP473" s="66" t="n"/>
      <c r="AQ473" s="66" t="n">
        <v>252980000</v>
      </c>
      <c r="AS473" s="67">
        <f>MROUND(FORECAST(AQ473,AQ461:AQ472,AS461:AS472),100000)</f>
        <v/>
      </c>
    </row>
    <row r="474">
      <c r="A474" s="60" t="n">
        <v>43405</v>
      </c>
      <c r="B474" s="66" t="n">
        <v>116736000</v>
      </c>
      <c r="C474" s="66" t="n">
        <v>114285000</v>
      </c>
      <c r="D474" s="66" t="n">
        <v>9966000</v>
      </c>
      <c r="E474" s="66" t="n"/>
      <c r="F474" s="66" t="n">
        <v>76780000</v>
      </c>
      <c r="G474" s="66" t="n">
        <v>22180000</v>
      </c>
      <c r="H474" s="66" t="n"/>
      <c r="I474" s="66" t="n">
        <v>34191000</v>
      </c>
      <c r="J474" s="66" t="n">
        <v>32173000</v>
      </c>
      <c r="K474" s="66" t="n">
        <v>10865000</v>
      </c>
      <c r="L474" s="66" t="n"/>
      <c r="M474" s="66" t="n">
        <v>542191000</v>
      </c>
      <c r="N474" s="66" t="n">
        <v>66986000</v>
      </c>
      <c r="O474" s="66" t="n"/>
      <c r="P474" s="66" t="n">
        <v>54246000</v>
      </c>
      <c r="Q474" s="66" t="n">
        <v>56883000</v>
      </c>
      <c r="R474" s="66" t="n"/>
      <c r="S474" s="66" t="n"/>
      <c r="T474" s="66" t="n">
        <v>165512000</v>
      </c>
      <c r="U474" s="66" t="n">
        <v>166336000</v>
      </c>
      <c r="V474" s="66" t="n">
        <v>19416000</v>
      </c>
      <c r="W474" s="66" t="n"/>
      <c r="X474" s="66" t="n">
        <v>229713000</v>
      </c>
      <c r="Y474" s="66" t="n">
        <v>45859000</v>
      </c>
      <c r="Z474" s="66" t="n"/>
      <c r="AA474" s="66" t="n">
        <v>92023000</v>
      </c>
      <c r="AB474" s="66" t="n">
        <v>93774000</v>
      </c>
      <c r="AC474" s="66" t="n">
        <v>29197000</v>
      </c>
      <c r="AD474" s="66" t="n"/>
      <c r="AE474" s="66" t="n">
        <v>350948000</v>
      </c>
      <c r="AF474" s="66" t="n">
        <v>359716000</v>
      </c>
      <c r="AG474" s="66" t="n">
        <v>101567000</v>
      </c>
      <c r="AH474" s="66" t="n"/>
      <c r="AI474" s="66" t="n">
        <v>110497000</v>
      </c>
      <c r="AJ474" s="66" t="n">
        <v>119316000</v>
      </c>
      <c r="AK474" s="67">
        <f>MROUND(FORECAST(AI474,AI462:AI473,AK462:AK473)*-0.325,100000)</f>
        <v/>
      </c>
      <c r="AL474" s="66" t="n"/>
      <c r="AM474" s="66" t="n">
        <v>173023000</v>
      </c>
      <c r="AN474" s="66" t="n">
        <v>181674000</v>
      </c>
      <c r="AO474" s="66" t="n">
        <v>91331000</v>
      </c>
      <c r="AP474" s="66" t="n"/>
      <c r="AQ474" s="66" t="n">
        <v>243260000</v>
      </c>
      <c r="AS474" s="67">
        <f>MROUND(FORECAST(AQ474,AQ462:AQ473,AS462:AS473),100000)</f>
        <v/>
      </c>
    </row>
    <row r="475">
      <c r="A475" s="60" t="n">
        <v>43435</v>
      </c>
      <c r="B475" s="66" t="n">
        <v>118323000</v>
      </c>
      <c r="C475" s="66" t="n">
        <v>117817000</v>
      </c>
      <c r="D475" s="66" t="n">
        <v>10529000</v>
      </c>
      <c r="E475" s="66" t="n"/>
      <c r="F475" s="66" t="n">
        <v>69438000</v>
      </c>
      <c r="G475" s="66" t="n">
        <v>21893000</v>
      </c>
      <c r="H475" s="66" t="n"/>
      <c r="I475" s="66" t="n">
        <v>31050000</v>
      </c>
      <c r="J475" s="66" t="n">
        <v>28745000</v>
      </c>
      <c r="K475" s="66" t="n">
        <v>10806000</v>
      </c>
      <c r="L475" s="66" t="n"/>
      <c r="M475" s="66" t="n">
        <v>532801000</v>
      </c>
      <c r="N475" s="66" t="n">
        <v>69521000</v>
      </c>
      <c r="O475" s="66" t="n"/>
      <c r="P475" s="66" t="n">
        <v>48256000</v>
      </c>
      <c r="Q475" s="66" t="n">
        <v>45275000</v>
      </c>
      <c r="R475" s="66" t="n"/>
      <c r="S475" s="66" t="n"/>
      <c r="T475" s="66" t="n">
        <v>152166000</v>
      </c>
      <c r="U475" s="66" t="n">
        <v>144051000</v>
      </c>
      <c r="V475" s="66" t="n">
        <v>23351000</v>
      </c>
      <c r="W475" s="66" t="n"/>
      <c r="X475" s="66" t="n">
        <v>217282000</v>
      </c>
      <c r="Y475" s="66" t="n">
        <v>59352000</v>
      </c>
      <c r="Z475" s="66" t="n"/>
      <c r="AA475" s="66" t="n">
        <v>71996000</v>
      </c>
      <c r="AB475" s="66" t="n">
        <v>73631000</v>
      </c>
      <c r="AC475" s="66" t="n">
        <v>32114000</v>
      </c>
      <c r="AD475" s="66" t="n"/>
      <c r="AE475" s="66" t="n">
        <v>338137000</v>
      </c>
      <c r="AF475" s="66" t="n">
        <v>333967000</v>
      </c>
      <c r="AG475" s="66" t="n">
        <v>106214000</v>
      </c>
      <c r="AH475" s="66" t="n"/>
      <c r="AI475" s="66" t="n">
        <v>109646000</v>
      </c>
      <c r="AJ475" s="66" t="n">
        <v>115666000</v>
      </c>
      <c r="AK475" s="67">
        <f>MROUND(FORECAST(AI475,AI463:AI474,AK463:AK474)*0.2,100000)</f>
        <v/>
      </c>
      <c r="AL475" s="66" t="n"/>
      <c r="AM475" s="66" t="n">
        <v>181964000</v>
      </c>
      <c r="AN475" s="66" t="n">
        <v>179845000</v>
      </c>
      <c r="AO475" s="66" t="n">
        <v>93368000</v>
      </c>
      <c r="AP475" s="66" t="n"/>
      <c r="AQ475" s="66" t="n">
        <v>259020000</v>
      </c>
      <c r="AS475" s="67">
        <f>MROUND(FORECAST(AQ475,AQ463:AQ474,AS463:AS474),100000)</f>
        <v/>
      </c>
    </row>
    <row r="476">
      <c r="A476" s="60" t="n">
        <v>43466</v>
      </c>
      <c r="B476" s="66" t="n">
        <v>111538000</v>
      </c>
      <c r="C476" s="66" t="n">
        <v>111774000</v>
      </c>
      <c r="D476" s="66" t="n">
        <v>10066000</v>
      </c>
      <c r="E476" s="66" t="n"/>
      <c r="F476" s="66" t="n">
        <v>103733000</v>
      </c>
      <c r="G476" s="66" t="n">
        <v>23744000</v>
      </c>
      <c r="H476" s="66" t="n"/>
      <c r="I476" s="66" t="n">
        <v>27411000</v>
      </c>
      <c r="J476" s="66" t="n">
        <v>26208000</v>
      </c>
      <c r="K476" s="66" t="n">
        <v>13951000</v>
      </c>
      <c r="L476" s="66" t="n"/>
      <c r="M476" s="66" t="n">
        <v>444106000</v>
      </c>
      <c r="N476" s="66" t="n">
        <v>68195000</v>
      </c>
      <c r="O476" s="66" t="n"/>
      <c r="P476" s="66" t="n">
        <v>28590000</v>
      </c>
      <c r="Q476" s="66" t="n">
        <v>27296000</v>
      </c>
      <c r="R476" s="66" t="n"/>
      <c r="S476" s="66" t="n"/>
      <c r="T476" s="66" t="n">
        <v>207154000</v>
      </c>
      <c r="U476" s="66" t="n">
        <v>210203000</v>
      </c>
      <c r="V476" s="66" t="n">
        <v>23720000</v>
      </c>
      <c r="W476" s="66" t="n"/>
      <c r="X476" s="66" t="n">
        <v>270459000</v>
      </c>
      <c r="Y476" s="66" t="n">
        <v>49966000</v>
      </c>
      <c r="Z476" s="66" t="n"/>
      <c r="AA476" s="66" t="n">
        <v>67184000</v>
      </c>
      <c r="AB476" s="66" t="n">
        <v>68894000</v>
      </c>
      <c r="AC476" s="66" t="n">
        <v>31498000</v>
      </c>
      <c r="AD476" s="66" t="n"/>
      <c r="AE476" s="66" t="n">
        <v>320826000</v>
      </c>
      <c r="AF476" s="66" t="n">
        <v>314944000</v>
      </c>
      <c r="AG476" s="66" t="n">
        <v>111568000</v>
      </c>
      <c r="AH476" s="66" t="n"/>
      <c r="AI476" s="66" t="n">
        <v>111519000</v>
      </c>
      <c r="AJ476" s="66" t="n">
        <v>124691000</v>
      </c>
      <c r="AK476" s="66" t="n">
        <v>12405000</v>
      </c>
      <c r="AL476" s="66" t="n"/>
      <c r="AM476" s="66" t="n">
        <v>173406000</v>
      </c>
      <c r="AN476" s="66" t="n">
        <v>164632000</v>
      </c>
      <c r="AO476" s="66" t="n">
        <v>101894000</v>
      </c>
      <c r="AP476" s="66" t="n"/>
      <c r="AQ476" s="66" t="n">
        <v>216780000</v>
      </c>
      <c r="AS476" s="67">
        <f>MROUND(FORECAST(AQ476,AQ464:AQ475,AS464:AS475),100000)</f>
        <v/>
      </c>
    </row>
    <row r="477">
      <c r="A477" s="60" t="n">
        <v>43497</v>
      </c>
      <c r="B477" s="66" t="n">
        <v>128757000</v>
      </c>
      <c r="C477" s="66" t="n">
        <v>131967000</v>
      </c>
      <c r="D477" s="66" t="n">
        <v>7744000</v>
      </c>
      <c r="E477" s="66" t="n"/>
      <c r="F477" s="66" t="n">
        <v>102221000</v>
      </c>
      <c r="G477" s="66" t="n">
        <v>25950000</v>
      </c>
      <c r="H477" s="66" t="n"/>
      <c r="I477" s="66" t="n">
        <v>32447000</v>
      </c>
      <c r="J477" s="66" t="n">
        <v>31001000</v>
      </c>
      <c r="K477" s="66" t="n">
        <v>13901000</v>
      </c>
      <c r="L477" s="66" t="n"/>
      <c r="M477" s="66" t="n">
        <v>543565000</v>
      </c>
      <c r="N477" s="66" t="n">
        <v>65523000</v>
      </c>
      <c r="O477" s="66" t="n"/>
      <c r="P477" s="66" t="n">
        <v>43621000</v>
      </c>
      <c r="Q477" s="66" t="n">
        <v>57485000</v>
      </c>
      <c r="R477" s="66" t="n"/>
      <c r="S477" s="66" t="n"/>
      <c r="T477" s="66" t="n">
        <v>202929000</v>
      </c>
      <c r="U477" s="66" t="n">
        <v>204552000</v>
      </c>
      <c r="V477" s="66" t="n">
        <v>21900000</v>
      </c>
      <c r="W477" s="66" t="n"/>
      <c r="X477" s="66" t="n">
        <v>294781000</v>
      </c>
      <c r="Y477" s="66" t="n">
        <v>54615000</v>
      </c>
      <c r="Z477" s="66" t="n"/>
      <c r="AA477" s="66" t="n">
        <v>91754000</v>
      </c>
      <c r="AB477" s="66" t="n">
        <v>93032000</v>
      </c>
      <c r="AC477" s="66" t="n">
        <v>20480000</v>
      </c>
      <c r="AD477" s="66" t="n"/>
      <c r="AE477" s="66" t="n">
        <v>333574000</v>
      </c>
      <c r="AF477" s="66" t="n">
        <v>348090000</v>
      </c>
      <c r="AG477" s="66" t="n">
        <v>98695000</v>
      </c>
      <c r="AH477" s="66" t="n"/>
      <c r="AI477" s="66" t="n">
        <v>119829000</v>
      </c>
      <c r="AJ477" s="66" t="n">
        <v>129290000</v>
      </c>
      <c r="AK477" s="66" t="n">
        <v>11381000</v>
      </c>
      <c r="AL477" s="66" t="n"/>
      <c r="AM477" s="66" t="n">
        <v>206658000</v>
      </c>
      <c r="AN477" s="66" t="n">
        <v>203453000</v>
      </c>
      <c r="AO477" s="66" t="n">
        <v>103650000</v>
      </c>
      <c r="AP477" s="66" t="n"/>
      <c r="AQ477" s="66" t="n">
        <v>215720000</v>
      </c>
      <c r="AS477" s="67">
        <f>MROUND(FORECAST(AQ477,AQ465:AQ476,AS465:AS476),100000)</f>
        <v/>
      </c>
    </row>
    <row r="478">
      <c r="A478" s="60" t="n">
        <v>43525</v>
      </c>
      <c r="B478" s="66" t="n">
        <v>121016000</v>
      </c>
      <c r="C478" s="66" t="n">
        <v>120727000</v>
      </c>
      <c r="D478" s="66" t="n">
        <v>7892000</v>
      </c>
      <c r="E478" s="66" t="n"/>
      <c r="F478" s="66" t="n">
        <v>109491000</v>
      </c>
      <c r="G478" s="66" t="n">
        <v>26705000</v>
      </c>
      <c r="H478" s="66" t="n"/>
      <c r="I478" s="66" t="n">
        <v>28321000</v>
      </c>
      <c r="J478" s="66" t="n">
        <v>27810000</v>
      </c>
      <c r="K478" s="66" t="n">
        <v>14826000</v>
      </c>
      <c r="L478" s="66" t="n"/>
      <c r="M478" s="66" t="n">
        <v>522255000</v>
      </c>
      <c r="N478" s="66" t="n">
        <v>61632000</v>
      </c>
      <c r="O478" s="66" t="n"/>
      <c r="P478" s="66" t="n">
        <v>44450000</v>
      </c>
      <c r="Q478" s="66" t="n">
        <v>44044000</v>
      </c>
      <c r="R478" s="66" t="n"/>
      <c r="S478" s="66" t="n"/>
      <c r="T478" s="66" t="n">
        <v>200261000</v>
      </c>
      <c r="U478" s="66" t="n">
        <v>197498000</v>
      </c>
      <c r="V478" s="66" t="n">
        <v>24430000</v>
      </c>
      <c r="W478" s="66" t="n"/>
      <c r="X478" s="66" t="n">
        <v>252424000</v>
      </c>
      <c r="Y478" s="66" t="n">
        <v>50973000</v>
      </c>
      <c r="Z478" s="66" t="n"/>
      <c r="AA478" s="66" t="n">
        <v>85957000</v>
      </c>
      <c r="AB478" s="66" t="n">
        <v>89071000</v>
      </c>
      <c r="AC478" s="66" t="n">
        <v>23240000</v>
      </c>
      <c r="AD478" s="66" t="n"/>
      <c r="AE478" s="66" t="n">
        <v>335972000</v>
      </c>
      <c r="AF478" s="66" t="n">
        <v>352174000</v>
      </c>
      <c r="AG478" s="66" t="n">
        <v>82006000</v>
      </c>
      <c r="AH478" s="66" t="n"/>
      <c r="AI478" s="66" t="n">
        <v>96061000</v>
      </c>
      <c r="AJ478" s="66" t="n">
        <v>104024000</v>
      </c>
      <c r="AK478" s="66" t="n">
        <v>9741000</v>
      </c>
      <c r="AL478" s="66" t="n"/>
      <c r="AM478" s="66" t="n">
        <v>197538000</v>
      </c>
      <c r="AN478" s="66" t="n">
        <v>215060000</v>
      </c>
      <c r="AO478" s="66" t="n">
        <v>88300000</v>
      </c>
      <c r="AP478" s="66" t="n"/>
      <c r="AQ478" s="66" t="n">
        <v>248400000</v>
      </c>
      <c r="AS478" s="67">
        <f>MROUND(FORECAST(AQ478,AQ466:AQ477,AS466:AS477),100000)</f>
        <v/>
      </c>
    </row>
    <row r="479">
      <c r="A479" s="60" t="n">
        <v>43556</v>
      </c>
      <c r="B479" s="66" t="n">
        <v>105546000</v>
      </c>
      <c r="C479" s="66" t="n">
        <v>104635000</v>
      </c>
      <c r="D479" s="66" t="n">
        <v>9013000</v>
      </c>
      <c r="E479" s="66" t="n"/>
      <c r="F479" s="66" t="n">
        <v>103032000</v>
      </c>
      <c r="G479" s="66" t="n">
        <v>23632000</v>
      </c>
      <c r="H479" s="66" t="n"/>
      <c r="I479" s="66" t="n">
        <v>28653000</v>
      </c>
      <c r="J479" s="66" t="n">
        <v>26235000</v>
      </c>
      <c r="K479" s="66" t="n">
        <v>16596000</v>
      </c>
      <c r="L479" s="66" t="n"/>
      <c r="M479" s="66" t="n">
        <v>489259000</v>
      </c>
      <c r="N479" s="66" t="n">
        <v>55399000</v>
      </c>
      <c r="O479" s="66" t="n"/>
      <c r="P479" s="66" t="n">
        <v>41035000</v>
      </c>
      <c r="Q479" s="66" t="n">
        <v>42289000</v>
      </c>
      <c r="R479" s="66" t="n"/>
      <c r="S479" s="66" t="n"/>
      <c r="T479" s="66" t="n">
        <v>186282000</v>
      </c>
      <c r="U479" s="66" t="n">
        <v>187347000</v>
      </c>
      <c r="V479" s="66" t="n">
        <v>23190000</v>
      </c>
      <c r="W479" s="66" t="n"/>
      <c r="X479" s="66" t="n">
        <v>261761000</v>
      </c>
      <c r="Y479" s="66" t="n">
        <v>30368000</v>
      </c>
      <c r="Z479" s="66" t="n"/>
      <c r="AA479" s="66" t="n">
        <v>85549000</v>
      </c>
      <c r="AB479" s="66" t="n">
        <v>87403000</v>
      </c>
      <c r="AC479" s="66" t="n">
        <v>15155000</v>
      </c>
      <c r="AD479" s="66" t="n"/>
      <c r="AE479" s="66" t="n">
        <v>306534000</v>
      </c>
      <c r="AF479" s="66" t="n">
        <v>301175000</v>
      </c>
      <c r="AG479" s="66" t="n">
        <v>85965000</v>
      </c>
      <c r="AH479" s="66" t="n"/>
      <c r="AI479" s="66" t="n">
        <v>103568000</v>
      </c>
      <c r="AJ479" s="66" t="n">
        <v>113452000</v>
      </c>
      <c r="AK479" s="67">
        <f>MROUND(FORECAST(AI479,AI467:AI478,AK467:AK478)*0.2,100000)</f>
        <v/>
      </c>
      <c r="AL479" s="66" t="n"/>
      <c r="AM479" s="66" t="n">
        <v>183244000</v>
      </c>
      <c r="AN479" s="66" t="n">
        <v>172944000</v>
      </c>
      <c r="AO479" s="66" t="n">
        <v>97240000</v>
      </c>
      <c r="AP479" s="66" t="n"/>
      <c r="AQ479" s="66" t="n">
        <v>239830000</v>
      </c>
      <c r="AS479" s="67">
        <f>MROUND(FORECAST(AQ479,AQ467:AQ478,AS467:AS478),100000)</f>
        <v/>
      </c>
    </row>
    <row r="480">
      <c r="A480" s="60" t="n">
        <v>43586</v>
      </c>
      <c r="B480" s="66" t="n">
        <v>114886000</v>
      </c>
      <c r="C480" s="66" t="n">
        <v>118664000</v>
      </c>
      <c r="D480" s="66" t="n">
        <v>5178000</v>
      </c>
      <c r="E480" s="66" t="n"/>
      <c r="F480" s="66" t="n">
        <v>123203000</v>
      </c>
      <c r="G480" s="66" t="n">
        <v>24779000</v>
      </c>
      <c r="H480" s="66" t="n"/>
      <c r="I480" s="66" t="n">
        <v>30821000</v>
      </c>
      <c r="J480" s="66" t="n">
        <v>31519000</v>
      </c>
      <c r="K480" s="66" t="n">
        <v>16262000</v>
      </c>
      <c r="L480" s="66" t="n"/>
      <c r="M480" s="66" t="n">
        <v>511622000</v>
      </c>
      <c r="N480" s="66" t="n">
        <v>61151000</v>
      </c>
      <c r="O480" s="66" t="n"/>
      <c r="P480" s="66" t="n">
        <v>40561000</v>
      </c>
      <c r="Q480" s="66" t="n">
        <v>39101000</v>
      </c>
      <c r="R480" s="66" t="n"/>
      <c r="S480" s="66" t="n"/>
      <c r="T480" s="66" t="n">
        <v>219260000</v>
      </c>
      <c r="U480" s="66" t="n">
        <v>214499000</v>
      </c>
      <c r="V480" s="66" t="n">
        <v>26531000</v>
      </c>
      <c r="W480" s="66" t="n"/>
      <c r="X480" s="66" t="n">
        <v>307345000</v>
      </c>
      <c r="Y480" s="66" t="n">
        <v>34563000</v>
      </c>
      <c r="Z480" s="66" t="n"/>
      <c r="AA480" s="66" t="n">
        <v>86181000</v>
      </c>
      <c r="AB480" s="66" t="n">
        <v>88056000</v>
      </c>
      <c r="AC480" s="66" t="n">
        <v>14346000</v>
      </c>
      <c r="AD480" s="66" t="n"/>
      <c r="AE480" s="66" t="n">
        <v>334671000</v>
      </c>
      <c r="AF480" s="66" t="n">
        <v>343874000</v>
      </c>
      <c r="AG480" s="66" t="n">
        <v>76672000</v>
      </c>
      <c r="AH480" s="66" t="n"/>
      <c r="AI480" s="66" t="n">
        <v>113450000</v>
      </c>
      <c r="AJ480" s="66" t="n">
        <v>122632000</v>
      </c>
      <c r="AK480" s="67">
        <f>MROUND(FORECAST(AI480,AI468:AI479,AK468:AK479)*-15,100000)</f>
        <v/>
      </c>
      <c r="AL480" s="66" t="n"/>
      <c r="AM480" s="66" t="n">
        <v>187131000</v>
      </c>
      <c r="AN480" s="66" t="n">
        <v>185842000</v>
      </c>
      <c r="AO480" s="66" t="n">
        <v>98359000</v>
      </c>
      <c r="AP480" s="66" t="n"/>
      <c r="AQ480" s="66" t="n">
        <v>255700000</v>
      </c>
      <c r="AS480" s="67">
        <f>MROUND(FORECAST(AQ480,AQ468:AQ479,AS468:AS479),100000)</f>
        <v/>
      </c>
    </row>
    <row r="481">
      <c r="A481" s="60" t="n">
        <v>43617</v>
      </c>
      <c r="B481" s="66" t="n">
        <v>110237000</v>
      </c>
      <c r="C481" s="66" t="n">
        <v>109944000</v>
      </c>
      <c r="D481" s="66" t="n">
        <v>5296000</v>
      </c>
      <c r="E481" s="66" t="n"/>
      <c r="F481" s="66" t="n">
        <v>116046000</v>
      </c>
      <c r="G481" s="66" t="n">
        <v>32179000</v>
      </c>
      <c r="H481" s="66" t="n"/>
      <c r="I481" s="66" t="n">
        <v>28968000</v>
      </c>
      <c r="J481" s="66" t="n">
        <v>27602000</v>
      </c>
      <c r="K481" s="66" t="n">
        <v>17337000</v>
      </c>
      <c r="L481" s="66" t="n"/>
      <c r="M481" s="66" t="n">
        <v>487970000</v>
      </c>
      <c r="N481" s="66" t="n">
        <v>55152000</v>
      </c>
      <c r="O481" s="66" t="n"/>
      <c r="P481" s="66" t="n">
        <v>40092000</v>
      </c>
      <c r="Q481" s="66" t="n">
        <v>37276000</v>
      </c>
      <c r="R481" s="66" t="n"/>
      <c r="S481" s="66" t="n"/>
      <c r="T481" s="66" t="n">
        <v>215804000</v>
      </c>
      <c r="U481" s="66" t="n">
        <v>214760000</v>
      </c>
      <c r="V481" s="66" t="n">
        <v>27685000</v>
      </c>
      <c r="W481" s="66" t="n"/>
      <c r="X481" s="66" t="n">
        <v>292242000</v>
      </c>
      <c r="Y481" s="66" t="n">
        <v>28736000</v>
      </c>
      <c r="Z481" s="66" t="n"/>
      <c r="AA481" s="66" t="n">
        <v>87709000</v>
      </c>
      <c r="AB481" s="66" t="n">
        <v>81476000</v>
      </c>
      <c r="AC481" s="66" t="n">
        <v>20272000</v>
      </c>
      <c r="AD481" s="66" t="n"/>
      <c r="AE481" s="66" t="n">
        <v>340145000</v>
      </c>
      <c r="AF481" s="66" t="n">
        <v>329205000</v>
      </c>
      <c r="AG481" s="66" t="n">
        <v>84850000</v>
      </c>
      <c r="AH481" s="66" t="n"/>
      <c r="AI481" s="66" t="n">
        <v>81968000</v>
      </c>
      <c r="AJ481" s="66" t="n">
        <v>94508000</v>
      </c>
      <c r="AK481" s="67">
        <f>MROUND(FORECAST(AI481,AI469:AI480,AK469:AK480)*0.675,100000)</f>
        <v/>
      </c>
      <c r="AL481" s="66" t="n"/>
      <c r="AM481" s="66" t="n">
        <v>193072000</v>
      </c>
      <c r="AN481" s="66" t="n">
        <v>192600000</v>
      </c>
      <c r="AO481" s="66" t="n">
        <v>97104000</v>
      </c>
      <c r="AP481" s="66" t="n"/>
      <c r="AQ481" s="66" t="n">
        <v>251660000</v>
      </c>
      <c r="AS481" s="67">
        <f>MROUND(FORECAST(AQ481,AQ469:AQ480,AS469:AS480),100000)</f>
        <v/>
      </c>
    </row>
    <row r="482">
      <c r="A482" s="60" t="n">
        <v>43647</v>
      </c>
      <c r="B482" s="66" t="n">
        <v>93335000</v>
      </c>
      <c r="C482" s="66" t="n">
        <v>93752000</v>
      </c>
      <c r="D482" s="66" t="n">
        <v>4704000</v>
      </c>
      <c r="E482" s="66" t="n"/>
      <c r="F482" s="66" t="n">
        <v>108205000</v>
      </c>
      <c r="G482" s="66" t="n">
        <v>28200000</v>
      </c>
      <c r="H482" s="66" t="n"/>
      <c r="I482" s="66" t="n">
        <v>23645000</v>
      </c>
      <c r="J482" s="66" t="n">
        <v>23144000</v>
      </c>
      <c r="K482" s="66" t="n">
        <v>17653000</v>
      </c>
      <c r="L482" s="66" t="n"/>
      <c r="M482" s="66" t="n">
        <v>449593000</v>
      </c>
      <c r="N482" s="66" t="n">
        <v>56271000</v>
      </c>
      <c r="O482" s="66" t="n"/>
      <c r="P482" s="66" t="n">
        <v>33857000</v>
      </c>
      <c r="Q482" s="66" t="n">
        <v>35095000</v>
      </c>
      <c r="R482" s="66" t="n"/>
      <c r="S482" s="66" t="n"/>
      <c r="T482" s="66" t="n">
        <v>207494000</v>
      </c>
      <c r="U482" s="66" t="n">
        <v>208663000</v>
      </c>
      <c r="V482" s="66" t="n">
        <v>26600000</v>
      </c>
      <c r="W482" s="66" t="n"/>
      <c r="X482" s="66" t="n">
        <v>273933000</v>
      </c>
      <c r="Y482" s="66" t="n">
        <v>39613000</v>
      </c>
      <c r="Z482" s="66" t="n"/>
      <c r="AA482" s="66" t="n">
        <v>80830000</v>
      </c>
      <c r="AB482" s="66" t="n">
        <v>85045000</v>
      </c>
      <c r="AC482" s="66" t="n">
        <v>18299000</v>
      </c>
      <c r="AD482" s="66" t="n"/>
      <c r="AE482" s="66" t="n">
        <v>310193000</v>
      </c>
      <c r="AF482" s="66" t="n">
        <v>304910000</v>
      </c>
      <c r="AG482" s="66" t="n">
        <v>90339000</v>
      </c>
      <c r="AH482" s="66" t="n"/>
      <c r="AI482" s="66" t="n">
        <v>89509000</v>
      </c>
      <c r="AJ482" s="66" t="n">
        <v>97182000</v>
      </c>
      <c r="AK482" s="67">
        <f>MROUND(FORECAST(AI482,AI470:AI481,AK470:AK481)*-0.45,100000)</f>
        <v/>
      </c>
      <c r="AL482" s="66" t="n"/>
      <c r="AM482" s="66" t="n">
        <v>177868000</v>
      </c>
      <c r="AN482" s="66" t="n">
        <v>185451000</v>
      </c>
      <c r="AO482" s="66" t="n">
        <v>87709000</v>
      </c>
      <c r="AP482" s="66" t="n"/>
      <c r="AQ482" s="66" t="n">
        <v>252380000</v>
      </c>
      <c r="AS482" s="67">
        <f>MROUND(FORECAST(AQ482,AQ470:AQ481,AS470:AS481),100000)</f>
        <v/>
      </c>
    </row>
    <row r="483">
      <c r="A483" s="60" t="n">
        <v>43678</v>
      </c>
      <c r="B483" s="66" t="n">
        <v>107277000</v>
      </c>
      <c r="C483" s="66" t="n">
        <v>105231000</v>
      </c>
      <c r="D483" s="66" t="n">
        <v>6610000</v>
      </c>
      <c r="E483" s="66" t="n"/>
      <c r="F483" s="66" t="n">
        <v>113157000</v>
      </c>
      <c r="G483" s="66" t="n">
        <v>29091000</v>
      </c>
      <c r="H483" s="66" t="n"/>
      <c r="I483" s="66" t="n">
        <v>30142000</v>
      </c>
      <c r="J483" s="66" t="n">
        <v>29593000</v>
      </c>
      <c r="K483" s="66" t="n">
        <v>18726000</v>
      </c>
      <c r="L483" s="66" t="n"/>
      <c r="M483" s="66" t="n">
        <v>519331000</v>
      </c>
      <c r="N483" s="66" t="n">
        <v>69101000</v>
      </c>
      <c r="O483" s="66" t="n"/>
      <c r="P483" s="66" t="n">
        <v>43114000</v>
      </c>
      <c r="Q483" s="66" t="n">
        <v>39233000</v>
      </c>
      <c r="R483" s="66" t="n"/>
      <c r="S483" s="66" t="n"/>
      <c r="T483" s="66" t="n">
        <v>233381000</v>
      </c>
      <c r="U483" s="66" t="n">
        <v>229882000</v>
      </c>
      <c r="V483" s="66" t="n">
        <v>30156000</v>
      </c>
      <c r="W483" s="66" t="n"/>
      <c r="X483" s="66" t="n">
        <v>293603000</v>
      </c>
      <c r="Y483" s="66" t="n">
        <v>39936000</v>
      </c>
      <c r="Z483" s="66" t="n"/>
      <c r="AA483" s="66" t="n">
        <v>87170000</v>
      </c>
      <c r="AB483" s="66" t="n">
        <v>95539000</v>
      </c>
      <c r="AC483" s="66" t="n">
        <v>16329000</v>
      </c>
      <c r="AD483" s="66" t="n"/>
      <c r="AE483" s="66" t="n">
        <v>314554000</v>
      </c>
      <c r="AF483" s="66" t="n">
        <v>315257000</v>
      </c>
      <c r="AG483" s="66" t="n">
        <v>89548000</v>
      </c>
      <c r="AH483" s="66" t="n"/>
      <c r="AI483" s="66" t="n">
        <v>118603000</v>
      </c>
      <c r="AJ483" s="66" t="n">
        <v>129950000</v>
      </c>
      <c r="AK483" s="67">
        <f>MROUND(FORECAST(AI483,AI471:AI482,AK471:AK482)*0.1,100000)</f>
        <v/>
      </c>
      <c r="AL483" s="66" t="n"/>
      <c r="AM483" s="66" t="n">
        <v>185547000</v>
      </c>
      <c r="AN483" s="66" t="n">
        <v>178051000</v>
      </c>
      <c r="AO483" s="66" t="n">
        <v>94497000</v>
      </c>
      <c r="AP483" s="66" t="n"/>
      <c r="AQ483" s="66" t="n">
        <v>256370000</v>
      </c>
      <c r="AS483" s="67">
        <f>MROUND(FORECAST(AQ483,AQ471:AQ482,AS471:AS482),100000)</f>
        <v/>
      </c>
    </row>
    <row r="484">
      <c r="A484" s="60" t="n">
        <v>43709</v>
      </c>
      <c r="B484" s="66" t="n">
        <v>106205000</v>
      </c>
      <c r="C484" s="66" t="n">
        <v>105495000</v>
      </c>
      <c r="D484" s="66" t="n">
        <v>7170000</v>
      </c>
      <c r="E484" s="66" t="n"/>
      <c r="F484" s="66" t="n">
        <v>99985000</v>
      </c>
      <c r="G484" s="66" t="n">
        <v>24864000</v>
      </c>
      <c r="H484" s="66" t="n"/>
      <c r="I484" s="66" t="n">
        <v>25735000</v>
      </c>
      <c r="J484" s="66" t="n">
        <v>25484000</v>
      </c>
      <c r="K484" s="66" t="n">
        <v>16442000</v>
      </c>
      <c r="L484" s="66" t="n"/>
      <c r="M484" s="66" t="n">
        <v>485260000</v>
      </c>
      <c r="N484" s="66" t="n">
        <v>65793000</v>
      </c>
      <c r="O484" s="66" t="n"/>
      <c r="P484" s="66" t="n">
        <v>32949000</v>
      </c>
      <c r="Q484" s="66" t="n">
        <v>32647000</v>
      </c>
      <c r="R484" s="66" t="n"/>
      <c r="S484" s="66" t="n"/>
      <c r="T484" s="66" t="n">
        <v>212829000</v>
      </c>
      <c r="U484" s="66" t="n">
        <v>214586000</v>
      </c>
      <c r="V484" s="66" t="n">
        <v>28511000</v>
      </c>
      <c r="W484" s="66" t="n"/>
      <c r="X484" s="66" t="n">
        <v>282934000</v>
      </c>
      <c r="Y484" s="66" t="n">
        <v>36148000</v>
      </c>
      <c r="Z484" s="66" t="n"/>
      <c r="AA484" s="66" t="n">
        <v>72593000</v>
      </c>
      <c r="AB484" s="66" t="n">
        <v>78265000</v>
      </c>
      <c r="AC484" s="66" t="n">
        <v>16960000</v>
      </c>
      <c r="AD484" s="66" t="n"/>
      <c r="AE484" s="66" t="n">
        <v>299506000</v>
      </c>
      <c r="AF484" s="66" t="n">
        <v>291256000</v>
      </c>
      <c r="AG484" s="66" t="n">
        <v>97593000</v>
      </c>
      <c r="AH484" s="66" t="n"/>
      <c r="AI484" s="66" t="n">
        <v>94926000</v>
      </c>
      <c r="AJ484" s="66" t="n">
        <v>104176000</v>
      </c>
      <c r="AK484" s="66" t="n">
        <v>8152000</v>
      </c>
      <c r="AL484" s="66" t="n"/>
      <c r="AM484" s="66" t="n">
        <v>188992000</v>
      </c>
      <c r="AN484" s="66" t="n">
        <v>182653000</v>
      </c>
      <c r="AO484" s="66" t="n">
        <v>100865000</v>
      </c>
      <c r="AP484" s="66" t="n"/>
      <c r="AQ484" s="66" t="n">
        <v>236400000</v>
      </c>
      <c r="AS484" s="67">
        <f>MROUND(FORECAST(AQ484,AQ472:AQ483,AS472:AS483),100000)</f>
        <v/>
      </c>
    </row>
    <row r="485">
      <c r="A485" s="60" t="n">
        <v>43739</v>
      </c>
      <c r="B485" s="66" t="n">
        <v>114003000</v>
      </c>
      <c r="C485" s="66" t="n">
        <v>114390000</v>
      </c>
      <c r="D485" s="66" t="n">
        <v>6564000</v>
      </c>
      <c r="E485" s="66" t="n"/>
      <c r="F485" s="66" t="n">
        <v>102181000</v>
      </c>
      <c r="G485" s="66" t="n">
        <v>28890000</v>
      </c>
      <c r="H485" s="66" t="n"/>
      <c r="I485" s="66" t="n">
        <v>26027000</v>
      </c>
      <c r="J485" s="66" t="n">
        <v>25995000</v>
      </c>
      <c r="K485" s="66" t="n">
        <v>13481000</v>
      </c>
      <c r="L485" s="66" t="n"/>
      <c r="M485" s="66" t="n">
        <v>479991000</v>
      </c>
      <c r="N485" s="66" t="n">
        <v>73653000</v>
      </c>
      <c r="O485" s="66" t="n"/>
      <c r="P485" s="66" t="n">
        <v>36366000</v>
      </c>
      <c r="Q485" s="66" t="n">
        <v>39188000</v>
      </c>
      <c r="R485" s="66" t="n"/>
      <c r="S485" s="66" t="n"/>
      <c r="T485" s="66" t="n">
        <v>210770000</v>
      </c>
      <c r="U485" s="66" t="n">
        <v>213331000</v>
      </c>
      <c r="V485" s="66" t="n">
        <v>26255000</v>
      </c>
      <c r="W485" s="66" t="n"/>
      <c r="X485" s="66" t="n">
        <v>284748000</v>
      </c>
      <c r="Y485" s="66" t="n">
        <v>49894000</v>
      </c>
      <c r="Z485" s="66" t="n"/>
      <c r="AA485" s="66" t="n">
        <v>74146000</v>
      </c>
      <c r="AB485" s="66" t="n">
        <v>79461000</v>
      </c>
      <c r="AC485" s="66" t="n">
        <v>19586000</v>
      </c>
      <c r="AD485" s="66" t="n"/>
      <c r="AE485" s="66" t="n">
        <v>294442000</v>
      </c>
      <c r="AF485" s="66" t="n">
        <v>289695000</v>
      </c>
      <c r="AG485" s="66" t="n">
        <v>103587000</v>
      </c>
      <c r="AH485" s="66" t="n"/>
      <c r="AI485" s="66" t="n">
        <v>102806000</v>
      </c>
      <c r="AJ485" s="66" t="n">
        <v>109745000</v>
      </c>
      <c r="AK485" s="66" t="n">
        <v>8677000</v>
      </c>
      <c r="AL485" s="66" t="n"/>
      <c r="AM485" s="66" t="n">
        <v>179761000</v>
      </c>
      <c r="AN485" s="66" t="n">
        <v>171548000</v>
      </c>
      <c r="AO485" s="66" t="n">
        <v>109292000</v>
      </c>
      <c r="AP485" s="66" t="n"/>
      <c r="AQ485" s="66" t="n">
        <v>243420000</v>
      </c>
      <c r="AS485" s="67">
        <f>MROUND(FORECAST(AQ485,AQ473:AQ484,AS473:AS484),100000)</f>
        <v/>
      </c>
    </row>
    <row r="486">
      <c r="A486" s="60" t="n">
        <v>43770</v>
      </c>
      <c r="B486" s="66" t="n">
        <v>121381000</v>
      </c>
      <c r="C486" s="66" t="n">
        <v>119349000</v>
      </c>
      <c r="D486" s="66" t="n">
        <v>8412000</v>
      </c>
      <c r="E486" s="66" t="n"/>
      <c r="F486" s="66" t="n">
        <v>108150000</v>
      </c>
      <c r="G486" s="66" t="n">
        <v>31085000</v>
      </c>
      <c r="H486" s="66" t="n"/>
      <c r="I486" s="66" t="n">
        <v>35471000</v>
      </c>
      <c r="J486" s="66" t="n">
        <v>39556000</v>
      </c>
      <c r="K486" s="66" t="n">
        <v>6936000</v>
      </c>
      <c r="L486" s="66" t="n"/>
      <c r="M486" s="66" t="n">
        <v>503574000</v>
      </c>
      <c r="N486" s="66" t="n">
        <v>81020000</v>
      </c>
      <c r="O486" s="66" t="n"/>
      <c r="P486" s="66" t="n">
        <v>36231000</v>
      </c>
      <c r="Q486" s="66" t="n">
        <v>37306000</v>
      </c>
      <c r="R486" s="66" t="n"/>
      <c r="S486" s="66" t="n"/>
      <c r="T486" s="66" t="n">
        <v>214436000</v>
      </c>
      <c r="U486" s="66" t="n">
        <v>216413000</v>
      </c>
      <c r="V486" s="66" t="n">
        <v>24463000</v>
      </c>
      <c r="W486" s="66" t="n"/>
      <c r="X486" s="66" t="n">
        <v>334032000</v>
      </c>
      <c r="Y486" s="66" t="n">
        <v>37038000</v>
      </c>
      <c r="Z486" s="66" t="n"/>
      <c r="AA486" s="66" t="n">
        <v>90273000</v>
      </c>
      <c r="AB486" s="66" t="n">
        <v>103440000</v>
      </c>
      <c r="AC486" s="66" t="n">
        <v>10578000</v>
      </c>
      <c r="AD486" s="66" t="n"/>
      <c r="AE486" s="66" t="n">
        <v>340603000</v>
      </c>
      <c r="AF486" s="66" t="n">
        <v>338884000</v>
      </c>
      <c r="AG486" s="66" t="n">
        <v>105168000</v>
      </c>
      <c r="AH486" s="66" t="n"/>
      <c r="AI486" s="66" t="n">
        <v>118257000</v>
      </c>
      <c r="AJ486" s="66" t="n">
        <v>125901000</v>
      </c>
      <c r="AK486" s="67">
        <f>MROUND(FORECAST(AI486,AI474:AI485,AK474:AK485)*0.1,100000)</f>
        <v/>
      </c>
      <c r="AL486" s="66" t="n"/>
      <c r="AM486" s="66" t="n">
        <v>164352000</v>
      </c>
      <c r="AN486" s="66" t="n">
        <v>178363000</v>
      </c>
      <c r="AO486" s="66" t="n">
        <v>93289000</v>
      </c>
      <c r="AP486" s="66" t="n"/>
      <c r="AQ486" s="66" t="n">
        <v>234970000</v>
      </c>
      <c r="AS486" s="67">
        <f>MROUND(FORECAST(AQ486,AQ474:AQ485,AS474:AS485),100000)</f>
        <v/>
      </c>
    </row>
    <row r="487">
      <c r="A487" s="60" t="n">
        <v>43800</v>
      </c>
      <c r="B487" s="66" t="n">
        <v>112592000</v>
      </c>
      <c r="C487" s="66" t="n">
        <v>111265000</v>
      </c>
      <c r="D487" s="66" t="n">
        <v>9738000</v>
      </c>
      <c r="E487" s="66" t="n"/>
      <c r="F487" s="66" t="n">
        <v>135567000</v>
      </c>
      <c r="G487" s="66" t="n">
        <v>29940000</v>
      </c>
      <c r="H487" s="66" t="n"/>
      <c r="I487" s="66" t="n">
        <v>30755000</v>
      </c>
      <c r="J487" s="66" t="n">
        <v>31377000</v>
      </c>
      <c r="K487" s="66" t="n">
        <v>5938000</v>
      </c>
      <c r="L487" s="66" t="n"/>
      <c r="M487" s="66" t="n">
        <v>503602000</v>
      </c>
      <c r="N487" s="66" t="n">
        <v>64960000</v>
      </c>
      <c r="O487" s="66" t="n"/>
      <c r="P487" s="66" t="n">
        <v>40780000</v>
      </c>
      <c r="Q487" s="66" t="n">
        <v>40866000</v>
      </c>
      <c r="R487" s="66" t="n"/>
      <c r="S487" s="66" t="n"/>
      <c r="T487" s="66" t="n">
        <v>189183000</v>
      </c>
      <c r="U487" s="66" t="n">
        <v>182201000</v>
      </c>
      <c r="V487" s="66" t="n">
        <v>31499000</v>
      </c>
      <c r="W487" s="66" t="n"/>
      <c r="X487" s="66" t="n">
        <v>265867000</v>
      </c>
      <c r="Y487" s="66" t="n">
        <v>43156000</v>
      </c>
      <c r="Z487" s="66" t="n"/>
      <c r="AA487" s="66" t="n">
        <v>87347000</v>
      </c>
      <c r="AB487" s="66" t="n">
        <v>81301000</v>
      </c>
      <c r="AC487" s="66" t="n">
        <v>17847000</v>
      </c>
      <c r="AD487" s="66" t="n"/>
      <c r="AE487" s="66" t="n">
        <v>318050000</v>
      </c>
      <c r="AF487" s="66" t="n">
        <v>322435000</v>
      </c>
      <c r="AG487" s="66" t="n">
        <v>100782000</v>
      </c>
      <c r="AH487" s="66" t="n"/>
      <c r="AI487" s="66" t="n">
        <v>104855000</v>
      </c>
      <c r="AJ487" s="66" t="n">
        <v>111050000</v>
      </c>
      <c r="AK487" s="67">
        <f>MROUND(FORECAST(AI487,AI475:AI486,AK475:AK486)*0.1,100000)</f>
        <v/>
      </c>
      <c r="AL487" s="66" t="n"/>
      <c r="AM487" s="66" t="n">
        <v>184020000</v>
      </c>
      <c r="AN487" s="66" t="n">
        <v>186691000</v>
      </c>
      <c r="AO487" s="66" t="n">
        <v>90620000</v>
      </c>
      <c r="AP487" s="66" t="n"/>
      <c r="AQ487" s="66" t="n">
        <v>245410000</v>
      </c>
      <c r="AS487" s="67">
        <f>MROUND(FORECAST(AQ487,AQ475:AQ486,AS475:AS486),100000)</f>
        <v/>
      </c>
    </row>
    <row r="488">
      <c r="A488" s="60" t="n">
        <v>43831</v>
      </c>
      <c r="B488" s="66" t="n">
        <v>115706000</v>
      </c>
      <c r="C488" s="66" t="n">
        <v>114833000</v>
      </c>
      <c r="D488" s="66" t="n">
        <v>10611000</v>
      </c>
      <c r="E488" s="66" t="n"/>
      <c r="F488" s="66" t="n">
        <v>100659000</v>
      </c>
      <c r="G488" s="66" t="n">
        <v>25793000</v>
      </c>
      <c r="H488" s="66" t="n"/>
      <c r="I488" s="66" t="n">
        <v>27580000</v>
      </c>
      <c r="J488" s="66" t="n">
        <v>27257000</v>
      </c>
      <c r="K488" s="66" t="n">
        <v>8970000</v>
      </c>
      <c r="L488" s="66" t="n"/>
      <c r="M488" s="66" t="n">
        <v>461192000</v>
      </c>
      <c r="N488" s="66" t="n">
        <v>64873000</v>
      </c>
      <c r="O488" s="66" t="n"/>
      <c r="P488" s="66" t="n">
        <v>38806000</v>
      </c>
      <c r="Q488" s="66" t="n">
        <v>37370000</v>
      </c>
      <c r="R488" s="66" t="n"/>
      <c r="S488" s="66" t="n"/>
      <c r="T488" s="66" t="n">
        <v>200807000</v>
      </c>
      <c r="U488" s="66" t="n">
        <v>201075000</v>
      </c>
      <c r="V488" s="66" t="n">
        <v>31231000</v>
      </c>
      <c r="W488" s="66" t="n"/>
      <c r="X488" s="66" t="n">
        <v>284114000</v>
      </c>
      <c r="Y488" s="66" t="n">
        <v>39631000</v>
      </c>
      <c r="Z488" s="66" t="n"/>
      <c r="AA488" s="66" t="n">
        <v>80744000</v>
      </c>
      <c r="AB488" s="66" t="n">
        <v>79094000</v>
      </c>
      <c r="AC488" s="66" t="n">
        <v>18924000</v>
      </c>
      <c r="AD488" s="66" t="n"/>
      <c r="AE488" s="66" t="n">
        <v>295633000</v>
      </c>
      <c r="AF488" s="66" t="n">
        <v>291921000</v>
      </c>
      <c r="AG488" s="66" t="n">
        <v>104494000</v>
      </c>
      <c r="AH488" s="66" t="n"/>
      <c r="AI488" s="66" t="n">
        <v>103163000</v>
      </c>
      <c r="AJ488" s="66" t="n">
        <v>107927000</v>
      </c>
      <c r="AK488" s="67">
        <f>MROUND(FORECAST(AI488,AI476:AI487,AK476:AK487)*0.1,100000)</f>
        <v/>
      </c>
      <c r="AL488" s="66" t="n"/>
      <c r="AM488" s="66" t="n">
        <v>175195000</v>
      </c>
      <c r="AN488" s="66" t="n">
        <v>163724000</v>
      </c>
      <c r="AO488" s="66" t="n">
        <v>102091000</v>
      </c>
      <c r="AP488" s="66" t="n"/>
      <c r="AQ488" s="66" t="n">
        <v>282470000</v>
      </c>
      <c r="AS488" s="67">
        <f>MROUND(FORECAST(AQ488,AQ476:AQ487,AS476:AS487),100000)</f>
        <v/>
      </c>
    </row>
    <row r="489">
      <c r="A489" s="60" t="n">
        <v>43862</v>
      </c>
      <c r="B489" s="66" t="n">
        <v>125112000</v>
      </c>
      <c r="C489" s="66" t="n">
        <v>125803000</v>
      </c>
      <c r="D489" s="66" t="n">
        <v>9920000</v>
      </c>
      <c r="E489" s="66" t="n"/>
      <c r="F489" s="66" t="n">
        <v>110205000</v>
      </c>
      <c r="G489" s="66" t="n">
        <v>25803000</v>
      </c>
      <c r="H489" s="66" t="n"/>
      <c r="I489" s="66" t="n">
        <v>34631000</v>
      </c>
      <c r="J489" s="66" t="n">
        <v>34319000</v>
      </c>
      <c r="K489" s="66" t="n">
        <v>7601000</v>
      </c>
      <c r="L489" s="66" t="n"/>
      <c r="M489" s="66" t="n">
        <v>508573000</v>
      </c>
      <c r="N489" s="66" t="n">
        <v>61197000</v>
      </c>
      <c r="O489" s="66" t="n"/>
      <c r="P489" s="66" t="n">
        <v>41345000</v>
      </c>
      <c r="Q489" s="66" t="n">
        <v>42611000</v>
      </c>
      <c r="R489" s="66" t="n"/>
      <c r="S489" s="66" t="n"/>
      <c r="T489" s="66" t="n">
        <v>214949000</v>
      </c>
      <c r="U489" s="66" t="n">
        <v>215684000</v>
      </c>
      <c r="V489" s="66" t="n">
        <v>30496000</v>
      </c>
      <c r="W489" s="66" t="n"/>
      <c r="X489" s="66" t="n">
        <v>308284000</v>
      </c>
      <c r="Y489" s="66" t="n">
        <v>37502000</v>
      </c>
      <c r="Z489" s="66" t="n"/>
      <c r="AA489" s="66" t="n">
        <v>91790000</v>
      </c>
      <c r="AB489" s="66" t="n">
        <v>94986000</v>
      </c>
      <c r="AC489" s="66" t="n">
        <v>15763000</v>
      </c>
      <c r="AD489" s="66" t="n"/>
      <c r="AE489" s="66" t="n">
        <v>325764000</v>
      </c>
      <c r="AF489" s="66" t="n">
        <v>329711000</v>
      </c>
      <c r="AG489" s="66" t="n">
        <v>100547000</v>
      </c>
      <c r="AH489" s="66" t="n"/>
      <c r="AI489" s="66" t="n">
        <v>121049000</v>
      </c>
      <c r="AJ489" s="66" t="n">
        <v>119991000</v>
      </c>
      <c r="AK489" s="67">
        <f>MROUND(FORECAST(AI489,AI477:AI488,AK477:AK488)*0.1,100000)</f>
        <v/>
      </c>
      <c r="AL489" s="66" t="n"/>
      <c r="AM489" s="66" t="n">
        <v>173103000</v>
      </c>
      <c r="AN489" s="66" t="n">
        <v>184343000</v>
      </c>
      <c r="AO489" s="66" t="n">
        <v>90849000</v>
      </c>
      <c r="AP489" s="66" t="n"/>
      <c r="AQ489" s="66" t="n">
        <v>284820000</v>
      </c>
      <c r="AS489" s="67">
        <f>MROUND(FORECAST(AQ489,AQ477:AQ488,AS477:AS488),100000)</f>
        <v/>
      </c>
    </row>
    <row r="490">
      <c r="A490" s="60" t="n">
        <v>43891</v>
      </c>
      <c r="B490" s="66" t="n">
        <v>126508000</v>
      </c>
      <c r="C490" s="66" t="n">
        <v>126385000</v>
      </c>
      <c r="D490" s="66" t="n">
        <v>10045000</v>
      </c>
      <c r="E490" s="66" t="n"/>
      <c r="F490" s="66" t="n">
        <v>101749000</v>
      </c>
      <c r="G490" s="66" t="n">
        <v>20707000</v>
      </c>
      <c r="H490" s="66" t="n"/>
      <c r="I490" s="66" t="n">
        <v>30473000</v>
      </c>
      <c r="J490" s="66" t="n">
        <v>28897000</v>
      </c>
      <c r="K490" s="66" t="n">
        <v>9210000</v>
      </c>
      <c r="L490" s="66" t="n"/>
      <c r="M490" s="66" t="n">
        <v>515537000</v>
      </c>
      <c r="N490" s="66" t="n">
        <v>62079000</v>
      </c>
      <c r="O490" s="66" t="n"/>
      <c r="P490" s="66" t="n">
        <v>40066000</v>
      </c>
      <c r="Q490" s="66" t="n">
        <v>37590000</v>
      </c>
      <c r="R490" s="66" t="n"/>
      <c r="S490" s="66" t="n"/>
      <c r="T490" s="66" t="n">
        <v>210153000</v>
      </c>
      <c r="U490" s="66" t="n">
        <v>212712000</v>
      </c>
      <c r="V490" s="66" t="n">
        <v>28407000</v>
      </c>
      <c r="W490" s="66" t="n"/>
      <c r="X490" s="66" t="n">
        <v>289530000</v>
      </c>
      <c r="Y490" s="66" t="n">
        <v>34110000</v>
      </c>
      <c r="Z490" s="66" t="n"/>
      <c r="AA490" s="66" t="n">
        <v>92659000</v>
      </c>
      <c r="AB490" s="66" t="n">
        <v>101170000</v>
      </c>
      <c r="AC490" s="66" t="n">
        <v>7379000</v>
      </c>
      <c r="AD490" s="66" t="n"/>
      <c r="AE490" s="66" t="n">
        <v>336650000</v>
      </c>
      <c r="AF490" s="66" t="n">
        <v>337869000</v>
      </c>
      <c r="AG490" s="66" t="n">
        <v>99328000</v>
      </c>
      <c r="AH490" s="66" t="n"/>
      <c r="AI490" s="66" t="n">
        <v>114294000</v>
      </c>
      <c r="AJ490" s="66" t="n">
        <v>114156000</v>
      </c>
      <c r="AK490" s="67">
        <f>MROUND(FORECAST(AI490,AI478:AI489,AK478:AK489)*0.1,100000)</f>
        <v/>
      </c>
      <c r="AL490" s="66" t="n"/>
      <c r="AM490" s="66" t="n">
        <v>201657000</v>
      </c>
      <c r="AN490" s="66" t="n">
        <v>205367000</v>
      </c>
      <c r="AO490" s="66" t="n">
        <v>88627000</v>
      </c>
      <c r="AP490" s="66" t="n"/>
      <c r="AQ490" s="66" t="n">
        <v>226220000</v>
      </c>
      <c r="AS490" s="67">
        <f>MROUND(FORECAST(AQ490,AQ478:AQ489,AS478:AS489),100000)</f>
        <v/>
      </c>
    </row>
    <row r="491">
      <c r="A491" s="60" t="n">
        <v>43922</v>
      </c>
      <c r="B491" s="66" t="n">
        <v>88974000</v>
      </c>
      <c r="C491" s="66" t="n">
        <v>93189000</v>
      </c>
      <c r="D491" s="66" t="n">
        <v>5829000</v>
      </c>
      <c r="E491" s="66" t="n"/>
      <c r="F491" s="66" t="n">
        <v>91649000</v>
      </c>
      <c r="G491" s="66" t="n">
        <v>24130000</v>
      </c>
      <c r="H491" s="66" t="n"/>
      <c r="I491" s="66" t="n">
        <v>20610000</v>
      </c>
      <c r="J491" s="66" t="n">
        <v>19863000</v>
      </c>
      <c r="K491" s="66" t="n">
        <v>9579000</v>
      </c>
      <c r="L491" s="66" t="n"/>
      <c r="M491" s="66" t="n">
        <v>363868000</v>
      </c>
      <c r="N491" s="66" t="n">
        <v>56373000</v>
      </c>
      <c r="O491" s="66" t="n"/>
      <c r="P491" s="66" t="n">
        <v>30045000</v>
      </c>
      <c r="Q491" s="66" t="n">
        <v>29313000</v>
      </c>
      <c r="R491" s="66" t="n"/>
      <c r="S491" s="66" t="n"/>
      <c r="T491" s="66" t="n">
        <v>185602000</v>
      </c>
      <c r="U491" s="66" t="n">
        <v>185397000</v>
      </c>
      <c r="V491" s="66" t="n">
        <v>28613000</v>
      </c>
      <c r="W491" s="66" t="n"/>
      <c r="X491" s="66" t="n">
        <v>266643000</v>
      </c>
      <c r="Y491" s="66" t="n">
        <v>30137000</v>
      </c>
      <c r="Z491" s="66" t="n"/>
      <c r="AA491" s="66" t="n">
        <v>60029000</v>
      </c>
      <c r="AB491" s="66" t="n">
        <v>45363000</v>
      </c>
      <c r="AC491" s="66" t="n"/>
      <c r="AD491" s="66" t="n"/>
      <c r="AE491" s="66" t="n">
        <v>226905000</v>
      </c>
      <c r="AF491" s="66" t="n">
        <v>238785000</v>
      </c>
      <c r="AG491" s="66" t="n">
        <v>87448000</v>
      </c>
      <c r="AH491" s="66" t="n"/>
      <c r="AI491" s="66" t="n">
        <v>75055000</v>
      </c>
      <c r="AJ491" s="66" t="n">
        <v>80420000</v>
      </c>
      <c r="AK491" s="67">
        <f>MROUND(FORECAST(AI491,AI479:AI490,AK479:AK490)*0.1,100000)</f>
        <v/>
      </c>
      <c r="AL491" s="66" t="n"/>
      <c r="AM491" s="66" t="n">
        <v>156537000</v>
      </c>
      <c r="AN491" s="66" t="n">
        <v>179276000</v>
      </c>
      <c r="AO491" s="66" t="n">
        <v>65885000</v>
      </c>
      <c r="AP491" s="66" t="n"/>
      <c r="AQ491" s="66" t="n">
        <v>148710000</v>
      </c>
      <c r="AS491" s="67">
        <f>MROUND(FORECAST(AQ491,AQ479:AQ490,AS479:AS490),100000)</f>
        <v/>
      </c>
    </row>
    <row r="492">
      <c r="A492" s="60" t="n">
        <v>43952</v>
      </c>
      <c r="B492" s="66" t="n">
        <v>110913000</v>
      </c>
      <c r="C492" s="66" t="n">
        <v>108731000</v>
      </c>
      <c r="D492" s="66" t="n">
        <v>8011000</v>
      </c>
      <c r="E492" s="66" t="n"/>
      <c r="F492" s="66" t="n">
        <v>107366000</v>
      </c>
      <c r="G492" s="66" t="n">
        <v>29834000</v>
      </c>
      <c r="H492" s="66" t="n"/>
      <c r="I492" s="66" t="n">
        <v>18726000</v>
      </c>
      <c r="J492" s="66" t="n">
        <v>18312000</v>
      </c>
      <c r="K492" s="66" t="n">
        <v>9259000</v>
      </c>
      <c r="L492" s="66" t="n"/>
      <c r="M492" s="66" t="n">
        <v>401117000</v>
      </c>
      <c r="N492" s="66" t="n">
        <v>66791000</v>
      </c>
      <c r="O492" s="66" t="n"/>
      <c r="P492" s="66" t="n">
        <v>33402000</v>
      </c>
      <c r="Q492" s="66" t="n">
        <v>34566000</v>
      </c>
      <c r="R492" s="66" t="n"/>
      <c r="S492" s="66" t="n"/>
      <c r="T492" s="66" t="n">
        <v>229986000</v>
      </c>
      <c r="U492" s="66" t="n">
        <v>222459000</v>
      </c>
      <c r="V492" s="66" t="n">
        <v>36139000</v>
      </c>
      <c r="W492" s="66" t="n"/>
      <c r="X492" s="66" t="n">
        <v>315975000</v>
      </c>
      <c r="Y492" s="66" t="n">
        <v>37014000</v>
      </c>
      <c r="Z492" s="66" t="n"/>
      <c r="AA492" s="66" t="n">
        <v>57236000</v>
      </c>
      <c r="AB492" s="66" t="n">
        <v>54873000</v>
      </c>
      <c r="AC492" s="66" t="n">
        <v>24724000</v>
      </c>
      <c r="AD492" s="66" t="n"/>
      <c r="AE492" s="66" t="n">
        <v>278733000</v>
      </c>
      <c r="AF492" s="66" t="n">
        <v>259179000</v>
      </c>
      <c r="AG492" s="66" t="n">
        <v>107693000</v>
      </c>
      <c r="AH492" s="66" t="n"/>
      <c r="AI492" s="66" t="n">
        <v>78736000</v>
      </c>
      <c r="AJ492" s="66" t="n">
        <v>77668000</v>
      </c>
      <c r="AK492" s="67">
        <f>MROUND(FORECAST(AI492,AI480:AI491,AK480:AK491)*0.1,100000)</f>
        <v/>
      </c>
      <c r="AL492" s="66" t="n"/>
      <c r="AM492" s="66" t="n">
        <v>137949000</v>
      </c>
      <c r="AN492" s="66" t="n">
        <v>124941000</v>
      </c>
      <c r="AO492" s="66" t="n">
        <v>78795000</v>
      </c>
      <c r="AP492" s="66" t="n"/>
      <c r="AQ492" s="66" t="n">
        <v>202310000</v>
      </c>
      <c r="AS492" s="67">
        <f>MROUND(FORECAST(AQ492,AQ480:AQ491,AS480:AS491),100000)</f>
        <v/>
      </c>
    </row>
    <row r="493">
      <c r="A493" s="60" t="n">
        <v>43983</v>
      </c>
      <c r="B493" s="66" t="n">
        <v>114975000</v>
      </c>
      <c r="C493" s="66" t="n">
        <v>113761000</v>
      </c>
      <c r="D493" s="66" t="n">
        <v>9152000</v>
      </c>
      <c r="E493" s="66" t="n"/>
      <c r="F493" s="66" t="n">
        <v>96402000</v>
      </c>
      <c r="G493" s="66" t="n">
        <v>27568000</v>
      </c>
      <c r="H493" s="66" t="n"/>
      <c r="I493" s="66" t="n">
        <v>25203000</v>
      </c>
      <c r="J493" s="66" t="n">
        <v>26364000</v>
      </c>
      <c r="K493" s="66" t="n">
        <v>9678000</v>
      </c>
      <c r="L493" s="66" t="n"/>
      <c r="M493" s="66" t="n">
        <v>433970000</v>
      </c>
      <c r="N493" s="66" t="n">
        <v>67908000</v>
      </c>
      <c r="O493" s="66" t="n"/>
      <c r="P493" s="66" t="n">
        <v>40935000</v>
      </c>
      <c r="Q493" s="66" t="n">
        <v>38289000</v>
      </c>
      <c r="R493" s="66" t="n"/>
      <c r="S493" s="66" t="n"/>
      <c r="T493" s="66" t="n">
        <v>207202000</v>
      </c>
      <c r="U493" s="66" t="n">
        <v>207160000</v>
      </c>
      <c r="V493" s="66" t="n">
        <v>36181000</v>
      </c>
      <c r="W493" s="66" t="n"/>
      <c r="X493" s="66" t="n">
        <v>271874000</v>
      </c>
      <c r="Y493" s="66" t="n">
        <v>36721000</v>
      </c>
      <c r="Z493" s="66" t="n"/>
      <c r="AA493" s="66" t="n">
        <v>76768000</v>
      </c>
      <c r="AB493" s="66" t="n">
        <v>89088000</v>
      </c>
      <c r="AC493" s="66" t="n">
        <v>12512000</v>
      </c>
      <c r="AD493" s="66" t="n"/>
      <c r="AE493" s="66" t="n">
        <v>324334000</v>
      </c>
      <c r="AF493" s="66" t="n">
        <v>334144000</v>
      </c>
      <c r="AG493" s="67">
        <f>MROUND(FORECAST(AE493,AE481:AE492,AG481:AG492)*0.3,100000)</f>
        <v/>
      </c>
      <c r="AH493" s="66" t="n"/>
      <c r="AI493" s="66" t="n">
        <v>111176000</v>
      </c>
      <c r="AJ493" s="66" t="n">
        <v>109836000</v>
      </c>
      <c r="AK493" s="67">
        <f>MROUND(FORECAST(AI493,AI481:AI492,AK481:AK492)*0.1,100000)</f>
        <v/>
      </c>
      <c r="AL493" s="66" t="n"/>
      <c r="AM493" s="66" t="n">
        <v>173312000</v>
      </c>
      <c r="AN493" s="66" t="n">
        <v>176460000</v>
      </c>
      <c r="AO493" s="66" t="n">
        <v>75647000</v>
      </c>
      <c r="AP493" s="66" t="n"/>
      <c r="AQ493" s="66" t="n">
        <v>241140000</v>
      </c>
      <c r="AS493" s="67">
        <f>MROUND(FORECAST(AQ493,AQ481:AQ492,AS481:AS492),100000)</f>
        <v/>
      </c>
    </row>
    <row r="494">
      <c r="A494" s="60" t="n">
        <v>44013</v>
      </c>
      <c r="B494" s="66" t="n">
        <v>98436000</v>
      </c>
      <c r="C494" s="66" t="n">
        <v>99287000</v>
      </c>
      <c r="D494" s="66" t="n">
        <v>8328000</v>
      </c>
      <c r="E494" s="66" t="n"/>
      <c r="F494" s="66" t="n">
        <v>92723000</v>
      </c>
      <c r="G494" s="66" t="n">
        <v>27910000</v>
      </c>
      <c r="H494" s="66" t="n"/>
      <c r="I494" s="66" t="n">
        <v>22559000</v>
      </c>
      <c r="J494" s="66" t="n">
        <v>21416000</v>
      </c>
      <c r="K494" s="66" t="n">
        <v>8205000</v>
      </c>
      <c r="L494" s="66" t="n"/>
      <c r="M494" s="66" t="n">
        <v>480455000</v>
      </c>
      <c r="N494" s="66" t="n">
        <v>64710000</v>
      </c>
      <c r="O494" s="66" t="n"/>
      <c r="P494" s="66" t="n">
        <v>38728000</v>
      </c>
      <c r="Q494" s="66" t="n">
        <v>40477000</v>
      </c>
      <c r="R494" s="66" t="n"/>
      <c r="S494" s="66" t="n"/>
      <c r="T494" s="66" t="n">
        <v>195113000</v>
      </c>
      <c r="U494" s="66" t="n">
        <v>199741000</v>
      </c>
      <c r="V494" s="66" t="n">
        <v>31553000</v>
      </c>
      <c r="W494" s="66" t="n"/>
      <c r="X494" s="66" t="n">
        <v>270253000</v>
      </c>
      <c r="Y494" s="66" t="n">
        <v>42485000</v>
      </c>
      <c r="Z494" s="66" t="n"/>
      <c r="AA494" s="66" t="n">
        <v>80418000</v>
      </c>
      <c r="AB494" s="66" t="n">
        <v>81479000</v>
      </c>
      <c r="AC494" s="66" t="n"/>
      <c r="AD494" s="66" t="n"/>
      <c r="AE494" s="66" t="n">
        <v>294802000</v>
      </c>
      <c r="AF494" s="66" t="n">
        <v>296780000</v>
      </c>
      <c r="AG494" s="66" t="n">
        <v>95891000</v>
      </c>
      <c r="AH494" s="66" t="n"/>
      <c r="AI494" s="66" t="n">
        <v>115434000</v>
      </c>
      <c r="AJ494" s="66" t="n">
        <v>114566000</v>
      </c>
      <c r="AK494" s="67">
        <f>MROUND(FORECAST(AI494,AI482:AI493,AK482:AK493)*0.1,100000)</f>
        <v/>
      </c>
      <c r="AL494" s="66" t="n"/>
      <c r="AM494" s="66" t="n">
        <v>179650000</v>
      </c>
      <c r="AN494" s="66" t="n">
        <v>176690000</v>
      </c>
      <c r="AO494" s="66" t="n">
        <v>78611000</v>
      </c>
      <c r="AP494" s="66" t="n"/>
      <c r="AQ494" s="66" t="n">
        <v>256770000</v>
      </c>
      <c r="AS494" s="67">
        <f>MROUND(FORECAST(AQ494,AQ482:AQ493,AS482:AS493),100000)</f>
        <v/>
      </c>
    </row>
    <row r="495">
      <c r="A495" s="60" t="n">
        <v>44044</v>
      </c>
      <c r="B495" s="66" t="n">
        <v>104807000</v>
      </c>
      <c r="C495" s="66" t="n">
        <v>103034000</v>
      </c>
      <c r="D495" s="66" t="n">
        <v>10100000</v>
      </c>
      <c r="E495" s="66" t="n"/>
      <c r="F495" s="66" t="n">
        <v>107198000</v>
      </c>
      <c r="G495" s="66" t="n">
        <v>23132000</v>
      </c>
      <c r="H495" s="66" t="n"/>
      <c r="I495" s="66" t="n">
        <v>24079000</v>
      </c>
      <c r="J495" s="66" t="n">
        <v>22554000</v>
      </c>
      <c r="K495" s="66" t="n">
        <v>10972000</v>
      </c>
      <c r="L495" s="66" t="n"/>
      <c r="M495" s="66" t="n">
        <v>471223000</v>
      </c>
      <c r="N495" s="66" t="n">
        <v>64844000</v>
      </c>
      <c r="O495" s="66" t="n"/>
      <c r="P495" s="66" t="n">
        <v>41693000</v>
      </c>
      <c r="Q495" s="66" t="n">
        <v>39700000</v>
      </c>
      <c r="R495" s="66" t="n"/>
      <c r="S495" s="66" t="n"/>
      <c r="T495" s="66" t="n">
        <v>225399000</v>
      </c>
      <c r="U495" s="66" t="n">
        <v>221576000</v>
      </c>
      <c r="V495" s="66" t="n">
        <v>35376000</v>
      </c>
      <c r="W495" s="66" t="n"/>
      <c r="X495" s="66" t="n">
        <v>307523000</v>
      </c>
      <c r="Y495" s="66" t="n">
        <v>50020000</v>
      </c>
      <c r="Z495" s="66" t="n"/>
      <c r="AA495" s="66" t="n">
        <v>91330000</v>
      </c>
      <c r="AB495" s="66" t="n">
        <v>78992000</v>
      </c>
      <c r="AC495" s="66" t="n"/>
      <c r="AD495" s="66" t="n"/>
      <c r="AE495" s="66" t="n">
        <v>324407000</v>
      </c>
      <c r="AF495" s="66" t="n">
        <v>325634000</v>
      </c>
      <c r="AG495" s="66" t="n">
        <v>96196000</v>
      </c>
      <c r="AH495" s="66" t="n"/>
      <c r="AI495" s="66" t="n">
        <v>132955000</v>
      </c>
      <c r="AJ495" s="66" t="n">
        <v>134788000</v>
      </c>
      <c r="AK495" s="67">
        <f>MROUND(FORECAST(AI495,AI483:AI494,AK483:AK494)*0.1,100000)</f>
        <v/>
      </c>
      <c r="AL495" s="66" t="n"/>
      <c r="AM495" s="66" t="n">
        <v>171785000</v>
      </c>
      <c r="AN495" s="66" t="n">
        <v>160004000</v>
      </c>
      <c r="AO495" s="66" t="n">
        <v>90391000</v>
      </c>
      <c r="AP495" s="66" t="n"/>
      <c r="AQ495" s="66" t="n">
        <v>264380000</v>
      </c>
      <c r="AS495" s="67">
        <f>MROUND(FORECAST(AQ495,AQ483:AQ494,AS483:AS494),100000)</f>
        <v/>
      </c>
    </row>
    <row r="496">
      <c r="A496" s="60" t="n">
        <v>44075</v>
      </c>
      <c r="B496" s="66" t="n">
        <v>105618000</v>
      </c>
      <c r="C496" s="66" t="n">
        <v>106395000</v>
      </c>
      <c r="D496" s="66" t="n">
        <v>9317000</v>
      </c>
      <c r="E496" s="66" t="n"/>
      <c r="F496" s="66" t="n">
        <v>108896000</v>
      </c>
      <c r="G496" s="66" t="n">
        <v>26915000</v>
      </c>
      <c r="H496" s="66" t="n"/>
      <c r="I496" s="66" t="n">
        <v>24641000</v>
      </c>
      <c r="J496" s="66" t="n">
        <v>28742000</v>
      </c>
      <c r="K496" s="66" t="n">
        <v>6644000</v>
      </c>
      <c r="L496" s="66" t="n"/>
      <c r="M496" s="66" t="n">
        <v>501547000</v>
      </c>
      <c r="N496" s="66" t="n">
        <v>68587000</v>
      </c>
      <c r="O496" s="66" t="n"/>
      <c r="P496" s="66" t="n">
        <v>41658000</v>
      </c>
      <c r="Q496" s="66" t="n">
        <v>43021000</v>
      </c>
      <c r="R496" s="66" t="n"/>
      <c r="S496" s="66" t="n"/>
      <c r="T496" s="66" t="n">
        <v>237473000</v>
      </c>
      <c r="U496" s="66" t="n">
        <v>238683000</v>
      </c>
      <c r="V496" s="66" t="n">
        <v>34166000</v>
      </c>
      <c r="W496" s="66" t="n"/>
      <c r="X496" s="66" t="n">
        <v>316491000</v>
      </c>
      <c r="Y496" s="66" t="n">
        <v>46057000</v>
      </c>
      <c r="Z496" s="66" t="n"/>
      <c r="AA496" s="66" t="n">
        <v>90142000</v>
      </c>
      <c r="AB496" s="66" t="n">
        <v>92794000</v>
      </c>
      <c r="AC496" s="66" t="n"/>
      <c r="AD496" s="66" t="n"/>
      <c r="AE496" s="66" t="n">
        <v>328260000</v>
      </c>
      <c r="AF496" s="66" t="n">
        <v>330149000</v>
      </c>
      <c r="AG496" s="66" t="n">
        <v>93602000</v>
      </c>
      <c r="AH496" s="66" t="n"/>
      <c r="AI496" s="66" t="n">
        <v>132756000</v>
      </c>
      <c r="AJ496" s="66" t="n">
        <v>135434000</v>
      </c>
      <c r="AK496" s="67">
        <f>MROUND(FORECAST(AI496,AI484:AI495,AK484:AK495)*0.1,100000)</f>
        <v/>
      </c>
      <c r="AL496" s="66" t="n"/>
      <c r="AM496" s="66" t="n">
        <v>186640000</v>
      </c>
      <c r="AN496" s="66" t="n">
        <v>183228000</v>
      </c>
      <c r="AO496" s="66" t="n">
        <v>93843000</v>
      </c>
      <c r="AP496" s="66" t="n"/>
      <c r="AQ496" s="66" t="n">
        <v>256560000</v>
      </c>
      <c r="AS496" s="67">
        <f>MROUND(FORECAST(AQ496,AQ484:AQ495,AS484:AS495),100000)</f>
        <v/>
      </c>
    </row>
    <row r="497">
      <c r="A497" s="60" t="n">
        <v>44105</v>
      </c>
      <c r="B497" s="66" t="n">
        <v>96576000</v>
      </c>
      <c r="C497" s="66" t="n">
        <v>94307000</v>
      </c>
      <c r="D497" s="66" t="n">
        <v>11586000</v>
      </c>
      <c r="E497" s="66" t="n"/>
      <c r="F497" s="66" t="n">
        <v>99801000</v>
      </c>
      <c r="G497" s="66" t="n">
        <v>26098000</v>
      </c>
      <c r="H497" s="66" t="n"/>
      <c r="I497" s="66" t="n">
        <v>24052000</v>
      </c>
      <c r="J497" s="66" t="n">
        <v>21459000</v>
      </c>
      <c r="K497" s="66" t="n"/>
      <c r="L497" s="66" t="n"/>
      <c r="M497" s="66" t="n">
        <v>411103000</v>
      </c>
      <c r="N497" s="66" t="n">
        <v>68579000</v>
      </c>
      <c r="O497" s="66" t="n"/>
      <c r="P497" s="66" t="n">
        <v>35938000</v>
      </c>
      <c r="Q497" s="66" t="n">
        <v>38357000</v>
      </c>
      <c r="R497" s="66" t="n"/>
      <c r="S497" s="66" t="n"/>
      <c r="T497" s="66" t="n">
        <v>209067000</v>
      </c>
      <c r="U497" s="66" t="n">
        <v>212259000</v>
      </c>
      <c r="V497" s="66" t="n">
        <v>30974000</v>
      </c>
      <c r="W497" s="66" t="n"/>
      <c r="X497" s="66" t="n">
        <v>281576000</v>
      </c>
      <c r="Y497" s="66" t="n">
        <v>43748000</v>
      </c>
      <c r="Z497" s="66" t="n"/>
      <c r="AA497" s="66" t="n">
        <v>62801000</v>
      </c>
      <c r="AB497" s="66" t="n">
        <v>63866000</v>
      </c>
      <c r="AC497" s="66" t="n"/>
      <c r="AD497" s="66" t="n"/>
      <c r="AE497" s="66" t="n">
        <v>254285000</v>
      </c>
      <c r="AF497" s="66" t="n">
        <v>250299000</v>
      </c>
      <c r="AG497" s="66" t="n">
        <v>97587000</v>
      </c>
      <c r="AH497" s="66" t="n"/>
      <c r="AI497" s="66" t="n">
        <v>96225000</v>
      </c>
      <c r="AJ497" s="66" t="n">
        <v>94454000</v>
      </c>
      <c r="AK497" s="67">
        <f>MROUND(FORECAST(AI497,AI485:AI496,AK485:AK496)*0.1,100000)</f>
        <v/>
      </c>
      <c r="AL497" s="66" t="n"/>
      <c r="AM497" s="66" t="n">
        <v>178423000</v>
      </c>
      <c r="AN497" s="66" t="n">
        <v>192088000</v>
      </c>
      <c r="AO497" s="66" t="n">
        <v>80733000</v>
      </c>
      <c r="AP497" s="66" t="n"/>
      <c r="AQ497" s="66" t="n">
        <v>267720000</v>
      </c>
      <c r="AS497" s="67">
        <f>MROUND(FORECAST(AQ497,AQ485:AQ496,AS485:AS496),100000)</f>
        <v/>
      </c>
    </row>
    <row r="498">
      <c r="A498" s="60" t="n">
        <v>44136</v>
      </c>
      <c r="B498" s="66" t="n">
        <v>116917000</v>
      </c>
      <c r="C498" s="66" t="n">
        <v>115358000</v>
      </c>
      <c r="D498" s="66" t="n">
        <v>13145000</v>
      </c>
      <c r="E498" s="66" t="n"/>
      <c r="F498" s="66" t="n">
        <v>106956000</v>
      </c>
      <c r="G498" s="66" t="n">
        <v>25515000</v>
      </c>
      <c r="H498" s="66" t="n"/>
      <c r="I498" s="66" t="n">
        <v>26652000</v>
      </c>
      <c r="J498" s="66" t="n">
        <v>27865000</v>
      </c>
      <c r="K498" s="66" t="n">
        <v>6319000</v>
      </c>
      <c r="L498" s="66" t="n"/>
      <c r="M498" s="66" t="n">
        <v>468428000</v>
      </c>
      <c r="N498" s="66" t="n">
        <v>69324000</v>
      </c>
      <c r="O498" s="66" t="n"/>
      <c r="P498" s="66" t="n">
        <v>35378000</v>
      </c>
      <c r="Q498" s="66" t="n">
        <v>36308000</v>
      </c>
      <c r="R498" s="66" t="n"/>
      <c r="S498" s="66" t="n"/>
      <c r="T498" s="66" t="n">
        <v>216160000</v>
      </c>
      <c r="U498" s="66" t="n">
        <v>218693000</v>
      </c>
      <c r="V498" s="66" t="n">
        <v>28441000</v>
      </c>
      <c r="W498" s="66" t="n"/>
      <c r="X498" s="66" t="n">
        <v>303464000</v>
      </c>
      <c r="Y498" s="66" t="n">
        <v>38541000</v>
      </c>
      <c r="Z498" s="66" t="n"/>
      <c r="AA498" s="66" t="n">
        <v>82585000</v>
      </c>
      <c r="AB498" s="66" t="n">
        <v>80116000</v>
      </c>
      <c r="AC498" s="66" t="n">
        <v>23283000</v>
      </c>
      <c r="AD498" s="66" t="n"/>
      <c r="AE498" s="66" t="n">
        <v>279307000</v>
      </c>
      <c r="AF498" s="66" t="n">
        <v>280313000</v>
      </c>
      <c r="AG498" s="67">
        <f>MROUND(FORECAST(AE498,AE486:AE497,AG486:AG497)*0.15,100000)</f>
        <v/>
      </c>
      <c r="AH498" s="66" t="n"/>
      <c r="AI498" s="66" t="n">
        <v>97134000</v>
      </c>
      <c r="AJ498" s="66" t="n">
        <v>97398000</v>
      </c>
      <c r="AK498" s="67">
        <f>MROUND(FORECAST(AI498,AI486:AI497,AK486:AK497)*0.1,100000)</f>
        <v/>
      </c>
      <c r="AL498" s="66" t="n"/>
      <c r="AM498" s="66" t="n">
        <v>172894000</v>
      </c>
      <c r="AN498" s="66" t="n">
        <v>166316000</v>
      </c>
      <c r="AO498" s="66" t="n">
        <v>86732000</v>
      </c>
      <c r="AP498" s="66" t="n"/>
      <c r="AQ498" s="66" t="n">
        <v>241000000</v>
      </c>
      <c r="AS498" s="67">
        <f>MROUND(FORECAST(AQ498,AQ486:AQ497,AS486:AS497),100000)</f>
        <v/>
      </c>
    </row>
    <row r="499">
      <c r="A499" s="60" t="n">
        <v>44166</v>
      </c>
      <c r="B499" s="66" t="n">
        <v>110632000</v>
      </c>
      <c r="C499" s="66" t="n">
        <v>114200000</v>
      </c>
      <c r="D499" s="66" t="n">
        <v>9577000</v>
      </c>
      <c r="E499" s="66" t="n"/>
      <c r="F499" s="66" t="n">
        <v>96594000</v>
      </c>
      <c r="G499" s="66" t="n">
        <v>24797000</v>
      </c>
      <c r="H499" s="66" t="n"/>
      <c r="I499" s="66" t="n">
        <v>24185000</v>
      </c>
      <c r="J499" s="66" t="n">
        <v>22969000</v>
      </c>
      <c r="K499" s="66" t="n">
        <v>8599000</v>
      </c>
      <c r="L499" s="66" t="n"/>
      <c r="M499" s="66" t="n">
        <v>440433000</v>
      </c>
      <c r="N499" s="66" t="n">
        <v>68558000</v>
      </c>
      <c r="O499" s="66" t="n"/>
      <c r="P499" s="66" t="n">
        <v>38730000</v>
      </c>
      <c r="Q499" s="66" t="n">
        <v>39049000</v>
      </c>
      <c r="R499" s="66" t="n"/>
      <c r="S499" s="66" t="n"/>
      <c r="T499" s="66" t="n">
        <v>195729000</v>
      </c>
      <c r="U499" s="66" t="n">
        <v>191565000</v>
      </c>
      <c r="V499" s="66" t="n">
        <v>32605000</v>
      </c>
      <c r="W499" s="66" t="n"/>
      <c r="X499" s="66" t="n">
        <v>268235000</v>
      </c>
      <c r="Y499" s="66" t="n">
        <v>44281000</v>
      </c>
      <c r="Z499" s="66" t="n"/>
      <c r="AA499" s="66" t="n">
        <v>73204000</v>
      </c>
      <c r="AB499" s="66" t="n">
        <v>72403000</v>
      </c>
      <c r="AC499" s="66" t="n"/>
      <c r="AD499" s="66" t="n"/>
      <c r="AE499" s="66" t="n">
        <v>264828000</v>
      </c>
      <c r="AF499" s="66" t="n">
        <v>270562000</v>
      </c>
      <c r="AG499" s="66" t="n">
        <v>90847000</v>
      </c>
      <c r="AH499" s="66" t="n"/>
      <c r="AI499" s="66" t="n">
        <v>84720000</v>
      </c>
      <c r="AJ499" s="66" t="n">
        <v>85516000</v>
      </c>
      <c r="AK499" s="67">
        <f>MROUND(FORECAST(AI499,AI487:AI498,AK487:AK498)*0.1,100000)</f>
        <v/>
      </c>
      <c r="AL499" s="66" t="n"/>
      <c r="AM499" s="66" t="n">
        <v>179928000</v>
      </c>
      <c r="AN499" s="66" t="n">
        <v>178621000</v>
      </c>
      <c r="AO499" s="66" t="n">
        <v>88033000</v>
      </c>
      <c r="AP499" s="66" t="n"/>
      <c r="AQ499" s="66" t="n">
        <v>245630000</v>
      </c>
      <c r="AS499" s="67">
        <f>MROUND(FORECAST(AQ499,AQ487:AQ498,AS487:AS498),100000)</f>
        <v/>
      </c>
    </row>
    <row r="500">
      <c r="A500" s="60" t="n">
        <v>44197</v>
      </c>
      <c r="B500" s="66" t="n">
        <v>112172000</v>
      </c>
      <c r="C500" s="66" t="n">
        <v>108526000</v>
      </c>
      <c r="D500" s="66" t="n">
        <v>13223000</v>
      </c>
      <c r="E500" s="66" t="n"/>
      <c r="F500" s="66" t="n">
        <v>81286000</v>
      </c>
      <c r="G500" s="66" t="n">
        <v>24711000</v>
      </c>
      <c r="H500" s="66" t="n"/>
      <c r="I500" s="66" t="n">
        <v>21702000</v>
      </c>
      <c r="J500" s="66" t="n">
        <v>21304000</v>
      </c>
      <c r="K500" s="66" t="n">
        <v>10355000</v>
      </c>
      <c r="L500" s="66" t="n"/>
      <c r="M500" s="66" t="n">
        <v>416645000</v>
      </c>
      <c r="N500" s="66" t="n">
        <v>72648000</v>
      </c>
      <c r="O500" s="66" t="n"/>
      <c r="P500" s="66" t="n">
        <v>33686000</v>
      </c>
      <c r="Q500" s="66" t="n">
        <v>33936000</v>
      </c>
      <c r="R500" s="66" t="n"/>
      <c r="S500" s="66" t="n"/>
      <c r="T500" s="66" t="n">
        <v>167245000</v>
      </c>
      <c r="U500" s="66" t="n">
        <v>171675000</v>
      </c>
      <c r="V500" s="66" t="n">
        <v>28175000</v>
      </c>
      <c r="W500" s="66" t="n"/>
      <c r="X500" s="66" t="n">
        <v>249316000</v>
      </c>
      <c r="Y500" s="66" t="n">
        <v>47142000</v>
      </c>
      <c r="Z500" s="66" t="n"/>
      <c r="AA500" s="66" t="n">
        <v>73053000</v>
      </c>
      <c r="AB500" s="66" t="n">
        <v>74711000</v>
      </c>
      <c r="AC500" s="66" t="n">
        <v>22683000</v>
      </c>
      <c r="AD500" s="66" t="n"/>
      <c r="AE500" s="66" t="n">
        <v>269443000</v>
      </c>
      <c r="AF500" s="66" t="n">
        <v>265168000</v>
      </c>
      <c r="AG500" s="66" t="n">
        <v>95120000</v>
      </c>
      <c r="AH500" s="66" t="n"/>
      <c r="AI500" s="66" t="n">
        <v>88167000</v>
      </c>
      <c r="AJ500" s="66" t="n">
        <v>86468000</v>
      </c>
      <c r="AK500" s="67">
        <f>MROUND(FORECAST(AI500,AI488:AI499,AK488:AK499)*0.1,100000)</f>
        <v/>
      </c>
      <c r="AL500" s="66" t="n"/>
      <c r="AM500" s="66" t="n">
        <v>169599000</v>
      </c>
      <c r="AN500" s="66" t="n">
        <v>181690000</v>
      </c>
      <c r="AO500" s="66" t="n">
        <v>75943000</v>
      </c>
      <c r="AP500" s="66" t="n"/>
      <c r="AQ500" s="66" t="n">
        <v>196310000</v>
      </c>
      <c r="AS500" s="67">
        <f>MROUND(FORECAST(AQ500,AQ488:AQ499,AS488:AS499),100000)</f>
        <v/>
      </c>
    </row>
    <row r="501">
      <c r="A501" s="60" t="n">
        <v>44228</v>
      </c>
      <c r="B501" s="66" t="n">
        <v>108286000</v>
      </c>
      <c r="C501" s="66" t="n">
        <v>111633000</v>
      </c>
      <c r="D501" s="66" t="n">
        <v>9877000</v>
      </c>
      <c r="E501" s="66" t="n"/>
      <c r="F501" s="66" t="n">
        <v>86309000</v>
      </c>
      <c r="G501" s="66" t="n">
        <v>14905000</v>
      </c>
      <c r="H501" s="66" t="n"/>
      <c r="I501" s="66" t="n">
        <v>22389000</v>
      </c>
      <c r="J501" s="66" t="n">
        <v>24448000</v>
      </c>
      <c r="K501" s="66" t="n">
        <v>9621000</v>
      </c>
      <c r="L501" s="66" t="n"/>
      <c r="M501" s="66" t="n">
        <v>424692000</v>
      </c>
      <c r="N501" s="66" t="n">
        <v>73567000</v>
      </c>
      <c r="O501" s="66" t="n"/>
      <c r="P501" s="66" t="n">
        <v>30832000</v>
      </c>
      <c r="Q501" s="66" t="n">
        <v>31214000</v>
      </c>
      <c r="R501" s="66" t="n"/>
      <c r="S501" s="66" t="n"/>
      <c r="T501" s="66" t="n">
        <v>174726000</v>
      </c>
      <c r="U501" s="66" t="n">
        <v>173515000</v>
      </c>
      <c r="V501" s="66" t="n">
        <v>29386000</v>
      </c>
      <c r="W501" s="66" t="n"/>
      <c r="X501" s="66" t="n">
        <v>277931000</v>
      </c>
      <c r="Y501" s="66" t="n">
        <v>53923000</v>
      </c>
      <c r="Z501" s="66" t="n"/>
      <c r="AA501" s="66" t="n">
        <v>90103000</v>
      </c>
      <c r="AB501" s="66" t="n">
        <v>96063000</v>
      </c>
      <c r="AC501" s="66" t="n"/>
      <c r="AD501" s="66" t="n"/>
      <c r="AE501" s="66" t="n">
        <v>290555000</v>
      </c>
      <c r="AF501" s="66" t="n">
        <v>280464000</v>
      </c>
      <c r="AG501" s="66" t="n">
        <v>105210000</v>
      </c>
      <c r="AH501" s="66" t="n"/>
      <c r="AI501" s="66" t="n">
        <v>97483000</v>
      </c>
      <c r="AJ501" s="66" t="n">
        <v>98049000</v>
      </c>
      <c r="AK501" s="67">
        <f>MROUND(FORECAST(AI501,AI489:AI500,AK489:AK500)*0.1,100000)</f>
        <v/>
      </c>
      <c r="AL501" s="66" t="n"/>
      <c r="AM501" s="66" t="n">
        <v>152284000</v>
      </c>
      <c r="AN501" s="66" t="n">
        <v>146927000</v>
      </c>
      <c r="AO501" s="66" t="n">
        <v>81153000</v>
      </c>
      <c r="AP501" s="66" t="n"/>
      <c r="AQ501" s="66" t="n">
        <v>187780000</v>
      </c>
      <c r="AS501" s="67">
        <f>MROUND(FORECAST(AQ501,AQ489:AQ500,AS489:AS500),100000)</f>
        <v/>
      </c>
    </row>
    <row r="502">
      <c r="A502" s="60" t="n">
        <v>44256</v>
      </c>
      <c r="B502" s="66" t="n">
        <v>108982000</v>
      </c>
      <c r="C502" s="66" t="n">
        <v>107621000</v>
      </c>
      <c r="D502" s="66" t="n">
        <v>11238000</v>
      </c>
      <c r="E502" s="66" t="n"/>
      <c r="F502" s="66" t="n">
        <v>83980000</v>
      </c>
      <c r="G502" s="66" t="n">
        <v>15568000</v>
      </c>
      <c r="H502" s="66" t="n"/>
      <c r="I502" s="66" t="n">
        <v>17456000</v>
      </c>
      <c r="J502" s="66" t="n">
        <v>20165000</v>
      </c>
      <c r="K502" s="66" t="n">
        <v>6912000</v>
      </c>
      <c r="L502" s="66" t="n"/>
      <c r="M502" s="66" t="n">
        <v>513462000</v>
      </c>
      <c r="N502" s="66" t="n">
        <v>68074000</v>
      </c>
      <c r="O502" s="66" t="n"/>
      <c r="P502" s="66" t="n">
        <v>39492000</v>
      </c>
      <c r="Q502" s="66" t="n">
        <v>42624000</v>
      </c>
      <c r="R502" s="66" t="n">
        <v>7046000</v>
      </c>
      <c r="S502" s="66" t="n"/>
      <c r="T502" s="66" t="n">
        <v>179452000</v>
      </c>
      <c r="U502" s="66" t="n">
        <v>183605000</v>
      </c>
      <c r="V502" s="66" t="n">
        <v>25233000</v>
      </c>
      <c r="W502" s="66" t="n"/>
      <c r="X502" s="66" t="n">
        <v>293462000</v>
      </c>
      <c r="Y502" s="66" t="n">
        <v>43638000</v>
      </c>
      <c r="Z502" s="66" t="n"/>
      <c r="AA502" s="66" t="n">
        <v>94481000</v>
      </c>
      <c r="AB502" s="66" t="n">
        <v>98462000</v>
      </c>
      <c r="AC502" s="66" t="n">
        <v>13019000</v>
      </c>
      <c r="AD502" s="66" t="n"/>
      <c r="AE502" s="66" t="n">
        <v>365475000</v>
      </c>
      <c r="AF502" s="66" t="n">
        <v>368767000</v>
      </c>
      <c r="AG502" s="67">
        <f>MROUND(FORECAST(AE502,AE490:AE501,AG490:AG501)*0.15,100000)</f>
        <v/>
      </c>
      <c r="AH502" s="66" t="n"/>
      <c r="AI502" s="66" t="n">
        <v>109266000</v>
      </c>
      <c r="AJ502" s="66" t="n">
        <v>111236000</v>
      </c>
      <c r="AK502" s="67">
        <f>MROUND(FORECAST(AI502,AI490:AI501,AK490:AK501)*0.1,100000)</f>
        <v/>
      </c>
      <c r="AL502" s="66" t="n"/>
      <c r="AM502" s="66" t="n">
        <v>210963000</v>
      </c>
      <c r="AN502" s="66" t="n">
        <v>194194000</v>
      </c>
      <c r="AO502" s="66" t="n">
        <v>97920000</v>
      </c>
      <c r="AP502" s="66" t="n"/>
      <c r="AQ502" s="66" t="n">
        <v>236350000</v>
      </c>
      <c r="AS502" s="67">
        <f>MROUND(FORECAST(AQ502,AQ490:AQ501,AS490:AS501),100000)</f>
        <v/>
      </c>
    </row>
    <row r="503">
      <c r="A503" s="60" t="n">
        <v>44287</v>
      </c>
      <c r="B503" s="66" t="n">
        <v>97445000</v>
      </c>
      <c r="C503" s="66" t="n">
        <v>96310000</v>
      </c>
      <c r="D503" s="66" t="n">
        <v>12373000</v>
      </c>
      <c r="E503" s="66" t="n"/>
      <c r="F503" s="66" t="n">
        <v>81631000</v>
      </c>
      <c r="G503" s="66" t="n">
        <v>15752000</v>
      </c>
      <c r="H503" s="66" t="n"/>
      <c r="I503" s="66" t="n">
        <v>20696000</v>
      </c>
      <c r="J503" s="66" t="n">
        <v>20683000</v>
      </c>
      <c r="K503" s="66" t="n">
        <v>6925000</v>
      </c>
      <c r="L503" s="66" t="n"/>
      <c r="M503" s="66" t="n">
        <v>481207000</v>
      </c>
      <c r="N503" s="66" t="n">
        <v>68720000</v>
      </c>
      <c r="O503" s="66" t="n"/>
      <c r="P503" s="66" t="n">
        <v>35284000</v>
      </c>
      <c r="Q503" s="66" t="n">
        <v>32209000</v>
      </c>
      <c r="R503" s="66" t="n"/>
      <c r="S503" s="66" t="n"/>
      <c r="T503" s="66" t="n">
        <v>170567000</v>
      </c>
      <c r="U503" s="66" t="n">
        <v>168501000</v>
      </c>
      <c r="V503" s="66" t="n">
        <v>27299000</v>
      </c>
      <c r="W503" s="66" t="n"/>
      <c r="X503" s="66" t="n">
        <v>277928000</v>
      </c>
      <c r="Y503" s="66" t="n">
        <v>48016000</v>
      </c>
      <c r="Z503" s="66" t="n"/>
      <c r="AA503" s="66" t="n">
        <v>90917000</v>
      </c>
      <c r="AB503" s="66" t="n">
        <v>92185000</v>
      </c>
      <c r="AC503" s="66" t="n">
        <v>12000000</v>
      </c>
      <c r="AD503" s="66" t="n"/>
      <c r="AE503" s="66" t="n">
        <v>367648000</v>
      </c>
      <c r="AF503" s="66" t="n">
        <v>364010000</v>
      </c>
      <c r="AG503" s="66" t="n">
        <v>105462000</v>
      </c>
      <c r="AH503" s="66" t="n"/>
      <c r="AI503" s="66" t="n">
        <v>112081000</v>
      </c>
      <c r="AJ503" s="66" t="n">
        <v>110151000</v>
      </c>
      <c r="AK503" s="67">
        <f>MROUND(FORECAST(AI503,AI491:AI502,AK491:AK502)*0.1,100000)</f>
        <v/>
      </c>
      <c r="AL503" s="66" t="n"/>
      <c r="AM503" s="66" t="n">
        <v>195987000</v>
      </c>
      <c r="AN503" s="66" t="n">
        <v>203599000</v>
      </c>
      <c r="AO503" s="66" t="n">
        <v>90308000</v>
      </c>
      <c r="AP503" s="66" t="n"/>
      <c r="AQ503" s="66" t="n">
        <v>243550000</v>
      </c>
      <c r="AS503" s="67">
        <f>MROUND(FORECAST(AQ503,AQ491:AQ502,AS491:AS502),100000)</f>
        <v/>
      </c>
    </row>
    <row r="504">
      <c r="A504" s="60" t="n">
        <v>44317</v>
      </c>
      <c r="B504" s="66" t="n">
        <v>91738000</v>
      </c>
      <c r="C504" s="66" t="n">
        <v>97532000</v>
      </c>
      <c r="D504" s="66" t="n">
        <v>6541000</v>
      </c>
      <c r="E504" s="66" t="n"/>
      <c r="F504" s="66" t="n">
        <v>93858000</v>
      </c>
      <c r="G504" s="66" t="n">
        <v>14092000</v>
      </c>
      <c r="H504" s="66" t="n"/>
      <c r="I504" s="66" t="n">
        <v>21085000</v>
      </c>
      <c r="J504" s="66" t="n">
        <v>23777000</v>
      </c>
      <c r="K504" s="66" t="n">
        <v>5198000</v>
      </c>
      <c r="L504" s="66" t="n"/>
      <c r="M504" s="66" t="n">
        <v>456634000</v>
      </c>
      <c r="N504" s="66" t="n">
        <v>61885000</v>
      </c>
      <c r="O504" s="66" t="n"/>
      <c r="P504" s="66" t="n">
        <v>37021000</v>
      </c>
      <c r="Q504" s="66" t="n">
        <v>36349000</v>
      </c>
      <c r="R504" s="66" t="n"/>
      <c r="S504" s="66" t="n"/>
      <c r="T504" s="66" t="n">
        <v>196754000</v>
      </c>
      <c r="U504" s="66" t="n">
        <v>192167000</v>
      </c>
      <c r="V504" s="66" t="n">
        <v>31886000</v>
      </c>
      <c r="W504" s="66" t="n"/>
      <c r="X504" s="66" t="n">
        <v>307753000</v>
      </c>
      <c r="Y504" s="66" t="n">
        <v>52014000</v>
      </c>
      <c r="Z504" s="66" t="n"/>
      <c r="AA504" s="66" t="n">
        <v>102834000</v>
      </c>
      <c r="AB504" s="66" t="n">
        <v>107463000</v>
      </c>
      <c r="AC504" s="66" t="n">
        <v>7522000</v>
      </c>
      <c r="AD504" s="66" t="n"/>
      <c r="AE504" s="66" t="n">
        <v>339224000</v>
      </c>
      <c r="AF504" s="66" t="n">
        <v>348586000</v>
      </c>
      <c r="AG504" s="67">
        <f>MROUND(FORECAST(AE504,AE492:AE503,AG492:AG503)*0.125,100000)</f>
        <v/>
      </c>
      <c r="AH504" s="66" t="n"/>
      <c r="AI504" s="66" t="n">
        <v>118323000</v>
      </c>
      <c r="AJ504" s="66" t="n">
        <v>119506000</v>
      </c>
      <c r="AK504" s="67">
        <f>MROUND(FORECAST(AI504,AI492:AI503,AK492:AK503)*0.1,100000)</f>
        <v/>
      </c>
      <c r="AL504" s="66" t="n"/>
      <c r="AM504" s="66" t="n">
        <v>182246000</v>
      </c>
      <c r="AN504" s="66" t="n">
        <v>184125000</v>
      </c>
      <c r="AO504" s="66" t="n">
        <v>88427000</v>
      </c>
      <c r="AP504" s="66" t="n"/>
      <c r="AQ504" s="66" t="n">
        <v>261970000</v>
      </c>
      <c r="AS504" s="67">
        <f>MROUND(FORECAST(AQ504,AQ492:AQ503,AS492:AS503),100000)</f>
        <v/>
      </c>
    </row>
    <row r="505">
      <c r="A505" s="60" t="n">
        <v>44348</v>
      </c>
      <c r="B505" s="66" t="n">
        <v>88615000</v>
      </c>
      <c r="C505" s="66" t="n">
        <v>90666000</v>
      </c>
      <c r="D505" s="66" t="n">
        <v>4529000</v>
      </c>
      <c r="E505" s="66" t="n"/>
      <c r="F505" s="66" t="n">
        <v>84855000</v>
      </c>
      <c r="G505" s="66" t="n">
        <v>18632000</v>
      </c>
      <c r="H505" s="66" t="n"/>
      <c r="I505" s="66" t="n">
        <v>19885000</v>
      </c>
      <c r="J505" s="66" t="n">
        <v>20972000</v>
      </c>
      <c r="K505" s="66" t="n">
        <v>6096000</v>
      </c>
      <c r="L505" s="66" t="n"/>
      <c r="M505" s="66" t="n">
        <v>427461000</v>
      </c>
      <c r="N505" s="66" t="n">
        <v>63389000</v>
      </c>
      <c r="O505" s="66" t="n"/>
      <c r="P505" s="66" t="n">
        <v>34356000</v>
      </c>
      <c r="Q505" s="66" t="n">
        <v>28663000</v>
      </c>
      <c r="R505" s="66" t="n"/>
      <c r="S505" s="66" t="n"/>
      <c r="T505" s="66" t="n">
        <v>186549000</v>
      </c>
      <c r="U505" s="66" t="n">
        <v>183383000</v>
      </c>
      <c r="V505" s="66" t="n">
        <v>35052000</v>
      </c>
      <c r="W505" s="66" t="n"/>
      <c r="X505" s="66" t="n">
        <v>282989000</v>
      </c>
      <c r="Y505" s="66" t="n">
        <v>54577000</v>
      </c>
      <c r="Z505" s="66" t="n"/>
      <c r="AA505" s="66" t="n">
        <v>101309000</v>
      </c>
      <c r="AB505" s="66" t="n">
        <v>83106000</v>
      </c>
      <c r="AC505" s="66" t="n"/>
      <c r="AD505" s="66" t="n"/>
      <c r="AE505" s="66" t="n">
        <v>306293000</v>
      </c>
      <c r="AF505" s="66" t="n">
        <v>309784000</v>
      </c>
      <c r="AG505" s="67">
        <f>MROUND(FORECAST(AE505,AE493:AE504,AG493:AG504)*0.125,100000)</f>
        <v/>
      </c>
      <c r="AH505" s="66" t="n"/>
      <c r="AI505" s="66" t="n">
        <v>94045000</v>
      </c>
      <c r="AJ505" s="66" t="n">
        <v>93579000</v>
      </c>
      <c r="AK505" s="67">
        <f>MROUND(FORECAST(AI505,AI493:AI504,AK493:AK504)*0.1,100000)</f>
        <v/>
      </c>
      <c r="AL505" s="66" t="n"/>
      <c r="AM505" s="66" t="n">
        <v>201313000</v>
      </c>
      <c r="AN505" s="66" t="n">
        <v>197468000</v>
      </c>
      <c r="AO505" s="66" t="n">
        <v>92212000</v>
      </c>
      <c r="AP505" s="66" t="n"/>
      <c r="AQ505" s="66" t="n">
        <v>263130000</v>
      </c>
      <c r="AS505" s="67">
        <f>MROUND(FORECAST(AQ505,AQ493:AQ504,AS493:AS504),100000)</f>
        <v/>
      </c>
    </row>
    <row r="506">
      <c r="A506" s="60" t="n">
        <v>44378</v>
      </c>
      <c r="B506" s="66" t="n">
        <v>83645000</v>
      </c>
      <c r="C506" s="66" t="n">
        <v>83532000</v>
      </c>
      <c r="D506" s="66" t="n">
        <v>4642000</v>
      </c>
      <c r="E506" s="66" t="n"/>
      <c r="F506" s="66" t="n">
        <v>80188000</v>
      </c>
      <c r="G506" s="66" t="n">
        <v>17844000</v>
      </c>
      <c r="H506" s="66" t="n"/>
      <c r="I506" s="66" t="n">
        <v>22967000</v>
      </c>
      <c r="J506" s="66" t="n">
        <v>23031000</v>
      </c>
      <c r="K506" s="66" t="n">
        <v>6032000</v>
      </c>
      <c r="L506" s="66" t="n"/>
      <c r="M506" s="66" t="n">
        <v>420054000</v>
      </c>
      <c r="N506" s="66" t="n">
        <v>66064000</v>
      </c>
      <c r="O506" s="66" t="n"/>
      <c r="P506" s="66" t="n">
        <v>55949000</v>
      </c>
      <c r="Q506" s="66" t="n">
        <v>53550000</v>
      </c>
      <c r="R506" s="66" t="n"/>
      <c r="S506" s="66" t="n"/>
      <c r="T506" s="66" t="n">
        <v>176395000</v>
      </c>
      <c r="U506" s="66" t="n">
        <v>180055000</v>
      </c>
      <c r="V506" s="66" t="n">
        <v>31391000</v>
      </c>
      <c r="W506" s="66" t="n"/>
      <c r="X506" s="66" t="n">
        <v>263412000</v>
      </c>
      <c r="Y506" s="66" t="n">
        <v>76132000</v>
      </c>
      <c r="Z506" s="66" t="n"/>
      <c r="AA506" s="66" t="n">
        <v>85015000</v>
      </c>
      <c r="AB506" s="66" t="n">
        <v>89379000</v>
      </c>
      <c r="AC506" s="66" t="n"/>
      <c r="AD506" s="66" t="n"/>
      <c r="AE506" s="66" t="n">
        <v>303938000</v>
      </c>
      <c r="AF506" s="66" t="n">
        <v>301368000</v>
      </c>
      <c r="AG506" s="67">
        <f>MROUND(FORECAST(AE506,AE494:AE505,AG494:AG505)*0.085,100000)</f>
        <v/>
      </c>
      <c r="AH506" s="66" t="n"/>
      <c r="AI506" s="66" t="n">
        <v>107856000</v>
      </c>
      <c r="AJ506" s="66" t="n">
        <v>109241000</v>
      </c>
      <c r="AK506" s="67">
        <f>MROUND(FORECAST(AI506,AI494:AI505,AK494:AK505)*0.1,100000)</f>
        <v/>
      </c>
      <c r="AL506" s="66" t="n"/>
      <c r="AM506" s="66" t="n">
        <v>181497000</v>
      </c>
      <c r="AN506" s="66" t="n">
        <v>173678000</v>
      </c>
      <c r="AO506" s="66" t="n">
        <v>100031000</v>
      </c>
      <c r="AP506" s="66" t="n"/>
      <c r="AQ506" s="66" t="n">
        <v>275840000</v>
      </c>
      <c r="AS506" s="67">
        <f>MROUND(FORECAST(AQ506,AQ494:AQ505,AS494:AS505),100000)</f>
        <v/>
      </c>
    </row>
    <row r="507">
      <c r="A507" s="60" t="n">
        <v>44409</v>
      </c>
      <c r="B507" s="66" t="n">
        <v>96856000</v>
      </c>
      <c r="C507" s="66" t="n">
        <v>95186000</v>
      </c>
      <c r="D507" s="66" t="n">
        <v>6313000</v>
      </c>
      <c r="E507" s="66" t="n"/>
      <c r="F507" s="66" t="n">
        <v>84291000</v>
      </c>
      <c r="G507" s="66" t="n">
        <v>20022000</v>
      </c>
      <c r="H507" s="66" t="n"/>
      <c r="I507" s="66" t="n">
        <v>26822000</v>
      </c>
      <c r="J507" s="66" t="n">
        <v>26340000</v>
      </c>
      <c r="K507" s="66" t="n">
        <v>6514000</v>
      </c>
      <c r="L507" s="66" t="n"/>
      <c r="M507" s="66" t="n">
        <v>427951000</v>
      </c>
      <c r="N507" s="66" t="n">
        <v>67340000</v>
      </c>
      <c r="O507" s="66" t="n"/>
      <c r="P507" s="66" t="n">
        <v>61586000</v>
      </c>
      <c r="Q507" s="66" t="n">
        <v>63770000</v>
      </c>
      <c r="R507" s="66" t="n"/>
      <c r="S507" s="66" t="n"/>
      <c r="T507" s="66" t="n">
        <v>176931000</v>
      </c>
      <c r="U507" s="66" t="n">
        <v>173836000</v>
      </c>
      <c r="V507" s="66" t="n">
        <v>34486000</v>
      </c>
      <c r="W507" s="66" t="n"/>
      <c r="X507" s="66" t="n">
        <v>276217000</v>
      </c>
      <c r="Y507" s="66" t="n">
        <v>76506000</v>
      </c>
      <c r="Z507" s="66" t="n"/>
      <c r="AA507" s="66" t="n">
        <v>83690000</v>
      </c>
      <c r="AB507" s="66" t="n">
        <v>81770000</v>
      </c>
      <c r="AC507" s="66" t="n"/>
      <c r="AD507" s="66" t="n"/>
      <c r="AE507" s="66" t="n">
        <v>343634000</v>
      </c>
      <c r="AF507" s="66" t="n">
        <v>335493000</v>
      </c>
      <c r="AG507" s="67">
        <f>MROUND(FORECAST(AE507,AE495:AE506,AG495:AG506)*0.075,100000)</f>
        <v/>
      </c>
      <c r="AH507" s="66" t="n"/>
      <c r="AI507" s="66" t="n">
        <v>126145000</v>
      </c>
      <c r="AJ507" s="66" t="n">
        <v>125802000</v>
      </c>
      <c r="AK507" s="67">
        <f>MROUND(FORECAST(AI507,AI495:AI506,AK495:AK506)*0.1,100000)</f>
        <v/>
      </c>
      <c r="AL507" s="66" t="n"/>
      <c r="AM507" s="66" t="n">
        <v>175725000</v>
      </c>
      <c r="AN507" s="66" t="n">
        <v>171379000</v>
      </c>
      <c r="AO507" s="66" t="n">
        <v>104378000</v>
      </c>
      <c r="AP507" s="66" t="n"/>
      <c r="AQ507" s="66" t="n">
        <v>268460000</v>
      </c>
      <c r="AS507" s="67">
        <f>MROUND(FORECAST(AQ507,AQ495:AQ506,AS495:AS506),100000)</f>
        <v/>
      </c>
    </row>
    <row r="508">
      <c r="A508" s="60" t="n">
        <v>44440</v>
      </c>
      <c r="B508" s="66" t="n">
        <v>102844000</v>
      </c>
      <c r="C508" s="66" t="n">
        <v>101908000</v>
      </c>
      <c r="D508" s="66" t="n">
        <v>7249000</v>
      </c>
      <c r="E508" s="66" t="n"/>
      <c r="F508" s="66" t="n">
        <v>78093000</v>
      </c>
      <c r="G508" s="66" t="n">
        <v>14838000</v>
      </c>
      <c r="H508" s="66" t="n"/>
      <c r="I508" s="66" t="n">
        <v>27109000</v>
      </c>
      <c r="J508" s="66" t="n">
        <v>27491000</v>
      </c>
      <c r="K508" s="66" t="n">
        <v>6132000</v>
      </c>
      <c r="L508" s="66" t="n"/>
      <c r="M508" s="66" t="n">
        <v>489251000</v>
      </c>
      <c r="N508" s="66" t="n">
        <v>76931000</v>
      </c>
      <c r="O508" s="66" t="n"/>
      <c r="P508" s="66" t="n">
        <v>42562000</v>
      </c>
      <c r="Q508" s="66" t="n">
        <v>41247000</v>
      </c>
      <c r="R508" s="66" t="n"/>
      <c r="S508" s="66" t="n"/>
      <c r="T508" s="66" t="n">
        <v>176139000</v>
      </c>
      <c r="U508" s="66" t="n">
        <v>173157000</v>
      </c>
      <c r="V508" s="66" t="n">
        <v>37469000</v>
      </c>
      <c r="W508" s="66" t="n"/>
      <c r="X508" s="66" t="n">
        <v>277804000</v>
      </c>
      <c r="Y508" s="66" t="n">
        <v>109547000</v>
      </c>
      <c r="Z508" s="66" t="n"/>
      <c r="AA508" s="66" t="n">
        <v>76604000</v>
      </c>
      <c r="AB508" s="66" t="n">
        <v>78491000</v>
      </c>
      <c r="AC508" s="66" t="n">
        <v>21943000</v>
      </c>
      <c r="AD508" s="66" t="n"/>
      <c r="AE508" s="66" t="n">
        <v>350054000</v>
      </c>
      <c r="AF508" s="66" t="n">
        <v>329082000</v>
      </c>
      <c r="AG508" s="67">
        <f>MROUND(FORECAST(AE508,AE496:AE507,AG496:AG507)*0.075,100000)</f>
        <v/>
      </c>
      <c r="AH508" s="66" t="n"/>
      <c r="AI508" s="66" t="n">
        <v>124777000</v>
      </c>
      <c r="AJ508" s="66" t="n">
        <v>123773000</v>
      </c>
      <c r="AK508" s="67">
        <f>MROUND(FORECAST(AI508,AI496:AI507,AK496:AK507)*0.1,100000)</f>
        <v/>
      </c>
      <c r="AL508" s="66" t="n"/>
      <c r="AM508" s="66" t="n">
        <v>186146000</v>
      </c>
      <c r="AN508" s="66" t="n">
        <v>169840000</v>
      </c>
      <c r="AO508" s="66" t="n">
        <v>120684000</v>
      </c>
      <c r="AP508" s="66" t="n"/>
      <c r="AQ508" s="66" t="n">
        <v>256980000</v>
      </c>
      <c r="AS508" s="67">
        <f>MROUND(FORECAST(AQ508,AQ496:AQ507,AS496:AS507),100000)</f>
        <v/>
      </c>
    </row>
    <row r="509">
      <c r="A509" s="60" t="n">
        <v>44470</v>
      </c>
      <c r="B509" s="66" t="n">
        <v>103514000</v>
      </c>
      <c r="C509" s="66" t="n">
        <v>104062000</v>
      </c>
      <c r="D509" s="66" t="n">
        <v>6701000</v>
      </c>
      <c r="E509" s="66" t="n"/>
      <c r="F509" s="66" t="n">
        <v>84174000</v>
      </c>
      <c r="G509" s="66" t="n">
        <v>18194000</v>
      </c>
      <c r="H509" s="66" t="n"/>
      <c r="I509" s="66" t="n">
        <v>25739000</v>
      </c>
      <c r="J509" s="66" t="n">
        <v>28156000</v>
      </c>
      <c r="K509" s="66" t="n">
        <v>5836000</v>
      </c>
      <c r="L509" s="66" t="n"/>
      <c r="M509" s="66" t="n">
        <v>480665000</v>
      </c>
      <c r="N509" s="66" t="n">
        <v>94276000</v>
      </c>
      <c r="O509" s="66" t="n"/>
      <c r="P509" s="66" t="n">
        <v>50831000</v>
      </c>
      <c r="Q509" s="66" t="n">
        <v>43495000</v>
      </c>
      <c r="R509" s="66" t="n"/>
      <c r="S509" s="66" t="n"/>
      <c r="T509" s="66" t="n">
        <v>174260000</v>
      </c>
      <c r="U509" s="66" t="n">
        <v>175329000</v>
      </c>
      <c r="V509" s="66" t="n">
        <v>36401000</v>
      </c>
      <c r="W509" s="66" t="n"/>
      <c r="X509" s="66" t="n">
        <v>281337000</v>
      </c>
      <c r="Y509" s="66" t="n">
        <v>111313000</v>
      </c>
      <c r="Z509" s="66" t="n"/>
      <c r="AA509" s="66" t="n">
        <v>77433000</v>
      </c>
      <c r="AB509" s="66" t="n">
        <v>81142000</v>
      </c>
      <c r="AC509" s="66" t="n">
        <v>18371000</v>
      </c>
      <c r="AD509" s="66" t="n"/>
      <c r="AE509" s="66" t="n">
        <v>342024000</v>
      </c>
      <c r="AF509" s="66" t="n">
        <v>331404000</v>
      </c>
      <c r="AG509" s="67">
        <f>MROUND(FORECAST(AE509,AE497:AE508,AG497:AG508)*0.075,100000)</f>
        <v/>
      </c>
      <c r="AH509" s="66" t="n"/>
      <c r="AI509" s="66" t="n">
        <v>129384000</v>
      </c>
      <c r="AJ509" s="66" t="n">
        <v>130416000</v>
      </c>
      <c r="AK509" s="67">
        <f>MROUND(FORECAST(AI509,AI497:AI508,AK497:AK508)*0.1,100000)</f>
        <v/>
      </c>
      <c r="AL509" s="66" t="n"/>
      <c r="AM509" s="66" t="n">
        <v>189877000</v>
      </c>
      <c r="AN509" s="66" t="n">
        <v>178050000</v>
      </c>
      <c r="AO509" s="66" t="n">
        <v>132511000</v>
      </c>
      <c r="AP509" s="66" t="n"/>
      <c r="AQ509" s="66" t="n">
        <v>267990000</v>
      </c>
      <c r="AS509" s="67">
        <f>MROUND(FORECAST(AQ509,AQ497:AQ508,AS497:AS508),100000)</f>
        <v/>
      </c>
    </row>
    <row r="510">
      <c r="A510" s="60" t="n">
        <v>44501</v>
      </c>
      <c r="B510" s="66" t="n">
        <v>129988000</v>
      </c>
      <c r="C510" s="66" t="n">
        <v>127668000</v>
      </c>
      <c r="D510" s="66" t="n">
        <v>9239000</v>
      </c>
      <c r="E510" s="66" t="n"/>
      <c r="F510" s="66" t="n">
        <v>80324000</v>
      </c>
      <c r="G510" s="66" t="n">
        <v>20916000</v>
      </c>
      <c r="H510" s="66" t="n"/>
      <c r="I510" s="66" t="n">
        <v>34175000</v>
      </c>
      <c r="J510" s="66" t="n">
        <v>37328000</v>
      </c>
      <c r="K510" s="66" t="n">
        <v>4725000</v>
      </c>
      <c r="L510" s="66" t="n"/>
      <c r="M510" s="66" t="n">
        <v>520433000</v>
      </c>
      <c r="N510" s="66" t="n">
        <v>103456000</v>
      </c>
      <c r="O510" s="66" t="n"/>
      <c r="P510" s="66" t="n">
        <v>38213000</v>
      </c>
      <c r="Q510" s="66" t="n">
        <v>44449000</v>
      </c>
      <c r="R510" s="66" t="n"/>
      <c r="S510" s="66" t="n"/>
      <c r="T510" s="66" t="n">
        <v>167555000</v>
      </c>
      <c r="U510" s="66" t="n">
        <v>167924000</v>
      </c>
      <c r="V510" s="66" t="n">
        <v>36031000</v>
      </c>
      <c r="W510" s="66" t="n"/>
      <c r="X510" s="66" t="n">
        <v>280759000</v>
      </c>
      <c r="Y510" s="66" t="n">
        <v>115846000</v>
      </c>
      <c r="Z510" s="66" t="n"/>
      <c r="AA510" s="66" t="n">
        <v>86896000</v>
      </c>
      <c r="AB510" s="66" t="n">
        <v>91676000</v>
      </c>
      <c r="AC510" s="66" t="n">
        <v>15860000</v>
      </c>
      <c r="AD510" s="66" t="n"/>
      <c r="AE510" s="66" t="n">
        <v>377789000</v>
      </c>
      <c r="AF510" s="66" t="n">
        <v>383668000</v>
      </c>
      <c r="AG510" s="67">
        <f>MROUND(FORECAST(AE510,AE498:AE509,AG498:AG509)*0.15,100000)</f>
        <v/>
      </c>
      <c r="AH510" s="66" t="n"/>
      <c r="AI510" s="66" t="n">
        <v>125128000</v>
      </c>
      <c r="AJ510" s="66" t="n">
        <v>122514000</v>
      </c>
      <c r="AK510" s="67">
        <f>MROUND(FORECAST(AI510,AI498:AI509,AK498:AK509)*0.1,100000)</f>
        <v/>
      </c>
      <c r="AL510" s="66" t="n"/>
      <c r="AM510" s="66" t="n">
        <v>187154000</v>
      </c>
      <c r="AN510" s="66" t="n">
        <v>220539000</v>
      </c>
      <c r="AO510" s="66" t="n">
        <v>98756000</v>
      </c>
      <c r="AP510" s="66" t="n"/>
      <c r="AQ510" s="66" t="n">
        <v>253100000</v>
      </c>
      <c r="AS510" s="67">
        <f>MROUND(FORECAST(AQ510,AQ498:AQ509,AS498:AS509),100000)</f>
        <v/>
      </c>
    </row>
    <row r="511">
      <c r="A511" s="60" t="n">
        <v>44531</v>
      </c>
      <c r="B511" s="66" t="n">
        <v>123435000</v>
      </c>
      <c r="C511" s="66" t="n">
        <v>126360000</v>
      </c>
      <c r="D511" s="66" t="n">
        <v>6315000</v>
      </c>
      <c r="E511" s="66" t="n"/>
      <c r="F511" s="66" t="n">
        <v>77684000</v>
      </c>
      <c r="G511" s="66" t="n">
        <v>13193000</v>
      </c>
      <c r="H511" s="66" t="n"/>
      <c r="I511" s="66" t="n">
        <v>30416000</v>
      </c>
      <c r="J511" s="66" t="n">
        <v>31368000</v>
      </c>
      <c r="K511" s="66" t="n">
        <v>4950000</v>
      </c>
      <c r="L511" s="66" t="n"/>
      <c r="M511" s="66" t="n">
        <v>494499000</v>
      </c>
      <c r="N511" s="66" t="n">
        <v>81910000</v>
      </c>
      <c r="O511" s="66" t="n"/>
      <c r="P511" s="66" t="n">
        <v>45421000</v>
      </c>
      <c r="Q511" s="66" t="n">
        <v>43943000</v>
      </c>
      <c r="R511" s="66" t="n"/>
      <c r="S511" s="66" t="n"/>
      <c r="T511" s="66" t="n">
        <v>163485000</v>
      </c>
      <c r="U511" s="66" t="n">
        <v>169826000</v>
      </c>
      <c r="V511" s="66" t="n">
        <v>29689000</v>
      </c>
      <c r="W511" s="66" t="n"/>
      <c r="X511" s="66" t="n">
        <v>271214000</v>
      </c>
      <c r="Y511" s="66" t="n">
        <v>100954000</v>
      </c>
      <c r="Z511" s="66" t="n"/>
      <c r="AA511" s="66" t="n">
        <v>66873000</v>
      </c>
      <c r="AB511" s="66" t="n">
        <v>67586000</v>
      </c>
      <c r="AC511" s="66" t="n">
        <v>20536000</v>
      </c>
      <c r="AD511" s="66" t="n"/>
      <c r="AE511" s="66" t="n">
        <v>285505000</v>
      </c>
      <c r="AF511" s="66" t="n">
        <v>304995000</v>
      </c>
      <c r="AG511" s="67">
        <f>MROUND(FORECAST(AE511,AE499:AE510,AG499:AG510)*0.3,100000)</f>
        <v/>
      </c>
      <c r="AH511" s="66" t="n"/>
      <c r="AI511" s="66" t="n">
        <v>103539000</v>
      </c>
      <c r="AJ511" s="66" t="n">
        <v>105968000</v>
      </c>
      <c r="AK511" s="67">
        <f>MROUND(FORECAST(AI511,AI499:AI510,AK499:AK510)*0.1,100000)</f>
        <v/>
      </c>
      <c r="AL511" s="66" t="n"/>
      <c r="AM511" s="66" t="n">
        <v>171389000</v>
      </c>
      <c r="AN511" s="66" t="n">
        <v>178984000</v>
      </c>
      <c r="AO511" s="66" t="n">
        <v>90985000</v>
      </c>
      <c r="AP511" s="66" t="n"/>
      <c r="AQ511" s="66" t="n">
        <v>267620000</v>
      </c>
      <c r="AS511" s="67">
        <f>MROUND(FORECAST(AQ511,AQ499:AQ510,AS499:AS510),100000)</f>
        <v/>
      </c>
    </row>
    <row r="512">
      <c r="A512" s="60" t="n">
        <v>44562</v>
      </c>
      <c r="B512" s="66" t="n">
        <v>109463000</v>
      </c>
      <c r="C512" s="66" t="n">
        <v>107287000</v>
      </c>
      <c r="D512" s="66" t="n">
        <v>8491000</v>
      </c>
      <c r="E512" s="66" t="n"/>
      <c r="F512" s="66" t="n">
        <v>78553000</v>
      </c>
      <c r="G512" s="66" t="n">
        <v>15504000</v>
      </c>
      <c r="H512" s="66" t="n"/>
      <c r="I512" s="66" t="n">
        <v>22136000</v>
      </c>
      <c r="J512" s="66" t="n">
        <v>18631000</v>
      </c>
      <c r="K512" s="66" t="n">
        <v>8484000</v>
      </c>
      <c r="L512" s="66" t="n"/>
      <c r="M512" s="66" t="n">
        <v>410218000</v>
      </c>
      <c r="N512" s="66" t="n">
        <v>76777000</v>
      </c>
      <c r="O512" s="66" t="n"/>
      <c r="P512" s="66" t="n">
        <v>34904000</v>
      </c>
      <c r="Q512" s="66" t="n">
        <v>33243000</v>
      </c>
      <c r="R512" s="66" t="n"/>
      <c r="S512" s="66" t="n"/>
      <c r="T512" s="66" t="n">
        <v>146836000</v>
      </c>
      <c r="U512" s="66" t="n">
        <v>144465000</v>
      </c>
      <c r="V512" s="66" t="n">
        <v>32060000</v>
      </c>
      <c r="W512" s="66" t="n"/>
      <c r="X512" s="66" t="n">
        <v>269761000</v>
      </c>
      <c r="Y512" s="66" t="n">
        <v>98265000</v>
      </c>
      <c r="Z512" s="66" t="n"/>
      <c r="AA512" s="66" t="n">
        <v>70584000</v>
      </c>
      <c r="AB512" s="66" t="n">
        <v>69867000</v>
      </c>
      <c r="AC512" s="66" t="n">
        <v>24681000</v>
      </c>
      <c r="AD512" s="66" t="n"/>
      <c r="AE512" s="66" t="n">
        <v>263339000</v>
      </c>
      <c r="AF512" s="66" t="n">
        <v>268832000</v>
      </c>
      <c r="AG512" s="67">
        <f>MROUND(FORECAST(AE512,AE500:AE511,AG500:AG511)*0.3,100000)</f>
        <v/>
      </c>
      <c r="AH512" s="66" t="n"/>
      <c r="AI512" s="66" t="n">
        <v>92765000</v>
      </c>
      <c r="AJ512" s="66" t="n">
        <v>90349000</v>
      </c>
      <c r="AK512" s="67">
        <f>MROUND(FORECAST(AI512,AI500:AI511,AK500:AK511)*0.1,100000)</f>
        <v/>
      </c>
      <c r="AL512" s="66" t="n"/>
      <c r="AM512" s="66" t="n">
        <v>158784000</v>
      </c>
      <c r="AN512" s="66" t="n">
        <v>173722000</v>
      </c>
      <c r="AO512" s="66" t="n">
        <v>76057000</v>
      </c>
      <c r="AP512" s="66" t="n"/>
      <c r="AQ512" s="66" t="n">
        <v>214480000</v>
      </c>
      <c r="AS512" s="67">
        <f>MROUND(FORECAST(AQ512,AQ500:AQ511,AS500:AS511),100000)</f>
        <v/>
      </c>
    </row>
    <row r="513">
      <c r="A513" s="60" t="n">
        <v>44593</v>
      </c>
      <c r="B513" s="66" t="n">
        <v>119243000</v>
      </c>
      <c r="C513" s="66" t="n">
        <v>120964000</v>
      </c>
      <c r="D513" s="66" t="n">
        <v>6770000</v>
      </c>
      <c r="E513" s="66" t="n"/>
      <c r="F513" s="66" t="n">
        <v>87115000</v>
      </c>
      <c r="G513" s="66" t="n">
        <v>17263000</v>
      </c>
      <c r="H513" s="66" t="n"/>
      <c r="I513" s="66" t="n">
        <v>31369000</v>
      </c>
      <c r="J513" s="66" t="n">
        <v>27880000</v>
      </c>
      <c r="K513" s="66" t="n">
        <v>12148000</v>
      </c>
      <c r="L513" s="66" t="n"/>
      <c r="M513" s="66" t="n">
        <v>472630000</v>
      </c>
      <c r="N513" s="66" t="n">
        <v>68604000</v>
      </c>
      <c r="O513" s="66" t="n"/>
      <c r="P513" s="66" t="n">
        <v>34958000</v>
      </c>
      <c r="Q513" s="66" t="n">
        <v>45429000</v>
      </c>
      <c r="R513" s="66" t="n"/>
      <c r="S513" s="66" t="n"/>
      <c r="T513" s="66" t="n">
        <v>155533000</v>
      </c>
      <c r="U513" s="66" t="n">
        <v>158054000</v>
      </c>
      <c r="V513" s="66" t="n">
        <v>29337000</v>
      </c>
      <c r="W513" s="66" t="n"/>
      <c r="X513" s="66" t="n">
        <v>240473000</v>
      </c>
      <c r="Y513" s="66" t="n">
        <v>103396000</v>
      </c>
      <c r="Z513" s="66" t="n"/>
      <c r="AA513" s="66" t="n">
        <v>85735000</v>
      </c>
      <c r="AB513" s="66" t="n">
        <v>87907000</v>
      </c>
      <c r="AC513" s="66" t="n"/>
      <c r="AD513" s="66" t="n"/>
      <c r="AE513" s="66" t="n">
        <v>297541000</v>
      </c>
      <c r="AF513" s="66" t="n">
        <v>286957000</v>
      </c>
      <c r="AG513" s="67">
        <f>MROUND(FORECAST(AE513,AE501:AE512,AG501:AG512)*0.3,100000)</f>
        <v/>
      </c>
      <c r="AH513" s="66" t="n"/>
      <c r="AI513" s="66" t="n">
        <v>114061000</v>
      </c>
      <c r="AJ513" s="66" t="n">
        <v>115164000</v>
      </c>
      <c r="AK513" s="67">
        <f>MROUND(FORECAST(AI513,AI501:AI512,AK501:AK512)*0.1,100000)</f>
        <v/>
      </c>
      <c r="AL513" s="66" t="n"/>
      <c r="AM513" s="66" t="n">
        <v>161409000</v>
      </c>
      <c r="AN513" s="66" t="n">
        <v>149325000</v>
      </c>
      <c r="AO513" s="66" t="n">
        <v>88584000</v>
      </c>
      <c r="AP513" s="66" t="n"/>
      <c r="AQ513" s="66" t="n">
        <v>219940000</v>
      </c>
      <c r="AS513" s="67">
        <f>MROUND(FORECAST(AQ513,AQ501:AQ512,AS501:AS512),100000)</f>
        <v/>
      </c>
    </row>
    <row r="514">
      <c r="A514" s="60" t="n">
        <v>44621</v>
      </c>
      <c r="B514" s="66" t="n">
        <v>121744000</v>
      </c>
      <c r="C514" s="66" t="n">
        <v>122380000</v>
      </c>
      <c r="D514" s="66" t="n">
        <v>6135000</v>
      </c>
      <c r="E514" s="66" t="n"/>
      <c r="F514" s="66" t="n">
        <v>83735000</v>
      </c>
      <c r="G514" s="66" t="n">
        <v>19273000</v>
      </c>
      <c r="H514" s="66" t="n"/>
      <c r="I514" s="66" t="n">
        <v>25219000</v>
      </c>
      <c r="J514" s="66" t="n">
        <v>17504000</v>
      </c>
      <c r="K514" s="66" t="n">
        <v>16203000</v>
      </c>
      <c r="L514" s="66" t="n"/>
      <c r="M514" s="66" t="n">
        <v>465363000</v>
      </c>
      <c r="N514" s="66" t="n">
        <v>75961000</v>
      </c>
      <c r="O514" s="66" t="n"/>
      <c r="P514" s="66" t="n">
        <v>36086000</v>
      </c>
      <c r="Q514" s="66" t="n">
        <v>30799000</v>
      </c>
      <c r="R514" s="66" t="n"/>
      <c r="S514" s="66" t="n"/>
      <c r="T514" s="66" t="n">
        <v>153766000</v>
      </c>
      <c r="U514" s="66" t="n">
        <v>152313000</v>
      </c>
      <c r="V514" s="66" t="n">
        <v>30720000</v>
      </c>
      <c r="W514" s="66" t="n"/>
      <c r="X514" s="66" t="n">
        <v>291501000</v>
      </c>
      <c r="Y514" s="66" t="n">
        <v>88029000</v>
      </c>
      <c r="Z514" s="66" t="n"/>
      <c r="AA514" s="66" t="n">
        <v>76732000</v>
      </c>
      <c r="AB514" s="66" t="n">
        <v>75635000</v>
      </c>
      <c r="AC514" s="66" t="n">
        <v>23823000</v>
      </c>
      <c r="AD514" s="66" t="n"/>
      <c r="AE514" s="66" t="n">
        <v>313741000</v>
      </c>
      <c r="AF514" s="66" t="n">
        <v>318145000</v>
      </c>
      <c r="AG514" s="66" t="n">
        <v>110218000</v>
      </c>
      <c r="AH514" s="66" t="n"/>
      <c r="AI514" s="66" t="n">
        <v>108555000</v>
      </c>
      <c r="AJ514" s="66" t="n">
        <v>109079000</v>
      </c>
      <c r="AK514" s="67">
        <f>MROUND(FORECAST(AI514,AI502:AI513,AK502:AK513)*0.1,100000)</f>
        <v/>
      </c>
      <c r="AL514" s="66" t="n"/>
      <c r="AM514" s="66" t="n">
        <v>181127000</v>
      </c>
      <c r="AN514" s="66" t="n">
        <v>153284000</v>
      </c>
      <c r="AO514" s="66" t="n">
        <v>116420000</v>
      </c>
      <c r="AP514" s="66" t="n"/>
      <c r="AQ514" s="66" t="n">
        <v>254250000</v>
      </c>
      <c r="AS514" s="67">
        <f>MROUND(FORECAST(AQ514,AQ502:AQ513,AS502:AS513),100000)</f>
        <v/>
      </c>
    </row>
    <row r="515">
      <c r="A515" s="60" t="n">
        <v>44652</v>
      </c>
      <c r="B515" s="66" t="n">
        <v>121473000</v>
      </c>
      <c r="C515" s="66" t="n">
        <v>121506000</v>
      </c>
      <c r="D515" s="66" t="n">
        <v>6101000</v>
      </c>
      <c r="E515" s="66" t="n"/>
      <c r="F515" s="66" t="n">
        <v>73203000</v>
      </c>
      <c r="G515" s="66" t="n">
        <v>17031000</v>
      </c>
      <c r="H515" s="66" t="n"/>
      <c r="I515" s="66" t="n">
        <v>19982000</v>
      </c>
      <c r="J515" s="66" t="n">
        <v>23417000</v>
      </c>
      <c r="K515" s="66" t="n">
        <v>12768000</v>
      </c>
      <c r="L515" s="66" t="n"/>
      <c r="M515" s="66" t="n">
        <v>418724000</v>
      </c>
      <c r="N515" s="66" t="n">
        <v>67578000</v>
      </c>
      <c r="O515" s="66" t="n"/>
      <c r="P515" s="66" t="n">
        <v>29031000</v>
      </c>
      <c r="Q515" s="66" t="n">
        <v>27635000</v>
      </c>
      <c r="R515" s="66" t="n"/>
      <c r="S515" s="66" t="n"/>
      <c r="T515" s="66" t="n">
        <v>138994000</v>
      </c>
      <c r="U515" s="66" t="n">
        <v>134036000</v>
      </c>
      <c r="V515" s="66" t="n">
        <v>35678000</v>
      </c>
      <c r="W515" s="66" t="n"/>
      <c r="X515" s="66" t="n">
        <v>276285000</v>
      </c>
      <c r="Y515" s="66" t="n">
        <v>94570000</v>
      </c>
      <c r="Z515" s="66" t="n"/>
      <c r="AA515" s="66" t="n">
        <v>78422000</v>
      </c>
      <c r="AB515" s="66" t="n">
        <v>87075000</v>
      </c>
      <c r="AC515" s="66" t="n"/>
      <c r="AD515" s="66" t="n"/>
      <c r="AE515" s="66" t="n">
        <v>293703000</v>
      </c>
      <c r="AF515" s="66" t="n">
        <v>290791000</v>
      </c>
      <c r="AG515" s="66" t="n">
        <v>113130000</v>
      </c>
      <c r="AH515" s="66" t="n"/>
      <c r="AI515" s="66" t="n">
        <v>110277000</v>
      </c>
      <c r="AJ515" s="66" t="n">
        <v>108624000</v>
      </c>
      <c r="AK515" s="67">
        <f>MROUND(FORECAST(AI515,AI503:AI514,AK503:AK514)*0.1,100000)</f>
        <v/>
      </c>
      <c r="AL515" s="66" t="n"/>
      <c r="AM515" s="66" t="n">
        <v>170873000</v>
      </c>
      <c r="AN515" s="66" t="n">
        <v>226008000</v>
      </c>
      <c r="AO515" s="66" t="n">
        <v>61283000</v>
      </c>
      <c r="AP515" s="66" t="n"/>
      <c r="AQ515" s="66" t="n">
        <v>259210000</v>
      </c>
      <c r="AS515" s="67">
        <f>MROUND(FORECAST(AQ515,AQ503:AQ514,AS503:AS514),100000)</f>
        <v/>
      </c>
    </row>
    <row r="516">
      <c r="A516" s="60" t="n">
        <v>44682</v>
      </c>
      <c r="B516" s="66" t="n">
        <v>121177000</v>
      </c>
      <c r="C516" s="66" t="n">
        <v>122035000</v>
      </c>
      <c r="D516" s="66" t="n">
        <v>5241000</v>
      </c>
      <c r="E516" s="66" t="n"/>
      <c r="F516" s="66" t="n">
        <v>86550000</v>
      </c>
      <c r="G516" s="66" t="n">
        <v>18566000</v>
      </c>
      <c r="H516" s="66" t="n"/>
      <c r="I516" s="66" t="n">
        <v>25013000</v>
      </c>
      <c r="J516" s="66" t="n">
        <v>24701000</v>
      </c>
      <c r="K516" s="66" t="n">
        <v>13080000</v>
      </c>
      <c r="L516" s="66" t="n"/>
      <c r="M516" s="66" t="n">
        <v>448347000</v>
      </c>
      <c r="N516" s="66" t="n">
        <v>93688000</v>
      </c>
      <c r="O516" s="66" t="n"/>
      <c r="P516" s="66" t="n">
        <v>29390000</v>
      </c>
      <c r="Q516" s="66" t="n">
        <v>30225000</v>
      </c>
      <c r="R516" s="66" t="n"/>
      <c r="S516" s="66" t="n"/>
      <c r="T516" s="66" t="n">
        <v>160012000</v>
      </c>
      <c r="U516" s="66" t="n">
        <v>161635000</v>
      </c>
      <c r="V516" s="66" t="n">
        <v>34055000</v>
      </c>
      <c r="W516" s="66" t="n"/>
      <c r="X516" s="66" t="n">
        <v>319555000</v>
      </c>
      <c r="Y516" s="66" t="n">
        <v>97001000</v>
      </c>
      <c r="Z516" s="66" t="n"/>
      <c r="AA516" s="66" t="n">
        <v>84538000</v>
      </c>
      <c r="AB516" s="66" t="n">
        <v>80542000</v>
      </c>
      <c r="AC516" s="66" t="n">
        <v>19713000</v>
      </c>
      <c r="AD516" s="66" t="n"/>
      <c r="AE516" s="66" t="n">
        <v>319041000</v>
      </c>
      <c r="AF516" s="66" t="n">
        <v>312694000</v>
      </c>
      <c r="AG516" s="66" t="n">
        <v>119477000</v>
      </c>
      <c r="AH516" s="66" t="n"/>
      <c r="AI516" s="66" t="n">
        <v>111637000</v>
      </c>
      <c r="AJ516" s="66" t="n">
        <v>113762000</v>
      </c>
      <c r="AK516" s="67">
        <f>MROUND(FORECAST(AI516,AI504:AI515,AK504:AK515)*0.1,100000)</f>
        <v/>
      </c>
      <c r="AL516" s="66" t="n"/>
      <c r="AM516" s="66" t="n">
        <v>178994000</v>
      </c>
      <c r="AN516" s="66" t="n">
        <v>154000000</v>
      </c>
      <c r="AO516" s="66" t="n">
        <v>86277000</v>
      </c>
      <c r="AP516" s="66" t="n"/>
      <c r="AQ516" s="66" t="n">
        <v>270030000</v>
      </c>
      <c r="AS516" s="67">
        <f>MROUND(FORECAST(AQ516,AQ504:AQ515,AS504:AS515),100000)</f>
        <v/>
      </c>
    </row>
    <row r="517">
      <c r="A517" s="60" t="n">
        <v>44713</v>
      </c>
      <c r="B517" s="66" t="n">
        <v>113678000</v>
      </c>
      <c r="C517" s="66" t="n">
        <v>114790000</v>
      </c>
      <c r="D517" s="66" t="n">
        <v>4131000</v>
      </c>
      <c r="E517" s="66" t="n"/>
      <c r="F517" s="66" t="n">
        <v>93985000</v>
      </c>
      <c r="G517" s="66" t="n">
        <v>16601000</v>
      </c>
      <c r="H517" s="66" t="n"/>
      <c r="I517" s="66" t="n">
        <v>22014000</v>
      </c>
      <c r="J517" s="66" t="n">
        <v>24987000</v>
      </c>
      <c r="K517" s="66" t="n">
        <v>10107000</v>
      </c>
      <c r="L517" s="66" t="n"/>
      <c r="M517" s="66" t="n">
        <v>488158000</v>
      </c>
      <c r="N517" s="66" t="n">
        <v>71618000</v>
      </c>
      <c r="O517" s="66" t="n"/>
      <c r="P517" s="66" t="n">
        <v>35758000</v>
      </c>
      <c r="Q517" s="66" t="n">
        <v>35822000</v>
      </c>
      <c r="R517" s="66" t="n"/>
      <c r="S517" s="66" t="n"/>
      <c r="T517" s="66" t="n">
        <v>175255000</v>
      </c>
      <c r="U517" s="66" t="n">
        <v>177201000</v>
      </c>
      <c r="V517" s="66" t="n">
        <v>32109000</v>
      </c>
      <c r="W517" s="66" t="n"/>
      <c r="X517" s="66" t="n">
        <v>317565000</v>
      </c>
      <c r="Y517" s="66" t="n">
        <v>112957000</v>
      </c>
      <c r="Z517" s="66" t="n"/>
      <c r="AA517" s="66" t="n">
        <v>95201000</v>
      </c>
      <c r="AB517" s="66" t="n">
        <v>99293000</v>
      </c>
      <c r="AC517" s="66" t="n">
        <v>16786000</v>
      </c>
      <c r="AD517" s="66" t="n"/>
      <c r="AE517" s="66" t="n">
        <v>366186000</v>
      </c>
      <c r="AF517" s="66" t="n">
        <v>374825000</v>
      </c>
      <c r="AG517" s="67">
        <f>MROUND(FORECAST(AE517,AE505:AE516,AG505:AG516)*0.65,100000)</f>
        <v/>
      </c>
      <c r="AH517" s="66" t="n"/>
      <c r="AI517" s="66" t="n">
        <v>106453000</v>
      </c>
      <c r="AJ517" s="66" t="n">
        <v>106086000</v>
      </c>
      <c r="AK517" s="67">
        <f>MROUND(FORECAST(AI517,AI505:AI516,AK505:AK516)*0.1,100000)</f>
        <v/>
      </c>
      <c r="AL517" s="66" t="n"/>
      <c r="AM517" s="66" t="n">
        <v>214059000</v>
      </c>
      <c r="AN517" s="66" t="n">
        <v>197128000</v>
      </c>
      <c r="AO517" s="66" t="n">
        <v>103207000</v>
      </c>
      <c r="AP517" s="66" t="n"/>
      <c r="AQ517" s="66" t="n">
        <v>264420000</v>
      </c>
      <c r="AS517" s="67">
        <f>MROUND(FORECAST(AQ517,AQ505:AQ516,AS505:AS516),100000)</f>
        <v/>
      </c>
    </row>
    <row r="518">
      <c r="A518" s="60" t="n">
        <v>44743</v>
      </c>
      <c r="B518" s="66" t="n">
        <v>96405000</v>
      </c>
      <c r="C518" s="66" t="n">
        <v>96166000</v>
      </c>
      <c r="D518" s="66" t="n">
        <v>4369000</v>
      </c>
      <c r="E518" s="66" t="n"/>
      <c r="F518" s="66" t="n">
        <v>86798000</v>
      </c>
      <c r="G518" s="66" t="n">
        <v>20529000</v>
      </c>
      <c r="H518" s="66" t="n"/>
      <c r="I518" s="66" t="n">
        <v>17133000</v>
      </c>
      <c r="J518" s="66" t="n">
        <v>19993000</v>
      </c>
      <c r="K518" s="66" t="n">
        <v>9925000</v>
      </c>
      <c r="L518" s="66" t="n"/>
      <c r="M518" s="66" t="n">
        <v>410593000</v>
      </c>
      <c r="N518" s="66" t="n">
        <v>73100000</v>
      </c>
      <c r="O518" s="66" t="n"/>
      <c r="P518" s="66" t="n">
        <v>29404000</v>
      </c>
      <c r="Q518" s="66" t="n">
        <v>27684000</v>
      </c>
      <c r="R518" s="66" t="n"/>
      <c r="S518" s="66" t="n"/>
      <c r="T518" s="66" t="n">
        <v>161882000</v>
      </c>
      <c r="U518" s="66" t="n">
        <v>163061000</v>
      </c>
      <c r="V518" s="66" t="n">
        <v>30930000</v>
      </c>
      <c r="W518" s="66" t="n"/>
      <c r="X518" s="66" t="n">
        <v>308260000</v>
      </c>
      <c r="Y518" s="66" t="n">
        <v>76871000</v>
      </c>
      <c r="Z518" s="66" t="n"/>
      <c r="AA518" s="66" t="n">
        <v>78414000</v>
      </c>
      <c r="AB518" s="66" t="n">
        <v>79985000</v>
      </c>
      <c r="AC518" s="66" t="n">
        <v>15052000</v>
      </c>
      <c r="AD518" s="66" t="n"/>
      <c r="AE518" s="66" t="n">
        <v>304608000</v>
      </c>
      <c r="AF518" s="66" t="n">
        <v>298622000</v>
      </c>
      <c r="AG518" s="66" t="n">
        <v>116298000</v>
      </c>
      <c r="AH518" s="66" t="n"/>
      <c r="AI518" s="66" t="n">
        <v>105881000</v>
      </c>
      <c r="AJ518" s="66" t="n">
        <v>105344000</v>
      </c>
      <c r="AK518" s="67">
        <f>MROUND(FORECAST(AI518,AI506:AI517,AK506:AK517)*0.1,100000)</f>
        <v/>
      </c>
      <c r="AL518" s="66" t="n"/>
      <c r="AM518" s="66" t="n">
        <v>181233000</v>
      </c>
      <c r="AN518" s="66" t="n">
        <v>182561000</v>
      </c>
      <c r="AO518" s="66" t="n">
        <v>101967000</v>
      </c>
      <c r="AP518" s="66" t="n"/>
      <c r="AQ518" s="66" t="n">
        <v>268470000</v>
      </c>
      <c r="AS518" s="67">
        <f>MROUND(FORECAST(AQ518,AQ506:AQ517,AS506:AS517),100000)</f>
        <v/>
      </c>
    </row>
    <row r="519">
      <c r="A519" s="60" t="n">
        <v>44774</v>
      </c>
      <c r="B519" s="66" t="n">
        <v>114771000</v>
      </c>
      <c r="C519" s="66" t="n">
        <v>111776000</v>
      </c>
      <c r="D519" s="66" t="n">
        <v>7363000</v>
      </c>
      <c r="E519" s="66" t="n"/>
      <c r="F519" s="66" t="n">
        <v>103553000</v>
      </c>
      <c r="G519" s="66" t="n">
        <v>17496000</v>
      </c>
      <c r="H519" s="66" t="n"/>
      <c r="I519" s="66" t="n">
        <v>22765000</v>
      </c>
      <c r="J519" s="66" t="n">
        <v>27875000</v>
      </c>
      <c r="K519" s="66" t="n">
        <v>8825000</v>
      </c>
      <c r="L519" s="66" t="n"/>
      <c r="M519" s="66" t="n">
        <v>467293000</v>
      </c>
      <c r="N519" s="66" t="n">
        <v>64584000</v>
      </c>
      <c r="O519" s="66" t="n"/>
      <c r="P519" s="66" t="n">
        <v>29908000</v>
      </c>
      <c r="Q519" s="66" t="n">
        <v>37842000</v>
      </c>
      <c r="R519" s="66" t="n"/>
      <c r="S519" s="66" t="n"/>
      <c r="T519" s="66" t="n">
        <v>196484000</v>
      </c>
      <c r="U519" s="66" t="n">
        <v>199539000</v>
      </c>
      <c r="V519" s="66" t="n">
        <v>27876000</v>
      </c>
      <c r="W519" s="66" t="n"/>
      <c r="X519" s="66" t="n">
        <v>356034000</v>
      </c>
      <c r="Y519" s="66" t="n">
        <v>78683000</v>
      </c>
      <c r="Z519" s="66" t="n"/>
      <c r="AA519" s="66" t="n">
        <v>101625000</v>
      </c>
      <c r="AB519" s="66" t="n">
        <v>94042000</v>
      </c>
      <c r="AC519" s="66" t="n">
        <v>23514000</v>
      </c>
      <c r="AD519" s="66" t="n"/>
      <c r="AE519" s="66" t="n">
        <v>350702000</v>
      </c>
      <c r="AF519" s="66" t="n">
        <v>345923000</v>
      </c>
      <c r="AG519" s="67">
        <f>MROUND(FORECAST(AE519,AE507:AE518,AG507:AG518)*0.4,100000)</f>
        <v/>
      </c>
      <c r="AH519" s="66" t="n"/>
      <c r="AI519" s="66" t="n">
        <v>112129000</v>
      </c>
      <c r="AJ519" s="66" t="n">
        <v>113709000</v>
      </c>
      <c r="AK519" s="67">
        <f>MROUND(FORECAST(AI519,AI507:AI518,AK507:AK518)*0.1,100000)</f>
        <v/>
      </c>
      <c r="AL519" s="66" t="n"/>
      <c r="AM519" s="66" t="n">
        <v>180363000</v>
      </c>
      <c r="AN519" s="66" t="n">
        <v>190122000</v>
      </c>
      <c r="AO519" s="66" t="n">
        <v>92166000</v>
      </c>
      <c r="AP519" s="66" t="n"/>
      <c r="AQ519" s="66" t="n">
        <v>265700000</v>
      </c>
      <c r="AS519" s="67">
        <f>MROUND(FORECAST(AQ519,AQ507:AQ518,AS507:AS518),100000)</f>
        <v/>
      </c>
    </row>
    <row r="520">
      <c r="A520" s="60" t="n">
        <v>44805</v>
      </c>
      <c r="B520" s="66" t="n">
        <v>107242000</v>
      </c>
      <c r="C520" s="66" t="n">
        <v>108779000</v>
      </c>
      <c r="D520" s="66" t="n">
        <v>5828000</v>
      </c>
      <c r="E520" s="66" t="n"/>
      <c r="F520" s="66" t="n">
        <v>100523000</v>
      </c>
      <c r="G520" s="66" t="n">
        <v>19845000</v>
      </c>
      <c r="H520" s="66" t="n"/>
      <c r="I520" s="66" t="n">
        <v>23174000</v>
      </c>
      <c r="J520" s="66" t="n">
        <v>25478000</v>
      </c>
      <c r="K520" s="66" t="n">
        <v>6522000</v>
      </c>
      <c r="L520" s="66" t="n"/>
      <c r="M520" s="66" t="n">
        <v>493846000</v>
      </c>
      <c r="N520" s="66" t="n">
        <v>76001000</v>
      </c>
      <c r="O520" s="66" t="n"/>
      <c r="P520" s="66" t="n">
        <v>37643000</v>
      </c>
      <c r="Q520" s="66" t="n">
        <v>26959000</v>
      </c>
      <c r="R520" s="66" t="n"/>
      <c r="S520" s="66" t="n"/>
      <c r="T520" s="66" t="n">
        <v>187018000</v>
      </c>
      <c r="U520" s="66" t="n">
        <v>189937000</v>
      </c>
      <c r="V520" s="66" t="n">
        <v>24957000</v>
      </c>
      <c r="W520" s="66" t="n"/>
      <c r="X520" s="66" t="n">
        <v>359934000</v>
      </c>
      <c r="Y520" s="66" t="n">
        <v>81057000</v>
      </c>
      <c r="Z520" s="66" t="n"/>
      <c r="AA520" s="66" t="n">
        <v>90220000</v>
      </c>
      <c r="AB520" s="66" t="n">
        <v>83444000</v>
      </c>
      <c r="AC520" s="66" t="n"/>
      <c r="AD520" s="66" t="n"/>
      <c r="AE520" s="66" t="n">
        <v>353930000</v>
      </c>
      <c r="AF520" s="66" t="n">
        <v>359980000</v>
      </c>
      <c r="AG520" s="66" t="n">
        <v>115022000</v>
      </c>
      <c r="AH520" s="66" t="n"/>
      <c r="AI520" s="66" t="n">
        <v>103219000</v>
      </c>
      <c r="AJ520" s="66" t="n">
        <v>102241000</v>
      </c>
      <c r="AK520" s="67">
        <f>MROUND(FORECAST(AI520,AI508:AI519,AK508:AK519)*0.1,100000)</f>
        <v/>
      </c>
      <c r="AL520" s="66" t="n"/>
      <c r="AM520" s="66" t="n">
        <v>201319000</v>
      </c>
      <c r="AN520" s="66" t="n">
        <v>196547000</v>
      </c>
      <c r="AO520" s="66" t="n">
        <v>96934000</v>
      </c>
      <c r="AP520" s="66" t="n"/>
      <c r="AQ520" s="66" t="n">
        <v>255860000</v>
      </c>
      <c r="AS520" s="67">
        <f>MROUND(FORECAST(AQ520,AQ508:AQ519,AS508:AS519),100000)</f>
        <v/>
      </c>
    </row>
    <row r="521">
      <c r="A521" s="60" t="n">
        <v>44835</v>
      </c>
      <c r="B521" s="66" t="n">
        <v>108287000</v>
      </c>
      <c r="C521" s="66" t="n">
        <v>106961000</v>
      </c>
      <c r="D521" s="66" t="n">
        <v>7153000</v>
      </c>
      <c r="E521" s="66" t="n"/>
      <c r="F521" s="66" t="n">
        <v>95769000</v>
      </c>
      <c r="G521" s="66" t="n">
        <v>18376000</v>
      </c>
      <c r="H521" s="66" t="n"/>
      <c r="I521" s="66" t="n">
        <v>25225000</v>
      </c>
      <c r="J521" s="66" t="n">
        <v>23882000</v>
      </c>
      <c r="K521" s="66" t="n">
        <v>7110000</v>
      </c>
      <c r="L521" s="66" t="n"/>
      <c r="M521" s="66" t="n">
        <v>491779000</v>
      </c>
      <c r="N521" s="66" t="n">
        <v>61259000</v>
      </c>
      <c r="O521" s="66" t="n"/>
      <c r="P521" s="66" t="n">
        <v>29361000</v>
      </c>
      <c r="Q521" s="66" t="n">
        <v>29570000</v>
      </c>
      <c r="R521" s="66" t="n"/>
      <c r="S521" s="66" t="n"/>
      <c r="T521" s="66" t="n">
        <v>181944000</v>
      </c>
      <c r="U521" s="66" t="n">
        <v>176606000</v>
      </c>
      <c r="V521" s="66" t="n">
        <v>30295000</v>
      </c>
      <c r="W521" s="66" t="n"/>
      <c r="X521" s="66" t="n">
        <v>356010000</v>
      </c>
      <c r="Y521" s="66" t="n">
        <v>70326000</v>
      </c>
      <c r="Z521" s="66" t="n"/>
      <c r="AA521" s="66" t="n">
        <v>81113000</v>
      </c>
      <c r="AB521" s="66" t="n">
        <v>81596000</v>
      </c>
      <c r="AC521" s="66" t="n"/>
      <c r="AD521" s="66" t="n"/>
      <c r="AE521" s="66" t="n">
        <v>375095000</v>
      </c>
      <c r="AF521" s="66" t="n">
        <v>391965000</v>
      </c>
      <c r="AG521" s="66" t="n">
        <v>98152000</v>
      </c>
      <c r="AH521" s="66" t="n"/>
      <c r="AI521" s="66" t="n">
        <v>113204000</v>
      </c>
      <c r="AJ521" s="66" t="n">
        <v>114555000</v>
      </c>
      <c r="AK521" s="67">
        <f>MROUND(FORECAST(AI521,AI509:AI520,AK509:AK520)*0.1,100000)</f>
        <v/>
      </c>
      <c r="AL521" s="66" t="n"/>
      <c r="AM521" s="66" t="n">
        <v>187894000</v>
      </c>
      <c r="AN521" s="66" t="n">
        <v>184149000</v>
      </c>
      <c r="AO521" s="66" t="n">
        <v>100680000</v>
      </c>
      <c r="AP521" s="66" t="n"/>
      <c r="AQ521" s="66" t="n">
        <v>264120000</v>
      </c>
      <c r="AS521" s="67">
        <f>MROUND(FORECAST(AQ521,AQ509:AQ520,AS509:AS520),100000)</f>
        <v/>
      </c>
    </row>
    <row r="522">
      <c r="A522" s="60" t="n">
        <v>44866</v>
      </c>
      <c r="B522" s="66" t="n">
        <v>116593000</v>
      </c>
      <c r="C522" s="66" t="n">
        <v>116980000</v>
      </c>
      <c r="D522" s="66" t="n">
        <v>6766000</v>
      </c>
      <c r="E522" s="66" t="n"/>
      <c r="F522" s="66" t="n">
        <v>103734000</v>
      </c>
      <c r="G522" s="66" t="n">
        <v>17990000</v>
      </c>
      <c r="H522" s="66" t="n"/>
      <c r="I522" s="66" t="n">
        <v>26203000</v>
      </c>
      <c r="J522" s="66" t="n">
        <v>27514000</v>
      </c>
      <c r="K522" s="66" t="n">
        <v>5055000</v>
      </c>
      <c r="L522" s="66" t="n"/>
      <c r="M522" s="66" t="n">
        <v>473623000</v>
      </c>
      <c r="N522" s="66" t="n">
        <v>68509000</v>
      </c>
      <c r="O522" s="66" t="n"/>
      <c r="P522" s="66" t="n">
        <v>25351000</v>
      </c>
      <c r="Q522" s="66" t="n">
        <v>26135000</v>
      </c>
      <c r="R522" s="66" t="n"/>
      <c r="S522" s="66" t="n"/>
      <c r="T522" s="66" t="n">
        <v>192127000</v>
      </c>
      <c r="U522" s="66" t="n">
        <v>196332000</v>
      </c>
      <c r="V522" s="66" t="n">
        <v>26090000</v>
      </c>
      <c r="W522" s="66" t="n"/>
      <c r="X522" s="66" t="n">
        <v>364126000</v>
      </c>
      <c r="Y522" s="66" t="n">
        <v>68800000</v>
      </c>
      <c r="Z522" s="66" t="n"/>
      <c r="AA522" s="66" t="n">
        <v>69448000</v>
      </c>
      <c r="AB522" s="66" t="n">
        <v>69526000</v>
      </c>
      <c r="AC522" s="66" t="n"/>
      <c r="AD522" s="66" t="n"/>
      <c r="AE522" s="66" t="n">
        <v>361471000</v>
      </c>
      <c r="AF522" s="66" t="n">
        <v>340355000</v>
      </c>
      <c r="AG522" s="67">
        <f>MROUND(FORECAST(AE522,AE510:AE521,AG510:AG521)*0.3,100000)</f>
        <v/>
      </c>
      <c r="AH522" s="66" t="n"/>
      <c r="AI522" s="66" t="n">
        <v>124918000</v>
      </c>
      <c r="AJ522" s="66" t="n">
        <v>124420000</v>
      </c>
      <c r="AK522" s="67">
        <f>MROUND(FORECAST(AI522,AI510:AI521,AK510:AK521)*0.1,100000)</f>
        <v/>
      </c>
      <c r="AL522" s="66" t="n"/>
      <c r="AM522" s="66" t="n">
        <v>166338000</v>
      </c>
      <c r="AN522" s="66" t="n">
        <v>163358000</v>
      </c>
      <c r="AO522" s="66" t="n">
        <v>103660000</v>
      </c>
      <c r="AP522" s="66" t="n"/>
      <c r="AQ522" s="66" t="n">
        <v>247250000</v>
      </c>
      <c r="AS522" s="67">
        <f>MROUND(FORECAST(AQ522,AQ510:AQ521,AS510:AS521),100000)</f>
        <v/>
      </c>
    </row>
    <row r="523">
      <c r="A523" s="60" t="n">
        <v>44896</v>
      </c>
      <c r="B523" s="66" t="n">
        <v>110981000</v>
      </c>
      <c r="C523" s="66" t="n">
        <v>111094000</v>
      </c>
      <c r="D523" s="66" t="n">
        <v>6654000</v>
      </c>
      <c r="E523" s="66" t="n"/>
      <c r="F523" s="66" t="n">
        <v>90640000</v>
      </c>
      <c r="G523" s="66" t="n">
        <v>18350000</v>
      </c>
      <c r="H523" s="66" t="n"/>
      <c r="I523" s="66" t="n">
        <v>23116000</v>
      </c>
      <c r="J523" s="66" t="n">
        <v>22625000</v>
      </c>
      <c r="K523" s="66" t="n">
        <v>5546000</v>
      </c>
      <c r="L523" s="66" t="n"/>
      <c r="M523" s="66" t="n">
        <v>490739000</v>
      </c>
      <c r="N523" s="66" t="n">
        <v>63339000</v>
      </c>
      <c r="O523" s="66" t="n"/>
      <c r="P523" s="66" t="n">
        <v>35372000</v>
      </c>
      <c r="Q523" s="66" t="n">
        <v>31121000</v>
      </c>
      <c r="R523" s="66" t="n"/>
      <c r="S523" s="66" t="n"/>
      <c r="T523" s="66" t="n">
        <v>173886000</v>
      </c>
      <c r="U523" s="66" t="n">
        <v>168077000</v>
      </c>
      <c r="V523" s="66" t="n">
        <v>31900000</v>
      </c>
      <c r="W523" s="66" t="n"/>
      <c r="X523" s="66" t="n">
        <v>351019000</v>
      </c>
      <c r="Y523" s="66" t="n">
        <v>85524000</v>
      </c>
      <c r="Z523" s="66" t="n"/>
      <c r="AA523" s="66" t="n">
        <v>77324000</v>
      </c>
      <c r="AB523" s="66" t="n">
        <v>81357000</v>
      </c>
      <c r="AC523" s="66" t="n"/>
      <c r="AD523" s="66" t="n"/>
      <c r="AE523" s="66" t="n">
        <v>356800000</v>
      </c>
      <c r="AF523" s="66" t="n">
        <v>356072000</v>
      </c>
      <c r="AG523" s="66" t="n">
        <v>119997000</v>
      </c>
      <c r="AH523" s="66" t="n"/>
      <c r="AI523" s="66" t="n">
        <v>99627000</v>
      </c>
      <c r="AJ523" s="66" t="n">
        <v>97983000</v>
      </c>
      <c r="AK523" s="67">
        <f>MROUND(FORECAST(AI523,AI511:AI522,AK511:AK522)*0.1,100000)</f>
        <v/>
      </c>
      <c r="AL523" s="66" t="n"/>
      <c r="AM523" s="66" t="n">
        <v>176986000</v>
      </c>
      <c r="AN523" s="66" t="n">
        <v>181668000</v>
      </c>
      <c r="AO523" s="66" t="n">
        <v>98977000</v>
      </c>
      <c r="AP523" s="66" t="n"/>
      <c r="AQ523" s="66" t="n">
        <v>265450000</v>
      </c>
      <c r="AS523" s="67">
        <f>MROUND(FORECAST(AQ523,AQ511:AQ522,AS511:AS522),100000)</f>
        <v/>
      </c>
    </row>
    <row r="524">
      <c r="A524" s="60" t="n">
        <v>44927</v>
      </c>
      <c r="B524" s="66" t="n">
        <v>114801000</v>
      </c>
      <c r="C524" s="66" t="n">
        <v>114094000</v>
      </c>
      <c r="D524" s="66" t="n">
        <v>7397000</v>
      </c>
      <c r="E524" s="66" t="n"/>
      <c r="F524" s="66" t="n">
        <v>86375000</v>
      </c>
      <c r="G524" s="66" t="n">
        <v>17472000</v>
      </c>
      <c r="H524" s="66" t="n"/>
      <c r="I524" s="66" t="n">
        <v>18686000</v>
      </c>
      <c r="J524" s="66" t="n">
        <v>19345000</v>
      </c>
      <c r="K524" s="66" t="n">
        <v>4888000</v>
      </c>
      <c r="L524" s="66" t="n"/>
      <c r="M524" s="66" t="n">
        <v>455104000</v>
      </c>
      <c r="N524" s="66" t="n">
        <v>67167000</v>
      </c>
      <c r="O524" s="66" t="n"/>
      <c r="P524" s="66" t="n">
        <v>29071000</v>
      </c>
      <c r="Q524" s="66" t="n">
        <v>31135000</v>
      </c>
      <c r="R524" s="66" t="n"/>
      <c r="S524" s="66" t="n"/>
      <c r="T524" s="66" t="n">
        <v>163933000</v>
      </c>
      <c r="U524" s="66" t="n">
        <v>168920000</v>
      </c>
      <c r="V524" s="66" t="n">
        <v>26958000</v>
      </c>
      <c r="W524" s="66" t="n"/>
      <c r="X524" s="66" t="n">
        <v>320285000</v>
      </c>
      <c r="Y524" s="66" t="n">
        <v>72403000</v>
      </c>
      <c r="Z524" s="66" t="n"/>
      <c r="AA524" s="66" t="n">
        <v>83318000</v>
      </c>
      <c r="AB524" s="66" t="n">
        <v>82985000</v>
      </c>
      <c r="AC524" s="66" t="n">
        <v>28222000</v>
      </c>
      <c r="AD524" s="66" t="n"/>
      <c r="AE524" s="66" t="n">
        <v>329427000</v>
      </c>
      <c r="AF524" s="66" t="n">
        <v>326414000</v>
      </c>
      <c r="AG524" s="66" t="n">
        <v>123011000</v>
      </c>
      <c r="AH524" s="66" t="n"/>
      <c r="AI524" s="66" t="n">
        <v>106980000</v>
      </c>
      <c r="AJ524" s="66" t="n">
        <v>104517000</v>
      </c>
      <c r="AK524" s="67">
        <f>MROUND(FORECAST(AI524,AI512:AI523,AK512:AK523)*0.1,100000)</f>
        <v/>
      </c>
      <c r="AL524" s="66" t="n"/>
      <c r="AM524" s="66" t="n">
        <v>171133000</v>
      </c>
      <c r="AN524" s="66" t="n">
        <v>173341000</v>
      </c>
      <c r="AO524" s="66" t="n">
        <v>96769000</v>
      </c>
      <c r="AP524" s="66" t="n"/>
      <c r="AQ524" s="66" t="n">
        <v>223980000</v>
      </c>
      <c r="AS524" s="67">
        <f>MROUND(FORECAST(AQ524,AQ512:AQ523,AS512:AS523),100000)</f>
        <v/>
      </c>
    </row>
    <row r="525">
      <c r="A525" s="60" t="n">
        <v>44958</v>
      </c>
      <c r="B525" s="66" t="n">
        <v>119578000</v>
      </c>
      <c r="C525" s="66" t="n">
        <v>121222000</v>
      </c>
      <c r="D525" s="66" t="n">
        <v>5752000</v>
      </c>
      <c r="E525" s="66" t="n"/>
      <c r="F525" s="66" t="n">
        <v>98709000</v>
      </c>
      <c r="G525" s="66" t="n">
        <v>17597000</v>
      </c>
      <c r="H525" s="66" t="n"/>
      <c r="I525" s="66" t="n">
        <v>24024000</v>
      </c>
      <c r="J525" s="66" t="n">
        <v>21804000</v>
      </c>
      <c r="K525" s="66" t="n">
        <v>7107000</v>
      </c>
      <c r="L525" s="66" t="n"/>
      <c r="M525" s="66" t="n">
        <v>469199000</v>
      </c>
      <c r="N525" s="66" t="n">
        <v>57511000</v>
      </c>
      <c r="O525" s="66" t="n"/>
      <c r="P525" s="66" t="n">
        <v>26927000</v>
      </c>
      <c r="Q525" s="66" t="n">
        <v>25958000</v>
      </c>
      <c r="R525" s="66" t="n"/>
      <c r="S525" s="66" t="n"/>
      <c r="T525" s="66" t="n">
        <v>191354000</v>
      </c>
      <c r="U525" s="66" t="n">
        <v>192587000</v>
      </c>
      <c r="V525" s="66" t="n">
        <v>25725000</v>
      </c>
      <c r="W525" s="66" t="n"/>
      <c r="X525" s="66" t="n">
        <v>357221000</v>
      </c>
      <c r="Y525" s="66" t="n">
        <v>69529000</v>
      </c>
      <c r="Z525" s="66" t="n"/>
      <c r="AA525" s="66" t="n">
        <v>104515000</v>
      </c>
      <c r="AB525" s="66" t="n">
        <v>125895000</v>
      </c>
      <c r="AC525" s="66" t="n">
        <v>13479000</v>
      </c>
      <c r="AD525" s="66" t="n"/>
      <c r="AE525" s="66" t="n">
        <v>344209000</v>
      </c>
      <c r="AF525" s="66" t="n">
        <v>347769000</v>
      </c>
      <c r="AG525" s="67">
        <f>MROUND(FORECAST(AE525,AE513:AE524,AG513:AG524)*0.3,100000)</f>
        <v/>
      </c>
      <c r="AH525" s="66" t="n"/>
      <c r="AI525" s="66" t="n">
        <v>114881000</v>
      </c>
      <c r="AJ525" s="66" t="n">
        <v>117869000</v>
      </c>
      <c r="AK525" s="67">
        <f>MROUND(FORECAST(AI525,AI513:AI524,AK513:AK524)*0.1,100000)</f>
        <v/>
      </c>
      <c r="AL525" s="66" t="n"/>
      <c r="AM525" s="66" t="n">
        <v>168332000</v>
      </c>
      <c r="AN525" s="66" t="n">
        <v>148641000</v>
      </c>
      <c r="AO525" s="66" t="n">
        <v>115761000</v>
      </c>
      <c r="AP525" s="66" t="n"/>
      <c r="AQ525" s="66" t="n">
        <v>218700000</v>
      </c>
      <c r="AS525" s="67">
        <f>MROUND(FORECAST(AQ525,AQ513:AQ524,AS513:AS524),100000)</f>
        <v/>
      </c>
    </row>
    <row r="526">
      <c r="A526" s="60" t="n">
        <v>44986</v>
      </c>
      <c r="B526" s="66" t="n">
        <v>119429000</v>
      </c>
      <c r="C526" s="66" t="n">
        <v>120275000</v>
      </c>
      <c r="D526" s="66" t="n">
        <v>4905000</v>
      </c>
      <c r="E526" s="66" t="n"/>
      <c r="F526" s="66" t="n">
        <v>95113000</v>
      </c>
      <c r="G526" s="66" t="n">
        <v>16898000</v>
      </c>
      <c r="H526" s="66" t="n"/>
      <c r="I526" s="66" t="n">
        <v>24173000</v>
      </c>
      <c r="J526" s="66" t="n">
        <v>22231000</v>
      </c>
      <c r="K526" s="66" t="n">
        <v>9050000</v>
      </c>
      <c r="L526" s="66" t="n"/>
      <c r="M526" s="66" t="n">
        <v>497179000</v>
      </c>
      <c r="N526" s="66" t="n">
        <v>57886000</v>
      </c>
      <c r="O526" s="66" t="n"/>
      <c r="P526" s="66" t="n">
        <v>30803000</v>
      </c>
      <c r="Q526" s="66" t="n">
        <v>34699000</v>
      </c>
      <c r="R526" s="66" t="n"/>
      <c r="S526" s="66" t="n"/>
      <c r="T526" s="66" t="n">
        <v>183306000</v>
      </c>
      <c r="U526" s="66" t="n">
        <v>184521000</v>
      </c>
      <c r="V526" s="66" t="n">
        <v>24467000</v>
      </c>
      <c r="W526" s="66" t="n"/>
      <c r="X526" s="66" t="n">
        <v>341907000</v>
      </c>
      <c r="Y526" s="66" t="n">
        <v>63304000</v>
      </c>
      <c r="Z526" s="66" t="n"/>
      <c r="AA526" s="66" t="n">
        <v>90761000</v>
      </c>
      <c r="AB526" s="66" t="n">
        <v>75762000</v>
      </c>
      <c r="AC526" s="66" t="n">
        <v>29268000</v>
      </c>
      <c r="AD526" s="66" t="n"/>
      <c r="AE526" s="66" t="n">
        <v>355329000</v>
      </c>
      <c r="AF526" s="66" t="n">
        <v>350327000</v>
      </c>
      <c r="AG526" s="66" t="n">
        <v>80309000</v>
      </c>
      <c r="AH526" s="66" t="n"/>
      <c r="AI526" s="66" t="n">
        <v>102563000</v>
      </c>
      <c r="AJ526" s="66" t="n">
        <v>104230000</v>
      </c>
      <c r="AK526" s="67">
        <f>MROUND(FORECAST(AI526,AI514:AI525,AK514:AK525)*0.1,100000)</f>
        <v/>
      </c>
      <c r="AL526" s="66" t="n"/>
      <c r="AM526" s="66" t="n">
        <v>197567000</v>
      </c>
      <c r="AN526" s="66" t="n">
        <v>189261000</v>
      </c>
      <c r="AO526" s="66" t="n">
        <v>123974000</v>
      </c>
      <c r="AP526" s="66" t="n"/>
      <c r="AQ526" s="66" t="n">
        <v>247030000</v>
      </c>
      <c r="AS526" s="67">
        <f>MROUND(FORECAST(AQ526,AQ514:AQ525,AS514:AS525),100000)</f>
        <v/>
      </c>
    </row>
    <row r="527">
      <c r="A527" s="60" t="n">
        <v>45017</v>
      </c>
      <c r="B527" s="66" t="n">
        <v>103830000</v>
      </c>
      <c r="C527" s="66" t="n">
        <v>101360000</v>
      </c>
      <c r="D527" s="66" t="n">
        <v>7374000</v>
      </c>
      <c r="E527" s="66" t="n"/>
      <c r="F527" s="66" t="n">
        <v>85473000</v>
      </c>
      <c r="G527" s="66" t="n">
        <v>16088000</v>
      </c>
      <c r="H527" s="66" t="n"/>
      <c r="I527" s="66" t="n">
        <v>28210000</v>
      </c>
      <c r="J527" s="66" t="n">
        <v>24766000</v>
      </c>
      <c r="K527" s="66" t="n">
        <v>12494000</v>
      </c>
      <c r="L527" s="66" t="n"/>
      <c r="M527" s="66" t="n">
        <v>426655000</v>
      </c>
      <c r="N527" s="66" t="n">
        <v>53012000</v>
      </c>
      <c r="O527" s="66" t="n"/>
      <c r="P527" s="66" t="n">
        <v>25659000</v>
      </c>
      <c r="Q527" s="66" t="n">
        <v>24849000</v>
      </c>
      <c r="R527" s="66" t="n"/>
      <c r="S527" s="66" t="n"/>
      <c r="T527" s="66" t="n">
        <v>171410000</v>
      </c>
      <c r="U527" s="66" t="n">
        <v>170670000</v>
      </c>
      <c r="V527" s="66" t="n">
        <v>25214000</v>
      </c>
      <c r="W527" s="66" t="n"/>
      <c r="X527" s="66" t="n">
        <v>305559000</v>
      </c>
      <c r="Y527" s="66" t="n">
        <v>74146000</v>
      </c>
      <c r="Z527" s="66" t="n"/>
      <c r="AA527" s="66" t="n">
        <v>77500000</v>
      </c>
      <c r="AB527" s="66" t="n">
        <v>84150000</v>
      </c>
      <c r="AC527" s="66" t="n">
        <v>22786000</v>
      </c>
      <c r="AD527" s="66" t="n"/>
      <c r="AE527" s="66" t="n">
        <v>311100000</v>
      </c>
      <c r="AF527" s="66" t="n">
        <v>327187000</v>
      </c>
      <c r="AG527" s="67">
        <f>MROUND(FORECAST(AE527,AE515:AE526,AG515:AG526)*0.45,100000)</f>
        <v/>
      </c>
      <c r="AH527" s="66" t="n"/>
      <c r="AI527" s="66" t="n">
        <v>98289000</v>
      </c>
      <c r="AJ527" s="66" t="n">
        <v>97332000</v>
      </c>
      <c r="AK527" s="67">
        <f>MROUND(FORECAST(AI527,AI515:AI526,AK515:AK526)*0.1,100000)</f>
        <v/>
      </c>
      <c r="AL527" s="66" t="n"/>
      <c r="AM527" s="66" t="n">
        <v>172826000</v>
      </c>
      <c r="AN527" s="66" t="n">
        <v>178968000</v>
      </c>
      <c r="AO527" s="66" t="n">
        <v>113101000</v>
      </c>
      <c r="AP527" s="66" t="n"/>
      <c r="AQ527" s="66" t="n">
        <v>240940000</v>
      </c>
      <c r="AS527" s="67">
        <f>MROUND(FORECAST(AQ527,AQ515:AQ526,AS515:AS526),100000)</f>
        <v/>
      </c>
    </row>
    <row r="528">
      <c r="A528" s="60" t="n">
        <v>45047</v>
      </c>
      <c r="B528" s="66" t="n">
        <v>118053000</v>
      </c>
      <c r="C528" s="66" t="n">
        <v>119232000</v>
      </c>
      <c r="D528" s="66" t="n">
        <v>6182000</v>
      </c>
      <c r="E528" s="66" t="n"/>
      <c r="F528" s="66" t="n">
        <v>102046000</v>
      </c>
      <c r="G528" s="66" t="n">
        <v>17744000</v>
      </c>
      <c r="H528" s="66" t="n"/>
      <c r="I528" s="66" t="n">
        <v>29384000</v>
      </c>
      <c r="J528" s="66" t="n">
        <v>31934000</v>
      </c>
      <c r="K528" s="66" t="n">
        <v>11634000</v>
      </c>
      <c r="L528" s="66" t="n"/>
      <c r="M528" s="66" t="n">
        <v>450452000</v>
      </c>
      <c r="N528" s="66" t="n">
        <v>53508000</v>
      </c>
      <c r="O528" s="66" t="n"/>
      <c r="P528" s="66" t="n">
        <v>18069000</v>
      </c>
      <c r="Q528" s="66" t="n">
        <v>23713000</v>
      </c>
      <c r="R528" s="66" t="n"/>
      <c r="S528" s="66" t="n"/>
      <c r="T528" s="66" t="n">
        <v>197783000</v>
      </c>
      <c r="U528" s="66" t="n">
        <v>202052000</v>
      </c>
      <c r="V528" s="66" t="n">
        <v>20944000</v>
      </c>
      <c r="W528" s="66" t="n"/>
      <c r="X528" s="66" t="n">
        <v>348432000</v>
      </c>
      <c r="Y528" s="66" t="n">
        <v>82947000</v>
      </c>
      <c r="Z528" s="66" t="n"/>
      <c r="AA528" s="66" t="n">
        <v>83634000</v>
      </c>
      <c r="AB528" s="66" t="n">
        <v>94994000</v>
      </c>
      <c r="AC528" s="66" t="n">
        <v>11615000</v>
      </c>
      <c r="AD528" s="66" t="n"/>
      <c r="AE528" s="66" t="n">
        <v>334453000</v>
      </c>
      <c r="AF528" s="66" t="n">
        <v>341330000</v>
      </c>
      <c r="AG528" s="67">
        <f>MROUND(FORECAST(AE528,AE516:AE527,AG516:AG527)*0.3,100000)</f>
        <v/>
      </c>
      <c r="AH528" s="66" t="n"/>
      <c r="AI528" s="66" t="n">
        <v>110558000</v>
      </c>
      <c r="AJ528" s="66" t="n">
        <v>110267000</v>
      </c>
      <c r="AK528" s="67">
        <f>MROUND(FORECAST(AI528,AI516:AI527,AK516:AK527)*0.1,100000)</f>
        <v/>
      </c>
      <c r="AL528" s="66" t="n"/>
      <c r="AM528" s="66" t="n">
        <v>178167000</v>
      </c>
      <c r="AN528" s="66" t="n">
        <v>187312000</v>
      </c>
      <c r="AO528" s="66" t="n">
        <v>103946000</v>
      </c>
      <c r="AP528" s="66" t="n"/>
      <c r="AQ528" s="66" t="n">
        <v>252670000</v>
      </c>
      <c r="AS528" s="67">
        <f>MROUND(FORECAST(AQ528,AQ516:AQ527,AS516:AS527),100000)</f>
        <v/>
      </c>
    </row>
    <row r="529">
      <c r="A529" s="60" t="n">
        <v>45078</v>
      </c>
      <c r="B529" s="66" t="n">
        <v>109628000</v>
      </c>
      <c r="C529" s="66" t="n">
        <v>110953000</v>
      </c>
      <c r="D529" s="66" t="n">
        <v>4802000</v>
      </c>
      <c r="E529" s="66" t="n"/>
      <c r="F529" s="66" t="n">
        <v>91202000</v>
      </c>
      <c r="G529" s="66" t="n">
        <v>16404000</v>
      </c>
      <c r="H529" s="66" t="n"/>
      <c r="I529" s="66" t="n">
        <v>23975000</v>
      </c>
      <c r="J529" s="66" t="n">
        <v>28592000</v>
      </c>
      <c r="K529" s="66" t="n"/>
      <c r="L529" s="66" t="n"/>
      <c r="M529" s="66" t="n">
        <v>436184000</v>
      </c>
      <c r="N529" s="66" t="n">
        <v>54626000</v>
      </c>
      <c r="O529" s="66" t="n"/>
      <c r="P529" s="66" t="n">
        <v>23179000</v>
      </c>
      <c r="Q529" s="66" t="n">
        <v>25268000</v>
      </c>
      <c r="R529" s="66" t="n"/>
      <c r="S529" s="66" t="n"/>
      <c r="T529" s="66" t="n">
        <v>182772000</v>
      </c>
      <c r="U529" s="66" t="n">
        <v>175550000</v>
      </c>
      <c r="V529" s="66" t="n">
        <v>27951000</v>
      </c>
      <c r="W529" s="66" t="n"/>
      <c r="X529" s="66" t="n">
        <v>312357000</v>
      </c>
      <c r="Y529" s="66" t="n">
        <v>74254000</v>
      </c>
      <c r="Z529" s="66" t="n"/>
      <c r="AA529" s="66" t="n">
        <v>87103000</v>
      </c>
      <c r="AB529" s="66" t="n">
        <v>87043000</v>
      </c>
      <c r="AC529" s="66" t="n">
        <v>11830000</v>
      </c>
      <c r="AD529" s="66" t="n"/>
      <c r="AE529" s="66" t="n">
        <v>280902000</v>
      </c>
      <c r="AF529" s="66" t="n">
        <v>290791000</v>
      </c>
      <c r="AG529" s="67">
        <f>MROUND(FORECAST(AE529,AE517:AE528,AG517:AG528)*0.3,100000)</f>
        <v/>
      </c>
      <c r="AH529" s="66" t="n"/>
      <c r="AI529" s="66" t="n">
        <v>107363000</v>
      </c>
      <c r="AJ529" s="66" t="n">
        <v>107569000</v>
      </c>
      <c r="AK529" s="67">
        <f>MROUND(FORECAST(AI529,AI517:AI528,AK517:AK528)*0.1,100000)</f>
        <v/>
      </c>
      <c r="AL529" s="66" t="n"/>
      <c r="AM529" s="66" t="n">
        <v>189739000</v>
      </c>
      <c r="AN529" s="66" t="n">
        <v>196227000</v>
      </c>
      <c r="AO529" s="66" t="n">
        <v>97457000</v>
      </c>
      <c r="AP529" s="66" t="n"/>
      <c r="AQ529" s="66" t="n">
        <v>250570000</v>
      </c>
      <c r="AS529" s="67">
        <f>MROUND(FORECAST(AQ529,AQ517:AQ528,AS517:AS528),100000)</f>
        <v/>
      </c>
    </row>
    <row r="530">
      <c r="A530" s="60" t="n">
        <v>45108</v>
      </c>
      <c r="B530" s="66" t="n">
        <v>92937000</v>
      </c>
      <c r="C530" s="66" t="n">
        <v>91258000</v>
      </c>
      <c r="D530" s="66" t="n">
        <v>6481000</v>
      </c>
      <c r="E530" s="66" t="n"/>
      <c r="F530" s="66" t="n">
        <v>82833000</v>
      </c>
      <c r="G530" s="66" t="n">
        <v>17156000</v>
      </c>
      <c r="H530" s="66" t="n"/>
      <c r="I530" s="66" t="n">
        <v>17882000</v>
      </c>
      <c r="J530" s="66" t="n">
        <v>17614000</v>
      </c>
      <c r="K530" s="66" t="n">
        <v>7019000</v>
      </c>
      <c r="L530" s="66" t="n"/>
      <c r="M530" s="66" t="n">
        <v>438993000</v>
      </c>
      <c r="N530" s="66" t="n">
        <v>54957000</v>
      </c>
      <c r="O530" s="66" t="n"/>
      <c r="P530" s="66" t="n">
        <v>24837000</v>
      </c>
      <c r="Q530" s="66" t="n">
        <v>27555000</v>
      </c>
      <c r="R530" s="66" t="n"/>
      <c r="S530" s="66" t="n"/>
      <c r="T530" s="66" t="n">
        <v>175875000</v>
      </c>
      <c r="U530" s="66" t="n">
        <v>179771000</v>
      </c>
      <c r="V530" s="66" t="n">
        <v>24055000</v>
      </c>
      <c r="W530" s="66" t="n"/>
      <c r="X530" s="66" t="n">
        <v>287592000</v>
      </c>
      <c r="Y530" s="66" t="n">
        <v>74936000</v>
      </c>
      <c r="Z530" s="66" t="n"/>
      <c r="AA530" s="66" t="n">
        <v>89242000</v>
      </c>
      <c r="AB530" s="66" t="n">
        <v>86068000</v>
      </c>
      <c r="AC530" s="66" t="n">
        <v>15752000</v>
      </c>
      <c r="AD530" s="66" t="n"/>
      <c r="AE530" s="66" t="n">
        <v>281771000</v>
      </c>
      <c r="AF530" s="66" t="n">
        <v>281572000</v>
      </c>
      <c r="AG530" s="67">
        <f>MROUND(FORECAST(AE530,AE518:AE529,AG518:AG529)*0.3,100000)</f>
        <v/>
      </c>
      <c r="AH530" s="66" t="n"/>
      <c r="AI530" s="66" t="n">
        <v>88734000</v>
      </c>
      <c r="AJ530" s="66" t="n">
        <v>88661000</v>
      </c>
      <c r="AK530" s="67">
        <f>MROUND(FORECAST(AI530,AI518:AI529,AK518:AK529)*0.1,100000)</f>
        <v/>
      </c>
      <c r="AL530" s="66" t="n"/>
      <c r="AM530" s="66" t="n">
        <v>165253000</v>
      </c>
      <c r="AN530" s="66" t="n">
        <v>154071000</v>
      </c>
      <c r="AO530" s="66" t="n">
        <v>108639000</v>
      </c>
      <c r="AP530" s="66" t="n"/>
      <c r="AQ530" s="66" t="n">
        <v>252940000</v>
      </c>
      <c r="AS530" s="67">
        <f>MROUND(FORECAST(AQ530,AQ518:AQ529,AS518:AS529),100000)</f>
        <v/>
      </c>
    </row>
    <row r="531">
      <c r="A531" s="60" t="n">
        <v>45139</v>
      </c>
      <c r="B531" s="66" t="n">
        <v>126669000</v>
      </c>
      <c r="C531" s="66" t="n">
        <v>126204000</v>
      </c>
      <c r="D531" s="66" t="n">
        <v>6947000</v>
      </c>
      <c r="E531" s="66" t="n"/>
      <c r="F531" s="66" t="n">
        <v>98767000</v>
      </c>
      <c r="G531" s="66" t="n">
        <v>17247000</v>
      </c>
      <c r="H531" s="66" t="n"/>
      <c r="I531" s="66" t="n">
        <v>16296000</v>
      </c>
      <c r="J531" s="66" t="n">
        <v>15183000</v>
      </c>
      <c r="K531" s="66" t="n">
        <v>8132000</v>
      </c>
      <c r="L531" s="66" t="n"/>
      <c r="M531" s="66" t="n">
        <v>548565000</v>
      </c>
      <c r="N531" s="66" t="n">
        <v>57136000</v>
      </c>
      <c r="O531" s="66" t="n"/>
      <c r="P531" s="66" t="n">
        <v>24104000</v>
      </c>
      <c r="Q531" s="66" t="n">
        <v>25350000</v>
      </c>
      <c r="R531" s="66" t="n"/>
      <c r="S531" s="66" t="n"/>
      <c r="T531" s="66" t="n">
        <v>212507000</v>
      </c>
      <c r="U531" s="66" t="n">
        <v>206925000</v>
      </c>
      <c r="V531" s="66" t="n">
        <v>29637000</v>
      </c>
      <c r="W531" s="66" t="n"/>
      <c r="X531" s="66" t="n">
        <v>343703000</v>
      </c>
      <c r="Y531" s="66" t="n">
        <v>78480000</v>
      </c>
      <c r="Z531" s="66" t="n"/>
      <c r="AA531" s="66" t="n">
        <v>85834000</v>
      </c>
      <c r="AB531" s="66" t="n">
        <v>87248000</v>
      </c>
      <c r="AC531" s="66" t="n">
        <v>14541000</v>
      </c>
      <c r="AD531" s="66" t="n"/>
      <c r="AE531" s="66" t="n">
        <v>312653000</v>
      </c>
      <c r="AF531" s="66" t="n">
        <v>317970000</v>
      </c>
      <c r="AG531" s="66" t="n">
        <v>86388000</v>
      </c>
      <c r="AH531" s="66" t="n"/>
      <c r="AI531" s="66" t="n">
        <v>108548000</v>
      </c>
      <c r="AJ531" s="66" t="n">
        <v>108256000</v>
      </c>
      <c r="AK531" s="67">
        <f>MROUND(FORECAST(AI531,AI519:AI530,AK519:AK530)*0.1,100000)</f>
        <v/>
      </c>
      <c r="AL531" s="66" t="n"/>
      <c r="AM531" s="66" t="n">
        <v>171522000</v>
      </c>
      <c r="AN531" s="66" t="n">
        <v>179591000</v>
      </c>
      <c r="AO531" s="66" t="n">
        <v>100581000</v>
      </c>
      <c r="AP531" s="66" t="n"/>
      <c r="AQ531" s="66" t="n">
        <v>250440000</v>
      </c>
      <c r="AS531" s="67">
        <f>MROUND(FORECAST(AQ531,AQ519:AQ530,AS519:AS530),100000)</f>
        <v/>
      </c>
    </row>
    <row r="532">
      <c r="A532" s="60" t="n">
        <v>45170</v>
      </c>
      <c r="B532" s="66" t="n">
        <v>100468000</v>
      </c>
      <c r="C532" s="66" t="n">
        <v>102201000</v>
      </c>
      <c r="D532" s="66" t="n">
        <v>9048000</v>
      </c>
      <c r="E532" s="66" t="n"/>
      <c r="F532" s="66" t="n">
        <v>98011000</v>
      </c>
      <c r="G532" s="66" t="n">
        <v>11941000</v>
      </c>
      <c r="H532" s="66" t="n"/>
      <c r="I532" s="66" t="n">
        <v>25012000</v>
      </c>
      <c r="J532" s="66" t="n">
        <v>25156000</v>
      </c>
      <c r="K532" s="66" t="n">
        <v>7756000</v>
      </c>
      <c r="L532" s="66" t="n"/>
      <c r="M532" s="66" t="n">
        <v>489565000</v>
      </c>
      <c r="N532" s="66" t="n">
        <v>56667000</v>
      </c>
      <c r="O532" s="66" t="n"/>
      <c r="P532" s="66" t="n">
        <v>22510000</v>
      </c>
      <c r="Q532" s="66" t="n">
        <v>19750000</v>
      </c>
      <c r="R532" s="66" t="n"/>
      <c r="S532" s="66" t="n"/>
      <c r="T532" s="66" t="n">
        <v>210430000</v>
      </c>
      <c r="U532" s="66" t="n">
        <v>210501000</v>
      </c>
      <c r="V532" s="66" t="n">
        <v>29566000</v>
      </c>
      <c r="W532" s="66" t="n"/>
      <c r="X532" s="66" t="n">
        <v>346596000</v>
      </c>
      <c r="Y532" s="66" t="n">
        <v>86793000</v>
      </c>
      <c r="Z532" s="66" t="n"/>
      <c r="AA532" s="66" t="n">
        <v>94343000</v>
      </c>
      <c r="AB532" s="66" t="n">
        <v>98751000</v>
      </c>
      <c r="AC532" s="66" t="n">
        <v>10283000</v>
      </c>
      <c r="AD532" s="66" t="n"/>
      <c r="AE532" s="66" t="n">
        <v>291186000</v>
      </c>
      <c r="AF532" s="66" t="n">
        <v>302544000</v>
      </c>
      <c r="AG532" s="67">
        <f>MROUND(FORECAST(AE532,AE520:AE531,AG520:AG531)*0.3,100000)</f>
        <v/>
      </c>
      <c r="AH532" s="66" t="n"/>
      <c r="AI532" s="66" t="n">
        <v>98451000</v>
      </c>
      <c r="AJ532" s="66" t="n">
        <v>100510000</v>
      </c>
      <c r="AK532" s="67">
        <f>MROUND(FORECAST(AI532,AI520:AI531,AK520:AK531)*0.1,100000)</f>
        <v/>
      </c>
      <c r="AL532" s="66" t="n"/>
      <c r="AM532" s="66" t="n">
        <v>171543000</v>
      </c>
      <c r="AN532" s="66" t="n">
        <v>172343000</v>
      </c>
      <c r="AO532" s="66" t="n">
        <v>99771000</v>
      </c>
      <c r="AP532" s="66" t="n"/>
      <c r="AQ532" s="66" t="n">
        <v>243170000</v>
      </c>
      <c r="AS532" s="67">
        <f>MROUND(FORECAST(AQ532,AQ520:AQ531,AS520:AS531),100000)</f>
        <v/>
      </c>
    </row>
    <row r="533">
      <c r="A533" s="60" t="n">
        <v>45200</v>
      </c>
      <c r="B533" s="66" t="n">
        <v>104509000</v>
      </c>
      <c r="C533" s="66" t="n">
        <v>104022000</v>
      </c>
      <c r="D533" s="66" t="n">
        <v>5700000</v>
      </c>
      <c r="E533" s="66" t="n"/>
      <c r="F533" s="66" t="n">
        <v>77966000</v>
      </c>
      <c r="G533" s="66" t="n">
        <v>17083000</v>
      </c>
      <c r="H533" s="66" t="n"/>
      <c r="I533" s="66" t="n">
        <v>27205000</v>
      </c>
      <c r="J533" s="66" t="n">
        <v>25124000</v>
      </c>
      <c r="K533" s="66" t="n">
        <v>9837000</v>
      </c>
      <c r="L533" s="66" t="n"/>
      <c r="M533" s="66" t="n">
        <v>474864000</v>
      </c>
      <c r="N533" s="66" t="n">
        <v>61202000</v>
      </c>
      <c r="O533" s="66" t="n"/>
      <c r="P533" s="66" t="n">
        <v>23128000</v>
      </c>
      <c r="Q533" s="66" t="n">
        <v>27414000</v>
      </c>
      <c r="R533" s="66" t="n"/>
      <c r="S533" s="66" t="n"/>
      <c r="T533" s="66" t="n">
        <v>194647000</v>
      </c>
      <c r="U533" s="66" t="n">
        <v>183191000</v>
      </c>
      <c r="V533" s="66" t="n">
        <v>41020000</v>
      </c>
      <c r="W533" s="66" t="n"/>
      <c r="X533" s="66" t="n">
        <v>319993000</v>
      </c>
      <c r="Y533" s="66" t="n">
        <v>111022000</v>
      </c>
      <c r="Z533" s="66" t="n"/>
      <c r="AA533" s="66" t="n">
        <v>75970000</v>
      </c>
      <c r="AB533" s="66" t="n">
        <v>74793000</v>
      </c>
      <c r="AC533" s="66" t="n">
        <v>11658000</v>
      </c>
      <c r="AD533" s="66" t="n"/>
      <c r="AE533" s="66" t="n">
        <v>317689000</v>
      </c>
      <c r="AF533" s="66" t="n">
        <v>310114000</v>
      </c>
      <c r="AG533" s="67">
        <f>MROUND(FORECAST(AE533,AE521:AE532,AG521:AG532)*0.3,100000)</f>
        <v/>
      </c>
      <c r="AH533" s="66" t="n"/>
      <c r="AI533" s="66" t="n">
        <v>108656000</v>
      </c>
      <c r="AJ533" s="66" t="n">
        <v>104924000</v>
      </c>
      <c r="AK533" s="67">
        <f>MROUND(FORECAST(AI533,AI521:AI532,AK521:AK532)*0.1,100000)</f>
        <v/>
      </c>
      <c r="AL533" s="66" t="n"/>
      <c r="AM533" s="66" t="n">
        <v>157476000</v>
      </c>
      <c r="AN533" s="66" t="n">
        <v>159586000</v>
      </c>
      <c r="AO533" s="66" t="n">
        <v>97659000</v>
      </c>
      <c r="AP533" s="66" t="n"/>
      <c r="AQ533" s="66" t="n">
        <v>245460000</v>
      </c>
      <c r="AS533" s="67">
        <f>MROUND(FORECAST(AQ533,AQ521:AQ532,AS521:AS532),100000)</f>
        <v/>
      </c>
    </row>
    <row r="534">
      <c r="A534" s="60" t="n">
        <v>45231</v>
      </c>
      <c r="B534" s="66" t="n">
        <v>118975000</v>
      </c>
      <c r="C534" s="66" t="n">
        <v>117805000</v>
      </c>
      <c r="D534" s="66" t="n">
        <v>6870000</v>
      </c>
      <c r="E534" s="66" t="n"/>
      <c r="F534" s="66" t="n">
        <v>89588000</v>
      </c>
      <c r="G534" s="66" t="n">
        <v>13067000</v>
      </c>
      <c r="H534" s="66" t="n"/>
      <c r="I534" s="66" t="n">
        <v>31321000</v>
      </c>
      <c r="J534" s="66" t="n">
        <v>34185000</v>
      </c>
      <c r="K534" s="66" t="n">
        <v>8071000</v>
      </c>
      <c r="L534" s="66" t="n"/>
      <c r="M534" s="66" t="n">
        <v>524539000</v>
      </c>
      <c r="N534" s="66" t="n">
        <v>71761000</v>
      </c>
      <c r="O534" s="66" t="n"/>
      <c r="P534" s="66" t="n">
        <v>28496000</v>
      </c>
      <c r="Q534" s="66" t="n">
        <v>27795000</v>
      </c>
      <c r="R534" s="66" t="n"/>
      <c r="S534" s="66" t="n"/>
      <c r="T534" s="66" t="n">
        <v>222197000</v>
      </c>
      <c r="U534" s="66" t="n">
        <v>222031000</v>
      </c>
      <c r="V534" s="66" t="n">
        <v>41186000</v>
      </c>
      <c r="W534" s="66" t="n"/>
      <c r="X534" s="66" t="n">
        <v>400983000</v>
      </c>
      <c r="Y534" s="66" t="n">
        <v>94491000</v>
      </c>
      <c r="Z534" s="66" t="n"/>
      <c r="AA534" s="66" t="n">
        <v>98797000</v>
      </c>
      <c r="AB534" s="66" t="n">
        <v>99768000</v>
      </c>
      <c r="AC534" s="66" t="n">
        <v>10817000</v>
      </c>
      <c r="AD534" s="66" t="n"/>
      <c r="AE534" s="66" t="n">
        <v>320372000</v>
      </c>
      <c r="AF534" s="66" t="n">
        <v>316371000</v>
      </c>
      <c r="AG534" s="67">
        <f>MROUND(FORECAST(AE534,AE522:AE533,AG522:AG533)*0.3,100000)</f>
        <v/>
      </c>
      <c r="AH534" s="66" t="n"/>
      <c r="AI534" s="66" t="n">
        <v>123585000</v>
      </c>
      <c r="AJ534" s="66" t="n">
        <v>124908000</v>
      </c>
      <c r="AK534" s="67">
        <f>MROUND(FORECAST(AI534,AI522:AI533,AK522:AK533)*0.1,100000)</f>
        <v/>
      </c>
      <c r="AL534" s="66" t="n"/>
      <c r="AM534" s="66" t="n">
        <v>144949000</v>
      </c>
      <c r="AN534" s="66" t="n">
        <v>126096000</v>
      </c>
      <c r="AO534" s="66" t="n">
        <v>116513000</v>
      </c>
      <c r="AP534" s="66" t="n"/>
      <c r="AQ534" s="66" t="n">
        <v>235840000</v>
      </c>
      <c r="AS534" s="67">
        <f>MROUND(FORECAST(AQ534,AQ522:AQ533,AS522:AS533),100000)</f>
        <v/>
      </c>
    </row>
    <row r="535">
      <c r="A535" s="60" t="n">
        <v>45261</v>
      </c>
      <c r="B535" s="66" t="n">
        <v>112909000</v>
      </c>
      <c r="C535" s="66" t="n">
        <v>112503000</v>
      </c>
      <c r="D535" s="66" t="n">
        <v>7276000</v>
      </c>
      <c r="E535" s="66" t="n"/>
      <c r="F535" s="66" t="n">
        <v>78412000</v>
      </c>
      <c r="G535" s="66" t="n">
        <v>10843000</v>
      </c>
      <c r="H535" s="66" t="n"/>
      <c r="I535" s="66" t="n">
        <v>25732000</v>
      </c>
      <c r="J535" s="66" t="n">
        <v>25179000</v>
      </c>
      <c r="K535" s="66" t="n">
        <v>8624000</v>
      </c>
      <c r="L535" s="66" t="n"/>
      <c r="M535" s="66" t="n">
        <v>507927000</v>
      </c>
      <c r="N535" s="66" t="n">
        <v>72110000</v>
      </c>
      <c r="O535" s="66" t="n"/>
      <c r="P535" s="66" t="n">
        <v>21243000</v>
      </c>
      <c r="Q535" s="66" t="n">
        <v>18667000</v>
      </c>
      <c r="R535" s="66" t="n"/>
      <c r="S535" s="66" t="n"/>
      <c r="T535" s="66" t="n">
        <v>185719000</v>
      </c>
      <c r="U535" s="66" t="n">
        <v>191314000</v>
      </c>
      <c r="V535" s="66" t="n">
        <v>35591000</v>
      </c>
      <c r="W535" s="66" t="n"/>
      <c r="X535" s="66" t="n">
        <v>343411000</v>
      </c>
      <c r="Y535" s="66" t="n">
        <v>101213000</v>
      </c>
      <c r="Z535" s="66" t="n"/>
      <c r="AA535" s="66" t="n">
        <v>85396000</v>
      </c>
      <c r="AB535" s="66" t="n">
        <v>84795000</v>
      </c>
      <c r="AC535" s="66" t="n">
        <v>11332000</v>
      </c>
      <c r="AD535" s="66" t="n"/>
      <c r="AE535" s="66" t="n">
        <v>332402000</v>
      </c>
      <c r="AF535" s="66" t="n">
        <v>336304000</v>
      </c>
      <c r="AG535" s="66" t="n">
        <v>82706000</v>
      </c>
      <c r="AH535" s="66" t="n"/>
      <c r="AI535" s="66" t="n">
        <v>121288000</v>
      </c>
      <c r="AJ535" s="66" t="n">
        <v>121153000</v>
      </c>
      <c r="AK535" s="67">
        <f>MROUND(FORECAST(AI535,AI523:AI534,AK523:AK534)*0.1,100000)</f>
        <v/>
      </c>
      <c r="AL535" s="66" t="n"/>
      <c r="AM535" s="66" t="n">
        <v>21243000</v>
      </c>
      <c r="AN535" s="66" t="n">
        <v>18667000</v>
      </c>
      <c r="AO535" s="67">
        <f>MROUND(FORECAST(AN535,AN523:AN534,AO523:AO534),100000)</f>
        <v/>
      </c>
      <c r="AP535" s="66" t="n"/>
      <c r="AQ535" s="66" t="n">
        <v>256060000</v>
      </c>
      <c r="AS535" s="67">
        <f>MROUND(FORECAST(AQ535,AQ523:AQ534,AS523:AS534),100000)</f>
        <v/>
      </c>
    </row>
    <row r="536">
      <c r="A536" s="60" t="n">
        <v>45292</v>
      </c>
      <c r="B536" s="66" t="n">
        <v>117828000</v>
      </c>
      <c r="C536" s="66" t="n">
        <v>116462000</v>
      </c>
      <c r="D536" s="66" t="n">
        <v>8643000</v>
      </c>
      <c r="E536" s="66" t="n"/>
      <c r="F536" s="66" t="n">
        <v>74884000</v>
      </c>
      <c r="G536" s="66" t="n">
        <v>16359000</v>
      </c>
      <c r="H536" s="66" t="n"/>
      <c r="I536" s="66" t="n">
        <v>20037000</v>
      </c>
      <c r="J536" s="66" t="n">
        <v>19192000</v>
      </c>
      <c r="K536" s="66" t="n"/>
      <c r="L536" s="66" t="n"/>
      <c r="M536" s="66" t="n">
        <v>492429000</v>
      </c>
      <c r="N536" s="66" t="n">
        <v>64544000</v>
      </c>
      <c r="O536" s="66" t="n"/>
      <c r="P536" s="66" t="n">
        <v>23616000</v>
      </c>
      <c r="Q536" s="66" t="n">
        <v>20555000</v>
      </c>
      <c r="R536" s="66" t="n"/>
      <c r="S536" s="66" t="n"/>
      <c r="T536" s="66" t="n">
        <v>163183000</v>
      </c>
      <c r="U536" s="66" t="n">
        <v>165749000</v>
      </c>
      <c r="V536" s="66" t="n">
        <v>33025000</v>
      </c>
      <c r="W536" s="66" t="n"/>
      <c r="X536" s="66" t="n">
        <v>311109000</v>
      </c>
      <c r="Y536" s="66" t="n">
        <v>123806000</v>
      </c>
      <c r="Z536" s="66" t="n"/>
      <c r="AA536" s="66" t="n">
        <v>72408000</v>
      </c>
      <c r="AB536" s="66" t="n">
        <v>72887000</v>
      </c>
      <c r="AC536" s="66" t="n">
        <v>11166000</v>
      </c>
      <c r="AD536" s="66" t="n"/>
      <c r="AE536" s="66" t="n">
        <v>309112000</v>
      </c>
      <c r="AF536" s="66" t="n">
        <v>298699000</v>
      </c>
      <c r="AG536" s="66" t="n">
        <v>93120000</v>
      </c>
      <c r="AH536" s="66" t="n"/>
      <c r="AI536" s="66" t="n">
        <v>109379000</v>
      </c>
      <c r="AJ536" s="66" t="n">
        <v>104604000</v>
      </c>
      <c r="AK536" s="67">
        <f>MROUND(FORECAST(AI536,AI524:AI535,AK524:AK535)*0.1,100000)</f>
        <v/>
      </c>
      <c r="AL536" s="66" t="n"/>
      <c r="AM536" s="66" t="n">
        <v>23616000</v>
      </c>
      <c r="AN536" s="66" t="n">
        <v>20555000</v>
      </c>
      <c r="AO536" s="67">
        <f>MROUND(FORECAST(AN536,AN524:AN535,AO524:AO535),100000)</f>
        <v/>
      </c>
      <c r="AP536" s="66" t="n"/>
      <c r="AQ536" s="66" t="n">
        <v>187840000</v>
      </c>
      <c r="AS536" s="67">
        <f>MROUND(FORECAST(AQ536,AQ524:AQ535,AS524:AS535),100000)</f>
        <v/>
      </c>
    </row>
    <row r="537">
      <c r="A537" s="60" t="n">
        <v>45323</v>
      </c>
      <c r="B537" s="66" t="n">
        <v>114158000</v>
      </c>
      <c r="C537" s="66" t="n">
        <v>116487000</v>
      </c>
      <c r="D537" s="66" t="n">
        <v>6313000</v>
      </c>
      <c r="E537" s="66" t="n"/>
      <c r="F537" s="66" t="n">
        <v>95055000</v>
      </c>
      <c r="G537" s="66" t="n">
        <v>15535000</v>
      </c>
      <c r="H537" s="66" t="n"/>
      <c r="I537" s="66" t="n">
        <v>26107000</v>
      </c>
      <c r="J537" s="66" t="n">
        <v>26824000</v>
      </c>
      <c r="K537" s="66" t="n"/>
      <c r="L537" s="66" t="n"/>
      <c r="M537" s="66" t="n">
        <v>475526000</v>
      </c>
      <c r="N537" s="66" t="n">
        <v>56663000</v>
      </c>
      <c r="O537" s="66" t="n"/>
      <c r="P537" s="66" t="n">
        <v>25525000</v>
      </c>
      <c r="Q537" s="66" t="n">
        <v>28300000</v>
      </c>
      <c r="R537" s="66" t="n"/>
      <c r="S537" s="66" t="n"/>
      <c r="T537" s="66" t="n">
        <v>205330000</v>
      </c>
      <c r="U537" s="66" t="n">
        <v>205053000</v>
      </c>
      <c r="V537" s="66" t="n">
        <v>33302000</v>
      </c>
      <c r="W537" s="66" t="n"/>
      <c r="X537" s="66" t="n">
        <v>381571000</v>
      </c>
      <c r="Y537" s="66" t="n">
        <v>112853000</v>
      </c>
      <c r="Z537" s="66" t="n"/>
      <c r="AA537" s="66" t="n">
        <v>97125000</v>
      </c>
      <c r="AB537" s="66" t="n">
        <v>95070000</v>
      </c>
      <c r="AC537" s="66" t="n">
        <v>16543000</v>
      </c>
      <c r="AD537" s="66" t="n"/>
      <c r="AE537" s="66" t="n">
        <v>346768000</v>
      </c>
      <c r="AF537" s="66" t="n">
        <v>351851000</v>
      </c>
      <c r="AG537" s="66" t="n">
        <v>88037000</v>
      </c>
      <c r="AH537" s="66" t="n"/>
      <c r="AI537" s="66" t="n">
        <v>122850000</v>
      </c>
      <c r="AJ537" s="66" t="n">
        <v>128007000</v>
      </c>
      <c r="AK537" s="67">
        <f>MROUND(FORECAST(AI537,AI525:AI536,AK525:AK536)*0.1,100000)</f>
        <v/>
      </c>
      <c r="AL537" s="66" t="n"/>
      <c r="AM537" s="66" t="n">
        <v>25525000</v>
      </c>
      <c r="AN537" s="66" t="n">
        <v>28300000</v>
      </c>
      <c r="AO537" s="67">
        <f>MROUND(FORECAST(AN537,AN525:AN536,AO525:AO536),100000)</f>
        <v/>
      </c>
      <c r="AP537" s="66" t="n"/>
      <c r="AQ537" s="66" t="n">
        <v>195590000</v>
      </c>
      <c r="AS537" s="67">
        <f>MROUND(FORECAST(AQ537,AQ525:AQ536,AS525:AS536),100000)</f>
        <v/>
      </c>
    </row>
    <row r="538">
      <c r="A538" s="60" t="n">
        <v>45352</v>
      </c>
      <c r="B538" s="66" t="n">
        <v>109828000</v>
      </c>
      <c r="C538" s="66" t="n">
        <v>109617000</v>
      </c>
      <c r="D538" s="66" t="n">
        <v>6484000</v>
      </c>
      <c r="E538" s="66" t="n"/>
      <c r="F538" s="66" t="n">
        <v>79874000</v>
      </c>
      <c r="G538" s="66" t="n">
        <v>17190000</v>
      </c>
      <c r="H538" s="66" t="n"/>
      <c r="I538" s="66" t="n">
        <v>21766000</v>
      </c>
      <c r="J538" s="66" t="n">
        <v>22301000</v>
      </c>
      <c r="K538" s="66" t="n"/>
      <c r="L538" s="66" t="n"/>
      <c r="M538" s="66" t="n">
        <v>504290000</v>
      </c>
      <c r="N538" s="66" t="n">
        <v>52464000</v>
      </c>
      <c r="O538" s="66" t="n"/>
      <c r="P538" s="66" t="n">
        <v>23110000</v>
      </c>
      <c r="Q538" s="66" t="n">
        <v>25949000</v>
      </c>
      <c r="R538" s="66" t="n"/>
      <c r="S538" s="66" t="n"/>
      <c r="T538" s="66" t="n">
        <v>170818000</v>
      </c>
      <c r="U538" s="66" t="n">
        <v>177204000</v>
      </c>
      <c r="V538" s="66" t="n">
        <v>27029000</v>
      </c>
      <c r="W538" s="66" t="n"/>
      <c r="X538" s="66" t="n">
        <v>328970000</v>
      </c>
      <c r="Y538" s="66" t="n">
        <v>101929000</v>
      </c>
      <c r="Z538" s="66" t="n"/>
      <c r="AA538" s="66" t="n">
        <v>91654000</v>
      </c>
      <c r="AB538" s="66" t="n">
        <v>86039000</v>
      </c>
      <c r="AC538" s="66" t="n">
        <v>22087000</v>
      </c>
      <c r="AD538" s="66" t="n"/>
      <c r="AE538" s="66" t="n">
        <v>355531000</v>
      </c>
      <c r="AF538" s="66" t="n">
        <v>365483000</v>
      </c>
      <c r="AG538" s="66" t="n">
        <v>78085000</v>
      </c>
      <c r="AH538" s="66" t="n"/>
      <c r="AI538" s="66" t="n">
        <v>112429000</v>
      </c>
      <c r="AJ538" s="66" t="n">
        <v>113149000</v>
      </c>
      <c r="AK538" s="67">
        <f>MROUND(FORECAST(AI538,AI526:AI537,AK526:AK537)*0.1,100000)</f>
        <v/>
      </c>
      <c r="AL538" s="66" t="n"/>
      <c r="AM538" s="66" t="n">
        <v>23110000</v>
      </c>
      <c r="AN538" s="66" t="n">
        <v>25949000</v>
      </c>
      <c r="AO538" s="67">
        <f>MROUND(FORECAST(AN538,AN526:AN537,AO526:AO537),100000)</f>
        <v/>
      </c>
      <c r="AP538" s="66" t="n"/>
      <c r="AQ538" s="66" t="n">
        <v>213860000</v>
      </c>
      <c r="AS538" s="67">
        <f>MROUND(FORECAST(AQ538,AQ526:AQ537,AS526:AS537),100000)</f>
        <v/>
      </c>
    </row>
    <row r="539">
      <c r="A539" s="60" t="n">
        <v>45383</v>
      </c>
      <c r="B539" s="66" t="n">
        <v>97826000</v>
      </c>
      <c r="C539" s="66" t="n">
        <v>98656000</v>
      </c>
      <c r="D539" s="66" t="n">
        <v>5694000</v>
      </c>
      <c r="E539" s="66" t="n"/>
      <c r="F539" s="66" t="n">
        <v>75001000</v>
      </c>
      <c r="G539" s="66" t="n">
        <v>16139000</v>
      </c>
      <c r="H539" s="66" t="n"/>
      <c r="I539" s="66" t="n">
        <v>15925000</v>
      </c>
      <c r="J539" s="66" t="n">
        <v>19040000</v>
      </c>
      <c r="K539" s="66" t="n"/>
      <c r="L539" s="66" t="n"/>
      <c r="M539" s="66" t="n">
        <v>422717000</v>
      </c>
      <c r="N539" s="66" t="n">
        <v>54434000</v>
      </c>
      <c r="O539" s="66" t="n"/>
      <c r="P539" s="66" t="n">
        <v>18482000</v>
      </c>
      <c r="Q539" s="66" t="n">
        <v>18163000</v>
      </c>
      <c r="R539" s="66" t="n"/>
      <c r="S539" s="66" t="n"/>
      <c r="T539" s="66" t="n">
        <v>161219000</v>
      </c>
      <c r="U539" s="66" t="n">
        <v>155484000</v>
      </c>
      <c r="V539" s="66" t="n">
        <v>32648000</v>
      </c>
      <c r="W539" s="66" t="n"/>
      <c r="X539" s="66" t="n">
        <v>299028000</v>
      </c>
      <c r="Y539" s="66" t="n">
        <v>110987000</v>
      </c>
      <c r="Z539" s="66" t="n"/>
      <c r="AA539" s="66" t="n">
        <v>74881000</v>
      </c>
      <c r="AB539" s="66" t="n">
        <v>73675000</v>
      </c>
      <c r="AC539" s="66" t="n">
        <v>10534000</v>
      </c>
      <c r="AD539" s="66" t="n"/>
      <c r="AE539" s="66" t="n">
        <v>311811000</v>
      </c>
      <c r="AF539" s="66" t="n">
        <v>314032000</v>
      </c>
      <c r="AG539" s="66" t="n">
        <v>83876000</v>
      </c>
      <c r="AH539" s="66" t="n"/>
      <c r="AI539" s="66" t="n">
        <v>126838000</v>
      </c>
      <c r="AJ539" s="66" t="n">
        <v>121412000</v>
      </c>
      <c r="AK539" s="67">
        <f>MROUND(FORECAST(AI539,AI527:AI538,AK527:AK538)*0.1,100000)</f>
        <v/>
      </c>
      <c r="AL539" s="66" t="n"/>
      <c r="AM539" s="66" t="n">
        <v>18482000</v>
      </c>
      <c r="AN539" s="66" t="n">
        <v>18163000</v>
      </c>
      <c r="AO539" s="67">
        <f>MROUND(FORECAST(AN539,AN527:AN538,AO527:AO538),100000)</f>
        <v/>
      </c>
      <c r="AP539" s="66" t="n"/>
      <c r="AQ539" s="66" t="n">
        <v>206640000</v>
      </c>
      <c r="AS539" s="67">
        <f>MROUND(FORECAST(AQ539,AQ527:AQ538,AS527:AS538),100000)</f>
        <v/>
      </c>
    </row>
    <row r="540">
      <c r="A540" s="60" t="n">
        <v>45413</v>
      </c>
      <c r="B540" s="66" t="n">
        <v>93367000</v>
      </c>
      <c r="C540" s="66" t="n">
        <v>95663000</v>
      </c>
      <c r="D540" s="66" t="n">
        <v>13428000</v>
      </c>
      <c r="E540" s="66" t="n"/>
      <c r="F540" s="66" t="n">
        <v>94433000</v>
      </c>
      <c r="G540" s="66" t="n">
        <v>20352000</v>
      </c>
      <c r="H540" s="66" t="n"/>
      <c r="I540" s="66" t="n">
        <v>18895000</v>
      </c>
      <c r="J540" s="66" t="n">
        <v>20706000</v>
      </c>
      <c r="K540" s="66" t="n"/>
      <c r="L540" s="66" t="n"/>
      <c r="M540" s="66" t="n">
        <v>393198000</v>
      </c>
      <c r="N540" s="66" t="n">
        <v>51107000</v>
      </c>
      <c r="O540" s="66" t="n"/>
      <c r="P540" s="66" t="n">
        <v>19425000</v>
      </c>
      <c r="Q540" s="66" t="n">
        <v>20421000</v>
      </c>
      <c r="R540" s="66" t="n"/>
      <c r="S540" s="66" t="n"/>
      <c r="T540" s="66" t="n">
        <v>196414000</v>
      </c>
      <c r="U540" s="66" t="n">
        <v>197587000</v>
      </c>
      <c r="V540" s="66" t="n">
        <v>31475000</v>
      </c>
      <c r="W540" s="66" t="n"/>
      <c r="X540" s="66" t="n">
        <v>348366000</v>
      </c>
      <c r="Y540" s="66" t="n">
        <v>119446000</v>
      </c>
      <c r="Z540" s="66" t="n"/>
      <c r="AA540" s="66" t="n">
        <v>87971000</v>
      </c>
      <c r="AB540" s="66" t="n">
        <v>90246000</v>
      </c>
      <c r="AC540" s="66" t="n">
        <v>8309000</v>
      </c>
      <c r="AD540" s="66" t="n"/>
      <c r="AE540" s="66" t="n">
        <v>320503000</v>
      </c>
      <c r="AF540" s="66" t="n">
        <v>313448000</v>
      </c>
      <c r="AG540" s="66" t="n">
        <v>85344000</v>
      </c>
      <c r="AH540" s="66" t="n"/>
      <c r="AI540" s="66" t="n">
        <v>131231000</v>
      </c>
      <c r="AJ540" s="66" t="n">
        <v>129083000</v>
      </c>
      <c r="AK540" s="66" t="n">
        <v>5894000</v>
      </c>
      <c r="AL540" s="66" t="n"/>
      <c r="AM540" s="66" t="n">
        <v>19425000</v>
      </c>
      <c r="AN540" s="66" t="n">
        <v>20421000</v>
      </c>
      <c r="AO540" s="67">
        <f>MROUND(FORECAST(AN540,AN528:AN539,AO528:AO539),100000)</f>
        <v/>
      </c>
      <c r="AP540" s="66" t="n"/>
      <c r="AQ540" s="66" t="n">
        <v>219060000</v>
      </c>
      <c r="AS540" s="67">
        <f>MROUND(FORECAST(AQ540,AQ528:AQ539,AS528:AS539),100000)</f>
        <v/>
      </c>
    </row>
    <row r="541">
      <c r="A541" s="60" t="n">
        <v>45444</v>
      </c>
      <c r="B541" s="66" t="n">
        <v>103427000</v>
      </c>
      <c r="C541" s="66" t="n">
        <v>103437000</v>
      </c>
      <c r="D541" s="66" t="n">
        <v>13417000</v>
      </c>
      <c r="E541" s="66" t="n"/>
      <c r="F541" s="66" t="n">
        <v>83993000</v>
      </c>
      <c r="G541" s="66" t="n">
        <v>19668000</v>
      </c>
      <c r="H541" s="66" t="n"/>
      <c r="I541" s="66" t="n">
        <v>18765000</v>
      </c>
      <c r="J541" s="66" t="n">
        <v>20178000</v>
      </c>
      <c r="K541" s="66" t="n"/>
      <c r="L541" s="66" t="n"/>
      <c r="M541" s="66" t="n">
        <v>391350000</v>
      </c>
      <c r="N541" s="66" t="n">
        <v>57862000</v>
      </c>
      <c r="O541" s="66" t="n"/>
      <c r="P541" s="66" t="n">
        <v>16464000</v>
      </c>
      <c r="Q541" s="66" t="n">
        <v>17734000</v>
      </c>
      <c r="R541" s="66" t="n"/>
      <c r="S541" s="66" t="n"/>
      <c r="T541" s="66" t="n">
        <v>184862000</v>
      </c>
      <c r="U541" s="66" t="n">
        <v>186220000</v>
      </c>
      <c r="V541" s="66" t="n">
        <v>30114000</v>
      </c>
      <c r="W541" s="66" t="n"/>
      <c r="X541" s="66" t="n">
        <v>341576000</v>
      </c>
      <c r="Y541" s="66" t="n">
        <v>117596000</v>
      </c>
      <c r="Z541" s="66" t="n"/>
      <c r="AA541" s="66" t="n">
        <v>71135000</v>
      </c>
      <c r="AB541" s="66" t="n">
        <v>70335000</v>
      </c>
      <c r="AC541" s="66" t="n">
        <v>9387000</v>
      </c>
      <c r="AD541" s="66" t="n"/>
      <c r="AE541" s="66" t="n">
        <v>328663000</v>
      </c>
      <c r="AF541" s="66" t="n">
        <v>325849000</v>
      </c>
      <c r="AG541" s="67">
        <f>MROUND(FORECAST(AE541,AE529:AE540,AG529:AG540)*-0.5,100000)</f>
        <v/>
      </c>
      <c r="AH541" s="66" t="n"/>
      <c r="AI541" s="66" t="n">
        <v>130245000</v>
      </c>
      <c r="AJ541" s="66" t="n">
        <v>128383000</v>
      </c>
      <c r="AK541" s="67">
        <f>MROUND(FORECAST(AI541,AI529:AI540,AK529:AK540)*0.1,100000)</f>
        <v/>
      </c>
      <c r="AL541" s="66" t="n"/>
      <c r="AM541" s="66" t="n">
        <v>16464000</v>
      </c>
      <c r="AN541" s="66" t="n">
        <v>17734000</v>
      </c>
      <c r="AO541" s="67">
        <f>MROUND(FORECAST(AN541,AN529:AN540,AO529:AO540),100000)</f>
        <v/>
      </c>
      <c r="AP541" s="66" t="n"/>
      <c r="AQ541" s="66" t="n">
        <v>212600000</v>
      </c>
      <c r="AS541" s="67">
        <f>MROUND(FORECAST(AQ541,AQ529:AQ540,AS529:AS540),100000)</f>
        <v/>
      </c>
    </row>
    <row r="542">
      <c r="A542" s="60" t="n">
        <v>45474</v>
      </c>
      <c r="B542" s="66" t="n">
        <v>94425000</v>
      </c>
      <c r="C542" s="66" t="n">
        <v>94565000</v>
      </c>
      <c r="D542" s="66" t="n">
        <v>6239000</v>
      </c>
      <c r="E542" s="66" t="n"/>
      <c r="F542" s="66" t="n">
        <v>79065000</v>
      </c>
      <c r="G542" s="66" t="n">
        <v>20558000</v>
      </c>
      <c r="H542" s="66" t="n"/>
      <c r="I542" s="66" t="n">
        <v>21403000</v>
      </c>
      <c r="J542" s="66" t="n">
        <v>22046000</v>
      </c>
      <c r="K542" s="66" t="n">
        <v>10231000</v>
      </c>
      <c r="L542" s="66" t="n"/>
      <c r="M542" s="66" t="n">
        <v>367803000</v>
      </c>
      <c r="N542" s="66" t="n">
        <v>55207000</v>
      </c>
      <c r="O542" s="66" t="n"/>
      <c r="P542" s="66" t="n">
        <v>16617000</v>
      </c>
      <c r="Q542" s="66" t="n">
        <v>17767000</v>
      </c>
      <c r="R542" s="66" t="n"/>
      <c r="S542" s="66" t="n"/>
      <c r="T542" s="66" t="n">
        <v>171546000</v>
      </c>
      <c r="U542" s="66" t="n">
        <v>165052000</v>
      </c>
      <c r="V542" s="66" t="n">
        <v>36608000</v>
      </c>
      <c r="W542" s="66" t="n"/>
      <c r="X542" s="66" t="n">
        <v>296694000</v>
      </c>
      <c r="Y542" s="66" t="n">
        <v>113701000</v>
      </c>
      <c r="Z542" s="66" t="n"/>
      <c r="AA542" s="66" t="n">
        <v>88627000</v>
      </c>
      <c r="AB542" s="66" t="n">
        <v>89241000</v>
      </c>
      <c r="AC542" s="66" t="n">
        <v>10196000</v>
      </c>
      <c r="AD542" s="66" t="n"/>
      <c r="AE542" s="66" t="n">
        <v>298411000</v>
      </c>
      <c r="AF542" s="66" t="n">
        <v>299912000</v>
      </c>
      <c r="AG542" s="67">
        <f>MROUND(FORECAST(AE542,AE530:AE541,AG530:AG541)*1.5,100000)</f>
        <v/>
      </c>
      <c r="AH542" s="66" t="n"/>
      <c r="AI542" s="66" t="n">
        <v>107300000</v>
      </c>
      <c r="AJ542" s="66" t="n">
        <v>107498000</v>
      </c>
      <c r="AK542" s="67">
        <f>MROUND(FORECAST(AI542,AI530:AI541,AK530:AK541)*0.1,100000)</f>
        <v/>
      </c>
      <c r="AL542" s="66" t="n"/>
      <c r="AM542" s="66" t="n">
        <v>16617000</v>
      </c>
      <c r="AN542" s="66" t="n">
        <v>17767000</v>
      </c>
      <c r="AO542" s="67">
        <f>MROUND(FORECAST(AN542,AN530:AN541,AO530:AO541),100000)</f>
        <v/>
      </c>
      <c r="AP542" s="66" t="n"/>
      <c r="AQ542" s="66" t="n">
        <v>212860000</v>
      </c>
      <c r="AS542" s="67">
        <f>MROUND(FORECAST(AQ542,AQ530:AQ541,AS530:AS541),100000)</f>
        <v/>
      </c>
    </row>
    <row r="543">
      <c r="A543" s="60" t="n">
        <v>45505</v>
      </c>
      <c r="B543" s="66" t="n">
        <v>112258000</v>
      </c>
      <c r="C543" s="66" t="n">
        <v>109520000</v>
      </c>
      <c r="D543" s="66" t="n">
        <v>8976000</v>
      </c>
      <c r="E543" s="66" t="n"/>
      <c r="F543" s="66" t="n">
        <v>97273000</v>
      </c>
      <c r="G543" s="66" t="n">
        <v>21159000</v>
      </c>
      <c r="H543" s="66" t="n"/>
      <c r="I543" s="66" t="n">
        <v>21400000</v>
      </c>
      <c r="J543" s="66" t="n">
        <v>24090000</v>
      </c>
      <c r="K543" s="66" t="n">
        <v>10529000</v>
      </c>
      <c r="L543" s="66" t="n"/>
      <c r="M543" s="66" t="n">
        <v>411379000</v>
      </c>
      <c r="N543" s="66" t="n">
        <v>57156000</v>
      </c>
      <c r="O543" s="66" t="n"/>
      <c r="P543" s="66" t="n">
        <v>18951000</v>
      </c>
      <c r="Q543" s="66" t="n">
        <v>16054000</v>
      </c>
      <c r="R543" s="66" t="n"/>
      <c r="S543" s="66" t="n"/>
      <c r="T543" s="66" t="n">
        <v>213265000</v>
      </c>
      <c r="U543" s="66" t="n">
        <v>211701000</v>
      </c>
      <c r="V543" s="66" t="n">
        <v>38172000</v>
      </c>
      <c r="W543" s="66" t="n"/>
      <c r="X543" s="66" t="n">
        <v>360302000</v>
      </c>
      <c r="Y543" s="66" t="n">
        <v>123110000</v>
      </c>
      <c r="Z543" s="66" t="n"/>
      <c r="AA543" s="66" t="n">
        <v>106608000</v>
      </c>
      <c r="AB543" s="66" t="n">
        <v>105893000</v>
      </c>
      <c r="AC543" s="66" t="n">
        <v>11075000</v>
      </c>
      <c r="AD543" s="66" t="n"/>
      <c r="AE543" s="66" t="n">
        <v>327887000</v>
      </c>
      <c r="AF543" s="66" t="n">
        <v>336585000</v>
      </c>
      <c r="AG543" s="67">
        <f>MROUND(FORECAST(AE543,AE531:AE542,AG531:AG542)*3,100000)</f>
        <v/>
      </c>
      <c r="AH543" s="66" t="n"/>
      <c r="AI543" s="66" t="n">
        <v>126244000</v>
      </c>
      <c r="AJ543" s="66" t="n">
        <v>125486000</v>
      </c>
      <c r="AK543" s="67">
        <f>MROUND(FORECAST(AI543,AI531:AI542,AK531:AK542)*0.1,100000)</f>
        <v/>
      </c>
      <c r="AL543" s="66" t="n"/>
      <c r="AM543" s="66" t="n">
        <v>18951000</v>
      </c>
      <c r="AN543" s="66" t="n">
        <v>16054000</v>
      </c>
      <c r="AO543" s="67">
        <f>MROUND(FORECAST(AN543,AN531:AN542,AO531:AO542),100000)</f>
        <v/>
      </c>
      <c r="AP543" s="66" t="n"/>
      <c r="AQ543" s="66" t="n">
        <v>216790000</v>
      </c>
      <c r="AS543" s="67">
        <f>MROUND(FORECAST(AQ543,AQ531:AQ542,AS531:AS542),100000)</f>
        <v/>
      </c>
    </row>
    <row r="544">
      <c r="A544" s="60" t="n">
        <v>45536</v>
      </c>
      <c r="B544" s="66" t="n">
        <v>95907000</v>
      </c>
      <c r="C544" s="66" t="n">
        <v>95788000</v>
      </c>
      <c r="D544" s="66" t="n">
        <v>9095000</v>
      </c>
      <c r="E544" s="66" t="n"/>
      <c r="F544" s="66" t="n">
        <v>87291000</v>
      </c>
      <c r="G544" s="66" t="n">
        <v>19437000</v>
      </c>
      <c r="H544" s="66" t="n"/>
      <c r="I544" s="66" t="n">
        <v>26280000</v>
      </c>
      <c r="J544" s="66" t="n">
        <v>28661000</v>
      </c>
      <c r="K544" s="66" t="n">
        <v>12241000</v>
      </c>
      <c r="L544" s="66" t="n"/>
      <c r="M544" s="66" t="n">
        <v>451653000</v>
      </c>
      <c r="N544" s="66" t="n">
        <v>62426000</v>
      </c>
      <c r="O544" s="66" t="n"/>
      <c r="P544" s="66" t="n">
        <v>19694000</v>
      </c>
      <c r="Q544" s="66" t="n">
        <v>19249000</v>
      </c>
      <c r="R544" s="66" t="n"/>
      <c r="S544" s="66" t="n"/>
      <c r="T544" s="66" t="n">
        <v>194226000</v>
      </c>
      <c r="U544" s="66" t="n">
        <v>195852000</v>
      </c>
      <c r="V544" s="66" t="n">
        <v>36546000</v>
      </c>
      <c r="W544" s="66" t="n"/>
      <c r="X544" s="66" t="n">
        <v>347625000</v>
      </c>
      <c r="Y544" s="66" t="n">
        <v>123959000</v>
      </c>
      <c r="Z544" s="66" t="n"/>
      <c r="AA544" s="66" t="n">
        <v>112522000</v>
      </c>
      <c r="AB544" s="66" t="n">
        <v>102309000</v>
      </c>
      <c r="AC544" s="66" t="n">
        <v>21584000</v>
      </c>
      <c r="AD544" s="66" t="n"/>
      <c r="AE544" s="66" t="n">
        <v>333825000</v>
      </c>
      <c r="AF544" s="66" t="n">
        <v>342062000</v>
      </c>
      <c r="AG544" s="66" t="n">
        <v>69723000</v>
      </c>
      <c r="AH544" s="66" t="n"/>
      <c r="AI544" s="66" t="n">
        <v>124006000</v>
      </c>
      <c r="AJ544" s="66" t="n">
        <v>124853000</v>
      </c>
      <c r="AK544" s="67">
        <f>MROUND(FORECAST(AI544,AI532:AI543,AK532:AK543)*0.1,100000)</f>
        <v/>
      </c>
      <c r="AL544" s="66" t="n"/>
      <c r="AM544" s="66" t="n">
        <v>19694000</v>
      </c>
      <c r="AN544" s="66" t="n">
        <v>19249000</v>
      </c>
      <c r="AO544" s="67">
        <f>MROUND(FORECAST(AN544,AN532:AN543,AO532:AO543),100000)</f>
        <v/>
      </c>
      <c r="AP544" s="66" t="n"/>
      <c r="AQ544" s="66" t="n">
        <v>202390000</v>
      </c>
      <c r="AS544" s="67">
        <f>MROUND(FORECAST(AQ544,AQ532:AQ543,AS532:AS543),100000)</f>
        <v/>
      </c>
    </row>
    <row r="545">
      <c r="A545" s="60" t="n">
        <v>45566</v>
      </c>
      <c r="B545" s="66" t="n">
        <v>93742000</v>
      </c>
      <c r="C545" s="66" t="n">
        <v>91988000</v>
      </c>
      <c r="D545" s="66" t="n">
        <v>10816000</v>
      </c>
      <c r="E545" s="66" t="n"/>
      <c r="F545" s="66" t="n">
        <v>87794000</v>
      </c>
      <c r="G545" s="66" t="n">
        <v>18823000</v>
      </c>
      <c r="H545" s="66" t="n"/>
      <c r="I545" s="66" t="n">
        <v>21030000</v>
      </c>
      <c r="J545" s="66" t="n">
        <v>26669000</v>
      </c>
      <c r="K545" s="66" t="n">
        <v>6603000</v>
      </c>
      <c r="L545" s="66" t="n"/>
      <c r="M545" s="66" t="n">
        <v>435975000</v>
      </c>
      <c r="N545" s="66" t="n">
        <v>54956000</v>
      </c>
      <c r="O545" s="66" t="n"/>
      <c r="P545" s="66" t="n">
        <v>18854000</v>
      </c>
      <c r="Q545" s="66" t="n">
        <v>16685000</v>
      </c>
      <c r="R545" s="66" t="n"/>
      <c r="S545" s="66" t="n"/>
      <c r="T545" s="66" t="n">
        <v>186316000</v>
      </c>
      <c r="U545" s="66" t="n">
        <v>183375000</v>
      </c>
      <c r="V545" s="66" t="n">
        <v>39499000</v>
      </c>
      <c r="W545" s="66" t="n"/>
      <c r="X545" s="66" t="n">
        <v>332150000</v>
      </c>
      <c r="Y545" s="66" t="n">
        <v>106117000</v>
      </c>
      <c r="Z545" s="66" t="n"/>
      <c r="AA545" s="66" t="n">
        <v>75180000</v>
      </c>
      <c r="AB545" s="66" t="n">
        <v>79754000</v>
      </c>
      <c r="AC545" s="66" t="n">
        <v>15598000</v>
      </c>
      <c r="AD545" s="66" t="n"/>
      <c r="AE545" s="66" t="n">
        <v>322944000</v>
      </c>
      <c r="AF545" s="66" t="n">
        <v>317571000</v>
      </c>
      <c r="AG545" s="66" t="n">
        <v>75096000</v>
      </c>
      <c r="AH545" s="66" t="n"/>
      <c r="AI545" s="66" t="n">
        <v>131279000</v>
      </c>
      <c r="AJ545" s="66" t="n">
        <v>125090000</v>
      </c>
      <c r="AK545" s="67">
        <f>MROUND(FORECAST(AI545,AI533:AI544,AK533:AK544)*0.1,100000)</f>
        <v/>
      </c>
      <c r="AL545" s="66" t="n"/>
      <c r="AM545" s="66" t="n">
        <v>18854000</v>
      </c>
      <c r="AN545" s="66" t="n">
        <v>16685000</v>
      </c>
      <c r="AO545" s="67">
        <f>MROUND(FORECAST(AN545,AN533:AN544,AO533:AO544),100000)</f>
        <v/>
      </c>
      <c r="AP545" s="66" t="n"/>
      <c r="AQ545" s="66" t="n">
        <v>210090000</v>
      </c>
      <c r="AS545" s="67">
        <f>MROUND(FORECAST(AQ545,AQ533:AQ544,AS533:AS544),100000)</f>
        <v/>
      </c>
    </row>
    <row r="546">
      <c r="A546" s="60" t="n">
        <v>45597</v>
      </c>
      <c r="B546" s="66" t="n">
        <v>117111000</v>
      </c>
      <c r="C546" s="66" t="n">
        <v>121360000</v>
      </c>
      <c r="D546" s="66" t="n">
        <v>6567000</v>
      </c>
      <c r="E546" s="66" t="n"/>
      <c r="F546" s="66" t="n">
        <v>96300000</v>
      </c>
      <c r="G546" s="66" t="n">
        <v>19638000</v>
      </c>
      <c r="H546" s="66" t="n"/>
      <c r="I546" s="66" t="n">
        <v>21857000</v>
      </c>
      <c r="J546" s="66" t="n">
        <v>23825000</v>
      </c>
      <c r="K546" s="66" t="n">
        <v>4443000</v>
      </c>
      <c r="L546" s="66" t="n"/>
      <c r="M546" s="66" t="n">
        <v>440702000</v>
      </c>
      <c r="N546" s="66" t="n">
        <v>59674000</v>
      </c>
      <c r="O546" s="66" t="n"/>
      <c r="P546" s="66" t="n">
        <v>21753000</v>
      </c>
      <c r="Q546" s="66" t="n">
        <v>20876000</v>
      </c>
      <c r="R546" s="66" t="n"/>
      <c r="S546" s="66" t="n"/>
      <c r="T546" s="66" t="n">
        <v>204188000</v>
      </c>
      <c r="U546" s="66" t="n">
        <v>210113000</v>
      </c>
      <c r="V546" s="66" t="n">
        <v>33574000</v>
      </c>
      <c r="W546" s="66" t="n"/>
      <c r="X546" s="66" t="n">
        <v>354307000</v>
      </c>
      <c r="Y546" s="66" t="n">
        <v>106969000</v>
      </c>
      <c r="Z546" s="66" t="n"/>
      <c r="AA546" s="66" t="n">
        <v>80482000</v>
      </c>
      <c r="AB546" s="66" t="n">
        <v>83440000</v>
      </c>
      <c r="AC546" s="66" t="n">
        <v>14349000</v>
      </c>
      <c r="AD546" s="66" t="n"/>
      <c r="AE546" s="66" t="n">
        <v>319430000</v>
      </c>
      <c r="AF546" s="66" t="n">
        <v>323709000</v>
      </c>
      <c r="AG546" s="66" t="n">
        <v>70818000</v>
      </c>
      <c r="AH546" s="66" t="n"/>
      <c r="AI546" s="66" t="n">
        <v>134648000</v>
      </c>
      <c r="AJ546" s="66" t="n">
        <v>136818000</v>
      </c>
      <c r="AK546" s="67">
        <f>MROUND(FORECAST(AI546,AI534:AI545,AK534:AK545)*0.1,100000)</f>
        <v/>
      </c>
      <c r="AL546" s="66" t="n"/>
      <c r="AM546" s="66" t="n">
        <v>21753000</v>
      </c>
      <c r="AN546" s="66" t="n">
        <v>20876000</v>
      </c>
      <c r="AO546" s="67">
        <f>MROUND(FORECAST(AN546,AN534:AN545,AO534:AO545),100000)</f>
        <v/>
      </c>
      <c r="AP546" s="66" t="n"/>
      <c r="AQ546" s="66" t="n">
        <v>204550000</v>
      </c>
      <c r="AS546" s="67">
        <f>MROUND(FORECAST(AQ546,AQ534:AQ545,AS534:AS545),100000)</f>
        <v/>
      </c>
    </row>
    <row r="547">
      <c r="A547" s="60" t="n">
        <v>45627</v>
      </c>
      <c r="B547" s="66" t="n">
        <v>101498000</v>
      </c>
      <c r="C547" s="66" t="n">
        <v>98224000</v>
      </c>
      <c r="D547" s="66" t="n">
        <v>9840000</v>
      </c>
      <c r="E547" s="66" t="n"/>
      <c r="F547" s="66" t="n">
        <v>81125000</v>
      </c>
      <c r="G547" s="66" t="n">
        <v>18083000</v>
      </c>
      <c r="H547" s="66" t="n"/>
      <c r="I547" s="66" t="n">
        <v>25196000</v>
      </c>
      <c r="J547" s="66" t="n">
        <v>22490000</v>
      </c>
      <c r="K547" s="66" t="n">
        <v>8215000</v>
      </c>
      <c r="L547" s="66" t="n"/>
      <c r="M547" s="66" t="n">
        <v>411998000</v>
      </c>
      <c r="N547" s="66" t="n">
        <v>59046000</v>
      </c>
      <c r="O547" s="66" t="n"/>
      <c r="P547" s="66" t="n">
        <v>13254000</v>
      </c>
      <c r="Q547" s="66" t="n">
        <v>15579000</v>
      </c>
      <c r="R547" s="66" t="n"/>
      <c r="S547" s="66" t="n"/>
      <c r="T547" s="66" t="n">
        <v>176754000</v>
      </c>
      <c r="U547" s="66" t="n">
        <v>180487000</v>
      </c>
      <c r="V547" s="66" t="n">
        <v>29704000</v>
      </c>
      <c r="W547" s="66" t="n"/>
      <c r="X547" s="66" t="n">
        <v>326444000</v>
      </c>
      <c r="Y547" s="66" t="n">
        <v>123430000</v>
      </c>
      <c r="Z547" s="66" t="n"/>
      <c r="AA547" s="66" t="n">
        <v>75600000</v>
      </c>
      <c r="AB547" s="66" t="n">
        <v>73459000</v>
      </c>
      <c r="AC547" s="66" t="n">
        <v>16717000</v>
      </c>
      <c r="AD547" s="66" t="n"/>
      <c r="AE547" s="66" t="n">
        <v>301843000</v>
      </c>
      <c r="AF547" s="66" t="n">
        <v>307225000</v>
      </c>
      <c r="AG547" s="66" t="n">
        <v>65438000</v>
      </c>
      <c r="AH547" s="66" t="n"/>
      <c r="AI547" s="66" t="n">
        <v>115751000</v>
      </c>
      <c r="AJ547" s="66" t="n">
        <v>118338000</v>
      </c>
      <c r="AK547" s="67">
        <f>MROUND(FORECAST(AI547,AI535:AI546,AK535:AK546)*-0.375,100000)</f>
        <v/>
      </c>
      <c r="AL547" s="66" t="n"/>
      <c r="AM547" s="66" t="n">
        <v>13254000</v>
      </c>
      <c r="AN547" s="66" t="n">
        <v>15579000</v>
      </c>
      <c r="AO547" s="67">
        <f>MROUND(FORECAST(AN547,AN535:AN546,AO535:AO546),100000)</f>
        <v/>
      </c>
      <c r="AP547" s="66" t="n"/>
      <c r="AQ547" s="66" t="n">
        <v>234590000</v>
      </c>
      <c r="AS547" s="67">
        <f>MROUND(FORECAST(AQ547,AQ535:AQ546,AS535:AS546),100000)</f>
        <v/>
      </c>
    </row>
    <row r="548">
      <c r="A548" s="60" t="n">
        <v>45658</v>
      </c>
      <c r="B548" s="66" t="n">
        <v>103403000</v>
      </c>
      <c r="C548" s="66" t="n">
        <v>102953000</v>
      </c>
      <c r="D548" s="66" t="n">
        <v>10290000</v>
      </c>
      <c r="E548" s="66" t="n"/>
      <c r="F548" s="66" t="n">
        <v>80725000</v>
      </c>
      <c r="G548" s="66" t="n">
        <v>20690000</v>
      </c>
      <c r="H548" s="66" t="n"/>
      <c r="I548" s="66" t="n">
        <v>24149000</v>
      </c>
      <c r="J548" s="66" t="n">
        <v>22536000</v>
      </c>
      <c r="K548" s="66" t="n">
        <v>9757000</v>
      </c>
      <c r="L548" s="66" t="n"/>
      <c r="M548" s="66" t="n">
        <v>387680000</v>
      </c>
      <c r="N548" s="66" t="n">
        <v>57264000</v>
      </c>
      <c r="O548" s="66" t="n"/>
      <c r="P548" s="66" t="n">
        <v>20134000</v>
      </c>
      <c r="Q548" s="66" t="n">
        <v>20784000</v>
      </c>
      <c r="R548" s="66" t="n"/>
      <c r="S548" s="66" t="n"/>
      <c r="T548" s="66" t="n">
        <v>171926000</v>
      </c>
      <c r="U548" s="66" t="n">
        <v>164605000</v>
      </c>
      <c r="V548" s="66" t="n">
        <v>37025000</v>
      </c>
      <c r="W548" s="66" t="n"/>
      <c r="X548" s="66" t="n">
        <v>325560000</v>
      </c>
      <c r="Y548" s="66" t="n">
        <v>122805000</v>
      </c>
      <c r="Z548" s="66" t="n"/>
      <c r="AA548" s="66" t="n">
        <v>70582000</v>
      </c>
      <c r="AB548" s="66" t="n">
        <v>76090000</v>
      </c>
      <c r="AC548" s="66" t="n">
        <v>11210000</v>
      </c>
      <c r="AD548" s="66" t="n"/>
      <c r="AE548" s="66" t="n">
        <v>302232000</v>
      </c>
      <c r="AF548" s="66" t="n">
        <v>287147000</v>
      </c>
      <c r="AG548" s="66" t="n">
        <v>80522000</v>
      </c>
      <c r="AH548" s="66" t="n"/>
      <c r="AI548" s="66" t="n">
        <v>115260000</v>
      </c>
      <c r="AJ548" s="66" t="n">
        <v>113289000</v>
      </c>
      <c r="AK548" s="67">
        <f>MROUND(FORECAST(AI548,AI536:AI547,AK536:AK547)*-0.375,100000)</f>
        <v/>
      </c>
      <c r="AL548" s="66" t="n"/>
      <c r="AM548" s="66" t="n">
        <v>20134000</v>
      </c>
      <c r="AN548" s="66" t="n">
        <v>20784000</v>
      </c>
      <c r="AO548" s="67">
        <f>MROUND(FORECAST(AN548,AN536:AN547,AO536:AO547),100000)</f>
        <v/>
      </c>
      <c r="AP548" s="66" t="n"/>
      <c r="AQ548" s="66" t="n">
        <v>232670000</v>
      </c>
      <c r="AS548" s="67">
        <f>MROUND(FORECAST(AQ548,AQ536:AQ547,AS536:AS547),100000)</f>
        <v/>
      </c>
    </row>
    <row r="549">
      <c r="A549" s="60" t="n">
        <v>45689</v>
      </c>
      <c r="B549" s="66" t="n">
        <v>108755000</v>
      </c>
      <c r="C549" s="66" t="n">
        <v>111839000</v>
      </c>
      <c r="D549" s="66" t="n">
        <v>7206000</v>
      </c>
      <c r="E549" s="66" t="n"/>
      <c r="F549" s="66" t="n">
        <v>98066000</v>
      </c>
      <c r="G549" s="66" t="n">
        <v>18032000</v>
      </c>
      <c r="H549" s="66" t="n"/>
      <c r="I549" s="66" t="n">
        <v>27025000</v>
      </c>
      <c r="J549" s="66" t="n">
        <v>25725000</v>
      </c>
      <c r="K549" s="66" t="n">
        <v>10066000</v>
      </c>
      <c r="L549" s="66" t="n"/>
      <c r="M549" s="66" t="n">
        <v>460490000</v>
      </c>
      <c r="N549" s="66" t="n">
        <v>50045000</v>
      </c>
      <c r="O549" s="66" t="n"/>
      <c r="P549" s="66" t="n">
        <v>22239000</v>
      </c>
      <c r="Q549" s="66" t="n">
        <v>21480000</v>
      </c>
      <c r="R549" s="66" t="n"/>
      <c r="S549" s="66" t="n"/>
      <c r="T549" s="66" t="n">
        <v>202186000</v>
      </c>
      <c r="U549" s="66" t="n">
        <v>203133000</v>
      </c>
      <c r="V549" s="66" t="n">
        <v>36078000</v>
      </c>
      <c r="W549" s="66" t="n"/>
      <c r="X549" s="66" t="n">
        <v>383911000</v>
      </c>
      <c r="Y549" s="66" t="n">
        <v>97313000</v>
      </c>
      <c r="Z549" s="66" t="n"/>
      <c r="AA549" s="66" t="n">
        <v>93267000</v>
      </c>
      <c r="AB549" s="66" t="n">
        <v>94284000</v>
      </c>
      <c r="AC549" s="66" t="n">
        <v>10391000</v>
      </c>
      <c r="AD549" s="66" t="n"/>
      <c r="AE549" s="66" t="n">
        <v>345356000</v>
      </c>
      <c r="AF549" s="66" t="n">
        <v>345804000</v>
      </c>
      <c r="AG549" s="66" t="n">
        <v>81102000</v>
      </c>
      <c r="AH549" s="66" t="n"/>
      <c r="AI549" s="66" t="n">
        <v>126650000</v>
      </c>
      <c r="AJ549" s="66" t="n">
        <v>125198000</v>
      </c>
      <c r="AK549" s="67">
        <f>MROUND(FORECAST(AI549,AI537:AI548,AK537:AK548)*0.375,100000)</f>
        <v/>
      </c>
      <c r="AL549" s="66" t="n"/>
      <c r="AM549" s="66" t="n">
        <v>22239000</v>
      </c>
      <c r="AN549" s="66" t="n">
        <v>21480000</v>
      </c>
      <c r="AO549" s="67">
        <f>MROUND(FORECAST(AN549,AN537:AN548,AO537:AO548),100000)</f>
        <v/>
      </c>
      <c r="AP549" s="66" t="n"/>
      <c r="AQ549" s="66" t="n">
        <v>232670000</v>
      </c>
      <c r="AS549" s="67">
        <f>MROUND(FORECAST(AQ549,AQ537:AQ548,AS537:AS548),100000)</f>
        <v/>
      </c>
    </row>
    <row r="550">
      <c r="A550" s="60" t="n">
        <v>45717</v>
      </c>
      <c r="B550" s="66" t="n">
        <v>99641000</v>
      </c>
      <c r="C550" s="66" t="n">
        <v>101945000</v>
      </c>
      <c r="D550" s="66" t="n">
        <v>12003000</v>
      </c>
      <c r="E550" s="66" t="n"/>
      <c r="F550" s="66" t="n">
        <v>85318000</v>
      </c>
      <c r="G550" s="66" t="n">
        <v>14335000</v>
      </c>
      <c r="H550" s="66" t="n"/>
      <c r="I550" s="66" t="n">
        <v>21193000</v>
      </c>
      <c r="J550" s="66" t="n">
        <v>24373000</v>
      </c>
      <c r="K550" s="66" t="n"/>
      <c r="L550" s="66" t="n"/>
      <c r="M550" s="66" t="n">
        <v>428942000</v>
      </c>
      <c r="N550" s="66" t="n">
        <v>50065000</v>
      </c>
      <c r="O550" s="66" t="n"/>
      <c r="P550" s="66" t="n">
        <v>27003000</v>
      </c>
      <c r="Q550" s="66" t="n">
        <v>26901000</v>
      </c>
      <c r="R550" s="66" t="n"/>
      <c r="S550" s="66" t="n"/>
      <c r="T550" s="66" t="n">
        <v>171939000</v>
      </c>
      <c r="U550" s="66" t="n">
        <v>174928000</v>
      </c>
      <c r="V550" s="66" t="n">
        <v>33089000</v>
      </c>
      <c r="W550" s="66" t="n"/>
      <c r="X550" s="66" t="n">
        <v>352668000</v>
      </c>
      <c r="Y550" s="66" t="n">
        <v>101888000</v>
      </c>
      <c r="Z550" s="66" t="n"/>
      <c r="AA550" s="66" t="n">
        <v>80298000</v>
      </c>
      <c r="AB550" s="66" t="n">
        <v>81152000</v>
      </c>
      <c r="AC550" s="66" t="n">
        <v>9663000</v>
      </c>
      <c r="AD550" s="66" t="n"/>
      <c r="AE550" s="66" t="n">
        <v>337732000</v>
      </c>
      <c r="AF550" s="66" t="n">
        <v>336276000</v>
      </c>
      <c r="AG550" s="67">
        <f>MROUND(FORECAST(AE550,AE538:AE549,AG538:AG549)*0.3,100000)</f>
        <v/>
      </c>
      <c r="AH550" s="66" t="n"/>
      <c r="AI550" s="66" t="n">
        <v>126388000</v>
      </c>
      <c r="AJ550" s="66" t="n">
        <v>129918000</v>
      </c>
      <c r="AK550" s="66" t="n">
        <v>6099000</v>
      </c>
      <c r="AL550" s="66" t="n"/>
      <c r="AM550" s="66" t="n">
        <v>27003000</v>
      </c>
      <c r="AN550" s="66" t="n">
        <v>26901000</v>
      </c>
      <c r="AO550" s="67">
        <f>MROUND(FORECAST(AN550,AN538:AN549,AO538:AO549),100000)</f>
        <v/>
      </c>
      <c r="AP550" s="66" t="n"/>
      <c r="AQ550" s="66" t="n">
        <v>232670000</v>
      </c>
      <c r="AS550" s="67">
        <f>MROUND(FORECAST(AQ550,AQ538:AQ549,AS538:AS549),100000)</f>
        <v/>
      </c>
    </row>
    <row r="551">
      <c r="A551" s="60" t="n">
        <v>45748</v>
      </c>
      <c r="B551" s="66" t="n">
        <v>104584000</v>
      </c>
      <c r="C551" s="66" t="n">
        <v>105542000</v>
      </c>
      <c r="D551" s="66" t="n">
        <v>6818000</v>
      </c>
      <c r="E551" s="66" t="n"/>
      <c r="F551" s="66" t="n">
        <v>79440000</v>
      </c>
      <c r="G551" s="66" t="n">
        <v>18235000</v>
      </c>
      <c r="H551" s="66" t="n"/>
      <c r="I551" s="66" t="n">
        <v>23692000</v>
      </c>
      <c r="J551" s="66" t="n">
        <v>24044000</v>
      </c>
      <c r="K551" s="66" t="n">
        <v>13584000</v>
      </c>
      <c r="L551" s="66" t="n"/>
      <c r="M551" s="66" t="n">
        <v>397752000</v>
      </c>
      <c r="N551" s="66" t="n">
        <v>47453000</v>
      </c>
      <c r="O551" s="66" t="n"/>
      <c r="P551" s="66" t="n">
        <v>17150000</v>
      </c>
      <c r="Q551" s="66" t="n">
        <v>19951000</v>
      </c>
      <c r="R551" s="66" t="n"/>
      <c r="S551" s="66" t="n"/>
      <c r="T551" s="66" t="n">
        <v>160609000</v>
      </c>
      <c r="U551" s="66" t="n">
        <v>156528000</v>
      </c>
      <c r="V551" s="66" t="n">
        <v>37016000</v>
      </c>
      <c r="W551" s="66" t="n"/>
      <c r="X551" s="66" t="n">
        <v>310867000</v>
      </c>
      <c r="Y551" s="66" t="n">
        <v>107098000</v>
      </c>
      <c r="Z551" s="66" t="n"/>
      <c r="AA551" s="66" t="n">
        <v>88295000</v>
      </c>
      <c r="AB551" s="66" t="n">
        <v>88703000</v>
      </c>
      <c r="AC551" s="66" t="n">
        <v>9797000</v>
      </c>
      <c r="AD551" s="66" t="n"/>
      <c r="AE551" s="66" t="n">
        <v>311927000</v>
      </c>
      <c r="AF551" s="66" t="n">
        <v>325879000</v>
      </c>
      <c r="AG551" s="66" t="n">
        <v>67792000</v>
      </c>
      <c r="AH551" s="66" t="n"/>
      <c r="AI551" s="66" t="n">
        <v>116221000</v>
      </c>
      <c r="AJ551" s="66" t="n">
        <v>117195000</v>
      </c>
      <c r="AK551" s="67">
        <f>MROUND(FORECAST(AI551,AI539:AI550,AK539:AK550)*0.125,100000)</f>
        <v/>
      </c>
      <c r="AL551" s="66" t="n"/>
      <c r="AM551" s="66" t="n">
        <v>17150000</v>
      </c>
      <c r="AN551" s="66" t="n">
        <v>19951000</v>
      </c>
      <c r="AO551" s="67">
        <f>MROUND(FORECAST(AN551,AN539:AN550,AO539:AO550),100000)</f>
        <v/>
      </c>
      <c r="AP551" s="66" t="n"/>
      <c r="AQ551" s="66" t="n">
        <v>232670000</v>
      </c>
      <c r="AS551" s="67">
        <f>MROUND(FORECAST(AQ551,AQ539:AQ550,AS539:AS550),100000)</f>
        <v/>
      </c>
    </row>
    <row r="552">
      <c r="A552" s="60" t="n">
        <v>45778</v>
      </c>
      <c r="B552" s="66" t="n">
        <v>107514000</v>
      </c>
      <c r="C552" s="66" t="n">
        <v>106545000</v>
      </c>
      <c r="D552" s="66" t="n">
        <v>7787000</v>
      </c>
      <c r="E552" s="66" t="n"/>
      <c r="F552" s="66" t="n">
        <v>94869000</v>
      </c>
      <c r="G552" s="66" t="n">
        <v>19394000</v>
      </c>
      <c r="H552" s="66" t="n"/>
      <c r="I552" s="66" t="n">
        <v>25183000</v>
      </c>
      <c r="J552" s="66" t="n">
        <v>27928000</v>
      </c>
      <c r="K552" s="66" t="n">
        <v>14052000</v>
      </c>
      <c r="L552" s="66" t="n"/>
      <c r="M552" s="66" t="n">
        <v>419191000</v>
      </c>
      <c r="N552" s="66" t="n">
        <v>47459000</v>
      </c>
      <c r="O552" s="66" t="n"/>
      <c r="P552" s="66" t="n">
        <v>17847000</v>
      </c>
      <c r="Q552" s="66" t="n">
        <v>16330000</v>
      </c>
      <c r="R552" s="66" t="n"/>
      <c r="S552" s="66" t="n"/>
      <c r="T552" s="66" t="n">
        <v>193278000</v>
      </c>
      <c r="U552" s="66" t="n">
        <v>191352000</v>
      </c>
      <c r="V552" s="66" t="n">
        <v>38941000</v>
      </c>
      <c r="W552" s="66" t="n"/>
      <c r="X552" s="66" t="n">
        <v>360088000</v>
      </c>
      <c r="Y552" s="66" t="n">
        <v>110682000</v>
      </c>
      <c r="Z552" s="66" t="n"/>
      <c r="AA552" s="66" t="n">
        <v>95370000</v>
      </c>
      <c r="AB552" s="66" t="n">
        <v>93623000</v>
      </c>
      <c r="AC552" s="66" t="n">
        <v>11668000</v>
      </c>
      <c r="AD552" s="66" t="n"/>
      <c r="AE552" s="66" t="n">
        <v>322825000</v>
      </c>
      <c r="AF552" s="66" t="n">
        <v>309399000</v>
      </c>
      <c r="AG552" s="67">
        <f>MROUND(FORECAST(AE552,AE540:AE551,AG540:AG551)*0.2,100000)</f>
        <v/>
      </c>
      <c r="AH552" s="66" t="n"/>
      <c r="AI552" s="66" t="n">
        <v>122167000</v>
      </c>
      <c r="AJ552" s="66" t="n">
        <v>121654000</v>
      </c>
      <c r="AK552" s="67">
        <f>MROUND(FORECAST(AI552,AI540:AI551,AK540:AK551)*0.125,100000)</f>
        <v/>
      </c>
      <c r="AL552" s="66" t="n"/>
      <c r="AM552" s="66" t="n">
        <v>17847000</v>
      </c>
      <c r="AN552" s="66" t="n">
        <v>16330000</v>
      </c>
      <c r="AO552" s="67">
        <f>MROUND(FORECAST(AN552,AN540:AN551,AO540:AO551),100000)</f>
        <v/>
      </c>
      <c r="AP552" s="66" t="n"/>
      <c r="AQ552" s="66" t="n">
        <v>232670000</v>
      </c>
      <c r="AS552" s="67">
        <f>MROUND(FORECAST(AQ552,AQ540:AQ551,AS540:AS551),100000)</f>
        <v/>
      </c>
    </row>
    <row r="553">
      <c r="A553" s="60" t="n">
        <v>45809</v>
      </c>
      <c r="B553" s="66" t="n">
        <v>98501000</v>
      </c>
      <c r="C553" s="66" t="n">
        <v>97391000</v>
      </c>
      <c r="D553" s="66" t="n">
        <v>8897000</v>
      </c>
      <c r="E553" s="66" t="n"/>
      <c r="F553" s="66" t="n">
        <v>85679000</v>
      </c>
      <c r="G553" s="66" t="n">
        <v>20464000</v>
      </c>
      <c r="H553" s="66" t="n"/>
      <c r="I553" s="66" t="n">
        <v>21266000</v>
      </c>
      <c r="J553" s="66" t="n">
        <v>29232000</v>
      </c>
      <c r="K553" s="66" t="n">
        <v>13331000</v>
      </c>
      <c r="L553" s="66" t="n"/>
      <c r="M553" s="66" t="n">
        <v>407909000</v>
      </c>
      <c r="N553" s="66" t="n">
        <v>45560000</v>
      </c>
      <c r="O553" s="66" t="n"/>
      <c r="P553" s="66" t="n">
        <v>22022000</v>
      </c>
      <c r="Q553" s="66" t="n">
        <v>20191000</v>
      </c>
      <c r="R553" s="66" t="n"/>
      <c r="S553" s="66" t="n"/>
      <c r="T553" s="66" t="n">
        <v>182894000</v>
      </c>
      <c r="U553" s="66" t="n">
        <v>185295000</v>
      </c>
      <c r="V553" s="66" t="n">
        <v>36541000</v>
      </c>
      <c r="W553" s="66" t="n"/>
      <c r="X553" s="66" t="n">
        <v>350533000</v>
      </c>
      <c r="Y553" s="66" t="n">
        <v>114028000</v>
      </c>
      <c r="Z553" s="66" t="n"/>
      <c r="AA553" s="66" t="n">
        <v>92912000</v>
      </c>
      <c r="AB553" s="66" t="n">
        <v>89339000</v>
      </c>
      <c r="AC553" s="66" t="n">
        <v>15421000</v>
      </c>
      <c r="AD553" s="66" t="n"/>
      <c r="AE553" s="66" t="n">
        <v>313663000</v>
      </c>
      <c r="AF553" s="66" t="n">
        <v>328656000</v>
      </c>
      <c r="AG553" s="67">
        <f>MROUND(FORECAST(AE553,AE541:AE552,AG541:AG552)*0.2,100000)</f>
        <v/>
      </c>
      <c r="AH553" s="66" t="n"/>
      <c r="AI553" s="66" t="n">
        <v>110343000</v>
      </c>
      <c r="AJ553" s="66" t="n">
        <v>111270000</v>
      </c>
      <c r="AK553" s="67">
        <f>MROUND(FORECAST(AI553,AI541:AI552,AK541:AK552)*0.065,100000)</f>
        <v/>
      </c>
      <c r="AL553" s="66" t="n"/>
      <c r="AM553" s="66" t="n">
        <v>22022000</v>
      </c>
      <c r="AN553" s="66" t="n">
        <v>20191000</v>
      </c>
      <c r="AO553" s="67">
        <f>MROUND(FORECAST(AN553,AN541:AN552,AO541:AO552),100000)</f>
        <v/>
      </c>
      <c r="AP553" s="66" t="n"/>
      <c r="AQ553" s="66" t="n">
        <v>232670000</v>
      </c>
      <c r="AS553" s="67">
        <f>MROUND(FORECAST(AQ553,AQ541:AQ552,AS541:AS552),100000)</f>
        <v/>
      </c>
    </row>
    <row r="554">
      <c r="A554" s="60" t="n">
        <v>45839</v>
      </c>
      <c r="B554" s="66" t="n">
        <v>88064000</v>
      </c>
      <c r="C554" s="66" t="n">
        <v>91270000</v>
      </c>
      <c r="D554" s="66" t="n">
        <v>5691000</v>
      </c>
      <c r="E554" s="66" t="n"/>
      <c r="F554" s="66" t="n">
        <v>79487000</v>
      </c>
      <c r="G554" s="66" t="n">
        <v>18288000</v>
      </c>
      <c r="H554" s="66" t="n"/>
      <c r="I554" s="66" t="n">
        <v>16800000</v>
      </c>
      <c r="J554" s="66" t="n">
        <v>22028000</v>
      </c>
      <c r="K554" s="66" t="n">
        <v>11959000</v>
      </c>
      <c r="L554" s="66" t="n"/>
      <c r="M554" s="66" t="n">
        <v>348569000</v>
      </c>
      <c r="N554" s="66" t="n">
        <v>54965000</v>
      </c>
      <c r="O554" s="66" t="n"/>
      <c r="P554" s="66" t="n">
        <v>18107000</v>
      </c>
      <c r="Q554" s="66" t="n">
        <v>21018000</v>
      </c>
      <c r="R554" s="66" t="n"/>
      <c r="S554" s="66" t="n"/>
      <c r="T554" s="66" t="n">
        <v>166530000</v>
      </c>
      <c r="U554" s="66" t="n">
        <v>164078000</v>
      </c>
      <c r="V554" s="66" t="n">
        <v>38993000</v>
      </c>
      <c r="W554" s="66" t="n"/>
      <c r="X554" s="66" t="n">
        <v>311845000</v>
      </c>
      <c r="Y554" s="66" t="n">
        <v>115287000</v>
      </c>
      <c r="Z554" s="66" t="n"/>
      <c r="AA554" s="66" t="n">
        <v>82398000</v>
      </c>
      <c r="AB554" s="66" t="n">
        <v>75966000</v>
      </c>
      <c r="AC554" s="66" t="n">
        <v>22040000</v>
      </c>
      <c r="AD554" s="66" t="n"/>
      <c r="AE554" s="66" t="n">
        <v>273665000</v>
      </c>
      <c r="AF554" s="66" t="n">
        <v>262913000</v>
      </c>
      <c r="AG554" s="67">
        <f>MROUND(FORECAST(AE554,AE542:AE553,AG542:AG553)*0.2,100000)</f>
        <v/>
      </c>
      <c r="AH554" s="66" t="n"/>
      <c r="AI554" s="66" t="n">
        <v>101830000</v>
      </c>
      <c r="AJ554" s="66" t="n">
        <v>101209000</v>
      </c>
      <c r="AK554" s="67">
        <f>MROUND(FORECAST(AI554,AI542:AI553,AK542:AK553)*0.05,100000)</f>
        <v/>
      </c>
      <c r="AL554" s="66" t="n"/>
      <c r="AM554" s="66" t="n">
        <v>18107000</v>
      </c>
      <c r="AN554" s="66" t="n">
        <v>21018000</v>
      </c>
      <c r="AO554" s="67">
        <f>MROUND(FORECAST(AN554,AN542:AN553,AO542:AO553),100000)</f>
        <v/>
      </c>
      <c r="AP554" s="66" t="n"/>
      <c r="AQ554" s="66" t="n">
        <v>232670000</v>
      </c>
      <c r="AS554" s="67">
        <f>MROUND(FORECAST(AQ554,AQ542:AQ553,AS542:AS553),100000)</f>
        <v/>
      </c>
    </row>
    <row r="555">
      <c r="A555" s="60" t="n">
        <v>45870</v>
      </c>
      <c r="B555" s="66" t="n">
        <v>104431000</v>
      </c>
      <c r="C555" s="66" t="n">
        <v>103043000</v>
      </c>
      <c r="D555" s="66" t="n">
        <v>7079000</v>
      </c>
      <c r="E555" s="66" t="n"/>
      <c r="F555" s="66" t="n">
        <v>97652000</v>
      </c>
      <c r="G555" s="66" t="n">
        <v>23136000</v>
      </c>
      <c r="H555" s="66" t="n"/>
      <c r="I555" s="66" t="n">
        <v>32251000</v>
      </c>
      <c r="J555" s="66" t="n">
        <v>39687000</v>
      </c>
      <c r="K555" s="66" t="n">
        <v>11900000</v>
      </c>
      <c r="L555" s="66" t="n"/>
      <c r="M555" s="66" t="n">
        <v>390536000</v>
      </c>
      <c r="N555" s="66" t="n">
        <v>52552000</v>
      </c>
      <c r="O555" s="66" t="n"/>
      <c r="P555" s="66" t="n">
        <v>18081000</v>
      </c>
      <c r="Q555" s="66" t="n">
        <v>17048000</v>
      </c>
      <c r="R555" s="66" t="n"/>
      <c r="S555" s="66" t="n"/>
      <c r="T555" s="66" t="n">
        <v>205395000</v>
      </c>
      <c r="U555" s="66" t="n">
        <v>198390000</v>
      </c>
      <c r="V555" s="66" t="n">
        <v>45998000</v>
      </c>
      <c r="W555" s="66" t="n"/>
      <c r="X555" s="66" t="n">
        <v>377477000</v>
      </c>
      <c r="Y555" s="66" t="n">
        <v>136917000</v>
      </c>
      <c r="Z555" s="66" t="n"/>
      <c r="AA555" s="66" t="n">
        <v>93947000</v>
      </c>
      <c r="AB555" s="66" t="n">
        <v>94908000</v>
      </c>
      <c r="AC555" s="66" t="n">
        <v>21655000</v>
      </c>
      <c r="AD555" s="66" t="n"/>
      <c r="AE555" s="66" t="n">
        <v>296595000</v>
      </c>
      <c r="AF555" s="66" t="n">
        <v>302154000</v>
      </c>
      <c r="AG555" s="67">
        <f>MROUND(FORECAST(AE555,AE543:AE554,AG543:AG554)*0.15,100000)</f>
        <v/>
      </c>
      <c r="AH555" s="66" t="n"/>
      <c r="AI555" s="66" t="n">
        <v>117219000</v>
      </c>
      <c r="AJ555" s="66" t="n">
        <v>117627000</v>
      </c>
      <c r="AK555" s="67">
        <f>MROUND(FORECAST(AI555,AI543:AI554,AK543:AK554)*0.025,100000)</f>
        <v/>
      </c>
      <c r="AL555" s="66" t="n"/>
      <c r="AM555" s="66" t="n">
        <v>18081000</v>
      </c>
      <c r="AN555" s="66" t="n">
        <v>17048000</v>
      </c>
      <c r="AO555" s="67">
        <f>MROUND(FORECAST(AN555,AN543:AN554,AO543:AO554),100000)</f>
        <v/>
      </c>
      <c r="AP555" s="66" t="n"/>
      <c r="AQ555" s="66" t="n">
        <v>232670000</v>
      </c>
      <c r="AS555" s="67">
        <f>MROUND(FORECAST(AQ555,AQ543:AQ554,AS543:AS554),100000)</f>
        <v/>
      </c>
    </row>
    <row r="556">
      <c r="A556" s="60" t="n">
        <v>45901</v>
      </c>
      <c r="B556" s="66" t="n">
        <v>99707000</v>
      </c>
      <c r="C556" s="66" t="n">
        <v>100887000</v>
      </c>
      <c r="D556" s="66" t="n">
        <v>5899000</v>
      </c>
      <c r="E556" s="66" t="n"/>
      <c r="F556" s="66" t="n">
        <v>90916000</v>
      </c>
      <c r="G556" s="66" t="n">
        <v>26395000</v>
      </c>
      <c r="H556" s="66" t="n"/>
      <c r="I556" s="66" t="n">
        <v>31462000</v>
      </c>
      <c r="J556" s="66" t="n">
        <v>45818000</v>
      </c>
      <c r="K556" s="66" t="n"/>
      <c r="L556" s="66" t="n"/>
      <c r="M556" s="66" t="n">
        <v>429953000</v>
      </c>
      <c r="N556" s="66" t="n">
        <v>53108000</v>
      </c>
      <c r="O556" s="66" t="n"/>
      <c r="P556" s="66" t="n">
        <v>20677000</v>
      </c>
      <c r="Q556" s="66" t="n">
        <v>15208000</v>
      </c>
      <c r="R556" s="66" t="n"/>
      <c r="S556" s="66" t="n"/>
      <c r="T556" s="66" t="n">
        <v>196835000</v>
      </c>
      <c r="U556" s="66" t="n">
        <v>195021000</v>
      </c>
      <c r="V556" s="66" t="n">
        <v>47812000</v>
      </c>
      <c r="W556" s="66" t="n"/>
      <c r="X556" s="66" t="n">
        <v>383765000</v>
      </c>
      <c r="Y556" s="66" t="n">
        <v>146956000</v>
      </c>
      <c r="Z556" s="66" t="n"/>
      <c r="AA556" s="66" t="n">
        <v>85430000</v>
      </c>
      <c r="AB556" s="66" t="n">
        <v>89978000</v>
      </c>
      <c r="AC556" s="66" t="n">
        <v>17256000</v>
      </c>
      <c r="AD556" s="66" t="n"/>
      <c r="AE556" s="66" t="n">
        <v>303542000</v>
      </c>
      <c r="AF556" s="66" t="n">
        <v>308094000</v>
      </c>
      <c r="AG556" s="67">
        <f>MROUND(FORECAST(AE556,AE544:AE555,AG544:AG555)*0.2,100000)</f>
        <v/>
      </c>
      <c r="AH556" s="66" t="n"/>
      <c r="AI556" s="66" t="n">
        <v>98434000</v>
      </c>
      <c r="AJ556" s="66" t="n">
        <v>98191000</v>
      </c>
      <c r="AK556" s="67">
        <f>MROUND(FORECAST(AI556,AI544:AI555,AK544:AK555)*0.025,100000)</f>
        <v/>
      </c>
      <c r="AL556" s="66" t="n"/>
      <c r="AM556" s="66" t="n">
        <v>20677000</v>
      </c>
      <c r="AN556" s="66" t="n">
        <v>15208000</v>
      </c>
      <c r="AO556" s="67">
        <f>MROUND(FORECAST(AN556,AN544:AN555,AO544:AO555),100000)</f>
        <v/>
      </c>
      <c r="AP556" s="66" t="n"/>
      <c r="AQ556" s="66" t="n">
        <v>232670000</v>
      </c>
      <c r="AS556" s="67">
        <f>MROUND(FORECAST(AQ556,AQ544:AQ555,AS544:AS555),100000)</f>
        <v/>
      </c>
    </row>
    <row r="557">
      <c r="A557" s="60" t="n">
        <v>45931</v>
      </c>
      <c r="B557" s="66" t="n">
        <v>99045000</v>
      </c>
      <c r="C557" s="66" t="n">
        <v>97744000</v>
      </c>
      <c r="D557" s="66" t="n">
        <v>7200000</v>
      </c>
      <c r="E557" s="66" t="n"/>
      <c r="F557" s="66" t="n">
        <v>85365000</v>
      </c>
      <c r="G557" s="66" t="n">
        <v>23862000</v>
      </c>
      <c r="H557" s="66" t="n"/>
      <c r="I557" s="66" t="n">
        <v>31987000</v>
      </c>
      <c r="J557" s="66" t="n">
        <v>38679000</v>
      </c>
      <c r="K557" s="66" t="n"/>
      <c r="L557" s="66" t="n"/>
      <c r="M557" s="66" t="n">
        <v>396698000</v>
      </c>
      <c r="N557" s="66" t="n">
        <v>50732000</v>
      </c>
      <c r="O557" s="66" t="n"/>
      <c r="P557" s="66" t="n">
        <v>16330000</v>
      </c>
      <c r="Q557" s="66" t="n">
        <v>19123000</v>
      </c>
      <c r="R557" s="66" t="n"/>
      <c r="S557" s="66" t="n"/>
      <c r="T557" s="66" t="n">
        <v>185602000</v>
      </c>
      <c r="U557" s="66" t="n">
        <v>195360000</v>
      </c>
      <c r="V557" s="66" t="n">
        <v>38054000</v>
      </c>
      <c r="W557" s="66" t="n"/>
      <c r="X557" s="66" t="n">
        <v>352755000</v>
      </c>
      <c r="Y557" s="66" t="n">
        <v>142971000</v>
      </c>
      <c r="Z557" s="66" t="n"/>
      <c r="AA557" s="66" t="n">
        <v>86179000</v>
      </c>
      <c r="AB557" s="66" t="n">
        <v>82658000</v>
      </c>
      <c r="AC557" s="66" t="n">
        <v>21019000</v>
      </c>
      <c r="AD557" s="66" t="n"/>
      <c r="AE557" s="66" t="n">
        <v>261912000</v>
      </c>
      <c r="AF557" s="66" t="n">
        <v>262782000</v>
      </c>
      <c r="AG557" s="66" t="n">
        <v>72991000</v>
      </c>
      <c r="AH557" s="66" t="n"/>
      <c r="AI557" s="66" t="n">
        <v>103998000</v>
      </c>
      <c r="AJ557" s="66" t="n">
        <v>104528000</v>
      </c>
      <c r="AK557" s="67">
        <f>MROUND(FORECAST(AI557,AI545:AI556,AK545:AK556)*0.025,100000)</f>
        <v/>
      </c>
      <c r="AL557" s="66" t="n"/>
      <c r="AM557" s="66" t="n">
        <v>16330000</v>
      </c>
      <c r="AN557" s="66" t="n">
        <v>19123000</v>
      </c>
      <c r="AO557" s="67">
        <f>MROUND(FORECAST(AN557,AN545:AN556,AO545:AO556),100000)</f>
        <v/>
      </c>
      <c r="AP557" s="66" t="n"/>
      <c r="AQ557" s="66" t="n">
        <v>232670000</v>
      </c>
      <c r="AS557" s="67">
        <f>MROUND(FORECAST(AQ557,AQ545:AQ556,AS545:AS556),100000)</f>
        <v/>
      </c>
    </row>
    <row r="558">
      <c r="A558" s="60" t="n">
        <v>45962</v>
      </c>
      <c r="B558" s="66" t="n">
        <v>108953000</v>
      </c>
      <c r="C558" s="66" t="n">
        <v>109214000</v>
      </c>
      <c r="D558" s="66" t="n">
        <v>6939000</v>
      </c>
      <c r="E558" s="66" t="n"/>
      <c r="F558" s="66" t="n">
        <v>97305000</v>
      </c>
      <c r="G558" s="66" t="n">
        <v>21906000</v>
      </c>
      <c r="H558" s="66" t="n"/>
      <c r="I558" s="66" t="n">
        <v>29347000</v>
      </c>
      <c r="J558" s="66" t="n">
        <v>31474000</v>
      </c>
      <c r="K558" s="66" t="n"/>
      <c r="L558" s="66" t="n"/>
      <c r="M558" s="66" t="n">
        <v>444271000</v>
      </c>
      <c r="N558" s="66" t="n">
        <v>59859000</v>
      </c>
      <c r="O558" s="66" t="n"/>
      <c r="P558" s="66" t="n">
        <v>16638000</v>
      </c>
      <c r="Q558" s="66" t="n">
        <v>20471000</v>
      </c>
      <c r="R558" s="66" t="n"/>
      <c r="S558" s="66" t="n"/>
      <c r="T558" s="66" t="n">
        <v>199955000</v>
      </c>
      <c r="U558" s="66" t="n">
        <v>207125000</v>
      </c>
      <c r="V558" s="66" t="n">
        <v>30884000</v>
      </c>
      <c r="W558" s="66" t="n"/>
      <c r="X558" s="66" t="n">
        <v>404920000</v>
      </c>
      <c r="Y558" s="66" t="n">
        <v>135739000</v>
      </c>
      <c r="Z558" s="66" t="n"/>
      <c r="AA558" s="66" t="n">
        <v>113132000</v>
      </c>
      <c r="AB558" s="66" t="n">
        <v>115485000</v>
      </c>
      <c r="AC558" s="66" t="n">
        <v>19010000</v>
      </c>
      <c r="AD558" s="66" t="n"/>
      <c r="AE558" s="66" t="n">
        <v>337791000</v>
      </c>
      <c r="AF558" s="66" t="n">
        <v>342119000</v>
      </c>
      <c r="AG558" s="66" t="n">
        <v>65308000</v>
      </c>
      <c r="AH558" s="66" t="n"/>
      <c r="AI558" s="66" t="n">
        <v>130135000</v>
      </c>
      <c r="AJ558" s="66" t="n">
        <v>125736000</v>
      </c>
      <c r="AK558" s="67">
        <f>MROUND(FORECAST(AI558,AI546:AI557,AK546:AK557)*0.025,100000)</f>
        <v/>
      </c>
      <c r="AL558" s="66" t="n"/>
      <c r="AM558" s="66" t="n">
        <v>16638000</v>
      </c>
      <c r="AN558" s="66" t="n">
        <v>20471000</v>
      </c>
      <c r="AO558" s="67">
        <f>MROUND(FORECAST(AN558,AN546:AN557,AO546:AO557),100000)</f>
        <v/>
      </c>
      <c r="AP558" s="66" t="n"/>
      <c r="AQ558" s="66" t="n">
        <v>232670000</v>
      </c>
      <c r="AS558" s="67">
        <f>MROUND(FORECAST(AQ558,AQ546:AQ557,AS546:AS557),100000)</f>
        <v/>
      </c>
    </row>
    <row r="559">
      <c r="A559" s="60" t="n">
        <v>45992</v>
      </c>
      <c r="B559" s="66" t="n">
        <v>107536000</v>
      </c>
      <c r="C559" s="66" t="n">
        <v>105623000</v>
      </c>
      <c r="D559" s="66" t="n">
        <v>8851000</v>
      </c>
      <c r="E559" s="66" t="n"/>
      <c r="F559" s="66" t="n">
        <v>83354000</v>
      </c>
      <c r="G559" s="66" t="n">
        <v>18721000</v>
      </c>
      <c r="H559" s="66" t="n"/>
      <c r="I559" s="66" t="n">
        <v>27221000</v>
      </c>
      <c r="J559" s="66" t="n">
        <v>20510000</v>
      </c>
      <c r="K559" s="66" t="n">
        <v>12637000</v>
      </c>
      <c r="L559" s="66" t="n"/>
      <c r="M559" s="66" t="n">
        <v>424457000</v>
      </c>
      <c r="N559" s="66" t="n">
        <v>51100000</v>
      </c>
      <c r="O559" s="66" t="n"/>
      <c r="P559" s="66" t="n">
        <v>19035000</v>
      </c>
      <c r="Q559" s="66" t="n">
        <v>10536000</v>
      </c>
      <c r="R559" s="66" t="n"/>
      <c r="S559" s="66" t="n"/>
      <c r="T559" s="66" t="n">
        <v>168742000</v>
      </c>
      <c r="U559" s="66" t="n">
        <v>165761000</v>
      </c>
      <c r="V559" s="66" t="n">
        <v>33865000</v>
      </c>
      <c r="W559" s="66" t="n"/>
      <c r="X559" s="66" t="n">
        <v>360493000</v>
      </c>
      <c r="Y559" s="66" t="n">
        <v>138282000</v>
      </c>
      <c r="Z559" s="66" t="n"/>
      <c r="AA559" s="66" t="n">
        <v>87584000</v>
      </c>
      <c r="AB559" s="66" t="n">
        <v>88822000</v>
      </c>
      <c r="AC559" s="66" t="n">
        <v>17981000</v>
      </c>
      <c r="AD559" s="66" t="n"/>
      <c r="AE559" s="66" t="n">
        <v>315734000</v>
      </c>
      <c r="AF559" s="66" t="n">
        <v>318778000</v>
      </c>
      <c r="AG559" s="66" t="n">
        <v>62264000</v>
      </c>
      <c r="AH559" s="66" t="n"/>
      <c r="AI559" s="66" t="n">
        <v>99658000</v>
      </c>
      <c r="AJ559" s="66" t="n">
        <v>103028000</v>
      </c>
      <c r="AK559" s="67">
        <f>MROUND(FORECAST(AI559,AI547:AI558,AK547:AK558)*0.045,100000)</f>
        <v/>
      </c>
      <c r="AL559" s="66" t="n"/>
      <c r="AM559" s="66" t="n">
        <v>19035000</v>
      </c>
      <c r="AN559" s="66" t="n">
        <v>10536000</v>
      </c>
      <c r="AO559" s="67">
        <f>MROUND(FORECAST(AN559,AN547:AN558,AO547:AO558),100000)</f>
        <v/>
      </c>
      <c r="AP559" s="66" t="n"/>
      <c r="AQ559" s="66" t="n">
        <v>232670000</v>
      </c>
      <c r="AS559" s="67">
        <f>MROUND(FORECAST(AQ559,AQ547:AQ558,AS547:AS558),100000)</f>
        <v/>
      </c>
    </row>
    <row r="560">
      <c r="A560" s="60" t="n">
        <v>46023</v>
      </c>
      <c r="B560" s="66" t="n">
        <v>99941000</v>
      </c>
      <c r="C560" s="66" t="n">
        <v>100269000</v>
      </c>
      <c r="D560" s="66" t="n">
        <v>8524000</v>
      </c>
      <c r="E560" s="66" t="n"/>
      <c r="F560" s="66" t="n">
        <v>83978000</v>
      </c>
      <c r="G560" s="66" t="n">
        <v>18252000</v>
      </c>
      <c r="H560" s="66" t="n"/>
      <c r="I560" s="66" t="n">
        <v>21825000</v>
      </c>
      <c r="J560" s="66" t="n">
        <v>22230000</v>
      </c>
      <c r="K560" s="66" t="n">
        <v>10254000</v>
      </c>
      <c r="L560" s="66" t="n"/>
      <c r="M560" s="66" t="n">
        <v>366478000</v>
      </c>
      <c r="N560" s="66" t="n">
        <v>54594000</v>
      </c>
      <c r="O560" s="66" t="n"/>
      <c r="P560" s="66" t="n">
        <v>18591000</v>
      </c>
      <c r="Q560" s="66" t="n">
        <v>25759000</v>
      </c>
      <c r="R560" s="66" t="n"/>
      <c r="S560" s="66" t="n"/>
      <c r="T560" s="66" t="n">
        <v>167824000</v>
      </c>
      <c r="U560" s="66" t="n">
        <v>169448000</v>
      </c>
      <c r="V560" s="66" t="n">
        <v>32241000</v>
      </c>
      <c r="W560" s="66" t="n"/>
      <c r="X560" s="66" t="n">
        <v>351518000</v>
      </c>
      <c r="Y560" s="66" t="n">
        <v>143164000</v>
      </c>
      <c r="Z560" s="66" t="n"/>
      <c r="AA560" s="66" t="n">
        <v>81072000</v>
      </c>
      <c r="AB560" s="66" t="n">
        <v>85840000</v>
      </c>
      <c r="AC560" s="66" t="n">
        <v>13137000</v>
      </c>
      <c r="AD560" s="66" t="n"/>
      <c r="AE560" s="66" t="n">
        <v>281806000</v>
      </c>
      <c r="AF560" s="66" t="n">
        <v>276156000</v>
      </c>
      <c r="AG560" s="66" t="n">
        <v>67914000</v>
      </c>
      <c r="AH560" s="66" t="n"/>
      <c r="AI560" s="66" t="n">
        <v>110118000</v>
      </c>
      <c r="AJ560" s="66" t="n">
        <v>112158000</v>
      </c>
      <c r="AK560" s="67">
        <f>MROUND(FORECAST(AI560,AI548:AI559,AK548:AK559)*0.055,100000)</f>
        <v/>
      </c>
      <c r="AL560" s="66" t="n"/>
      <c r="AM560" s="66" t="n">
        <v>18591000</v>
      </c>
      <c r="AN560" s="66" t="n">
        <v>25759000</v>
      </c>
      <c r="AO560" s="67">
        <f>MROUND(FORECAST(AN560,AN548:AN559,AO548:AO559),100000)</f>
        <v/>
      </c>
      <c r="AP560" s="66" t="n"/>
      <c r="AQ560" s="66" t="n">
        <v>234990000</v>
      </c>
      <c r="AS560" s="67">
        <f>MROUND(FORECAST(AQ560,AQ548:AQ559,AS548:AS559),100000)</f>
        <v/>
      </c>
    </row>
    <row r="561">
      <c r="A561" s="60" t="n">
        <v>46054</v>
      </c>
      <c r="B561" s="66" t="n">
        <v>108042000</v>
      </c>
      <c r="C561" s="66" t="n">
        <v>111342000</v>
      </c>
      <c r="D561" s="66" t="n">
        <v>5224000</v>
      </c>
      <c r="E561" s="66" t="n"/>
      <c r="F561" s="66" t="n">
        <v>100251000</v>
      </c>
      <c r="G561" s="66" t="n">
        <v>20164000</v>
      </c>
      <c r="H561" s="66" t="n"/>
      <c r="I561" s="66" t="n">
        <v>28558000</v>
      </c>
      <c r="J561" s="66" t="n">
        <v>25040000</v>
      </c>
      <c r="K561" s="66" t="n">
        <v>12331000</v>
      </c>
      <c r="L561" s="66" t="n"/>
      <c r="M561" s="66" t="n">
        <v>427295000</v>
      </c>
      <c r="N561" s="66" t="n">
        <v>47437000</v>
      </c>
      <c r="O561" s="66" t="n"/>
      <c r="P561" s="66" t="n">
        <v>15894000</v>
      </c>
      <c r="Q561" s="66" t="n">
        <v>12133000</v>
      </c>
      <c r="R561" s="66" t="n"/>
      <c r="S561" s="66" t="n"/>
      <c r="T561" s="66" t="n">
        <v>195830000</v>
      </c>
      <c r="U561" s="66" t="n">
        <v>193302000</v>
      </c>
      <c r="V561" s="66" t="n">
        <v>34769000</v>
      </c>
      <c r="W561" s="66" t="n"/>
      <c r="X561" s="66" t="n">
        <v>399857000</v>
      </c>
      <c r="Y561" s="66" t="n">
        <v>146536000</v>
      </c>
      <c r="Z561" s="66" t="n"/>
      <c r="AA561" s="66" t="n">
        <v>124322000</v>
      </c>
      <c r="AB561" s="66" t="n">
        <v>124855000</v>
      </c>
      <c r="AC561" s="66" t="n">
        <v>12784000</v>
      </c>
      <c r="AD561" s="66" t="n"/>
      <c r="AE561" s="66" t="n">
        <v>351200000</v>
      </c>
      <c r="AF561" s="66" t="n">
        <v>354831000</v>
      </c>
      <c r="AG561" s="66" t="n">
        <v>64283000</v>
      </c>
      <c r="AH561" s="66" t="n"/>
      <c r="AI561" s="66" t="n">
        <v>125537000</v>
      </c>
      <c r="AJ561" s="66" t="n">
        <v>122353000</v>
      </c>
      <c r="AK561" s="67">
        <f>MROUND(FORECAST(AI561,AI549:AI560,AK549:AK560)*0.075,100000)</f>
        <v/>
      </c>
      <c r="AL561" s="66" t="n"/>
      <c r="AM561" s="66" t="n">
        <v>15894000</v>
      </c>
      <c r="AN561" s="66" t="n">
        <v>12133000</v>
      </c>
      <c r="AO561" s="67">
        <f>MROUND(FORECAST(AN561,AN549:AN560,AO549:AO560),100000)</f>
        <v/>
      </c>
      <c r="AP561" s="66" t="n"/>
      <c r="AQ561" s="66" t="n">
        <v>234990000</v>
      </c>
      <c r="AS561" s="67">
        <f>MROUND(FORECAST(AQ561,AQ549:AQ560,AS549:AS560),100000)</f>
        <v/>
      </c>
    </row>
    <row r="562">
      <c r="A562" s="60" t="n">
        <v>46082</v>
      </c>
      <c r="B562" s="66" t="n"/>
      <c r="C562" s="66" t="n"/>
      <c r="D562" s="66" t="n"/>
      <c r="E562" s="66" t="n"/>
      <c r="F562" s="66" t="n"/>
      <c r="G562" s="66" t="n"/>
      <c r="H562" s="66" t="n"/>
      <c r="I562" s="66" t="n"/>
      <c r="J562" s="66" t="n"/>
      <c r="K562" s="66" t="n"/>
      <c r="L562" s="66" t="n"/>
      <c r="M562" s="66" t="n"/>
      <c r="N562" s="66" t="n"/>
      <c r="O562" s="66" t="n"/>
      <c r="P562" s="66" t="n"/>
      <c r="Q562" s="66" t="n"/>
      <c r="R562" s="66" t="n"/>
      <c r="S562" s="66" t="n"/>
      <c r="T562" s="66" t="n"/>
      <c r="U562" s="66" t="n"/>
      <c r="V562" s="66" t="n"/>
      <c r="W562" s="66" t="n"/>
      <c r="X562" s="66" t="n"/>
      <c r="Y562" s="66" t="n"/>
      <c r="Z562" s="66" t="n"/>
      <c r="AA562" s="66" t="n"/>
      <c r="AB562" s="66" t="n"/>
      <c r="AC562" s="66" t="n"/>
      <c r="AD562" s="66" t="n"/>
      <c r="AE562" s="66" t="n"/>
      <c r="AF562" s="66" t="n"/>
      <c r="AG562" s="66" t="n"/>
      <c r="AH562" s="66" t="n"/>
      <c r="AI562" s="66" t="n"/>
      <c r="AJ562" s="66" t="n"/>
      <c r="AK562" s="66" t="n"/>
      <c r="AL562" s="66" t="n"/>
      <c r="AM562" s="66" t="n"/>
      <c r="AN562" s="66" t="n"/>
      <c r="AO562" s="66" t="n"/>
      <c r="AP562" s="66" t="n"/>
      <c r="AQ562" s="66" t="n">
        <v>234990000</v>
      </c>
    </row>
    <row r="563">
      <c r="A563" s="60" t="n">
        <v>46113</v>
      </c>
      <c r="B563" s="66" t="n"/>
      <c r="C563" s="66" t="n"/>
      <c r="D563" s="66" t="n"/>
      <c r="E563" s="66" t="n"/>
      <c r="F563" s="66" t="n"/>
      <c r="G563" s="66" t="n"/>
      <c r="H563" s="66" t="n"/>
      <c r="I563" s="66" t="n"/>
      <c r="J563" s="66" t="n"/>
      <c r="K563" s="66" t="n"/>
      <c r="L563" s="66" t="n"/>
      <c r="M563" s="66" t="n"/>
      <c r="N563" s="66" t="n"/>
      <c r="O563" s="66" t="n"/>
      <c r="P563" s="66" t="n"/>
      <c r="Q563" s="66" t="n"/>
      <c r="R563" s="66" t="n"/>
      <c r="S563" s="66" t="n"/>
      <c r="T563" s="66" t="n"/>
      <c r="U563" s="66" t="n"/>
      <c r="V563" s="66" t="n"/>
      <c r="W563" s="66" t="n"/>
      <c r="X563" s="66" t="n"/>
      <c r="Y563" s="66" t="n"/>
      <c r="Z563" s="66" t="n"/>
      <c r="AA563" s="66" t="n"/>
      <c r="AB563" s="66" t="n"/>
      <c r="AC563" s="66" t="n"/>
      <c r="AD563" s="66" t="n"/>
      <c r="AE563" s="66" t="n"/>
      <c r="AF563" s="66" t="n"/>
      <c r="AG563" s="66" t="n"/>
      <c r="AH563" s="66" t="n"/>
      <c r="AI563" s="66" t="n"/>
      <c r="AJ563" s="66" t="n"/>
      <c r="AK563" s="66" t="n"/>
      <c r="AL563" s="66" t="n"/>
      <c r="AM563" s="66" t="n"/>
      <c r="AN563" s="66" t="n"/>
      <c r="AO563" s="66" t="n"/>
      <c r="AP563" s="66" t="n"/>
      <c r="AQ563" s="66" t="n">
        <v>234990000</v>
      </c>
    </row>
    <row r="564">
      <c r="A564" s="60" t="n">
        <v>46143</v>
      </c>
      <c r="B564" s="66" t="n"/>
      <c r="C564" s="66" t="n"/>
      <c r="D564" s="66" t="n"/>
      <c r="E564" s="66" t="n"/>
      <c r="F564" s="66" t="n"/>
      <c r="G564" s="66" t="n"/>
      <c r="H564" s="66" t="n"/>
      <c r="I564" s="66" t="n"/>
      <c r="J564" s="66" t="n"/>
      <c r="K564" s="66" t="n"/>
      <c r="L564" s="66" t="n"/>
      <c r="M564" s="66" t="n"/>
      <c r="N564" s="66" t="n"/>
      <c r="O564" s="66" t="n"/>
      <c r="P564" s="66" t="n"/>
      <c r="Q564" s="66" t="n"/>
      <c r="R564" s="66" t="n"/>
      <c r="S564" s="66" t="n"/>
      <c r="T564" s="66" t="n"/>
      <c r="U564" s="66" t="n"/>
      <c r="V564" s="66" t="n"/>
      <c r="W564" s="66" t="n"/>
      <c r="X564" s="66" t="n"/>
      <c r="Y564" s="66" t="n"/>
      <c r="Z564" s="66" t="n"/>
      <c r="AA564" s="66" t="n"/>
      <c r="AB564" s="66" t="n"/>
      <c r="AC564" s="66" t="n"/>
      <c r="AD564" s="66" t="n"/>
      <c r="AE564" s="66" t="n"/>
      <c r="AF564" s="66" t="n"/>
      <c r="AG564" s="66" t="n"/>
      <c r="AH564" s="66" t="n"/>
      <c r="AI564" s="66" t="n"/>
      <c r="AJ564" s="66" t="n"/>
      <c r="AK564" s="66" t="n"/>
      <c r="AL564" s="66" t="n"/>
      <c r="AM564" s="66" t="n"/>
      <c r="AN564" s="66" t="n"/>
      <c r="AO564" s="66" t="n"/>
      <c r="AP564" s="66" t="n"/>
      <c r="AQ564" s="66" t="n">
        <v>234990000</v>
      </c>
    </row>
    <row r="565">
      <c r="A565" s="60" t="n">
        <v>46174</v>
      </c>
      <c r="B565" s="66" t="n"/>
      <c r="C565" s="66" t="n"/>
      <c r="D565" s="66" t="n"/>
      <c r="E565" s="66" t="n"/>
      <c r="F565" s="66" t="n"/>
      <c r="G565" s="66" t="n"/>
      <c r="H565" s="66" t="n"/>
      <c r="I565" s="66" t="n"/>
      <c r="J565" s="66" t="n"/>
      <c r="K565" s="66" t="n"/>
      <c r="L565" s="66" t="n"/>
      <c r="M565" s="66" t="n"/>
      <c r="N565" s="66" t="n"/>
      <c r="O565" s="66" t="n"/>
      <c r="P565" s="66" t="n"/>
      <c r="Q565" s="66" t="n"/>
      <c r="R565" s="66" t="n"/>
      <c r="S565" s="66" t="n"/>
      <c r="T565" s="66" t="n"/>
      <c r="U565" s="66" t="n"/>
      <c r="V565" s="66" t="n"/>
      <c r="W565" s="66" t="n"/>
      <c r="X565" s="66" t="n"/>
      <c r="Y565" s="66" t="n"/>
      <c r="Z565" s="66" t="n"/>
      <c r="AA565" s="66" t="n"/>
      <c r="AB565" s="66" t="n"/>
      <c r="AC565" s="66" t="n"/>
      <c r="AD565" s="66" t="n"/>
      <c r="AE565" s="66" t="n"/>
      <c r="AF565" s="66" t="n"/>
      <c r="AG565" s="66" t="n"/>
      <c r="AH565" s="66" t="n"/>
      <c r="AI565" s="66" t="n"/>
      <c r="AJ565" s="66" t="n"/>
      <c r="AK565" s="66" t="n"/>
      <c r="AL565" s="66" t="n"/>
      <c r="AM565" s="66" t="n"/>
      <c r="AN565" s="66" t="n"/>
      <c r="AO565" s="66" t="n"/>
      <c r="AP565" s="66" t="n"/>
      <c r="AQ565" s="66" t="n">
        <v>234990000</v>
      </c>
    </row>
    <row r="566">
      <c r="A566" s="60" t="n">
        <v>46204</v>
      </c>
      <c r="B566" s="66" t="n"/>
      <c r="C566" s="66" t="n"/>
      <c r="D566" s="66" t="n"/>
      <c r="E566" s="66" t="n"/>
      <c r="F566" s="66" t="n"/>
      <c r="G566" s="66" t="n"/>
      <c r="H566" s="66" t="n"/>
      <c r="I566" s="66" t="n"/>
      <c r="J566" s="66" t="n"/>
      <c r="K566" s="66" t="n"/>
      <c r="L566" s="66" t="n"/>
      <c r="M566" s="66" t="n"/>
      <c r="N566" s="66" t="n"/>
      <c r="O566" s="66" t="n"/>
      <c r="P566" s="66" t="n"/>
      <c r="Q566" s="66" t="n"/>
      <c r="R566" s="66" t="n"/>
      <c r="S566" s="66" t="n"/>
      <c r="T566" s="66" t="n"/>
      <c r="U566" s="66" t="n"/>
      <c r="V566" s="66" t="n"/>
      <c r="W566" s="66" t="n"/>
      <c r="X566" s="66" t="n"/>
      <c r="Y566" s="66" t="n"/>
      <c r="Z566" s="66" t="n"/>
      <c r="AA566" s="66" t="n"/>
      <c r="AB566" s="66" t="n"/>
      <c r="AC566" s="66" t="n"/>
      <c r="AD566" s="66" t="n"/>
      <c r="AE566" s="66" t="n"/>
      <c r="AF566" s="66" t="n"/>
      <c r="AG566" s="66" t="n"/>
      <c r="AH566" s="66" t="n"/>
      <c r="AI566" s="66" t="n"/>
      <c r="AJ566" s="66" t="n"/>
      <c r="AK566" s="66" t="n"/>
      <c r="AL566" s="66" t="n"/>
      <c r="AM566" s="66" t="n"/>
      <c r="AN566" s="66" t="n"/>
      <c r="AO566" s="66" t="n"/>
      <c r="AP566" s="66" t="n"/>
      <c r="AQ566" s="66" t="n">
        <v>234990000</v>
      </c>
    </row>
    <row r="567">
      <c r="A567" s="60" t="n">
        <v>46235</v>
      </c>
      <c r="B567" s="66" t="n"/>
      <c r="C567" s="66" t="n"/>
      <c r="D567" s="66" t="n"/>
      <c r="E567" s="66" t="n"/>
      <c r="F567" s="66" t="n"/>
      <c r="G567" s="66" t="n"/>
      <c r="H567" s="66" t="n"/>
      <c r="I567" s="66" t="n"/>
      <c r="J567" s="66" t="n"/>
      <c r="K567" s="66" t="n"/>
      <c r="L567" s="66" t="n"/>
      <c r="M567" s="66" t="n"/>
      <c r="N567" s="66" t="n"/>
      <c r="O567" s="66" t="n"/>
      <c r="P567" s="66" t="n"/>
      <c r="Q567" s="66" t="n"/>
      <c r="R567" s="66" t="n"/>
      <c r="S567" s="66" t="n"/>
      <c r="T567" s="66" t="n"/>
      <c r="U567" s="66" t="n"/>
      <c r="V567" s="66" t="n"/>
      <c r="W567" s="66" t="n"/>
      <c r="X567" s="66" t="n"/>
      <c r="Y567" s="66" t="n"/>
      <c r="Z567" s="66" t="n"/>
      <c r="AA567" s="66" t="n"/>
      <c r="AB567" s="66" t="n"/>
      <c r="AC567" s="66" t="n"/>
      <c r="AD567" s="66" t="n"/>
      <c r="AE567" s="66" t="n"/>
      <c r="AF567" s="66" t="n"/>
      <c r="AG567" s="66" t="n"/>
      <c r="AH567" s="66" t="n"/>
      <c r="AI567" s="66" t="n"/>
      <c r="AJ567" s="66" t="n"/>
      <c r="AK567" s="66" t="n"/>
      <c r="AL567" s="66" t="n"/>
      <c r="AM567" s="66" t="n"/>
      <c r="AN567" s="66" t="n"/>
      <c r="AO567" s="66" t="n"/>
      <c r="AP567" s="66" t="n"/>
      <c r="AQ567" s="66" t="n">
        <v>234990000</v>
      </c>
    </row>
    <row r="568">
      <c r="A568" s="60" t="n">
        <v>46266</v>
      </c>
      <c r="B568" s="66" t="n"/>
      <c r="C568" s="66" t="n"/>
      <c r="D568" s="66" t="n"/>
      <c r="E568" s="66" t="n"/>
      <c r="F568" s="66" t="n"/>
      <c r="G568" s="66" t="n"/>
      <c r="H568" s="66" t="n"/>
      <c r="I568" s="66" t="n"/>
      <c r="J568" s="66" t="n"/>
      <c r="K568" s="66" t="n"/>
      <c r="L568" s="66" t="n"/>
      <c r="M568" s="66" t="n"/>
      <c r="N568" s="66" t="n"/>
      <c r="O568" s="66" t="n"/>
      <c r="P568" s="66" t="n"/>
      <c r="Q568" s="66" t="n"/>
      <c r="R568" s="66" t="n"/>
      <c r="S568" s="66" t="n"/>
      <c r="T568" s="66" t="n"/>
      <c r="U568" s="66" t="n"/>
      <c r="V568" s="66" t="n"/>
      <c r="W568" s="66" t="n"/>
      <c r="X568" s="66" t="n"/>
      <c r="Y568" s="66" t="n"/>
      <c r="Z568" s="66" t="n"/>
      <c r="AA568" s="66" t="n"/>
      <c r="AB568" s="66" t="n"/>
      <c r="AC568" s="66" t="n"/>
      <c r="AD568" s="66" t="n"/>
      <c r="AE568" s="66" t="n"/>
      <c r="AF568" s="66" t="n"/>
      <c r="AG568" s="66" t="n"/>
      <c r="AH568" s="66" t="n"/>
      <c r="AI568" s="66" t="n"/>
      <c r="AJ568" s="66" t="n"/>
      <c r="AK568" s="66" t="n"/>
      <c r="AL568" s="66" t="n"/>
      <c r="AM568" s="66" t="n"/>
      <c r="AN568" s="66" t="n"/>
      <c r="AO568" s="66" t="n"/>
      <c r="AP568" s="66" t="n"/>
      <c r="AQ568" s="66" t="n">
        <v>234990000</v>
      </c>
    </row>
    <row r="569">
      <c r="A569" s="60" t="n">
        <v>46296</v>
      </c>
      <c r="B569" s="66" t="n"/>
      <c r="C569" s="66" t="n"/>
      <c r="D569" s="66" t="n"/>
      <c r="E569" s="66" t="n"/>
      <c r="F569" s="66" t="n"/>
      <c r="G569" s="66" t="n"/>
      <c r="H569" s="66" t="n"/>
      <c r="I569" s="66" t="n"/>
      <c r="J569" s="66" t="n"/>
      <c r="K569" s="66" t="n"/>
      <c r="L569" s="66" t="n"/>
      <c r="M569" s="66" t="n"/>
      <c r="N569" s="66" t="n"/>
      <c r="O569" s="66" t="n"/>
      <c r="P569" s="66" t="n"/>
      <c r="Q569" s="66" t="n"/>
      <c r="R569" s="66" t="n"/>
      <c r="S569" s="66" t="n"/>
      <c r="T569" s="66" t="n"/>
      <c r="U569" s="66" t="n"/>
      <c r="V569" s="66" t="n"/>
      <c r="W569" s="66" t="n"/>
      <c r="X569" s="66" t="n"/>
      <c r="Y569" s="66" t="n"/>
      <c r="Z569" s="66" t="n"/>
      <c r="AA569" s="66" t="n"/>
      <c r="AB569" s="66" t="n"/>
      <c r="AC569" s="66" t="n"/>
      <c r="AD569" s="66" t="n"/>
      <c r="AE569" s="66" t="n"/>
      <c r="AF569" s="66" t="n"/>
      <c r="AG569" s="66" t="n"/>
      <c r="AH569" s="66" t="n"/>
      <c r="AI569" s="66" t="n"/>
      <c r="AJ569" s="66" t="n"/>
      <c r="AK569" s="66" t="n"/>
      <c r="AL569" s="66" t="n"/>
      <c r="AM569" s="66" t="n"/>
      <c r="AN569" s="66" t="n"/>
      <c r="AO569" s="66" t="n"/>
      <c r="AP569" s="66" t="n"/>
      <c r="AQ569" s="66" t="n">
        <v>234990000</v>
      </c>
    </row>
    <row r="570">
      <c r="A570" s="60" t="n">
        <v>46327</v>
      </c>
      <c r="B570" s="66" t="n"/>
      <c r="C570" s="66" t="n"/>
      <c r="D570" s="66" t="n"/>
      <c r="E570" s="66" t="n"/>
      <c r="F570" s="66" t="n"/>
      <c r="G570" s="66" t="n"/>
      <c r="H570" s="66" t="n"/>
      <c r="I570" s="66" t="n"/>
      <c r="J570" s="66" t="n"/>
      <c r="K570" s="66" t="n"/>
      <c r="L570" s="66" t="n"/>
      <c r="M570" s="66" t="n"/>
      <c r="N570" s="66" t="n"/>
      <c r="O570" s="66" t="n"/>
      <c r="P570" s="66" t="n"/>
      <c r="Q570" s="66" t="n"/>
      <c r="R570" s="66" t="n"/>
      <c r="S570" s="66" t="n"/>
      <c r="T570" s="66" t="n"/>
      <c r="U570" s="66" t="n"/>
      <c r="V570" s="66" t="n"/>
      <c r="W570" s="66" t="n"/>
      <c r="X570" s="66" t="n"/>
      <c r="Y570" s="66" t="n"/>
      <c r="Z570" s="66" t="n"/>
      <c r="AA570" s="66" t="n"/>
      <c r="AB570" s="66" t="n"/>
      <c r="AC570" s="66" t="n"/>
      <c r="AD570" s="66" t="n"/>
      <c r="AE570" s="66" t="n"/>
      <c r="AF570" s="66" t="n"/>
      <c r="AG570" s="66" t="n"/>
      <c r="AH570" s="66" t="n"/>
      <c r="AI570" s="66" t="n"/>
      <c r="AJ570" s="66" t="n"/>
      <c r="AK570" s="66" t="n"/>
      <c r="AL570" s="66" t="n"/>
      <c r="AM570" s="66" t="n"/>
      <c r="AN570" s="66" t="n"/>
      <c r="AO570" s="66" t="n"/>
      <c r="AP570" s="66" t="n"/>
      <c r="AQ570" s="66" t="n">
        <v>234990000</v>
      </c>
    </row>
    <row r="571">
      <c r="A571" s="60" t="n">
        <v>46357</v>
      </c>
      <c r="B571" s="66" t="n"/>
      <c r="C571" s="66" t="n"/>
      <c r="D571" s="66" t="n"/>
      <c r="E571" s="66" t="n"/>
      <c r="F571" s="66" t="n"/>
      <c r="G571" s="66" t="n"/>
      <c r="H571" s="66" t="n"/>
      <c r="I571" s="66" t="n"/>
      <c r="J571" s="66" t="n"/>
      <c r="K571" s="66" t="n"/>
      <c r="L571" s="66" t="n"/>
      <c r="M571" s="66" t="n"/>
      <c r="N571" s="66" t="n"/>
      <c r="O571" s="66" t="n"/>
      <c r="P571" s="66" t="n"/>
      <c r="Q571" s="66" t="n"/>
      <c r="R571" s="66" t="n"/>
      <c r="S571" s="66" t="n"/>
      <c r="T571" s="66" t="n"/>
      <c r="U571" s="66" t="n"/>
      <c r="V571" s="66" t="n"/>
      <c r="W571" s="66" t="n"/>
      <c r="X571" s="66" t="n"/>
      <c r="Y571" s="66" t="n"/>
      <c r="Z571" s="66" t="n"/>
      <c r="AA571" s="66" t="n"/>
      <c r="AB571" s="66" t="n"/>
      <c r="AC571" s="66" t="n"/>
      <c r="AD571" s="66" t="n"/>
      <c r="AE571" s="66" t="n"/>
      <c r="AF571" s="66" t="n"/>
      <c r="AG571" s="66" t="n"/>
      <c r="AH571" s="66" t="n"/>
      <c r="AI571" s="66" t="n"/>
      <c r="AJ571" s="66" t="n"/>
      <c r="AK571" s="66" t="n"/>
      <c r="AL571" s="66" t="n"/>
      <c r="AM571" s="66" t="n"/>
      <c r="AN571" s="66" t="n"/>
      <c r="AO571" s="66" t="n"/>
      <c r="AP571" s="66" t="n"/>
      <c r="AQ571" s="66" t="n">
        <v>234990000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AL571"/>
  <sheetViews>
    <sheetView workbookViewId="0">
      <pane xSplit="1" ySplit="3" topLeftCell="B4" activePane="bottomRight" state="frozen"/>
      <selection pane="topRight" activeCell="A1" sqref="A1"/>
      <selection pane="bottomLeft" activeCell="A1" sqref="A1"/>
      <selection pane="bottomRight" activeCell="P1" sqref="P1:P1048576"/>
    </sheetView>
  </sheetViews>
  <sheetFormatPr baseColWidth="8" defaultRowHeight="15"/>
  <cols>
    <col width="10" customWidth="1" min="1" max="1"/>
    <col width="12" customWidth="1" min="2" max="40"/>
  </cols>
  <sheetData>
    <row r="1">
      <c r="A1" s="61" t="n"/>
      <c r="B1" s="57" t="inlineStr">
        <is>
          <t>Palm Kernel Oil</t>
        </is>
      </c>
      <c r="E1" s="57" t="inlineStr">
        <is>
          <t>Palm Oil</t>
        </is>
      </c>
      <c r="J1" s="57" t="inlineStr">
        <is>
          <t>Safflower Oil</t>
        </is>
      </c>
      <c r="P1" s="57" t="inlineStr">
        <is>
          <t>Coconut Oil</t>
        </is>
      </c>
      <c r="V1" s="57" t="inlineStr">
        <is>
          <t>Corn Oil</t>
        </is>
      </c>
      <c r="AC1" s="57" t="inlineStr">
        <is>
          <t>Peanut Oil</t>
        </is>
      </c>
      <c r="AI1" s="57" t="inlineStr">
        <is>
          <t>Linseed Oil</t>
        </is>
      </c>
    </row>
    <row r="2">
      <c r="A2" s="58" t="inlineStr">
        <is>
          <t>Date</t>
        </is>
      </c>
      <c r="B2" s="58" t="inlineStr">
        <is>
          <t>Refined Consumption</t>
        </is>
      </c>
      <c r="C2" s="58" t="inlineStr">
        <is>
          <t>Stocks</t>
        </is>
      </c>
      <c r="E2" s="58" t="inlineStr">
        <is>
          <t>Refined Consumption</t>
        </is>
      </c>
      <c r="F2" s="58" t="inlineStr">
        <is>
          <t>Edible Use</t>
        </is>
      </c>
      <c r="G2" s="58" t="inlineStr">
        <is>
          <t>Inedible Use</t>
        </is>
      </c>
      <c r="H2" s="58" t="inlineStr">
        <is>
          <t>Stocks</t>
        </is>
      </c>
      <c r="J2" s="58" t="inlineStr">
        <is>
          <t>Crude Processed</t>
        </is>
      </c>
      <c r="K2" s="58" t="inlineStr">
        <is>
          <t>Refined Produced</t>
        </is>
      </c>
      <c r="L2" s="58" t="inlineStr">
        <is>
          <t>Refined Removed for Processing</t>
        </is>
      </c>
      <c r="M2" s="58" t="inlineStr">
        <is>
          <t>Crude Stocks</t>
        </is>
      </c>
      <c r="N2" s="58" t="inlineStr">
        <is>
          <t>Refined Stocks</t>
        </is>
      </c>
      <c r="P2" s="58" t="inlineStr">
        <is>
          <t>Crude Processed</t>
        </is>
      </c>
      <c r="Q2" s="58" t="inlineStr">
        <is>
          <t>Refined Produced</t>
        </is>
      </c>
      <c r="R2" s="58" t="inlineStr">
        <is>
          <t>Refined Consumption</t>
        </is>
      </c>
      <c r="S2" s="58" t="inlineStr">
        <is>
          <t>Crude Stocks</t>
        </is>
      </c>
      <c r="T2" s="58" t="inlineStr">
        <is>
          <t>Refined Stocks</t>
        </is>
      </c>
      <c r="V2" s="58" t="inlineStr">
        <is>
          <t>Crude Processed</t>
        </is>
      </c>
      <c r="W2" s="58" t="inlineStr">
        <is>
          <t>Refined Produced</t>
        </is>
      </c>
      <c r="X2" s="58" t="inlineStr">
        <is>
          <t>Refined Consumption</t>
        </is>
      </c>
      <c r="Y2" s="58" t="inlineStr">
        <is>
          <t>Crude Stocks</t>
        </is>
      </c>
      <c r="Z2" s="58" t="inlineStr">
        <is>
          <t>Refined Stocks</t>
        </is>
      </c>
      <c r="AC2" s="58" t="inlineStr">
        <is>
          <t>Crude Processed</t>
        </is>
      </c>
      <c r="AD2" s="58" t="inlineStr">
        <is>
          <t>Refined Produced</t>
        </is>
      </c>
      <c r="AE2" s="58" t="inlineStr">
        <is>
          <t>Refined Consumption</t>
        </is>
      </c>
      <c r="AF2" s="58" t="inlineStr">
        <is>
          <t>Crude Stocks</t>
        </is>
      </c>
      <c r="AG2" s="58" t="inlineStr">
        <is>
          <t>Refined Stocks</t>
        </is>
      </c>
      <c r="AI2" s="58" t="inlineStr">
        <is>
          <t>Crude Processed</t>
        </is>
      </c>
      <c r="AJ2" s="58" t="inlineStr">
        <is>
          <t>Refined Produced</t>
        </is>
      </c>
      <c r="AK2" s="58" t="inlineStr">
        <is>
          <t>Crude Stocks</t>
        </is>
      </c>
      <c r="AL2" s="58" t="inlineStr">
        <is>
          <t>Refined Stocks</t>
        </is>
      </c>
    </row>
    <row r="3">
      <c r="B3" s="59" t="inlineStr">
        <is>
          <t>mil lbs</t>
        </is>
      </c>
      <c r="C3" s="59" t="inlineStr">
        <is>
          <t>mil lbs</t>
        </is>
      </c>
      <c r="E3" s="59" t="inlineStr">
        <is>
          <t>mil lbs</t>
        </is>
      </c>
      <c r="F3" s="59" t="inlineStr">
        <is>
          <t>mil lbs</t>
        </is>
      </c>
      <c r="G3" s="59" t="inlineStr">
        <is>
          <t>mil lbs</t>
        </is>
      </c>
      <c r="H3" s="59" t="inlineStr">
        <is>
          <t>mil lbs</t>
        </is>
      </c>
      <c r="J3" s="59" t="inlineStr">
        <is>
          <t>mil lbs</t>
        </is>
      </c>
      <c r="K3" s="59" t="inlineStr">
        <is>
          <t>mil lbs</t>
        </is>
      </c>
      <c r="L3" s="59" t="inlineStr">
        <is>
          <t>mil lbs</t>
        </is>
      </c>
      <c r="M3" s="59" t="inlineStr">
        <is>
          <t>mil lbs</t>
        </is>
      </c>
      <c r="N3" s="59" t="inlineStr">
        <is>
          <t>mil lbs</t>
        </is>
      </c>
      <c r="P3" s="59" t="inlineStr">
        <is>
          <t>mil lbs</t>
        </is>
      </c>
      <c r="Q3" s="59" t="inlineStr">
        <is>
          <t>mil lbs</t>
        </is>
      </c>
      <c r="R3" s="59" t="inlineStr">
        <is>
          <t>mil lbs</t>
        </is>
      </c>
      <c r="S3" s="59" t="inlineStr">
        <is>
          <t>mil lbs</t>
        </is>
      </c>
      <c r="T3" s="59" t="inlineStr">
        <is>
          <t>mil lbs</t>
        </is>
      </c>
      <c r="V3" s="59" t="inlineStr">
        <is>
          <t>mil lbs</t>
        </is>
      </c>
      <c r="W3" s="59" t="inlineStr">
        <is>
          <t>mil lbs</t>
        </is>
      </c>
      <c r="X3" s="59" t="inlineStr">
        <is>
          <t>mil lbs</t>
        </is>
      </c>
      <c r="Y3" s="59" t="inlineStr">
        <is>
          <t>mil lbs</t>
        </is>
      </c>
      <c r="Z3" s="59" t="inlineStr">
        <is>
          <t>mil lbs</t>
        </is>
      </c>
      <c r="AC3" s="59" t="inlineStr">
        <is>
          <t>mil lbs</t>
        </is>
      </c>
      <c r="AD3" s="59" t="inlineStr">
        <is>
          <t>mil lbs</t>
        </is>
      </c>
      <c r="AE3" s="59" t="inlineStr">
        <is>
          <t>mil lbs</t>
        </is>
      </c>
      <c r="AF3" s="59" t="inlineStr">
        <is>
          <t>mil lbs</t>
        </is>
      </c>
      <c r="AG3" s="59" t="inlineStr">
        <is>
          <t>mil lbs</t>
        </is>
      </c>
      <c r="AI3" s="59" t="inlineStr">
        <is>
          <t>mil lbs</t>
        </is>
      </c>
      <c r="AJ3" s="59" t="inlineStr">
        <is>
          <t>mil lbs</t>
        </is>
      </c>
      <c r="AK3" s="59" t="inlineStr">
        <is>
          <t>mil lbs</t>
        </is>
      </c>
      <c r="AL3" s="59" t="inlineStr">
        <is>
          <t>mil lbs</t>
        </is>
      </c>
    </row>
    <row r="4">
      <c r="A4" s="60" t="n">
        <v>29099</v>
      </c>
    </row>
    <row r="5">
      <c r="A5" s="60" t="n">
        <v>29129</v>
      </c>
    </row>
    <row r="6">
      <c r="A6" s="60" t="n">
        <v>29160</v>
      </c>
    </row>
    <row r="7">
      <c r="A7" s="60" t="n">
        <v>29190</v>
      </c>
    </row>
    <row r="8">
      <c r="A8" s="60" t="n">
        <v>29221</v>
      </c>
    </row>
    <row r="9">
      <c r="A9" s="60" t="n">
        <v>29252</v>
      </c>
    </row>
    <row r="10">
      <c r="A10" s="60" t="n">
        <v>29281</v>
      </c>
    </row>
    <row r="11">
      <c r="A11" s="60" t="n">
        <v>29312</v>
      </c>
    </row>
    <row r="12">
      <c r="A12" s="60" t="n">
        <v>29342</v>
      </c>
    </row>
    <row r="13">
      <c r="A13" s="60" t="n">
        <v>29373</v>
      </c>
    </row>
    <row r="14">
      <c r="A14" s="60" t="n">
        <v>29403</v>
      </c>
    </row>
    <row r="15">
      <c r="A15" s="60" t="n">
        <v>29434</v>
      </c>
    </row>
    <row r="16">
      <c r="A16" s="60" t="n">
        <v>29465</v>
      </c>
    </row>
    <row r="17">
      <c r="A17" s="60" t="n">
        <v>29495</v>
      </c>
    </row>
    <row r="18">
      <c r="A18" s="60" t="n">
        <v>29526</v>
      </c>
    </row>
    <row r="19">
      <c r="A19" s="60" t="n">
        <v>29556</v>
      </c>
    </row>
    <row r="20">
      <c r="A20" s="60" t="n">
        <v>29587</v>
      </c>
    </row>
    <row r="21">
      <c r="A21" s="60" t="n">
        <v>29618</v>
      </c>
    </row>
    <row r="22">
      <c r="A22" s="60" t="n">
        <v>29646</v>
      </c>
    </row>
    <row r="23">
      <c r="A23" s="60" t="n">
        <v>29677</v>
      </c>
    </row>
    <row r="24">
      <c r="A24" s="60" t="n">
        <v>29707</v>
      </c>
    </row>
    <row r="25">
      <c r="A25" s="60" t="n">
        <v>29738</v>
      </c>
    </row>
    <row r="26">
      <c r="A26" s="60" t="n">
        <v>29768</v>
      </c>
    </row>
    <row r="27">
      <c r="A27" s="60" t="n">
        <v>29799</v>
      </c>
    </row>
    <row r="28">
      <c r="A28" s="60" t="n">
        <v>29830</v>
      </c>
    </row>
    <row r="29">
      <c r="A29" s="60" t="n">
        <v>29860</v>
      </c>
    </row>
    <row r="30">
      <c r="A30" s="60" t="n">
        <v>29891</v>
      </c>
    </row>
    <row r="31">
      <c r="A31" s="60" t="n">
        <v>29921</v>
      </c>
    </row>
    <row r="32">
      <c r="A32" s="60" t="n">
        <v>29952</v>
      </c>
    </row>
    <row r="33">
      <c r="A33" s="60" t="n">
        <v>29983</v>
      </c>
    </row>
    <row r="34">
      <c r="A34" s="60" t="n">
        <v>30011</v>
      </c>
    </row>
    <row r="35">
      <c r="A35" s="60" t="n">
        <v>30042</v>
      </c>
    </row>
    <row r="36">
      <c r="A36" s="60" t="n">
        <v>30072</v>
      </c>
    </row>
    <row r="37">
      <c r="A37" s="60" t="n">
        <v>30103</v>
      </c>
    </row>
    <row r="38">
      <c r="A38" s="60" t="n">
        <v>30133</v>
      </c>
    </row>
    <row r="39">
      <c r="A39" s="60" t="n">
        <v>30164</v>
      </c>
    </row>
    <row r="40">
      <c r="A40" s="60" t="n">
        <v>30195</v>
      </c>
    </row>
    <row r="41">
      <c r="A41" s="60" t="n">
        <v>30225</v>
      </c>
    </row>
    <row r="42">
      <c r="A42" s="60" t="n">
        <v>30256</v>
      </c>
    </row>
    <row r="43">
      <c r="A43" s="60" t="n">
        <v>30286</v>
      </c>
    </row>
    <row r="44">
      <c r="A44" s="60" t="n">
        <v>30317</v>
      </c>
    </row>
    <row r="45">
      <c r="A45" s="60" t="n">
        <v>30348</v>
      </c>
    </row>
    <row r="46">
      <c r="A46" s="60" t="n">
        <v>30376</v>
      </c>
    </row>
    <row r="47">
      <c r="A47" s="60" t="n">
        <v>30407</v>
      </c>
    </row>
    <row r="48">
      <c r="A48" s="60" t="n">
        <v>30437</v>
      </c>
    </row>
    <row r="49">
      <c r="A49" s="60" t="n">
        <v>30468</v>
      </c>
    </row>
    <row r="50">
      <c r="A50" s="60" t="n">
        <v>30498</v>
      </c>
    </row>
    <row r="51">
      <c r="A51" s="60" t="n">
        <v>30529</v>
      </c>
    </row>
    <row r="52">
      <c r="A52" s="60" t="n">
        <v>30560</v>
      </c>
    </row>
    <row r="53">
      <c r="A53" s="60" t="n">
        <v>30590</v>
      </c>
    </row>
    <row r="54">
      <c r="A54" s="60" t="n">
        <v>30621</v>
      </c>
    </row>
    <row r="55">
      <c r="A55" s="60" t="n">
        <v>30651</v>
      </c>
    </row>
    <row r="56">
      <c r="A56" s="60" t="n">
        <v>30682</v>
      </c>
    </row>
    <row r="57">
      <c r="A57" s="60" t="n">
        <v>30713</v>
      </c>
    </row>
    <row r="58">
      <c r="A58" s="60" t="n">
        <v>30742</v>
      </c>
    </row>
    <row r="59">
      <c r="A59" s="60" t="n">
        <v>30773</v>
      </c>
    </row>
    <row r="60">
      <c r="A60" s="60" t="n">
        <v>30803</v>
      </c>
    </row>
    <row r="61">
      <c r="A61" s="60" t="n">
        <v>30834</v>
      </c>
    </row>
    <row r="62">
      <c r="A62" s="60" t="n">
        <v>30864</v>
      </c>
    </row>
    <row r="63">
      <c r="A63" s="60" t="n">
        <v>30895</v>
      </c>
    </row>
    <row r="64">
      <c r="A64" s="60" t="n">
        <v>30926</v>
      </c>
    </row>
    <row r="65">
      <c r="A65" s="60" t="n">
        <v>30956</v>
      </c>
    </row>
    <row r="66">
      <c r="A66" s="60" t="n">
        <v>30987</v>
      </c>
    </row>
    <row r="67">
      <c r="A67" s="60" t="n">
        <v>31017</v>
      </c>
    </row>
    <row r="68">
      <c r="A68" s="60" t="n">
        <v>31048</v>
      </c>
    </row>
    <row r="69">
      <c r="A69" s="60" t="n">
        <v>31079</v>
      </c>
    </row>
    <row r="70">
      <c r="A70" s="60" t="n">
        <v>31107</v>
      </c>
    </row>
    <row r="71">
      <c r="A71" s="60" t="n">
        <v>31138</v>
      </c>
    </row>
    <row r="72">
      <c r="A72" s="60" t="n">
        <v>31168</v>
      </c>
    </row>
    <row r="73">
      <c r="A73" s="60" t="n">
        <v>31199</v>
      </c>
    </row>
    <row r="74">
      <c r="A74" s="60" t="n">
        <v>31229</v>
      </c>
    </row>
    <row r="75">
      <c r="A75" s="60" t="n">
        <v>31260</v>
      </c>
    </row>
    <row r="76">
      <c r="A76" s="60" t="n">
        <v>31291</v>
      </c>
    </row>
    <row r="77">
      <c r="A77" s="60" t="n">
        <v>31321</v>
      </c>
    </row>
    <row r="78">
      <c r="A78" s="60" t="n">
        <v>31352</v>
      </c>
    </row>
    <row r="79">
      <c r="A79" s="60" t="n">
        <v>31382</v>
      </c>
    </row>
    <row r="80">
      <c r="A80" s="60" t="n">
        <v>31413</v>
      </c>
    </row>
    <row r="81">
      <c r="A81" s="60" t="n">
        <v>31444</v>
      </c>
    </row>
    <row r="82">
      <c r="A82" s="60" t="n">
        <v>31472</v>
      </c>
    </row>
    <row r="83">
      <c r="A83" s="60" t="n">
        <v>31503</v>
      </c>
    </row>
    <row r="84">
      <c r="A84" s="60" t="n">
        <v>31533</v>
      </c>
    </row>
    <row r="85">
      <c r="A85" s="60" t="n">
        <v>31564</v>
      </c>
    </row>
    <row r="86">
      <c r="A86" s="60" t="n">
        <v>31594</v>
      </c>
    </row>
    <row r="87">
      <c r="A87" s="60" t="n">
        <v>31625</v>
      </c>
    </row>
    <row r="88">
      <c r="A88" s="60" t="n">
        <v>31656</v>
      </c>
    </row>
    <row r="89">
      <c r="A89" s="60" t="n">
        <v>31686</v>
      </c>
    </row>
    <row r="90">
      <c r="A90" s="60" t="n">
        <v>31717</v>
      </c>
    </row>
    <row r="91">
      <c r="A91" s="60" t="n">
        <v>31747</v>
      </c>
    </row>
    <row r="92">
      <c r="A92" s="60" t="n">
        <v>31778</v>
      </c>
    </row>
    <row r="93">
      <c r="A93" s="60" t="n">
        <v>31809</v>
      </c>
    </row>
    <row r="94">
      <c r="A94" s="60" t="n">
        <v>31837</v>
      </c>
    </row>
    <row r="95">
      <c r="A95" s="60" t="n">
        <v>31868</v>
      </c>
    </row>
    <row r="96">
      <c r="A96" s="60" t="n">
        <v>31898</v>
      </c>
    </row>
    <row r="97">
      <c r="A97" s="60" t="n">
        <v>31929</v>
      </c>
    </row>
    <row r="98">
      <c r="A98" s="60" t="n">
        <v>31959</v>
      </c>
    </row>
    <row r="99">
      <c r="A99" s="60" t="n">
        <v>31990</v>
      </c>
    </row>
    <row r="100">
      <c r="A100" s="60" t="n">
        <v>32021</v>
      </c>
    </row>
    <row r="101">
      <c r="A101" s="60" t="n">
        <v>32051</v>
      </c>
    </row>
    <row r="102">
      <c r="A102" s="60" t="n">
        <v>32082</v>
      </c>
    </row>
    <row r="103">
      <c r="A103" s="60" t="n">
        <v>32112</v>
      </c>
    </row>
    <row r="104">
      <c r="A104" s="60" t="n">
        <v>32143</v>
      </c>
    </row>
    <row r="105">
      <c r="A105" s="60" t="n">
        <v>32174</v>
      </c>
    </row>
    <row r="106">
      <c r="A106" s="60" t="n">
        <v>32203</v>
      </c>
    </row>
    <row r="107">
      <c r="A107" s="60" t="n">
        <v>32234</v>
      </c>
    </row>
    <row r="108">
      <c r="A108" s="60" t="n">
        <v>32264</v>
      </c>
    </row>
    <row r="109">
      <c r="A109" s="60" t="n">
        <v>32295</v>
      </c>
    </row>
    <row r="110">
      <c r="A110" s="60" t="n">
        <v>32325</v>
      </c>
    </row>
    <row r="111">
      <c r="A111" s="60" t="n">
        <v>32356</v>
      </c>
    </row>
    <row r="112">
      <c r="A112" s="60" t="n">
        <v>32387</v>
      </c>
    </row>
    <row r="113">
      <c r="A113" s="60" t="n">
        <v>32417</v>
      </c>
    </row>
    <row r="114">
      <c r="A114" s="60" t="n">
        <v>32448</v>
      </c>
    </row>
    <row r="115">
      <c r="A115" s="60" t="n">
        <v>32478</v>
      </c>
    </row>
    <row r="116">
      <c r="A116" s="60" t="n">
        <v>32509</v>
      </c>
    </row>
    <row r="117">
      <c r="A117" s="60" t="n">
        <v>32540</v>
      </c>
    </row>
    <row r="118">
      <c r="A118" s="60" t="n">
        <v>32568</v>
      </c>
    </row>
    <row r="119">
      <c r="A119" s="60" t="n">
        <v>32599</v>
      </c>
    </row>
    <row r="120">
      <c r="A120" s="60" t="n">
        <v>32629</v>
      </c>
    </row>
    <row r="121">
      <c r="A121" s="60" t="n">
        <v>32660</v>
      </c>
    </row>
    <row r="122">
      <c r="A122" s="60" t="n">
        <v>32690</v>
      </c>
    </row>
    <row r="123">
      <c r="A123" s="60" t="n">
        <v>32721</v>
      </c>
    </row>
    <row r="124">
      <c r="A124" s="60" t="n">
        <v>32752</v>
      </c>
    </row>
    <row r="125">
      <c r="A125" s="60" t="n">
        <v>32782</v>
      </c>
    </row>
    <row r="126">
      <c r="A126" s="60" t="n">
        <v>32813</v>
      </c>
    </row>
    <row r="127">
      <c r="A127" s="60" t="n">
        <v>32843</v>
      </c>
    </row>
    <row r="128">
      <c r="A128" s="60" t="n">
        <v>32874</v>
      </c>
    </row>
    <row r="129">
      <c r="A129" s="60" t="n">
        <v>32905</v>
      </c>
    </row>
    <row r="130">
      <c r="A130" s="60" t="n">
        <v>32933</v>
      </c>
    </row>
    <row r="131">
      <c r="A131" s="60" t="n">
        <v>32964</v>
      </c>
    </row>
    <row r="132">
      <c r="A132" s="60" t="n">
        <v>32994</v>
      </c>
    </row>
    <row r="133">
      <c r="A133" s="60" t="n">
        <v>33025</v>
      </c>
    </row>
    <row r="134">
      <c r="A134" s="60" t="n">
        <v>33055</v>
      </c>
    </row>
    <row r="135">
      <c r="A135" s="60" t="n">
        <v>33086</v>
      </c>
    </row>
    <row r="136">
      <c r="A136" s="60" t="n">
        <v>33117</v>
      </c>
    </row>
    <row r="137">
      <c r="A137" s="60" t="n">
        <v>33147</v>
      </c>
    </row>
    <row r="138">
      <c r="A138" s="60" t="n">
        <v>33178</v>
      </c>
    </row>
    <row r="139">
      <c r="A139" s="60" t="n">
        <v>33208</v>
      </c>
    </row>
    <row r="140">
      <c r="A140" s="60" t="n">
        <v>33239</v>
      </c>
    </row>
    <row r="141">
      <c r="A141" s="60" t="n">
        <v>33270</v>
      </c>
    </row>
    <row r="142">
      <c r="A142" s="60" t="n">
        <v>33298</v>
      </c>
    </row>
    <row r="143">
      <c r="A143" s="60" t="n">
        <v>33329</v>
      </c>
    </row>
    <row r="144">
      <c r="A144" s="60" t="n">
        <v>33359</v>
      </c>
    </row>
    <row r="145">
      <c r="A145" s="60" t="n">
        <v>33390</v>
      </c>
    </row>
    <row r="146">
      <c r="A146" s="60" t="n">
        <v>33420</v>
      </c>
    </row>
    <row r="147">
      <c r="A147" s="60" t="n">
        <v>33451</v>
      </c>
    </row>
    <row r="148">
      <c r="A148" s="60" t="n">
        <v>33482</v>
      </c>
    </row>
    <row r="149">
      <c r="A149" s="60" t="n">
        <v>33512</v>
      </c>
    </row>
    <row r="150">
      <c r="A150" s="60" t="n">
        <v>33543</v>
      </c>
    </row>
    <row r="151">
      <c r="A151" s="60" t="n">
        <v>33573</v>
      </c>
    </row>
    <row r="152">
      <c r="A152" s="60" t="n">
        <v>33604</v>
      </c>
    </row>
    <row r="153">
      <c r="A153" s="60" t="n">
        <v>33635</v>
      </c>
    </row>
    <row r="154">
      <c r="A154" s="60" t="n">
        <v>33664</v>
      </c>
    </row>
    <row r="155">
      <c r="A155" s="60" t="n">
        <v>33695</v>
      </c>
    </row>
    <row r="156">
      <c r="A156" s="60" t="n">
        <v>33725</v>
      </c>
    </row>
    <row r="157">
      <c r="A157" s="60" t="n">
        <v>33756</v>
      </c>
    </row>
    <row r="158">
      <c r="A158" s="60" t="n">
        <v>33786</v>
      </c>
    </row>
    <row r="159">
      <c r="A159" s="60" t="n">
        <v>33817</v>
      </c>
    </row>
    <row r="160">
      <c r="A160" s="60" t="n">
        <v>33848</v>
      </c>
    </row>
    <row r="161">
      <c r="A161" s="60" t="n">
        <v>33878</v>
      </c>
    </row>
    <row r="162">
      <c r="A162" s="60" t="n">
        <v>33909</v>
      </c>
    </row>
    <row r="163">
      <c r="A163" s="60" t="n">
        <v>33939</v>
      </c>
    </row>
    <row r="164">
      <c r="A164" s="60" t="n">
        <v>33970</v>
      </c>
    </row>
    <row r="165">
      <c r="A165" s="60" t="n">
        <v>34001</v>
      </c>
    </row>
    <row r="166">
      <c r="A166" s="60" t="n">
        <v>34029</v>
      </c>
    </row>
    <row r="167">
      <c r="A167" s="60" t="n">
        <v>34060</v>
      </c>
    </row>
    <row r="168">
      <c r="A168" s="60" t="n">
        <v>34090</v>
      </c>
    </row>
    <row r="169">
      <c r="A169" s="60" t="n">
        <v>34121</v>
      </c>
    </row>
    <row r="170">
      <c r="A170" s="60" t="n">
        <v>34151</v>
      </c>
    </row>
    <row r="171">
      <c r="A171" s="60" t="n">
        <v>34182</v>
      </c>
    </row>
    <row r="172">
      <c r="A172" s="60" t="n">
        <v>34213</v>
      </c>
    </row>
    <row r="173">
      <c r="A173" s="60" t="n">
        <v>34243</v>
      </c>
    </row>
    <row r="174">
      <c r="A174" s="60" t="n">
        <v>34274</v>
      </c>
    </row>
    <row r="175">
      <c r="A175" s="60" t="n">
        <v>34304</v>
      </c>
    </row>
    <row r="176">
      <c r="A176" s="60" t="n">
        <v>34335</v>
      </c>
    </row>
    <row r="177">
      <c r="A177" s="60" t="n">
        <v>34366</v>
      </c>
    </row>
    <row r="178">
      <c r="A178" s="60" t="n">
        <v>34394</v>
      </c>
    </row>
    <row r="179">
      <c r="A179" s="60" t="n">
        <v>34425</v>
      </c>
    </row>
    <row r="180">
      <c r="A180" s="60" t="n">
        <v>34455</v>
      </c>
    </row>
    <row r="181">
      <c r="A181" s="60" t="n">
        <v>34486</v>
      </c>
    </row>
    <row r="182">
      <c r="A182" s="60" t="n">
        <v>34516</v>
      </c>
    </row>
    <row r="183">
      <c r="A183" s="60" t="n">
        <v>34547</v>
      </c>
    </row>
    <row r="184">
      <c r="A184" s="60" t="n">
        <v>34578</v>
      </c>
    </row>
    <row r="185">
      <c r="A185" s="60" t="n">
        <v>34608</v>
      </c>
    </row>
    <row r="186">
      <c r="A186" s="60" t="n">
        <v>34639</v>
      </c>
    </row>
    <row r="187">
      <c r="A187" s="60" t="n">
        <v>34669</v>
      </c>
    </row>
    <row r="188">
      <c r="A188" s="60" t="n">
        <v>34700</v>
      </c>
    </row>
    <row r="189">
      <c r="A189" s="60" t="n">
        <v>34731</v>
      </c>
    </row>
    <row r="190">
      <c r="A190" s="60" t="n">
        <v>34759</v>
      </c>
    </row>
    <row r="191">
      <c r="A191" s="60" t="n">
        <v>34790</v>
      </c>
    </row>
    <row r="192">
      <c r="A192" s="60" t="n">
        <v>34820</v>
      </c>
    </row>
    <row r="193">
      <c r="A193" s="60" t="n">
        <v>34851</v>
      </c>
    </row>
    <row r="194">
      <c r="A194" s="60" t="n">
        <v>34881</v>
      </c>
    </row>
    <row r="195">
      <c r="A195" s="60" t="n">
        <v>34912</v>
      </c>
    </row>
    <row r="196">
      <c r="A196" s="60" t="n">
        <v>34943</v>
      </c>
    </row>
    <row r="197">
      <c r="A197" s="60" t="n">
        <v>34973</v>
      </c>
    </row>
    <row r="198">
      <c r="A198" s="60" t="n">
        <v>35004</v>
      </c>
    </row>
    <row r="199">
      <c r="A199" s="60" t="n">
        <v>35034</v>
      </c>
    </row>
    <row r="200">
      <c r="A200" s="60" t="n">
        <v>35065</v>
      </c>
    </row>
    <row r="201">
      <c r="A201" s="60" t="n">
        <v>35096</v>
      </c>
    </row>
    <row r="202">
      <c r="A202" s="60" t="n">
        <v>35125</v>
      </c>
    </row>
    <row r="203">
      <c r="A203" s="60" t="n">
        <v>35156</v>
      </c>
    </row>
    <row r="204">
      <c r="A204" s="60" t="n">
        <v>35186</v>
      </c>
    </row>
    <row r="205">
      <c r="A205" s="60" t="n">
        <v>35217</v>
      </c>
    </row>
    <row r="206">
      <c r="A206" s="60" t="n">
        <v>35247</v>
      </c>
    </row>
    <row r="207">
      <c r="A207" s="60" t="n">
        <v>35278</v>
      </c>
    </row>
    <row r="208">
      <c r="A208" s="60" t="n">
        <v>35309</v>
      </c>
    </row>
    <row r="209">
      <c r="A209" s="60" t="n">
        <v>35339</v>
      </c>
    </row>
    <row r="210">
      <c r="A210" s="60" t="n">
        <v>35370</v>
      </c>
    </row>
    <row r="211">
      <c r="A211" s="60" t="n">
        <v>35400</v>
      </c>
    </row>
    <row r="212">
      <c r="A212" s="60" t="n">
        <v>35431</v>
      </c>
    </row>
    <row r="213">
      <c r="A213" s="60" t="n">
        <v>35462</v>
      </c>
    </row>
    <row r="214">
      <c r="A214" s="60" t="n">
        <v>35490</v>
      </c>
    </row>
    <row r="215">
      <c r="A215" s="60" t="n">
        <v>35521</v>
      </c>
    </row>
    <row r="216">
      <c r="A216" s="60" t="n">
        <v>35551</v>
      </c>
    </row>
    <row r="217">
      <c r="A217" s="60" t="n">
        <v>35582</v>
      </c>
    </row>
    <row r="218">
      <c r="A218" s="60" t="n">
        <v>35612</v>
      </c>
    </row>
    <row r="219">
      <c r="A219" s="60" t="n">
        <v>35643</v>
      </c>
    </row>
    <row r="220">
      <c r="A220" s="60" t="n">
        <v>35674</v>
      </c>
    </row>
    <row r="221">
      <c r="A221" s="60" t="n">
        <v>35704</v>
      </c>
    </row>
    <row r="222">
      <c r="A222" s="60" t="n">
        <v>35735</v>
      </c>
    </row>
    <row r="223">
      <c r="A223" s="60" t="n">
        <v>35765</v>
      </c>
    </row>
    <row r="224">
      <c r="A224" s="60" t="n">
        <v>35796</v>
      </c>
    </row>
    <row r="225">
      <c r="A225" s="60" t="n">
        <v>35827</v>
      </c>
    </row>
    <row r="226">
      <c r="A226" s="60" t="n">
        <v>35855</v>
      </c>
    </row>
    <row r="227">
      <c r="A227" s="60" t="n">
        <v>35886</v>
      </c>
    </row>
    <row r="228">
      <c r="A228" s="60" t="n">
        <v>35916</v>
      </c>
    </row>
    <row r="229">
      <c r="A229" s="60" t="n">
        <v>35947</v>
      </c>
    </row>
    <row r="230">
      <c r="A230" s="60" t="n">
        <v>35977</v>
      </c>
    </row>
    <row r="231">
      <c r="A231" s="60" t="n">
        <v>36008</v>
      </c>
    </row>
    <row r="232">
      <c r="A232" s="60" t="n">
        <v>36039</v>
      </c>
    </row>
    <row r="233">
      <c r="A233" s="60" t="n">
        <v>36069</v>
      </c>
    </row>
    <row r="234">
      <c r="A234" s="60" t="n">
        <v>36100</v>
      </c>
    </row>
    <row r="235">
      <c r="A235" s="60" t="n">
        <v>36130</v>
      </c>
    </row>
    <row r="236">
      <c r="A236" s="60" t="n">
        <v>36161</v>
      </c>
    </row>
    <row r="237">
      <c r="A237" s="60" t="n">
        <v>36192</v>
      </c>
    </row>
    <row r="238">
      <c r="A238" s="60" t="n">
        <v>36220</v>
      </c>
    </row>
    <row r="239">
      <c r="A239" s="60" t="n">
        <v>36251</v>
      </c>
    </row>
    <row r="240">
      <c r="A240" s="60" t="n">
        <v>36281</v>
      </c>
    </row>
    <row r="241">
      <c r="A241" s="60" t="n">
        <v>36312</v>
      </c>
    </row>
    <row r="242">
      <c r="A242" s="60" t="n">
        <v>36342</v>
      </c>
    </row>
    <row r="243">
      <c r="A243" s="60" t="n">
        <v>36373</v>
      </c>
    </row>
    <row r="244">
      <c r="A244" s="60" t="n">
        <v>36404</v>
      </c>
    </row>
    <row r="245">
      <c r="A245" s="60" t="n">
        <v>36434</v>
      </c>
    </row>
    <row r="246">
      <c r="A246" s="60" t="n">
        <v>36465</v>
      </c>
    </row>
    <row r="247">
      <c r="A247" s="60" t="n">
        <v>36495</v>
      </c>
    </row>
    <row r="248">
      <c r="A248" s="60" t="n">
        <v>36526</v>
      </c>
    </row>
    <row r="249">
      <c r="A249" s="60" t="n">
        <v>36557</v>
      </c>
    </row>
    <row r="250">
      <c r="A250" s="60" t="n">
        <v>36586</v>
      </c>
    </row>
    <row r="251">
      <c r="A251" s="60" t="n">
        <v>36617</v>
      </c>
    </row>
    <row r="252">
      <c r="A252" s="60" t="n">
        <v>36647</v>
      </c>
    </row>
    <row r="253">
      <c r="A253" s="60" t="n">
        <v>36678</v>
      </c>
    </row>
    <row r="254">
      <c r="A254" s="60" t="n">
        <v>36708</v>
      </c>
    </row>
    <row r="255">
      <c r="A255" s="60" t="n">
        <v>36739</v>
      </c>
    </row>
    <row r="256">
      <c r="A256" s="60" t="n">
        <v>36770</v>
      </c>
    </row>
    <row r="257">
      <c r="A257" s="60" t="n">
        <v>36800</v>
      </c>
    </row>
    <row r="258">
      <c r="A258" s="60" t="n">
        <v>36831</v>
      </c>
    </row>
    <row r="259">
      <c r="A259" s="60" t="n">
        <v>36861</v>
      </c>
    </row>
    <row r="260">
      <c r="A260" s="60" t="n">
        <v>36892</v>
      </c>
    </row>
    <row r="261">
      <c r="A261" s="60" t="n">
        <v>36923</v>
      </c>
    </row>
    <row r="262">
      <c r="A262" s="60" t="n">
        <v>36951</v>
      </c>
    </row>
    <row r="263">
      <c r="A263" s="60" t="n">
        <v>36982</v>
      </c>
    </row>
    <row r="264">
      <c r="A264" s="60" t="n">
        <v>37012</v>
      </c>
    </row>
    <row r="265">
      <c r="A265" s="60" t="n">
        <v>37043</v>
      </c>
    </row>
    <row r="266">
      <c r="A266" s="60" t="n">
        <v>37073</v>
      </c>
    </row>
    <row r="267">
      <c r="A267" s="60" t="n">
        <v>37104</v>
      </c>
    </row>
    <row r="268">
      <c r="A268" s="60" t="n">
        <v>37135</v>
      </c>
    </row>
    <row r="269">
      <c r="A269" s="60" t="n">
        <v>37165</v>
      </c>
    </row>
    <row r="270">
      <c r="A270" s="60" t="n">
        <v>37196</v>
      </c>
    </row>
    <row r="271">
      <c r="A271" s="60" t="n">
        <v>37226</v>
      </c>
    </row>
    <row r="272">
      <c r="A272" s="60" t="n">
        <v>37257</v>
      </c>
    </row>
    <row r="273">
      <c r="A273" s="60" t="n">
        <v>37288</v>
      </c>
    </row>
    <row r="274">
      <c r="A274" s="60" t="n">
        <v>37316</v>
      </c>
    </row>
    <row r="275">
      <c r="A275" s="60" t="n">
        <v>37347</v>
      </c>
    </row>
    <row r="276">
      <c r="A276" s="60" t="n">
        <v>37377</v>
      </c>
    </row>
    <row r="277">
      <c r="A277" s="60" t="n">
        <v>37408</v>
      </c>
    </row>
    <row r="278">
      <c r="A278" s="60" t="n">
        <v>37438</v>
      </c>
    </row>
    <row r="279">
      <c r="A279" s="60" t="n">
        <v>37469</v>
      </c>
    </row>
    <row r="280">
      <c r="A280" s="60" t="n">
        <v>37500</v>
      </c>
    </row>
    <row r="281">
      <c r="A281" s="60" t="n">
        <v>37530</v>
      </c>
    </row>
    <row r="282">
      <c r="A282" s="60" t="n">
        <v>37561</v>
      </c>
    </row>
    <row r="283">
      <c r="A283" s="60" t="n">
        <v>37591</v>
      </c>
    </row>
    <row r="284">
      <c r="A284" s="60" t="n">
        <v>37622</v>
      </c>
    </row>
    <row r="285">
      <c r="A285" s="60" t="n">
        <v>37653</v>
      </c>
    </row>
    <row r="286">
      <c r="A286" s="60" t="n">
        <v>37681</v>
      </c>
    </row>
    <row r="287">
      <c r="A287" s="60" t="n">
        <v>37712</v>
      </c>
    </row>
    <row r="288">
      <c r="A288" s="60" t="n">
        <v>37742</v>
      </c>
    </row>
    <row r="289">
      <c r="A289" s="60" t="n">
        <v>37773</v>
      </c>
    </row>
    <row r="290">
      <c r="A290" s="60" t="n">
        <v>37803</v>
      </c>
    </row>
    <row r="291">
      <c r="A291" s="60" t="n">
        <v>37834</v>
      </c>
    </row>
    <row r="292">
      <c r="A292" s="60" t="n">
        <v>37865</v>
      </c>
    </row>
    <row r="293">
      <c r="A293" s="60" t="n">
        <v>37895</v>
      </c>
    </row>
    <row r="294">
      <c r="A294" s="60" t="n">
        <v>37926</v>
      </c>
    </row>
    <row r="295">
      <c r="A295" s="60" t="n">
        <v>37956</v>
      </c>
    </row>
    <row r="296">
      <c r="A296" s="60" t="n">
        <v>37987</v>
      </c>
    </row>
    <row r="297">
      <c r="A297" s="60" t="n">
        <v>38018</v>
      </c>
    </row>
    <row r="298">
      <c r="A298" s="60" t="n">
        <v>38047</v>
      </c>
    </row>
    <row r="299">
      <c r="A299" s="60" t="n">
        <v>38078</v>
      </c>
    </row>
    <row r="300">
      <c r="A300" s="60" t="n">
        <v>38108</v>
      </c>
    </row>
    <row r="301">
      <c r="A301" s="60" t="n">
        <v>38139</v>
      </c>
    </row>
    <row r="302">
      <c r="A302" s="60" t="n">
        <v>38169</v>
      </c>
    </row>
    <row r="303">
      <c r="A303" s="60" t="n">
        <v>38200</v>
      </c>
    </row>
    <row r="304">
      <c r="A304" s="60" t="n">
        <v>38231</v>
      </c>
    </row>
    <row r="305">
      <c r="A305" s="60" t="n">
        <v>38261</v>
      </c>
    </row>
    <row r="306">
      <c r="A306" s="60" t="n">
        <v>38292</v>
      </c>
    </row>
    <row r="307">
      <c r="A307" s="60" t="n">
        <v>38322</v>
      </c>
    </row>
    <row r="308">
      <c r="A308" s="60" t="n">
        <v>38353</v>
      </c>
    </row>
    <row r="309">
      <c r="A309" s="60" t="n">
        <v>38384</v>
      </c>
    </row>
    <row r="310">
      <c r="A310" s="60" t="n">
        <v>38412</v>
      </c>
    </row>
    <row r="311">
      <c r="A311" s="60" t="n">
        <v>38443</v>
      </c>
    </row>
    <row r="312">
      <c r="A312" s="60" t="n">
        <v>38473</v>
      </c>
    </row>
    <row r="313">
      <c r="A313" s="60" t="n">
        <v>38504</v>
      </c>
    </row>
    <row r="314">
      <c r="A314" s="60" t="n">
        <v>38534</v>
      </c>
    </row>
    <row r="315">
      <c r="A315" s="60" t="n">
        <v>38565</v>
      </c>
    </row>
    <row r="316">
      <c r="A316" s="60" t="n">
        <v>38596</v>
      </c>
    </row>
    <row r="317">
      <c r="A317" s="60" t="n">
        <v>38626</v>
      </c>
    </row>
    <row r="318">
      <c r="A318" s="60" t="n">
        <v>38657</v>
      </c>
    </row>
    <row r="319">
      <c r="A319" s="60" t="n">
        <v>38687</v>
      </c>
    </row>
    <row r="320">
      <c r="A320" s="60" t="n">
        <v>38718</v>
      </c>
    </row>
    <row r="321">
      <c r="A321" s="60" t="n">
        <v>38749</v>
      </c>
    </row>
    <row r="322">
      <c r="A322" s="60" t="n">
        <v>38777</v>
      </c>
    </row>
    <row r="323">
      <c r="A323" s="60" t="n">
        <v>38808</v>
      </c>
    </row>
    <row r="324">
      <c r="A324" s="60" t="n">
        <v>38838</v>
      </c>
    </row>
    <row r="325">
      <c r="A325" s="60" t="n">
        <v>38869</v>
      </c>
    </row>
    <row r="326">
      <c r="A326" s="60" t="n">
        <v>38899</v>
      </c>
    </row>
    <row r="327">
      <c r="A327" s="60" t="n">
        <v>38930</v>
      </c>
    </row>
    <row r="328">
      <c r="A328" s="60" t="n">
        <v>38961</v>
      </c>
    </row>
    <row r="329">
      <c r="A329" s="60" t="n">
        <v>38991</v>
      </c>
    </row>
    <row r="330">
      <c r="A330" s="60" t="n">
        <v>39022</v>
      </c>
    </row>
    <row r="331">
      <c r="A331" s="60" t="n">
        <v>39052</v>
      </c>
    </row>
    <row r="332">
      <c r="A332" s="60" t="n">
        <v>39083</v>
      </c>
    </row>
    <row r="333">
      <c r="A333" s="60" t="n">
        <v>39114</v>
      </c>
    </row>
    <row r="334">
      <c r="A334" s="60" t="n">
        <v>39142</v>
      </c>
    </row>
    <row r="335">
      <c r="A335" s="60" t="n">
        <v>39173</v>
      </c>
    </row>
    <row r="336">
      <c r="A336" s="60" t="n">
        <v>39203</v>
      </c>
    </row>
    <row r="337">
      <c r="A337" s="60" t="n">
        <v>39234</v>
      </c>
    </row>
    <row r="338">
      <c r="A338" s="60" t="n">
        <v>39264</v>
      </c>
    </row>
    <row r="339">
      <c r="A339" s="60" t="n">
        <v>39295</v>
      </c>
    </row>
    <row r="340">
      <c r="A340" s="60" t="n">
        <v>39326</v>
      </c>
    </row>
    <row r="341">
      <c r="A341" s="60" t="n">
        <v>39356</v>
      </c>
    </row>
    <row r="342">
      <c r="A342" s="60" t="n">
        <v>39387</v>
      </c>
    </row>
    <row r="343">
      <c r="A343" s="60" t="n">
        <v>39417</v>
      </c>
    </row>
    <row r="344">
      <c r="A344" s="60" t="n">
        <v>39448</v>
      </c>
    </row>
    <row r="345">
      <c r="A345" s="60" t="n">
        <v>39479</v>
      </c>
    </row>
    <row r="346">
      <c r="A346" s="60" t="n">
        <v>39508</v>
      </c>
    </row>
    <row r="347">
      <c r="A347" s="60" t="n">
        <v>39539</v>
      </c>
    </row>
    <row r="348">
      <c r="A348" s="60" t="n">
        <v>39569</v>
      </c>
    </row>
    <row r="349">
      <c r="A349" s="60" t="n">
        <v>39600</v>
      </c>
    </row>
    <row r="350">
      <c r="A350" s="60" t="n">
        <v>39630</v>
      </c>
    </row>
    <row r="351">
      <c r="A351" s="60" t="n">
        <v>39661</v>
      </c>
    </row>
    <row r="352">
      <c r="A352" s="60" t="n">
        <v>39692</v>
      </c>
    </row>
    <row r="353">
      <c r="A353" s="60" t="n">
        <v>39722</v>
      </c>
    </row>
    <row r="354">
      <c r="A354" s="60" t="n">
        <v>39753</v>
      </c>
    </row>
    <row r="355">
      <c r="A355" s="60" t="n">
        <v>39783</v>
      </c>
    </row>
    <row r="356">
      <c r="A356" s="60" t="n">
        <v>39814</v>
      </c>
    </row>
    <row r="357">
      <c r="A357" s="60" t="n">
        <v>39845</v>
      </c>
    </row>
    <row r="358">
      <c r="A358" s="60" t="n">
        <v>39873</v>
      </c>
    </row>
    <row r="359">
      <c r="A359" s="60" t="n">
        <v>39904</v>
      </c>
    </row>
    <row r="360">
      <c r="A360" s="60" t="n">
        <v>39934</v>
      </c>
    </row>
    <row r="361">
      <c r="A361" s="60" t="n">
        <v>39965</v>
      </c>
    </row>
    <row r="362">
      <c r="A362" s="60" t="n">
        <v>39995</v>
      </c>
    </row>
    <row r="363">
      <c r="A363" s="60" t="n">
        <v>40026</v>
      </c>
    </row>
    <row r="364">
      <c r="A364" s="60" t="n">
        <v>40057</v>
      </c>
    </row>
    <row r="365">
      <c r="A365" s="60" t="n">
        <v>40087</v>
      </c>
    </row>
    <row r="366">
      <c r="A366" s="60" t="n">
        <v>40118</v>
      </c>
    </row>
    <row r="367">
      <c r="A367" s="60" t="n">
        <v>40148</v>
      </c>
    </row>
    <row r="368">
      <c r="A368" s="60" t="n">
        <v>40179</v>
      </c>
    </row>
    <row r="369">
      <c r="A369" s="60" t="n">
        <v>40210</v>
      </c>
    </row>
    <row r="370">
      <c r="A370" s="60" t="n">
        <v>40238</v>
      </c>
    </row>
    <row r="371">
      <c r="A371" s="60" t="n">
        <v>40269</v>
      </c>
    </row>
    <row r="372">
      <c r="A372" s="60" t="n">
        <v>40299</v>
      </c>
    </row>
    <row r="373">
      <c r="A373" s="60" t="n">
        <v>40330</v>
      </c>
    </row>
    <row r="374">
      <c r="A374" s="60" t="n">
        <v>40360</v>
      </c>
    </row>
    <row r="375">
      <c r="A375" s="60" t="n">
        <v>40391</v>
      </c>
    </row>
    <row r="376">
      <c r="A376" s="60" t="n">
        <v>40422</v>
      </c>
    </row>
    <row r="377">
      <c r="A377" s="60" t="n">
        <v>40452</v>
      </c>
    </row>
    <row r="378">
      <c r="A378" s="60" t="n">
        <v>40483</v>
      </c>
    </row>
    <row r="379">
      <c r="A379" s="60" t="n">
        <v>40513</v>
      </c>
    </row>
    <row r="380">
      <c r="A380" s="60" t="n">
        <v>40544</v>
      </c>
    </row>
    <row r="381">
      <c r="A381" s="60" t="n">
        <v>40575</v>
      </c>
    </row>
    <row r="382">
      <c r="A382" s="60" t="n">
        <v>40603</v>
      </c>
    </row>
    <row r="383">
      <c r="A383" s="60" t="n">
        <v>40634</v>
      </c>
    </row>
    <row r="384">
      <c r="A384" s="60" t="n">
        <v>40664</v>
      </c>
    </row>
    <row r="385">
      <c r="A385" s="60" t="n">
        <v>40695</v>
      </c>
    </row>
    <row r="386">
      <c r="A386" s="60" t="n">
        <v>40725</v>
      </c>
    </row>
    <row r="387">
      <c r="A387" s="60" t="n">
        <v>40756</v>
      </c>
    </row>
    <row r="388">
      <c r="A388" s="60" t="n">
        <v>40787</v>
      </c>
    </row>
    <row r="389">
      <c r="A389" s="60" t="n">
        <v>40817</v>
      </c>
    </row>
    <row r="390">
      <c r="A390" s="60" t="n">
        <v>40848</v>
      </c>
    </row>
    <row r="391">
      <c r="A391" s="60" t="n">
        <v>40878</v>
      </c>
    </row>
    <row r="392">
      <c r="A392" s="60" t="n">
        <v>40909</v>
      </c>
    </row>
    <row r="393">
      <c r="A393" s="60" t="n">
        <v>40940</v>
      </c>
    </row>
    <row r="394">
      <c r="A394" s="60" t="n">
        <v>40969</v>
      </c>
    </row>
    <row r="395">
      <c r="A395" s="60" t="n">
        <v>41000</v>
      </c>
    </row>
    <row r="396">
      <c r="A396" s="60" t="n">
        <v>41030</v>
      </c>
    </row>
    <row r="397">
      <c r="A397" s="60" t="n">
        <v>41061</v>
      </c>
    </row>
    <row r="398">
      <c r="A398" s="60" t="n">
        <v>41091</v>
      </c>
    </row>
    <row r="399">
      <c r="A399" s="60" t="n">
        <v>41122</v>
      </c>
    </row>
    <row r="400">
      <c r="A400" s="60" t="n">
        <v>41153</v>
      </c>
    </row>
    <row r="401">
      <c r="A401" s="60" t="n">
        <v>41183</v>
      </c>
    </row>
    <row r="402">
      <c r="A402" s="60" t="n">
        <v>41214</v>
      </c>
    </row>
    <row r="403">
      <c r="A403" s="60" t="n">
        <v>41244</v>
      </c>
    </row>
    <row r="404">
      <c r="A404" s="60" t="n">
        <v>41275</v>
      </c>
    </row>
    <row r="405">
      <c r="A405" s="60" t="n">
        <v>41306</v>
      </c>
    </row>
    <row r="406">
      <c r="A406" s="60" t="n">
        <v>41334</v>
      </c>
    </row>
    <row r="407">
      <c r="A407" s="60" t="n">
        <v>41365</v>
      </c>
    </row>
    <row r="408">
      <c r="A408" s="60" t="n">
        <v>41395</v>
      </c>
    </row>
    <row r="409">
      <c r="A409" s="60" t="n">
        <v>41426</v>
      </c>
    </row>
    <row r="410">
      <c r="A410" s="60" t="n">
        <v>41456</v>
      </c>
    </row>
    <row r="411">
      <c r="A411" s="60" t="n">
        <v>41487</v>
      </c>
    </row>
    <row r="412">
      <c r="A412" s="60" t="n">
        <v>41518</v>
      </c>
    </row>
    <row r="413">
      <c r="A413" s="60" t="n">
        <v>41548</v>
      </c>
    </row>
    <row r="414">
      <c r="A414" s="60" t="n">
        <v>41579</v>
      </c>
    </row>
    <row r="415">
      <c r="A415" s="60" t="n">
        <v>41609</v>
      </c>
    </row>
    <row r="416">
      <c r="A416" s="60" t="n">
        <v>41640</v>
      </c>
    </row>
    <row r="417">
      <c r="A417" s="60" t="n">
        <v>41671</v>
      </c>
    </row>
    <row r="418">
      <c r="A418" s="60" t="n">
        <v>41699</v>
      </c>
    </row>
    <row r="419">
      <c r="A419" s="60" t="n">
        <v>41730</v>
      </c>
    </row>
    <row r="420">
      <c r="A420" s="60" t="n">
        <v>41760</v>
      </c>
    </row>
    <row r="421">
      <c r="A421" s="60" t="n">
        <v>41791</v>
      </c>
    </row>
    <row r="422">
      <c r="A422" s="60" t="n">
        <v>41821</v>
      </c>
    </row>
    <row r="423">
      <c r="A423" s="60" t="n">
        <v>41852</v>
      </c>
    </row>
    <row r="424">
      <c r="A424" s="60" t="n">
        <v>41883</v>
      </c>
    </row>
    <row r="425">
      <c r="A425" s="60" t="n">
        <v>41913</v>
      </c>
    </row>
    <row r="426">
      <c r="A426" s="60" t="n">
        <v>41944</v>
      </c>
    </row>
    <row r="427">
      <c r="A427" s="60" t="n">
        <v>41974</v>
      </c>
    </row>
    <row r="428">
      <c r="A428" s="60" t="n">
        <v>42005</v>
      </c>
    </row>
    <row r="429">
      <c r="A429" s="60" t="n">
        <v>42036</v>
      </c>
    </row>
    <row r="430">
      <c r="A430" s="60" t="n">
        <v>42064</v>
      </c>
    </row>
    <row r="431">
      <c r="A431" s="60" t="n">
        <v>42095</v>
      </c>
    </row>
    <row r="432">
      <c r="A432" s="60" t="n">
        <v>42125</v>
      </c>
    </row>
    <row r="433">
      <c r="A433" s="60" t="n">
        <v>42156</v>
      </c>
    </row>
    <row r="434">
      <c r="A434" s="60" t="n">
        <v>42186</v>
      </c>
    </row>
    <row r="435">
      <c r="A435" s="60" t="n">
        <v>42217</v>
      </c>
    </row>
    <row r="436">
      <c r="A436" s="60" t="n">
        <v>42248</v>
      </c>
    </row>
    <row r="437">
      <c r="A437" s="60" t="n">
        <v>42278</v>
      </c>
    </row>
    <row r="438">
      <c r="A438" s="60" t="n">
        <v>42309</v>
      </c>
    </row>
    <row r="439">
      <c r="A439" s="60" t="n">
        <v>42339</v>
      </c>
    </row>
    <row r="440">
      <c r="A440" s="60" t="n">
        <v>42370</v>
      </c>
    </row>
    <row r="441">
      <c r="A441" s="60" t="n">
        <v>42401</v>
      </c>
    </row>
    <row r="442">
      <c r="A442" s="60" t="n">
        <v>42430</v>
      </c>
    </row>
    <row r="443">
      <c r="A443" s="60" t="n">
        <v>42461</v>
      </c>
    </row>
    <row r="444">
      <c r="A444" s="60" t="n">
        <v>42491</v>
      </c>
    </row>
    <row r="445">
      <c r="A445" s="60" t="n">
        <v>42522</v>
      </c>
    </row>
    <row r="446">
      <c r="A446" s="60" t="n">
        <v>42552</v>
      </c>
    </row>
    <row r="447">
      <c r="A447" s="60" t="n">
        <v>42583</v>
      </c>
    </row>
    <row r="448">
      <c r="A448" s="60" t="n">
        <v>42614</v>
      </c>
    </row>
    <row r="449">
      <c r="A449" s="60" t="n">
        <v>42644</v>
      </c>
    </row>
    <row r="450">
      <c r="A450" s="60" t="n">
        <v>42675</v>
      </c>
    </row>
    <row r="451">
      <c r="A451" s="60" t="n">
        <v>42705</v>
      </c>
    </row>
    <row r="452">
      <c r="A452" s="60" t="n">
        <v>42736</v>
      </c>
    </row>
    <row r="453">
      <c r="A453" s="60" t="n">
        <v>42767</v>
      </c>
    </row>
    <row r="454">
      <c r="A454" s="60" t="n">
        <v>42795</v>
      </c>
    </row>
    <row r="455">
      <c r="A455" s="60" t="n">
        <v>42826</v>
      </c>
    </row>
    <row r="456">
      <c r="A456" s="60" t="n">
        <v>42856</v>
      </c>
    </row>
    <row r="457">
      <c r="A457" s="60" t="n">
        <v>42887</v>
      </c>
    </row>
    <row r="458">
      <c r="A458" s="60" t="n">
        <v>42917</v>
      </c>
    </row>
    <row r="459">
      <c r="A459" s="60" t="n">
        <v>42948</v>
      </c>
    </row>
    <row r="460">
      <c r="A460" s="60" t="n">
        <v>42979</v>
      </c>
    </row>
    <row r="461">
      <c r="A461" s="60" t="n">
        <v>43009</v>
      </c>
    </row>
    <row r="462">
      <c r="A462" s="60" t="n">
        <v>43040</v>
      </c>
    </row>
    <row r="463">
      <c r="A463" s="60" t="n">
        <v>43070</v>
      </c>
    </row>
    <row r="464">
      <c r="A464" s="60" t="n">
        <v>43101</v>
      </c>
    </row>
    <row r="465">
      <c r="A465" s="60" t="n">
        <v>43132</v>
      </c>
    </row>
    <row r="466">
      <c r="A466" s="60" t="n">
        <v>43160</v>
      </c>
    </row>
    <row r="467">
      <c r="A467" s="60" t="n">
        <v>43191</v>
      </c>
    </row>
    <row r="468">
      <c r="A468" s="60" t="n">
        <v>43221</v>
      </c>
    </row>
    <row r="469">
      <c r="A469" s="60" t="n">
        <v>43252</v>
      </c>
    </row>
    <row r="470">
      <c r="A470" s="60" t="n">
        <v>43282</v>
      </c>
    </row>
    <row r="471">
      <c r="A471" s="60" t="n">
        <v>43313</v>
      </c>
    </row>
    <row r="472">
      <c r="A472" s="60" t="n">
        <v>43344</v>
      </c>
    </row>
    <row r="473">
      <c r="A473" s="60" t="n">
        <v>43374</v>
      </c>
    </row>
    <row r="474">
      <c r="A474" s="60" t="n">
        <v>43405</v>
      </c>
    </row>
    <row r="475">
      <c r="A475" s="60" t="n">
        <v>43435</v>
      </c>
    </row>
    <row r="476">
      <c r="A476" s="60" t="n">
        <v>43466</v>
      </c>
    </row>
    <row r="477">
      <c r="A477" s="60" t="n">
        <v>43497</v>
      </c>
    </row>
    <row r="478">
      <c r="A478" s="60" t="n">
        <v>43525</v>
      </c>
    </row>
    <row r="479">
      <c r="A479" s="60" t="n">
        <v>43556</v>
      </c>
    </row>
    <row r="480">
      <c r="A480" s="60" t="n">
        <v>43586</v>
      </c>
    </row>
    <row r="481">
      <c r="A481" s="60" t="n">
        <v>43617</v>
      </c>
    </row>
    <row r="482">
      <c r="A482" s="60" t="n">
        <v>43647</v>
      </c>
    </row>
    <row r="483">
      <c r="A483" s="60" t="n">
        <v>43678</v>
      </c>
    </row>
    <row r="484">
      <c r="A484" s="60" t="n">
        <v>43709</v>
      </c>
    </row>
    <row r="485">
      <c r="A485" s="60" t="n">
        <v>43739</v>
      </c>
    </row>
    <row r="486">
      <c r="A486" s="60" t="n">
        <v>43770</v>
      </c>
    </row>
    <row r="487">
      <c r="A487" s="60" t="n">
        <v>43800</v>
      </c>
    </row>
    <row r="488">
      <c r="A488" s="60" t="n">
        <v>43831</v>
      </c>
    </row>
    <row r="489">
      <c r="A489" s="60" t="n">
        <v>43862</v>
      </c>
    </row>
    <row r="490">
      <c r="A490" s="60" t="n">
        <v>43891</v>
      </c>
    </row>
    <row r="491">
      <c r="A491" s="60" t="n">
        <v>43922</v>
      </c>
    </row>
    <row r="492">
      <c r="A492" s="60" t="n">
        <v>43952</v>
      </c>
    </row>
    <row r="493">
      <c r="A493" s="60" t="n">
        <v>43983</v>
      </c>
    </row>
    <row r="494">
      <c r="A494" s="60" t="n">
        <v>44013</v>
      </c>
    </row>
    <row r="495">
      <c r="A495" s="60" t="n">
        <v>44044</v>
      </c>
    </row>
    <row r="496">
      <c r="A496" s="60" t="n">
        <v>44075</v>
      </c>
    </row>
    <row r="497">
      <c r="A497" s="60" t="n">
        <v>44105</v>
      </c>
    </row>
    <row r="498">
      <c r="A498" s="60" t="n">
        <v>44136</v>
      </c>
    </row>
    <row r="499">
      <c r="A499" s="60" t="n">
        <v>44166</v>
      </c>
    </row>
    <row r="500">
      <c r="A500" s="60" t="n">
        <v>44197</v>
      </c>
    </row>
    <row r="501">
      <c r="A501" s="60" t="n">
        <v>44228</v>
      </c>
    </row>
    <row r="502">
      <c r="A502" s="60" t="n">
        <v>44256</v>
      </c>
    </row>
    <row r="503">
      <c r="A503" s="60" t="n">
        <v>44287</v>
      </c>
    </row>
    <row r="504">
      <c r="A504" s="60" t="n">
        <v>44317</v>
      </c>
    </row>
    <row r="505">
      <c r="A505" s="60" t="n">
        <v>44348</v>
      </c>
    </row>
    <row r="506">
      <c r="A506" s="60" t="n">
        <v>44378</v>
      </c>
    </row>
    <row r="507">
      <c r="A507" s="60" t="n">
        <v>44409</v>
      </c>
    </row>
    <row r="508">
      <c r="A508" s="60" t="n">
        <v>44440</v>
      </c>
    </row>
    <row r="509">
      <c r="A509" s="60" t="n">
        <v>44470</v>
      </c>
    </row>
    <row r="510">
      <c r="A510" s="60" t="n">
        <v>44501</v>
      </c>
    </row>
    <row r="511">
      <c r="A511" s="60" t="n">
        <v>44531</v>
      </c>
    </row>
    <row r="512">
      <c r="A512" s="60" t="n">
        <v>44562</v>
      </c>
    </row>
    <row r="513">
      <c r="A513" s="60" t="n">
        <v>44593</v>
      </c>
    </row>
    <row r="514">
      <c r="A514" s="60" t="n">
        <v>44621</v>
      </c>
    </row>
    <row r="515">
      <c r="A515" s="60" t="n">
        <v>44652</v>
      </c>
    </row>
    <row r="516">
      <c r="A516" s="60" t="n">
        <v>44682</v>
      </c>
    </row>
    <row r="517">
      <c r="A517" s="60" t="n">
        <v>44713</v>
      </c>
    </row>
    <row r="518">
      <c r="A518" s="60" t="n">
        <v>44743</v>
      </c>
    </row>
    <row r="519">
      <c r="A519" s="60" t="n">
        <v>44774</v>
      </c>
    </row>
    <row r="520">
      <c r="A520" s="60" t="n">
        <v>44805</v>
      </c>
    </row>
    <row r="521">
      <c r="A521" s="60" t="n">
        <v>44835</v>
      </c>
    </row>
    <row r="522">
      <c r="A522" s="60" t="n">
        <v>44866</v>
      </c>
    </row>
    <row r="523">
      <c r="A523" s="60" t="n">
        <v>44896</v>
      </c>
    </row>
    <row r="524">
      <c r="A524" s="60" t="n">
        <v>44927</v>
      </c>
    </row>
    <row r="525">
      <c r="A525" s="60" t="n">
        <v>44958</v>
      </c>
    </row>
    <row r="526">
      <c r="A526" s="60" t="n">
        <v>44986</v>
      </c>
    </row>
    <row r="527">
      <c r="A527" s="60" t="n">
        <v>45017</v>
      </c>
    </row>
    <row r="528">
      <c r="A528" s="60" t="n">
        <v>45047</v>
      </c>
    </row>
    <row r="529">
      <c r="A529" s="60" t="n">
        <v>45078</v>
      </c>
    </row>
    <row r="530">
      <c r="A530" s="60" t="n">
        <v>45108</v>
      </c>
    </row>
    <row r="531">
      <c r="A531" s="60" t="n">
        <v>45139</v>
      </c>
    </row>
    <row r="532">
      <c r="A532" s="60" t="n">
        <v>45170</v>
      </c>
    </row>
    <row r="533">
      <c r="A533" s="60" t="n">
        <v>45200</v>
      </c>
    </row>
    <row r="534">
      <c r="A534" s="60" t="n">
        <v>45231</v>
      </c>
    </row>
    <row r="535">
      <c r="A535" s="60" t="n">
        <v>45261</v>
      </c>
    </row>
    <row r="536">
      <c r="A536" s="60" t="n">
        <v>45292</v>
      </c>
    </row>
    <row r="537">
      <c r="A537" s="60" t="n">
        <v>45323</v>
      </c>
    </row>
    <row r="538">
      <c r="A538" s="60" t="n">
        <v>45352</v>
      </c>
    </row>
    <row r="539">
      <c r="A539" s="60" t="n">
        <v>45383</v>
      </c>
    </row>
    <row r="540">
      <c r="A540" s="60" t="n">
        <v>45413</v>
      </c>
    </row>
    <row r="541">
      <c r="A541" s="60" t="n">
        <v>45444</v>
      </c>
    </row>
    <row r="542">
      <c r="A542" s="60" t="n">
        <v>45474</v>
      </c>
    </row>
    <row r="543">
      <c r="A543" s="60" t="n">
        <v>45505</v>
      </c>
    </row>
    <row r="544">
      <c r="A544" s="60" t="n">
        <v>45536</v>
      </c>
    </row>
    <row r="545">
      <c r="A545" s="60" t="n">
        <v>45566</v>
      </c>
    </row>
    <row r="546">
      <c r="A546" s="60" t="n">
        <v>45597</v>
      </c>
    </row>
    <row r="547">
      <c r="A547" s="60" t="n">
        <v>45627</v>
      </c>
    </row>
    <row r="548">
      <c r="A548" s="60" t="n">
        <v>45658</v>
      </c>
    </row>
    <row r="549">
      <c r="A549" s="60" t="n">
        <v>45689</v>
      </c>
    </row>
    <row r="550">
      <c r="A550" s="60" t="n">
        <v>45717</v>
      </c>
    </row>
    <row r="551">
      <c r="A551" s="60" t="n">
        <v>45748</v>
      </c>
    </row>
    <row r="552">
      <c r="A552" s="60" t="n">
        <v>45778</v>
      </c>
    </row>
    <row r="553">
      <c r="A553" s="60" t="n">
        <v>45809</v>
      </c>
    </row>
    <row r="554">
      <c r="A554" s="60" t="n">
        <v>45839</v>
      </c>
    </row>
    <row r="555">
      <c r="A555" s="60" t="n">
        <v>45870</v>
      </c>
    </row>
    <row r="556">
      <c r="A556" s="60" t="n">
        <v>45901</v>
      </c>
    </row>
    <row r="557">
      <c r="A557" s="60" t="n">
        <v>45931</v>
      </c>
    </row>
    <row r="558">
      <c r="A558" s="60" t="n">
        <v>45962</v>
      </c>
    </row>
    <row r="559">
      <c r="A559" s="60" t="n">
        <v>45992</v>
      </c>
    </row>
    <row r="560">
      <c r="A560" s="60" t="n">
        <v>46023</v>
      </c>
    </row>
    <row r="561">
      <c r="A561" s="60" t="n">
        <v>46054</v>
      </c>
    </row>
    <row r="562">
      <c r="A562" s="60" t="n">
        <v>46082</v>
      </c>
    </row>
    <row r="563">
      <c r="A563" s="60" t="n">
        <v>46113</v>
      </c>
    </row>
    <row r="564">
      <c r="A564" s="60" t="n">
        <v>46143</v>
      </c>
    </row>
    <row r="565">
      <c r="A565" s="60" t="n">
        <v>46174</v>
      </c>
    </row>
    <row r="566">
      <c r="A566" s="60" t="n">
        <v>46204</v>
      </c>
    </row>
    <row r="567">
      <c r="A567" s="60" t="n">
        <v>46235</v>
      </c>
    </row>
    <row r="568">
      <c r="A568" s="60" t="n">
        <v>46266</v>
      </c>
    </row>
    <row r="569">
      <c r="A569" s="60" t="n">
        <v>46296</v>
      </c>
    </row>
    <row r="570">
      <c r="A570" s="60" t="n">
        <v>46327</v>
      </c>
    </row>
    <row r="571">
      <c r="A571" s="60" t="n">
        <v>46357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JG384"/>
  <sheetViews>
    <sheetView workbookViewId="0">
      <pane xSplit="1" ySplit="1" topLeftCell="B368" activePane="bottomRight" state="frozen"/>
      <selection pane="topRight" activeCell="B1" sqref="B1"/>
      <selection pane="bottomLeft" activeCell="A2" sqref="A2"/>
      <selection pane="bottomRight" activeCell="GY376" sqref="GY376"/>
    </sheetView>
  </sheetViews>
  <sheetFormatPr baseColWidth="8" defaultRowHeight="11.25"/>
  <cols>
    <col width="9.140625" customWidth="1" style="1" min="1" max="1"/>
    <col width="11.42578125" customWidth="1" style="2" min="2" max="267"/>
    <col width="9.140625" customWidth="1" style="2" min="268" max="273"/>
    <col width="9.140625" customWidth="1" style="2" min="274" max="16384"/>
  </cols>
  <sheetData>
    <row r="1" ht="108" customFormat="1" customHeight="1" s="3">
      <c r="A1" s="4" t="inlineStr">
        <is>
          <t>Date</t>
        </is>
      </c>
      <c r="B1" s="3" t="inlineStr">
        <is>
          <t>Soybean Crush (000 Short Tons)</t>
        </is>
      </c>
      <c r="C1" s="3" t="inlineStr">
        <is>
          <t>Soybean Stocks at Oil Mills (000 Short Tons)</t>
        </is>
      </c>
      <c r="D1" s="3" t="inlineStr">
        <is>
          <t>Cottonseed Crush (000 Short Tons)</t>
        </is>
      </c>
      <c r="E1" s="3" t="inlineStr">
        <is>
          <t>Cottonseed Stocks at Oil Mills (000 Short Tons)</t>
        </is>
      </c>
      <c r="F1" s="3" t="inlineStr">
        <is>
          <t>Peanut Crush (000 Short Tons)</t>
        </is>
      </c>
      <c r="G1" s="3" t="inlineStr">
        <is>
          <t>Sunflowerseed Crush (000 Short Tons)</t>
        </is>
      </c>
      <c r="H1" s="3" t="inlineStr">
        <is>
          <t>Sunflowerseed Stocks at Oil Mills (000 Short Tons)</t>
        </is>
      </c>
      <c r="I1" s="3" t="inlineStr">
        <is>
          <t>Rapeseed Crush (000 Short Tons)</t>
        </is>
      </c>
      <c r="J1" s="3" t="inlineStr">
        <is>
          <t>Rapeseed Stocks at Oil Mills (000 Short Tons)</t>
        </is>
      </c>
      <c r="K1" s="3" t="inlineStr">
        <is>
          <t>Crude Soybean Oil Production (Milllion Pounds)</t>
        </is>
      </c>
      <c r="L1" s="3" t="inlineStr">
        <is>
          <t>Total Soybean Oil Stocks (Milllion Pounds)</t>
        </is>
      </c>
      <c r="M1" s="3" t="inlineStr">
        <is>
          <t>Crude Soybean Oil Stocks (Milllion Pounds)</t>
        </is>
      </c>
      <c r="N1" s="3" t="inlineStr">
        <is>
          <t>Refined Soybean Oil Stocks (Milllion Pounds)</t>
        </is>
      </c>
      <c r="O1" s="3" t="inlineStr">
        <is>
          <t>Crude Cottonsseed Oil Production (Milllion Pounds)</t>
        </is>
      </c>
      <c r="P1" s="3" t="inlineStr">
        <is>
          <t>Total Cottonsseed Oil Stocks (Milllion Pounds)</t>
        </is>
      </c>
      <c r="Q1" s="3" t="inlineStr">
        <is>
          <t>Crude Cottonsseed Oil Stocks (Milllion Pounds)</t>
        </is>
      </c>
      <c r="R1" s="3" t="inlineStr">
        <is>
          <t>Refined Cottonsseed Oil Stocks (Milllion Pounds)</t>
        </is>
      </c>
      <c r="T1" s="3" t="inlineStr">
        <is>
          <t>Crude Peanut Oil Production (Milllion Pounds)</t>
        </is>
      </c>
      <c r="U1" s="3" t="inlineStr">
        <is>
          <t>Total Peanut Oil Stocks (Milllion Pounds)</t>
        </is>
      </c>
      <c r="V1" s="3" t="inlineStr">
        <is>
          <t>Crude Peanut Oil Stocks (Milllion Pounds)</t>
        </is>
      </c>
      <c r="W1" s="3" t="inlineStr">
        <is>
          <t>Refined Peanut Oil Stocks (Milllion Pounds)</t>
        </is>
      </c>
      <c r="X1" s="3" t="inlineStr">
        <is>
          <t>Crude Sunflowerseed Oil Production (Milllion Pounds)</t>
        </is>
      </c>
      <c r="Y1" s="3" t="inlineStr">
        <is>
          <t>Refined Sunflowerseed Oil Production (Milllion Pounds)</t>
        </is>
      </c>
      <c r="Z1" s="3" t="inlineStr">
        <is>
          <t>Total Sunflowerseed Oil Stocks (Milllion Pounds)</t>
        </is>
      </c>
      <c r="AA1" s="3" t="inlineStr">
        <is>
          <t>Crude Sunflowerseed Oil Stocks (Milllion Pounds)</t>
        </is>
      </c>
      <c r="AB1" s="3" t="inlineStr">
        <is>
          <t>Refined Sunflowerseed Oil Stocks (Milllion Pounds)</t>
        </is>
      </c>
      <c r="AC1" s="3" t="inlineStr">
        <is>
          <t>Crude Rapeseed Oil Production (Milllion Pounds)</t>
        </is>
      </c>
      <c r="AD1" s="3" t="inlineStr">
        <is>
          <t>Refined Rapeseed Oil Production (Milllion Pounds)</t>
        </is>
      </c>
      <c r="AE1" s="3" t="inlineStr">
        <is>
          <t>Rapeseed oil consumption in refining (Million pounds)</t>
        </is>
      </c>
      <c r="AF1" s="3" t="inlineStr">
        <is>
          <t>Total Rapeseed Oil Stocks (Milllion Pounds)</t>
        </is>
      </c>
      <c r="AG1" s="3" t="inlineStr">
        <is>
          <t>Crude Rapeseed Oil Stocks (Milllion Pounds)</t>
        </is>
      </c>
      <c r="AH1" s="3" t="inlineStr">
        <is>
          <t>Refined Rapeseed Oil Stocks (Milllion Pounds)</t>
        </is>
      </c>
      <c r="AI1" s="3" t="inlineStr">
        <is>
          <t>Total Crude Corn Oil Production (Milllion Pounds)</t>
        </is>
      </c>
      <c r="AJ1" s="3" t="inlineStr">
        <is>
          <t>Crude Corn Oil Production, Wet Mill (Milllion Pounds)</t>
        </is>
      </c>
      <c r="AK1" s="3" t="inlineStr">
        <is>
          <t>Crude Corn Oil Production, Dry Mill (Milllion Pounds)</t>
        </is>
      </c>
      <c r="AL1" s="3" t="inlineStr">
        <is>
          <t>Total Corn Oil Stocks (Milllion Pounds)</t>
        </is>
      </c>
      <c r="AM1" s="3" t="inlineStr">
        <is>
          <t>Crude Corn Oil Stocks (Milllion Pounds)</t>
        </is>
      </c>
      <c r="AN1" s="3" t="inlineStr">
        <is>
          <t>Refined Corn Oil Stocks (Milllion Pounds)</t>
        </is>
      </c>
      <c r="AO1" s="3" t="inlineStr">
        <is>
          <t>Soybean Meal Production (000 Short Tons)</t>
        </is>
      </c>
      <c r="AP1" s="3" t="inlineStr">
        <is>
          <t>Soybean Meal Stocks (000 Short Tons)</t>
        </is>
      </c>
      <c r="AQ1" s="3" t="inlineStr">
        <is>
          <t>Soybean Hull Meal Production (000 Short Tons)</t>
        </is>
      </c>
      <c r="AR1" s="3" t="inlineStr">
        <is>
          <t>Soybean Hull Meal Stocks (000 Short Tons)</t>
        </is>
      </c>
      <c r="AS1" s="3" t="inlineStr">
        <is>
          <t>Cottonsseed Meal Production (000 Short Tons)</t>
        </is>
      </c>
      <c r="AT1" s="3" t="inlineStr">
        <is>
          <t>Cottonsseed Meal Stocks (000 Short Tons)</t>
        </is>
      </c>
      <c r="AU1" s="3" t="inlineStr">
        <is>
          <t>Cottonsseed Hull Meal Production (000 Short Tons)</t>
        </is>
      </c>
      <c r="AV1" s="3" t="inlineStr">
        <is>
          <t>Cottonsseed Hull Meal Stocks (000 Short Tons)</t>
        </is>
      </c>
      <c r="AW1" s="3" t="inlineStr">
        <is>
          <t>Peanut Meal Production (000 Short Tons)</t>
        </is>
      </c>
      <c r="AX1" s="3" t="inlineStr">
        <is>
          <t>Peanut Meal Stocks (000 Short Tons)</t>
        </is>
      </c>
      <c r="AY1" s="3" t="inlineStr">
        <is>
          <t>Sunflowerseed Meal Production (000 Short Tons)</t>
        </is>
      </c>
      <c r="AZ1" s="3" t="inlineStr">
        <is>
          <t>Sunflowerseed Meal Stocks (000 Short Tons)</t>
        </is>
      </c>
      <c r="BA1" s="3" t="inlineStr">
        <is>
          <t>Rapeseed Meal Production (000 Short Tons)</t>
        </is>
      </c>
      <c r="BB1" s="3" t="inlineStr">
        <is>
          <t>Rapeseed Meal Stocks (000 Short Tons)</t>
        </is>
      </c>
      <c r="BD1" s="3" t="inlineStr">
        <is>
          <t>Edible Tallow Production (Million Pounds)</t>
        </is>
      </c>
      <c r="BE1" s="3" t="inlineStr">
        <is>
          <t>Edible Tallow Stocks (Million Pounds)</t>
        </is>
      </c>
      <c r="BF1" s="3" t="inlineStr">
        <is>
          <t>Feather Meal Production (Million Pounds)</t>
        </is>
      </c>
      <c r="BG1" s="3" t="inlineStr">
        <is>
          <t>Feather Meal Stocks (Million Pounds)</t>
        </is>
      </c>
      <c r="BH1" s="3" t="inlineStr">
        <is>
          <t>Inedible Tallow Production (Million Pounds)</t>
        </is>
      </c>
      <c r="BI1" s="3" t="inlineStr">
        <is>
          <t>Yellow Grease Production (Million Pounds)</t>
        </is>
      </c>
      <c r="BJ1" s="3" t="inlineStr">
        <is>
          <t>Other Grease Production (Million Pounds)</t>
        </is>
      </c>
      <c r="BK1" s="3" t="inlineStr">
        <is>
          <t>Total Grease Production (Million Pounds)</t>
        </is>
      </c>
      <c r="BL1" s="3" t="inlineStr">
        <is>
          <t>Other Inedible Tallow and Grease Production (Million Pounds)</t>
        </is>
      </c>
      <c r="BM1" s="3" t="inlineStr">
        <is>
          <t>Total Inedible Tallow and Grease Production (Million Pounds)</t>
        </is>
      </c>
      <c r="BN1" s="3" t="inlineStr">
        <is>
          <t>Inedible Tallow Stocks (Million Pounds)</t>
        </is>
      </c>
      <c r="BO1" s="3" t="inlineStr">
        <is>
          <t>Yellow Grease Stocks (Million Pounds)</t>
        </is>
      </c>
      <c r="BP1" s="3" t="inlineStr">
        <is>
          <t>Other Grease Stocks (Million Pounds)</t>
        </is>
      </c>
      <c r="BQ1" s="3" t="inlineStr">
        <is>
          <t>Total Grease Stocks (Million Pounds)</t>
        </is>
      </c>
      <c r="BR1" s="3" t="inlineStr">
        <is>
          <t>Other Inedible Tallow and Grease Stocks (Million Pounds)</t>
        </is>
      </c>
      <c r="BS1" s="3" t="inlineStr">
        <is>
          <t>Total Inedible Tallow and Grease Stocks (Million Pounds)</t>
        </is>
      </c>
      <c r="BT1" s="3" t="inlineStr">
        <is>
          <t>Lard Production (Million Pounds)</t>
        </is>
      </c>
      <c r="BU1" s="3" t="inlineStr">
        <is>
          <t>Lard Stocks (Million Pounds)</t>
        </is>
      </c>
      <c r="BV1" s="3" t="inlineStr">
        <is>
          <t>Meat and Bone Meal Production (Million Pounds)</t>
        </is>
      </c>
      <c r="BW1" s="3" t="inlineStr">
        <is>
          <t>Dry Rendered Tankage Production (Million Pounds)</t>
        </is>
      </c>
      <c r="BX1" s="3" t="inlineStr">
        <is>
          <t>Total Meat Meal and Tankage Production (Including Other Category) (Million Pounds)</t>
        </is>
      </c>
      <c r="BY1" s="3" t="inlineStr">
        <is>
          <t>Meat and Bone Meal Stocks (Million Pounds)</t>
        </is>
      </c>
      <c r="BZ1" s="3" t="inlineStr">
        <is>
          <t>Dry Rendered Tankage Stocks (Million Pounds)</t>
        </is>
      </c>
      <c r="CA1" s="3" t="inlineStr">
        <is>
          <t>Total Meat and Bone Meal Stocks (Million Pounds</t>
        </is>
      </c>
      <c r="CB1" s="3" t="inlineStr">
        <is>
          <t>Poultry Fat Production (Million Pounds)</t>
        </is>
      </c>
      <c r="CC1" s="3" t="inlineStr">
        <is>
          <t>Poultry Fat Stocks (Million Pounds)</t>
        </is>
      </c>
      <c r="CD1" s="3" t="inlineStr">
        <is>
          <t>Poultry By-Product Meal Production (Million Pounds)</t>
        </is>
      </c>
      <c r="CE1" s="3" t="inlineStr">
        <is>
          <t>Poultry By-Product Meal Stocks (Million Pounds)</t>
        </is>
      </c>
      <c r="CF1" s="3" t="inlineStr">
        <is>
          <t>Crude Tall Oil Production (Million Pounds)</t>
        </is>
      </c>
      <c r="CG1" s="3" t="inlineStr">
        <is>
          <t>Crude Tall Oil Stocks (Million Pounds)</t>
        </is>
      </c>
      <c r="CH1" s="3" t="inlineStr">
        <is>
          <t>Refined Tall Oil Stocks (Million Pounds)</t>
        </is>
      </c>
      <c r="CI1" s="3" t="inlineStr">
        <is>
          <t>Vegetable Foots Production (Million Pounds)</t>
        </is>
      </c>
      <c r="CJ1" s="3" t="inlineStr">
        <is>
          <t>Vegetable Foots Stocks (Million Pounds)</t>
        </is>
      </c>
      <c r="CK1" s="3" t="inlineStr">
        <is>
          <t>"All Other Products" Production (Million Pounds)</t>
        </is>
      </c>
      <c r="CL1" s="3" t="inlineStr">
        <is>
          <t>"All Other Products" Stocks (Million Pounds)</t>
        </is>
      </c>
      <c r="CN1" s="3" t="inlineStr">
        <is>
          <t>Coconut Oil Refined Production (Million Pounds)</t>
        </is>
      </c>
      <c r="CO1" s="3" t="inlineStr">
        <is>
          <t>Total Coconut Oil Stocks (Million Pounds)</t>
        </is>
      </c>
      <c r="CP1" s="3" t="inlineStr">
        <is>
          <t>Crude Coconut Oil Stocks (Million Pounds)</t>
        </is>
      </c>
      <c r="CQ1" s="3" t="inlineStr">
        <is>
          <t>Refined Coconut Oil Stocks (Million Pounds)</t>
        </is>
      </c>
      <c r="CR1" s="3" t="inlineStr">
        <is>
          <t>Linseed Oil Production (Million Pounds)</t>
        </is>
      </c>
      <c r="CS1" s="3" t="inlineStr">
        <is>
          <t>Total Linseed Oil Stocks (Million Pounds)</t>
        </is>
      </c>
      <c r="CT1" s="3" t="inlineStr">
        <is>
          <t>Linseed Oil Crude Stocks (Million Pounds)</t>
        </is>
      </c>
      <c r="CU1" s="3" t="inlineStr">
        <is>
          <t>Linseed Oil Refined Stocks (Million Pounds)</t>
        </is>
      </c>
      <c r="CV1" s="3" t="inlineStr">
        <is>
          <t>Total Palm Oil Stocks (Million Pounds)</t>
        </is>
      </c>
      <c r="CW1" s="3" t="inlineStr">
        <is>
          <t>Palm Oil Crude Stocks (Million Pounds)</t>
        </is>
      </c>
      <c r="CX1" s="3" t="inlineStr">
        <is>
          <t>Palm Oil Refined Stocks (Million Pounds)</t>
        </is>
      </c>
      <c r="CY1" s="3" t="inlineStr">
        <is>
          <t>Palm Kernel Oil Refined Production (Million Pounds)</t>
        </is>
      </c>
      <c r="CZ1" s="3" t="inlineStr">
        <is>
          <t>Palm Kernel Oil Stocks (Million Pounds)</t>
        </is>
      </c>
      <c r="DA1" s="3" t="inlineStr">
        <is>
          <t>Total Safflower Oil Stocks (Million Pounds)</t>
        </is>
      </c>
      <c r="DB1" s="3" t="inlineStr">
        <is>
          <t>Safflower Oil Crude Stocks (Million Pounds)</t>
        </is>
      </c>
      <c r="DC1" s="3" t="inlineStr">
        <is>
          <t>Safflower Oil Refined Stocks (Million Pounds)</t>
        </is>
      </c>
      <c r="DF1" s="3" t="inlineStr">
        <is>
          <t>Soybeans crushed or used</t>
        </is>
      </c>
      <c r="DG1" s="3" t="inlineStr">
        <is>
          <t>AR</t>
        </is>
      </c>
      <c r="DH1" s="3" t="inlineStr">
        <is>
          <t>GA</t>
        </is>
      </c>
      <c r="DI1" s="3" t="inlineStr">
        <is>
          <t>IL</t>
        </is>
      </c>
      <c r="DJ1" s="3" t="inlineStr">
        <is>
          <t>IN</t>
        </is>
      </c>
      <c r="DK1" s="3" t="inlineStr">
        <is>
          <t>IA</t>
        </is>
      </c>
      <c r="DL1" s="3" t="inlineStr">
        <is>
          <t>KS</t>
        </is>
      </c>
      <c r="DM1" s="3" t="inlineStr">
        <is>
          <t>MN</t>
        </is>
      </c>
      <c r="DN1" s="3" t="inlineStr">
        <is>
          <t>MS</t>
        </is>
      </c>
      <c r="DO1" s="3" t="inlineStr">
        <is>
          <t>MO</t>
        </is>
      </c>
      <c r="DP1" s="3" t="inlineStr">
        <is>
          <t>OH</t>
        </is>
      </c>
      <c r="DQ1" s="3" t="inlineStr">
        <is>
          <t>SC</t>
        </is>
      </c>
      <c r="DR1" s="3" t="inlineStr">
        <is>
          <t>TN</t>
        </is>
      </c>
      <c r="DS1" s="3" t="inlineStr">
        <is>
          <t>Others</t>
        </is>
      </c>
      <c r="DT1" s="3" t="inlineStr">
        <is>
          <t>TOTAL</t>
        </is>
      </c>
      <c r="DX1" s="3" t="inlineStr">
        <is>
          <t>Soybean stocks at mills, end of month</t>
        </is>
      </c>
      <c r="DY1" s="3" t="inlineStr">
        <is>
          <t>AR</t>
        </is>
      </c>
      <c r="DZ1" s="3" t="inlineStr">
        <is>
          <t>GA</t>
        </is>
      </c>
      <c r="EA1" s="3" t="inlineStr">
        <is>
          <t>IL</t>
        </is>
      </c>
      <c r="EB1" s="3" t="inlineStr">
        <is>
          <t>IN</t>
        </is>
      </c>
      <c r="EC1" s="3" t="inlineStr">
        <is>
          <t>IA</t>
        </is>
      </c>
      <c r="ED1" s="3" t="inlineStr">
        <is>
          <t>KS</t>
        </is>
      </c>
      <c r="EE1" s="3" t="inlineStr">
        <is>
          <t>MN</t>
        </is>
      </c>
      <c r="EF1" s="3" t="inlineStr">
        <is>
          <t>MS</t>
        </is>
      </c>
      <c r="EG1" s="3" t="inlineStr">
        <is>
          <t>MO</t>
        </is>
      </c>
      <c r="EH1" s="3" t="inlineStr">
        <is>
          <t>OH</t>
        </is>
      </c>
      <c r="EI1" s="3" t="inlineStr">
        <is>
          <t>SC</t>
        </is>
      </c>
      <c r="EJ1" s="3" t="inlineStr">
        <is>
          <t>TN</t>
        </is>
      </c>
      <c r="EK1" s="3" t="inlineStr">
        <is>
          <t>Others</t>
        </is>
      </c>
      <c r="EL1" s="3" t="inlineStr">
        <is>
          <t>TOTAL</t>
        </is>
      </c>
      <c r="EN1" s="3" t="inlineStr">
        <is>
          <t>Soybean crude oil production</t>
        </is>
      </c>
      <c r="EO1" s="3" t="inlineStr">
        <is>
          <t>AR</t>
        </is>
      </c>
      <c r="EP1" s="3" t="inlineStr">
        <is>
          <t>GA</t>
        </is>
      </c>
      <c r="EQ1" s="3" t="inlineStr">
        <is>
          <t>IL</t>
        </is>
      </c>
      <c r="ER1" s="3" t="inlineStr">
        <is>
          <t>IN</t>
        </is>
      </c>
      <c r="ES1" s="3" t="inlineStr">
        <is>
          <t>IA</t>
        </is>
      </c>
      <c r="ET1" s="3" t="inlineStr">
        <is>
          <t>KS</t>
        </is>
      </c>
      <c r="EU1" s="3" t="inlineStr">
        <is>
          <t>MN</t>
        </is>
      </c>
      <c r="EV1" s="3" t="inlineStr">
        <is>
          <t>MS</t>
        </is>
      </c>
      <c r="EW1" s="3" t="inlineStr">
        <is>
          <t>MO</t>
        </is>
      </c>
      <c r="EX1" s="3" t="inlineStr">
        <is>
          <t>OH</t>
        </is>
      </c>
      <c r="EY1" s="3" t="inlineStr">
        <is>
          <t>SC</t>
        </is>
      </c>
      <c r="EZ1" s="3" t="inlineStr">
        <is>
          <t>TN</t>
        </is>
      </c>
      <c r="FA1" s="3" t="inlineStr">
        <is>
          <t>Others</t>
        </is>
      </c>
      <c r="FB1" s="3" t="inlineStr">
        <is>
          <t>TOTAL</t>
        </is>
      </c>
      <c r="FD1" s="3" t="inlineStr">
        <is>
          <t>Soybean cake and meal production</t>
        </is>
      </c>
      <c r="FE1" s="3" t="inlineStr">
        <is>
          <t>AR</t>
        </is>
      </c>
      <c r="FF1" s="3" t="inlineStr">
        <is>
          <t>GA</t>
        </is>
      </c>
      <c r="FG1" s="3" t="inlineStr">
        <is>
          <t>IL</t>
        </is>
      </c>
      <c r="FH1" s="3" t="inlineStr">
        <is>
          <t>IN</t>
        </is>
      </c>
      <c r="FI1" s="3" t="inlineStr">
        <is>
          <t>IA</t>
        </is>
      </c>
      <c r="FJ1" s="3" t="inlineStr">
        <is>
          <t>KS</t>
        </is>
      </c>
      <c r="FK1" s="3" t="inlineStr">
        <is>
          <t>MN</t>
        </is>
      </c>
      <c r="FL1" s="3" t="inlineStr">
        <is>
          <t>MS</t>
        </is>
      </c>
      <c r="FM1" s="3" t="inlineStr">
        <is>
          <t>MO</t>
        </is>
      </c>
      <c r="FN1" s="3" t="inlineStr">
        <is>
          <t>OH</t>
        </is>
      </c>
      <c r="FO1" s="3" t="inlineStr">
        <is>
          <t>SC</t>
        </is>
      </c>
      <c r="FP1" s="3" t="inlineStr">
        <is>
          <t>TN</t>
        </is>
      </c>
      <c r="FQ1" s="3" t="inlineStr">
        <is>
          <t>Others</t>
        </is>
      </c>
      <c r="FR1" s="3" t="inlineStr">
        <is>
          <t>TOTAL</t>
        </is>
      </c>
      <c r="FT1" s="3" t="inlineStr">
        <is>
          <t>Soybean crude oil stocks at mills, end of month</t>
        </is>
      </c>
      <c r="FU1" s="3" t="inlineStr">
        <is>
          <t>AR</t>
        </is>
      </c>
      <c r="FV1" s="3" t="inlineStr">
        <is>
          <t>GA</t>
        </is>
      </c>
      <c r="FW1" s="3" t="inlineStr">
        <is>
          <t>IL</t>
        </is>
      </c>
      <c r="FX1" s="3" t="inlineStr">
        <is>
          <t>IN</t>
        </is>
      </c>
      <c r="FY1" s="3" t="inlineStr">
        <is>
          <t>IA</t>
        </is>
      </c>
      <c r="FZ1" s="3" t="inlineStr">
        <is>
          <t>KS</t>
        </is>
      </c>
      <c r="GA1" s="3" t="inlineStr">
        <is>
          <t>MN</t>
        </is>
      </c>
      <c r="GB1" s="3" t="inlineStr">
        <is>
          <t>MS</t>
        </is>
      </c>
      <c r="GC1" s="3" t="inlineStr">
        <is>
          <t>MO</t>
        </is>
      </c>
      <c r="GD1" s="3" t="inlineStr">
        <is>
          <t>OH</t>
        </is>
      </c>
      <c r="GE1" s="3" t="inlineStr">
        <is>
          <t>SC</t>
        </is>
      </c>
      <c r="GF1" s="3" t="inlineStr">
        <is>
          <t>TN</t>
        </is>
      </c>
      <c r="GG1" s="3" t="inlineStr">
        <is>
          <t>Others</t>
        </is>
      </c>
      <c r="GH1" s="3" t="inlineStr">
        <is>
          <t>TOTAL</t>
        </is>
      </c>
      <c r="GJ1" s="3" t="inlineStr">
        <is>
          <t>Soybean cake and meal stocks at mills, end of month</t>
        </is>
      </c>
      <c r="GK1" s="3" t="inlineStr">
        <is>
          <t>AR</t>
        </is>
      </c>
      <c r="GL1" s="3" t="inlineStr">
        <is>
          <t>GA</t>
        </is>
      </c>
      <c r="GM1" s="3" t="inlineStr">
        <is>
          <t>IL</t>
        </is>
      </c>
      <c r="GN1" s="3" t="inlineStr">
        <is>
          <t>IN</t>
        </is>
      </c>
      <c r="GO1" s="3" t="inlineStr">
        <is>
          <t>IA</t>
        </is>
      </c>
      <c r="GP1" s="3" t="inlineStr">
        <is>
          <t>KS</t>
        </is>
      </c>
      <c r="GQ1" s="3" t="inlineStr">
        <is>
          <t>MN</t>
        </is>
      </c>
      <c r="GR1" s="3" t="inlineStr">
        <is>
          <t>MS</t>
        </is>
      </c>
      <c r="GS1" s="3" t="inlineStr">
        <is>
          <t>MO</t>
        </is>
      </c>
      <c r="GT1" s="3" t="inlineStr">
        <is>
          <t>OH</t>
        </is>
      </c>
      <c r="GU1" s="3" t="inlineStr">
        <is>
          <t>SC</t>
        </is>
      </c>
      <c r="GV1" s="3" t="inlineStr">
        <is>
          <t>TN</t>
        </is>
      </c>
      <c r="GW1" s="3" t="inlineStr">
        <is>
          <t>Others</t>
        </is>
      </c>
      <c r="GX1" s="3" t="inlineStr">
        <is>
          <t>TOTAL</t>
        </is>
      </c>
      <c r="GY1" s="3" t="n">
        <v>0.9637899206669062</v>
      </c>
      <c r="GZ1" s="3" t="inlineStr">
        <is>
          <t>Refined Soybean Oil Production (Milllion Pounds)</t>
        </is>
      </c>
      <c r="HA1" s="3" t="inlineStr">
        <is>
          <t>Soybean oil consumption in refining (million pounds)</t>
        </is>
      </c>
      <c r="HB1" s="3" t="inlineStr">
        <is>
          <t>Difference Between Balance Sheet and Reported Consumption</t>
        </is>
      </c>
      <c r="HC1" s="3" t="inlineStr">
        <is>
          <t>Change from last year</t>
        </is>
      </c>
      <c r="HD1" s="3" t="inlineStr">
        <is>
          <t>Balance Sheet Soyoil Domestic Use</t>
        </is>
      </c>
      <c r="HE1" s="3" t="inlineStr">
        <is>
          <t>Change from last year</t>
        </is>
      </c>
      <c r="HF1" s="3" t="inlineStr">
        <is>
          <t>Selected edible and inedible products</t>
        </is>
      </c>
      <c r="HG1" s="3" t="inlineStr">
        <is>
          <t>Edible products</t>
        </is>
      </c>
      <c r="HH1" s="3" t="inlineStr">
        <is>
          <t>Baking or frying fats</t>
        </is>
      </c>
      <c r="HI1" s="3" t="inlineStr">
        <is>
          <t>Margarine</t>
        </is>
      </c>
      <c r="HJ1" s="3" t="inlineStr">
        <is>
          <t>Salad or cooking oil</t>
        </is>
      </c>
      <c r="HK1" s="3" t="inlineStr">
        <is>
          <t>Other edible products</t>
        </is>
      </c>
      <c r="HL1" s="3" t="inlineStr">
        <is>
          <t>Inedible products</t>
        </is>
      </c>
      <c r="HM1" s="3" t="inlineStr">
        <is>
          <t>Total methyl esters from SBO</t>
        </is>
      </c>
      <c r="HN1" s="3" t="inlineStr">
        <is>
          <t>Methyl esters from crude SBO</t>
        </is>
      </c>
      <c r="HO1" s="3" t="inlineStr">
        <is>
          <t>Methyl esters from once-refined SBO</t>
        </is>
      </c>
      <c r="HP1" s="3" t="inlineStr">
        <is>
          <t>Fatty acids</t>
        </is>
      </c>
      <c r="HQ1" s="3" t="inlineStr">
        <is>
          <t>Paint and varnish</t>
        </is>
      </c>
      <c r="HR1" s="3" t="inlineStr">
        <is>
          <t>Resins and plastics</t>
        </is>
      </c>
      <c r="HS1" s="3" t="inlineStr">
        <is>
          <t>Soap</t>
        </is>
      </c>
      <c r="HT1" s="3" t="inlineStr">
        <is>
          <t>Other inedible products</t>
        </is>
      </c>
      <c r="HV1" s="3" t="inlineStr">
        <is>
          <t>Inedible tallow and grease consumption (million pounds)</t>
        </is>
      </c>
      <c r="HW1" s="3" t="inlineStr">
        <is>
          <t>Selected edible and inedible products</t>
        </is>
      </c>
      <c r="HX1" s="3" t="inlineStr">
        <is>
          <t>Edible products</t>
        </is>
      </c>
      <c r="HY1" s="3" t="inlineStr">
        <is>
          <t>Inedible products</t>
        </is>
      </c>
      <c r="HZ1" s="3" t="inlineStr">
        <is>
          <t>Fatty acids</t>
        </is>
      </c>
      <c r="IA1" s="3" t="inlineStr">
        <is>
          <t>Feed</t>
        </is>
      </c>
      <c r="IB1" s="3" t="inlineStr">
        <is>
          <t>Inedible tallow</t>
        </is>
      </c>
      <c r="IC1" s="3" t="inlineStr">
        <is>
          <t>Grease</t>
        </is>
      </c>
      <c r="ID1" s="3" t="inlineStr">
        <is>
          <t>Yellow grease</t>
        </is>
      </c>
      <c r="IE1" s="3" t="inlineStr">
        <is>
          <t>Other grease</t>
        </is>
      </c>
      <c r="IF1" s="3" t="inlineStr">
        <is>
          <t>Lubricants</t>
        </is>
      </c>
      <c r="IG1" s="3" t="inlineStr">
        <is>
          <t>Soap</t>
        </is>
      </c>
      <c r="IH1" s="3" t="inlineStr">
        <is>
          <t>Methyl Esters-All</t>
        </is>
      </c>
      <c r="II1" s="3" t="inlineStr">
        <is>
          <t>Methyl Esters-Inedible Tallow</t>
        </is>
      </c>
      <c r="IJ1" s="3" t="inlineStr">
        <is>
          <t>Methyl Esters-Yellow Grease</t>
        </is>
      </c>
      <c r="IK1" s="3" t="inlineStr">
        <is>
          <t>Methyl Esters-Other Grease</t>
        </is>
      </c>
      <c r="IL1" s="3" t="inlineStr">
        <is>
          <t>Other Inedible Products</t>
        </is>
      </c>
      <c r="IN1" s="3" t="inlineStr">
        <is>
          <t>Refined Cottonsseed Oil Production (Milllion Pounds)</t>
        </is>
      </c>
      <c r="IO1" s="3" t="inlineStr">
        <is>
          <t>Cottonsseed oil consumption in refining (million pounds)</t>
        </is>
      </c>
      <c r="IP1" s="3" t="inlineStr">
        <is>
          <t>Selected edible and inedible products 1/</t>
        </is>
      </c>
      <c r="IQ1" s="3" t="inlineStr">
        <is>
          <t>Edible products</t>
        </is>
      </c>
      <c r="IR1" s="3" t="inlineStr">
        <is>
          <t>Baking or frying fats</t>
        </is>
      </c>
      <c r="IS1" s="3" t="inlineStr">
        <is>
          <t>Margarine</t>
        </is>
      </c>
      <c r="IT1" s="3" t="inlineStr">
        <is>
          <t>Salad or cooking oil</t>
        </is>
      </c>
      <c r="IU1" s="3" t="inlineStr">
        <is>
          <t>Other edible products</t>
        </is>
      </c>
      <c r="IV1" s="3" t="inlineStr">
        <is>
          <t>Inedible products</t>
        </is>
      </c>
      <c r="IW1" s="3" t="inlineStr">
        <is>
          <t>Methyl esters</t>
        </is>
      </c>
      <c r="IX1" s="3" t="inlineStr">
        <is>
          <t>Other inedible products</t>
        </is>
      </c>
      <c r="IY1" s="3" t="inlineStr">
        <is>
          <t>Soybean Meal Yield</t>
        </is>
      </c>
      <c r="IZ1" s="3" t="inlineStr">
        <is>
          <t>Yield Less NOPA Yield</t>
        </is>
      </c>
      <c r="JA1" s="3" t="inlineStr">
        <is>
          <t>10-Year Average Delta</t>
        </is>
      </c>
      <c r="JB1" s="3" t="inlineStr">
        <is>
          <t>Soybean Oil Yield</t>
        </is>
      </c>
      <c r="JC1" s="3" t="inlineStr">
        <is>
          <t>Yield Less NOPA Yield</t>
        </is>
      </c>
      <c r="JD1" s="3" t="inlineStr">
        <is>
          <t>10-Year Average Delta</t>
        </is>
      </c>
      <c r="JE1" s="3" t="inlineStr">
        <is>
          <t>Total Soybean Oil Stocks</t>
        </is>
      </c>
      <c r="JF1" s="3" t="inlineStr">
        <is>
          <t>NOPA Stocks / Census Stocks</t>
        </is>
      </c>
      <c r="JG1" s="3" t="inlineStr">
        <is>
          <t>10-Year Average NOPA Percent of Census Stocks</t>
        </is>
      </c>
    </row>
    <row r="2">
      <c r="A2" s="1" t="n">
        <v>29099</v>
      </c>
      <c r="B2" s="2" t="n">
        <v>2276.3</v>
      </c>
      <c r="C2" s="2" t="n">
        <v>1176.2</v>
      </c>
      <c r="D2" s="2" t="n">
        <v>174.6</v>
      </c>
      <c r="E2" s="2" t="n">
        <v>349.6</v>
      </c>
      <c r="F2" s="2" t="n">
        <v>5.4</v>
      </c>
      <c r="G2" s="2" t="n">
        <v>7.5</v>
      </c>
      <c r="H2" s="2" t="n">
        <v>8.300000000000001</v>
      </c>
      <c r="I2" s="2" t="inlineStr">
        <is>
          <t>NA</t>
        </is>
      </c>
      <c r="J2" s="2" t="inlineStr">
        <is>
          <t>NA</t>
        </is>
      </c>
      <c r="K2" s="2" t="n">
        <v>848.9</v>
      </c>
      <c r="L2" s="2" t="n">
        <v>775.8</v>
      </c>
      <c r="M2" s="2" t="n">
        <v>429.5</v>
      </c>
      <c r="N2" s="2" t="n">
        <v>346.3</v>
      </c>
      <c r="O2" s="2" t="n">
        <v>53.5</v>
      </c>
      <c r="P2" s="2" t="n">
        <v>86.40000000000001</v>
      </c>
      <c r="Q2" s="2" t="n">
        <v>30.4</v>
      </c>
      <c r="R2" s="2" t="n">
        <v>56</v>
      </c>
      <c r="T2" s="2" t="n">
        <v>4.5</v>
      </c>
      <c r="U2" s="2" t="n">
        <v>46.7</v>
      </c>
      <c r="V2" s="2" t="n">
        <v>39.3</v>
      </c>
      <c r="W2" s="2" t="n">
        <v>7.4</v>
      </c>
      <c r="X2" s="2" t="n">
        <v>5.8</v>
      </c>
      <c r="Y2" s="2" t="inlineStr">
        <is>
          <t>NA</t>
        </is>
      </c>
      <c r="AA2" s="2" t="inlineStr">
        <is>
          <t>NA</t>
        </is>
      </c>
      <c r="AB2" s="2" t="inlineStr">
        <is>
          <t>NA</t>
        </is>
      </c>
      <c r="AC2" s="2" t="inlineStr">
        <is>
          <t>NA</t>
        </is>
      </c>
      <c r="AD2" s="2" t="inlineStr">
        <is>
          <t>NA</t>
        </is>
      </c>
      <c r="AG2" s="2" t="inlineStr">
        <is>
          <t>NA</t>
        </is>
      </c>
      <c r="AH2" s="2" t="inlineStr">
        <is>
          <t>NA</t>
        </is>
      </c>
      <c r="AI2" s="2" t="n">
        <v>60.3</v>
      </c>
      <c r="AL2" s="2" t="n">
        <v>70.2</v>
      </c>
      <c r="AM2" s="2" t="n">
        <v>48.4</v>
      </c>
      <c r="AN2" s="2" t="n">
        <v>21.8</v>
      </c>
      <c r="AO2" s="2" t="n">
        <v>1765.8</v>
      </c>
      <c r="AP2" s="2" t="n">
        <v>224.3</v>
      </c>
      <c r="AQ2" s="2" t="n">
        <v>55.9</v>
      </c>
      <c r="AR2" s="2" t="n">
        <v>43.1</v>
      </c>
      <c r="AS2" s="2" t="n">
        <v>79.3</v>
      </c>
      <c r="AT2" s="2" t="n">
        <v>51.5</v>
      </c>
      <c r="AU2" s="2" t="n">
        <v>47.6</v>
      </c>
      <c r="AV2" s="2" t="n">
        <v>21.2</v>
      </c>
      <c r="AW2" s="2" t="n">
        <v>3.7</v>
      </c>
      <c r="AX2" s="2" t="n">
        <v>0.9</v>
      </c>
      <c r="AY2" s="2" t="n">
        <v>4.6</v>
      </c>
      <c r="AZ2" s="2" t="n">
        <v>4.1</v>
      </c>
      <c r="BA2" s="2" t="inlineStr">
        <is>
          <t>NA</t>
        </is>
      </c>
      <c r="BB2" s="2" t="inlineStr">
        <is>
          <t>NA</t>
        </is>
      </c>
      <c r="BD2" s="2" t="n">
        <v>67.7</v>
      </c>
      <c r="BE2" s="2" t="n">
        <v>49.1</v>
      </c>
      <c r="BM2" s="2" t="n">
        <v>462</v>
      </c>
      <c r="BS2" s="2" t="n">
        <v>375.7</v>
      </c>
      <c r="BU2" s="2" t="n">
        <v>43.9</v>
      </c>
      <c r="BV2" s="2" t="inlineStr">
        <is>
          <t>NA</t>
        </is>
      </c>
      <c r="BW2" s="2" t="inlineStr">
        <is>
          <t>NA</t>
        </is>
      </c>
      <c r="BX2" s="2" t="n">
        <v>371.4</v>
      </c>
      <c r="BY2" s="2" t="inlineStr">
        <is>
          <t>NA</t>
        </is>
      </c>
      <c r="BZ2" s="2" t="inlineStr">
        <is>
          <t>NA</t>
        </is>
      </c>
      <c r="CF2" s="2" t="n">
        <v>90.8</v>
      </c>
      <c r="CG2" s="2" t="n">
        <v>150</v>
      </c>
      <c r="CH2" s="2" t="n">
        <v>15.7</v>
      </c>
      <c r="CN2" s="2" t="n">
        <v>47.2</v>
      </c>
      <c r="CO2" s="2" t="n">
        <v>157</v>
      </c>
      <c r="CP2" s="2" t="n">
        <v>113.3</v>
      </c>
      <c r="CQ2" s="2" t="n">
        <v>43.7</v>
      </c>
      <c r="CR2" s="2" t="n">
        <v>41.9</v>
      </c>
      <c r="CS2" s="2" t="n">
        <v>62.9</v>
      </c>
      <c r="CT2" s="2" t="n">
        <v>47</v>
      </c>
      <c r="CU2" s="2" t="n">
        <v>15.9</v>
      </c>
      <c r="CV2" s="2" t="n">
        <v>73.8</v>
      </c>
      <c r="CW2" s="2" t="n">
        <v>73.8</v>
      </c>
      <c r="CY2" s="2" t="inlineStr">
        <is>
          <t>NA</t>
        </is>
      </c>
      <c r="CZ2" s="2" t="n">
        <v>23.1</v>
      </c>
      <c r="DA2" s="2" t="n">
        <v>41.2</v>
      </c>
      <c r="DB2" s="2" t="n">
        <v>36.2</v>
      </c>
      <c r="DC2" s="2" t="n">
        <v>5</v>
      </c>
      <c r="DG2" s="2" t="n">
        <v>56.8</v>
      </c>
      <c r="DI2" s="2" t="n">
        <v>630.9</v>
      </c>
      <c r="DJ2" s="2" t="n">
        <v>105.3</v>
      </c>
      <c r="DK2" s="2" t="n">
        <v>410.2</v>
      </c>
      <c r="DL2" s="2" t="n">
        <v>89.90000000000001</v>
      </c>
      <c r="DM2" s="2" t="n">
        <v>157.8</v>
      </c>
      <c r="DO2" s="2" t="n">
        <v>121.5</v>
      </c>
      <c r="DP2" s="2" t="n">
        <v>103.5</v>
      </c>
      <c r="DQ2" s="2" t="n">
        <v>28</v>
      </c>
      <c r="DR2" s="2" t="n">
        <v>139.3</v>
      </c>
      <c r="DS2" s="2" t="n">
        <v>433.1</v>
      </c>
      <c r="DT2" s="2" t="n">
        <v>2276.3</v>
      </c>
      <c r="DU2" s="2" t="n">
        <v>-56.80000000000018</v>
      </c>
      <c r="DV2" s="2" t="n">
        <v>0</v>
      </c>
      <c r="GZ2" s="2" t="n">
        <v>693</v>
      </c>
      <c r="IN2" s="2" t="n">
        <v>56.7</v>
      </c>
      <c r="IY2" s="2" t="n">
        <v>48.01739665246232</v>
      </c>
      <c r="IZ2" s="2" t="n">
        <v>0.7173966524623268</v>
      </c>
      <c r="JB2" s="2" t="n">
        <v>11.18789263278127</v>
      </c>
      <c r="JC2" s="2" t="n">
        <v>-0.01210736721873396</v>
      </c>
      <c r="JE2" s="2" t="n">
        <v>775.8</v>
      </c>
      <c r="JF2" s="2" t="n">
        <v>0.2776488785769529</v>
      </c>
    </row>
    <row r="3">
      <c r="A3" s="1" t="n">
        <v>29129</v>
      </c>
      <c r="B3" s="2" t="n">
        <v>2874.3</v>
      </c>
      <c r="C3" s="2" t="n">
        <v>4995.9</v>
      </c>
      <c r="D3" s="2" t="n">
        <v>304.3</v>
      </c>
      <c r="E3" s="2" t="n">
        <v>1157.4</v>
      </c>
      <c r="F3" s="2" t="n">
        <v>5.6</v>
      </c>
      <c r="G3" s="2" t="n">
        <v>70</v>
      </c>
      <c r="H3" s="2" t="n">
        <v>14.9</v>
      </c>
      <c r="I3" s="2" t="inlineStr">
        <is>
          <t>NA</t>
        </is>
      </c>
      <c r="J3" s="2" t="inlineStr">
        <is>
          <t>NA</t>
        </is>
      </c>
      <c r="K3" s="2" t="n">
        <v>1020.3</v>
      </c>
      <c r="L3" s="2" t="n">
        <v>819.8</v>
      </c>
      <c r="M3" s="2" t="n">
        <v>487</v>
      </c>
      <c r="N3" s="2" t="n">
        <v>332.8</v>
      </c>
      <c r="O3" s="2" t="n">
        <v>98.59999999999999</v>
      </c>
      <c r="P3" s="2" t="n">
        <v>93.09999999999999</v>
      </c>
      <c r="Q3" s="2" t="n">
        <v>48.1</v>
      </c>
      <c r="R3" s="2" t="n">
        <v>45</v>
      </c>
      <c r="T3" s="2" t="n">
        <v>4.5</v>
      </c>
      <c r="U3" s="2" t="n">
        <v>38.4</v>
      </c>
      <c r="V3" s="2" t="n">
        <v>32.1</v>
      </c>
      <c r="W3" s="2" t="n">
        <v>6.3</v>
      </c>
      <c r="X3" s="2" t="n">
        <v>53.7</v>
      </c>
      <c r="Y3" s="2" t="inlineStr">
        <is>
          <t>NA</t>
        </is>
      </c>
      <c r="AA3" s="2" t="inlineStr">
        <is>
          <t>NA</t>
        </is>
      </c>
      <c r="AB3" s="2" t="inlineStr">
        <is>
          <t>NA</t>
        </is>
      </c>
      <c r="AC3" s="2" t="inlineStr">
        <is>
          <t>NA</t>
        </is>
      </c>
      <c r="AD3" s="2" t="inlineStr">
        <is>
          <t>NA</t>
        </is>
      </c>
      <c r="AG3" s="2" t="inlineStr">
        <is>
          <t>NA</t>
        </is>
      </c>
      <c r="AH3" s="2" t="inlineStr">
        <is>
          <t>NA</t>
        </is>
      </c>
      <c r="AI3" s="2" t="n">
        <v>61.8</v>
      </c>
      <c r="AL3" s="2" t="n">
        <v>68.90000000000001</v>
      </c>
      <c r="AM3" s="2" t="n">
        <v>46.8</v>
      </c>
      <c r="AN3" s="2" t="n">
        <v>22.1</v>
      </c>
      <c r="AO3" s="2" t="n">
        <v>2213.9</v>
      </c>
      <c r="AP3" s="2" t="n">
        <v>204.1</v>
      </c>
      <c r="AQ3" s="2" t="n">
        <v>71.90000000000001</v>
      </c>
      <c r="AR3" s="2" t="n">
        <v>30.2</v>
      </c>
      <c r="AS3" s="2" t="n">
        <v>145.9</v>
      </c>
      <c r="AT3" s="2" t="n">
        <v>31.8</v>
      </c>
      <c r="AU3" s="2" t="n">
        <v>76.7</v>
      </c>
      <c r="AV3" s="2" t="n">
        <v>15.8</v>
      </c>
      <c r="AW3" s="2" t="n">
        <v>3.2</v>
      </c>
      <c r="AX3" s="2" t="n">
        <v>0.9</v>
      </c>
      <c r="AY3" s="2" t="n">
        <v>42.8</v>
      </c>
      <c r="AZ3" s="2" t="n">
        <v>6.2</v>
      </c>
      <c r="BA3" s="2" t="inlineStr">
        <is>
          <t>NA</t>
        </is>
      </c>
      <c r="BB3" s="2" t="inlineStr">
        <is>
          <t>NA</t>
        </is>
      </c>
      <c r="BD3" s="2" t="n">
        <v>81.3</v>
      </c>
      <c r="BE3" s="2" t="n">
        <v>41.4</v>
      </c>
      <c r="BM3" s="2" t="n">
        <v>533.1</v>
      </c>
      <c r="BS3" s="2" t="n">
        <v>403.2</v>
      </c>
      <c r="BU3" s="2" t="n">
        <v>44.7</v>
      </c>
      <c r="BV3" s="2" t="inlineStr">
        <is>
          <t>NA</t>
        </is>
      </c>
      <c r="BW3" s="2" t="inlineStr">
        <is>
          <t>NA</t>
        </is>
      </c>
      <c r="BX3" s="2" t="n">
        <v>418.1</v>
      </c>
      <c r="BY3" s="2" t="inlineStr">
        <is>
          <t>NA</t>
        </is>
      </c>
      <c r="BZ3" s="2" t="inlineStr">
        <is>
          <t>NA</t>
        </is>
      </c>
      <c r="CF3" s="2" t="n">
        <v>110.5</v>
      </c>
      <c r="CG3" s="2" t="n">
        <v>133.8</v>
      </c>
      <c r="CH3" s="2" t="n">
        <v>16.3</v>
      </c>
      <c r="CN3" s="2" t="n">
        <v>38.7</v>
      </c>
      <c r="CO3" s="2" t="n">
        <v>211.6</v>
      </c>
      <c r="CP3" s="2" t="n">
        <v>163.4</v>
      </c>
      <c r="CQ3" s="2" t="n">
        <v>48.2</v>
      </c>
      <c r="CR3" s="2" t="n">
        <v>11.5</v>
      </c>
      <c r="CS3" s="2" t="n">
        <v>46.4</v>
      </c>
      <c r="CT3" s="2" t="n">
        <v>28.7</v>
      </c>
      <c r="CU3" s="2" t="n">
        <v>17.7</v>
      </c>
      <c r="CV3" s="2" t="n">
        <v>67.59999999999999</v>
      </c>
      <c r="CW3" s="2" t="n">
        <v>67.59999999999999</v>
      </c>
      <c r="CY3" s="2" t="n">
        <v>17.3</v>
      </c>
      <c r="CZ3" s="2" t="n">
        <v>25.5</v>
      </c>
      <c r="DA3" s="2" t="n">
        <v>38.2</v>
      </c>
      <c r="DB3" s="2" t="n">
        <v>31.3</v>
      </c>
      <c r="DC3" s="2" t="n">
        <v>6.9</v>
      </c>
      <c r="DG3" s="2" t="n">
        <v>113</v>
      </c>
      <c r="DI3" s="2" t="n">
        <v>692.3</v>
      </c>
      <c r="DJ3" s="2" t="n">
        <v>179.8</v>
      </c>
      <c r="DK3" s="2" t="n">
        <v>469.8</v>
      </c>
      <c r="DL3" s="2" t="n">
        <v>116.3</v>
      </c>
      <c r="DM3" s="2" t="n">
        <v>169.3</v>
      </c>
      <c r="DO3" s="2" t="n">
        <v>143.6</v>
      </c>
      <c r="DP3" s="2" t="n">
        <v>139.5</v>
      </c>
      <c r="DQ3" s="2" t="n">
        <v>31.5</v>
      </c>
      <c r="DR3" s="2" t="n">
        <v>152.5</v>
      </c>
      <c r="DS3" s="2" t="n">
        <v>666.7</v>
      </c>
      <c r="DT3" s="2" t="n">
        <v>2874.3</v>
      </c>
      <c r="DU3" s="2" t="n">
        <v>-113.0000000000009</v>
      </c>
      <c r="DV3" s="2" t="n">
        <v>0</v>
      </c>
      <c r="GZ3" s="2" t="n">
        <v>805.9</v>
      </c>
      <c r="IN3" s="2" t="n">
        <v>69.59999999999999</v>
      </c>
      <c r="IY3" s="2" t="n">
        <v>47.71526980482204</v>
      </c>
      <c r="IZ3" s="2" t="n">
        <v>0.4152698048220458</v>
      </c>
      <c r="JB3" s="2" t="n">
        <v>10.64920154472393</v>
      </c>
      <c r="JC3" s="2" t="n">
        <v>-0.05079845527606786</v>
      </c>
      <c r="JE3" s="2" t="n">
        <v>819.8</v>
      </c>
      <c r="JF3" s="2" t="n">
        <v>0.2715296413759454</v>
      </c>
    </row>
    <row r="4">
      <c r="A4" s="1" t="n">
        <v>29160</v>
      </c>
      <c r="B4" s="2" t="n">
        <v>3042.3</v>
      </c>
      <c r="C4" s="2" t="n">
        <v>5535.6</v>
      </c>
      <c r="D4" s="2" t="n">
        <v>394.3</v>
      </c>
      <c r="E4" s="2" t="n">
        <v>2577.2</v>
      </c>
      <c r="F4" s="2" t="n">
        <v>5.9</v>
      </c>
      <c r="G4" s="2" t="n">
        <v>51</v>
      </c>
      <c r="H4" s="2" t="n">
        <v>28.9</v>
      </c>
      <c r="I4" s="2" t="inlineStr">
        <is>
          <t>NA</t>
        </is>
      </c>
      <c r="J4" s="2" t="inlineStr">
        <is>
          <t>NA</t>
        </is>
      </c>
      <c r="K4" s="2" t="n">
        <v>1067.9</v>
      </c>
      <c r="L4" s="2" t="n">
        <v>867.3</v>
      </c>
      <c r="M4" s="2" t="n">
        <v>518.8</v>
      </c>
      <c r="N4" s="2" t="n">
        <v>348.5</v>
      </c>
      <c r="O4" s="2" t="n">
        <v>126.5</v>
      </c>
      <c r="P4" s="2" t="n">
        <v>129</v>
      </c>
      <c r="Q4" s="2" t="n">
        <v>70.3</v>
      </c>
      <c r="R4" s="2" t="n">
        <v>58.7</v>
      </c>
      <c r="T4" s="2" t="n">
        <v>6.1</v>
      </c>
      <c r="U4" s="2" t="n">
        <v>33.9</v>
      </c>
      <c r="V4" s="2" t="n">
        <v>27.7</v>
      </c>
      <c r="W4" s="2" t="n">
        <v>6.2</v>
      </c>
      <c r="X4" s="2" t="n">
        <v>39</v>
      </c>
      <c r="Y4" s="2" t="inlineStr">
        <is>
          <t>NA</t>
        </is>
      </c>
      <c r="AA4" s="2" t="inlineStr">
        <is>
          <t>NA</t>
        </is>
      </c>
      <c r="AB4" s="2" t="inlineStr">
        <is>
          <t>NA</t>
        </is>
      </c>
      <c r="AC4" s="2" t="inlineStr">
        <is>
          <t>NA</t>
        </is>
      </c>
      <c r="AD4" s="2" t="inlineStr">
        <is>
          <t>NA</t>
        </is>
      </c>
      <c r="AG4" s="2" t="inlineStr">
        <is>
          <t>NA</t>
        </is>
      </c>
      <c r="AH4" s="2" t="inlineStr">
        <is>
          <t>NA</t>
        </is>
      </c>
      <c r="AI4" s="2" t="n">
        <v>63.3</v>
      </c>
      <c r="AL4" s="2" t="n">
        <v>62.7</v>
      </c>
      <c r="AM4" s="2" t="n">
        <v>40.6</v>
      </c>
      <c r="AN4" s="2" t="n">
        <v>22.1</v>
      </c>
      <c r="AO4" s="2" t="n">
        <v>2359.4</v>
      </c>
      <c r="AP4" s="2" t="n">
        <v>164.2</v>
      </c>
      <c r="AQ4" s="2" t="n">
        <v>73.90000000000001</v>
      </c>
      <c r="AR4" s="2" t="n">
        <v>30.9</v>
      </c>
      <c r="AS4" s="2" t="n">
        <v>183.4</v>
      </c>
      <c r="AT4" s="2" t="n">
        <v>26.7</v>
      </c>
      <c r="AU4" s="2" t="n">
        <v>99.09999999999999</v>
      </c>
      <c r="AV4" s="2" t="n">
        <v>22.3</v>
      </c>
      <c r="AW4" s="2" t="n">
        <v>4.2</v>
      </c>
      <c r="AX4" s="2" t="n">
        <v>1.2</v>
      </c>
      <c r="AY4" s="2" t="n">
        <v>31.2</v>
      </c>
      <c r="AZ4" s="2" t="n">
        <v>1.7</v>
      </c>
      <c r="BA4" s="2" t="inlineStr">
        <is>
          <t>NA</t>
        </is>
      </c>
      <c r="BB4" s="2" t="inlineStr">
        <is>
          <t>NA</t>
        </is>
      </c>
      <c r="BD4" s="2" t="n">
        <v>69.40000000000001</v>
      </c>
      <c r="BE4" s="2" t="n">
        <v>46.6</v>
      </c>
      <c r="BM4" s="2" t="n">
        <v>510.6</v>
      </c>
      <c r="BS4" s="2" t="n">
        <v>404.5</v>
      </c>
      <c r="BU4" s="2" t="n">
        <v>52</v>
      </c>
      <c r="BV4" s="2" t="inlineStr">
        <is>
          <t>NA</t>
        </is>
      </c>
      <c r="BW4" s="2" t="inlineStr">
        <is>
          <t>NA</t>
        </is>
      </c>
      <c r="BX4" s="2" t="n">
        <v>418.1</v>
      </c>
      <c r="BY4" s="2" t="inlineStr">
        <is>
          <t>NA</t>
        </is>
      </c>
      <c r="BZ4" s="2" t="inlineStr">
        <is>
          <t>NA</t>
        </is>
      </c>
      <c r="CF4" s="2" t="n">
        <v>108.6</v>
      </c>
      <c r="CG4" s="2" t="n">
        <v>128.7</v>
      </c>
      <c r="CH4" s="2" t="n">
        <v>14.4</v>
      </c>
      <c r="CN4" s="2" t="n">
        <v>51.5</v>
      </c>
      <c r="CO4" s="2" t="n">
        <v>191.5</v>
      </c>
      <c r="CP4" s="2" t="n">
        <v>137.3</v>
      </c>
      <c r="CQ4" s="2" t="n">
        <v>54.2</v>
      </c>
      <c r="CR4" s="2" t="n">
        <v>15.7</v>
      </c>
      <c r="CS4" s="2" t="n">
        <v>43.6</v>
      </c>
      <c r="CT4" s="2" t="n">
        <v>27</v>
      </c>
      <c r="CU4" s="2" t="n">
        <v>16.6</v>
      </c>
      <c r="CV4" s="2" t="n">
        <v>66.2</v>
      </c>
      <c r="CW4" s="2" t="n">
        <v>66.2</v>
      </c>
      <c r="CY4" s="2" t="n">
        <v>14.3</v>
      </c>
      <c r="CZ4" s="2" t="n">
        <v>26.5</v>
      </c>
      <c r="DA4" s="2" t="n">
        <v>39.4</v>
      </c>
      <c r="DB4" s="2" t="n">
        <v>29.7</v>
      </c>
      <c r="DC4" s="2" t="n">
        <v>9.699999999999999</v>
      </c>
      <c r="DG4" s="2" t="n">
        <v>162</v>
      </c>
      <c r="DI4" s="2" t="n">
        <v>699.6</v>
      </c>
      <c r="DJ4" s="2" t="n">
        <v>176.5</v>
      </c>
      <c r="DK4" s="2" t="n">
        <v>466.5</v>
      </c>
      <c r="DL4" s="2" t="n">
        <v>116.2</v>
      </c>
      <c r="DM4" s="2" t="n">
        <v>159.7</v>
      </c>
      <c r="DN4" s="2" t="n">
        <v>106.7</v>
      </c>
      <c r="DO4" s="2" t="n">
        <v>159.2</v>
      </c>
      <c r="DP4" s="2" t="n">
        <v>146.5</v>
      </c>
      <c r="DQ4" s="2" t="n">
        <v>62.4</v>
      </c>
      <c r="DR4" s="2" t="n">
        <v>177.6</v>
      </c>
      <c r="DS4" s="2" t="n">
        <v>609.4</v>
      </c>
      <c r="DT4" s="2" t="n">
        <v>3042.3</v>
      </c>
      <c r="DU4" s="2" t="n">
        <v>-162</v>
      </c>
      <c r="DV4" s="2" t="n">
        <v>0</v>
      </c>
      <c r="GZ4" s="2" t="n">
        <v>797.6</v>
      </c>
      <c r="IN4" s="2" t="n">
        <v>97</v>
      </c>
      <c r="IY4" s="2" t="n">
        <v>47.98935016270585</v>
      </c>
      <c r="IZ4" s="2" t="n">
        <v>0.3893501627058455</v>
      </c>
      <c r="JB4" s="2" t="n">
        <v>10.53051967261611</v>
      </c>
      <c r="JC4" s="2" t="n">
        <v>0.0305196726161121</v>
      </c>
      <c r="JE4" s="2" t="n">
        <v>867.3</v>
      </c>
      <c r="JF4" s="2" t="n">
        <v>0.2839847803528191</v>
      </c>
    </row>
    <row r="5">
      <c r="A5" s="1" t="n">
        <v>29190</v>
      </c>
      <c r="B5" s="2" t="n">
        <v>3131.8</v>
      </c>
      <c r="C5" s="2" t="n">
        <v>4898.9</v>
      </c>
      <c r="D5" s="2" t="n">
        <v>379.1</v>
      </c>
      <c r="E5" s="2" t="n">
        <v>3237.6</v>
      </c>
      <c r="F5" s="2" t="n">
        <v>10.2</v>
      </c>
      <c r="G5" s="2" t="n">
        <v>67.2</v>
      </c>
      <c r="H5" s="2" t="n">
        <v>22.6</v>
      </c>
      <c r="I5" s="2" t="inlineStr">
        <is>
          <t>NA</t>
        </is>
      </c>
      <c r="J5" s="2" t="inlineStr">
        <is>
          <t>NA</t>
        </is>
      </c>
      <c r="K5" s="2" t="n">
        <v>1102</v>
      </c>
      <c r="L5" s="2" t="n">
        <v>1030.1</v>
      </c>
      <c r="M5" s="2" t="n">
        <v>656.6</v>
      </c>
      <c r="N5" s="2" t="n">
        <v>373.5</v>
      </c>
      <c r="O5" s="2" t="n">
        <v>119.9</v>
      </c>
      <c r="P5" s="2" t="n">
        <v>144.3</v>
      </c>
      <c r="Q5" s="2" t="n">
        <v>72.7</v>
      </c>
      <c r="R5" s="2" t="n">
        <v>71.59999999999999</v>
      </c>
      <c r="T5" s="2" t="n">
        <v>7.7</v>
      </c>
      <c r="U5" s="2" t="n">
        <v>29.9</v>
      </c>
      <c r="V5" s="2" t="n">
        <v>22.6</v>
      </c>
      <c r="W5" s="2" t="n">
        <v>7.3</v>
      </c>
      <c r="X5" s="2" t="n">
        <v>50.5</v>
      </c>
      <c r="Y5" s="2" t="inlineStr">
        <is>
          <t>NA</t>
        </is>
      </c>
      <c r="AA5" s="2" t="inlineStr">
        <is>
          <t>NA</t>
        </is>
      </c>
      <c r="AB5" s="2" t="inlineStr">
        <is>
          <t>NA</t>
        </is>
      </c>
      <c r="AC5" s="2" t="inlineStr">
        <is>
          <t>NA</t>
        </is>
      </c>
      <c r="AD5" s="2" t="inlineStr">
        <is>
          <t>NA</t>
        </is>
      </c>
      <c r="AG5" s="2" t="inlineStr">
        <is>
          <t>NA</t>
        </is>
      </c>
      <c r="AH5" s="2" t="inlineStr">
        <is>
          <t>NA</t>
        </is>
      </c>
      <c r="AI5" s="2" t="n">
        <v>63</v>
      </c>
      <c r="AL5" s="2" t="n">
        <v>65.2</v>
      </c>
      <c r="AM5" s="2" t="n">
        <v>42.5</v>
      </c>
      <c r="AN5" s="2" t="n">
        <v>22.7</v>
      </c>
      <c r="AO5" s="2" t="n">
        <v>2431.1</v>
      </c>
      <c r="AP5" s="2" t="n">
        <v>207.7</v>
      </c>
      <c r="AQ5" s="2" t="n">
        <v>74.90000000000001</v>
      </c>
      <c r="AR5" s="2" t="n">
        <v>32.8</v>
      </c>
      <c r="AS5" s="2" t="n">
        <v>173</v>
      </c>
      <c r="AT5" s="2" t="n">
        <v>27.6</v>
      </c>
      <c r="AU5" s="2" t="n">
        <v>96.2</v>
      </c>
      <c r="AV5" s="2" t="n">
        <v>20.7</v>
      </c>
      <c r="AW5" s="2" t="n">
        <v>5.7</v>
      </c>
      <c r="AX5" s="2" t="n">
        <v>1.2</v>
      </c>
      <c r="AY5" s="2" t="n">
        <v>41</v>
      </c>
      <c r="AZ5" s="2" t="n">
        <v>4.6</v>
      </c>
      <c r="BA5" s="2" t="inlineStr">
        <is>
          <t>NA</t>
        </is>
      </c>
      <c r="BB5" s="2" t="inlineStr">
        <is>
          <t>NA</t>
        </is>
      </c>
      <c r="BD5" s="2" t="n">
        <v>72.40000000000001</v>
      </c>
      <c r="BE5" s="2" t="n">
        <v>56.6</v>
      </c>
      <c r="BM5" s="2" t="n">
        <v>497.2</v>
      </c>
      <c r="BS5" s="2" t="n">
        <v>390.4</v>
      </c>
      <c r="BU5" s="2" t="n">
        <v>49.9</v>
      </c>
      <c r="BV5" s="2" t="inlineStr">
        <is>
          <t>NA</t>
        </is>
      </c>
      <c r="BW5" s="2" t="inlineStr">
        <is>
          <t>NA</t>
        </is>
      </c>
      <c r="BX5" s="2" t="n">
        <v>466.3</v>
      </c>
      <c r="BY5" s="2" t="inlineStr">
        <is>
          <t>NA</t>
        </is>
      </c>
      <c r="BZ5" s="2" t="inlineStr">
        <is>
          <t>NA</t>
        </is>
      </c>
      <c r="CF5" s="2" t="n">
        <v>97.5</v>
      </c>
      <c r="CG5" s="2" t="n">
        <v>125.5</v>
      </c>
      <c r="CH5" s="2" t="n">
        <v>14.5</v>
      </c>
      <c r="CN5" s="2" t="n">
        <v>40.3</v>
      </c>
      <c r="CO5" s="2" t="n">
        <v>217.4</v>
      </c>
      <c r="CP5" s="2" t="n">
        <v>177.3</v>
      </c>
      <c r="CQ5" s="2" t="n">
        <v>40.1</v>
      </c>
      <c r="CR5" s="2" t="n">
        <v>12.2</v>
      </c>
      <c r="CS5" s="2" t="n">
        <v>35.59999999999999</v>
      </c>
      <c r="CT5" s="2" t="n">
        <v>18.7</v>
      </c>
      <c r="CU5" s="2" t="n">
        <v>16.9</v>
      </c>
      <c r="CV5" s="2" t="n">
        <v>81.5</v>
      </c>
      <c r="CW5" s="2" t="n">
        <v>81.5</v>
      </c>
      <c r="CY5" s="2" t="n">
        <v>13.6</v>
      </c>
      <c r="CZ5" s="2" t="n">
        <v>22.9</v>
      </c>
      <c r="DA5" s="2" t="n">
        <v>43.8</v>
      </c>
      <c r="DB5" s="2" t="n">
        <v>35.5</v>
      </c>
      <c r="DC5" s="2" t="n">
        <v>8.300000000000001</v>
      </c>
      <c r="DG5" s="2" t="n">
        <v>161.4</v>
      </c>
      <c r="DI5" s="2" t="n">
        <v>700.4</v>
      </c>
      <c r="DJ5" s="2" t="n">
        <v>166.8</v>
      </c>
      <c r="DK5" s="2" t="n">
        <v>529.6</v>
      </c>
      <c r="DL5" s="2" t="n">
        <v>113.4</v>
      </c>
      <c r="DM5" s="2" t="n">
        <v>168.5</v>
      </c>
      <c r="DO5" s="2" t="n">
        <v>161.4</v>
      </c>
      <c r="DP5" s="2" t="n">
        <v>159.7</v>
      </c>
      <c r="DQ5" s="2" t="n">
        <v>67.09999999999999</v>
      </c>
      <c r="DR5" s="2" t="n">
        <v>148.6</v>
      </c>
      <c r="DS5" s="2" t="n">
        <v>754.9</v>
      </c>
      <c r="DT5" s="2" t="n">
        <v>3131.8</v>
      </c>
      <c r="DU5" s="2" t="n">
        <v>-161.3999999999996</v>
      </c>
      <c r="DV5" s="2" t="n">
        <v>0</v>
      </c>
      <c r="GZ5" s="2" t="n">
        <v>760.3</v>
      </c>
      <c r="IN5" s="2" t="n">
        <v>103</v>
      </c>
      <c r="IY5" s="2" t="n">
        <v>48.01072865444792</v>
      </c>
      <c r="IZ5" s="2" t="n">
        <v>0.4107286544479152</v>
      </c>
      <c r="JB5" s="2" t="n">
        <v>10.55622964429402</v>
      </c>
      <c r="JC5" s="2" t="n">
        <v>0.05622964429401556</v>
      </c>
      <c r="JE5" s="2" t="n">
        <v>1030.1</v>
      </c>
      <c r="JF5" s="2" t="n">
        <v>0.3424910202892923</v>
      </c>
    </row>
    <row r="6">
      <c r="A6" s="1" t="n">
        <v>29221</v>
      </c>
      <c r="B6" s="2" t="n">
        <v>3198.7</v>
      </c>
      <c r="C6" s="2" t="n">
        <v>4363.2</v>
      </c>
      <c r="D6" s="2" t="n">
        <v>441.8</v>
      </c>
      <c r="E6" s="2" t="n">
        <v>3246.3</v>
      </c>
      <c r="F6" s="2" t="n">
        <v>7.6</v>
      </c>
      <c r="G6" s="2" t="n">
        <v>52.4</v>
      </c>
      <c r="H6" s="2" t="n">
        <v>30.8</v>
      </c>
      <c r="I6" s="2" t="inlineStr">
        <is>
          <t>NA</t>
        </is>
      </c>
      <c r="J6" s="2" t="inlineStr">
        <is>
          <t>NA</t>
        </is>
      </c>
      <c r="K6" s="2" t="n">
        <v>1115.3</v>
      </c>
      <c r="L6" s="2" t="n">
        <v>1155.1</v>
      </c>
      <c r="M6" s="2" t="n">
        <v>767</v>
      </c>
      <c r="N6" s="2" t="n">
        <v>388.1</v>
      </c>
      <c r="O6" s="2" t="n">
        <v>142.8</v>
      </c>
      <c r="P6" s="2" t="n">
        <v>173.2</v>
      </c>
      <c r="Q6" s="2" t="n">
        <v>78.5</v>
      </c>
      <c r="R6" s="2" t="n">
        <v>94.7</v>
      </c>
      <c r="T6" s="2" t="n">
        <v>6.2</v>
      </c>
      <c r="U6" s="2" t="n">
        <v>22.6</v>
      </c>
      <c r="V6" s="2" t="n">
        <v>15.7</v>
      </c>
      <c r="W6" s="2" t="n">
        <v>6.9</v>
      </c>
      <c r="X6" s="2" t="n">
        <v>40</v>
      </c>
      <c r="Y6" s="2" t="n">
        <v>11.8</v>
      </c>
      <c r="Z6" s="2" t="n">
        <v>94.7</v>
      </c>
      <c r="AA6" s="2" t="n">
        <v>74.40000000000001</v>
      </c>
      <c r="AB6" s="2" t="n">
        <v>20.3</v>
      </c>
      <c r="AC6" s="2" t="inlineStr">
        <is>
          <t>NA</t>
        </is>
      </c>
      <c r="AD6" s="2" t="inlineStr">
        <is>
          <t>NA</t>
        </is>
      </c>
      <c r="AG6" s="2" t="inlineStr">
        <is>
          <t>NA</t>
        </is>
      </c>
      <c r="AH6" s="2" t="inlineStr">
        <is>
          <t>NA</t>
        </is>
      </c>
      <c r="AI6" s="2" t="n">
        <v>62.3</v>
      </c>
      <c r="AL6" s="2" t="n">
        <v>67</v>
      </c>
      <c r="AM6" s="2" t="n">
        <v>44.6</v>
      </c>
      <c r="AN6" s="2" t="n">
        <v>22.4</v>
      </c>
      <c r="AO6" s="2" t="n">
        <v>2476.6</v>
      </c>
      <c r="AP6" s="2" t="n">
        <v>158.7</v>
      </c>
      <c r="AQ6" s="2" t="n">
        <v>78.5</v>
      </c>
      <c r="AR6" s="2" t="n">
        <v>25.6</v>
      </c>
      <c r="AS6" s="2" t="n">
        <v>201</v>
      </c>
      <c r="AT6" s="2" t="n">
        <v>28.5</v>
      </c>
      <c r="AU6" s="2" t="n">
        <v>115.3</v>
      </c>
      <c r="AV6" s="2" t="n">
        <v>28.9</v>
      </c>
      <c r="AW6" s="2" t="n">
        <v>4.4</v>
      </c>
      <c r="AX6" s="2" t="n">
        <v>0.8</v>
      </c>
      <c r="AY6" s="2" t="n">
        <v>32.2</v>
      </c>
      <c r="AZ6" s="2" t="inlineStr">
        <is>
          <t>NA</t>
        </is>
      </c>
      <c r="BA6" s="2" t="inlineStr">
        <is>
          <t>NA</t>
        </is>
      </c>
      <c r="BB6" s="2" t="inlineStr">
        <is>
          <t>NA</t>
        </is>
      </c>
      <c r="BD6" s="2" t="n">
        <v>73.8</v>
      </c>
      <c r="BE6" s="2" t="n">
        <v>62.8</v>
      </c>
      <c r="BM6" s="2" t="n">
        <v>531.5</v>
      </c>
      <c r="BS6" s="2" t="n">
        <v>420.2</v>
      </c>
      <c r="BU6" s="2" t="n">
        <v>54.4</v>
      </c>
      <c r="BV6" s="2" t="inlineStr">
        <is>
          <t>NA</t>
        </is>
      </c>
      <c r="BW6" s="2" t="inlineStr">
        <is>
          <t>NA</t>
        </is>
      </c>
      <c r="BX6" s="2" t="n">
        <v>502.9</v>
      </c>
      <c r="BY6" s="2" t="inlineStr">
        <is>
          <t>NA</t>
        </is>
      </c>
      <c r="BZ6" s="2" t="inlineStr">
        <is>
          <t>NA</t>
        </is>
      </c>
      <c r="CF6" s="2" t="n">
        <v>112.4</v>
      </c>
      <c r="CG6" s="2" t="n">
        <v>137.5</v>
      </c>
      <c r="CH6" s="2" t="n">
        <v>15.4</v>
      </c>
      <c r="CN6" s="2" t="n">
        <v>50.2</v>
      </c>
      <c r="CO6" s="2" t="n">
        <v>281.1</v>
      </c>
      <c r="CP6" s="2" t="n">
        <v>229.8</v>
      </c>
      <c r="CQ6" s="2" t="n">
        <v>51.3</v>
      </c>
      <c r="CR6" s="2" t="inlineStr">
        <is>
          <t>NA</t>
        </is>
      </c>
      <c r="CS6" s="2" t="n">
        <v>41.8</v>
      </c>
      <c r="CT6" s="2" t="n">
        <v>25.6</v>
      </c>
      <c r="CU6" s="2" t="n">
        <v>16.2</v>
      </c>
      <c r="CV6" s="2" t="n">
        <v>89</v>
      </c>
      <c r="CW6" s="2" t="n">
        <v>89</v>
      </c>
      <c r="CY6" s="2" t="n">
        <v>14.4</v>
      </c>
      <c r="CZ6" s="2" t="n">
        <v>19.7</v>
      </c>
      <c r="DA6" s="2" t="n">
        <v>32.1</v>
      </c>
      <c r="DB6" s="2" t="n">
        <v>24.6</v>
      </c>
      <c r="DC6" s="2" t="n">
        <v>7.5</v>
      </c>
      <c r="DG6" s="2" t="n">
        <v>163.8</v>
      </c>
      <c r="DI6" s="2" t="n">
        <v>731.1</v>
      </c>
      <c r="DJ6" s="2" t="n">
        <v>190.9</v>
      </c>
      <c r="DK6" s="2" t="n">
        <v>521.1</v>
      </c>
      <c r="DL6" s="2" t="n">
        <v>120.4</v>
      </c>
      <c r="DM6" s="2" t="n">
        <v>174.9</v>
      </c>
      <c r="DN6" s="2" t="n">
        <v>135.7</v>
      </c>
      <c r="DO6" s="2" t="n">
        <v>155.1</v>
      </c>
      <c r="DP6" s="2" t="n">
        <v>156.4</v>
      </c>
      <c r="DQ6" s="2" t="n">
        <v>70.59999999999999</v>
      </c>
      <c r="DR6" s="2" t="n">
        <v>124.4</v>
      </c>
      <c r="DS6" s="2" t="n">
        <v>654.3</v>
      </c>
      <c r="DT6" s="2" t="n">
        <v>3198.7</v>
      </c>
      <c r="DU6" s="2" t="n">
        <v>-163.8000000000002</v>
      </c>
      <c r="DV6" s="2" t="n">
        <v>0</v>
      </c>
      <c r="GZ6" s="2" t="n">
        <v>801.9</v>
      </c>
      <c r="IN6" s="2" t="n">
        <v>126</v>
      </c>
      <c r="IY6" s="2" t="n">
        <v>47.9275955857067</v>
      </c>
      <c r="IZ6" s="2" t="n">
        <v>0.4275955857066975</v>
      </c>
      <c r="JB6" s="2" t="n">
        <v>10.46018695094882</v>
      </c>
      <c r="JC6" s="2" t="n">
        <v>-0.1398130490511758</v>
      </c>
      <c r="JE6" s="2" t="n">
        <v>1155.1</v>
      </c>
      <c r="JF6" s="2" t="n">
        <v>0.3088044325166652</v>
      </c>
    </row>
    <row r="7">
      <c r="A7" s="1" t="n">
        <v>29252</v>
      </c>
      <c r="B7" s="2" t="n">
        <v>3000.6</v>
      </c>
      <c r="C7" s="2" t="n">
        <v>3931.4</v>
      </c>
      <c r="D7" s="2" t="n">
        <v>388</v>
      </c>
      <c r="E7" s="2" t="n">
        <v>2968.2</v>
      </c>
      <c r="F7" s="2" t="n">
        <v>17.3</v>
      </c>
      <c r="G7" s="2" t="n">
        <v>59.8</v>
      </c>
      <c r="H7" s="2" t="n">
        <v>23.4</v>
      </c>
      <c r="I7" s="2" t="inlineStr">
        <is>
          <t>NA</t>
        </is>
      </c>
      <c r="J7" s="2" t="inlineStr">
        <is>
          <t>NA</t>
        </is>
      </c>
      <c r="K7" s="2" t="n">
        <v>1064.9</v>
      </c>
      <c r="L7" s="2" t="n">
        <v>1204.6</v>
      </c>
      <c r="M7" s="2" t="n">
        <v>801</v>
      </c>
      <c r="N7" s="2" t="n">
        <v>403.6</v>
      </c>
      <c r="O7" s="2" t="n">
        <v>125.7</v>
      </c>
      <c r="P7" s="2" t="n">
        <v>198.9</v>
      </c>
      <c r="Q7" s="2" t="n">
        <v>92</v>
      </c>
      <c r="R7" s="2" t="n">
        <v>106.9</v>
      </c>
      <c r="T7" s="2" t="n">
        <v>15.1</v>
      </c>
      <c r="U7" s="2" t="n">
        <v>20.1</v>
      </c>
      <c r="V7" s="2" t="n">
        <v>14.3</v>
      </c>
      <c r="W7" s="2" t="n">
        <v>5.8</v>
      </c>
      <c r="X7" s="2" t="n">
        <v>46.3</v>
      </c>
      <c r="Y7" s="2" t="n">
        <v>12.4</v>
      </c>
      <c r="Z7" s="2" t="n">
        <v>118.7</v>
      </c>
      <c r="AA7" s="2" t="n">
        <v>99</v>
      </c>
      <c r="AB7" s="2" t="n">
        <v>19.7</v>
      </c>
      <c r="AC7" s="2" t="inlineStr">
        <is>
          <t>NA</t>
        </is>
      </c>
      <c r="AD7" s="2" t="inlineStr">
        <is>
          <t>NA</t>
        </is>
      </c>
      <c r="AG7" s="2" t="inlineStr">
        <is>
          <t>NA</t>
        </is>
      </c>
      <c r="AH7" s="2" t="inlineStr">
        <is>
          <t>NA</t>
        </is>
      </c>
      <c r="AI7" s="2" t="n">
        <v>60</v>
      </c>
      <c r="AL7" s="2" t="n">
        <v>66.09999999999999</v>
      </c>
      <c r="AM7" s="2" t="n">
        <v>37.3</v>
      </c>
      <c r="AN7" s="2" t="n">
        <v>28.8</v>
      </c>
      <c r="AO7" s="2" t="n">
        <v>2318.9</v>
      </c>
      <c r="AP7" s="2" t="n">
        <v>160.6</v>
      </c>
      <c r="AQ7" s="2" t="n">
        <v>81.09999999999999</v>
      </c>
      <c r="AR7" s="2" t="n">
        <v>30.8</v>
      </c>
      <c r="AS7" s="2" t="n">
        <v>178</v>
      </c>
      <c r="AT7" s="2" t="n">
        <v>22.9</v>
      </c>
      <c r="AU7" s="2" t="n">
        <v>103.6</v>
      </c>
      <c r="AV7" s="2" t="n">
        <v>35.9</v>
      </c>
      <c r="AW7" s="2" t="n">
        <v>9.300000000000001</v>
      </c>
      <c r="AX7" s="2" t="n">
        <v>1.5</v>
      </c>
      <c r="AY7" s="2" t="n">
        <v>36.2</v>
      </c>
      <c r="AZ7" s="2" t="inlineStr">
        <is>
          <t>NA</t>
        </is>
      </c>
      <c r="BA7" s="2" t="inlineStr">
        <is>
          <t>NA</t>
        </is>
      </c>
      <c r="BB7" s="2" t="inlineStr">
        <is>
          <t>NA</t>
        </is>
      </c>
      <c r="BD7" s="2" t="n">
        <v>70.2</v>
      </c>
      <c r="BE7" s="2" t="n">
        <v>59.2</v>
      </c>
      <c r="BM7" s="2" t="n">
        <v>480.6</v>
      </c>
      <c r="BS7" s="2" t="n">
        <v>440</v>
      </c>
      <c r="BU7" s="2" t="n">
        <v>61.3</v>
      </c>
      <c r="BV7" s="2" t="inlineStr">
        <is>
          <t>NA</t>
        </is>
      </c>
      <c r="BW7" s="2" t="inlineStr">
        <is>
          <t>NA</t>
        </is>
      </c>
      <c r="BX7" s="2" t="n">
        <v>423.2</v>
      </c>
      <c r="BY7" s="2" t="inlineStr">
        <is>
          <t>NA</t>
        </is>
      </c>
      <c r="BZ7" s="2" t="inlineStr">
        <is>
          <t>NA</t>
        </is>
      </c>
      <c r="CF7" s="2" t="n">
        <v>106.1</v>
      </c>
      <c r="CG7" s="2" t="n">
        <v>134.5</v>
      </c>
      <c r="CH7" s="2" t="n">
        <v>14</v>
      </c>
      <c r="CN7" s="2" t="n">
        <v>37.5</v>
      </c>
      <c r="CO7" s="2" t="n">
        <v>190</v>
      </c>
      <c r="CP7" s="2" t="n">
        <v>149.4</v>
      </c>
      <c r="CQ7" s="2" t="n">
        <v>40.6</v>
      </c>
      <c r="CR7" s="2" t="inlineStr">
        <is>
          <t>NA</t>
        </is>
      </c>
      <c r="CS7" s="2" t="n">
        <v>36.3</v>
      </c>
      <c r="CT7" s="2" t="n">
        <v>21.9</v>
      </c>
      <c r="CU7" s="2" t="n">
        <v>14.4</v>
      </c>
      <c r="CV7" s="2" t="n">
        <v>85.5</v>
      </c>
      <c r="CW7" s="2" t="n">
        <v>85.5</v>
      </c>
      <c r="CY7" s="2" t="n">
        <v>14</v>
      </c>
      <c r="CZ7" s="2" t="n">
        <v>36</v>
      </c>
      <c r="DA7" s="2" t="n">
        <v>35.3</v>
      </c>
      <c r="DB7" s="2" t="n">
        <v>26.3</v>
      </c>
      <c r="DC7" s="2" t="n">
        <v>9</v>
      </c>
      <c r="DG7" s="2" t="n">
        <v>152.9</v>
      </c>
      <c r="DI7" s="2" t="n">
        <v>661</v>
      </c>
      <c r="DJ7" s="2" t="n">
        <v>171.7</v>
      </c>
      <c r="DK7" s="2" t="n">
        <v>480.8</v>
      </c>
      <c r="DL7" s="2" t="n">
        <v>116.4</v>
      </c>
      <c r="DM7" s="2" t="n">
        <v>165.1</v>
      </c>
      <c r="DN7" s="2" t="n">
        <v>107.9</v>
      </c>
      <c r="DO7" s="2" t="n">
        <v>145.8</v>
      </c>
      <c r="DP7" s="2" t="n">
        <v>144.6</v>
      </c>
      <c r="DQ7" s="2" t="n">
        <v>68.09999999999999</v>
      </c>
      <c r="DR7" s="2" t="n">
        <v>161.3</v>
      </c>
      <c r="DS7" s="2" t="n">
        <v>625</v>
      </c>
      <c r="DT7" s="2" t="n">
        <v>3000.6</v>
      </c>
      <c r="DU7" s="2" t="n">
        <v>-152.8999999999996</v>
      </c>
      <c r="DV7" s="2" t="n">
        <v>0</v>
      </c>
      <c r="GZ7" s="2" t="n">
        <v>760.5</v>
      </c>
      <c r="IN7" s="2" t="n">
        <v>113.3</v>
      </c>
      <c r="IY7" s="2" t="n">
        <v>47.99040191961608</v>
      </c>
      <c r="IZ7" s="2" t="n">
        <v>0.3904019196160746</v>
      </c>
      <c r="JB7" s="2" t="n">
        <v>10.64687062587483</v>
      </c>
      <c r="JC7" s="2" t="n">
        <v>-0.05312937412517371</v>
      </c>
      <c r="JE7" s="2" t="n">
        <v>1204.6</v>
      </c>
      <c r="JF7" s="2" t="n">
        <v>0.3252531960816869</v>
      </c>
    </row>
    <row r="8">
      <c r="A8" s="1" t="n">
        <v>29281</v>
      </c>
      <c r="B8" s="2" t="n">
        <v>3067.4</v>
      </c>
      <c r="C8" s="2" t="n">
        <v>3559.1</v>
      </c>
      <c r="D8" s="2" t="n">
        <v>454.3</v>
      </c>
      <c r="E8" s="2" t="n">
        <v>2543</v>
      </c>
      <c r="F8" s="2" t="n">
        <v>26.4</v>
      </c>
      <c r="G8" s="2" t="n">
        <v>49.1</v>
      </c>
      <c r="H8" s="2" t="n">
        <v>17.4</v>
      </c>
      <c r="I8" s="2" t="inlineStr">
        <is>
          <t>NA</t>
        </is>
      </c>
      <c r="J8" s="2" t="inlineStr">
        <is>
          <t>NA</t>
        </is>
      </c>
      <c r="K8" s="2" t="n">
        <v>1098.1</v>
      </c>
      <c r="L8" s="2" t="n">
        <v>1175.9</v>
      </c>
      <c r="M8" s="2" t="n">
        <v>788.2</v>
      </c>
      <c r="N8" s="2" t="n">
        <v>387.7</v>
      </c>
      <c r="O8" s="2" t="n">
        <v>145.1</v>
      </c>
      <c r="P8" s="2" t="n">
        <v>202.8</v>
      </c>
      <c r="Q8" s="2" t="n">
        <v>86.5</v>
      </c>
      <c r="R8" s="2" t="n">
        <v>116.3</v>
      </c>
      <c r="T8" s="2" t="n">
        <v>16.7</v>
      </c>
      <c r="U8" s="2" t="n">
        <v>26.5</v>
      </c>
      <c r="V8" s="2" t="n">
        <v>21.6</v>
      </c>
      <c r="W8" s="2" t="n">
        <v>4.9</v>
      </c>
      <c r="X8" s="2" t="n">
        <v>37.8</v>
      </c>
      <c r="Y8" s="2" t="n">
        <v>18.1</v>
      </c>
      <c r="Z8" s="2" t="n">
        <v>94.90000000000001</v>
      </c>
      <c r="AA8" s="2" t="n">
        <v>72.2</v>
      </c>
      <c r="AB8" s="2" t="n">
        <v>22.7</v>
      </c>
      <c r="AC8" s="2" t="inlineStr">
        <is>
          <t>NA</t>
        </is>
      </c>
      <c r="AD8" s="2" t="inlineStr">
        <is>
          <t>NA</t>
        </is>
      </c>
      <c r="AG8" s="2" t="inlineStr">
        <is>
          <t>NA</t>
        </is>
      </c>
      <c r="AH8" s="2" t="inlineStr">
        <is>
          <t>NA</t>
        </is>
      </c>
      <c r="AI8" s="2" t="n">
        <v>70.7</v>
      </c>
      <c r="AL8" s="2" t="n">
        <v>72.09999999999999</v>
      </c>
      <c r="AM8" s="2" t="n">
        <v>49.2</v>
      </c>
      <c r="AN8" s="2" t="n">
        <v>22.9</v>
      </c>
      <c r="AO8" s="2" t="n">
        <v>2378.6</v>
      </c>
      <c r="AP8" s="2" t="n">
        <v>219.1</v>
      </c>
      <c r="AQ8" s="2" t="n">
        <v>75.8</v>
      </c>
      <c r="AR8" s="2" t="n">
        <v>32</v>
      </c>
      <c r="AS8" s="2" t="n">
        <v>204</v>
      </c>
      <c r="AT8" s="2" t="n">
        <v>41.1</v>
      </c>
      <c r="AU8" s="2" t="n">
        <v>118</v>
      </c>
      <c r="AV8" s="2" t="n">
        <v>46.6</v>
      </c>
      <c r="AW8" s="2" t="n">
        <v>14.2</v>
      </c>
      <c r="AX8" s="2" t="n">
        <v>2.2</v>
      </c>
      <c r="AY8" s="2" t="n">
        <v>30.5</v>
      </c>
      <c r="AZ8" s="2" t="n">
        <v>6.2</v>
      </c>
      <c r="BA8" s="2" t="inlineStr">
        <is>
          <t>NA</t>
        </is>
      </c>
      <c r="BB8" s="2" t="inlineStr">
        <is>
          <t>NA</t>
        </is>
      </c>
      <c r="BD8" s="2" t="n">
        <v>82.90000000000001</v>
      </c>
      <c r="BE8" s="2" t="n">
        <v>52.9</v>
      </c>
      <c r="BM8" s="2" t="n">
        <v>501</v>
      </c>
      <c r="BS8" s="2" t="n">
        <v>399.3</v>
      </c>
      <c r="BU8" s="2" t="n">
        <v>62.5</v>
      </c>
      <c r="BV8" s="2" t="inlineStr">
        <is>
          <t>NA</t>
        </is>
      </c>
      <c r="BW8" s="2" t="inlineStr">
        <is>
          <t>NA</t>
        </is>
      </c>
      <c r="BX8" s="2" t="n">
        <v>446.9</v>
      </c>
      <c r="BY8" s="2" t="inlineStr">
        <is>
          <t>NA</t>
        </is>
      </c>
      <c r="BZ8" s="2" t="inlineStr">
        <is>
          <t>NA</t>
        </is>
      </c>
      <c r="CF8" s="2" t="n">
        <v>118.1</v>
      </c>
      <c r="CG8" s="2" t="n">
        <v>140.2</v>
      </c>
      <c r="CH8" s="2" t="n">
        <v>13.5</v>
      </c>
      <c r="CN8" s="2" t="n">
        <v>50.5</v>
      </c>
      <c r="CO8" s="2" t="n">
        <v>192.8</v>
      </c>
      <c r="CP8" s="2" t="n">
        <v>146.4</v>
      </c>
      <c r="CQ8" s="2" t="n">
        <v>46.4</v>
      </c>
      <c r="CR8" s="2" t="n">
        <v>29.3</v>
      </c>
      <c r="CS8" s="2" t="n">
        <v>48.2</v>
      </c>
      <c r="CT8" s="2" t="n">
        <v>34.2</v>
      </c>
      <c r="CU8" s="2" t="n">
        <v>14</v>
      </c>
      <c r="CV8" s="2" t="n">
        <v>79.7</v>
      </c>
      <c r="CW8" s="2" t="n">
        <v>79.7</v>
      </c>
      <c r="CY8" s="2" t="n">
        <v>16.2</v>
      </c>
      <c r="CZ8" s="2" t="n">
        <v>33.7</v>
      </c>
      <c r="DA8" s="2" t="n">
        <v>41.7</v>
      </c>
      <c r="DB8" s="2" t="n">
        <v>29.1</v>
      </c>
      <c r="DC8" s="2" t="n">
        <v>12.6</v>
      </c>
      <c r="DG8" s="2" t="n">
        <v>146.8</v>
      </c>
      <c r="DI8" s="2" t="n">
        <v>718.1</v>
      </c>
      <c r="DJ8" s="2" t="n">
        <v>184.6</v>
      </c>
      <c r="DK8" s="2" t="n">
        <v>507.7</v>
      </c>
      <c r="DL8" s="2" t="n">
        <v>118.9</v>
      </c>
      <c r="DM8" s="2" t="n">
        <v>167.7</v>
      </c>
      <c r="DN8" s="2" t="n">
        <v>88</v>
      </c>
      <c r="DO8" s="2" t="n">
        <v>152.3</v>
      </c>
      <c r="DP8" s="2" t="n">
        <v>158.4</v>
      </c>
      <c r="DQ8" s="2" t="n">
        <v>65.8</v>
      </c>
      <c r="DR8" s="2" t="n">
        <v>164.7</v>
      </c>
      <c r="DS8" s="2" t="n">
        <v>594.4</v>
      </c>
      <c r="DT8" s="2" t="n">
        <v>3067.4</v>
      </c>
      <c r="DU8" s="2" t="n">
        <v>-146.7999999999997</v>
      </c>
      <c r="DV8" s="2" t="n">
        <v>0</v>
      </c>
      <c r="GZ8" s="2" t="n">
        <v>767.7</v>
      </c>
      <c r="IN8" s="2" t="n">
        <v>131</v>
      </c>
      <c r="IY8" s="2" t="n">
        <v>48.00938905913803</v>
      </c>
      <c r="IZ8" s="2" t="n">
        <v>0.4093890591380287</v>
      </c>
      <c r="JB8" s="2" t="n">
        <v>10.73971441611788</v>
      </c>
      <c r="JC8" s="2" t="n">
        <v>-0.06028558388211636</v>
      </c>
      <c r="JE8" s="2" t="n">
        <v>1175.9</v>
      </c>
      <c r="JF8" s="2" t="n">
        <v>0.3805595713921252</v>
      </c>
    </row>
    <row r="9">
      <c r="A9" s="1" t="n">
        <v>29312</v>
      </c>
      <c r="B9" s="2" t="n">
        <v>2759.2</v>
      </c>
      <c r="C9" s="2" t="n">
        <v>2873.5</v>
      </c>
      <c r="D9" s="2" t="n">
        <v>373.6</v>
      </c>
      <c r="E9" s="2" t="n">
        <v>2140.2</v>
      </c>
      <c r="F9" s="2" t="n">
        <v>29.8</v>
      </c>
      <c r="G9" s="2" t="n">
        <v>40.6</v>
      </c>
      <c r="H9" s="2" t="n">
        <v>16.3</v>
      </c>
      <c r="I9" s="2" t="inlineStr">
        <is>
          <t>NA</t>
        </is>
      </c>
      <c r="J9" s="2" t="inlineStr">
        <is>
          <t>NA</t>
        </is>
      </c>
      <c r="K9" s="2" t="n">
        <v>993.7</v>
      </c>
      <c r="L9" s="2" t="n">
        <v>1183.7</v>
      </c>
      <c r="M9" s="2" t="n">
        <v>801.7</v>
      </c>
      <c r="N9" s="2" t="n">
        <v>382</v>
      </c>
      <c r="O9" s="2" t="n">
        <v>119.8</v>
      </c>
      <c r="P9" s="2" t="n">
        <v>188.7</v>
      </c>
      <c r="Q9" s="2" t="n">
        <v>76.90000000000001</v>
      </c>
      <c r="R9" s="2" t="n">
        <v>111.8</v>
      </c>
      <c r="T9" s="2" t="n">
        <v>25.9</v>
      </c>
      <c r="U9" s="2" t="n">
        <v>30.3</v>
      </c>
      <c r="V9" s="2" t="n">
        <v>21.2</v>
      </c>
      <c r="W9" s="2" t="n">
        <v>9.1</v>
      </c>
      <c r="X9" s="2" t="n">
        <v>31.4</v>
      </c>
      <c r="Y9" s="2" t="n">
        <v>21</v>
      </c>
      <c r="Z9" s="2" t="n">
        <v>81.3</v>
      </c>
      <c r="AA9" s="2" t="n">
        <v>50.8</v>
      </c>
      <c r="AB9" s="2" t="n">
        <v>30.5</v>
      </c>
      <c r="AC9" s="2" t="inlineStr">
        <is>
          <t>NA</t>
        </is>
      </c>
      <c r="AD9" s="2" t="inlineStr">
        <is>
          <t>NA</t>
        </is>
      </c>
      <c r="AG9" s="2" t="inlineStr">
        <is>
          <t>NA</t>
        </is>
      </c>
      <c r="AH9" s="2" t="inlineStr">
        <is>
          <t>NA</t>
        </is>
      </c>
      <c r="AI9" s="2" t="n">
        <v>64.3</v>
      </c>
      <c r="AL9" s="2" t="n">
        <v>62.9</v>
      </c>
      <c r="AM9" s="2" t="n">
        <v>38.5</v>
      </c>
      <c r="AN9" s="2" t="n">
        <v>24.4</v>
      </c>
      <c r="AO9" s="2" t="n">
        <v>2129.4</v>
      </c>
      <c r="AP9" s="2" t="n">
        <v>193.9</v>
      </c>
      <c r="AQ9" s="2" t="n">
        <v>73.8</v>
      </c>
      <c r="AR9" s="2" t="n">
        <v>32.2</v>
      </c>
      <c r="AS9" s="2" t="n">
        <v>168.9</v>
      </c>
      <c r="AT9" s="2" t="n">
        <v>39.8</v>
      </c>
      <c r="AU9" s="2" t="n">
        <v>96.8</v>
      </c>
      <c r="AV9" s="2" t="n">
        <v>48</v>
      </c>
      <c r="AW9" s="2" t="n">
        <v>16.3</v>
      </c>
      <c r="AX9" s="2" t="n">
        <v>3.8</v>
      </c>
      <c r="AY9" s="2" t="n">
        <v>25</v>
      </c>
      <c r="AZ9" s="2" t="n">
        <v>4</v>
      </c>
      <c r="BA9" s="2" t="inlineStr">
        <is>
          <t>NA</t>
        </is>
      </c>
      <c r="BB9" s="2" t="inlineStr">
        <is>
          <t>NA</t>
        </is>
      </c>
      <c r="BD9" s="2" t="n">
        <v>84.59999999999999</v>
      </c>
      <c r="BE9" s="2" t="n">
        <v>50</v>
      </c>
      <c r="BM9" s="2" t="n">
        <v>504.7</v>
      </c>
      <c r="BS9" s="2" t="n">
        <v>343</v>
      </c>
      <c r="BU9" s="2" t="n">
        <v>57.9</v>
      </c>
      <c r="BV9" s="2" t="inlineStr">
        <is>
          <t>NA</t>
        </is>
      </c>
      <c r="BW9" s="2" t="inlineStr">
        <is>
          <t>NA</t>
        </is>
      </c>
      <c r="BX9" s="2" t="n">
        <v>440.4</v>
      </c>
      <c r="BY9" s="2" t="inlineStr">
        <is>
          <t>NA</t>
        </is>
      </c>
      <c r="BZ9" s="2" t="inlineStr">
        <is>
          <t>NA</t>
        </is>
      </c>
      <c r="CF9" s="2" t="n">
        <v>118.7</v>
      </c>
      <c r="CG9" s="2" t="n">
        <v>137.1</v>
      </c>
      <c r="CH9" s="2" t="n">
        <v>14.1</v>
      </c>
      <c r="CN9" s="2" t="n">
        <v>47.5</v>
      </c>
      <c r="CO9" s="2" t="n">
        <v>178.7</v>
      </c>
      <c r="CP9" s="2" t="n">
        <v>140.3</v>
      </c>
      <c r="CQ9" s="2" t="n">
        <v>38.4</v>
      </c>
      <c r="CR9" s="2" t="n">
        <v>30.7</v>
      </c>
      <c r="CS9" s="2" t="n">
        <v>65.59999999999999</v>
      </c>
      <c r="CT9" s="2" t="n">
        <v>51.8</v>
      </c>
      <c r="CU9" s="2" t="n">
        <v>13.8</v>
      </c>
      <c r="CV9" s="2" t="n">
        <v>76.5</v>
      </c>
      <c r="CW9" s="2" t="n">
        <v>76.5</v>
      </c>
      <c r="CY9" s="2" t="n">
        <v>10.1</v>
      </c>
      <c r="CZ9" s="2" t="n">
        <v>47.3</v>
      </c>
      <c r="DA9" s="2" t="n">
        <v>45.5</v>
      </c>
      <c r="DB9" s="2" t="n">
        <v>31</v>
      </c>
      <c r="DC9" s="2" t="n">
        <v>14.5</v>
      </c>
      <c r="DG9" s="2" t="n">
        <v>150.4</v>
      </c>
      <c r="DI9" s="2" t="n">
        <v>608.2</v>
      </c>
      <c r="DJ9" s="2" t="n">
        <v>151</v>
      </c>
      <c r="DK9" s="2" t="n">
        <v>478.1</v>
      </c>
      <c r="DL9" s="2" t="n">
        <v>94.2</v>
      </c>
      <c r="DM9" s="2" t="n">
        <v>140.2</v>
      </c>
      <c r="DO9" s="2" t="n">
        <v>136.6</v>
      </c>
      <c r="DP9" s="2" t="n">
        <v>147.4</v>
      </c>
      <c r="DQ9" s="2" t="n">
        <v>56.7</v>
      </c>
      <c r="DR9" s="2" t="n">
        <v>163.7</v>
      </c>
      <c r="DS9" s="2" t="n">
        <v>632.7</v>
      </c>
      <c r="DT9" s="2" t="n">
        <v>2759.2</v>
      </c>
      <c r="DU9" s="2" t="n">
        <v>-150.3999999999996</v>
      </c>
      <c r="DV9" s="2" t="n">
        <v>0</v>
      </c>
      <c r="GZ9" s="2" t="n">
        <v>687.1</v>
      </c>
      <c r="IN9" s="2" t="n">
        <v>113.9</v>
      </c>
      <c r="IY9" s="2" t="n">
        <v>47.90953899681067</v>
      </c>
      <c r="IZ9" s="2" t="n">
        <v>0.309538996810673</v>
      </c>
      <c r="JB9" s="2" t="n">
        <v>10.80421861409104</v>
      </c>
      <c r="JC9" s="2" t="n">
        <v>0.004218614091040962</v>
      </c>
      <c r="JE9" s="2" t="n">
        <v>1183.7</v>
      </c>
      <c r="JF9" s="2" t="n">
        <v>0.3688434569569993</v>
      </c>
    </row>
    <row r="10">
      <c r="A10" s="1" t="n">
        <v>29342</v>
      </c>
      <c r="B10" s="2" t="n">
        <v>2814.9</v>
      </c>
      <c r="C10" s="2" t="n">
        <v>2392.4</v>
      </c>
      <c r="D10" s="2" t="n">
        <v>388.4</v>
      </c>
      <c r="E10" s="2" t="n">
        <v>1720</v>
      </c>
      <c r="F10" s="2" t="n">
        <v>37.4</v>
      </c>
      <c r="G10" s="2" t="n">
        <v>60.3</v>
      </c>
      <c r="H10" s="2" t="n">
        <v>8.199999999999999</v>
      </c>
      <c r="I10" s="2" t="inlineStr">
        <is>
          <t>NA</t>
        </is>
      </c>
      <c r="J10" s="2" t="inlineStr">
        <is>
          <t>NA</t>
        </is>
      </c>
      <c r="K10" s="2" t="n">
        <v>1009.8</v>
      </c>
      <c r="L10" s="2" t="n">
        <v>1144.8</v>
      </c>
      <c r="M10" s="2" t="n">
        <v>773.7</v>
      </c>
      <c r="N10" s="2" t="n">
        <v>371.1</v>
      </c>
      <c r="O10" s="2" t="n">
        <v>125.5</v>
      </c>
      <c r="P10" s="2" t="n">
        <v>165.9</v>
      </c>
      <c r="Q10" s="2" t="n">
        <v>74.5</v>
      </c>
      <c r="R10" s="2" t="n">
        <v>91.40000000000001</v>
      </c>
      <c r="T10" s="2" t="n">
        <v>30.7</v>
      </c>
      <c r="U10" s="2" t="n">
        <v>35.6</v>
      </c>
      <c r="V10" s="2" t="n">
        <v>27.1</v>
      </c>
      <c r="W10" s="2" t="n">
        <v>8.5</v>
      </c>
      <c r="X10" s="2" t="n">
        <v>47.3</v>
      </c>
      <c r="Y10" s="2" t="n">
        <v>13.7</v>
      </c>
      <c r="Z10" s="2" t="n">
        <v>81.40000000000001</v>
      </c>
      <c r="AA10" s="2" t="n">
        <v>48.8</v>
      </c>
      <c r="AB10" s="2" t="n">
        <v>32.6</v>
      </c>
      <c r="AC10" s="2" t="inlineStr">
        <is>
          <t>NA</t>
        </is>
      </c>
      <c r="AD10" s="2" t="inlineStr">
        <is>
          <t>NA</t>
        </is>
      </c>
      <c r="AG10" s="2" t="inlineStr">
        <is>
          <t>NA</t>
        </is>
      </c>
      <c r="AH10" s="2" t="inlineStr">
        <is>
          <t>NA</t>
        </is>
      </c>
      <c r="AI10" s="2" t="n">
        <v>68.3</v>
      </c>
      <c r="AL10" s="2" t="n">
        <v>65.40000000000001</v>
      </c>
      <c r="AM10" s="2" t="n">
        <v>45</v>
      </c>
      <c r="AN10" s="2" t="n">
        <v>20.4</v>
      </c>
      <c r="AO10" s="2" t="n">
        <v>2167.1</v>
      </c>
      <c r="AP10" s="2" t="n">
        <v>265</v>
      </c>
      <c r="AQ10" s="2" t="n">
        <v>80</v>
      </c>
      <c r="AR10" s="2" t="n">
        <v>34</v>
      </c>
      <c r="AS10" s="2" t="n">
        <v>181.6</v>
      </c>
      <c r="AT10" s="2" t="n">
        <v>68.90000000000001</v>
      </c>
      <c r="AU10" s="2" t="n">
        <v>101.8</v>
      </c>
      <c r="AV10" s="2" t="n">
        <v>55.9</v>
      </c>
      <c r="AW10" s="2" t="n">
        <v>20.1</v>
      </c>
      <c r="AX10" s="2" t="n">
        <v>6.9</v>
      </c>
      <c r="AY10" s="2" t="n">
        <v>37.2</v>
      </c>
      <c r="AZ10" s="2" t="n">
        <v>9</v>
      </c>
      <c r="BA10" s="2" t="inlineStr">
        <is>
          <t>NA</t>
        </is>
      </c>
      <c r="BB10" s="2" t="inlineStr">
        <is>
          <t>NA</t>
        </is>
      </c>
      <c r="BD10" s="2" t="n">
        <v>89.90000000000001</v>
      </c>
      <c r="BE10" s="2" t="n">
        <v>57.2</v>
      </c>
      <c r="BM10" s="2" t="n">
        <v>489.2</v>
      </c>
      <c r="BS10" s="2" t="n">
        <v>417.1</v>
      </c>
      <c r="BU10" s="2" t="n">
        <v>51.7</v>
      </c>
      <c r="BV10" s="2" t="inlineStr">
        <is>
          <t>NA</t>
        </is>
      </c>
      <c r="BW10" s="2" t="inlineStr">
        <is>
          <t>NA</t>
        </is>
      </c>
      <c r="BX10" s="2" t="n">
        <v>439.3</v>
      </c>
      <c r="BY10" s="2" t="inlineStr">
        <is>
          <t>NA</t>
        </is>
      </c>
      <c r="BZ10" s="2" t="inlineStr">
        <is>
          <t>NA</t>
        </is>
      </c>
      <c r="CF10" s="2" t="n">
        <v>123.4</v>
      </c>
      <c r="CG10" s="2" t="n">
        <v>154.6</v>
      </c>
      <c r="CH10" s="2" t="n">
        <v>14</v>
      </c>
      <c r="CN10" s="2" t="n">
        <v>58.3</v>
      </c>
      <c r="CO10" s="2" t="n">
        <v>189.5</v>
      </c>
      <c r="CP10" s="2" t="n">
        <v>151.8</v>
      </c>
      <c r="CQ10" s="2" t="n">
        <v>37.7</v>
      </c>
      <c r="CR10" s="2" t="n">
        <v>14.8</v>
      </c>
      <c r="CS10" s="2" t="n">
        <v>53.5</v>
      </c>
      <c r="CT10" s="2" t="n">
        <v>40.7</v>
      </c>
      <c r="CU10" s="2" t="n">
        <v>12.8</v>
      </c>
      <c r="CV10" s="2" t="n">
        <v>54.2</v>
      </c>
      <c r="CW10" s="2" t="n">
        <v>54.2</v>
      </c>
      <c r="CY10" s="2" t="n">
        <v>16.3</v>
      </c>
      <c r="CZ10" s="2" t="n">
        <v>43.2</v>
      </c>
      <c r="DA10" s="2" t="n">
        <v>35</v>
      </c>
      <c r="DB10" s="2" t="n">
        <v>21.2</v>
      </c>
      <c r="DC10" s="2" t="n">
        <v>13.8</v>
      </c>
      <c r="DG10" s="2" t="n">
        <v>147.4</v>
      </c>
      <c r="DI10" s="2" t="n">
        <v>669</v>
      </c>
      <c r="DJ10" s="2" t="n">
        <v>152.1</v>
      </c>
      <c r="DK10" s="2" t="n">
        <v>454.8</v>
      </c>
      <c r="DL10" s="2" t="n">
        <v>102.2</v>
      </c>
      <c r="DM10" s="2" t="n">
        <v>148.2</v>
      </c>
      <c r="DO10" s="2" t="n">
        <v>140.1</v>
      </c>
      <c r="DP10" s="2" t="n">
        <v>121</v>
      </c>
      <c r="DQ10" s="2" t="n">
        <v>68.90000000000001</v>
      </c>
      <c r="DR10" s="2" t="n">
        <v>149.7</v>
      </c>
      <c r="DS10" s="2" t="n">
        <v>661.5</v>
      </c>
      <c r="DT10" s="2" t="n">
        <v>2814.9</v>
      </c>
      <c r="DU10" s="2" t="n">
        <v>-147.4000000000001</v>
      </c>
      <c r="DV10" s="2" t="n">
        <v>0</v>
      </c>
      <c r="GZ10" s="2" t="n">
        <v>712.8</v>
      </c>
      <c r="IN10" s="2" t="n">
        <v>119.6</v>
      </c>
      <c r="IY10" s="2" t="n">
        <v>47.8972610039433</v>
      </c>
      <c r="IZ10" s="2" t="n">
        <v>0.2972610039432979</v>
      </c>
      <c r="JB10" s="2" t="n">
        <v>10.7620164126612</v>
      </c>
      <c r="JC10" s="2" t="n">
        <v>-0.1379835873388053</v>
      </c>
      <c r="JE10" s="2" t="n">
        <v>1144.8</v>
      </c>
      <c r="JF10" s="2" t="n">
        <v>0.4206848357791754</v>
      </c>
    </row>
    <row r="11">
      <c r="A11" s="1" t="n">
        <v>29373</v>
      </c>
      <c r="B11" s="2" t="n">
        <v>2479.9</v>
      </c>
      <c r="C11" s="2" t="n">
        <v>2272.1</v>
      </c>
      <c r="D11" s="2" t="n">
        <v>358.8</v>
      </c>
      <c r="E11" s="2" t="n">
        <v>1342</v>
      </c>
      <c r="F11" s="2" t="n">
        <v>26.7</v>
      </c>
      <c r="G11" s="2" t="n">
        <v>52.8</v>
      </c>
      <c r="H11" s="2" t="n">
        <v>17</v>
      </c>
      <c r="I11" s="2" t="inlineStr">
        <is>
          <t>NA</t>
        </is>
      </c>
      <c r="J11" s="2" t="inlineStr">
        <is>
          <t>NA</t>
        </is>
      </c>
      <c r="K11" s="2" t="n">
        <v>901.6</v>
      </c>
      <c r="L11" s="2" t="n">
        <v>1225.9</v>
      </c>
      <c r="M11" s="2" t="n">
        <v>848.3</v>
      </c>
      <c r="N11" s="2" t="n">
        <v>377.6</v>
      </c>
      <c r="O11" s="2" t="n">
        <v>116.8</v>
      </c>
      <c r="P11" s="2" t="n">
        <v>167.1</v>
      </c>
      <c r="Q11" s="2" t="n">
        <v>62.8</v>
      </c>
      <c r="R11" s="2" t="n">
        <v>104.3</v>
      </c>
      <c r="T11" s="2" t="n">
        <v>22.9</v>
      </c>
      <c r="U11" s="2" t="n">
        <v>41.3</v>
      </c>
      <c r="V11" s="2" t="n">
        <v>31.5</v>
      </c>
      <c r="W11" s="2" t="n">
        <v>9.800000000000001</v>
      </c>
      <c r="X11" s="2" t="n">
        <v>41.1</v>
      </c>
      <c r="Y11" s="2" t="n">
        <v>13.7</v>
      </c>
      <c r="Z11" s="2" t="n">
        <v>102.6</v>
      </c>
      <c r="AA11" s="2" t="n">
        <v>69.40000000000001</v>
      </c>
      <c r="AB11" s="2" t="n">
        <v>33.2</v>
      </c>
      <c r="AC11" s="2" t="inlineStr">
        <is>
          <t>NA</t>
        </is>
      </c>
      <c r="AD11" s="2" t="inlineStr">
        <is>
          <t>NA</t>
        </is>
      </c>
      <c r="AG11" s="2" t="inlineStr">
        <is>
          <t>NA</t>
        </is>
      </c>
      <c r="AH11" s="2" t="inlineStr">
        <is>
          <t>NA</t>
        </is>
      </c>
      <c r="AI11" s="2" t="n">
        <v>65.09999999999999</v>
      </c>
      <c r="AL11" s="2" t="n">
        <v>59.9</v>
      </c>
      <c r="AM11" s="2" t="n">
        <v>36.4</v>
      </c>
      <c r="AN11" s="2" t="n">
        <v>23.5</v>
      </c>
      <c r="AO11" s="2" t="n">
        <v>1922</v>
      </c>
      <c r="AP11" s="2" t="n">
        <v>262</v>
      </c>
      <c r="AQ11" s="2" t="n">
        <v>65.7</v>
      </c>
      <c r="AR11" s="2" t="n">
        <v>40.1</v>
      </c>
      <c r="AS11" s="2" t="n">
        <v>167.8</v>
      </c>
      <c r="AT11" s="2" t="n">
        <v>90.2</v>
      </c>
      <c r="AU11" s="2" t="n">
        <v>93.8</v>
      </c>
      <c r="AV11" s="2" t="n">
        <v>58.7</v>
      </c>
      <c r="AW11" s="2" t="n">
        <v>29.2</v>
      </c>
      <c r="AX11" s="2" t="n">
        <v>11.7</v>
      </c>
      <c r="AY11" s="2" t="n">
        <v>32.8</v>
      </c>
      <c r="AZ11" s="2" t="n">
        <v>7.5</v>
      </c>
      <c r="BA11" s="2" t="inlineStr">
        <is>
          <t>NA</t>
        </is>
      </c>
      <c r="BB11" s="2" t="inlineStr">
        <is>
          <t>NA</t>
        </is>
      </c>
      <c r="BD11" s="2" t="n">
        <v>89.8</v>
      </c>
      <c r="BE11" s="2" t="n">
        <v>61.7</v>
      </c>
      <c r="BM11" s="2" t="n">
        <v>459.7</v>
      </c>
      <c r="BS11" s="2" t="n">
        <v>427.5</v>
      </c>
      <c r="BU11" s="2" t="n">
        <v>59.1</v>
      </c>
      <c r="BV11" s="2" t="inlineStr">
        <is>
          <t>NA</t>
        </is>
      </c>
      <c r="BW11" s="2" t="inlineStr">
        <is>
          <t>NA</t>
        </is>
      </c>
      <c r="BX11" s="2" t="n">
        <v>420.9</v>
      </c>
      <c r="BY11" s="2" t="inlineStr">
        <is>
          <t>NA</t>
        </is>
      </c>
      <c r="BZ11" s="2" t="inlineStr">
        <is>
          <t>NA</t>
        </is>
      </c>
      <c r="CF11" s="2" t="n">
        <v>115.1</v>
      </c>
      <c r="CG11" s="2" t="n">
        <v>165.3</v>
      </c>
      <c r="CH11" s="2" t="n">
        <v>11.5</v>
      </c>
      <c r="CN11" s="2" t="n">
        <v>47.6</v>
      </c>
      <c r="CO11" s="2" t="n">
        <v>176.5</v>
      </c>
      <c r="CP11" s="2" t="n">
        <v>134.6</v>
      </c>
      <c r="CQ11" s="2" t="n">
        <v>41.9</v>
      </c>
      <c r="CR11" s="2" t="n">
        <v>19.3</v>
      </c>
      <c r="CS11" s="2" t="n">
        <v>42.9</v>
      </c>
      <c r="CT11" s="2" t="n">
        <v>31.7</v>
      </c>
      <c r="CU11" s="2" t="n">
        <v>11.2</v>
      </c>
      <c r="CV11" s="2" t="n">
        <v>54.8</v>
      </c>
      <c r="CW11" s="2" t="n">
        <v>54.8</v>
      </c>
      <c r="CY11" s="2" t="n">
        <v>12.8</v>
      </c>
      <c r="CZ11" s="2" t="n">
        <v>40.1</v>
      </c>
      <c r="DA11" s="2" t="n">
        <v>20.1</v>
      </c>
      <c r="DB11" s="2" t="n">
        <v>7.9</v>
      </c>
      <c r="DC11" s="2" t="n">
        <v>12.2</v>
      </c>
      <c r="DG11" s="2" t="n">
        <v>123.2</v>
      </c>
      <c r="DI11" s="2" t="n">
        <v>561.9</v>
      </c>
      <c r="DJ11" s="2" t="n">
        <v>118.1</v>
      </c>
      <c r="DK11" s="2" t="n">
        <v>447.4</v>
      </c>
      <c r="DL11" s="2" t="n">
        <v>93.09999999999999</v>
      </c>
      <c r="DM11" s="2" t="n">
        <v>130.5</v>
      </c>
      <c r="DO11" s="2" t="n">
        <v>137.1</v>
      </c>
      <c r="DP11" s="2" t="n">
        <v>143</v>
      </c>
      <c r="DQ11" s="2" t="n">
        <v>67.90000000000001</v>
      </c>
      <c r="DR11" s="2" t="n">
        <v>132.6</v>
      </c>
      <c r="DS11" s="2" t="n">
        <v>525.1</v>
      </c>
      <c r="DT11" s="2" t="n">
        <v>2479.9</v>
      </c>
      <c r="DU11" s="2" t="n">
        <v>-123.2000000000003</v>
      </c>
      <c r="DV11" s="2" t="n">
        <v>0</v>
      </c>
      <c r="GZ11" s="2" t="n">
        <v>699</v>
      </c>
      <c r="IN11" s="2" t="n">
        <v>110</v>
      </c>
      <c r="IY11" s="2" t="n">
        <v>48.09145530061696</v>
      </c>
      <c r="IZ11" s="2" t="n">
        <v>0.2914553006169598</v>
      </c>
      <c r="JB11" s="2" t="n">
        <v>10.90689140691157</v>
      </c>
      <c r="JC11" s="2" t="n">
        <v>0.1068914069115667</v>
      </c>
      <c r="JE11" s="2" t="n">
        <v>1225.9</v>
      </c>
      <c r="JF11" s="2" t="n">
        <v>0.4254017456562525</v>
      </c>
    </row>
    <row r="12">
      <c r="A12" s="1" t="n">
        <v>29403</v>
      </c>
      <c r="B12" s="2" t="n">
        <v>2545.7</v>
      </c>
      <c r="C12" s="2" t="n">
        <v>2218.1</v>
      </c>
      <c r="D12" s="2" t="n">
        <v>315.4</v>
      </c>
      <c r="E12" s="2" t="n">
        <v>1058.4</v>
      </c>
      <c r="F12" s="2" t="n">
        <v>27.3</v>
      </c>
      <c r="G12" s="2" t="n">
        <v>45.1</v>
      </c>
      <c r="H12" s="2" t="n">
        <v>18.9</v>
      </c>
      <c r="I12" s="2" t="inlineStr">
        <is>
          <t>NA</t>
        </is>
      </c>
      <c r="J12" s="2" t="inlineStr">
        <is>
          <t>NA</t>
        </is>
      </c>
      <c r="K12" s="2" t="n">
        <v>927.8</v>
      </c>
      <c r="L12" s="2" t="n">
        <v>1305.1</v>
      </c>
      <c r="M12" s="2" t="n">
        <v>920.9</v>
      </c>
      <c r="N12" s="2" t="n">
        <v>384.2</v>
      </c>
      <c r="O12" s="2" t="n">
        <v>104.2</v>
      </c>
      <c r="P12" s="2" t="n">
        <v>144.6</v>
      </c>
      <c r="Q12" s="2" t="n">
        <v>44.4</v>
      </c>
      <c r="R12" s="2" t="n">
        <v>100.2</v>
      </c>
      <c r="T12" s="2" t="n">
        <v>23.5</v>
      </c>
      <c r="U12" s="2" t="n">
        <v>44.09999999999999</v>
      </c>
      <c r="V12" s="2" t="n">
        <v>35.3</v>
      </c>
      <c r="W12" s="2" t="n">
        <v>8.800000000000001</v>
      </c>
      <c r="X12" s="2" t="n">
        <v>34.2</v>
      </c>
      <c r="Y12" s="2" t="n">
        <v>12.9</v>
      </c>
      <c r="Z12" s="2" t="n">
        <v>119.2</v>
      </c>
      <c r="AA12" s="2" t="n">
        <v>82.40000000000001</v>
      </c>
      <c r="AB12" s="2" t="n">
        <v>36.8</v>
      </c>
      <c r="AC12" s="2" t="inlineStr">
        <is>
          <t>NA</t>
        </is>
      </c>
      <c r="AD12" s="2" t="inlineStr">
        <is>
          <t>NA</t>
        </is>
      </c>
      <c r="AG12" s="2" t="inlineStr">
        <is>
          <t>NA</t>
        </is>
      </c>
      <c r="AH12" s="2" t="inlineStr">
        <is>
          <t>NA</t>
        </is>
      </c>
      <c r="AI12" s="2" t="n">
        <v>66.2</v>
      </c>
      <c r="AL12" s="2" t="n">
        <v>71.59999999999999</v>
      </c>
      <c r="AM12" s="2" t="n">
        <v>48.2</v>
      </c>
      <c r="AN12" s="2" t="n">
        <v>23.4</v>
      </c>
      <c r="AO12" s="2" t="n">
        <v>1989.5</v>
      </c>
      <c r="AP12" s="2" t="n">
        <v>232.4</v>
      </c>
      <c r="AQ12" s="2" t="n">
        <v>68.90000000000001</v>
      </c>
      <c r="AR12" s="2" t="n">
        <v>35.4</v>
      </c>
      <c r="AS12" s="2" t="n">
        <v>148.5</v>
      </c>
      <c r="AT12" s="2" t="n">
        <v>72.3</v>
      </c>
      <c r="AU12" s="2" t="n">
        <v>85.7</v>
      </c>
      <c r="AV12" s="2" t="n">
        <v>47.2</v>
      </c>
      <c r="AW12" s="2" t="n">
        <v>29.3</v>
      </c>
      <c r="AX12" s="2" t="n">
        <v>7.2</v>
      </c>
      <c r="AY12" s="2" t="n">
        <v>28.7</v>
      </c>
      <c r="AZ12" s="2" t="n">
        <v>3.3</v>
      </c>
      <c r="BA12" s="2" t="inlineStr">
        <is>
          <t>NA</t>
        </is>
      </c>
      <c r="BB12" s="2" t="inlineStr">
        <is>
          <t>NA</t>
        </is>
      </c>
      <c r="BD12" s="2" t="n">
        <v>88.3</v>
      </c>
      <c r="BE12" s="2" t="n">
        <v>53.8</v>
      </c>
      <c r="BM12" s="2" t="n">
        <v>470.5</v>
      </c>
      <c r="BS12" s="2" t="n">
        <v>455.7</v>
      </c>
      <c r="BU12" s="2" t="n">
        <v>57.1</v>
      </c>
      <c r="BV12" s="2" t="inlineStr">
        <is>
          <t>NA</t>
        </is>
      </c>
      <c r="BW12" s="2" t="inlineStr">
        <is>
          <t>NA</t>
        </is>
      </c>
      <c r="BX12" s="2" t="n">
        <v>410.5</v>
      </c>
      <c r="BY12" s="2" t="inlineStr">
        <is>
          <t>NA</t>
        </is>
      </c>
      <c r="BZ12" s="2" t="inlineStr">
        <is>
          <t>NA</t>
        </is>
      </c>
      <c r="CF12" s="2" t="n">
        <v>113.3</v>
      </c>
      <c r="CG12" s="2" t="n">
        <v>170.1</v>
      </c>
      <c r="CH12" s="2" t="n">
        <v>11.2</v>
      </c>
      <c r="CN12" s="2" t="n">
        <v>46.4</v>
      </c>
      <c r="CO12" s="2" t="n">
        <v>152.1</v>
      </c>
      <c r="CP12" s="2" t="n">
        <v>119.4</v>
      </c>
      <c r="CQ12" s="2" t="n">
        <v>32.7</v>
      </c>
      <c r="CR12" s="2" t="n">
        <v>14.5</v>
      </c>
      <c r="CS12" s="2" t="n">
        <v>45.3</v>
      </c>
      <c r="CT12" s="2" t="n">
        <v>29.6</v>
      </c>
      <c r="CU12" s="2" t="n">
        <v>15.7</v>
      </c>
      <c r="CV12" s="2" t="n">
        <v>48.8</v>
      </c>
      <c r="CW12" s="2" t="n">
        <v>48.8</v>
      </c>
      <c r="CY12" s="2" t="n">
        <v>19.2</v>
      </c>
      <c r="CZ12" s="2" t="n">
        <v>32.2</v>
      </c>
      <c r="DA12" s="2" t="n">
        <v>17.7</v>
      </c>
      <c r="DB12" s="2" t="n">
        <v>7.4</v>
      </c>
      <c r="DC12" s="2" t="n">
        <v>10.3</v>
      </c>
      <c r="DI12" s="2" t="n">
        <v>549.7</v>
      </c>
      <c r="DJ12" s="2" t="n">
        <v>134.1</v>
      </c>
      <c r="DK12" s="2" t="n">
        <v>458.6</v>
      </c>
      <c r="DL12" s="2" t="n">
        <v>104.1</v>
      </c>
      <c r="DM12" s="2" t="n">
        <v>130.4</v>
      </c>
      <c r="DO12" s="2" t="n">
        <v>147.7</v>
      </c>
      <c r="DP12" s="2" t="n">
        <v>149.6</v>
      </c>
      <c r="DQ12" s="2" t="n">
        <v>61.5</v>
      </c>
      <c r="DS12" s="2" t="n">
        <v>809.9</v>
      </c>
      <c r="DT12" s="2" t="n">
        <v>2545.6</v>
      </c>
      <c r="DU12" s="2" t="n">
        <v>0</v>
      </c>
      <c r="DV12" s="2" t="n">
        <v>-0.09999999999990905</v>
      </c>
      <c r="GZ12" s="2" t="n">
        <v>720.3</v>
      </c>
      <c r="IN12" s="2" t="n">
        <v>115.1</v>
      </c>
      <c r="IY12" s="2" t="n">
        <v>48.51475036335783</v>
      </c>
      <c r="IZ12" s="2" t="n">
        <v>0.5147503633578268</v>
      </c>
      <c r="JB12" s="2" t="n">
        <v>10.93373139018738</v>
      </c>
      <c r="JC12" s="2" t="n">
        <v>-0.06626860981262439</v>
      </c>
      <c r="JE12" s="2" t="n">
        <v>1305.1</v>
      </c>
      <c r="JF12" s="2" t="n">
        <v>0.4281664240288101</v>
      </c>
    </row>
    <row r="13">
      <c r="A13" s="1" t="n">
        <v>29434</v>
      </c>
      <c r="B13" s="2" t="n">
        <v>2510.8</v>
      </c>
      <c r="C13" s="2" t="n">
        <v>1705.8</v>
      </c>
      <c r="D13" s="2" t="n">
        <v>330.3</v>
      </c>
      <c r="E13" s="2" t="n">
        <v>811.9</v>
      </c>
      <c r="F13" s="2" t="n">
        <v>24.9</v>
      </c>
      <c r="G13" s="2" t="n">
        <v>47.3</v>
      </c>
      <c r="H13" s="2" t="n">
        <v>13.6</v>
      </c>
      <c r="I13" s="2" t="inlineStr">
        <is>
          <t>NA</t>
        </is>
      </c>
      <c r="J13" s="2" t="inlineStr">
        <is>
          <t>NA</t>
        </is>
      </c>
      <c r="K13" s="2" t="n">
        <v>913.8</v>
      </c>
      <c r="L13" s="2" t="n">
        <v>1263</v>
      </c>
      <c r="M13" s="2" t="n">
        <v>893.5</v>
      </c>
      <c r="N13" s="2" t="n">
        <v>369.5</v>
      </c>
      <c r="O13" s="2" t="n">
        <v>104.9</v>
      </c>
      <c r="P13" s="2" t="n">
        <v>139.8</v>
      </c>
      <c r="Q13" s="2" t="n">
        <v>40.8</v>
      </c>
      <c r="R13" s="2" t="n">
        <v>99</v>
      </c>
      <c r="T13" s="2" t="n">
        <v>21.2</v>
      </c>
      <c r="U13" s="2" t="n">
        <v>44.1</v>
      </c>
      <c r="V13" s="2" t="n">
        <v>36</v>
      </c>
      <c r="W13" s="2" t="n">
        <v>8.1</v>
      </c>
      <c r="X13" s="2" t="n">
        <v>36.1</v>
      </c>
      <c r="Y13" s="2" t="n">
        <v>5.1</v>
      </c>
      <c r="Z13" s="2" t="n">
        <v>156.1</v>
      </c>
      <c r="AA13" s="2" t="n">
        <v>116.6</v>
      </c>
      <c r="AB13" s="2" t="n">
        <v>39.5</v>
      </c>
      <c r="AC13" s="2" t="inlineStr">
        <is>
          <t>NA</t>
        </is>
      </c>
      <c r="AD13" s="2" t="inlineStr">
        <is>
          <t>NA</t>
        </is>
      </c>
      <c r="AG13" s="2" t="inlineStr">
        <is>
          <t>NA</t>
        </is>
      </c>
      <c r="AH13" s="2" t="inlineStr">
        <is>
          <t>NA</t>
        </is>
      </c>
      <c r="AI13" s="2" t="n">
        <v>69.90000000000001</v>
      </c>
      <c r="AL13" s="2" t="n">
        <v>62.3</v>
      </c>
      <c r="AM13" s="2" t="n">
        <v>39.1</v>
      </c>
      <c r="AN13" s="2" t="n">
        <v>23.2</v>
      </c>
      <c r="AO13" s="2" t="n">
        <v>1944.9</v>
      </c>
      <c r="AP13" s="2" t="n">
        <v>225.1</v>
      </c>
      <c r="AQ13" s="2" t="n">
        <v>66.5</v>
      </c>
      <c r="AR13" s="2" t="n">
        <v>37</v>
      </c>
      <c r="AS13" s="2" t="n">
        <v>152.3</v>
      </c>
      <c r="AT13" s="2" t="n">
        <v>69.3</v>
      </c>
      <c r="AU13" s="2" t="n">
        <v>91.09999999999999</v>
      </c>
      <c r="AV13" s="2" t="n">
        <v>41.7</v>
      </c>
      <c r="AW13" s="2" t="n">
        <v>13.9</v>
      </c>
      <c r="AX13" s="2" t="n">
        <v>4.1</v>
      </c>
      <c r="AY13" s="2" t="n">
        <v>28.6</v>
      </c>
      <c r="AZ13" s="2" t="n">
        <v>7.8</v>
      </c>
      <c r="BA13" s="2" t="inlineStr">
        <is>
          <t>NA</t>
        </is>
      </c>
      <c r="BB13" s="2" t="inlineStr">
        <is>
          <t>NA</t>
        </is>
      </c>
      <c r="BD13" s="2" t="n">
        <v>87.90000000000001</v>
      </c>
      <c r="BE13" s="2" t="n">
        <v>52.2</v>
      </c>
      <c r="BM13" s="2" t="n">
        <v>431.9</v>
      </c>
      <c r="BS13" s="2" t="n">
        <v>402.8</v>
      </c>
      <c r="BU13" s="2" t="n">
        <v>55</v>
      </c>
      <c r="BV13" s="2" t="inlineStr">
        <is>
          <t>NA</t>
        </is>
      </c>
      <c r="BW13" s="2" t="inlineStr">
        <is>
          <t>NA</t>
        </is>
      </c>
      <c r="BX13" s="2" t="n">
        <v>375.4</v>
      </c>
      <c r="BY13" s="2" t="inlineStr">
        <is>
          <t>NA</t>
        </is>
      </c>
      <c r="BZ13" s="2" t="inlineStr">
        <is>
          <t>NA</t>
        </is>
      </c>
      <c r="CF13" s="2" t="n">
        <v>118.9</v>
      </c>
      <c r="CG13" s="2" t="n">
        <v>170.5</v>
      </c>
      <c r="CH13" s="2" t="n">
        <v>11.5</v>
      </c>
      <c r="CN13" s="2" t="n">
        <v>52.4</v>
      </c>
      <c r="CO13" s="2" t="n">
        <v>176.2</v>
      </c>
      <c r="CP13" s="2" t="n">
        <v>128.6</v>
      </c>
      <c r="CQ13" s="2" t="n">
        <v>47.6</v>
      </c>
      <c r="CR13" s="2" t="n">
        <v>19.3</v>
      </c>
      <c r="CS13" s="2" t="n">
        <v>35.5</v>
      </c>
      <c r="CT13" s="2" t="n">
        <v>23.1</v>
      </c>
      <c r="CU13" s="2" t="n">
        <v>12.4</v>
      </c>
      <c r="CV13" s="2" t="n">
        <v>41.9</v>
      </c>
      <c r="CW13" s="2" t="n">
        <v>41.9</v>
      </c>
      <c r="CY13" s="2" t="inlineStr">
        <is>
          <t>NA</t>
        </is>
      </c>
      <c r="CZ13" s="2" t="n">
        <v>34.1</v>
      </c>
      <c r="DA13" s="2" t="n">
        <v>17.7</v>
      </c>
      <c r="DB13" s="2" t="n">
        <v>9.5</v>
      </c>
      <c r="DC13" s="2" t="n">
        <v>8.199999999999999</v>
      </c>
      <c r="DG13" s="2" t="n">
        <v>121.1</v>
      </c>
      <c r="DI13" s="2" t="n">
        <v>561.6</v>
      </c>
      <c r="DJ13" s="2" t="n">
        <v>102.8</v>
      </c>
      <c r="DK13" s="2" t="n">
        <v>456.8</v>
      </c>
      <c r="DL13" s="2" t="n">
        <v>101.1</v>
      </c>
      <c r="DM13" s="2" t="n">
        <v>135.1</v>
      </c>
      <c r="DO13" s="2" t="n">
        <v>139.2</v>
      </c>
      <c r="DP13" s="2" t="n">
        <v>146.1</v>
      </c>
      <c r="DQ13" s="2" t="n">
        <v>59.6</v>
      </c>
      <c r="DR13" s="2" t="n">
        <v>125.5</v>
      </c>
      <c r="DS13" s="2" t="n">
        <v>561.9</v>
      </c>
      <c r="DT13" s="2" t="n">
        <v>2510.8</v>
      </c>
      <c r="DU13" s="2" t="n">
        <v>-121.1000000000004</v>
      </c>
      <c r="DV13" s="2" t="n">
        <v>0</v>
      </c>
      <c r="GZ13" s="2" t="n">
        <v>760.7</v>
      </c>
      <c r="IN13" s="2" t="n">
        <v>107.5</v>
      </c>
      <c r="IY13" s="2" t="n">
        <v>48.06595507407997</v>
      </c>
      <c r="IZ13" s="2" t="n">
        <v>0.06595507407997303</v>
      </c>
      <c r="JB13" s="2" t="n">
        <v>10.9184323721523</v>
      </c>
      <c r="JC13" s="2" t="n">
        <v>-0.1815676278476985</v>
      </c>
      <c r="JE13" s="2" t="n">
        <v>1263</v>
      </c>
      <c r="JF13" s="2" t="n">
        <v>0.4577197149643706</v>
      </c>
    </row>
    <row r="14">
      <c r="A14" s="1" t="n">
        <v>29465</v>
      </c>
      <c r="B14" s="2" t="n">
        <v>2448.1</v>
      </c>
      <c r="C14" s="2" t="n">
        <v>2411.7</v>
      </c>
      <c r="D14" s="2" t="n">
        <v>306.1</v>
      </c>
      <c r="E14" s="2" t="n">
        <v>610</v>
      </c>
      <c r="F14" s="2" t="n">
        <v>7.5</v>
      </c>
      <c r="G14" s="2" t="n">
        <v>43.3</v>
      </c>
      <c r="H14" s="2" t="n">
        <v>18.6</v>
      </c>
      <c r="I14" s="2" t="inlineStr">
        <is>
          <t>NA</t>
        </is>
      </c>
      <c r="J14" s="2" t="inlineStr">
        <is>
          <t>NA</t>
        </is>
      </c>
      <c r="K14" s="2" t="n">
        <v>890.1</v>
      </c>
      <c r="L14" s="2" t="n">
        <v>1210.1</v>
      </c>
      <c r="M14" s="2" t="n">
        <v>843.1</v>
      </c>
      <c r="N14" s="2" t="n">
        <v>367</v>
      </c>
      <c r="O14" s="2" t="n">
        <v>93.09999999999999</v>
      </c>
      <c r="P14" s="2" t="n">
        <v>121.9</v>
      </c>
      <c r="Q14" s="2" t="n">
        <v>35.1</v>
      </c>
      <c r="R14" s="2" t="n">
        <v>86.8</v>
      </c>
      <c r="T14" s="2" t="n">
        <v>5.9</v>
      </c>
      <c r="U14" s="2" t="n">
        <v>28.1</v>
      </c>
      <c r="V14" s="2" t="n">
        <v>21.5</v>
      </c>
      <c r="W14" s="2" t="n">
        <v>6.6</v>
      </c>
      <c r="X14" s="2" t="n">
        <v>33.6</v>
      </c>
      <c r="Y14" s="2" t="n">
        <v>5.1</v>
      </c>
      <c r="Z14" s="2" t="n">
        <v>108.7</v>
      </c>
      <c r="AA14" s="2" t="n">
        <v>70.5</v>
      </c>
      <c r="AB14" s="2" t="n">
        <v>38.2</v>
      </c>
      <c r="AC14" s="2" t="inlineStr">
        <is>
          <t>NA</t>
        </is>
      </c>
      <c r="AD14" s="2" t="inlineStr">
        <is>
          <t>NA</t>
        </is>
      </c>
      <c r="AG14" s="2" t="inlineStr">
        <is>
          <t>NA</t>
        </is>
      </c>
      <c r="AH14" s="2" t="inlineStr">
        <is>
          <t>NA</t>
        </is>
      </c>
      <c r="AI14" s="2" t="n">
        <v>76.2</v>
      </c>
      <c r="AL14" s="2" t="n">
        <v>65.8</v>
      </c>
      <c r="AM14" s="2" t="n">
        <v>39.6</v>
      </c>
      <c r="AN14" s="2" t="n">
        <v>26.2</v>
      </c>
      <c r="AO14" s="2" t="n">
        <v>1896</v>
      </c>
      <c r="AP14" s="2" t="n">
        <v>189.7</v>
      </c>
      <c r="AQ14" s="2" t="n">
        <v>66.40000000000001</v>
      </c>
      <c r="AR14" s="2" t="n">
        <v>35.9</v>
      </c>
      <c r="AS14" s="2" t="n">
        <v>144</v>
      </c>
      <c r="AT14" s="2" t="n">
        <v>52.5</v>
      </c>
      <c r="AU14" s="2" t="n">
        <v>84.5</v>
      </c>
      <c r="AV14" s="2" t="n">
        <v>31</v>
      </c>
      <c r="AW14" s="2" t="n">
        <v>4.3</v>
      </c>
      <c r="AX14" s="2" t="n">
        <v>1.1</v>
      </c>
      <c r="AY14" s="2" t="n">
        <v>27.1</v>
      </c>
      <c r="AZ14" s="2" t="n">
        <v>4</v>
      </c>
      <c r="BA14" s="2" t="inlineStr">
        <is>
          <t>NA</t>
        </is>
      </c>
      <c r="BB14" s="2" t="inlineStr">
        <is>
          <t>NA</t>
        </is>
      </c>
      <c r="BD14" s="2" t="n">
        <v>91.90000000000001</v>
      </c>
      <c r="BE14" s="2" t="n">
        <v>46</v>
      </c>
      <c r="BM14" s="2" t="n">
        <v>455.6</v>
      </c>
      <c r="BS14" s="2" t="n">
        <v>430.5</v>
      </c>
      <c r="BU14" s="2" t="n">
        <v>43.5</v>
      </c>
      <c r="BV14" s="2" t="inlineStr">
        <is>
          <t>NA</t>
        </is>
      </c>
      <c r="BW14" s="2" t="inlineStr">
        <is>
          <t>NA</t>
        </is>
      </c>
      <c r="BX14" s="2" t="n">
        <v>411.7</v>
      </c>
      <c r="BY14" s="2" t="inlineStr">
        <is>
          <t>NA</t>
        </is>
      </c>
      <c r="BZ14" s="2" t="inlineStr">
        <is>
          <t>NA</t>
        </is>
      </c>
      <c r="CF14" s="2" t="n">
        <v>110.1</v>
      </c>
      <c r="CG14" s="2" t="n">
        <v>155.2</v>
      </c>
      <c r="CH14" s="2" t="n">
        <v>14.3</v>
      </c>
      <c r="CN14" s="2" t="n">
        <v>57.2</v>
      </c>
      <c r="CO14" s="2" t="n">
        <v>152.4</v>
      </c>
      <c r="CP14" s="2" t="n">
        <v>117.4</v>
      </c>
      <c r="CQ14" s="2" t="n">
        <v>35</v>
      </c>
      <c r="CR14" s="2" t="inlineStr">
        <is>
          <t>NA</t>
        </is>
      </c>
      <c r="CS14" s="2" t="n">
        <v>42.5</v>
      </c>
      <c r="CT14" s="2" t="n">
        <v>29.7</v>
      </c>
      <c r="CU14" s="2" t="n">
        <v>12.8</v>
      </c>
      <c r="CV14" s="2" t="n">
        <v>42</v>
      </c>
      <c r="CW14" s="2" t="n">
        <v>42</v>
      </c>
      <c r="CY14" s="2" t="n">
        <v>17.8</v>
      </c>
      <c r="CZ14" s="2" t="n">
        <v>43.3</v>
      </c>
      <c r="DA14" s="2" t="n">
        <v>31.4</v>
      </c>
      <c r="DB14" s="2" t="n">
        <v>20.8</v>
      </c>
      <c r="DC14" s="2" t="n">
        <v>10.6</v>
      </c>
      <c r="DI14" s="2" t="n">
        <v>620.2</v>
      </c>
      <c r="DJ14" s="2" t="n">
        <v>129.7</v>
      </c>
      <c r="DK14" s="2" t="n">
        <v>438.3</v>
      </c>
      <c r="DM14" s="2" t="n">
        <v>143.2</v>
      </c>
      <c r="DO14" s="2" t="n">
        <v>154.8</v>
      </c>
      <c r="DP14" s="2" t="n">
        <v>129.2</v>
      </c>
      <c r="DQ14" s="2" t="n">
        <v>48.3</v>
      </c>
      <c r="DR14" s="2" t="n">
        <v>143.7</v>
      </c>
      <c r="DS14" s="2" t="n">
        <v>640.7</v>
      </c>
      <c r="DT14" s="2" t="n">
        <v>2448.1</v>
      </c>
      <c r="DU14" s="2" t="n">
        <v>0</v>
      </c>
      <c r="DV14" s="2" t="n">
        <v>0</v>
      </c>
      <c r="GZ14" s="2" t="n">
        <v>764.5</v>
      </c>
      <c r="IN14" s="2" t="n">
        <v>94.8</v>
      </c>
      <c r="IY14" s="2" t="n">
        <v>48.09607450676035</v>
      </c>
      <c r="IZ14" s="2" t="n">
        <v>0.09607450676035256</v>
      </c>
      <c r="JB14" s="2" t="n">
        <v>10.90764266165598</v>
      </c>
      <c r="JC14" s="2" t="n">
        <v>-0.09235733834402104</v>
      </c>
      <c r="JE14" s="2" t="n">
        <v>1210.1</v>
      </c>
      <c r="JF14" s="2" t="n">
        <v>0.4496322617965458</v>
      </c>
    </row>
    <row r="15">
      <c r="A15" s="1" t="n">
        <v>29495</v>
      </c>
      <c r="B15" s="2" t="n">
        <v>2932.9</v>
      </c>
      <c r="C15" s="2" t="n">
        <v>4981.2</v>
      </c>
      <c r="D15" s="2" t="n">
        <v>364.9</v>
      </c>
      <c r="E15" s="2" t="n">
        <v>1171.9</v>
      </c>
      <c r="F15" s="2" t="n">
        <v>2.7</v>
      </c>
      <c r="G15" s="2" t="n">
        <v>43.4</v>
      </c>
      <c r="H15" s="2" t="n">
        <v>22.9</v>
      </c>
      <c r="I15" s="2" t="inlineStr">
        <is>
          <t>NA</t>
        </is>
      </c>
      <c r="J15" s="2" t="inlineStr">
        <is>
          <t>NA</t>
        </is>
      </c>
      <c r="K15" s="2" t="n">
        <v>1080.2</v>
      </c>
      <c r="L15" s="2" t="n">
        <v>1427.7</v>
      </c>
      <c r="M15" s="2" t="n">
        <v>1066.6</v>
      </c>
      <c r="N15" s="2" t="n">
        <v>361.1</v>
      </c>
      <c r="O15" s="2" t="n">
        <v>116.4</v>
      </c>
      <c r="P15" s="2" t="n">
        <v>122.5</v>
      </c>
      <c r="Q15" s="2" t="n">
        <v>52</v>
      </c>
      <c r="R15" s="2" t="n">
        <v>70.5</v>
      </c>
      <c r="T15" s="2" t="n">
        <v>5.9</v>
      </c>
      <c r="U15" s="2" t="n">
        <v>22.4</v>
      </c>
      <c r="V15" s="2" t="n">
        <v>14.7</v>
      </c>
      <c r="W15" s="2" t="n">
        <v>7.7</v>
      </c>
      <c r="X15" s="2" t="n">
        <v>33.7</v>
      </c>
      <c r="Y15" s="2" t="n">
        <v>8.300000000000001</v>
      </c>
      <c r="Z15" s="2" t="n">
        <v>125.4</v>
      </c>
      <c r="AA15" s="2" t="n">
        <v>90.2</v>
      </c>
      <c r="AB15" s="2" t="n">
        <v>35.2</v>
      </c>
      <c r="AC15" s="2" t="inlineStr">
        <is>
          <t>NA</t>
        </is>
      </c>
      <c r="AD15" s="2" t="inlineStr">
        <is>
          <t>NA</t>
        </is>
      </c>
      <c r="AG15" s="2" t="inlineStr">
        <is>
          <t>NA</t>
        </is>
      </c>
      <c r="AH15" s="2" t="inlineStr">
        <is>
          <t>NA</t>
        </is>
      </c>
      <c r="AI15" s="2" t="n">
        <v>80.59999999999999</v>
      </c>
      <c r="AL15" s="2" t="n">
        <v>72</v>
      </c>
      <c r="AM15" s="2" t="n">
        <v>42.7</v>
      </c>
      <c r="AN15" s="2" t="n">
        <v>29.3</v>
      </c>
      <c r="AO15" s="2" t="n">
        <v>2252.8</v>
      </c>
      <c r="AP15" s="2" t="n">
        <v>211.1</v>
      </c>
      <c r="AQ15" s="2" t="n">
        <v>72.8</v>
      </c>
      <c r="AR15" s="2" t="n">
        <v>31.3</v>
      </c>
      <c r="AS15" s="2" t="n">
        <v>170.3</v>
      </c>
      <c r="AT15" s="2" t="n">
        <v>58.1</v>
      </c>
      <c r="AU15" s="2" t="n">
        <v>101</v>
      </c>
      <c r="AV15" s="2" t="n">
        <v>22.4</v>
      </c>
      <c r="AW15" s="2" t="n">
        <v>4.3</v>
      </c>
      <c r="AX15" s="2" t="n">
        <v>1.1</v>
      </c>
      <c r="AY15" s="2" t="n">
        <v>25.4</v>
      </c>
      <c r="AZ15" s="2" t="n">
        <v>3.3</v>
      </c>
      <c r="BA15" s="2" t="inlineStr">
        <is>
          <t>NA</t>
        </is>
      </c>
      <c r="BB15" s="2" t="inlineStr">
        <is>
          <t>NA</t>
        </is>
      </c>
      <c r="BD15" s="2" t="n">
        <v>99.59999999999999</v>
      </c>
      <c r="BE15" s="2" t="n">
        <v>47</v>
      </c>
      <c r="BM15" s="2" t="n">
        <v>558.1</v>
      </c>
      <c r="BS15" s="2" t="n">
        <v>439.5</v>
      </c>
      <c r="BU15" s="2" t="n">
        <v>44.6</v>
      </c>
      <c r="BV15" s="2" t="inlineStr">
        <is>
          <t>NA</t>
        </is>
      </c>
      <c r="BW15" s="2" t="inlineStr">
        <is>
          <t>NA</t>
        </is>
      </c>
      <c r="BX15" s="2" t="n">
        <v>463.8</v>
      </c>
      <c r="BY15" s="2" t="inlineStr">
        <is>
          <t>NA</t>
        </is>
      </c>
      <c r="BZ15" s="2" t="inlineStr">
        <is>
          <t>NA</t>
        </is>
      </c>
      <c r="CF15" s="2" t="n">
        <v>110</v>
      </c>
      <c r="CG15" s="2" t="n">
        <v>146.3</v>
      </c>
      <c r="CH15" s="2" t="n">
        <v>19.4</v>
      </c>
      <c r="CN15" s="2" t="n">
        <v>71.8</v>
      </c>
      <c r="CO15" s="2" t="n">
        <v>184.3</v>
      </c>
      <c r="CP15" s="2" t="n">
        <v>147.8</v>
      </c>
      <c r="CQ15" s="2" t="n">
        <v>36.5</v>
      </c>
      <c r="CR15" s="2" t="n">
        <v>17.1</v>
      </c>
      <c r="CS15" s="2" t="n">
        <v>43.8</v>
      </c>
      <c r="CT15" s="2" t="n">
        <v>30.2</v>
      </c>
      <c r="CU15" s="2" t="n">
        <v>13.6</v>
      </c>
      <c r="CV15" s="2" t="n">
        <v>45.3</v>
      </c>
      <c r="CW15" s="2" t="n">
        <v>45.3</v>
      </c>
      <c r="CY15" s="2" t="n">
        <v>18.6</v>
      </c>
      <c r="CZ15" s="2" t="n">
        <v>42.2</v>
      </c>
      <c r="DA15" s="2" t="n">
        <v>31.4</v>
      </c>
      <c r="DB15" s="2" t="n">
        <v>20.4</v>
      </c>
      <c r="DC15" s="2" t="n">
        <v>11</v>
      </c>
      <c r="DG15" s="2" t="n">
        <v>254.2</v>
      </c>
      <c r="DI15" s="2" t="n">
        <v>758.7</v>
      </c>
      <c r="DJ15" s="2" t="n">
        <v>178.2</v>
      </c>
      <c r="DK15" s="2" t="n">
        <v>496.7</v>
      </c>
      <c r="DL15" s="2" t="n">
        <v>100.4</v>
      </c>
      <c r="DM15" s="2" t="n">
        <v>143.6</v>
      </c>
      <c r="DO15" s="2" t="n">
        <v>165.1</v>
      </c>
      <c r="DP15" s="2" t="n">
        <v>157.6</v>
      </c>
      <c r="DR15" s="2" t="n">
        <v>154.4</v>
      </c>
      <c r="DS15" s="2" t="n">
        <v>524</v>
      </c>
      <c r="DT15" s="2" t="n">
        <v>2932.9</v>
      </c>
      <c r="DU15" s="2" t="n">
        <v>-254.2000000000003</v>
      </c>
      <c r="DV15" s="2" t="n">
        <v>0</v>
      </c>
      <c r="GZ15" s="2" t="n">
        <v>784.1</v>
      </c>
      <c r="IN15" s="2" t="n">
        <v>94.09999999999999</v>
      </c>
      <c r="IY15" s="2" t="n">
        <v>47.5761191994272</v>
      </c>
      <c r="IZ15" s="2" t="n">
        <v>0.1761191994271982</v>
      </c>
      <c r="JB15" s="2" t="n">
        <v>11.0491322581745</v>
      </c>
      <c r="JC15" s="2" t="n">
        <v>0.2491322581745017</v>
      </c>
      <c r="JE15" s="2" t="n">
        <v>1427.7</v>
      </c>
      <c r="JF15" s="2" t="n">
        <v>0.4660642992225258</v>
      </c>
    </row>
    <row r="16">
      <c r="A16" s="1" t="n">
        <v>29526</v>
      </c>
      <c r="B16" s="2" t="n">
        <v>2954.5</v>
      </c>
      <c r="C16" s="2" t="n">
        <v>5159.2</v>
      </c>
      <c r="D16" s="2" t="n">
        <v>426</v>
      </c>
      <c r="E16" s="2" t="n">
        <v>1658.7</v>
      </c>
      <c r="F16" s="2" t="n">
        <v>8.199999999999999</v>
      </c>
      <c r="G16" s="2" t="inlineStr">
        <is>
          <t>NA</t>
        </is>
      </c>
      <c r="H16" s="2" t="inlineStr">
        <is>
          <t>NA</t>
        </is>
      </c>
      <c r="I16" s="2" t="inlineStr">
        <is>
          <t>NA</t>
        </is>
      </c>
      <c r="J16" s="2" t="inlineStr">
        <is>
          <t>NA</t>
        </is>
      </c>
      <c r="K16" s="2" t="n">
        <v>1077.6</v>
      </c>
      <c r="L16" s="2" t="n">
        <v>1677.2</v>
      </c>
      <c r="M16" s="2" t="n">
        <v>1295.6</v>
      </c>
      <c r="N16" s="2" t="n">
        <v>381.6</v>
      </c>
      <c r="O16" s="2" t="n">
        <v>130.5</v>
      </c>
      <c r="P16" s="2" t="n">
        <v>152.8</v>
      </c>
      <c r="Q16" s="2" t="n">
        <v>81.90000000000001</v>
      </c>
      <c r="R16" s="2" t="n">
        <v>70.90000000000001</v>
      </c>
      <c r="T16" s="2" t="n">
        <v>6.3</v>
      </c>
      <c r="U16" s="2" t="n">
        <v>15.4</v>
      </c>
      <c r="V16" s="2" t="n">
        <v>11.8</v>
      </c>
      <c r="W16" s="2" t="n">
        <v>3.6</v>
      </c>
      <c r="X16" s="2" t="inlineStr">
        <is>
          <t>NA</t>
        </is>
      </c>
      <c r="Y16" s="2" t="n">
        <v>13.4</v>
      </c>
      <c r="Z16" s="2" t="n">
        <v>137.3</v>
      </c>
      <c r="AA16" s="2" t="n">
        <v>102.1</v>
      </c>
      <c r="AB16" s="2" t="n">
        <v>35.2</v>
      </c>
      <c r="AC16" s="2" t="inlineStr">
        <is>
          <t>NA</t>
        </is>
      </c>
      <c r="AD16" s="2" t="inlineStr">
        <is>
          <t>NA</t>
        </is>
      </c>
      <c r="AG16" s="2" t="inlineStr">
        <is>
          <t>NA</t>
        </is>
      </c>
      <c r="AH16" s="2" t="inlineStr">
        <is>
          <t>NA</t>
        </is>
      </c>
      <c r="AI16" s="2" t="n">
        <v>68</v>
      </c>
      <c r="AL16" s="2" t="n">
        <v>79.30000000000001</v>
      </c>
      <c r="AM16" s="2" t="n">
        <v>46.2</v>
      </c>
      <c r="AN16" s="2" t="n">
        <v>33.1</v>
      </c>
      <c r="AO16" s="2" t="n">
        <v>2291.1</v>
      </c>
      <c r="AP16" s="2" t="n">
        <v>350</v>
      </c>
      <c r="AQ16" s="2" t="n">
        <v>75.40000000000001</v>
      </c>
      <c r="AR16" s="2" t="n">
        <v>31.4</v>
      </c>
      <c r="AS16" s="2" t="n">
        <v>202.1</v>
      </c>
      <c r="AT16" s="2" t="n">
        <v>67</v>
      </c>
      <c r="AU16" s="2" t="n">
        <v>103.5</v>
      </c>
      <c r="AV16" s="2" t="n">
        <v>29.8</v>
      </c>
      <c r="AW16" s="2" t="n">
        <v>4.8</v>
      </c>
      <c r="AX16" s="2" t="n">
        <v>1.1</v>
      </c>
      <c r="AY16" s="2" t="inlineStr">
        <is>
          <t>NA</t>
        </is>
      </c>
      <c r="AZ16" s="2" t="inlineStr">
        <is>
          <t>NA</t>
        </is>
      </c>
      <c r="BA16" s="2" t="inlineStr">
        <is>
          <t>NA</t>
        </is>
      </c>
      <c r="BB16" s="2" t="inlineStr">
        <is>
          <t>NA</t>
        </is>
      </c>
      <c r="BD16" s="2" t="n">
        <v>87.8</v>
      </c>
      <c r="BE16" s="2" t="n">
        <v>50.8</v>
      </c>
      <c r="BM16" s="2" t="n">
        <v>491.7</v>
      </c>
      <c r="BS16" s="2" t="n">
        <v>412.1</v>
      </c>
      <c r="BU16" s="2" t="n">
        <v>48.7</v>
      </c>
      <c r="BV16" s="2" t="inlineStr">
        <is>
          <t>NA</t>
        </is>
      </c>
      <c r="BW16" s="2" t="inlineStr">
        <is>
          <t>NA</t>
        </is>
      </c>
      <c r="BX16" s="2" t="n">
        <v>416.9</v>
      </c>
      <c r="BY16" s="2" t="inlineStr">
        <is>
          <t>NA</t>
        </is>
      </c>
      <c r="BZ16" s="2" t="inlineStr">
        <is>
          <t>NA</t>
        </is>
      </c>
      <c r="CF16" s="2" t="n">
        <v>109.7</v>
      </c>
      <c r="CG16" s="2" t="n">
        <v>137.4</v>
      </c>
      <c r="CH16" s="2" t="n">
        <v>21.4</v>
      </c>
      <c r="CN16" s="2" t="n">
        <v>63</v>
      </c>
      <c r="CO16" s="2" t="n">
        <v>210.8</v>
      </c>
      <c r="CP16" s="2" t="n">
        <v>174.2</v>
      </c>
      <c r="CQ16" s="2" t="n">
        <v>36.6</v>
      </c>
      <c r="CR16" s="2" t="n">
        <v>29.5</v>
      </c>
      <c r="CS16" s="2" t="n">
        <v>34.5</v>
      </c>
      <c r="CT16" s="2" t="n">
        <v>22.1</v>
      </c>
      <c r="CU16" s="2" t="n">
        <v>12.4</v>
      </c>
      <c r="CV16" s="2" t="n">
        <v>54.9</v>
      </c>
      <c r="CW16" s="2" t="n">
        <v>54.9</v>
      </c>
      <c r="CY16" s="2" t="n">
        <v>14.6</v>
      </c>
      <c r="CZ16" s="2" t="n">
        <v>38.9</v>
      </c>
      <c r="DA16" s="2" t="n">
        <v>33.9</v>
      </c>
      <c r="DB16" s="2" t="n">
        <v>23</v>
      </c>
      <c r="DC16" s="2" t="n">
        <v>10.9</v>
      </c>
      <c r="DI16" s="2" t="n">
        <v>789</v>
      </c>
      <c r="DJ16" s="2" t="n">
        <v>124.4</v>
      </c>
      <c r="DK16" s="2" t="n">
        <v>487.1</v>
      </c>
      <c r="DM16" s="2" t="n">
        <v>138.3</v>
      </c>
      <c r="DO16" s="2" t="n">
        <v>165.1</v>
      </c>
      <c r="DP16" s="2" t="n">
        <v>145.6</v>
      </c>
      <c r="DQ16" s="2" t="n">
        <v>52.1</v>
      </c>
      <c r="DR16" s="2" t="n">
        <v>152.5</v>
      </c>
      <c r="DS16" s="2" t="n">
        <v>900.4</v>
      </c>
      <c r="DT16" s="2" t="n">
        <v>2954.5</v>
      </c>
      <c r="DU16" s="2" t="n">
        <v>0</v>
      </c>
      <c r="DV16" s="2" t="n">
        <v>0</v>
      </c>
      <c r="GZ16" s="2" t="n">
        <v>760.5</v>
      </c>
      <c r="IN16" s="2" t="n">
        <v>119.8</v>
      </c>
      <c r="IY16" s="2" t="n">
        <v>48.05889321374175</v>
      </c>
      <c r="IZ16" s="2" t="n">
        <v>0.4588932137417459</v>
      </c>
      <c r="JB16" s="2" t="n">
        <v>10.94195295312235</v>
      </c>
      <c r="JC16" s="2" t="n">
        <v>0.04195295312235459</v>
      </c>
      <c r="JE16" s="2" t="n">
        <v>1677.2</v>
      </c>
      <c r="JF16" s="2" t="n">
        <v>0.4751371333174338</v>
      </c>
    </row>
    <row r="17">
      <c r="A17" s="1" t="n">
        <v>29556</v>
      </c>
      <c r="B17" s="2" t="n">
        <v>2824</v>
      </c>
      <c r="C17" s="2" t="n">
        <v>4162.3</v>
      </c>
      <c r="D17" s="2" t="n">
        <v>400.4</v>
      </c>
      <c r="E17" s="2" t="n">
        <v>1904.5</v>
      </c>
      <c r="F17" s="2" t="n">
        <v>7.8</v>
      </c>
      <c r="G17" s="2" t="inlineStr">
        <is>
          <t>NA</t>
        </is>
      </c>
      <c r="H17" s="2" t="inlineStr">
        <is>
          <t>NA</t>
        </is>
      </c>
      <c r="I17" s="2" t="inlineStr">
        <is>
          <t>NA</t>
        </is>
      </c>
      <c r="J17" s="2" t="inlineStr">
        <is>
          <t>NA</t>
        </is>
      </c>
      <c r="K17" s="2" t="n">
        <v>1024.3</v>
      </c>
      <c r="L17" s="2" t="n">
        <v>1737.8</v>
      </c>
      <c r="M17" s="2" t="n">
        <v>1369.6</v>
      </c>
      <c r="N17" s="2" t="n">
        <v>368.2</v>
      </c>
      <c r="O17" s="2" t="n">
        <v>122.3</v>
      </c>
      <c r="P17" s="2" t="n">
        <v>170.1</v>
      </c>
      <c r="Q17" s="2" t="n">
        <v>90.40000000000001</v>
      </c>
      <c r="R17" s="2" t="n">
        <v>79.7</v>
      </c>
      <c r="T17" s="2" t="n">
        <v>5.8</v>
      </c>
      <c r="U17" s="2" t="n">
        <v>11.8</v>
      </c>
      <c r="V17" s="2" t="n">
        <v>7.5</v>
      </c>
      <c r="W17" s="2" t="n">
        <v>4.3</v>
      </c>
      <c r="X17" s="2" t="inlineStr">
        <is>
          <t>NA</t>
        </is>
      </c>
      <c r="Y17" s="2" t="n">
        <v>13.8</v>
      </c>
      <c r="Z17" s="2" t="n">
        <v>115.6</v>
      </c>
      <c r="AA17" s="2" t="n">
        <v>86.7</v>
      </c>
      <c r="AB17" s="2" t="n">
        <v>28.9</v>
      </c>
      <c r="AC17" s="2" t="inlineStr">
        <is>
          <t>NA</t>
        </is>
      </c>
      <c r="AD17" s="2" t="inlineStr">
        <is>
          <t>NA</t>
        </is>
      </c>
      <c r="AG17" s="2" t="inlineStr">
        <is>
          <t>NA</t>
        </is>
      </c>
      <c r="AH17" s="2" t="inlineStr">
        <is>
          <t>NA</t>
        </is>
      </c>
      <c r="AI17" s="2" t="n">
        <v>59</v>
      </c>
      <c r="AL17" s="2" t="n">
        <v>76.40000000000001</v>
      </c>
      <c r="AM17" s="2" t="n">
        <v>45.4</v>
      </c>
      <c r="AN17" s="2" t="n">
        <v>31</v>
      </c>
      <c r="AO17" s="2" t="n">
        <v>2179.3</v>
      </c>
      <c r="AP17" s="2" t="n">
        <v>221.8</v>
      </c>
      <c r="AQ17" s="2" t="n">
        <v>69.2</v>
      </c>
      <c r="AR17" s="2" t="n">
        <v>27.9</v>
      </c>
      <c r="AS17" s="2" t="n">
        <v>191.1</v>
      </c>
      <c r="AT17" s="2" t="n">
        <v>56.8</v>
      </c>
      <c r="AU17" s="2" t="n">
        <v>102.9</v>
      </c>
      <c r="AV17" s="2" t="n">
        <v>29.1</v>
      </c>
      <c r="AW17" s="2" t="n">
        <v>4</v>
      </c>
      <c r="AX17" s="2" t="n">
        <v>1</v>
      </c>
      <c r="AY17" s="2" t="inlineStr">
        <is>
          <t>NA</t>
        </is>
      </c>
      <c r="AZ17" s="2" t="inlineStr">
        <is>
          <t>NA</t>
        </is>
      </c>
      <c r="BA17" s="2" t="inlineStr">
        <is>
          <t>NA</t>
        </is>
      </c>
      <c r="BB17" s="2" t="inlineStr">
        <is>
          <t>NA</t>
        </is>
      </c>
      <c r="BD17" s="2" t="n">
        <v>96</v>
      </c>
      <c r="BE17" s="2" t="n">
        <v>55.9</v>
      </c>
      <c r="BM17" s="2" t="n">
        <v>541.8</v>
      </c>
      <c r="BS17" s="2" t="n">
        <v>413</v>
      </c>
      <c r="BU17" s="2" t="n">
        <v>49.4</v>
      </c>
      <c r="BV17" s="2" t="inlineStr">
        <is>
          <t>NA</t>
        </is>
      </c>
      <c r="BW17" s="2" t="inlineStr">
        <is>
          <t>NA</t>
        </is>
      </c>
      <c r="BX17" s="2" t="n">
        <v>441.4</v>
      </c>
      <c r="BY17" s="2" t="inlineStr">
        <is>
          <t>NA</t>
        </is>
      </c>
      <c r="BZ17" s="2" t="inlineStr">
        <is>
          <t>NA</t>
        </is>
      </c>
      <c r="CF17" s="2" t="n">
        <v>112</v>
      </c>
      <c r="CG17" s="2" t="n">
        <v>127.6</v>
      </c>
      <c r="CH17" s="2" t="n">
        <v>10.9</v>
      </c>
      <c r="CN17" s="2" t="n">
        <v>62.5</v>
      </c>
      <c r="CO17" s="2" t="n">
        <v>234.6</v>
      </c>
      <c r="CP17" s="2" t="n">
        <v>185</v>
      </c>
      <c r="CQ17" s="2" t="n">
        <v>49.6</v>
      </c>
      <c r="CR17" s="2" t="inlineStr">
        <is>
          <t>NA</t>
        </is>
      </c>
      <c r="CS17" s="2" t="n">
        <v>45.6</v>
      </c>
      <c r="CT17" s="2" t="n">
        <v>33.1</v>
      </c>
      <c r="CU17" s="2" t="n">
        <v>12.5</v>
      </c>
      <c r="CV17" s="2" t="n">
        <v>86.2</v>
      </c>
      <c r="CW17" s="2" t="n">
        <v>86.2</v>
      </c>
      <c r="CY17" s="2" t="n">
        <v>16.1</v>
      </c>
      <c r="CZ17" s="2" t="n">
        <v>52.5</v>
      </c>
      <c r="DA17" s="2" t="n">
        <v>38.5</v>
      </c>
      <c r="DB17" s="2" t="n">
        <v>25.6</v>
      </c>
      <c r="DC17" s="2" t="n">
        <v>12.9</v>
      </c>
      <c r="DG17" s="2" t="n">
        <v>120</v>
      </c>
      <c r="DI17" s="2" t="n">
        <v>658.1</v>
      </c>
      <c r="DJ17" s="2" t="n">
        <v>171.3</v>
      </c>
      <c r="DK17" s="2" t="n">
        <v>474.3</v>
      </c>
      <c r="DL17" s="2" t="n">
        <v>103.7</v>
      </c>
      <c r="DM17" s="2" t="n">
        <v>162.4</v>
      </c>
      <c r="DO17" s="2" t="n">
        <v>161.8</v>
      </c>
      <c r="DP17" s="2" t="n">
        <v>153</v>
      </c>
      <c r="DQ17" s="2" t="n">
        <v>55.7</v>
      </c>
      <c r="DR17" s="2" t="n">
        <v>116.7</v>
      </c>
      <c r="DS17" s="2" t="n">
        <v>647</v>
      </c>
      <c r="DT17" s="2" t="n">
        <v>2824</v>
      </c>
      <c r="DU17" s="2" t="n">
        <v>-120</v>
      </c>
      <c r="DV17" s="2" t="n">
        <v>0</v>
      </c>
      <c r="GZ17" s="2" t="n">
        <v>763.1</v>
      </c>
      <c r="IN17" s="2" t="n">
        <v>125.1</v>
      </c>
      <c r="IY17" s="2" t="n">
        <v>47.77266288951841</v>
      </c>
      <c r="IZ17" s="2" t="n">
        <v>0.1726628895184064</v>
      </c>
      <c r="JB17" s="2" t="n">
        <v>10.88137393767705</v>
      </c>
      <c r="JC17" s="2" t="n">
        <v>-0.01862606232294794</v>
      </c>
      <c r="JE17" s="2" t="n">
        <v>1737.8</v>
      </c>
      <c r="JF17" s="2" t="n">
        <v>0.4645528829554609</v>
      </c>
    </row>
    <row r="18">
      <c r="A18" s="1" t="n">
        <v>29587</v>
      </c>
      <c r="B18" s="2" t="n">
        <v>2764.6</v>
      </c>
      <c r="C18" s="2" t="n">
        <v>3776.6</v>
      </c>
      <c r="D18" s="2" t="n">
        <v>439.8</v>
      </c>
      <c r="E18" s="2" t="n">
        <v>1754.9</v>
      </c>
      <c r="F18" s="2" t="n">
        <v>10.7</v>
      </c>
      <c r="G18" s="2" t="inlineStr">
        <is>
          <t>NA</t>
        </is>
      </c>
      <c r="H18" s="2" t="inlineStr">
        <is>
          <t>NA</t>
        </is>
      </c>
      <c r="I18" s="2" t="inlineStr">
        <is>
          <t>NA</t>
        </is>
      </c>
      <c r="J18" s="2" t="inlineStr">
        <is>
          <t>NA</t>
        </is>
      </c>
      <c r="K18" s="2" t="n">
        <v>1010.6</v>
      </c>
      <c r="L18" s="2" t="n">
        <v>1900.1</v>
      </c>
      <c r="M18" s="2" t="n">
        <v>1544.4</v>
      </c>
      <c r="N18" s="2" t="n">
        <v>355.7</v>
      </c>
      <c r="O18" s="2" t="n">
        <v>131.7</v>
      </c>
      <c r="P18" s="2" t="n">
        <v>183.5</v>
      </c>
      <c r="Q18" s="2" t="n">
        <v>88.8</v>
      </c>
      <c r="R18" s="2" t="n">
        <v>94.7</v>
      </c>
      <c r="T18" s="2" t="n">
        <v>6.1</v>
      </c>
      <c r="U18" s="2" t="n">
        <v>12.5</v>
      </c>
      <c r="V18" s="2" t="n">
        <v>8</v>
      </c>
      <c r="W18" s="2" t="n">
        <v>4.5</v>
      </c>
      <c r="X18" s="2" t="inlineStr">
        <is>
          <t>NA</t>
        </is>
      </c>
      <c r="Y18" s="2" t="n">
        <v>8.1</v>
      </c>
      <c r="Z18" s="2" t="n">
        <v>131.7</v>
      </c>
      <c r="AA18" s="2" t="n">
        <v>105.9</v>
      </c>
      <c r="AB18" s="2" t="n">
        <v>25.8</v>
      </c>
      <c r="AC18" s="2" t="inlineStr">
        <is>
          <t>NA</t>
        </is>
      </c>
      <c r="AD18" s="2" t="inlineStr">
        <is>
          <t>NA</t>
        </is>
      </c>
      <c r="AG18" s="2" t="inlineStr">
        <is>
          <t>NA</t>
        </is>
      </c>
      <c r="AH18" s="2" t="inlineStr">
        <is>
          <t>NA</t>
        </is>
      </c>
      <c r="AI18" s="2" t="n">
        <v>65.8</v>
      </c>
      <c r="AL18" s="2" t="n">
        <v>72.40000000000001</v>
      </c>
      <c r="AM18" s="2" t="n">
        <v>43.4</v>
      </c>
      <c r="AN18" s="2" t="n">
        <v>29</v>
      </c>
      <c r="AO18" s="2" t="n">
        <v>2133.1</v>
      </c>
      <c r="AP18" s="2" t="n">
        <v>209.7</v>
      </c>
      <c r="AQ18" s="2" t="n">
        <v>74.7</v>
      </c>
      <c r="AR18" s="2" t="n">
        <v>32.9</v>
      </c>
      <c r="AS18" s="2" t="n">
        <v>204.9</v>
      </c>
      <c r="AT18" s="2" t="n">
        <v>74.5</v>
      </c>
      <c r="AU18" s="2" t="n">
        <v>109.2</v>
      </c>
      <c r="AV18" s="2" t="n">
        <v>41.1</v>
      </c>
      <c r="AW18" s="2" t="n">
        <v>4.5</v>
      </c>
      <c r="AX18" s="2" t="n">
        <v>2.1</v>
      </c>
      <c r="AY18" s="2" t="inlineStr">
        <is>
          <t>NA</t>
        </is>
      </c>
      <c r="AZ18" s="2" t="inlineStr">
        <is>
          <t>NA</t>
        </is>
      </c>
      <c r="BA18" s="2" t="inlineStr">
        <is>
          <t>NA</t>
        </is>
      </c>
      <c r="BB18" s="2" t="inlineStr">
        <is>
          <t>NA</t>
        </is>
      </c>
      <c r="BD18" s="2" t="n">
        <v>97.09999999999999</v>
      </c>
      <c r="BE18" s="2" t="n">
        <v>68.09999999999999</v>
      </c>
      <c r="BM18" s="2" t="n">
        <v>533.3</v>
      </c>
      <c r="BS18" s="2" t="n">
        <v>436</v>
      </c>
      <c r="BU18" s="2" t="n">
        <v>50.4</v>
      </c>
      <c r="BV18" s="2" t="inlineStr">
        <is>
          <t>NA</t>
        </is>
      </c>
      <c r="BW18" s="2" t="inlineStr">
        <is>
          <t>NA</t>
        </is>
      </c>
      <c r="BX18" s="2" t="n">
        <v>427.9</v>
      </c>
      <c r="BY18" s="2" t="inlineStr">
        <is>
          <t>NA</t>
        </is>
      </c>
      <c r="BZ18" s="2" t="inlineStr">
        <is>
          <t>NA</t>
        </is>
      </c>
      <c r="CF18" s="2" t="n">
        <v>119.2</v>
      </c>
      <c r="CG18" s="2" t="n">
        <v>127.2</v>
      </c>
      <c r="CH18" s="2" t="n">
        <v>11.3</v>
      </c>
      <c r="CN18" s="2" t="n">
        <v>65.5</v>
      </c>
      <c r="CO18" s="2" t="n">
        <v>251.5</v>
      </c>
      <c r="CP18" s="2" t="n">
        <v>204.1</v>
      </c>
      <c r="CQ18" s="2" t="n">
        <v>47.4</v>
      </c>
      <c r="CR18" s="2" t="inlineStr">
        <is>
          <t>NA</t>
        </is>
      </c>
      <c r="CS18" s="2" t="n">
        <v>50.6</v>
      </c>
      <c r="CT18" s="2" t="n">
        <v>37.1</v>
      </c>
      <c r="CU18" s="2" t="n">
        <v>13.5</v>
      </c>
      <c r="CV18" s="2" t="n">
        <v>80.5</v>
      </c>
      <c r="CW18" s="2" t="n">
        <v>80.5</v>
      </c>
      <c r="CY18" s="2" t="n">
        <v>17.2</v>
      </c>
      <c r="CZ18" s="2" t="n">
        <v>46.8</v>
      </c>
      <c r="DA18" s="2" t="n">
        <v>33.1</v>
      </c>
      <c r="DB18" s="2" t="n">
        <v>22.7</v>
      </c>
      <c r="DC18" s="2" t="n">
        <v>10.4</v>
      </c>
      <c r="DG18" s="2" t="n">
        <v>65.40000000000001</v>
      </c>
      <c r="DI18" s="2" t="n">
        <v>666</v>
      </c>
      <c r="DJ18" s="2" t="n">
        <v>182.2</v>
      </c>
      <c r="DK18" s="2" t="n">
        <v>435.7</v>
      </c>
      <c r="DM18" s="2" t="n">
        <v>162.3</v>
      </c>
      <c r="DO18" s="2" t="n">
        <v>146.6</v>
      </c>
      <c r="DP18" s="2" t="n">
        <v>147.6</v>
      </c>
      <c r="DQ18" s="2" t="n">
        <v>46.5</v>
      </c>
      <c r="DR18" s="2" t="n">
        <v>129.5</v>
      </c>
      <c r="DS18" s="2" t="n">
        <v>782.8</v>
      </c>
      <c r="DT18" s="2" t="n">
        <v>2764.6</v>
      </c>
      <c r="DU18" s="2" t="n">
        <v>-65.40000000000009</v>
      </c>
      <c r="DV18" s="2" t="n">
        <v>0</v>
      </c>
      <c r="GZ18" s="2" t="n">
        <v>741.6</v>
      </c>
      <c r="IN18" s="2" t="n">
        <v>131.3</v>
      </c>
      <c r="IY18" s="2" t="n">
        <v>47.91579251971351</v>
      </c>
      <c r="IZ18" s="2" t="n">
        <v>0.9157925197135128</v>
      </c>
      <c r="JB18" s="2" t="n">
        <v>10.96650510019533</v>
      </c>
      <c r="JC18" s="2" t="n">
        <v>0.06650510019532696</v>
      </c>
      <c r="JE18" s="2" t="n">
        <v>1900.1</v>
      </c>
      <c r="JF18" s="2" t="n">
        <v>0.4977632756170727</v>
      </c>
    </row>
    <row r="19">
      <c r="A19" s="1" t="n">
        <v>29618</v>
      </c>
      <c r="B19" s="2" t="n">
        <v>2388</v>
      </c>
      <c r="C19" s="2" t="n">
        <v>3162.3</v>
      </c>
      <c r="D19" s="2" t="n">
        <v>378.2</v>
      </c>
      <c r="E19" s="2" t="n">
        <v>1653.3</v>
      </c>
      <c r="F19" s="2" t="n">
        <v>7.8</v>
      </c>
      <c r="G19" s="2" t="n">
        <v>72.8</v>
      </c>
      <c r="H19" s="2" t="n">
        <v>64.5</v>
      </c>
      <c r="I19" s="2" t="inlineStr">
        <is>
          <t>NA</t>
        </is>
      </c>
      <c r="J19" s="2" t="inlineStr">
        <is>
          <t>NA</t>
        </is>
      </c>
      <c r="K19" s="2" t="n">
        <v>887.8</v>
      </c>
      <c r="L19" s="2" t="n">
        <v>1976.3</v>
      </c>
      <c r="M19" s="2" t="n">
        <v>1641.3</v>
      </c>
      <c r="N19" s="2" t="n">
        <v>335</v>
      </c>
      <c r="O19" s="2" t="n">
        <v>118.9</v>
      </c>
      <c r="P19" s="2" t="n">
        <v>200.1</v>
      </c>
      <c r="Q19" s="2" t="n">
        <v>99.7</v>
      </c>
      <c r="R19" s="2" t="n">
        <v>100.4</v>
      </c>
      <c r="T19" s="2" t="n">
        <v>6</v>
      </c>
      <c r="U19" s="2" t="n">
        <v>11.7</v>
      </c>
      <c r="V19" s="2" t="n">
        <v>7.6</v>
      </c>
      <c r="W19" s="2" t="n">
        <v>4.1</v>
      </c>
      <c r="X19" s="2" t="n">
        <v>55.3</v>
      </c>
      <c r="Y19" s="2" t="n">
        <v>7.6</v>
      </c>
      <c r="Z19" s="2" t="n">
        <v>130.6</v>
      </c>
      <c r="AA19" s="2" t="n">
        <v>106.1</v>
      </c>
      <c r="AB19" s="2" t="n">
        <v>24.5</v>
      </c>
      <c r="AC19" s="2" t="inlineStr">
        <is>
          <t>NA</t>
        </is>
      </c>
      <c r="AD19" s="2" t="inlineStr">
        <is>
          <t>NA</t>
        </is>
      </c>
      <c r="AG19" s="2" t="inlineStr">
        <is>
          <t>NA</t>
        </is>
      </c>
      <c r="AH19" s="2" t="inlineStr">
        <is>
          <t>NA</t>
        </is>
      </c>
      <c r="AI19" s="2" t="n">
        <v>63.6</v>
      </c>
      <c r="AL19" s="2" t="n">
        <v>80.40000000000001</v>
      </c>
      <c r="AM19" s="2" t="n">
        <v>43.3</v>
      </c>
      <c r="AN19" s="2" t="n">
        <v>37.1</v>
      </c>
      <c r="AO19" s="2" t="n">
        <v>1837.5</v>
      </c>
      <c r="AP19" s="2" t="n">
        <v>214.4</v>
      </c>
      <c r="AQ19" s="2" t="n">
        <v>67.8</v>
      </c>
      <c r="AR19" s="2" t="n">
        <v>33.8</v>
      </c>
      <c r="AS19" s="2" t="n">
        <v>176.3</v>
      </c>
      <c r="AT19" s="2" t="n">
        <v>86.09999999999999</v>
      </c>
      <c r="AU19" s="2" t="n">
        <v>98.3</v>
      </c>
      <c r="AV19" s="2" t="n">
        <v>43.3</v>
      </c>
      <c r="AW19" s="2" t="n">
        <v>4.5</v>
      </c>
      <c r="AX19" s="2" t="n">
        <v>1.3</v>
      </c>
      <c r="AY19" s="2" t="n">
        <v>38.8</v>
      </c>
      <c r="AZ19" s="2" t="n">
        <v>5.6</v>
      </c>
      <c r="BA19" s="2" t="inlineStr">
        <is>
          <t>NA</t>
        </is>
      </c>
      <c r="BB19" s="2" t="inlineStr">
        <is>
          <t>NA</t>
        </is>
      </c>
      <c r="BD19" s="2" t="n">
        <v>87.40000000000001</v>
      </c>
      <c r="BE19" s="2" t="n">
        <v>53.8</v>
      </c>
      <c r="BM19" s="2" t="n">
        <v>480.6</v>
      </c>
      <c r="BS19" s="2" t="n">
        <v>436.9</v>
      </c>
      <c r="BU19" s="2" t="n">
        <v>46.9</v>
      </c>
      <c r="BV19" s="2" t="inlineStr">
        <is>
          <t>NA</t>
        </is>
      </c>
      <c r="BW19" s="2" t="inlineStr">
        <is>
          <t>NA</t>
        </is>
      </c>
      <c r="BX19" s="2" t="n">
        <v>384.6</v>
      </c>
      <c r="BY19" s="2" t="inlineStr">
        <is>
          <t>NA</t>
        </is>
      </c>
      <c r="BZ19" s="2" t="inlineStr">
        <is>
          <t>NA</t>
        </is>
      </c>
      <c r="CF19" s="2" t="n">
        <v>113.5</v>
      </c>
      <c r="CG19" s="2" t="n">
        <v>133.6</v>
      </c>
      <c r="CH19" s="2" t="n">
        <v>13.6</v>
      </c>
      <c r="CN19" s="2" t="n">
        <v>66</v>
      </c>
      <c r="CO19" s="2" t="n">
        <v>299</v>
      </c>
      <c r="CP19" s="2" t="n">
        <v>248.4</v>
      </c>
      <c r="CQ19" s="2" t="n">
        <v>50.6</v>
      </c>
      <c r="CR19" s="2" t="inlineStr">
        <is>
          <t>NA</t>
        </is>
      </c>
      <c r="CS19" s="2" t="n">
        <v>53.3</v>
      </c>
      <c r="CT19" s="2" t="n">
        <v>39.9</v>
      </c>
      <c r="CU19" s="2" t="n">
        <v>13.4</v>
      </c>
      <c r="CV19" s="2" t="n">
        <v>100.3</v>
      </c>
      <c r="CW19" s="2" t="n">
        <v>100.3</v>
      </c>
      <c r="CY19" s="2" t="inlineStr">
        <is>
          <t>NA</t>
        </is>
      </c>
      <c r="CZ19" s="2" t="n">
        <v>38</v>
      </c>
      <c r="DA19" s="2" t="n">
        <v>22.4</v>
      </c>
      <c r="DB19" s="2" t="n">
        <v>11.2</v>
      </c>
      <c r="DC19" s="2" t="n">
        <v>11.2</v>
      </c>
      <c r="DI19" s="2" t="n">
        <v>558.2</v>
      </c>
      <c r="DJ19" s="2" t="n">
        <v>155.8</v>
      </c>
      <c r="DK19" s="2" t="n">
        <v>401.9</v>
      </c>
      <c r="DM19" s="2" t="n">
        <v>145.8</v>
      </c>
      <c r="DN19" s="2" t="n">
        <v>77.5</v>
      </c>
      <c r="DO19" s="2" t="n">
        <v>135.7</v>
      </c>
      <c r="DP19" s="2" t="n">
        <v>140.6</v>
      </c>
      <c r="DQ19" s="2" t="n">
        <v>55.2</v>
      </c>
      <c r="DS19" s="2" t="n">
        <v>717.3</v>
      </c>
      <c r="DT19" s="2" t="n">
        <v>2388</v>
      </c>
      <c r="DU19" s="2" t="n">
        <v>0</v>
      </c>
      <c r="DV19" s="2" t="n">
        <v>0</v>
      </c>
      <c r="GZ19" s="2" t="n">
        <v>706.3</v>
      </c>
      <c r="IN19" s="2" t="n">
        <v>99.59999999999999</v>
      </c>
      <c r="IY19" s="2" t="n">
        <v>47.87185929648241</v>
      </c>
      <c r="IZ19" s="2" t="n">
        <v>0.471859296482414</v>
      </c>
      <c r="JB19" s="2" t="n">
        <v>11.15326633165829</v>
      </c>
      <c r="JC19" s="2" t="n">
        <v>0.05326633165829264</v>
      </c>
      <c r="JE19" s="2" t="n">
        <v>1976.3</v>
      </c>
      <c r="JF19" s="2" t="n">
        <v>0.5051864595456156</v>
      </c>
    </row>
    <row r="20">
      <c r="A20" s="1" t="n">
        <v>29646</v>
      </c>
      <c r="B20" s="2" t="n">
        <v>2661</v>
      </c>
      <c r="C20" s="2" t="n">
        <v>2917</v>
      </c>
      <c r="D20" s="2" t="n">
        <v>371.6</v>
      </c>
      <c r="E20" s="2" t="n">
        <v>1344.6</v>
      </c>
      <c r="F20" s="2" t="n">
        <v>13.2</v>
      </c>
      <c r="G20" s="2" t="n">
        <v>88.2</v>
      </c>
      <c r="H20" s="2" t="n">
        <v>44.3</v>
      </c>
      <c r="I20" s="2" t="inlineStr">
        <is>
          <t>NA</t>
        </is>
      </c>
      <c r="J20" s="2" t="inlineStr">
        <is>
          <t>NA</t>
        </is>
      </c>
      <c r="K20" s="2" t="n">
        <v>991.3</v>
      </c>
      <c r="L20" s="2" t="n">
        <v>2016.6</v>
      </c>
      <c r="M20" s="2" t="n">
        <v>1662.5</v>
      </c>
      <c r="N20" s="2" t="n">
        <v>354.1</v>
      </c>
      <c r="O20" s="2" t="n">
        <v>115.4</v>
      </c>
      <c r="P20" s="2" t="n">
        <v>202.4</v>
      </c>
      <c r="Q20" s="2" t="n">
        <v>101.1</v>
      </c>
      <c r="R20" s="2" t="n">
        <v>101.3</v>
      </c>
      <c r="T20" s="2" t="n">
        <v>10.5</v>
      </c>
      <c r="U20" s="2" t="n">
        <v>12.3</v>
      </c>
      <c r="V20" s="2" t="n">
        <v>7.5</v>
      </c>
      <c r="W20" s="2" t="n">
        <v>4.8</v>
      </c>
      <c r="X20" s="2" t="n">
        <v>71.8</v>
      </c>
      <c r="Y20" s="2" t="n">
        <v>11.1</v>
      </c>
      <c r="Z20" s="2" t="n">
        <v>129.4</v>
      </c>
      <c r="AA20" s="2" t="n">
        <v>104.7</v>
      </c>
      <c r="AB20" s="2" t="n">
        <v>24.7</v>
      </c>
      <c r="AC20" s="2" t="inlineStr">
        <is>
          <t>NA</t>
        </is>
      </c>
      <c r="AD20" s="2" t="inlineStr">
        <is>
          <t>NA</t>
        </is>
      </c>
      <c r="AG20" s="2" t="inlineStr">
        <is>
          <t>NA</t>
        </is>
      </c>
      <c r="AH20" s="2" t="inlineStr">
        <is>
          <t>NA</t>
        </is>
      </c>
      <c r="AI20" s="2" t="n">
        <v>76.2</v>
      </c>
      <c r="AL20" s="2" t="n">
        <v>77</v>
      </c>
      <c r="AM20" s="2" t="n">
        <v>46.3</v>
      </c>
      <c r="AN20" s="2" t="n">
        <v>30.7</v>
      </c>
      <c r="AO20" s="2" t="n">
        <v>2073.8</v>
      </c>
      <c r="AP20" s="2" t="n">
        <v>232.2</v>
      </c>
      <c r="AQ20" s="2" t="n">
        <v>67.3</v>
      </c>
      <c r="AR20" s="2" t="n">
        <v>39.2</v>
      </c>
      <c r="AS20" s="2" t="n">
        <v>173.4</v>
      </c>
      <c r="AT20" s="2" t="n">
        <v>106.1</v>
      </c>
      <c r="AU20" s="2" t="n">
        <v>92.59999999999999</v>
      </c>
      <c r="AV20" s="2" t="n">
        <v>53.2</v>
      </c>
      <c r="AW20" s="2" t="n">
        <v>7.4</v>
      </c>
      <c r="AX20" s="2" t="n">
        <v>2</v>
      </c>
      <c r="AY20" s="2" t="n">
        <v>52.6</v>
      </c>
      <c r="AZ20" s="2" t="n">
        <v>4.5</v>
      </c>
      <c r="BA20" s="2" t="inlineStr">
        <is>
          <t>NA</t>
        </is>
      </c>
      <c r="BB20" s="2" t="inlineStr">
        <is>
          <t>NA</t>
        </is>
      </c>
      <c r="BD20" s="2" t="n">
        <v>100.4</v>
      </c>
      <c r="BE20" s="2" t="n">
        <v>51.1</v>
      </c>
      <c r="BM20" s="2" t="n">
        <v>517.5</v>
      </c>
      <c r="BS20" s="2" t="n">
        <v>443.6</v>
      </c>
      <c r="BU20" s="2" t="n">
        <v>42.2</v>
      </c>
      <c r="BV20" s="2" t="inlineStr">
        <is>
          <t>NA</t>
        </is>
      </c>
      <c r="BW20" s="2" t="inlineStr">
        <is>
          <t>NA</t>
        </is>
      </c>
      <c r="BX20" s="2" t="n">
        <v>413.2</v>
      </c>
      <c r="BY20" s="2" t="inlineStr">
        <is>
          <t>NA</t>
        </is>
      </c>
      <c r="BZ20" s="2" t="inlineStr">
        <is>
          <t>NA</t>
        </is>
      </c>
      <c r="CF20" s="2" t="n">
        <v>128.8</v>
      </c>
      <c r="CG20" s="2" t="n">
        <v>148</v>
      </c>
      <c r="CH20" s="2" t="n">
        <v>14</v>
      </c>
      <c r="CN20" s="2" t="n">
        <v>61.8</v>
      </c>
      <c r="CO20" s="2" t="n">
        <v>266.4</v>
      </c>
      <c r="CP20" s="2" t="n">
        <v>221.7</v>
      </c>
      <c r="CQ20" s="2" t="n">
        <v>44.7</v>
      </c>
      <c r="CR20" s="2" t="inlineStr">
        <is>
          <t>NA</t>
        </is>
      </c>
      <c r="CS20" s="2" t="n">
        <v>34.7</v>
      </c>
      <c r="CT20" s="2" t="n">
        <v>23.1</v>
      </c>
      <c r="CU20" s="2" t="n">
        <v>11.6</v>
      </c>
      <c r="CV20" s="2" t="n">
        <v>86.59999999999999</v>
      </c>
      <c r="CW20" s="2" t="n">
        <v>86.59999999999999</v>
      </c>
      <c r="CY20" s="2" t="inlineStr">
        <is>
          <t>NA</t>
        </is>
      </c>
      <c r="CZ20" s="2" t="n">
        <v>43.4</v>
      </c>
      <c r="DA20" s="2" t="n">
        <v>33.5</v>
      </c>
      <c r="DB20" s="2" t="n">
        <v>22.5</v>
      </c>
      <c r="DC20" s="2" t="n">
        <v>11</v>
      </c>
      <c r="DG20" s="2" t="n">
        <v>59.6</v>
      </c>
      <c r="DI20" s="2" t="n">
        <v>635.2</v>
      </c>
      <c r="DJ20" s="2" t="n">
        <v>166.8</v>
      </c>
      <c r="DK20" s="2" t="n">
        <v>433.5</v>
      </c>
      <c r="DM20" s="2" t="n">
        <v>156.7</v>
      </c>
      <c r="DN20" s="2" t="n">
        <v>61.1</v>
      </c>
      <c r="DO20" s="2" t="n">
        <v>158.7</v>
      </c>
      <c r="DP20" s="2" t="n">
        <v>149.2</v>
      </c>
      <c r="DQ20" s="2" t="n">
        <v>56.6</v>
      </c>
      <c r="DS20" s="2" t="n">
        <v>783.6</v>
      </c>
      <c r="DT20" s="2" t="n">
        <v>2661</v>
      </c>
      <c r="DU20" s="2" t="n">
        <v>-59.59999999999991</v>
      </c>
      <c r="DV20" s="2" t="n">
        <v>0</v>
      </c>
      <c r="GZ20" s="2" t="n">
        <v>833.9</v>
      </c>
      <c r="IN20" s="2" t="n">
        <v>102.1</v>
      </c>
      <c r="IY20" s="2" t="n">
        <v>48.27733934611049</v>
      </c>
      <c r="IZ20" s="2" t="n">
        <v>0.7773393461104945</v>
      </c>
      <c r="JB20" s="2" t="n">
        <v>11.17587373167982</v>
      </c>
      <c r="JC20" s="2" t="n">
        <v>0.07587373167981859</v>
      </c>
      <c r="JE20" s="2" t="n">
        <v>2016.6</v>
      </c>
      <c r="JF20" s="2" t="n">
        <v>0.5011405335713578</v>
      </c>
    </row>
    <row r="21">
      <c r="A21" s="1" t="n">
        <v>29677</v>
      </c>
      <c r="B21" s="2" t="n">
        <v>2561.3</v>
      </c>
      <c r="C21" s="2" t="n">
        <v>2533.2</v>
      </c>
      <c r="D21" s="2" t="n">
        <v>314.1</v>
      </c>
      <c r="E21" s="2" t="n">
        <v>1050.6</v>
      </c>
      <c r="F21" s="2" t="n">
        <v>21.3</v>
      </c>
      <c r="G21" s="2" t="n">
        <v>82.09999999999999</v>
      </c>
      <c r="H21" s="2" t="n">
        <v>24.3</v>
      </c>
      <c r="I21" s="2" t="inlineStr">
        <is>
          <t>NA</t>
        </is>
      </c>
      <c r="J21" s="2" t="inlineStr">
        <is>
          <t>NA</t>
        </is>
      </c>
      <c r="K21" s="2" t="n">
        <v>954.2</v>
      </c>
      <c r="L21" s="2" t="n">
        <v>2118.5</v>
      </c>
      <c r="M21" s="2" t="n">
        <v>1779</v>
      </c>
      <c r="N21" s="2" t="n">
        <v>339.5</v>
      </c>
      <c r="O21" s="2" t="n">
        <v>100.8</v>
      </c>
      <c r="P21" s="2" t="n">
        <v>165.9</v>
      </c>
      <c r="Q21" s="2" t="n">
        <v>56</v>
      </c>
      <c r="R21" s="2" t="n">
        <v>109.9</v>
      </c>
      <c r="T21" s="2" t="n">
        <v>17.3</v>
      </c>
      <c r="U21" s="2" t="n">
        <v>19.9</v>
      </c>
      <c r="V21" s="2" t="n">
        <v>14.5</v>
      </c>
      <c r="W21" s="2" t="n">
        <v>5.4</v>
      </c>
      <c r="X21" s="2" t="n">
        <v>63.6</v>
      </c>
      <c r="Y21" s="2" t="n">
        <v>19.7</v>
      </c>
      <c r="Z21" s="2" t="n">
        <v>130</v>
      </c>
      <c r="AA21" s="2" t="n">
        <v>105.3</v>
      </c>
      <c r="AB21" s="2" t="n">
        <v>24.7</v>
      </c>
      <c r="AC21" s="2" t="inlineStr">
        <is>
          <t>NA</t>
        </is>
      </c>
      <c r="AD21" s="2" t="inlineStr">
        <is>
          <t>NA</t>
        </is>
      </c>
      <c r="AG21" s="2" t="inlineStr">
        <is>
          <t>NA</t>
        </is>
      </c>
      <c r="AH21" s="2" t="inlineStr">
        <is>
          <t>NA</t>
        </is>
      </c>
      <c r="AI21" s="2" t="n">
        <v>69.59999999999999</v>
      </c>
      <c r="AL21" s="2" t="n">
        <v>82.09999999999999</v>
      </c>
      <c r="AM21" s="2" t="n">
        <v>52.5</v>
      </c>
      <c r="AN21" s="2" t="n">
        <v>29.6</v>
      </c>
      <c r="AO21" s="2" t="n">
        <v>1975.5</v>
      </c>
      <c r="AP21" s="2" t="n">
        <v>184.4</v>
      </c>
      <c r="AQ21" s="2" t="n">
        <v>70.5</v>
      </c>
      <c r="AR21" s="2" t="n">
        <v>27.4</v>
      </c>
      <c r="AS21" s="2" t="n">
        <v>145.5</v>
      </c>
      <c r="AT21" s="2" t="n">
        <v>123</v>
      </c>
      <c r="AU21" s="2" t="n">
        <v>78.8</v>
      </c>
      <c r="AV21" s="2" t="n">
        <v>47.3</v>
      </c>
      <c r="AW21" s="2" t="n">
        <v>11.6</v>
      </c>
      <c r="AX21" s="2" t="n">
        <v>1.2</v>
      </c>
      <c r="AY21" s="2" t="n">
        <v>45.1</v>
      </c>
      <c r="AZ21" s="2" t="n">
        <v>6.1</v>
      </c>
      <c r="BA21" s="2" t="inlineStr">
        <is>
          <t>NA</t>
        </is>
      </c>
      <c r="BB21" s="2" t="inlineStr">
        <is>
          <t>NA</t>
        </is>
      </c>
      <c r="BD21" s="2" t="n">
        <v>91.2</v>
      </c>
      <c r="BE21" s="2" t="n">
        <v>47.5</v>
      </c>
      <c r="BM21" s="2" t="n">
        <v>514.3</v>
      </c>
      <c r="BS21" s="2" t="n">
        <v>449.2</v>
      </c>
      <c r="BU21" s="2" t="n">
        <v>40.5</v>
      </c>
      <c r="BV21" s="2" t="inlineStr">
        <is>
          <t>NA</t>
        </is>
      </c>
      <c r="BW21" s="2" t="inlineStr">
        <is>
          <t>NA</t>
        </is>
      </c>
      <c r="BX21" s="2" t="n">
        <v>405.5</v>
      </c>
      <c r="BY21" s="2" t="inlineStr">
        <is>
          <t>NA</t>
        </is>
      </c>
      <c r="BZ21" s="2" t="inlineStr">
        <is>
          <t>NA</t>
        </is>
      </c>
      <c r="CF21" s="2" t="n">
        <v>120.5</v>
      </c>
      <c r="CG21" s="2" t="n">
        <v>168.7</v>
      </c>
      <c r="CH21" s="2" t="n">
        <v>16.7</v>
      </c>
      <c r="CN21" s="2" t="n">
        <v>53.5</v>
      </c>
      <c r="CO21" s="2" t="n">
        <v>253.7</v>
      </c>
      <c r="CP21" s="2" t="n">
        <v>219.8</v>
      </c>
      <c r="CQ21" s="2" t="n">
        <v>33.9</v>
      </c>
      <c r="CR21" s="2" t="inlineStr">
        <is>
          <t>NA</t>
        </is>
      </c>
      <c r="CS21" s="2" t="n">
        <v>42.1</v>
      </c>
      <c r="CT21" s="2" t="n">
        <v>30.1</v>
      </c>
      <c r="CU21" s="2" t="n">
        <v>12</v>
      </c>
      <c r="CV21" s="2" t="n">
        <v>73.2</v>
      </c>
      <c r="CW21" s="2" t="n">
        <v>73.2</v>
      </c>
      <c r="CY21" s="2" t="inlineStr">
        <is>
          <t>NA</t>
        </is>
      </c>
      <c r="CZ21" s="2" t="n">
        <v>33.3</v>
      </c>
      <c r="DA21" s="2" t="n">
        <v>32.1</v>
      </c>
      <c r="DB21" s="2" t="n">
        <v>21.5</v>
      </c>
      <c r="DC21" s="2" t="n">
        <v>10.6</v>
      </c>
      <c r="DG21" s="2" t="n">
        <v>82.2</v>
      </c>
      <c r="DI21" s="2" t="n">
        <v>617.4</v>
      </c>
      <c r="DJ21" s="2" t="n">
        <v>138.1</v>
      </c>
      <c r="DK21" s="2" t="n">
        <v>405.3</v>
      </c>
      <c r="DL21" s="2" t="n">
        <v>89.59999999999999</v>
      </c>
      <c r="DM21" s="2" t="n">
        <v>169.8</v>
      </c>
      <c r="DO21" s="2" t="n">
        <v>92.90000000000001</v>
      </c>
      <c r="DP21" s="2" t="n">
        <v>140.6</v>
      </c>
      <c r="DQ21" s="2" t="n">
        <v>44</v>
      </c>
      <c r="DR21" s="2" t="n">
        <v>153.7</v>
      </c>
      <c r="DS21" s="2" t="n">
        <v>627.7</v>
      </c>
      <c r="DT21" s="2" t="n">
        <v>2561.3</v>
      </c>
      <c r="DU21" s="2" t="n">
        <v>-82.20000000000027</v>
      </c>
      <c r="DV21" s="2" t="n">
        <v>0</v>
      </c>
      <c r="GZ21" s="2" t="n">
        <v>741.2</v>
      </c>
      <c r="IN21" s="2" t="n">
        <v>113</v>
      </c>
      <c r="IY21" s="2" t="n">
        <v>47.92878616327646</v>
      </c>
      <c r="IZ21" s="2" t="n">
        <v>0.428786163276456</v>
      </c>
      <c r="JB21" s="2" t="n">
        <v>11.17635575684223</v>
      </c>
      <c r="JC21" s="2" t="n">
        <v>-0.02364424315777214</v>
      </c>
      <c r="JE21" s="2" t="n">
        <v>2118.5</v>
      </c>
      <c r="JF21" s="2" t="n">
        <v>0.5015341043190937</v>
      </c>
    </row>
    <row r="22">
      <c r="A22" s="1" t="n">
        <v>29707</v>
      </c>
      <c r="B22" s="2" t="n">
        <v>2468.6</v>
      </c>
      <c r="C22" s="2" t="n">
        <v>2035</v>
      </c>
      <c r="D22" s="2" t="n">
        <v>278.2</v>
      </c>
      <c r="E22" s="2" t="n">
        <v>744</v>
      </c>
      <c r="F22" s="2" t="n">
        <v>23</v>
      </c>
      <c r="G22" s="2" t="n">
        <v>84</v>
      </c>
      <c r="H22" s="2" t="n">
        <v>19.4</v>
      </c>
      <c r="I22" s="2" t="inlineStr">
        <is>
          <t>NA</t>
        </is>
      </c>
      <c r="J22" s="2" t="inlineStr">
        <is>
          <t>NA</t>
        </is>
      </c>
      <c r="K22" s="2" t="n">
        <v>914.9</v>
      </c>
      <c r="L22" s="2" t="n">
        <v>2166.3</v>
      </c>
      <c r="M22" s="2" t="n">
        <v>1832.1</v>
      </c>
      <c r="N22" s="2" t="n">
        <v>334.2</v>
      </c>
      <c r="O22" s="2" t="n">
        <v>88.7</v>
      </c>
      <c r="P22" s="2" t="n">
        <v>160.1</v>
      </c>
      <c r="Q22" s="2" t="n">
        <v>63.6</v>
      </c>
      <c r="R22" s="2" t="n">
        <v>96.5</v>
      </c>
      <c r="T22" s="2" t="n">
        <v>19.1</v>
      </c>
      <c r="U22" s="2" t="n">
        <v>33.6</v>
      </c>
      <c r="V22" s="2" t="n">
        <v>26.5</v>
      </c>
      <c r="W22" s="2" t="n">
        <v>7.1</v>
      </c>
      <c r="X22" s="2" t="n">
        <v>64.5</v>
      </c>
      <c r="Y22" s="2" t="n">
        <v>19.9</v>
      </c>
      <c r="Z22" s="2" t="n">
        <v>112.7</v>
      </c>
      <c r="AA22" s="2" t="n">
        <v>82.59999999999999</v>
      </c>
      <c r="AB22" s="2" t="n">
        <v>30.1</v>
      </c>
      <c r="AC22" s="2" t="inlineStr">
        <is>
          <t>NA</t>
        </is>
      </c>
      <c r="AD22" s="2" t="inlineStr">
        <is>
          <t>NA</t>
        </is>
      </c>
      <c r="AG22" s="2" t="inlineStr">
        <is>
          <t>NA</t>
        </is>
      </c>
      <c r="AH22" s="2" t="inlineStr">
        <is>
          <t>NA</t>
        </is>
      </c>
      <c r="AI22" s="2" t="n">
        <v>74.3</v>
      </c>
      <c r="AL22" s="2" t="n">
        <v>71.40000000000001</v>
      </c>
      <c r="AM22" s="2" t="n">
        <v>44.1</v>
      </c>
      <c r="AN22" s="2" t="n">
        <v>27.3</v>
      </c>
      <c r="AO22" s="2" t="n">
        <v>1896.1</v>
      </c>
      <c r="AP22" s="2" t="n">
        <v>254</v>
      </c>
      <c r="AQ22" s="2" t="n">
        <v>67.09999999999999</v>
      </c>
      <c r="AR22" s="2" t="n">
        <v>33.6</v>
      </c>
      <c r="AS22" s="2" t="n">
        <v>130.8</v>
      </c>
      <c r="AT22" s="2" t="n">
        <v>141.5</v>
      </c>
      <c r="AU22" s="2" t="n">
        <v>71.3</v>
      </c>
      <c r="AV22" s="2" t="n">
        <v>51.7</v>
      </c>
      <c r="AW22" s="2" t="n">
        <v>14.8</v>
      </c>
      <c r="AX22" s="2" t="n">
        <v>3</v>
      </c>
      <c r="AY22" s="2" t="n">
        <v>46.3</v>
      </c>
      <c r="AZ22" s="2" t="n">
        <v>8.800000000000001</v>
      </c>
      <c r="BA22" s="2" t="inlineStr">
        <is>
          <t>NA</t>
        </is>
      </c>
      <c r="BB22" s="2" t="inlineStr">
        <is>
          <t>NA</t>
        </is>
      </c>
      <c r="BD22" s="2" t="n">
        <v>90.5</v>
      </c>
      <c r="BE22" s="2" t="n">
        <v>39.8</v>
      </c>
      <c r="BM22" s="2" t="n">
        <v>479.3</v>
      </c>
      <c r="BS22" s="2" t="n">
        <v>437.5</v>
      </c>
      <c r="BU22" s="2" t="n">
        <v>40.1</v>
      </c>
      <c r="BV22" s="2" t="inlineStr">
        <is>
          <t>NA</t>
        </is>
      </c>
      <c r="BW22" s="2" t="inlineStr">
        <is>
          <t>NA</t>
        </is>
      </c>
      <c r="BX22" s="2" t="n">
        <v>386.6</v>
      </c>
      <c r="BY22" s="2" t="inlineStr">
        <is>
          <t>NA</t>
        </is>
      </c>
      <c r="BZ22" s="2" t="inlineStr">
        <is>
          <t>NA</t>
        </is>
      </c>
      <c r="CF22" s="2" t="n">
        <v>112.9</v>
      </c>
      <c r="CG22" s="2" t="n">
        <v>156.4</v>
      </c>
      <c r="CH22" s="2" t="n">
        <v>15.5</v>
      </c>
      <c r="CN22" s="2" t="n">
        <v>63.7</v>
      </c>
      <c r="CO22" s="2" t="n">
        <v>239.2</v>
      </c>
      <c r="CP22" s="2" t="n">
        <v>199.8</v>
      </c>
      <c r="CQ22" s="2" t="n">
        <v>39.4</v>
      </c>
      <c r="CR22" s="2" t="n">
        <v>23.3</v>
      </c>
      <c r="CS22" s="2" t="n">
        <v>56.3</v>
      </c>
      <c r="CT22" s="2" t="n">
        <v>42.1</v>
      </c>
      <c r="CU22" s="2" t="n">
        <v>14.2</v>
      </c>
      <c r="CV22" s="2" t="n">
        <v>68.09999999999999</v>
      </c>
      <c r="CW22" s="2" t="n">
        <v>68.09999999999999</v>
      </c>
      <c r="CY22" s="2" t="n">
        <v>9.6</v>
      </c>
      <c r="CZ22" s="2" t="n">
        <v>24.3</v>
      </c>
      <c r="DA22" s="2" t="n">
        <v>25.2</v>
      </c>
      <c r="DB22" s="2" t="n">
        <v>16.2</v>
      </c>
      <c r="DC22" s="2" t="n">
        <v>9</v>
      </c>
      <c r="DI22" s="2" t="n">
        <v>517.1</v>
      </c>
      <c r="DJ22" s="2" t="n">
        <v>176.2</v>
      </c>
      <c r="DK22" s="2" t="n">
        <v>426.7</v>
      </c>
      <c r="DL22" s="2" t="n">
        <v>112.8</v>
      </c>
      <c r="DM22" s="2" t="n">
        <v>184.1</v>
      </c>
      <c r="DO22" s="2" t="n">
        <v>102.8</v>
      </c>
      <c r="DP22" s="2" t="n">
        <v>117.9</v>
      </c>
      <c r="DQ22" s="2" t="n">
        <v>52.4</v>
      </c>
      <c r="DR22" s="2" t="n">
        <v>96.2</v>
      </c>
      <c r="DS22" s="2" t="n">
        <v>682.4</v>
      </c>
      <c r="DT22" s="2" t="n">
        <v>2468.6</v>
      </c>
      <c r="DU22" s="2" t="n">
        <v>0</v>
      </c>
      <c r="DV22" s="2" t="n">
        <v>0</v>
      </c>
      <c r="GZ22" s="2" t="n">
        <v>754.9</v>
      </c>
      <c r="IN22" s="2" t="n">
        <v>82.90000000000001</v>
      </c>
      <c r="IY22" s="2" t="n">
        <v>47.71611439682411</v>
      </c>
      <c r="IZ22" s="2" t="n">
        <v>0.4161143968241134</v>
      </c>
      <c r="JB22" s="2" t="n">
        <v>11.11844770315158</v>
      </c>
      <c r="JC22" s="2" t="n">
        <v>0.01844770315158506</v>
      </c>
      <c r="JE22" s="2" t="n">
        <v>2166.3</v>
      </c>
      <c r="JF22" s="2" t="n">
        <v>0.5452153441351614</v>
      </c>
    </row>
    <row r="23">
      <c r="A23" s="1" t="n">
        <v>29738</v>
      </c>
      <c r="B23" s="2" t="n">
        <v>2203.1</v>
      </c>
      <c r="C23" s="2" t="n">
        <v>1474.7</v>
      </c>
      <c r="D23" s="2" t="n">
        <v>248</v>
      </c>
      <c r="E23" s="2" t="n">
        <v>606</v>
      </c>
      <c r="F23" s="2" t="n">
        <v>22.3</v>
      </c>
      <c r="G23" s="2" t="n">
        <v>83.2</v>
      </c>
      <c r="H23" s="2" t="n">
        <v>18.6</v>
      </c>
      <c r="I23" s="2" t="inlineStr">
        <is>
          <t>NA</t>
        </is>
      </c>
      <c r="J23" s="2" t="inlineStr">
        <is>
          <t>NA</t>
        </is>
      </c>
      <c r="K23" s="2" t="n">
        <v>830.7</v>
      </c>
      <c r="L23" s="2" t="n">
        <v>2138.6</v>
      </c>
      <c r="M23" s="2" t="n">
        <v>1796.3</v>
      </c>
      <c r="N23" s="2" t="n">
        <v>342.3</v>
      </c>
      <c r="O23" s="2" t="n">
        <v>77.40000000000001</v>
      </c>
      <c r="P23" s="2" t="n">
        <v>121.7</v>
      </c>
      <c r="Q23" s="2" t="n">
        <v>46.6</v>
      </c>
      <c r="R23" s="2" t="n">
        <v>75.09999999999999</v>
      </c>
      <c r="T23" s="2" t="n">
        <v>19.5</v>
      </c>
      <c r="U23" s="2" t="n">
        <v>31.4</v>
      </c>
      <c r="V23" s="2" t="n">
        <v>22.7</v>
      </c>
      <c r="W23" s="2" t="n">
        <v>8.699999999999999</v>
      </c>
      <c r="X23" s="2" t="n">
        <v>64.3</v>
      </c>
      <c r="Y23" s="2" t="n">
        <v>14.6</v>
      </c>
      <c r="Z23" s="2" t="n">
        <v>109.9</v>
      </c>
      <c r="AA23" s="2" t="n">
        <v>81.8</v>
      </c>
      <c r="AB23" s="2" t="n">
        <v>28.1</v>
      </c>
      <c r="AC23" s="2" t="inlineStr">
        <is>
          <t>NA</t>
        </is>
      </c>
      <c r="AD23" s="2" t="inlineStr">
        <is>
          <t>NA</t>
        </is>
      </c>
      <c r="AG23" s="2" t="inlineStr">
        <is>
          <t>NA</t>
        </is>
      </c>
      <c r="AH23" s="2" t="inlineStr">
        <is>
          <t>NA</t>
        </is>
      </c>
      <c r="AI23" s="2" t="n">
        <v>76.09999999999999</v>
      </c>
      <c r="AL23" s="2" t="n">
        <v>72.59999999999999</v>
      </c>
      <c r="AM23" s="2" t="n">
        <v>47</v>
      </c>
      <c r="AN23" s="2" t="n">
        <v>25.6</v>
      </c>
      <c r="AO23" s="2" t="n">
        <v>1708.5</v>
      </c>
      <c r="AP23" s="2" t="n">
        <v>209.7</v>
      </c>
      <c r="AQ23" s="2" t="n">
        <v>56.8</v>
      </c>
      <c r="AR23" s="2" t="n">
        <v>31.3</v>
      </c>
      <c r="AS23" s="2" t="n">
        <v>114.2</v>
      </c>
      <c r="AT23" s="2" t="n">
        <v>150.5</v>
      </c>
      <c r="AU23" s="2" t="n">
        <v>61.2</v>
      </c>
      <c r="AV23" s="2" t="n">
        <v>55.1</v>
      </c>
      <c r="AW23" s="2" t="n">
        <v>12.6</v>
      </c>
      <c r="AX23" s="2" t="n">
        <v>8</v>
      </c>
      <c r="AY23" s="2" t="n">
        <v>48.1</v>
      </c>
      <c r="AZ23" s="2" t="n">
        <v>10</v>
      </c>
      <c r="BA23" s="2" t="inlineStr">
        <is>
          <t>NA</t>
        </is>
      </c>
      <c r="BB23" s="2" t="inlineStr">
        <is>
          <t>NA</t>
        </is>
      </c>
      <c r="BD23" s="2" t="n">
        <v>93.7</v>
      </c>
      <c r="BE23" s="2" t="n">
        <v>40.6</v>
      </c>
      <c r="BM23" s="2" t="n">
        <v>498.7</v>
      </c>
      <c r="BS23" s="2" t="n">
        <v>431.9</v>
      </c>
      <c r="BU23" s="2" t="n">
        <v>40.7</v>
      </c>
      <c r="BV23" s="2" t="inlineStr">
        <is>
          <t>NA</t>
        </is>
      </c>
      <c r="BW23" s="2" t="inlineStr">
        <is>
          <t>NA</t>
        </is>
      </c>
      <c r="BX23" s="2" t="n">
        <v>395.2</v>
      </c>
      <c r="BY23" s="2" t="inlineStr">
        <is>
          <t>NA</t>
        </is>
      </c>
      <c r="BZ23" s="2" t="inlineStr">
        <is>
          <t>NA</t>
        </is>
      </c>
      <c r="CF23" s="2" t="n">
        <v>104.8</v>
      </c>
      <c r="CG23" s="2" t="n">
        <v>142</v>
      </c>
      <c r="CH23" s="2" t="n">
        <v>19.3</v>
      </c>
      <c r="CN23" s="2" t="n">
        <v>58.1</v>
      </c>
      <c r="CO23" s="2" t="n">
        <v>235.2</v>
      </c>
      <c r="CP23" s="2" t="n">
        <v>197.2</v>
      </c>
      <c r="CQ23" s="2" t="n">
        <v>38</v>
      </c>
      <c r="CR23" s="2" t="n">
        <v>22.7</v>
      </c>
      <c r="CS23" s="2" t="n">
        <v>67.09999999999999</v>
      </c>
      <c r="CT23" s="2" t="n">
        <v>55.4</v>
      </c>
      <c r="CU23" s="2" t="n">
        <v>11.7</v>
      </c>
      <c r="CV23" s="2" t="n">
        <v>61.9</v>
      </c>
      <c r="CW23" s="2" t="n">
        <v>61.9</v>
      </c>
      <c r="CY23" s="2" t="n">
        <v>9</v>
      </c>
      <c r="CZ23" s="2" t="n">
        <v>16.4</v>
      </c>
      <c r="DA23" s="2" t="n">
        <v>19.8</v>
      </c>
      <c r="DB23" s="2" t="n">
        <v>11.4</v>
      </c>
      <c r="DC23" s="2" t="n">
        <v>8.4</v>
      </c>
      <c r="DI23" s="2" t="n">
        <v>500.1</v>
      </c>
      <c r="DJ23" s="2" t="n">
        <v>140.8</v>
      </c>
      <c r="DK23" s="2" t="n">
        <v>360.7</v>
      </c>
      <c r="DL23" s="2" t="n">
        <v>108.4</v>
      </c>
      <c r="DM23" s="2" t="n">
        <v>174.7</v>
      </c>
      <c r="DO23" s="2" t="n">
        <v>141.2</v>
      </c>
      <c r="DP23" s="2" t="n">
        <v>130.6</v>
      </c>
      <c r="DQ23" s="2" t="n">
        <v>38.1</v>
      </c>
      <c r="DR23" s="2" t="n">
        <v>89.3</v>
      </c>
      <c r="DS23" s="2" t="n">
        <v>519.2</v>
      </c>
      <c r="DT23" s="2" t="n">
        <v>2203.1</v>
      </c>
      <c r="DU23" s="2" t="n">
        <v>0</v>
      </c>
      <c r="DV23" s="2" t="n">
        <v>0</v>
      </c>
      <c r="GZ23" s="2" t="n">
        <v>812.9</v>
      </c>
      <c r="IN23" s="2" t="n">
        <v>79.09999999999999</v>
      </c>
      <c r="IY23" s="2" t="n">
        <v>48.07680087149925</v>
      </c>
      <c r="IZ23" s="2" t="n">
        <v>0.4768008714992504</v>
      </c>
      <c r="JB23" s="2" t="n">
        <v>11.31178793518224</v>
      </c>
      <c r="JC23" s="2" t="n">
        <v>0.1117879351822442</v>
      </c>
      <c r="JE23" s="2" t="n">
        <v>2138.6</v>
      </c>
      <c r="JF23" s="2" t="n">
        <v>0.5318432619470682</v>
      </c>
    </row>
    <row r="24">
      <c r="A24" s="1" t="n">
        <v>29768</v>
      </c>
      <c r="B24" s="2" t="n">
        <v>2169.9</v>
      </c>
      <c r="C24" s="2" t="n">
        <v>1315.7</v>
      </c>
      <c r="D24" s="2" t="n">
        <v>218.2</v>
      </c>
      <c r="E24" s="2" t="n">
        <v>397.5</v>
      </c>
      <c r="F24" s="2" t="n">
        <v>16</v>
      </c>
      <c r="G24" s="2" t="n">
        <v>89.40000000000001</v>
      </c>
      <c r="H24" s="2" t="n">
        <v>7.8</v>
      </c>
      <c r="I24" s="2" t="inlineStr">
        <is>
          <t>NA</t>
        </is>
      </c>
      <c r="J24" s="2" t="inlineStr">
        <is>
          <t>NA</t>
        </is>
      </c>
      <c r="K24" s="2" t="n">
        <v>815.8</v>
      </c>
      <c r="L24" s="2" t="n">
        <v>2024.4</v>
      </c>
      <c r="M24" s="2" t="n">
        <v>1696.8</v>
      </c>
      <c r="N24" s="2" t="n">
        <v>327.6</v>
      </c>
      <c r="O24" s="2" t="n">
        <v>69.59999999999999</v>
      </c>
      <c r="P24" s="2" t="n">
        <v>113</v>
      </c>
      <c r="Q24" s="2" t="n">
        <v>37.3</v>
      </c>
      <c r="R24" s="2" t="n">
        <v>75.7</v>
      </c>
      <c r="T24" s="2" t="n">
        <v>13.6</v>
      </c>
      <c r="U24" s="2" t="n">
        <v>37.8</v>
      </c>
      <c r="V24" s="2" t="n">
        <v>31.4</v>
      </c>
      <c r="W24" s="2" t="n">
        <v>6.4</v>
      </c>
      <c r="X24" s="2" t="n">
        <v>70.3</v>
      </c>
      <c r="Y24" s="2" t="n">
        <v>15</v>
      </c>
      <c r="Z24" s="2" t="n">
        <v>109.6</v>
      </c>
      <c r="AA24" s="2" t="n">
        <v>81.09999999999999</v>
      </c>
      <c r="AB24" s="2" t="n">
        <v>28.5</v>
      </c>
      <c r="AC24" s="2" t="inlineStr">
        <is>
          <t>NA</t>
        </is>
      </c>
      <c r="AD24" s="2" t="inlineStr">
        <is>
          <t>NA</t>
        </is>
      </c>
      <c r="AG24" s="2" t="inlineStr">
        <is>
          <t>NA</t>
        </is>
      </c>
      <c r="AH24" s="2" t="inlineStr">
        <is>
          <t>NA</t>
        </is>
      </c>
      <c r="AI24" s="2" t="n">
        <v>76.2</v>
      </c>
      <c r="AL24" s="2" t="n">
        <v>68.40000000000001</v>
      </c>
      <c r="AM24" s="2" t="n">
        <v>45.6</v>
      </c>
      <c r="AN24" s="2" t="n">
        <v>22.8</v>
      </c>
      <c r="AO24" s="2" t="n">
        <v>1681.1</v>
      </c>
      <c r="AP24" s="2" t="n">
        <v>156.1</v>
      </c>
      <c r="AQ24" s="2" t="n">
        <v>53.2</v>
      </c>
      <c r="AR24" s="2" t="n">
        <v>32.7</v>
      </c>
      <c r="AS24" s="2" t="n">
        <v>104.2</v>
      </c>
      <c r="AT24" s="2" t="n">
        <v>150.3</v>
      </c>
      <c r="AU24" s="2" t="n">
        <v>57.1</v>
      </c>
      <c r="AV24" s="2" t="n">
        <v>55.7</v>
      </c>
      <c r="AW24" s="2" t="n">
        <v>9</v>
      </c>
      <c r="AX24" s="2" t="n">
        <v>3.4</v>
      </c>
      <c r="AY24" s="2" t="n">
        <v>50.5</v>
      </c>
      <c r="AZ24" s="2" t="n">
        <v>9.699999999999999</v>
      </c>
      <c r="BA24" s="2" t="inlineStr">
        <is>
          <t>NA</t>
        </is>
      </c>
      <c r="BB24" s="2" t="inlineStr">
        <is>
          <t>NA</t>
        </is>
      </c>
      <c r="BD24" s="2" t="n">
        <v>89.8</v>
      </c>
      <c r="BE24" s="2" t="n">
        <v>37.8</v>
      </c>
      <c r="BM24" s="2" t="n">
        <v>502.1</v>
      </c>
      <c r="BS24" s="2" t="n">
        <v>419</v>
      </c>
      <c r="BU24" s="2" t="n">
        <v>42.6</v>
      </c>
      <c r="BV24" s="2" t="inlineStr">
        <is>
          <t>NA</t>
        </is>
      </c>
      <c r="BW24" s="2" t="inlineStr">
        <is>
          <t>NA</t>
        </is>
      </c>
      <c r="BX24" s="2" t="n">
        <v>394.9</v>
      </c>
      <c r="BY24" s="2" t="inlineStr">
        <is>
          <t>NA</t>
        </is>
      </c>
      <c r="BZ24" s="2" t="inlineStr">
        <is>
          <t>NA</t>
        </is>
      </c>
      <c r="CF24" s="2" t="n">
        <v>99.5</v>
      </c>
      <c r="CG24" s="2" t="n">
        <v>145.3</v>
      </c>
      <c r="CH24" s="2" t="n">
        <v>17.6</v>
      </c>
      <c r="CN24" s="2" t="n">
        <v>57</v>
      </c>
      <c r="CO24" s="2" t="n">
        <v>220.8</v>
      </c>
      <c r="CP24" s="2" t="n">
        <v>180.7</v>
      </c>
      <c r="CQ24" s="2" t="n">
        <v>40.1</v>
      </c>
      <c r="CR24" s="2" t="n">
        <v>24.2</v>
      </c>
      <c r="CS24" s="2" t="n">
        <v>57.40000000000001</v>
      </c>
      <c r="CT24" s="2" t="n">
        <v>45.2</v>
      </c>
      <c r="CU24" s="2" t="n">
        <v>12.2</v>
      </c>
      <c r="CV24" s="2" t="n">
        <v>60</v>
      </c>
      <c r="CW24" s="2" t="n">
        <v>60</v>
      </c>
      <c r="CY24" s="2" t="n">
        <v>9.5</v>
      </c>
      <c r="CZ24" s="2" t="n">
        <v>12.2</v>
      </c>
      <c r="DA24" s="2" t="n">
        <v>17</v>
      </c>
      <c r="DB24" s="2" t="n">
        <v>10.8</v>
      </c>
      <c r="DC24" s="2" t="n">
        <v>6.2</v>
      </c>
      <c r="DI24" s="2" t="n">
        <v>473.2</v>
      </c>
      <c r="DJ24" s="2" t="n">
        <v>142.5</v>
      </c>
      <c r="DK24" s="2" t="n">
        <v>412.3</v>
      </c>
      <c r="DL24" s="2" t="n">
        <v>94.2</v>
      </c>
      <c r="DM24" s="2" t="n">
        <v>171.4</v>
      </c>
      <c r="DO24" s="2" t="n">
        <v>85.7</v>
      </c>
      <c r="DP24" s="2" t="n">
        <v>141.5</v>
      </c>
      <c r="DQ24" s="2" t="n">
        <v>49.4</v>
      </c>
      <c r="DR24" s="2" t="n">
        <v>113.6</v>
      </c>
      <c r="DS24" s="2" t="n">
        <v>486.1</v>
      </c>
      <c r="DT24" s="2" t="n">
        <v>2169.9</v>
      </c>
      <c r="DU24" s="2" t="n">
        <v>0</v>
      </c>
      <c r="DV24" s="2" t="n">
        <v>0</v>
      </c>
      <c r="GZ24" s="2" t="n">
        <v>765.4</v>
      </c>
      <c r="IN24" s="2" t="n">
        <v>73.7</v>
      </c>
      <c r="IY24" s="2" t="n">
        <v>47.95520530900041</v>
      </c>
      <c r="IZ24" s="2" t="n">
        <v>0.4552053090004122</v>
      </c>
      <c r="JB24" s="2" t="n">
        <v>11.27886077699433</v>
      </c>
      <c r="JC24" s="2" t="n">
        <v>0.07886077699433258</v>
      </c>
      <c r="JE24" s="2" t="n">
        <v>2024.4</v>
      </c>
      <c r="JF24" s="2" t="n">
        <v>0.5504840940525588</v>
      </c>
    </row>
    <row r="25">
      <c r="A25" s="1" t="n">
        <v>29799</v>
      </c>
      <c r="B25" s="2" t="n">
        <v>2239.1</v>
      </c>
      <c r="C25" s="2" t="n">
        <v>1002.4</v>
      </c>
      <c r="D25" s="2" t="n">
        <v>195.6</v>
      </c>
      <c r="E25" s="2" t="n">
        <v>352.5</v>
      </c>
      <c r="F25" s="2" t="n">
        <v>11.3</v>
      </c>
      <c r="G25" s="2" t="inlineStr">
        <is>
          <t>NA</t>
        </is>
      </c>
      <c r="H25" s="2" t="n">
        <v>11</v>
      </c>
      <c r="I25" s="2" t="inlineStr">
        <is>
          <t>NA</t>
        </is>
      </c>
      <c r="J25" s="2" t="inlineStr">
        <is>
          <t>NA</t>
        </is>
      </c>
      <c r="K25" s="2" t="n">
        <v>827.2</v>
      </c>
      <c r="L25" s="2" t="n">
        <v>1783.2</v>
      </c>
      <c r="M25" s="2" t="n">
        <v>1452.3</v>
      </c>
      <c r="N25" s="2" t="n">
        <v>330.9</v>
      </c>
      <c r="O25" s="2" t="n">
        <v>62.1</v>
      </c>
      <c r="P25" s="2" t="n">
        <v>109.4</v>
      </c>
      <c r="Q25" s="2" t="n">
        <v>41.4</v>
      </c>
      <c r="R25" s="2" t="n">
        <v>68</v>
      </c>
      <c r="T25" s="2" t="n">
        <v>9.800000000000001</v>
      </c>
      <c r="U25" s="2" t="n">
        <v>28.1</v>
      </c>
      <c r="V25" s="2" t="n">
        <v>23.8</v>
      </c>
      <c r="W25" s="2" t="n">
        <v>4.3</v>
      </c>
      <c r="X25" s="2" t="inlineStr">
        <is>
          <t>NA</t>
        </is>
      </c>
      <c r="Y25" s="2" t="n">
        <v>7.4</v>
      </c>
      <c r="Z25" s="2" t="n">
        <v>89</v>
      </c>
      <c r="AA25" s="2" t="n">
        <v>61.9</v>
      </c>
      <c r="AB25" s="2" t="n">
        <v>27.1</v>
      </c>
      <c r="AC25" s="2" t="inlineStr">
        <is>
          <t>NA</t>
        </is>
      </c>
      <c r="AD25" s="2" t="inlineStr">
        <is>
          <t>NA</t>
        </is>
      </c>
      <c r="AG25" s="2" t="inlineStr">
        <is>
          <t>NA</t>
        </is>
      </c>
      <c r="AH25" s="2" t="inlineStr">
        <is>
          <t>NA</t>
        </is>
      </c>
      <c r="AI25" s="2" t="n">
        <v>76.40000000000001</v>
      </c>
      <c r="AL25" s="2" t="n">
        <v>77.8</v>
      </c>
      <c r="AM25" s="2" t="n">
        <v>53</v>
      </c>
      <c r="AN25" s="2" t="n">
        <v>24.8</v>
      </c>
      <c r="AO25" s="2" t="n">
        <v>1726.3</v>
      </c>
      <c r="AP25" s="2" t="n">
        <v>199.7</v>
      </c>
      <c r="AQ25" s="2" t="n">
        <v>61.5</v>
      </c>
      <c r="AR25" s="2" t="n">
        <v>34.1</v>
      </c>
      <c r="AS25" s="2" t="n">
        <v>88.3</v>
      </c>
      <c r="AT25" s="2" t="n">
        <v>129.9</v>
      </c>
      <c r="AU25" s="2" t="n">
        <v>47.3</v>
      </c>
      <c r="AV25" s="2" t="n">
        <v>40.3</v>
      </c>
      <c r="AW25" s="2" t="n">
        <v>6.4</v>
      </c>
      <c r="AX25" s="2" t="n">
        <v>5.1</v>
      </c>
      <c r="AY25" s="2" t="inlineStr">
        <is>
          <t>NA</t>
        </is>
      </c>
      <c r="AZ25" s="2" t="n">
        <v>6.1</v>
      </c>
      <c r="BA25" s="2" t="inlineStr">
        <is>
          <t>NA</t>
        </is>
      </c>
      <c r="BB25" s="2" t="inlineStr">
        <is>
          <t>NA</t>
        </is>
      </c>
      <c r="BD25" s="2" t="n">
        <v>92.2</v>
      </c>
      <c r="BE25" s="2" t="n">
        <v>36.5</v>
      </c>
      <c r="BM25" s="2" t="n">
        <v>474.6</v>
      </c>
      <c r="BS25" s="2" t="n">
        <v>426.6</v>
      </c>
      <c r="BU25" s="2" t="n">
        <v>39.5</v>
      </c>
      <c r="BV25" s="2" t="inlineStr">
        <is>
          <t>NA</t>
        </is>
      </c>
      <c r="BW25" s="2" t="inlineStr">
        <is>
          <t>NA</t>
        </is>
      </c>
      <c r="BX25" s="2" t="n">
        <v>380.9</v>
      </c>
      <c r="BY25" s="2" t="inlineStr">
        <is>
          <t>NA</t>
        </is>
      </c>
      <c r="BZ25" s="2" t="inlineStr">
        <is>
          <t>NA</t>
        </is>
      </c>
      <c r="CF25" s="2" t="n">
        <v>104.6</v>
      </c>
      <c r="CG25" s="2" t="n">
        <v>142.5</v>
      </c>
      <c r="CH25" s="2" t="n">
        <v>15.3</v>
      </c>
      <c r="CN25" s="2" t="n">
        <v>58.5</v>
      </c>
      <c r="CO25" s="2" t="n">
        <v>229.5</v>
      </c>
      <c r="CP25" s="2" t="n">
        <v>183.6</v>
      </c>
      <c r="CQ25" s="2" t="n">
        <v>45.9</v>
      </c>
      <c r="CR25" s="2" t="n">
        <v>30.9</v>
      </c>
      <c r="CS25" s="2" t="n">
        <v>65.7</v>
      </c>
      <c r="CT25" s="2" t="n">
        <v>54</v>
      </c>
      <c r="CU25" s="2" t="n">
        <v>11.7</v>
      </c>
      <c r="CV25" s="2" t="n">
        <v>62.5</v>
      </c>
      <c r="CW25" s="2" t="n">
        <v>62.5</v>
      </c>
      <c r="CY25" s="2" t="n">
        <v>9.800000000000001</v>
      </c>
      <c r="CZ25" s="2" t="n">
        <v>27.5</v>
      </c>
      <c r="DA25" s="2" t="n">
        <v>15</v>
      </c>
      <c r="DB25" s="2" t="n">
        <v>12.4</v>
      </c>
      <c r="DC25" s="2" t="n">
        <v>2.6</v>
      </c>
      <c r="DI25" s="2" t="n">
        <v>341.9</v>
      </c>
      <c r="DJ25" s="2" t="n">
        <v>123.5</v>
      </c>
      <c r="DK25" s="2" t="n">
        <v>440</v>
      </c>
      <c r="DL25" s="2" t="n">
        <v>87.09999999999999</v>
      </c>
      <c r="DM25" s="2" t="n">
        <v>176.4</v>
      </c>
      <c r="DO25" s="2" t="n">
        <v>101.7</v>
      </c>
      <c r="DP25" s="2" t="n">
        <v>143.5</v>
      </c>
      <c r="DQ25" s="2" t="n">
        <v>40.5</v>
      </c>
      <c r="DR25" s="2" t="n">
        <v>132.4</v>
      </c>
      <c r="DS25" s="2" t="n">
        <v>652.1</v>
      </c>
      <c r="DT25" s="2" t="n">
        <v>2239.1</v>
      </c>
      <c r="DU25" s="2" t="n">
        <v>0</v>
      </c>
      <c r="DV25" s="2" t="n">
        <v>0</v>
      </c>
      <c r="GZ25" s="2" t="n">
        <v>813.3</v>
      </c>
      <c r="IN25" s="2" t="n">
        <v>56.9</v>
      </c>
      <c r="IY25" s="2" t="n">
        <v>47.90674824706355</v>
      </c>
      <c r="IZ25" s="2" t="n">
        <v>0.206748247063544</v>
      </c>
      <c r="JB25" s="2" t="n">
        <v>11.08302442945826</v>
      </c>
      <c r="JC25" s="2" t="n">
        <v>-0.2169755705417362</v>
      </c>
      <c r="JE25" s="2" t="n">
        <v>1783.2</v>
      </c>
      <c r="JF25" s="2" t="n">
        <v>0.5771646478241365</v>
      </c>
    </row>
    <row r="26">
      <c r="A26" s="1" t="n">
        <v>29830</v>
      </c>
      <c r="B26" s="2" t="n">
        <v>2263</v>
      </c>
      <c r="C26" s="2" t="n">
        <v>946</v>
      </c>
      <c r="D26" s="2" t="n">
        <v>191.5</v>
      </c>
      <c r="E26" s="2" t="n">
        <v>482.8</v>
      </c>
      <c r="F26" s="2" t="n">
        <v>6.3</v>
      </c>
      <c r="G26" s="2" t="n">
        <v>26.5</v>
      </c>
      <c r="H26" s="2" t="n">
        <v>7.2</v>
      </c>
      <c r="I26" s="2" t="inlineStr">
        <is>
          <t>NA</t>
        </is>
      </c>
      <c r="J26" s="2" t="inlineStr">
        <is>
          <t>NA</t>
        </is>
      </c>
      <c r="K26" s="2" t="n">
        <v>855.6</v>
      </c>
      <c r="L26" s="2" t="n">
        <v>1736.2</v>
      </c>
      <c r="M26" s="2" t="n">
        <v>1422.9</v>
      </c>
      <c r="N26" s="2" t="n">
        <v>313.3</v>
      </c>
      <c r="O26" s="2" t="n">
        <v>60.9</v>
      </c>
      <c r="P26" s="2" t="n">
        <v>80</v>
      </c>
      <c r="Q26" s="2" t="n">
        <v>30.1</v>
      </c>
      <c r="R26" s="2" t="n">
        <v>49.9</v>
      </c>
      <c r="T26" s="2" t="n">
        <v>5.5</v>
      </c>
      <c r="U26" s="2" t="n">
        <v>22</v>
      </c>
      <c r="V26" s="2" t="n">
        <v>17</v>
      </c>
      <c r="W26" s="2" t="n">
        <v>5</v>
      </c>
      <c r="X26" s="2" t="n">
        <v>20</v>
      </c>
      <c r="Y26" s="2" t="n">
        <v>4.2</v>
      </c>
      <c r="Z26" s="2" t="n">
        <v>89.8</v>
      </c>
      <c r="AA26" s="2" t="n">
        <v>66.3</v>
      </c>
      <c r="AB26" s="2" t="n">
        <v>23.5</v>
      </c>
      <c r="AC26" s="2" t="inlineStr">
        <is>
          <t>NA</t>
        </is>
      </c>
      <c r="AD26" s="2" t="inlineStr">
        <is>
          <t>NA</t>
        </is>
      </c>
      <c r="AG26" s="2" t="inlineStr">
        <is>
          <t>NA</t>
        </is>
      </c>
      <c r="AH26" s="2" t="inlineStr">
        <is>
          <t>NA</t>
        </is>
      </c>
      <c r="AI26" s="2" t="n">
        <v>77.8</v>
      </c>
      <c r="AL26" s="2" t="n">
        <v>75.7</v>
      </c>
      <c r="AM26" s="2" t="n">
        <v>45.7</v>
      </c>
      <c r="AN26" s="2" t="n">
        <v>30</v>
      </c>
      <c r="AO26" s="2" t="n">
        <v>1762.9</v>
      </c>
      <c r="AP26" s="2" t="n">
        <v>135.4</v>
      </c>
      <c r="AQ26" s="2" t="n">
        <v>57.7</v>
      </c>
      <c r="AR26" s="2" t="n">
        <v>27.3</v>
      </c>
      <c r="AS26" s="2" t="n">
        <v>88.7</v>
      </c>
      <c r="AT26" s="2" t="n">
        <v>107.7</v>
      </c>
      <c r="AU26" s="2" t="n">
        <v>48.8</v>
      </c>
      <c r="AV26" s="2" t="n">
        <v>28.6</v>
      </c>
      <c r="AW26" s="2" t="n">
        <v>7.5</v>
      </c>
      <c r="AX26" s="2" t="n">
        <v>2.1</v>
      </c>
      <c r="AY26" s="2" t="n">
        <v>14.6</v>
      </c>
      <c r="AZ26" s="2" t="n">
        <v>3</v>
      </c>
      <c r="BA26" s="2" t="inlineStr">
        <is>
          <t>NA</t>
        </is>
      </c>
      <c r="BB26" s="2" t="inlineStr">
        <is>
          <t>NA</t>
        </is>
      </c>
      <c r="BD26" s="2" t="n">
        <v>96.5</v>
      </c>
      <c r="BE26" s="2" t="n">
        <v>36.2</v>
      </c>
      <c r="BM26" s="2" t="n">
        <v>518</v>
      </c>
      <c r="BS26" s="2" t="n">
        <v>422.1</v>
      </c>
      <c r="BU26" s="2" t="n">
        <v>35.6</v>
      </c>
      <c r="BV26" s="2" t="inlineStr">
        <is>
          <t>NA</t>
        </is>
      </c>
      <c r="BW26" s="2" t="inlineStr">
        <is>
          <t>NA</t>
        </is>
      </c>
      <c r="BX26" s="2" t="n">
        <v>403.8</v>
      </c>
      <c r="BY26" s="2" t="inlineStr">
        <is>
          <t>NA</t>
        </is>
      </c>
      <c r="BZ26" s="2" t="inlineStr">
        <is>
          <t>NA</t>
        </is>
      </c>
      <c r="CF26" s="2" t="n">
        <v>100.1</v>
      </c>
      <c r="CG26" s="2" t="n">
        <v>137.2</v>
      </c>
      <c r="CH26" s="2" t="n">
        <v>16.3</v>
      </c>
      <c r="CN26" s="2" t="n">
        <v>56.5</v>
      </c>
      <c r="CO26" s="2" t="n">
        <v>204.3</v>
      </c>
      <c r="CP26" s="2" t="n">
        <v>162.1</v>
      </c>
      <c r="CQ26" s="2" t="n">
        <v>42.2</v>
      </c>
      <c r="CR26" s="2" t="n">
        <v>38.8</v>
      </c>
      <c r="CS26" s="2" t="n">
        <v>71.40000000000001</v>
      </c>
      <c r="CT26" s="2" t="n">
        <v>48.7</v>
      </c>
      <c r="CU26" s="2" t="n">
        <v>22.7</v>
      </c>
      <c r="CV26" s="2" t="n">
        <v>58.1</v>
      </c>
      <c r="CW26" s="2" t="n">
        <v>58.1</v>
      </c>
      <c r="CY26" s="2" t="n">
        <v>10.2</v>
      </c>
      <c r="CZ26" s="2" t="n">
        <v>30.8</v>
      </c>
      <c r="DA26" s="2" t="n">
        <v>24.7</v>
      </c>
      <c r="DB26" s="2" t="n">
        <v>18.6</v>
      </c>
      <c r="DC26" s="2" t="n">
        <v>6.1</v>
      </c>
      <c r="DI26" s="2" t="n">
        <v>542</v>
      </c>
      <c r="DJ26" s="2" t="n">
        <v>126.6</v>
      </c>
      <c r="DK26" s="2" t="n">
        <v>394.5</v>
      </c>
      <c r="DM26" s="2" t="n">
        <v>172.5</v>
      </c>
      <c r="DO26" s="2" t="n">
        <v>97.8</v>
      </c>
      <c r="DP26" s="2" t="n">
        <v>140.9</v>
      </c>
      <c r="DQ26" s="2" t="n">
        <v>55.6</v>
      </c>
      <c r="DR26" s="2" t="n">
        <v>114.5</v>
      </c>
      <c r="DS26" s="2" t="n">
        <v>618.6</v>
      </c>
      <c r="DT26" s="2" t="n">
        <v>2263</v>
      </c>
      <c r="DU26" s="2" t="n">
        <v>0</v>
      </c>
      <c r="DV26" s="2" t="n">
        <v>0</v>
      </c>
      <c r="GZ26" s="2" t="n">
        <v>812.1</v>
      </c>
      <c r="IN26" s="2" t="n">
        <v>53.1</v>
      </c>
      <c r="IY26" s="2" t="n">
        <v>48.27043747238179</v>
      </c>
      <c r="IZ26" s="2" t="n">
        <v>0.4704374723817963</v>
      </c>
      <c r="JB26" s="2" t="n">
        <v>11.34246575342466</v>
      </c>
      <c r="JC26" s="2" t="n">
        <v>0.1424657534246574</v>
      </c>
      <c r="JE26" s="2" t="n">
        <v>1736.2</v>
      </c>
      <c r="JF26" s="2" t="n">
        <v>0.6031563183964981</v>
      </c>
    </row>
    <row r="27">
      <c r="A27" s="1" t="n">
        <v>29860</v>
      </c>
      <c r="B27" s="2" t="n">
        <v>3133.8</v>
      </c>
      <c r="C27" s="2" t="n">
        <v>3173.2</v>
      </c>
      <c r="D27" s="2" t="n">
        <v>323.5</v>
      </c>
      <c r="E27" s="2" t="n">
        <v>1257.5</v>
      </c>
      <c r="F27" s="2" t="n">
        <v>12.1</v>
      </c>
      <c r="G27" s="2" t="n">
        <v>65.8</v>
      </c>
      <c r="H27" s="2" t="inlineStr">
        <is>
          <t>NA</t>
        </is>
      </c>
      <c r="I27" s="2" t="inlineStr">
        <is>
          <t>NA</t>
        </is>
      </c>
      <c r="J27" s="2" t="inlineStr">
        <is>
          <t>NA</t>
        </is>
      </c>
      <c r="K27" s="2" t="n">
        <v>1125.3</v>
      </c>
      <c r="L27" s="2" t="n">
        <v>1790.2</v>
      </c>
      <c r="M27" s="2" t="n">
        <v>1494.7</v>
      </c>
      <c r="N27" s="2" t="n">
        <v>295.5</v>
      </c>
      <c r="O27" s="2" t="n">
        <v>106.4</v>
      </c>
      <c r="P27" s="2" t="n">
        <v>102.6</v>
      </c>
      <c r="Q27" s="2" t="n">
        <v>49.1</v>
      </c>
      <c r="R27" s="2" t="n">
        <v>53.5</v>
      </c>
      <c r="T27" s="2" t="n">
        <v>9.699999999999999</v>
      </c>
      <c r="U27" s="2" t="n">
        <v>21</v>
      </c>
      <c r="V27" s="2" t="n">
        <v>15.5</v>
      </c>
      <c r="W27" s="2" t="n">
        <v>5.5</v>
      </c>
      <c r="X27" s="2" t="n">
        <v>50.3</v>
      </c>
      <c r="Y27" s="2" t="n">
        <v>7.4</v>
      </c>
      <c r="Z27" s="2" t="n">
        <v>97.7</v>
      </c>
      <c r="AA27" s="2" t="n">
        <v>76.90000000000001</v>
      </c>
      <c r="AB27" s="2" t="n">
        <v>20.8</v>
      </c>
      <c r="AC27" s="2" t="inlineStr">
        <is>
          <t>NA</t>
        </is>
      </c>
      <c r="AD27" s="2" t="inlineStr">
        <is>
          <t>NA</t>
        </is>
      </c>
      <c r="AG27" s="2" t="inlineStr">
        <is>
          <t>NA</t>
        </is>
      </c>
      <c r="AH27" s="2" t="inlineStr">
        <is>
          <t>NA</t>
        </is>
      </c>
      <c r="AI27" s="2" t="n">
        <v>81.40000000000001</v>
      </c>
      <c r="AL27" s="2" t="n">
        <v>89.09999999999999</v>
      </c>
      <c r="AM27" s="2" t="n">
        <v>58.5</v>
      </c>
      <c r="AN27" s="2" t="n">
        <v>30.6</v>
      </c>
      <c r="AO27" s="2" t="n">
        <v>2411.4</v>
      </c>
      <c r="AP27" s="2" t="n">
        <v>263.5</v>
      </c>
      <c r="AQ27" s="2" t="n">
        <v>90.3</v>
      </c>
      <c r="AR27" s="2" t="n">
        <v>45.7</v>
      </c>
      <c r="AS27" s="2" t="n">
        <v>144.8</v>
      </c>
      <c r="AT27" s="2" t="n">
        <v>77.90000000000001</v>
      </c>
      <c r="AU27" s="2" t="n">
        <v>81</v>
      </c>
      <c r="AV27" s="2" t="n">
        <v>27</v>
      </c>
      <c r="AW27" s="2" t="n">
        <v>14.7</v>
      </c>
      <c r="AX27" s="2" t="n">
        <v>5.7</v>
      </c>
      <c r="AY27" s="2" t="n">
        <v>37.1</v>
      </c>
      <c r="AZ27" s="2" t="n">
        <v>4.8</v>
      </c>
      <c r="BA27" s="2" t="inlineStr">
        <is>
          <t>NA</t>
        </is>
      </c>
      <c r="BB27" s="2" t="inlineStr">
        <is>
          <t>NA</t>
        </is>
      </c>
      <c r="BD27" s="2" t="n">
        <v>103.6</v>
      </c>
      <c r="BE27" s="2" t="n">
        <v>40.2</v>
      </c>
      <c r="BM27" s="2" t="n">
        <v>541.9</v>
      </c>
      <c r="BS27" s="2" t="n">
        <v>408.7</v>
      </c>
      <c r="BU27" s="2" t="n">
        <v>36.7</v>
      </c>
      <c r="BV27" s="2" t="inlineStr">
        <is>
          <t>NA</t>
        </is>
      </c>
      <c r="BW27" s="2" t="inlineStr">
        <is>
          <t>NA</t>
        </is>
      </c>
      <c r="BX27" s="2" t="n">
        <v>430.6</v>
      </c>
      <c r="BY27" s="2" t="inlineStr">
        <is>
          <t>NA</t>
        </is>
      </c>
      <c r="BZ27" s="2" t="inlineStr">
        <is>
          <t>NA</t>
        </is>
      </c>
      <c r="CF27" s="2" t="n">
        <v>101.1</v>
      </c>
      <c r="CG27" s="2" t="n">
        <v>135.7</v>
      </c>
      <c r="CH27" s="2" t="n">
        <v>17.3</v>
      </c>
      <c r="CN27" s="2" t="n">
        <v>59.9</v>
      </c>
      <c r="CO27" s="2" t="n">
        <v>145.1</v>
      </c>
      <c r="CP27" s="2" t="n">
        <v>134.1</v>
      </c>
      <c r="CQ27" s="2" t="n">
        <v>11</v>
      </c>
      <c r="CR27" s="2" t="inlineStr">
        <is>
          <t>NA</t>
        </is>
      </c>
      <c r="CS27" s="2" t="n">
        <v>72.09999999999999</v>
      </c>
      <c r="CT27" s="2" t="n">
        <v>52.5</v>
      </c>
      <c r="CU27" s="2" t="n">
        <v>19.6</v>
      </c>
      <c r="CV27" s="2" t="n">
        <v>44.4</v>
      </c>
      <c r="CW27" s="2" t="n">
        <v>44.4</v>
      </c>
      <c r="CY27" s="2" t="n">
        <v>13.8</v>
      </c>
      <c r="CZ27" s="2" t="n">
        <v>34.9</v>
      </c>
      <c r="DA27" s="2" t="n">
        <v>36.5</v>
      </c>
      <c r="DB27" s="2" t="n">
        <v>26.6</v>
      </c>
      <c r="DC27" s="2" t="n">
        <v>9.9</v>
      </c>
      <c r="DG27" s="2" t="n">
        <v>168.4</v>
      </c>
      <c r="DI27" s="2" t="n">
        <v>781.3</v>
      </c>
      <c r="DJ27" s="2" t="n">
        <v>179.6</v>
      </c>
      <c r="DK27" s="2" t="n">
        <v>499</v>
      </c>
      <c r="DM27" s="2" t="n">
        <v>198.6</v>
      </c>
      <c r="DO27" s="2" t="n">
        <v>155.7</v>
      </c>
      <c r="DP27" s="2" t="n">
        <v>158.9</v>
      </c>
      <c r="DQ27" s="2" t="n">
        <v>67.5</v>
      </c>
      <c r="DR27" s="2" t="n">
        <v>165.5</v>
      </c>
      <c r="DS27" s="2" t="n">
        <v>759.3</v>
      </c>
      <c r="DT27" s="2" t="n">
        <v>3133.8</v>
      </c>
      <c r="DU27" s="2" t="n">
        <v>-168.3999999999996</v>
      </c>
      <c r="DV27" s="2" t="n">
        <v>0</v>
      </c>
      <c r="GZ27" s="2" t="n">
        <v>833.6</v>
      </c>
      <c r="IN27" s="2" t="n">
        <v>84.7</v>
      </c>
      <c r="IY27" s="2" t="n">
        <v>47.8977599080988</v>
      </c>
      <c r="IZ27" s="2" t="n">
        <v>0.5977599080988014</v>
      </c>
      <c r="JB27" s="2" t="n">
        <v>10.77254451464675</v>
      </c>
      <c r="JC27" s="2" t="n">
        <v>0.07254451464675427</v>
      </c>
      <c r="JE27" s="2" t="n">
        <v>1790.2</v>
      </c>
      <c r="JF27" s="2" t="n">
        <v>0.6014411797564518</v>
      </c>
    </row>
    <row r="28">
      <c r="A28" s="1" t="n">
        <v>29891</v>
      </c>
      <c r="B28" s="2" t="n">
        <v>2926.7</v>
      </c>
      <c r="C28" s="2" t="n">
        <v>4054.9</v>
      </c>
      <c r="D28" s="2" t="n">
        <v>455.5</v>
      </c>
      <c r="E28" s="2" t="n">
        <v>2258.9</v>
      </c>
      <c r="F28" s="2" t="n">
        <v>15.7</v>
      </c>
      <c r="G28" s="2" t="n">
        <v>57.8</v>
      </c>
      <c r="H28" s="2" t="n">
        <v>54.8</v>
      </c>
      <c r="I28" s="2" t="inlineStr">
        <is>
          <t>NA</t>
        </is>
      </c>
      <c r="J28" s="2" t="inlineStr">
        <is>
          <t>NA</t>
        </is>
      </c>
      <c r="K28" s="2" t="n">
        <v>1017.8</v>
      </c>
      <c r="L28" s="2" t="n">
        <v>1884.4</v>
      </c>
      <c r="M28" s="2" t="n">
        <v>1570.8</v>
      </c>
      <c r="N28" s="2" t="n">
        <v>313.6</v>
      </c>
      <c r="O28" s="2" t="n">
        <v>148.8</v>
      </c>
      <c r="P28" s="2" t="n">
        <v>127.2</v>
      </c>
      <c r="Q28" s="2" t="n">
        <v>56.3</v>
      </c>
      <c r="R28" s="2" t="n">
        <v>70.90000000000001</v>
      </c>
      <c r="T28" s="2" t="n">
        <v>12</v>
      </c>
      <c r="U28" s="2" t="n">
        <v>18.5</v>
      </c>
      <c r="V28" s="2" t="n">
        <v>12.3</v>
      </c>
      <c r="W28" s="2" t="n">
        <v>6.2</v>
      </c>
      <c r="X28" s="2" t="n">
        <v>44.1</v>
      </c>
      <c r="Y28" s="2" t="n">
        <v>5.8</v>
      </c>
      <c r="Z28" s="2" t="n">
        <v>69.40000000000001</v>
      </c>
      <c r="AA28" s="2" t="n">
        <v>50.1</v>
      </c>
      <c r="AB28" s="2" t="n">
        <v>19.3</v>
      </c>
      <c r="AC28" s="2" t="inlineStr">
        <is>
          <t>NA</t>
        </is>
      </c>
      <c r="AD28" s="2" t="inlineStr">
        <is>
          <t>NA</t>
        </is>
      </c>
      <c r="AG28" s="2" t="inlineStr">
        <is>
          <t>NA</t>
        </is>
      </c>
      <c r="AH28" s="2" t="inlineStr">
        <is>
          <t>NA</t>
        </is>
      </c>
      <c r="AI28" s="2" t="n">
        <v>69.2</v>
      </c>
      <c r="AL28" s="2" t="n">
        <v>69</v>
      </c>
      <c r="AM28" s="2" t="n">
        <v>41.1</v>
      </c>
      <c r="AN28" s="2" t="n">
        <v>27.9</v>
      </c>
      <c r="AO28" s="2" t="n">
        <v>2253</v>
      </c>
      <c r="AP28" s="2" t="n">
        <v>279.8</v>
      </c>
      <c r="AQ28" s="2" t="n">
        <v>72.7</v>
      </c>
      <c r="AR28" s="2" t="n">
        <v>34.9</v>
      </c>
      <c r="AS28" s="2" t="n">
        <v>213.3</v>
      </c>
      <c r="AT28" s="2" t="n">
        <v>80.90000000000001</v>
      </c>
      <c r="AU28" s="2" t="n">
        <v>118.6</v>
      </c>
      <c r="AV28" s="2" t="n">
        <v>61.5</v>
      </c>
      <c r="AW28" s="2" t="n">
        <v>18.6</v>
      </c>
      <c r="AX28" s="2" t="n">
        <v>5.1</v>
      </c>
      <c r="AY28" s="2" t="n">
        <v>32.1</v>
      </c>
      <c r="AZ28" s="2" t="n">
        <v>3.8</v>
      </c>
      <c r="BA28" s="2" t="inlineStr">
        <is>
          <t>NA</t>
        </is>
      </c>
      <c r="BB28" s="2" t="inlineStr">
        <is>
          <t>NA</t>
        </is>
      </c>
      <c r="BD28" s="2" t="n">
        <v>92.3</v>
      </c>
      <c r="BE28" s="2" t="n">
        <v>48.3</v>
      </c>
      <c r="BM28" s="2" t="n">
        <v>513.9</v>
      </c>
      <c r="BS28" s="2" t="n">
        <v>435.4</v>
      </c>
      <c r="BU28" s="2" t="n">
        <v>39.1</v>
      </c>
      <c r="BV28" s="2" t="inlineStr">
        <is>
          <t>NA</t>
        </is>
      </c>
      <c r="BW28" s="2" t="inlineStr">
        <is>
          <t>NA</t>
        </is>
      </c>
      <c r="BX28" s="2" t="n">
        <v>408.1</v>
      </c>
      <c r="BY28" s="2" t="inlineStr">
        <is>
          <t>NA</t>
        </is>
      </c>
      <c r="BZ28" s="2" t="inlineStr">
        <is>
          <t>NA</t>
        </is>
      </c>
      <c r="CF28" s="2" t="n">
        <v>102.5</v>
      </c>
      <c r="CG28" s="2" t="n">
        <v>132.5</v>
      </c>
      <c r="CH28" s="2" t="n">
        <v>17.2</v>
      </c>
      <c r="CN28" s="2" t="n">
        <v>52.4</v>
      </c>
      <c r="CO28" s="2" t="n">
        <v>146.5</v>
      </c>
      <c r="CP28" s="2" t="n">
        <v>133.4</v>
      </c>
      <c r="CQ28" s="2" t="n">
        <v>13.1</v>
      </c>
      <c r="CR28" s="2" t="n">
        <v>30.8</v>
      </c>
      <c r="CS28" s="2" t="n">
        <v>64.30000000000001</v>
      </c>
      <c r="CT28" s="2" t="n">
        <v>32.2</v>
      </c>
      <c r="CU28" s="2" t="n">
        <v>32.1</v>
      </c>
      <c r="CV28" s="2" t="n">
        <v>52</v>
      </c>
      <c r="CW28" s="2" t="n">
        <v>52</v>
      </c>
      <c r="CY28" s="2" t="n">
        <v>13.2</v>
      </c>
      <c r="CZ28" s="2" t="n">
        <v>38.5</v>
      </c>
      <c r="DA28" s="2" t="n">
        <v>38.1</v>
      </c>
      <c r="DB28" s="2" t="n">
        <v>25.6</v>
      </c>
      <c r="DC28" s="2" t="n">
        <v>12.5</v>
      </c>
      <c r="DG28" s="2" t="n">
        <v>164.9</v>
      </c>
      <c r="DH28" s="2" t="n">
        <v>122.8</v>
      </c>
      <c r="DI28" s="2" t="n">
        <v>669.1</v>
      </c>
      <c r="DJ28" s="2" t="n">
        <v>164.5</v>
      </c>
      <c r="DK28" s="2" t="n">
        <v>447.4</v>
      </c>
      <c r="DL28" s="2" t="n">
        <v>125.4</v>
      </c>
      <c r="DM28" s="2" t="n">
        <v>172</v>
      </c>
      <c r="DN28" s="2" t="n">
        <v>88.40000000000001</v>
      </c>
      <c r="DO28" s="2" t="n">
        <v>143.5</v>
      </c>
      <c r="DP28" s="2" t="n">
        <v>152.3</v>
      </c>
      <c r="DQ28" s="2" t="n">
        <v>62</v>
      </c>
      <c r="DR28" s="2" t="n">
        <v>156.1</v>
      </c>
      <c r="DS28" s="2" t="n">
        <v>458.3</v>
      </c>
      <c r="DT28" s="2" t="n">
        <v>2926.7</v>
      </c>
      <c r="DU28" s="2" t="n">
        <v>-287.6999999999994</v>
      </c>
      <c r="DV28" s="2" t="n">
        <v>0</v>
      </c>
      <c r="GZ28" s="2" t="n">
        <v>840.9</v>
      </c>
      <c r="IN28" s="2" t="n">
        <v>129.3</v>
      </c>
      <c r="IY28" s="2" t="n">
        <v>47.67895582054874</v>
      </c>
      <c r="IZ28" s="2" t="n">
        <v>0.2789558205487452</v>
      </c>
      <c r="JB28" s="2" t="n">
        <v>10.43291078689309</v>
      </c>
      <c r="JC28" s="2" t="n">
        <v>0.03291078689308868</v>
      </c>
      <c r="JE28" s="2" t="n">
        <v>1884.4</v>
      </c>
      <c r="JF28" s="2" t="n">
        <v>0.6434939503290171</v>
      </c>
    </row>
    <row r="29">
      <c r="A29" s="1" t="n">
        <v>29921</v>
      </c>
      <c r="B29" s="2" t="n">
        <v>3074.6</v>
      </c>
      <c r="C29" s="2" t="n">
        <v>3436.1</v>
      </c>
      <c r="D29" s="2" t="n">
        <v>473.3</v>
      </c>
      <c r="E29" s="2" t="n">
        <v>3002</v>
      </c>
      <c r="F29" s="2" t="n">
        <v>16.4</v>
      </c>
      <c r="G29" s="2" t="inlineStr">
        <is>
          <t>NA</t>
        </is>
      </c>
      <c r="H29" s="2" t="inlineStr">
        <is>
          <t>NA</t>
        </is>
      </c>
      <c r="I29" s="2" t="inlineStr">
        <is>
          <t>NA</t>
        </is>
      </c>
      <c r="J29" s="2" t="inlineStr">
        <is>
          <t>NA</t>
        </is>
      </c>
      <c r="K29" s="2" t="n">
        <v>1069.6</v>
      </c>
      <c r="L29" s="2" t="n">
        <v>2023.8</v>
      </c>
      <c r="M29" s="2" t="n">
        <v>1680.2</v>
      </c>
      <c r="N29" s="2" t="n">
        <v>343.6</v>
      </c>
      <c r="O29" s="2" t="n">
        <v>157.8</v>
      </c>
      <c r="P29" s="2" t="n">
        <v>133.1</v>
      </c>
      <c r="Q29" s="2" t="n">
        <v>56.4</v>
      </c>
      <c r="R29" s="2" t="n">
        <v>76.7</v>
      </c>
      <c r="T29" s="2" t="n">
        <v>12.7</v>
      </c>
      <c r="U29" s="2" t="n">
        <v>18.1</v>
      </c>
      <c r="V29" s="2" t="n">
        <v>12.9</v>
      </c>
      <c r="W29" s="2" t="n">
        <v>5.2</v>
      </c>
      <c r="X29" s="2" t="inlineStr">
        <is>
          <t>NA</t>
        </is>
      </c>
      <c r="Y29" s="2" t="n">
        <v>10.3</v>
      </c>
      <c r="Z29" s="2" t="n">
        <v>71</v>
      </c>
      <c r="AA29" s="2" t="n">
        <v>56.3</v>
      </c>
      <c r="AB29" s="2" t="n">
        <v>14.7</v>
      </c>
      <c r="AC29" s="2" t="inlineStr">
        <is>
          <t>NA</t>
        </is>
      </c>
      <c r="AD29" s="2" t="inlineStr">
        <is>
          <t>NA</t>
        </is>
      </c>
      <c r="AG29" s="2" t="inlineStr">
        <is>
          <t>NA</t>
        </is>
      </c>
      <c r="AH29" s="2" t="inlineStr">
        <is>
          <t>NA</t>
        </is>
      </c>
      <c r="AI29" s="2" t="n">
        <v>66.5</v>
      </c>
      <c r="AL29" s="2" t="n">
        <v>65.3</v>
      </c>
      <c r="AM29" s="2" t="n">
        <v>43</v>
      </c>
      <c r="AN29" s="2" t="n">
        <v>22.3</v>
      </c>
      <c r="AO29" s="2" t="n">
        <v>2375.7</v>
      </c>
      <c r="AP29" s="2" t="n">
        <v>250.1</v>
      </c>
      <c r="AQ29" s="2" t="n">
        <v>74.90000000000001</v>
      </c>
      <c r="AR29" s="2" t="n">
        <v>29.3</v>
      </c>
      <c r="AS29" s="2" t="n">
        <v>213.1</v>
      </c>
      <c r="AT29" s="2" t="n">
        <v>64.5</v>
      </c>
      <c r="AU29" s="2" t="n">
        <v>120.3</v>
      </c>
      <c r="AV29" s="2" t="n">
        <v>67.40000000000001</v>
      </c>
      <c r="AW29" s="2" t="n">
        <v>19.3</v>
      </c>
      <c r="AX29" s="2" t="n">
        <v>3.2</v>
      </c>
      <c r="AY29" s="2" t="inlineStr">
        <is>
          <t>NA</t>
        </is>
      </c>
      <c r="AZ29" s="2" t="inlineStr">
        <is>
          <t>NA</t>
        </is>
      </c>
      <c r="BA29" s="2" t="inlineStr">
        <is>
          <t>NA</t>
        </is>
      </c>
      <c r="BB29" s="2" t="inlineStr">
        <is>
          <t>NA</t>
        </is>
      </c>
      <c r="BD29" s="2" t="n">
        <v>95.5</v>
      </c>
      <c r="BE29" s="2" t="n">
        <v>53.9</v>
      </c>
      <c r="BM29" s="2" t="n">
        <v>549.4</v>
      </c>
      <c r="BS29" s="2" t="n">
        <v>451.1</v>
      </c>
      <c r="BU29" s="2" t="n">
        <v>37</v>
      </c>
      <c r="BV29" s="2" t="inlineStr">
        <is>
          <t>NA</t>
        </is>
      </c>
      <c r="BW29" s="2" t="inlineStr">
        <is>
          <t>NA</t>
        </is>
      </c>
      <c r="BX29" s="2" t="n">
        <v>443.8</v>
      </c>
      <c r="BY29" s="2" t="inlineStr">
        <is>
          <t>NA</t>
        </is>
      </c>
      <c r="BZ29" s="2" t="inlineStr">
        <is>
          <t>NA</t>
        </is>
      </c>
      <c r="CF29" s="2" t="n">
        <v>85.59999999999999</v>
      </c>
      <c r="CG29" s="2" t="n">
        <v>145.6</v>
      </c>
      <c r="CH29" s="2" t="n">
        <v>14.6</v>
      </c>
      <c r="CN29" s="2" t="n">
        <v>47.5</v>
      </c>
      <c r="CO29" s="2" t="n">
        <v>150.9</v>
      </c>
      <c r="CP29" s="2" t="n">
        <v>132.4</v>
      </c>
      <c r="CQ29" s="2" t="n">
        <v>18.5</v>
      </c>
      <c r="CR29" s="2" t="inlineStr">
        <is>
          <t>NA</t>
        </is>
      </c>
      <c r="CS29" s="2" t="n">
        <v>56.2</v>
      </c>
      <c r="CT29" s="2" t="n">
        <v>36.9</v>
      </c>
      <c r="CU29" s="2" t="n">
        <v>19.3</v>
      </c>
      <c r="CV29" s="2" t="n">
        <v>57.8</v>
      </c>
      <c r="CW29" s="2" t="n">
        <v>57.8</v>
      </c>
      <c r="CY29" s="2" t="n">
        <v>9.199999999999999</v>
      </c>
      <c r="CZ29" s="2" t="n">
        <v>39.5</v>
      </c>
      <c r="DA29" s="2" t="n">
        <v>34.6</v>
      </c>
      <c r="DB29" s="2" t="n">
        <v>22.3</v>
      </c>
      <c r="DC29" s="2" t="n">
        <v>12.3</v>
      </c>
      <c r="DG29" s="2" t="n">
        <v>152.7</v>
      </c>
      <c r="DH29" s="2" t="n">
        <v>125</v>
      </c>
      <c r="DI29" s="2" t="n">
        <v>749.9</v>
      </c>
      <c r="DJ29" s="2" t="n">
        <v>179</v>
      </c>
      <c r="DK29" s="2" t="n">
        <v>466.8</v>
      </c>
      <c r="DL29" s="2" t="n">
        <v>131.8</v>
      </c>
      <c r="DM29" s="2" t="n">
        <v>171.4</v>
      </c>
      <c r="DO29" s="2" t="n">
        <v>170.5</v>
      </c>
      <c r="DP29" s="2" t="n">
        <v>158.7</v>
      </c>
      <c r="DQ29" s="2" t="n">
        <v>78.7</v>
      </c>
      <c r="DR29" s="2" t="n">
        <v>147.2</v>
      </c>
      <c r="DS29" s="2" t="n">
        <v>542.9</v>
      </c>
      <c r="DT29" s="2" t="n">
        <v>3074.6</v>
      </c>
      <c r="DU29" s="2" t="n">
        <v>-277.6999999999998</v>
      </c>
      <c r="DV29" s="2" t="n">
        <v>0</v>
      </c>
      <c r="GZ29" s="2" t="n">
        <v>805.2</v>
      </c>
      <c r="IN29" s="2" t="n">
        <v>144.6</v>
      </c>
      <c r="IY29" s="2" t="n">
        <v>47.82280621869511</v>
      </c>
      <c r="IZ29" s="2" t="n">
        <v>0.3228062186951135</v>
      </c>
      <c r="JB29" s="2" t="n">
        <v>10.43647954205425</v>
      </c>
      <c r="JC29" s="2" t="n">
        <v>0.0364795420542503</v>
      </c>
      <c r="JE29" s="2" t="n">
        <v>2023.8</v>
      </c>
      <c r="JF29" s="2" t="n">
        <v>0.6312382646506571</v>
      </c>
    </row>
    <row r="30">
      <c r="A30" s="1" t="n">
        <v>29952</v>
      </c>
      <c r="B30" s="2" t="n">
        <v>2847.2</v>
      </c>
      <c r="C30" s="2" t="n">
        <v>2993.3</v>
      </c>
      <c r="D30" s="2" t="n">
        <v>478.8</v>
      </c>
      <c r="E30" s="2" t="n">
        <v>2897.4</v>
      </c>
      <c r="F30" s="2" t="n">
        <v>14.3</v>
      </c>
      <c r="G30" s="2" t="n">
        <v>67.59999999999999</v>
      </c>
      <c r="H30" s="2" t="n">
        <v>18.7</v>
      </c>
      <c r="I30" s="2" t="inlineStr">
        <is>
          <t>NA</t>
        </is>
      </c>
      <c r="J30" s="2" t="inlineStr">
        <is>
          <t>NA</t>
        </is>
      </c>
      <c r="K30" s="2" t="n">
        <v>995.6</v>
      </c>
      <c r="L30" s="2" t="n">
        <v>2160</v>
      </c>
      <c r="M30" s="2" t="n">
        <v>1822.9</v>
      </c>
      <c r="N30" s="2" t="n">
        <v>337.1</v>
      </c>
      <c r="O30" s="2" t="n">
        <v>154.1</v>
      </c>
      <c r="P30" s="2" t="n">
        <v>165.7</v>
      </c>
      <c r="Q30" s="2" t="n">
        <v>63.7</v>
      </c>
      <c r="R30" s="2" t="n">
        <v>102</v>
      </c>
      <c r="T30" s="2" t="n">
        <v>11.3</v>
      </c>
      <c r="U30" s="2" t="n">
        <v>12.2</v>
      </c>
      <c r="V30" s="2" t="n">
        <v>7.5</v>
      </c>
      <c r="W30" s="2" t="n">
        <v>4.7</v>
      </c>
      <c r="X30" s="2" t="n">
        <v>51.5</v>
      </c>
      <c r="Y30" s="2" t="n">
        <v>9.800000000000001</v>
      </c>
      <c r="Z30" s="2" t="n">
        <v>45.09999999999999</v>
      </c>
      <c r="AA30" s="2" t="n">
        <v>32.4</v>
      </c>
      <c r="AB30" s="2" t="n">
        <v>12.7</v>
      </c>
      <c r="AC30" s="2" t="inlineStr">
        <is>
          <t>NA</t>
        </is>
      </c>
      <c r="AD30" s="2" t="inlineStr">
        <is>
          <t>NA</t>
        </is>
      </c>
      <c r="AG30" s="2" t="inlineStr">
        <is>
          <t>NA</t>
        </is>
      </c>
      <c r="AH30" s="2" t="inlineStr">
        <is>
          <t>NA</t>
        </is>
      </c>
      <c r="AI30" s="2" t="n">
        <v>56.7</v>
      </c>
      <c r="AL30" s="2" t="n">
        <v>54.5</v>
      </c>
      <c r="AM30" s="2" t="n">
        <v>33.4</v>
      </c>
      <c r="AN30" s="2" t="n">
        <v>21.1</v>
      </c>
      <c r="AO30" s="2" t="n">
        <v>2196.5</v>
      </c>
      <c r="AP30" s="2" t="n">
        <v>286.1</v>
      </c>
      <c r="AQ30" s="2" t="n">
        <v>69</v>
      </c>
      <c r="AR30" s="2" t="n">
        <v>29.6</v>
      </c>
      <c r="AS30" s="2" t="n">
        <v>226.9</v>
      </c>
      <c r="AT30" s="2" t="n">
        <v>53.1</v>
      </c>
      <c r="AU30" s="2" t="n">
        <v>122.8</v>
      </c>
      <c r="AV30" s="2" t="n">
        <v>71</v>
      </c>
      <c r="AW30" s="2" t="n">
        <v>8.1</v>
      </c>
      <c r="AX30" s="2" t="n">
        <v>1.1</v>
      </c>
      <c r="AY30" s="2" t="n">
        <v>37.5</v>
      </c>
      <c r="AZ30" s="2" t="inlineStr">
        <is>
          <t>NA</t>
        </is>
      </c>
      <c r="BA30" s="2" t="inlineStr">
        <is>
          <t>NA</t>
        </is>
      </c>
      <c r="BB30" s="2" t="inlineStr">
        <is>
          <t>NA</t>
        </is>
      </c>
      <c r="BD30" s="2" t="n">
        <v>95.2</v>
      </c>
      <c r="BE30" s="2" t="n">
        <v>60.4</v>
      </c>
      <c r="BM30" s="2" t="n">
        <v>506.6</v>
      </c>
      <c r="BS30" s="2" t="n">
        <v>436.6</v>
      </c>
      <c r="BU30" s="2" t="n">
        <v>35.3</v>
      </c>
      <c r="BV30" s="2" t="inlineStr">
        <is>
          <t>NA</t>
        </is>
      </c>
      <c r="BW30" s="2" t="inlineStr">
        <is>
          <t>NA</t>
        </is>
      </c>
      <c r="BX30" s="2" t="n">
        <v>411.2</v>
      </c>
      <c r="BY30" s="2" t="inlineStr">
        <is>
          <t>NA</t>
        </is>
      </c>
      <c r="BZ30" s="2" t="inlineStr">
        <is>
          <t>NA</t>
        </is>
      </c>
      <c r="CF30" s="2" t="n">
        <v>91.09999999999999</v>
      </c>
      <c r="CG30" s="2" t="n">
        <v>141</v>
      </c>
      <c r="CH30" s="2" t="n">
        <v>16.4</v>
      </c>
      <c r="CN30" s="2" t="n">
        <v>56.7</v>
      </c>
      <c r="CO30" s="2" t="n">
        <v>127</v>
      </c>
      <c r="CP30" s="2" t="n">
        <v>108.7</v>
      </c>
      <c r="CQ30" s="2" t="n">
        <v>18.3</v>
      </c>
      <c r="CR30" s="2" t="inlineStr">
        <is>
          <t>NA</t>
        </is>
      </c>
      <c r="CS30" s="2" t="n">
        <v>62.7</v>
      </c>
      <c r="CT30" s="2" t="n">
        <v>41</v>
      </c>
      <c r="CU30" s="2" t="n">
        <v>21.7</v>
      </c>
      <c r="CV30" s="2" t="n">
        <v>59.7</v>
      </c>
      <c r="CW30" s="2" t="n">
        <v>59.7</v>
      </c>
      <c r="CY30" s="2" t="n">
        <v>10.9</v>
      </c>
      <c r="CZ30" s="2" t="n">
        <v>28.5</v>
      </c>
      <c r="DA30" s="2" t="n">
        <v>37.9</v>
      </c>
      <c r="DB30" s="2" t="n">
        <v>25.3</v>
      </c>
      <c r="DC30" s="2" t="n">
        <v>12.6</v>
      </c>
      <c r="DG30" s="2" t="n">
        <v>163.6</v>
      </c>
      <c r="DI30" s="2" t="n">
        <v>654.9</v>
      </c>
      <c r="DJ30" s="2" t="n">
        <v>175.2</v>
      </c>
      <c r="DK30" s="2" t="n">
        <v>420</v>
      </c>
      <c r="DL30" s="2" t="n">
        <v>117.4</v>
      </c>
      <c r="DM30" s="2" t="n">
        <v>165.1</v>
      </c>
      <c r="DO30" s="2" t="n">
        <v>164.3</v>
      </c>
      <c r="DP30" s="2" t="n">
        <v>159.9</v>
      </c>
      <c r="DQ30" s="2" t="n">
        <v>77.2</v>
      </c>
      <c r="DR30" s="2" t="n">
        <v>142.8</v>
      </c>
      <c r="DS30" s="2" t="n">
        <v>606.8</v>
      </c>
      <c r="DT30" s="2" t="n">
        <v>2847.2</v>
      </c>
      <c r="DU30" s="2" t="n">
        <v>-163.5999999999995</v>
      </c>
      <c r="DV30" s="2" t="n">
        <v>0</v>
      </c>
      <c r="GZ30" s="2" t="n">
        <v>768.7</v>
      </c>
      <c r="IN30" s="2" t="n">
        <v>110.2</v>
      </c>
      <c r="IY30" s="2" t="n">
        <v>47.74164091036808</v>
      </c>
      <c r="IZ30" s="2" t="n">
        <v>0.2416409103680834</v>
      </c>
      <c r="JB30" s="2" t="n">
        <v>10.490306265805</v>
      </c>
      <c r="JC30" s="2" t="n">
        <v>-0.1096937341949982</v>
      </c>
      <c r="JE30" s="2" t="n">
        <v>2160</v>
      </c>
      <c r="JF30" s="2" t="n">
        <v>0.6514351851851852</v>
      </c>
    </row>
    <row r="31">
      <c r="A31" s="1" t="n">
        <v>29983</v>
      </c>
      <c r="B31" s="2" t="n">
        <v>2601.7</v>
      </c>
      <c r="C31" s="2" t="n">
        <v>2538.5</v>
      </c>
      <c r="D31" s="2" t="n">
        <v>446.7</v>
      </c>
      <c r="E31" s="2" t="n">
        <v>2569.1</v>
      </c>
      <c r="F31" s="2" t="n">
        <v>14.7</v>
      </c>
      <c r="G31" s="2" t="inlineStr">
        <is>
          <t>NA</t>
        </is>
      </c>
      <c r="H31" s="2" t="inlineStr">
        <is>
          <t>NA</t>
        </is>
      </c>
      <c r="I31" s="2" t="inlineStr">
        <is>
          <t>NA</t>
        </is>
      </c>
      <c r="J31" s="2" t="inlineStr">
        <is>
          <t>NA</t>
        </is>
      </c>
      <c r="K31" s="2" t="n">
        <v>917.7</v>
      </c>
      <c r="L31" s="2" t="n">
        <v>2140.6</v>
      </c>
      <c r="M31" s="2" t="n">
        <v>1792.5</v>
      </c>
      <c r="N31" s="2" t="n">
        <v>348.1</v>
      </c>
      <c r="O31" s="2" t="n">
        <v>145.6</v>
      </c>
      <c r="P31" s="2" t="n">
        <v>148.3</v>
      </c>
      <c r="Q31" s="2" t="n">
        <v>69</v>
      </c>
      <c r="R31" s="2" t="n">
        <v>79.3</v>
      </c>
      <c r="T31" s="2" t="n">
        <v>11.1</v>
      </c>
      <c r="U31" s="2" t="n">
        <v>12.8</v>
      </c>
      <c r="V31" s="2" t="n">
        <v>8.6</v>
      </c>
      <c r="W31" s="2" t="n">
        <v>4.2</v>
      </c>
      <c r="X31" s="2" t="inlineStr">
        <is>
          <t>NA</t>
        </is>
      </c>
      <c r="Y31" s="2" t="n">
        <v>8.800000000000001</v>
      </c>
      <c r="Z31" s="2" t="n">
        <v>44.8</v>
      </c>
      <c r="AA31" s="2" t="n">
        <v>32</v>
      </c>
      <c r="AB31" s="2" t="n">
        <v>12.8</v>
      </c>
      <c r="AC31" s="2" t="inlineStr">
        <is>
          <t>NA</t>
        </is>
      </c>
      <c r="AD31" s="2" t="inlineStr">
        <is>
          <t>NA</t>
        </is>
      </c>
      <c r="AG31" s="2" t="inlineStr">
        <is>
          <t>NA</t>
        </is>
      </c>
      <c r="AH31" s="2" t="inlineStr">
        <is>
          <t>NA</t>
        </is>
      </c>
      <c r="AI31" s="2" t="n">
        <v>64.90000000000001</v>
      </c>
      <c r="AL31" s="2" t="n">
        <v>50</v>
      </c>
      <c r="AM31" s="2" t="n">
        <v>29.5</v>
      </c>
      <c r="AN31" s="2" t="n">
        <v>20.5</v>
      </c>
      <c r="AO31" s="2" t="n">
        <v>2013</v>
      </c>
      <c r="AP31" s="2" t="n">
        <v>297.2</v>
      </c>
      <c r="AQ31" s="2" t="n">
        <v>64.40000000000001</v>
      </c>
      <c r="AR31" s="2" t="n">
        <v>27.7</v>
      </c>
      <c r="AS31" s="2" t="n">
        <v>206.5</v>
      </c>
      <c r="AT31" s="2" t="n">
        <v>81.3</v>
      </c>
      <c r="AU31" s="2" t="n">
        <v>114.1</v>
      </c>
      <c r="AV31" s="2" t="n">
        <v>82.5</v>
      </c>
      <c r="AW31" s="2" t="n">
        <v>8.9</v>
      </c>
      <c r="AX31" s="2" t="n">
        <v>2.3</v>
      </c>
      <c r="AY31" s="2" t="inlineStr">
        <is>
          <t>NA</t>
        </is>
      </c>
      <c r="AZ31" s="2" t="inlineStr">
        <is>
          <t>NA</t>
        </is>
      </c>
      <c r="BA31" s="2" t="inlineStr">
        <is>
          <t>NA</t>
        </is>
      </c>
      <c r="BB31" s="2" t="inlineStr">
        <is>
          <t>NA</t>
        </is>
      </c>
      <c r="BD31" s="2" t="n">
        <v>94.09999999999999</v>
      </c>
      <c r="BE31" s="2" t="n">
        <v>50.7</v>
      </c>
      <c r="BM31" s="2" t="n">
        <v>478.2</v>
      </c>
      <c r="BS31" s="2" t="n">
        <v>391</v>
      </c>
      <c r="BU31" s="2" t="n">
        <v>32.5</v>
      </c>
      <c r="BV31" s="2" t="inlineStr">
        <is>
          <t>NA</t>
        </is>
      </c>
      <c r="BW31" s="2" t="inlineStr">
        <is>
          <t>NA</t>
        </is>
      </c>
      <c r="BX31" s="2" t="n">
        <v>399.1</v>
      </c>
      <c r="BY31" s="2" t="inlineStr">
        <is>
          <t>NA</t>
        </is>
      </c>
      <c r="BZ31" s="2" t="inlineStr">
        <is>
          <t>NA</t>
        </is>
      </c>
      <c r="CF31" s="2" t="n">
        <v>106.1</v>
      </c>
      <c r="CG31" s="2" t="n">
        <v>141</v>
      </c>
      <c r="CH31" s="2" t="n">
        <v>17.1</v>
      </c>
      <c r="CN31" s="2" t="n">
        <v>48.9</v>
      </c>
      <c r="CO31" s="2" t="n">
        <v>140.1</v>
      </c>
      <c r="CP31" s="2" t="inlineStr">
        <is>
          <t>NA</t>
        </is>
      </c>
      <c r="CQ31" s="2" t="inlineStr">
        <is>
          <t>NA</t>
        </is>
      </c>
      <c r="CR31" s="2" t="inlineStr">
        <is>
          <t>NA</t>
        </is>
      </c>
      <c r="CS31" s="2" t="n">
        <v>57</v>
      </c>
      <c r="CT31" s="2" t="n">
        <v>35.9</v>
      </c>
      <c r="CU31" s="2" t="n">
        <v>21.1</v>
      </c>
      <c r="CV31" s="2" t="n">
        <v>62.6</v>
      </c>
      <c r="CW31" s="2" t="n">
        <v>62.6</v>
      </c>
      <c r="CY31" s="2" t="inlineStr">
        <is>
          <t>NA</t>
        </is>
      </c>
      <c r="CZ31" s="2" t="n">
        <v>24.1</v>
      </c>
      <c r="DA31" s="2" t="n">
        <v>25.8</v>
      </c>
      <c r="DB31" s="2" t="n">
        <v>14.9</v>
      </c>
      <c r="DC31" s="2" t="n">
        <v>10.9</v>
      </c>
      <c r="DG31" s="2" t="n">
        <v>141.6</v>
      </c>
      <c r="DH31" s="2" t="n">
        <v>114.5</v>
      </c>
      <c r="DI31" s="2" t="n">
        <v>577.7</v>
      </c>
      <c r="DJ31" s="2" t="n">
        <v>120.5</v>
      </c>
      <c r="DK31" s="2" t="n">
        <v>434.5</v>
      </c>
      <c r="DL31" s="2" t="n">
        <v>111.9</v>
      </c>
      <c r="DM31" s="2" t="n">
        <v>153.6</v>
      </c>
      <c r="DO31" s="2" t="n">
        <v>130.3</v>
      </c>
      <c r="DP31" s="2" t="n">
        <v>145.3</v>
      </c>
      <c r="DQ31" s="2" t="n">
        <v>67</v>
      </c>
      <c r="DR31" s="2" t="n">
        <v>148.3</v>
      </c>
      <c r="DS31" s="2" t="n">
        <v>456.5</v>
      </c>
      <c r="DT31" s="2" t="n">
        <v>2601.7</v>
      </c>
      <c r="DU31" s="2" t="n">
        <v>-256.0999999999999</v>
      </c>
      <c r="DV31" s="2" t="n">
        <v>0</v>
      </c>
      <c r="GZ31" s="2" t="n">
        <v>767.6</v>
      </c>
      <c r="IN31" s="2" t="n">
        <v>121.2</v>
      </c>
      <c r="IY31" s="2" t="n">
        <v>47.90867509705193</v>
      </c>
      <c r="IZ31" s="2" t="n">
        <v>0.6086750970519361</v>
      </c>
      <c r="JB31" s="2" t="n">
        <v>10.58192720144521</v>
      </c>
      <c r="JC31" s="2" t="n">
        <v>0.08192720144520926</v>
      </c>
      <c r="JE31" s="2" t="n">
        <v>2140.6</v>
      </c>
      <c r="JF31" s="2" t="n">
        <v>0.6285620853966178</v>
      </c>
    </row>
    <row r="32">
      <c r="A32" s="1" t="n">
        <v>30011</v>
      </c>
      <c r="B32" s="2" t="n">
        <v>2553.5</v>
      </c>
      <c r="C32" s="2" t="n">
        <v>2376.4</v>
      </c>
      <c r="D32" s="2" t="n">
        <v>482.3</v>
      </c>
      <c r="E32" s="2" t="n">
        <v>2165</v>
      </c>
      <c r="F32" s="2" t="n">
        <v>21.5</v>
      </c>
      <c r="G32" s="2" t="inlineStr">
        <is>
          <t>NA</t>
        </is>
      </c>
      <c r="H32" s="2" t="inlineStr">
        <is>
          <t>NA</t>
        </is>
      </c>
      <c r="I32" s="2" t="inlineStr">
        <is>
          <t>NA</t>
        </is>
      </c>
      <c r="J32" s="2" t="inlineStr">
        <is>
          <t>NA</t>
        </is>
      </c>
      <c r="K32" s="2" t="n">
        <v>912.1</v>
      </c>
      <c r="L32" s="2" t="n">
        <v>2141.4</v>
      </c>
      <c r="M32" s="2" t="n">
        <v>1779.5</v>
      </c>
      <c r="N32" s="2" t="n">
        <v>361.9</v>
      </c>
      <c r="O32" s="2" t="n">
        <v>155.9</v>
      </c>
      <c r="P32" s="2" t="n">
        <v>152</v>
      </c>
      <c r="Q32" s="2" t="n">
        <v>69.5</v>
      </c>
      <c r="R32" s="2" t="n">
        <v>82.5</v>
      </c>
      <c r="T32" s="2" t="n">
        <v>19.4</v>
      </c>
      <c r="U32" s="2" t="n">
        <v>16.6</v>
      </c>
      <c r="V32" s="2" t="n">
        <v>11.1</v>
      </c>
      <c r="W32" s="2" t="n">
        <v>5.5</v>
      </c>
      <c r="X32" s="2" t="inlineStr">
        <is>
          <t>NA</t>
        </is>
      </c>
      <c r="Y32" s="2" t="n">
        <v>5.6</v>
      </c>
      <c r="Z32" s="2" t="n">
        <v>30.9</v>
      </c>
      <c r="AA32" s="2" t="n">
        <v>20.9</v>
      </c>
      <c r="AB32" s="2" t="n">
        <v>10</v>
      </c>
      <c r="AC32" s="2" t="inlineStr">
        <is>
          <t>NA</t>
        </is>
      </c>
      <c r="AD32" s="2" t="inlineStr">
        <is>
          <t>NA</t>
        </is>
      </c>
      <c r="AG32" s="2" t="inlineStr">
        <is>
          <t>NA</t>
        </is>
      </c>
      <c r="AH32" s="2" t="inlineStr">
        <is>
          <t>NA</t>
        </is>
      </c>
      <c r="AI32" s="2" t="n">
        <v>76.40000000000001</v>
      </c>
      <c r="AL32" s="2" t="n">
        <v>55.3</v>
      </c>
      <c r="AM32" s="2" t="n">
        <v>33.5</v>
      </c>
      <c r="AN32" s="2" t="n">
        <v>21.8</v>
      </c>
      <c r="AO32" s="2" t="n">
        <v>1986.1</v>
      </c>
      <c r="AP32" s="2" t="n">
        <v>163.7</v>
      </c>
      <c r="AQ32" s="2" t="n">
        <v>63.8</v>
      </c>
      <c r="AR32" s="2" t="n">
        <v>26.6</v>
      </c>
      <c r="AS32" s="2" t="n">
        <v>220.3</v>
      </c>
      <c r="AT32" s="2" t="n">
        <v>111.9</v>
      </c>
      <c r="AU32" s="2" t="n">
        <v>124.4</v>
      </c>
      <c r="AV32" s="2" t="n">
        <v>97.09999999999999</v>
      </c>
      <c r="AW32" s="2" t="n">
        <v>11.6</v>
      </c>
      <c r="AX32" s="2" t="n">
        <v>2.6</v>
      </c>
      <c r="AY32" s="2" t="inlineStr">
        <is>
          <t>NA</t>
        </is>
      </c>
      <c r="AZ32" s="2" t="inlineStr">
        <is>
          <t>NA</t>
        </is>
      </c>
      <c r="BA32" s="2" t="inlineStr">
        <is>
          <t>NA</t>
        </is>
      </c>
      <c r="BB32" s="2" t="inlineStr">
        <is>
          <t>NA</t>
        </is>
      </c>
      <c r="BD32" s="2" t="n">
        <v>99.2</v>
      </c>
      <c r="BE32" s="2" t="n">
        <v>50.6</v>
      </c>
      <c r="BM32" s="2" t="n">
        <v>510.1</v>
      </c>
      <c r="BS32" s="2" t="n">
        <v>371.9</v>
      </c>
      <c r="BU32" s="2" t="n">
        <v>34</v>
      </c>
      <c r="BV32" s="2" t="inlineStr">
        <is>
          <t>NA</t>
        </is>
      </c>
      <c r="BW32" s="2" t="inlineStr">
        <is>
          <t>NA</t>
        </is>
      </c>
      <c r="BX32" s="2" t="n">
        <v>440.8</v>
      </c>
      <c r="BY32" s="2" t="inlineStr">
        <is>
          <t>NA</t>
        </is>
      </c>
      <c r="BZ32" s="2" t="inlineStr">
        <is>
          <t>NA</t>
        </is>
      </c>
      <c r="CF32" s="2" t="n">
        <v>122.2</v>
      </c>
      <c r="CG32" s="2" t="n">
        <v>154.8</v>
      </c>
      <c r="CH32" s="2" t="n">
        <v>18</v>
      </c>
      <c r="CN32" s="2" t="n">
        <v>56.5</v>
      </c>
      <c r="CO32" s="2" t="n">
        <v>116.8</v>
      </c>
      <c r="CP32" s="2" t="inlineStr">
        <is>
          <t>NA</t>
        </is>
      </c>
      <c r="CQ32" s="2" t="inlineStr">
        <is>
          <t>NA</t>
        </is>
      </c>
      <c r="CR32" s="2" t="inlineStr">
        <is>
          <t>NA</t>
        </is>
      </c>
      <c r="CS32" s="2" t="n">
        <v>64.59999999999999</v>
      </c>
      <c r="CT32" s="2" t="n">
        <v>41.6</v>
      </c>
      <c r="CU32" s="2" t="n">
        <v>23</v>
      </c>
      <c r="CV32" s="2" t="n">
        <v>64.09999999999999</v>
      </c>
      <c r="CW32" s="2" t="n">
        <v>64.09999999999999</v>
      </c>
      <c r="CY32" s="2" t="n">
        <v>14.6</v>
      </c>
      <c r="CZ32" s="2" t="n">
        <v>28.6</v>
      </c>
      <c r="DA32" s="2" t="n">
        <v>18.5</v>
      </c>
      <c r="DB32" s="2" t="n">
        <v>11.2</v>
      </c>
      <c r="DC32" s="2" t="n">
        <v>7.3</v>
      </c>
      <c r="DG32" s="2" t="n">
        <v>124.6</v>
      </c>
      <c r="DH32" s="2" t="n">
        <v>122.6</v>
      </c>
      <c r="DI32" s="2" t="n">
        <v>579.5</v>
      </c>
      <c r="DJ32" s="2" t="n">
        <v>123.5</v>
      </c>
      <c r="DK32" s="2" t="n">
        <v>406.1</v>
      </c>
      <c r="DL32" s="2" t="n">
        <v>121.9</v>
      </c>
      <c r="DM32" s="2" t="n">
        <v>167.6</v>
      </c>
      <c r="DO32" s="2" t="n">
        <v>122.5</v>
      </c>
      <c r="DP32" s="2" t="n">
        <v>151.7</v>
      </c>
      <c r="DQ32" s="2" t="n">
        <v>54.1</v>
      </c>
      <c r="DR32" s="2" t="n">
        <v>101.3</v>
      </c>
      <c r="DS32" s="2" t="n">
        <v>478.1</v>
      </c>
      <c r="DT32" s="2" t="n">
        <v>2553.5</v>
      </c>
      <c r="DU32" s="2" t="n">
        <v>-247.2000000000003</v>
      </c>
      <c r="DV32" s="2" t="n">
        <v>0</v>
      </c>
      <c r="GZ32" s="2" t="n">
        <v>866.4</v>
      </c>
      <c r="IN32" s="2" t="n">
        <v>135.7</v>
      </c>
      <c r="IY32" s="2" t="n">
        <v>48.16682984139417</v>
      </c>
      <c r="IZ32" s="2" t="n">
        <v>0.4668298413941656</v>
      </c>
      <c r="JB32" s="2" t="n">
        <v>10.71588016448013</v>
      </c>
      <c r="JC32" s="2" t="n">
        <v>0.01588016448012652</v>
      </c>
      <c r="JE32" s="2" t="n">
        <v>2141.4</v>
      </c>
      <c r="JF32" s="2" t="n">
        <v>0.6132436723638741</v>
      </c>
    </row>
    <row r="33">
      <c r="A33" s="1" t="n">
        <v>30042</v>
      </c>
      <c r="B33" s="2" t="n">
        <v>2429.1</v>
      </c>
      <c r="C33" s="2" t="n">
        <v>2167.1</v>
      </c>
      <c r="D33" s="2" t="n">
        <v>424.1</v>
      </c>
      <c r="E33" s="2" t="n">
        <v>1779.2</v>
      </c>
      <c r="F33" s="2" t="n">
        <v>31.1</v>
      </c>
      <c r="G33" s="2" t="n">
        <v>37</v>
      </c>
      <c r="H33" s="2" t="inlineStr">
        <is>
          <t>NA</t>
        </is>
      </c>
      <c r="I33" s="2" t="inlineStr">
        <is>
          <t>NA</t>
        </is>
      </c>
      <c r="J33" s="2" t="inlineStr">
        <is>
          <t>NA</t>
        </is>
      </c>
      <c r="K33" s="2" t="n">
        <v>866.8</v>
      </c>
      <c r="L33" s="2" t="n">
        <v>2111.6</v>
      </c>
      <c r="M33" s="2" t="n">
        <v>1727.4</v>
      </c>
      <c r="N33" s="2" t="n">
        <v>384.2</v>
      </c>
      <c r="O33" s="2" t="n">
        <v>138.4</v>
      </c>
      <c r="P33" s="2" t="n">
        <v>160.1</v>
      </c>
      <c r="Q33" s="2" t="n">
        <v>66.2</v>
      </c>
      <c r="R33" s="2" t="n">
        <v>93.90000000000001</v>
      </c>
      <c r="T33" s="2" t="n">
        <v>26.3</v>
      </c>
      <c r="U33" s="2" t="n">
        <v>34.7</v>
      </c>
      <c r="V33" s="2" t="n">
        <v>28.9</v>
      </c>
      <c r="W33" s="2" t="n">
        <v>5.8</v>
      </c>
      <c r="X33" s="2" t="n">
        <v>28.5</v>
      </c>
      <c r="Y33" s="2" t="n">
        <v>13.2</v>
      </c>
      <c r="Z33" s="2" t="n">
        <v>41.2</v>
      </c>
      <c r="AA33" s="2" t="n">
        <v>27.2</v>
      </c>
      <c r="AB33" s="2" t="n">
        <v>14</v>
      </c>
      <c r="AC33" s="2" t="inlineStr">
        <is>
          <t>NA</t>
        </is>
      </c>
      <c r="AD33" s="2" t="inlineStr">
        <is>
          <t>NA</t>
        </is>
      </c>
      <c r="AG33" s="2" t="inlineStr">
        <is>
          <t>NA</t>
        </is>
      </c>
      <c r="AH33" s="2" t="inlineStr">
        <is>
          <t>NA</t>
        </is>
      </c>
      <c r="AI33" s="2" t="n">
        <v>71.59999999999999</v>
      </c>
      <c r="AL33" s="2" t="n">
        <v>64.3</v>
      </c>
      <c r="AM33" s="2" t="n">
        <v>40.9</v>
      </c>
      <c r="AN33" s="2" t="n">
        <v>23.4</v>
      </c>
      <c r="AO33" s="2" t="n">
        <v>1863.5</v>
      </c>
      <c r="AP33" s="2" t="n">
        <v>144.3</v>
      </c>
      <c r="AQ33" s="2" t="n">
        <v>67</v>
      </c>
      <c r="AR33" s="2" t="n">
        <v>27.9</v>
      </c>
      <c r="AS33" s="2" t="n">
        <v>195.3</v>
      </c>
      <c r="AT33" s="2" t="n">
        <v>151.4</v>
      </c>
      <c r="AU33" s="2" t="n">
        <v>110.4</v>
      </c>
      <c r="AV33" s="2" t="n">
        <v>99.8</v>
      </c>
      <c r="AW33" s="2" t="n">
        <v>17</v>
      </c>
      <c r="AX33" s="2" t="n">
        <v>6</v>
      </c>
      <c r="AY33" s="2" t="n">
        <v>21.9</v>
      </c>
      <c r="AZ33" s="2" t="n">
        <v>4.1</v>
      </c>
      <c r="BA33" s="2" t="inlineStr">
        <is>
          <t>NA</t>
        </is>
      </c>
      <c r="BB33" s="2" t="inlineStr">
        <is>
          <t>NA</t>
        </is>
      </c>
      <c r="BD33" s="2" t="n">
        <v>85.7</v>
      </c>
      <c r="BE33" s="2" t="n">
        <v>38.8</v>
      </c>
      <c r="BM33" s="2" t="n">
        <v>498.7</v>
      </c>
      <c r="BS33" s="2" t="n">
        <v>345.4</v>
      </c>
      <c r="BU33" s="2" t="n">
        <v>32.7</v>
      </c>
      <c r="BV33" s="2" t="inlineStr">
        <is>
          <t>NA</t>
        </is>
      </c>
      <c r="BW33" s="2" t="inlineStr">
        <is>
          <t>NA</t>
        </is>
      </c>
      <c r="BX33" s="2" t="n">
        <v>425.7</v>
      </c>
      <c r="BY33" s="2" t="inlineStr">
        <is>
          <t>NA</t>
        </is>
      </c>
      <c r="BZ33" s="2" t="inlineStr">
        <is>
          <t>NA</t>
        </is>
      </c>
      <c r="CF33" s="2" t="n">
        <v>104.5</v>
      </c>
      <c r="CG33" s="2" t="n">
        <v>174.6</v>
      </c>
      <c r="CH33" s="2" t="n">
        <v>18.1</v>
      </c>
      <c r="CN33" s="2" t="n">
        <v>56.7</v>
      </c>
      <c r="CO33" s="2" t="n">
        <v>108.9</v>
      </c>
      <c r="CP33" s="2" t="inlineStr">
        <is>
          <t>NA</t>
        </is>
      </c>
      <c r="CQ33" s="2" t="inlineStr">
        <is>
          <t>NA</t>
        </is>
      </c>
      <c r="CR33" s="2" t="inlineStr">
        <is>
          <t>NA</t>
        </is>
      </c>
      <c r="CS33" s="2" t="n">
        <v>66.7</v>
      </c>
      <c r="CT33" s="2" t="n">
        <v>46</v>
      </c>
      <c r="CU33" s="2" t="n">
        <v>20.7</v>
      </c>
      <c r="CV33" s="2" t="n">
        <v>53.4</v>
      </c>
      <c r="CW33" s="2" t="n">
        <v>53.4</v>
      </c>
      <c r="CY33" s="2" t="n">
        <v>13.3</v>
      </c>
      <c r="CZ33" s="2" t="n">
        <v>27.7</v>
      </c>
      <c r="DA33" s="2" t="n">
        <v>15.4</v>
      </c>
      <c r="DB33" s="2" t="n">
        <v>9.699999999999999</v>
      </c>
      <c r="DC33" s="2" t="n">
        <v>5.7</v>
      </c>
      <c r="DG33" s="2" t="n">
        <v>111.9</v>
      </c>
      <c r="DH33" s="2" t="n">
        <v>123.1</v>
      </c>
      <c r="DI33" s="2" t="n">
        <v>553.1</v>
      </c>
      <c r="DJ33" s="2" t="n">
        <v>129.1</v>
      </c>
      <c r="DK33" s="2" t="n">
        <v>374</v>
      </c>
      <c r="DL33" s="2" t="n">
        <v>101.6</v>
      </c>
      <c r="DM33" s="2" t="n">
        <v>174</v>
      </c>
      <c r="DO33" s="2" t="n">
        <v>115.5</v>
      </c>
      <c r="DP33" s="2" t="n">
        <v>149.8</v>
      </c>
      <c r="DQ33" s="2" t="n">
        <v>49.2</v>
      </c>
      <c r="DR33" s="2" t="n">
        <v>102.3</v>
      </c>
      <c r="DS33" s="2" t="n">
        <v>445.5</v>
      </c>
      <c r="DT33" s="2" t="n">
        <v>2429.1</v>
      </c>
      <c r="DU33" s="2" t="n">
        <v>-235</v>
      </c>
      <c r="DV33" s="2" t="n">
        <v>0</v>
      </c>
      <c r="GZ33" s="2" t="n">
        <v>754.5</v>
      </c>
      <c r="IN33" s="2" t="n">
        <v>124.9</v>
      </c>
      <c r="IY33" s="2" t="n">
        <v>47.68432752871434</v>
      </c>
      <c r="IZ33" s="2" t="n">
        <v>0.2843275287143427</v>
      </c>
      <c r="JB33" s="2" t="n">
        <v>10.70519945658886</v>
      </c>
      <c r="JC33" s="2" t="n">
        <v>0.1051994565888599</v>
      </c>
      <c r="JE33" s="2" t="n">
        <v>2111.6</v>
      </c>
      <c r="JF33" s="2" t="n">
        <v>0.5995453684409926</v>
      </c>
    </row>
    <row r="34">
      <c r="A34" s="1" t="n">
        <v>30072</v>
      </c>
      <c r="B34" s="2" t="n">
        <v>2597.3</v>
      </c>
      <c r="C34" s="2" t="n">
        <v>1823.8</v>
      </c>
      <c r="D34" s="2" t="n">
        <v>426.7</v>
      </c>
      <c r="E34" s="2" t="n">
        <v>1449.8</v>
      </c>
      <c r="F34" s="2" t="n">
        <v>27.7</v>
      </c>
      <c r="G34" s="2" t="inlineStr">
        <is>
          <t>NA</t>
        </is>
      </c>
      <c r="H34" s="2" t="n">
        <v>8</v>
      </c>
      <c r="I34" s="2" t="inlineStr">
        <is>
          <t>NA</t>
        </is>
      </c>
      <c r="J34" s="2" t="inlineStr">
        <is>
          <t>NA</t>
        </is>
      </c>
      <c r="K34" s="2" t="n">
        <v>930.2</v>
      </c>
      <c r="L34" s="2" t="n">
        <v>2017.7</v>
      </c>
      <c r="M34" s="2" t="n">
        <v>1647.1</v>
      </c>
      <c r="N34" s="2" t="n">
        <v>370.6</v>
      </c>
      <c r="O34" s="2" t="n">
        <v>140.1</v>
      </c>
      <c r="P34" s="2" t="n">
        <v>147.8</v>
      </c>
      <c r="Q34" s="2" t="n">
        <v>58.9</v>
      </c>
      <c r="R34" s="2" t="n">
        <v>88.90000000000001</v>
      </c>
      <c r="T34" s="2" t="n">
        <v>22.3</v>
      </c>
      <c r="U34" s="2" t="n">
        <v>46.4</v>
      </c>
      <c r="V34" s="2" t="n">
        <v>39.5</v>
      </c>
      <c r="W34" s="2" t="n">
        <v>6.9</v>
      </c>
      <c r="X34" s="2" t="inlineStr">
        <is>
          <t>NA</t>
        </is>
      </c>
      <c r="Y34" s="2" t="n">
        <v>10.8</v>
      </c>
      <c r="Z34" s="2" t="n">
        <v>29.4</v>
      </c>
      <c r="AA34" s="2" t="n">
        <v>14.4</v>
      </c>
      <c r="AB34" s="2" t="n">
        <v>15</v>
      </c>
      <c r="AC34" s="2" t="inlineStr">
        <is>
          <t>NA</t>
        </is>
      </c>
      <c r="AD34" s="2" t="inlineStr">
        <is>
          <t>NA</t>
        </is>
      </c>
      <c r="AG34" s="2" t="inlineStr">
        <is>
          <t>NA</t>
        </is>
      </c>
      <c r="AH34" s="2" t="inlineStr">
        <is>
          <t>NA</t>
        </is>
      </c>
      <c r="AI34" s="2" t="n">
        <v>77.09999999999999</v>
      </c>
      <c r="AL34" s="2" t="n">
        <v>70.90000000000001</v>
      </c>
      <c r="AM34" s="2" t="n">
        <v>45.2</v>
      </c>
      <c r="AN34" s="2" t="n">
        <v>25.7</v>
      </c>
      <c r="AO34" s="2" t="n">
        <v>1990.5</v>
      </c>
      <c r="AP34" s="2" t="n">
        <v>273.2</v>
      </c>
      <c r="AQ34" s="2" t="n">
        <v>75.59999999999999</v>
      </c>
      <c r="AR34" s="2" t="n">
        <v>36.1</v>
      </c>
      <c r="AS34" s="2" t="n">
        <v>195.9</v>
      </c>
      <c r="AT34" s="2" t="n">
        <v>189.2</v>
      </c>
      <c r="AU34" s="2" t="n">
        <v>110.6</v>
      </c>
      <c r="AV34" s="2" t="n">
        <v>115.5</v>
      </c>
      <c r="AW34" s="2" t="n">
        <v>15.5</v>
      </c>
      <c r="AX34" s="2" t="n">
        <v>5.5</v>
      </c>
      <c r="AY34" s="2" t="inlineStr">
        <is>
          <t>NA</t>
        </is>
      </c>
      <c r="AZ34" s="2" t="inlineStr">
        <is>
          <t>NA</t>
        </is>
      </c>
      <c r="BA34" s="2" t="inlineStr">
        <is>
          <t>NA</t>
        </is>
      </c>
      <c r="BB34" s="2" t="inlineStr">
        <is>
          <t>NA</t>
        </is>
      </c>
      <c r="BD34" s="2" t="n">
        <v>89.09999999999999</v>
      </c>
      <c r="BE34" s="2" t="n">
        <v>38.7</v>
      </c>
      <c r="BM34" s="2" t="n">
        <v>473.6</v>
      </c>
      <c r="BS34" s="2" t="n">
        <v>349.2</v>
      </c>
      <c r="BU34" s="2" t="n">
        <v>31.8</v>
      </c>
      <c r="BV34" s="2" t="inlineStr">
        <is>
          <t>NA</t>
        </is>
      </c>
      <c r="BW34" s="2" t="inlineStr">
        <is>
          <t>NA</t>
        </is>
      </c>
      <c r="BX34" s="2" t="n">
        <v>400.5</v>
      </c>
      <c r="BY34" s="2" t="inlineStr">
        <is>
          <t>NA</t>
        </is>
      </c>
      <c r="BZ34" s="2" t="inlineStr">
        <is>
          <t>NA</t>
        </is>
      </c>
      <c r="CF34" s="2" t="n">
        <v>104</v>
      </c>
      <c r="CG34" s="2" t="n">
        <v>181.9</v>
      </c>
      <c r="CH34" s="2" t="n">
        <v>20</v>
      </c>
      <c r="CN34" s="2" t="n">
        <v>52.7</v>
      </c>
      <c r="CO34" s="2" t="n">
        <v>130</v>
      </c>
      <c r="CP34" s="2" t="inlineStr">
        <is>
          <t>NA</t>
        </is>
      </c>
      <c r="CQ34" s="2" t="inlineStr">
        <is>
          <t>NA</t>
        </is>
      </c>
      <c r="CR34" s="2" t="inlineStr">
        <is>
          <t>NA</t>
        </is>
      </c>
      <c r="CS34" s="2" t="n">
        <v>50.4</v>
      </c>
      <c r="CT34" s="2" t="n">
        <v>32.4</v>
      </c>
      <c r="CU34" s="2" t="n">
        <v>18</v>
      </c>
      <c r="CV34" s="2" t="n">
        <v>48.6</v>
      </c>
      <c r="CW34" s="2" t="n">
        <v>48.6</v>
      </c>
      <c r="CY34" s="2" t="n">
        <v>14.8</v>
      </c>
      <c r="CZ34" s="2" t="n">
        <v>25.5</v>
      </c>
      <c r="DA34" s="2" t="n">
        <v>14.6</v>
      </c>
      <c r="DB34" s="2" t="n">
        <v>9.699999999999999</v>
      </c>
      <c r="DC34" s="2" t="n">
        <v>4.9</v>
      </c>
      <c r="DG34" s="2" t="n">
        <v>134.9</v>
      </c>
      <c r="DH34" s="2" t="n">
        <v>113.3</v>
      </c>
      <c r="DI34" s="2" t="n">
        <v>608.1</v>
      </c>
      <c r="DJ34" s="2" t="n">
        <v>129.3</v>
      </c>
      <c r="DK34" s="2" t="n">
        <v>391.3</v>
      </c>
      <c r="DM34" s="2" t="n">
        <v>198.4</v>
      </c>
      <c r="DO34" s="2" t="n">
        <v>165.7</v>
      </c>
      <c r="DP34" s="2" t="n">
        <v>161</v>
      </c>
      <c r="DQ34" s="2" t="n">
        <v>57.1</v>
      </c>
      <c r="DR34" s="2" t="n">
        <v>112.8</v>
      </c>
      <c r="DS34" s="2" t="n">
        <v>525.4</v>
      </c>
      <c r="DT34" s="2" t="n">
        <v>2597.3</v>
      </c>
      <c r="DU34" s="2" t="n">
        <v>-248.2000000000003</v>
      </c>
      <c r="DV34" s="2" t="n">
        <v>0</v>
      </c>
      <c r="GZ34" s="2" t="n">
        <v>817.3</v>
      </c>
      <c r="IN34" s="2" t="n">
        <v>128.9</v>
      </c>
      <c r="IY34" s="2" t="n">
        <v>47.72879528741385</v>
      </c>
      <c r="IZ34" s="2" t="n">
        <v>-0.07120471258614458</v>
      </c>
      <c r="JB34" s="2" t="n">
        <v>10.74423439725869</v>
      </c>
      <c r="JC34" s="2" t="n">
        <v>0.04423439725869294</v>
      </c>
      <c r="JE34" s="2" t="n">
        <v>2017.7</v>
      </c>
      <c r="JF34" s="2" t="n">
        <v>0.6026664023392972</v>
      </c>
    </row>
    <row r="35">
      <c r="A35" s="1" t="n">
        <v>30103</v>
      </c>
      <c r="B35" s="2" t="n">
        <v>2313</v>
      </c>
      <c r="C35" s="2" t="n">
        <v>1536</v>
      </c>
      <c r="D35" s="2" t="n">
        <v>357.1</v>
      </c>
      <c r="E35" s="2" t="n">
        <v>1086.7</v>
      </c>
      <c r="F35" s="2" t="n">
        <v>22.5</v>
      </c>
      <c r="G35" s="2" t="inlineStr">
        <is>
          <t>NA</t>
        </is>
      </c>
      <c r="H35" s="2" t="inlineStr">
        <is>
          <t>NA</t>
        </is>
      </c>
      <c r="I35" s="2" t="inlineStr">
        <is>
          <t>NA</t>
        </is>
      </c>
      <c r="J35" s="2" t="inlineStr">
        <is>
          <t>NA</t>
        </is>
      </c>
      <c r="K35" s="2" t="n">
        <v>828.4</v>
      </c>
      <c r="L35" s="2" t="n">
        <v>1889.4</v>
      </c>
      <c r="M35" s="2" t="n">
        <v>1532.1</v>
      </c>
      <c r="N35" s="2" t="n">
        <v>357.3</v>
      </c>
      <c r="O35" s="2" t="n">
        <v>117.5</v>
      </c>
      <c r="P35" s="2" t="n">
        <v>144.5</v>
      </c>
      <c r="Q35" s="2" t="n">
        <v>52.5</v>
      </c>
      <c r="R35" s="2" t="n">
        <v>92</v>
      </c>
      <c r="T35" s="2" t="n">
        <v>19</v>
      </c>
      <c r="U35" s="2" t="n">
        <v>50.9</v>
      </c>
      <c r="V35" s="2" t="n">
        <v>46.5</v>
      </c>
      <c r="W35" s="2" t="n">
        <v>4.4</v>
      </c>
      <c r="X35" s="2" t="inlineStr">
        <is>
          <t>NA</t>
        </is>
      </c>
      <c r="Y35" s="2" t="n">
        <v>7.1</v>
      </c>
      <c r="Z35" s="2" t="n">
        <v>27.8</v>
      </c>
      <c r="AA35" s="2" t="n">
        <v>13.1</v>
      </c>
      <c r="AB35" s="2" t="n">
        <v>14.7</v>
      </c>
      <c r="AC35" s="2" t="inlineStr">
        <is>
          <t>NA</t>
        </is>
      </c>
      <c r="AD35" s="2" t="inlineStr">
        <is>
          <t>NA</t>
        </is>
      </c>
      <c r="AG35" s="2" t="inlineStr">
        <is>
          <t>NA</t>
        </is>
      </c>
      <c r="AH35" s="2" t="inlineStr">
        <is>
          <t>NA</t>
        </is>
      </c>
      <c r="AI35" s="2" t="n">
        <v>73.90000000000001</v>
      </c>
      <c r="AL35" s="2" t="n">
        <v>54</v>
      </c>
      <c r="AM35" s="2" t="n">
        <v>29</v>
      </c>
      <c r="AN35" s="2" t="n">
        <v>25</v>
      </c>
      <c r="AO35" s="2" t="n">
        <v>1778.6</v>
      </c>
      <c r="AP35" s="2" t="n">
        <v>193.4</v>
      </c>
      <c r="AQ35" s="2" t="n">
        <v>65.7</v>
      </c>
      <c r="AR35" s="2" t="n">
        <v>31.5</v>
      </c>
      <c r="AS35" s="2" t="n">
        <v>164.4</v>
      </c>
      <c r="AT35" s="2" t="n">
        <v>209.3</v>
      </c>
      <c r="AU35" s="2" t="n">
        <v>96.09999999999999</v>
      </c>
      <c r="AV35" s="2" t="n">
        <v>100.8</v>
      </c>
      <c r="AW35" s="2" t="n">
        <v>12.2</v>
      </c>
      <c r="AX35" s="2" t="n">
        <v>3.2</v>
      </c>
      <c r="AY35" s="2" t="inlineStr">
        <is>
          <t>NA</t>
        </is>
      </c>
      <c r="AZ35" s="2" t="inlineStr">
        <is>
          <t>NA</t>
        </is>
      </c>
      <c r="BA35" s="2" t="inlineStr">
        <is>
          <t>NA</t>
        </is>
      </c>
      <c r="BB35" s="2" t="inlineStr">
        <is>
          <t>NA</t>
        </is>
      </c>
      <c r="BD35" s="2" t="n">
        <v>89</v>
      </c>
      <c r="BE35" s="2" t="n">
        <v>43.7</v>
      </c>
      <c r="BM35" s="2" t="n">
        <v>489.6</v>
      </c>
      <c r="BS35" s="2" t="n">
        <v>339.6</v>
      </c>
      <c r="BU35" s="2" t="n">
        <v>31.4</v>
      </c>
      <c r="BV35" s="2" t="inlineStr">
        <is>
          <t>NA</t>
        </is>
      </c>
      <c r="BW35" s="2" t="inlineStr">
        <is>
          <t>NA</t>
        </is>
      </c>
      <c r="BX35" s="2" t="n">
        <v>397</v>
      </c>
      <c r="BY35" s="2" t="inlineStr">
        <is>
          <t>NA</t>
        </is>
      </c>
      <c r="BZ35" s="2" t="inlineStr">
        <is>
          <t>NA</t>
        </is>
      </c>
      <c r="CF35" s="2" t="n">
        <v>98.2</v>
      </c>
      <c r="CG35" s="2" t="n">
        <v>179.6</v>
      </c>
      <c r="CH35" s="2" t="n">
        <v>20.2</v>
      </c>
      <c r="CN35" s="2" t="n">
        <v>53</v>
      </c>
      <c r="CO35" s="2" t="n">
        <v>153</v>
      </c>
      <c r="CP35" s="2" t="inlineStr">
        <is>
          <t>NA</t>
        </is>
      </c>
      <c r="CQ35" s="2" t="inlineStr">
        <is>
          <t>NA</t>
        </is>
      </c>
      <c r="CR35" s="2" t="inlineStr">
        <is>
          <t>NA</t>
        </is>
      </c>
      <c r="CS35" s="2" t="n">
        <v>37.4</v>
      </c>
      <c r="CT35" s="2" t="n">
        <v>28.5</v>
      </c>
      <c r="CU35" s="2" t="n">
        <v>8.9</v>
      </c>
      <c r="CV35" s="2" t="n">
        <v>47.5</v>
      </c>
      <c r="CW35" s="2" t="n">
        <v>47.5</v>
      </c>
      <c r="CY35" s="2" t="n">
        <v>12</v>
      </c>
      <c r="CZ35" s="2" t="n">
        <v>25.2</v>
      </c>
      <c r="DA35" s="2" t="n">
        <v>13.9</v>
      </c>
      <c r="DB35" s="2" t="n">
        <v>9.1</v>
      </c>
      <c r="DC35" s="2" t="n">
        <v>4.8</v>
      </c>
      <c r="DG35" s="2" t="n">
        <v>93.3</v>
      </c>
      <c r="DH35" s="2" t="n">
        <v>94.09999999999999</v>
      </c>
      <c r="DI35" s="2" t="n">
        <v>540.8</v>
      </c>
      <c r="DJ35" s="2" t="n">
        <v>123.8</v>
      </c>
      <c r="DK35" s="2" t="n">
        <v>399.6</v>
      </c>
      <c r="DM35" s="2" t="n">
        <v>198.7</v>
      </c>
      <c r="DO35" s="2" t="n">
        <v>139.8</v>
      </c>
      <c r="DP35" s="2" t="n">
        <v>107.3</v>
      </c>
      <c r="DR35" s="2" t="n">
        <v>108.8</v>
      </c>
      <c r="DS35" s="2" t="n">
        <v>506.8</v>
      </c>
      <c r="DT35" s="2" t="n">
        <v>2313</v>
      </c>
      <c r="DU35" s="2" t="n">
        <v>-187.4000000000001</v>
      </c>
      <c r="DV35" s="2" t="n">
        <v>0</v>
      </c>
      <c r="GZ35" s="2" t="n">
        <v>866.3</v>
      </c>
      <c r="IN35" s="2" t="n">
        <v>121.8</v>
      </c>
      <c r="IY35" s="2" t="n">
        <v>47.84176394293126</v>
      </c>
      <c r="IZ35" s="2" t="n">
        <v>0.2417639429312572</v>
      </c>
      <c r="JB35" s="2" t="n">
        <v>10.74448767833982</v>
      </c>
      <c r="JC35" s="2" t="n">
        <v>0.04448767833982004</v>
      </c>
      <c r="JE35" s="2" t="n">
        <v>1889.4</v>
      </c>
      <c r="JF35" s="2" t="n">
        <v>0.5733566211495713</v>
      </c>
    </row>
    <row r="36">
      <c r="A36" s="1" t="n">
        <v>30133</v>
      </c>
      <c r="B36" s="2" t="n">
        <v>2116.7</v>
      </c>
      <c r="C36" s="2" t="n">
        <v>1307.7</v>
      </c>
      <c r="D36" s="2" t="n">
        <v>329.6</v>
      </c>
      <c r="E36" s="2" t="n">
        <v>781.4</v>
      </c>
      <c r="F36" s="2" t="n">
        <v>17.3</v>
      </c>
      <c r="G36" s="2" t="inlineStr">
        <is>
          <t>NA</t>
        </is>
      </c>
      <c r="H36" s="2" t="n">
        <v>7.9</v>
      </c>
      <c r="I36" s="2" t="inlineStr">
        <is>
          <t>NA</t>
        </is>
      </c>
      <c r="J36" s="2" t="inlineStr">
        <is>
          <t>NA</t>
        </is>
      </c>
      <c r="K36" s="2" t="n">
        <v>765.6</v>
      </c>
      <c r="L36" s="2" t="n">
        <v>1647.3</v>
      </c>
      <c r="M36" s="2" t="n">
        <v>1312.9</v>
      </c>
      <c r="N36" s="2" t="n">
        <v>334.4</v>
      </c>
      <c r="O36" s="2" t="n">
        <v>105.9</v>
      </c>
      <c r="P36" s="2" t="n">
        <v>154.1</v>
      </c>
      <c r="Q36" s="2" t="n">
        <v>53.9</v>
      </c>
      <c r="R36" s="2" t="n">
        <v>100.2</v>
      </c>
      <c r="T36" s="2" t="n">
        <v>15</v>
      </c>
      <c r="U36" s="2" t="n">
        <v>57.9</v>
      </c>
      <c r="V36" s="2" t="n">
        <v>53.4</v>
      </c>
      <c r="W36" s="2" t="n">
        <v>4.5</v>
      </c>
      <c r="X36" s="2" t="inlineStr">
        <is>
          <t>NA</t>
        </is>
      </c>
      <c r="Y36" s="2" t="n">
        <v>10.7</v>
      </c>
      <c r="Z36" s="2" t="n">
        <v>28.5</v>
      </c>
      <c r="AA36" s="2" t="n">
        <v>13.4</v>
      </c>
      <c r="AB36" s="2" t="n">
        <v>15.1</v>
      </c>
      <c r="AC36" s="2" t="inlineStr">
        <is>
          <t>NA</t>
        </is>
      </c>
      <c r="AD36" s="2" t="inlineStr">
        <is>
          <t>NA</t>
        </is>
      </c>
      <c r="AG36" s="2" t="inlineStr">
        <is>
          <t>NA</t>
        </is>
      </c>
      <c r="AH36" s="2" t="inlineStr">
        <is>
          <t>NA</t>
        </is>
      </c>
      <c r="AI36" s="2" t="n">
        <v>76.5</v>
      </c>
      <c r="AL36" s="2" t="n">
        <v>54.7</v>
      </c>
      <c r="AM36" s="2" t="n">
        <v>33.1</v>
      </c>
      <c r="AN36" s="2" t="n">
        <v>21.6</v>
      </c>
      <c r="AO36" s="2" t="n">
        <v>1619.2</v>
      </c>
      <c r="AP36" s="2" t="n">
        <v>167.4</v>
      </c>
      <c r="AQ36" s="2" t="n">
        <v>65.2</v>
      </c>
      <c r="AR36" s="2" t="n">
        <v>41.7</v>
      </c>
      <c r="AS36" s="2" t="n">
        <v>150.2</v>
      </c>
      <c r="AT36" s="2" t="n">
        <v>219.4</v>
      </c>
      <c r="AU36" s="2" t="n">
        <v>86.3</v>
      </c>
      <c r="AV36" s="2" t="n">
        <v>94.09999999999999</v>
      </c>
      <c r="AW36" s="2" t="n">
        <v>11.1</v>
      </c>
      <c r="AX36" s="2" t="n">
        <v>4.4</v>
      </c>
      <c r="AY36" s="2" t="inlineStr">
        <is>
          <t>NA</t>
        </is>
      </c>
      <c r="AZ36" s="2" t="n">
        <v>1.2</v>
      </c>
      <c r="BA36" s="2" t="inlineStr">
        <is>
          <t>NA</t>
        </is>
      </c>
      <c r="BB36" s="2" t="inlineStr">
        <is>
          <t>NA</t>
        </is>
      </c>
      <c r="BD36" s="2" t="n">
        <v>79.3</v>
      </c>
      <c r="BE36" s="2" t="n">
        <v>36.4</v>
      </c>
      <c r="BM36" s="2" t="n">
        <v>479.3</v>
      </c>
      <c r="BS36" s="2" t="n">
        <v>346.8</v>
      </c>
      <c r="BU36" s="2" t="n">
        <v>25.5</v>
      </c>
      <c r="BV36" s="2" t="inlineStr">
        <is>
          <t>NA</t>
        </is>
      </c>
      <c r="BW36" s="2" t="inlineStr">
        <is>
          <t>NA</t>
        </is>
      </c>
      <c r="BX36" s="2" t="n">
        <v>390.7</v>
      </c>
      <c r="BY36" s="2" t="inlineStr">
        <is>
          <t>NA</t>
        </is>
      </c>
      <c r="BZ36" s="2" t="inlineStr">
        <is>
          <t>NA</t>
        </is>
      </c>
      <c r="CF36" s="2" t="n">
        <v>83</v>
      </c>
      <c r="CG36" s="2" t="n">
        <v>187.1</v>
      </c>
      <c r="CH36" s="2" t="n">
        <v>19.7</v>
      </c>
      <c r="CN36" s="2" t="n">
        <v>62.8</v>
      </c>
      <c r="CO36" s="2" t="n">
        <v>143.9</v>
      </c>
      <c r="CP36" s="2" t="inlineStr">
        <is>
          <t>NA</t>
        </is>
      </c>
      <c r="CQ36" s="2" t="inlineStr">
        <is>
          <t>NA</t>
        </is>
      </c>
      <c r="CR36" s="2" t="inlineStr">
        <is>
          <t>NA</t>
        </is>
      </c>
      <c r="CS36" s="2" t="n">
        <v>33.90000000000001</v>
      </c>
      <c r="CT36" s="2" t="n">
        <v>25.6</v>
      </c>
      <c r="CU36" s="2" t="n">
        <v>8.300000000000001</v>
      </c>
      <c r="CV36" s="2" t="n">
        <v>38.7</v>
      </c>
      <c r="CW36" s="2" t="n">
        <v>38.7</v>
      </c>
      <c r="CY36" s="2" t="n">
        <v>12.9</v>
      </c>
      <c r="CZ36" s="2" t="n">
        <v>30.7</v>
      </c>
      <c r="DA36" s="2" t="n">
        <v>9.899999999999999</v>
      </c>
      <c r="DB36" s="2" t="n">
        <v>6.6</v>
      </c>
      <c r="DC36" s="2" t="n">
        <v>3.3</v>
      </c>
      <c r="DG36" s="2" t="n">
        <v>119.1</v>
      </c>
      <c r="DI36" s="2" t="n">
        <v>359.1</v>
      </c>
      <c r="DJ36" s="2" t="n">
        <v>106.3</v>
      </c>
      <c r="DK36" s="2" t="n">
        <v>373</v>
      </c>
      <c r="DL36" s="2" t="n">
        <v>89.90000000000001</v>
      </c>
      <c r="DM36" s="2" t="n">
        <v>188.7</v>
      </c>
      <c r="DO36" s="2" t="n">
        <v>90.7</v>
      </c>
      <c r="DP36" s="2" t="n">
        <v>131.7</v>
      </c>
      <c r="DQ36" s="2" t="n">
        <v>55.4</v>
      </c>
      <c r="DR36" s="2" t="n">
        <v>86.90000000000001</v>
      </c>
      <c r="DS36" s="2" t="n">
        <v>515.9</v>
      </c>
      <c r="DT36" s="2" t="n">
        <v>2116.7</v>
      </c>
      <c r="DU36" s="2" t="n">
        <v>-119.0999999999995</v>
      </c>
      <c r="DV36" s="2" t="n">
        <v>0</v>
      </c>
      <c r="GZ36" s="2" t="n">
        <v>775.4</v>
      </c>
      <c r="IN36" s="2" t="n">
        <v>104.8</v>
      </c>
      <c r="IY36" s="2" t="n">
        <v>47.74601974772052</v>
      </c>
      <c r="IZ36" s="2" t="n">
        <v>0.4460197477205199</v>
      </c>
      <c r="JB36" s="2" t="n">
        <v>10.8508527424765</v>
      </c>
      <c r="JC36" s="2" t="n">
        <v>-0.04914725752350257</v>
      </c>
      <c r="JE36" s="2" t="n">
        <v>1647.3</v>
      </c>
      <c r="JF36" s="2" t="n">
        <v>0.5335397316821465</v>
      </c>
    </row>
    <row r="37">
      <c r="A37" s="1" t="n">
        <v>30164</v>
      </c>
      <c r="B37" s="2" t="n">
        <v>2033.7</v>
      </c>
      <c r="C37" s="2" t="n">
        <v>918</v>
      </c>
      <c r="D37" s="2" t="n">
        <v>290.3</v>
      </c>
      <c r="E37" s="2" t="n">
        <v>632.4</v>
      </c>
      <c r="F37" s="2" t="n">
        <v>14</v>
      </c>
      <c r="G37" s="2" t="inlineStr">
        <is>
          <t>NA</t>
        </is>
      </c>
      <c r="H37" s="2" t="inlineStr">
        <is>
          <t>NA</t>
        </is>
      </c>
      <c r="I37" s="2" t="inlineStr">
        <is>
          <t>NA</t>
        </is>
      </c>
      <c r="J37" s="2" t="inlineStr">
        <is>
          <t>NA</t>
        </is>
      </c>
      <c r="K37" s="2" t="n">
        <v>732</v>
      </c>
      <c r="L37" s="2" t="n">
        <v>1397.5</v>
      </c>
      <c r="M37" s="2" t="n">
        <v>1071.3</v>
      </c>
      <c r="N37" s="2" t="n">
        <v>326.2</v>
      </c>
      <c r="O37" s="2" t="n">
        <v>92</v>
      </c>
      <c r="P37" s="2" t="n">
        <v>115.2</v>
      </c>
      <c r="Q37" s="2" t="n">
        <v>38.2</v>
      </c>
      <c r="R37" s="2" t="n">
        <v>77</v>
      </c>
      <c r="T37" s="2" t="n">
        <v>11.8</v>
      </c>
      <c r="U37" s="2" t="n">
        <v>60.3</v>
      </c>
      <c r="V37" s="2" t="n">
        <v>55.5</v>
      </c>
      <c r="W37" s="2" t="n">
        <v>4.8</v>
      </c>
      <c r="X37" s="2" t="inlineStr">
        <is>
          <t>NA</t>
        </is>
      </c>
      <c r="Y37" s="2" t="n">
        <v>7</v>
      </c>
      <c r="Z37" s="2" t="n">
        <v>27.1</v>
      </c>
      <c r="AA37" s="2" t="n">
        <v>13.3</v>
      </c>
      <c r="AB37" s="2" t="n">
        <v>13.8</v>
      </c>
      <c r="AC37" s="2" t="inlineStr">
        <is>
          <t>NA</t>
        </is>
      </c>
      <c r="AD37" s="2" t="inlineStr">
        <is>
          <t>NA</t>
        </is>
      </c>
      <c r="AG37" s="2" t="inlineStr">
        <is>
          <t>NA</t>
        </is>
      </c>
      <c r="AH37" s="2" t="inlineStr">
        <is>
          <t>NA</t>
        </is>
      </c>
      <c r="AI37" s="2" t="n">
        <v>79.3</v>
      </c>
      <c r="AL37" s="2" t="n">
        <v>58.7</v>
      </c>
      <c r="AM37" s="2" t="n">
        <v>35.3</v>
      </c>
      <c r="AN37" s="2" t="n">
        <v>23.4</v>
      </c>
      <c r="AO37" s="2" t="n">
        <v>1560.9</v>
      </c>
      <c r="AP37" s="2" t="n">
        <v>153.7</v>
      </c>
      <c r="AQ37" s="2" t="n">
        <v>58.7</v>
      </c>
      <c r="AR37" s="2" t="n">
        <v>36</v>
      </c>
      <c r="AS37" s="2" t="n">
        <v>129.8</v>
      </c>
      <c r="AT37" s="2" t="n">
        <v>185.5</v>
      </c>
      <c r="AU37" s="2" t="n">
        <v>77.09999999999999</v>
      </c>
      <c r="AV37" s="2" t="n">
        <v>76.8</v>
      </c>
      <c r="AW37" s="2" t="n">
        <v>7.8</v>
      </c>
      <c r="AX37" s="2" t="n">
        <v>1.5</v>
      </c>
      <c r="AY37" s="2" t="inlineStr">
        <is>
          <t>NA</t>
        </is>
      </c>
      <c r="AZ37" s="2" t="n">
        <v>2.8</v>
      </c>
      <c r="BA37" s="2" t="inlineStr">
        <is>
          <t>NA</t>
        </is>
      </c>
      <c r="BB37" s="2" t="inlineStr">
        <is>
          <t>NA</t>
        </is>
      </c>
      <c r="BD37" s="2" t="n">
        <v>85</v>
      </c>
      <c r="BE37" s="2" t="n">
        <v>39.2</v>
      </c>
      <c r="BM37" s="2" t="n">
        <v>503.3</v>
      </c>
      <c r="BS37" s="2" t="n">
        <v>368</v>
      </c>
      <c r="BU37" s="2" t="n">
        <v>32.2</v>
      </c>
      <c r="BV37" s="2" t="inlineStr">
        <is>
          <t>NA</t>
        </is>
      </c>
      <c r="BW37" s="2" t="inlineStr">
        <is>
          <t>NA</t>
        </is>
      </c>
      <c r="BX37" s="2" t="n">
        <v>403.5</v>
      </c>
      <c r="BY37" s="2" t="inlineStr">
        <is>
          <t>NA</t>
        </is>
      </c>
      <c r="BZ37" s="2" t="inlineStr">
        <is>
          <t>NA</t>
        </is>
      </c>
      <c r="CF37" s="2" t="n">
        <v>100.5</v>
      </c>
      <c r="CG37" s="2" t="n">
        <v>188.9</v>
      </c>
      <c r="CH37" s="2" t="n">
        <v>19.8</v>
      </c>
      <c r="CN37" s="2" t="n">
        <v>52.5</v>
      </c>
      <c r="CO37" s="2" t="n">
        <v>126.5</v>
      </c>
      <c r="CP37" s="2" t="inlineStr">
        <is>
          <t>NA</t>
        </is>
      </c>
      <c r="CQ37" s="2" t="inlineStr">
        <is>
          <t>NA</t>
        </is>
      </c>
      <c r="CR37" s="2" t="inlineStr">
        <is>
          <t>NA</t>
        </is>
      </c>
      <c r="CS37" s="2" t="n">
        <v>30.5</v>
      </c>
      <c r="CT37" s="2" t="n">
        <v>21.1</v>
      </c>
      <c r="CU37" s="2" t="n">
        <v>9.4</v>
      </c>
      <c r="CV37" s="2" t="n">
        <v>34.4</v>
      </c>
      <c r="CW37" s="2" t="n">
        <v>34.4</v>
      </c>
      <c r="CY37" s="2" t="n">
        <v>11.1</v>
      </c>
      <c r="CZ37" s="2" t="n">
        <v>43.8</v>
      </c>
      <c r="DA37" s="2" t="n">
        <v>10.4</v>
      </c>
      <c r="DB37" s="2" t="n">
        <v>6.7</v>
      </c>
      <c r="DC37" s="2" t="n">
        <v>3.7</v>
      </c>
      <c r="DG37" s="2" t="n">
        <v>119</v>
      </c>
      <c r="DI37" s="2" t="n">
        <v>395.2</v>
      </c>
      <c r="DJ37" s="2" t="n">
        <v>121.4</v>
      </c>
      <c r="DK37" s="2" t="n">
        <v>380</v>
      </c>
      <c r="DM37" s="2" t="n">
        <v>177.3</v>
      </c>
      <c r="DP37" s="2" t="n">
        <v>130.9</v>
      </c>
      <c r="DQ37" s="2" t="n">
        <v>33.5</v>
      </c>
      <c r="DS37" s="2" t="n">
        <v>676.4</v>
      </c>
      <c r="DT37" s="2" t="n">
        <v>2033.7</v>
      </c>
      <c r="DU37" s="2" t="n">
        <v>-118.9999999999998</v>
      </c>
      <c r="DV37" s="2" t="n">
        <v>0</v>
      </c>
      <c r="GZ37" s="2" t="n">
        <v>811.7</v>
      </c>
      <c r="IN37" s="2" t="n">
        <v>91.3</v>
      </c>
      <c r="IY37" s="2" t="n">
        <v>47.7828588287358</v>
      </c>
      <c r="IZ37" s="2" t="n">
        <v>0.3828588287358059</v>
      </c>
      <c r="JB37" s="2" t="n">
        <v>10.79805281014899</v>
      </c>
      <c r="JC37" s="2" t="n">
        <v>-0.1019471898510123</v>
      </c>
      <c r="JE37" s="2" t="n">
        <v>1397.5</v>
      </c>
      <c r="JF37" s="2" t="n">
        <v>0.5020393559928443</v>
      </c>
    </row>
    <row r="38">
      <c r="A38" s="1" t="n">
        <v>30195</v>
      </c>
      <c r="B38" s="2" t="n">
        <v>2278.9</v>
      </c>
      <c r="C38" s="2" t="n">
        <v>869.8</v>
      </c>
      <c r="D38" s="2" t="n">
        <v>285.8</v>
      </c>
      <c r="E38" s="2" t="n">
        <v>607.5</v>
      </c>
      <c r="F38" s="2" t="inlineStr">
        <is>
          <t>NA</t>
        </is>
      </c>
      <c r="G38" s="2" t="inlineStr">
        <is>
          <t>NA</t>
        </is>
      </c>
      <c r="H38" s="2" t="inlineStr">
        <is>
          <t>NA</t>
        </is>
      </c>
      <c r="I38" s="2" t="inlineStr">
        <is>
          <t>NA</t>
        </is>
      </c>
      <c r="J38" s="2" t="inlineStr">
        <is>
          <t>NA</t>
        </is>
      </c>
      <c r="K38" s="2" t="n">
        <v>818.3</v>
      </c>
      <c r="L38" s="2" t="n">
        <v>1102.6</v>
      </c>
      <c r="M38" s="2" t="n">
        <v>817.1</v>
      </c>
      <c r="N38" s="2" t="n">
        <v>285.5</v>
      </c>
      <c r="O38" s="2" t="n">
        <v>88.8</v>
      </c>
      <c r="P38" s="2" t="n">
        <v>103.6</v>
      </c>
      <c r="Q38" s="2" t="n">
        <v>42.9</v>
      </c>
      <c r="R38" s="2" t="n">
        <v>60.7</v>
      </c>
      <c r="T38" s="2" t="inlineStr">
        <is>
          <t>NA</t>
        </is>
      </c>
      <c r="U38" s="2" t="inlineStr">
        <is>
          <t>NA</t>
        </is>
      </c>
      <c r="V38" s="2" t="inlineStr">
        <is>
          <t>NA</t>
        </is>
      </c>
      <c r="W38" s="2" t="n">
        <v>5.1</v>
      </c>
      <c r="X38" s="2" t="inlineStr">
        <is>
          <t>NA</t>
        </is>
      </c>
      <c r="Y38" s="2" t="inlineStr">
        <is>
          <t>NA</t>
        </is>
      </c>
      <c r="Z38" s="2" t="n">
        <v>27.3</v>
      </c>
      <c r="AA38" s="2" t="n">
        <v>14.2</v>
      </c>
      <c r="AB38" s="2" t="n">
        <v>13.1</v>
      </c>
      <c r="AC38" s="2" t="inlineStr">
        <is>
          <t>NA</t>
        </is>
      </c>
      <c r="AD38" s="2" t="inlineStr">
        <is>
          <t>NA</t>
        </is>
      </c>
      <c r="AG38" s="2" t="inlineStr">
        <is>
          <t>NA</t>
        </is>
      </c>
      <c r="AH38" s="2" t="inlineStr">
        <is>
          <t>NA</t>
        </is>
      </c>
      <c r="AI38" s="2" t="n">
        <v>78</v>
      </c>
      <c r="AL38" s="2" t="n">
        <v>52.8</v>
      </c>
      <c r="AM38" s="2" t="n">
        <v>33.8</v>
      </c>
      <c r="AN38" s="2" t="n">
        <v>19</v>
      </c>
      <c r="AO38" s="2" t="n">
        <v>1759</v>
      </c>
      <c r="AP38" s="2" t="n">
        <v>133.9</v>
      </c>
      <c r="AQ38" s="2" t="n">
        <v>59.5</v>
      </c>
      <c r="AR38" s="2" t="n">
        <v>41.3</v>
      </c>
      <c r="AS38" s="2" t="n">
        <v>129.3</v>
      </c>
      <c r="AT38" s="2" t="n">
        <v>153.6</v>
      </c>
      <c r="AU38" s="2" t="n">
        <v>77.5</v>
      </c>
      <c r="AV38" s="2" t="n">
        <v>62.8</v>
      </c>
      <c r="AW38" s="2" t="inlineStr">
        <is>
          <t>NA</t>
        </is>
      </c>
      <c r="AX38" s="2" t="inlineStr">
        <is>
          <t>NA</t>
        </is>
      </c>
      <c r="AY38" s="2" t="inlineStr">
        <is>
          <t>NA</t>
        </is>
      </c>
      <c r="AZ38" s="2" t="inlineStr">
        <is>
          <t>NA</t>
        </is>
      </c>
      <c r="BA38" s="2" t="inlineStr">
        <is>
          <t>NA</t>
        </is>
      </c>
      <c r="BB38" s="2" t="inlineStr">
        <is>
          <t>NA</t>
        </is>
      </c>
      <c r="BD38" s="2" t="n">
        <v>92.59999999999999</v>
      </c>
      <c r="BE38" s="2" t="n">
        <v>46.9</v>
      </c>
      <c r="BM38" s="2" t="n">
        <v>497.4</v>
      </c>
      <c r="BS38" s="2" t="n">
        <v>357.7</v>
      </c>
      <c r="BU38" s="2" t="n">
        <v>24.2</v>
      </c>
      <c r="BV38" s="2" t="inlineStr">
        <is>
          <t>NA</t>
        </is>
      </c>
      <c r="BW38" s="2" t="inlineStr">
        <is>
          <t>NA</t>
        </is>
      </c>
      <c r="BX38" s="2" t="n">
        <v>416.4</v>
      </c>
      <c r="BY38" s="2" t="inlineStr">
        <is>
          <t>NA</t>
        </is>
      </c>
      <c r="BZ38" s="2" t="inlineStr">
        <is>
          <t>NA</t>
        </is>
      </c>
      <c r="CF38" s="2" t="n">
        <v>90.7</v>
      </c>
      <c r="CG38" s="2" t="n">
        <v>151.3</v>
      </c>
      <c r="CH38" s="2" t="n">
        <v>21.8</v>
      </c>
      <c r="CN38" s="2" t="n">
        <v>53.4</v>
      </c>
      <c r="CO38" s="2" t="n">
        <v>122.5</v>
      </c>
      <c r="CP38" s="2" t="inlineStr">
        <is>
          <t>NA</t>
        </is>
      </c>
      <c r="CQ38" s="2" t="inlineStr">
        <is>
          <t>NA</t>
        </is>
      </c>
      <c r="CR38" s="2" t="inlineStr">
        <is>
          <t>NA</t>
        </is>
      </c>
      <c r="CS38" s="2" t="n">
        <v>44.59999999999999</v>
      </c>
      <c r="CT38" s="2" t="n">
        <v>32.3</v>
      </c>
      <c r="CU38" s="2" t="n">
        <v>12.3</v>
      </c>
      <c r="CV38" s="2" t="n">
        <v>47.1</v>
      </c>
      <c r="CW38" s="2" t="n">
        <v>47.1</v>
      </c>
      <c r="CY38" s="2" t="n">
        <v>14.4</v>
      </c>
      <c r="CZ38" s="2" t="n">
        <v>34.9</v>
      </c>
      <c r="DA38" s="2" t="n">
        <v>16.2</v>
      </c>
      <c r="DB38" s="2" t="n">
        <v>11.1</v>
      </c>
      <c r="DC38" s="2" t="n">
        <v>5.1</v>
      </c>
      <c r="DG38" s="2" t="n">
        <v>77.2</v>
      </c>
      <c r="DI38" s="2" t="n">
        <v>562.4</v>
      </c>
      <c r="DJ38" s="2" t="n">
        <v>119.1</v>
      </c>
      <c r="DK38" s="2" t="n">
        <v>400</v>
      </c>
      <c r="DM38" s="2" t="n">
        <v>185.8</v>
      </c>
      <c r="DO38" s="2" t="n">
        <v>120.4</v>
      </c>
      <c r="DP38" s="2" t="n">
        <v>132.3</v>
      </c>
      <c r="DQ38" s="2" t="n">
        <v>67.8</v>
      </c>
      <c r="DS38" s="2" t="n">
        <v>613.9</v>
      </c>
      <c r="DT38" s="2" t="n">
        <v>2278.9</v>
      </c>
      <c r="DU38" s="2" t="n">
        <v>-77.20000000000027</v>
      </c>
      <c r="DV38" s="2" t="n">
        <v>0</v>
      </c>
      <c r="GZ38" s="2" t="n">
        <v>794</v>
      </c>
      <c r="IN38" s="2" t="n">
        <v>76.7</v>
      </c>
      <c r="IY38" s="2" t="n">
        <v>47.87836236780903</v>
      </c>
      <c r="IZ38" s="2" t="n">
        <v>0.3783623678090251</v>
      </c>
      <c r="JB38" s="2" t="n">
        <v>10.77230242660933</v>
      </c>
      <c r="JC38" s="2" t="n">
        <v>0.07230242660932795</v>
      </c>
      <c r="JE38" s="2" t="n">
        <v>1102.6</v>
      </c>
      <c r="JF38" s="2" t="n">
        <v>0.520406312352621</v>
      </c>
    </row>
    <row r="39">
      <c r="A39" s="1" t="n">
        <v>30225</v>
      </c>
      <c r="B39" s="2" t="n">
        <v>3006</v>
      </c>
      <c r="C39" s="2" t="n">
        <v>3426.3</v>
      </c>
      <c r="D39" s="2" t="n">
        <v>391.5</v>
      </c>
      <c r="E39" s="2" t="n">
        <v>1321</v>
      </c>
      <c r="F39" s="2" t="inlineStr">
        <is>
          <t>NA</t>
        </is>
      </c>
      <c r="G39" s="2" t="inlineStr">
        <is>
          <t>NA</t>
        </is>
      </c>
      <c r="H39" s="2" t="inlineStr">
        <is>
          <t>NA</t>
        </is>
      </c>
      <c r="I39" s="2" t="inlineStr">
        <is>
          <t>NA</t>
        </is>
      </c>
      <c r="J39" s="2" t="inlineStr">
        <is>
          <t>NA</t>
        </is>
      </c>
      <c r="K39" s="2" t="n">
        <v>1079.4</v>
      </c>
      <c r="L39" s="2" t="n">
        <v>1207.7</v>
      </c>
      <c r="M39" s="2" t="n">
        <v>922.4</v>
      </c>
      <c r="N39" s="2" t="n">
        <v>285.3</v>
      </c>
      <c r="O39" s="2" t="n">
        <v>129.8</v>
      </c>
      <c r="P39" s="2" t="n">
        <v>121.1</v>
      </c>
      <c r="Q39" s="2" t="n">
        <v>57.5</v>
      </c>
      <c r="R39" s="2" t="n">
        <v>63.6</v>
      </c>
      <c r="T39" s="2" t="inlineStr">
        <is>
          <t>NA</t>
        </is>
      </c>
      <c r="U39" s="2" t="inlineStr">
        <is>
          <t>NA</t>
        </is>
      </c>
      <c r="V39" s="2" t="inlineStr">
        <is>
          <t>NA</t>
        </is>
      </c>
      <c r="W39" s="2" t="n">
        <v>4</v>
      </c>
      <c r="X39" s="2" t="inlineStr">
        <is>
          <t>NA</t>
        </is>
      </c>
      <c r="Y39" s="2" t="n">
        <v>7.7</v>
      </c>
      <c r="Z39" s="2" t="n">
        <v>24.3</v>
      </c>
      <c r="AA39" s="2" t="n">
        <v>14.5</v>
      </c>
      <c r="AB39" s="2" t="n">
        <v>9.800000000000001</v>
      </c>
      <c r="AC39" s="2" t="inlineStr">
        <is>
          <t>NA</t>
        </is>
      </c>
      <c r="AD39" s="2" t="inlineStr">
        <is>
          <t>NA</t>
        </is>
      </c>
      <c r="AG39" s="2" t="inlineStr">
        <is>
          <t>NA</t>
        </is>
      </c>
      <c r="AH39" s="2" t="inlineStr">
        <is>
          <t>NA</t>
        </is>
      </c>
      <c r="AI39" s="2" t="n">
        <v>79.2</v>
      </c>
      <c r="AL39" s="2" t="n">
        <v>55.5</v>
      </c>
      <c r="AM39" s="2" t="n">
        <v>35.6</v>
      </c>
      <c r="AN39" s="2" t="n">
        <v>19.9</v>
      </c>
      <c r="AO39" s="2" t="n">
        <v>2389.8</v>
      </c>
      <c r="AP39" s="2" t="n">
        <v>299.3</v>
      </c>
      <c r="AQ39" s="2" t="n">
        <v>74.40000000000001</v>
      </c>
      <c r="AR39" s="2" t="n">
        <v>43.5</v>
      </c>
      <c r="AS39" s="2" t="n">
        <v>173.5</v>
      </c>
      <c r="AT39" s="2" t="n">
        <v>152.5</v>
      </c>
      <c r="AU39" s="2" t="n">
        <v>100.9</v>
      </c>
      <c r="AV39" s="2" t="n">
        <v>53.1</v>
      </c>
      <c r="AW39" s="2" t="inlineStr">
        <is>
          <t>NA</t>
        </is>
      </c>
      <c r="AX39" s="2" t="inlineStr">
        <is>
          <t>NA</t>
        </is>
      </c>
      <c r="AY39" s="2" t="inlineStr">
        <is>
          <t>NA</t>
        </is>
      </c>
      <c r="AZ39" s="2" t="inlineStr">
        <is>
          <t>NA</t>
        </is>
      </c>
      <c r="BA39" s="2" t="inlineStr">
        <is>
          <t>NA</t>
        </is>
      </c>
      <c r="BB39" s="2" t="inlineStr">
        <is>
          <t>NA</t>
        </is>
      </c>
      <c r="BD39" s="2" t="n">
        <v>100.4</v>
      </c>
      <c r="BE39" s="2" t="n">
        <v>52.1</v>
      </c>
      <c r="BM39" s="2" t="n">
        <v>527.4</v>
      </c>
      <c r="BS39" s="2" t="n">
        <v>440.5</v>
      </c>
      <c r="BU39" s="2" t="n">
        <v>29.5</v>
      </c>
      <c r="BV39" s="2" t="inlineStr">
        <is>
          <t>NA</t>
        </is>
      </c>
      <c r="BW39" s="2" t="inlineStr">
        <is>
          <t>NA</t>
        </is>
      </c>
      <c r="BX39" s="2" t="n">
        <v>421.4</v>
      </c>
      <c r="BY39" s="2" t="inlineStr">
        <is>
          <t>NA</t>
        </is>
      </c>
      <c r="BZ39" s="2" t="inlineStr">
        <is>
          <t>NA</t>
        </is>
      </c>
      <c r="CF39" s="2" t="n">
        <v>92.8</v>
      </c>
      <c r="CG39" s="2" t="n">
        <v>139.1</v>
      </c>
      <c r="CH39" s="2" t="n">
        <v>22.5</v>
      </c>
      <c r="CN39" s="2" t="n">
        <v>51.3</v>
      </c>
      <c r="CO39" s="2" t="n">
        <v>144.4</v>
      </c>
      <c r="CP39" s="2" t="n">
        <v>112.9</v>
      </c>
      <c r="CQ39" s="2" t="n">
        <v>31.5</v>
      </c>
      <c r="CR39" s="2" t="inlineStr">
        <is>
          <t>NA</t>
        </is>
      </c>
      <c r="CS39" s="2" t="n">
        <v>42.9</v>
      </c>
      <c r="CT39" s="2" t="n">
        <v>28.7</v>
      </c>
      <c r="CU39" s="2" t="n">
        <v>14.2</v>
      </c>
      <c r="CV39" s="2" t="n">
        <v>43.9</v>
      </c>
      <c r="CW39" s="2" t="n">
        <v>43.9</v>
      </c>
      <c r="CY39" s="2" t="n">
        <v>12.4</v>
      </c>
      <c r="CZ39" s="2" t="n">
        <v>31.4</v>
      </c>
      <c r="DA39" s="2" t="n">
        <v>23.5</v>
      </c>
      <c r="DB39" s="2" t="n">
        <v>16.7</v>
      </c>
      <c r="DC39" s="2" t="n">
        <v>6.8</v>
      </c>
      <c r="DG39" s="2" t="n">
        <v>148.6</v>
      </c>
      <c r="DI39" s="2" t="n">
        <v>791.7</v>
      </c>
      <c r="DJ39" s="2" t="n">
        <v>139</v>
      </c>
      <c r="DK39" s="2" t="n">
        <v>517.5</v>
      </c>
      <c r="DL39" s="2" t="n">
        <v>128</v>
      </c>
      <c r="DM39" s="2" t="n">
        <v>150.4</v>
      </c>
      <c r="DO39" s="2" t="n">
        <v>137.5</v>
      </c>
      <c r="DP39" s="2" t="n">
        <v>155.3</v>
      </c>
      <c r="DQ39" s="2" t="n">
        <v>62</v>
      </c>
      <c r="DR39" s="2" t="n">
        <v>144.7</v>
      </c>
      <c r="DS39" s="2" t="n">
        <v>631.3</v>
      </c>
      <c r="DT39" s="2" t="n">
        <v>3006</v>
      </c>
      <c r="DU39" s="2" t="n">
        <v>-148.6000000000004</v>
      </c>
      <c r="DV39" s="2" t="n">
        <v>0</v>
      </c>
      <c r="GZ39" s="2" t="n">
        <v>824.6</v>
      </c>
      <c r="IN39" s="2" t="n">
        <v>91.5</v>
      </c>
      <c r="IY39" s="2" t="n">
        <v>49.18562874251497</v>
      </c>
      <c r="IZ39" s="2" t="n">
        <v>1.08562874251497</v>
      </c>
      <c r="JB39" s="2" t="n">
        <v>10.77245508982036</v>
      </c>
      <c r="JC39" s="2" t="n">
        <v>-0.1275449101796404</v>
      </c>
      <c r="JE39" s="2" t="n">
        <v>1207.7</v>
      </c>
      <c r="JF39" s="2" t="n">
        <v>0.534983853606028</v>
      </c>
    </row>
    <row r="40">
      <c r="A40" s="1" t="n">
        <v>30256</v>
      </c>
      <c r="B40" s="2" t="n">
        <v>3242.8</v>
      </c>
      <c r="C40" s="2" t="n">
        <v>4366.4</v>
      </c>
      <c r="D40" s="2" t="n">
        <v>481.7</v>
      </c>
      <c r="E40" s="2" t="n">
        <v>1830.5</v>
      </c>
      <c r="F40" s="2" t="inlineStr">
        <is>
          <t>NA</t>
        </is>
      </c>
      <c r="G40" s="2" t="inlineStr">
        <is>
          <t>NA</t>
        </is>
      </c>
      <c r="H40" s="2" t="inlineStr">
        <is>
          <t>NA</t>
        </is>
      </c>
      <c r="I40" s="2" t="inlineStr">
        <is>
          <t>NA</t>
        </is>
      </c>
      <c r="J40" s="2" t="inlineStr">
        <is>
          <t>NA</t>
        </is>
      </c>
      <c r="K40" s="2" t="n">
        <v>1145.3</v>
      </c>
      <c r="L40" s="2" t="n">
        <v>1304.7</v>
      </c>
      <c r="M40" s="2" t="n">
        <v>988.8</v>
      </c>
      <c r="N40" s="2" t="n">
        <v>315.9</v>
      </c>
      <c r="O40" s="2" t="n">
        <v>157.3</v>
      </c>
      <c r="P40" s="2" t="n">
        <v>148.9</v>
      </c>
      <c r="Q40" s="2" t="n">
        <v>66.40000000000001</v>
      </c>
      <c r="R40" s="2" t="n">
        <v>82.5</v>
      </c>
      <c r="T40" s="2" t="inlineStr">
        <is>
          <t>NA</t>
        </is>
      </c>
      <c r="U40" s="2" t="inlineStr">
        <is>
          <t>NA</t>
        </is>
      </c>
      <c r="V40" s="2" t="inlineStr">
        <is>
          <t>NA</t>
        </is>
      </c>
      <c r="W40" s="2" t="n">
        <v>4.6</v>
      </c>
      <c r="X40" s="2" t="inlineStr">
        <is>
          <t>NA</t>
        </is>
      </c>
      <c r="Y40" s="2" t="n">
        <v>4.8</v>
      </c>
      <c r="Z40" s="2" t="n">
        <v>57.09999999999999</v>
      </c>
      <c r="AA40" s="2" t="n">
        <v>47.8</v>
      </c>
      <c r="AB40" s="2" t="n">
        <v>9.300000000000001</v>
      </c>
      <c r="AC40" s="2" t="inlineStr">
        <is>
          <t>NA</t>
        </is>
      </c>
      <c r="AD40" s="2" t="inlineStr">
        <is>
          <t>NA</t>
        </is>
      </c>
      <c r="AG40" s="2" t="inlineStr">
        <is>
          <t>NA</t>
        </is>
      </c>
      <c r="AH40" s="2" t="inlineStr">
        <is>
          <t>NA</t>
        </is>
      </c>
      <c r="AI40" s="2" t="n">
        <v>72.59999999999999</v>
      </c>
      <c r="AL40" s="2" t="n">
        <v>55.2</v>
      </c>
      <c r="AM40" s="2" t="n">
        <v>33.3</v>
      </c>
      <c r="AN40" s="2" t="n">
        <v>21.9</v>
      </c>
      <c r="AO40" s="2" t="n">
        <v>2501.3</v>
      </c>
      <c r="AP40" s="2" t="n">
        <v>312.8</v>
      </c>
      <c r="AQ40" s="2" t="n">
        <v>80.09999999999999</v>
      </c>
      <c r="AR40" s="2" t="n">
        <v>36.8</v>
      </c>
      <c r="AS40" s="2" t="n">
        <v>219.4</v>
      </c>
      <c r="AT40" s="2" t="n">
        <v>168.8</v>
      </c>
      <c r="AU40" s="2" t="n">
        <v>122.8</v>
      </c>
      <c r="AV40" s="2" t="n">
        <v>51.7</v>
      </c>
      <c r="AW40" s="2" t="inlineStr">
        <is>
          <t>NA</t>
        </is>
      </c>
      <c r="AX40" s="2" t="inlineStr">
        <is>
          <t>NA</t>
        </is>
      </c>
      <c r="AY40" s="2" t="inlineStr">
        <is>
          <t>NA</t>
        </is>
      </c>
      <c r="AZ40" s="2" t="inlineStr">
        <is>
          <t>NA</t>
        </is>
      </c>
      <c r="BA40" s="2" t="inlineStr">
        <is>
          <t>NA</t>
        </is>
      </c>
      <c r="BB40" s="2" t="inlineStr">
        <is>
          <t>NA</t>
        </is>
      </c>
      <c r="BD40" s="2" t="n">
        <v>95.8</v>
      </c>
      <c r="BE40" s="2" t="n">
        <v>56.8</v>
      </c>
      <c r="BM40" s="2" t="n">
        <v>531.9</v>
      </c>
      <c r="BS40" s="2" t="n">
        <v>398.7</v>
      </c>
      <c r="BU40" s="2" t="n">
        <v>39</v>
      </c>
      <c r="BV40" s="2" t="inlineStr">
        <is>
          <t>NA</t>
        </is>
      </c>
      <c r="BW40" s="2" t="inlineStr">
        <is>
          <t>NA</t>
        </is>
      </c>
      <c r="BX40" s="2" t="n">
        <v>422.3</v>
      </c>
      <c r="BY40" s="2" t="inlineStr">
        <is>
          <t>NA</t>
        </is>
      </c>
      <c r="BZ40" s="2" t="inlineStr">
        <is>
          <t>NA</t>
        </is>
      </c>
      <c r="CF40" s="2" t="n">
        <v>95.5</v>
      </c>
      <c r="CG40" s="2" t="n">
        <v>144.3</v>
      </c>
      <c r="CH40" s="2" t="n">
        <v>22.3</v>
      </c>
      <c r="CN40" s="2" t="n">
        <v>67.09999999999999</v>
      </c>
      <c r="CO40" s="2" t="n">
        <v>144.5</v>
      </c>
      <c r="CP40" s="2" t="n">
        <v>110.7</v>
      </c>
      <c r="CQ40" s="2" t="n">
        <v>33.8</v>
      </c>
      <c r="CR40" s="2" t="inlineStr">
        <is>
          <t>NA</t>
        </is>
      </c>
      <c r="CS40" s="2" t="n">
        <v>26.8</v>
      </c>
      <c r="CT40" s="2" t="n">
        <v>12.7</v>
      </c>
      <c r="CU40" s="2" t="n">
        <v>14.1</v>
      </c>
      <c r="CV40" s="2" t="n">
        <v>56.7</v>
      </c>
      <c r="CW40" s="2" t="n">
        <v>56.7</v>
      </c>
      <c r="CY40" s="2" t="n">
        <v>16.6</v>
      </c>
      <c r="CZ40" s="2" t="n">
        <v>27.1</v>
      </c>
      <c r="DA40" s="2" t="n">
        <v>24.8</v>
      </c>
      <c r="DB40" s="2" t="n">
        <v>16.1</v>
      </c>
      <c r="DC40" s="2" t="n">
        <v>8.699999999999999</v>
      </c>
      <c r="DG40" s="2" t="n">
        <v>186.6</v>
      </c>
      <c r="DH40" s="2" t="n">
        <v>134.8</v>
      </c>
      <c r="DI40" s="2" t="n">
        <v>742</v>
      </c>
      <c r="DJ40" s="2" t="n">
        <v>146.3</v>
      </c>
      <c r="DK40" s="2" t="n">
        <v>520</v>
      </c>
      <c r="DL40" s="2" t="n">
        <v>129.1</v>
      </c>
      <c r="DM40" s="2" t="n">
        <v>163.7</v>
      </c>
      <c r="DO40" s="2" t="n">
        <v>178.7</v>
      </c>
      <c r="DP40" s="2" t="n">
        <v>162.6</v>
      </c>
      <c r="DQ40" s="2" t="n">
        <v>90.59999999999999</v>
      </c>
      <c r="DR40" s="2" t="n">
        <v>162.5</v>
      </c>
      <c r="DS40" s="2" t="n">
        <v>625.9</v>
      </c>
      <c r="DT40" s="2" t="n">
        <v>3242.8</v>
      </c>
      <c r="DU40" s="2" t="n">
        <v>-321.4000000000001</v>
      </c>
      <c r="DV40" s="2" t="n">
        <v>0</v>
      </c>
      <c r="GZ40" s="2" t="n">
        <v>827.8</v>
      </c>
      <c r="IN40" s="2" t="n">
        <v>127.3</v>
      </c>
      <c r="IY40" s="2" t="n">
        <v>47.76242753176268</v>
      </c>
      <c r="IZ40" s="2" t="n">
        <v>0.3624275317626768</v>
      </c>
      <c r="JB40" s="2" t="n">
        <v>10.59547304798322</v>
      </c>
      <c r="JC40" s="2" t="n">
        <v>-0.004526952016774999</v>
      </c>
      <c r="JE40" s="2" t="n">
        <v>1304.7</v>
      </c>
      <c r="JF40" s="2" t="n">
        <v>0.5383613091132061</v>
      </c>
    </row>
    <row r="41">
      <c r="A41" s="1" t="n">
        <v>30286</v>
      </c>
      <c r="B41" s="2" t="n">
        <v>3355.9</v>
      </c>
      <c r="C41" s="2" t="n">
        <v>3752.4</v>
      </c>
      <c r="D41" s="2" t="n">
        <v>432.6</v>
      </c>
      <c r="E41" s="2" t="n">
        <v>1959</v>
      </c>
      <c r="F41" s="2" t="inlineStr">
        <is>
          <t>NA</t>
        </is>
      </c>
      <c r="G41" s="2" t="n">
        <v>73.59999999999999</v>
      </c>
      <c r="H41" s="2" t="n">
        <v>70.5</v>
      </c>
      <c r="I41" s="2" t="inlineStr">
        <is>
          <t>NA</t>
        </is>
      </c>
      <c r="J41" s="2" t="inlineStr">
        <is>
          <t>NA</t>
        </is>
      </c>
      <c r="K41" s="2" t="n">
        <v>1191.1</v>
      </c>
      <c r="L41" s="2" t="n">
        <v>1586.7</v>
      </c>
      <c r="M41" s="2" t="n">
        <v>1241.1</v>
      </c>
      <c r="N41" s="2" t="n">
        <v>345.6</v>
      </c>
      <c r="O41" s="2" t="n">
        <v>143.3</v>
      </c>
      <c r="P41" s="2" t="n">
        <v>172.2</v>
      </c>
      <c r="Q41" s="2" t="n">
        <v>66.59999999999999</v>
      </c>
      <c r="R41" s="2" t="n">
        <v>105.6</v>
      </c>
      <c r="T41" s="2" t="inlineStr">
        <is>
          <t>NA</t>
        </is>
      </c>
      <c r="U41" s="2" t="inlineStr">
        <is>
          <t>NA</t>
        </is>
      </c>
      <c r="V41" s="2" t="inlineStr">
        <is>
          <t>NA</t>
        </is>
      </c>
      <c r="W41" s="2" t="n">
        <v>4.3</v>
      </c>
      <c r="X41" s="2" t="n">
        <v>52.9</v>
      </c>
      <c r="Y41" s="2" t="n">
        <v>10.6</v>
      </c>
      <c r="Z41" s="2" t="n">
        <v>93.59999999999999</v>
      </c>
      <c r="AA41" s="2" t="n">
        <v>81.5</v>
      </c>
      <c r="AB41" s="2" t="n">
        <v>12.1</v>
      </c>
      <c r="AC41" s="2" t="inlineStr">
        <is>
          <t>NA</t>
        </is>
      </c>
      <c r="AD41" s="2" t="inlineStr">
        <is>
          <t>NA</t>
        </is>
      </c>
      <c r="AG41" s="2" t="inlineStr">
        <is>
          <t>NA</t>
        </is>
      </c>
      <c r="AH41" s="2" t="inlineStr">
        <is>
          <t>NA</t>
        </is>
      </c>
      <c r="AI41" s="2" t="n">
        <v>78.40000000000001</v>
      </c>
      <c r="AL41" s="2" t="n">
        <v>66.19999999999999</v>
      </c>
      <c r="AM41" s="2" t="n">
        <v>38.8</v>
      </c>
      <c r="AN41" s="2" t="n">
        <v>27.4</v>
      </c>
      <c r="AO41" s="2" t="n">
        <v>2593.1</v>
      </c>
      <c r="AP41" s="2" t="n">
        <v>286.6</v>
      </c>
      <c r="AQ41" s="2" t="n">
        <v>85.59999999999999</v>
      </c>
      <c r="AR41" s="2" t="n">
        <v>45.7</v>
      </c>
      <c r="AS41" s="2" t="n">
        <v>197.3</v>
      </c>
      <c r="AT41" s="2" t="n">
        <v>142.9</v>
      </c>
      <c r="AU41" s="2" t="n">
        <v>108.1</v>
      </c>
      <c r="AV41" s="2" t="n">
        <v>47.8</v>
      </c>
      <c r="AW41" s="2" t="inlineStr">
        <is>
          <t>NA</t>
        </is>
      </c>
      <c r="AX41" s="2" t="inlineStr">
        <is>
          <t>NA</t>
        </is>
      </c>
      <c r="AY41" s="2" t="n">
        <v>38.5</v>
      </c>
      <c r="AZ41" s="2" t="n">
        <v>9</v>
      </c>
      <c r="BA41" s="2" t="inlineStr">
        <is>
          <t>NA</t>
        </is>
      </c>
      <c r="BB41" s="2" t="inlineStr">
        <is>
          <t>NA</t>
        </is>
      </c>
      <c r="BD41" s="2" t="n">
        <v>104.6</v>
      </c>
      <c r="BE41" s="2" t="n">
        <v>58.8</v>
      </c>
      <c r="BM41" s="2" t="n">
        <v>530.1</v>
      </c>
      <c r="BS41" s="2" t="n">
        <v>368.1</v>
      </c>
      <c r="BU41" s="2" t="n">
        <v>37.5</v>
      </c>
      <c r="BV41" s="2" t="inlineStr">
        <is>
          <t>NA</t>
        </is>
      </c>
      <c r="BW41" s="2" t="inlineStr">
        <is>
          <t>NA</t>
        </is>
      </c>
      <c r="BX41" s="2" t="n">
        <v>428.7</v>
      </c>
      <c r="BY41" s="2" t="inlineStr">
        <is>
          <t>NA</t>
        </is>
      </c>
      <c r="BZ41" s="2" t="inlineStr">
        <is>
          <t>NA</t>
        </is>
      </c>
      <c r="CF41" s="2" t="n">
        <v>85.90000000000001</v>
      </c>
      <c r="CG41" s="2" t="n">
        <v>180.6</v>
      </c>
      <c r="CH41" s="2" t="n">
        <v>21.2</v>
      </c>
      <c r="CN41" s="2" t="n">
        <v>54.2</v>
      </c>
      <c r="CO41" s="2" t="n">
        <v>127.1</v>
      </c>
      <c r="CP41" s="2" t="n">
        <v>97.90000000000001</v>
      </c>
      <c r="CQ41" s="2" t="n">
        <v>29.2</v>
      </c>
      <c r="CR41" s="2" t="inlineStr">
        <is>
          <t>NA</t>
        </is>
      </c>
      <c r="CS41" s="2" t="n">
        <v>39</v>
      </c>
      <c r="CT41" s="2" t="n">
        <v>22</v>
      </c>
      <c r="CU41" s="2" t="n">
        <v>17</v>
      </c>
      <c r="CV41" s="2" t="n">
        <v>57.7</v>
      </c>
      <c r="CW41" s="2" t="n">
        <v>57.7</v>
      </c>
      <c r="CY41" s="2" t="n">
        <v>14.8</v>
      </c>
      <c r="CZ41" s="2" t="n">
        <v>34.9</v>
      </c>
      <c r="DA41" s="2" t="n">
        <v>28.7</v>
      </c>
      <c r="DB41" s="2" t="n">
        <v>20.5</v>
      </c>
      <c r="DC41" s="2" t="n">
        <v>8.199999999999999</v>
      </c>
      <c r="DG41" s="2" t="n">
        <v>174.6</v>
      </c>
      <c r="DI41" s="2" t="n">
        <v>775.7</v>
      </c>
      <c r="DJ41" s="2" t="n">
        <v>157</v>
      </c>
      <c r="DK41" s="2" t="n">
        <v>509.3</v>
      </c>
      <c r="DL41" s="2" t="n">
        <v>133</v>
      </c>
      <c r="DM41" s="2" t="n">
        <v>193</v>
      </c>
      <c r="DO41" s="2" t="n">
        <v>186.7</v>
      </c>
      <c r="DP41" s="2" t="n">
        <v>167.6</v>
      </c>
      <c r="DQ41" s="2" t="n">
        <v>85</v>
      </c>
      <c r="DR41" s="2" t="n">
        <v>167.3</v>
      </c>
      <c r="DS41" s="2" t="n">
        <v>806.7</v>
      </c>
      <c r="DT41" s="2" t="n">
        <v>3355.9</v>
      </c>
      <c r="DU41" s="2" t="n">
        <v>-174.5999999999999</v>
      </c>
      <c r="DV41" s="2" t="n">
        <v>0</v>
      </c>
      <c r="GZ41" s="2" t="n">
        <v>795.1</v>
      </c>
      <c r="IN41" s="2" t="n">
        <v>124.5</v>
      </c>
      <c r="IY41" s="2" t="n">
        <v>47.89236866414375</v>
      </c>
      <c r="IZ41" s="2" t="n">
        <v>0.3923686641437456</v>
      </c>
      <c r="JB41" s="2" t="n">
        <v>10.6478142972079</v>
      </c>
      <c r="JC41" s="2" t="n">
        <v>0.04781429720790165</v>
      </c>
      <c r="JE41" s="2" t="n">
        <v>1586.7</v>
      </c>
      <c r="JF41" s="2" t="n">
        <v>0.5434549694334153</v>
      </c>
    </row>
    <row r="42">
      <c r="A42" s="1" t="n">
        <v>30317</v>
      </c>
      <c r="B42" s="2" t="n">
        <v>3300.4</v>
      </c>
      <c r="C42" s="2" t="n">
        <v>3487.2</v>
      </c>
      <c r="D42" s="2" t="n">
        <v>435.6</v>
      </c>
      <c r="E42" s="2" t="n">
        <v>1667.3</v>
      </c>
      <c r="F42" s="2" t="inlineStr">
        <is>
          <t>NA</t>
        </is>
      </c>
      <c r="G42" s="2" t="n">
        <v>71.59999999999999</v>
      </c>
      <c r="H42" s="2" t="n">
        <v>63.2</v>
      </c>
      <c r="I42" s="2" t="inlineStr">
        <is>
          <t>NA</t>
        </is>
      </c>
      <c r="J42" s="2" t="inlineStr">
        <is>
          <t>NA</t>
        </is>
      </c>
      <c r="K42" s="2" t="n">
        <v>1167.2</v>
      </c>
      <c r="L42" s="2" t="n">
        <v>1713.4</v>
      </c>
      <c r="M42" s="2" t="n">
        <v>1370.6</v>
      </c>
      <c r="N42" s="2" t="n">
        <v>342.8</v>
      </c>
      <c r="O42" s="2" t="n">
        <v>137.6</v>
      </c>
      <c r="P42" s="2" t="n">
        <v>175.3</v>
      </c>
      <c r="Q42" s="2" t="n">
        <v>78.40000000000001</v>
      </c>
      <c r="R42" s="2" t="n">
        <v>96.90000000000001</v>
      </c>
      <c r="T42" s="2" t="inlineStr">
        <is>
          <t>NA</t>
        </is>
      </c>
      <c r="U42" s="2" t="inlineStr">
        <is>
          <t>NA</t>
        </is>
      </c>
      <c r="V42" s="2" t="inlineStr">
        <is>
          <t>NA</t>
        </is>
      </c>
      <c r="W42" s="2" t="n">
        <v>5.3</v>
      </c>
      <c r="X42" s="2" t="n">
        <v>53.1</v>
      </c>
      <c r="Y42" s="2" t="n">
        <v>6.6</v>
      </c>
      <c r="Z42" s="2" t="n">
        <v>126</v>
      </c>
      <c r="AA42" s="2" t="n">
        <v>113.6</v>
      </c>
      <c r="AB42" s="2" t="n">
        <v>12.4</v>
      </c>
      <c r="AC42" s="2" t="inlineStr">
        <is>
          <t>NA</t>
        </is>
      </c>
      <c r="AD42" s="2" t="inlineStr">
        <is>
          <t>NA</t>
        </is>
      </c>
      <c r="AG42" s="2" t="inlineStr">
        <is>
          <t>NA</t>
        </is>
      </c>
      <c r="AH42" s="2" t="inlineStr">
        <is>
          <t>NA</t>
        </is>
      </c>
      <c r="AI42" s="2" t="n">
        <v>78.90000000000001</v>
      </c>
      <c r="AL42" s="2" t="n">
        <v>64.40000000000001</v>
      </c>
      <c r="AM42" s="2" t="n">
        <v>39</v>
      </c>
      <c r="AN42" s="2" t="n">
        <v>25.4</v>
      </c>
      <c r="AO42" s="2" t="n">
        <v>2545.3</v>
      </c>
      <c r="AP42" s="2" t="n">
        <v>358.3</v>
      </c>
      <c r="AQ42" s="2" t="n">
        <v>82.8</v>
      </c>
      <c r="AR42" s="2" t="n">
        <v>41.9</v>
      </c>
      <c r="AS42" s="2" t="n">
        <v>195.1</v>
      </c>
      <c r="AT42" s="2" t="n">
        <v>101.5</v>
      </c>
      <c r="AU42" s="2" t="n">
        <v>112.7</v>
      </c>
      <c r="AV42" s="2" t="n">
        <v>46.4</v>
      </c>
      <c r="AW42" s="2" t="inlineStr">
        <is>
          <t>NA</t>
        </is>
      </c>
      <c r="AX42" s="2" t="inlineStr">
        <is>
          <t>NA</t>
        </is>
      </c>
      <c r="AY42" s="2" t="n">
        <v>36.9</v>
      </c>
      <c r="AZ42" s="2" t="n">
        <v>9.5</v>
      </c>
      <c r="BA42" s="2" t="inlineStr">
        <is>
          <t>NA</t>
        </is>
      </c>
      <c r="BB42" s="2" t="inlineStr">
        <is>
          <t>NA</t>
        </is>
      </c>
      <c r="BD42" s="2" t="n">
        <v>97.09999999999999</v>
      </c>
      <c r="BE42" s="2" t="n">
        <v>58.9</v>
      </c>
      <c r="BM42" s="2" t="n">
        <v>503.7</v>
      </c>
      <c r="BS42" s="2" t="n">
        <v>375.9</v>
      </c>
      <c r="BU42" s="2" t="n">
        <v>38.3</v>
      </c>
      <c r="BV42" s="2" t="inlineStr">
        <is>
          <t>NA</t>
        </is>
      </c>
      <c r="BW42" s="2" t="inlineStr">
        <is>
          <t>NA</t>
        </is>
      </c>
      <c r="BX42" s="2" t="n">
        <v>402.7</v>
      </c>
      <c r="BY42" s="2" t="inlineStr">
        <is>
          <t>NA</t>
        </is>
      </c>
      <c r="BZ42" s="2" t="inlineStr">
        <is>
          <t>NA</t>
        </is>
      </c>
      <c r="CF42" s="2" t="n">
        <v>92.5</v>
      </c>
      <c r="CG42" s="2" t="n">
        <v>166.1</v>
      </c>
      <c r="CH42" s="2" t="n">
        <v>20.7</v>
      </c>
      <c r="CN42" s="2" t="n">
        <v>53.5</v>
      </c>
      <c r="CO42" s="2" t="n">
        <v>143.9</v>
      </c>
      <c r="CP42" s="2" t="n">
        <v>109.4</v>
      </c>
      <c r="CQ42" s="2" t="n">
        <v>34.5</v>
      </c>
      <c r="CR42" s="2" t="inlineStr">
        <is>
          <t>NA</t>
        </is>
      </c>
      <c r="CS42" s="2" t="n">
        <v>34.09999999999999</v>
      </c>
      <c r="CT42" s="2" t="n">
        <v>20.4</v>
      </c>
      <c r="CU42" s="2" t="n">
        <v>13.7</v>
      </c>
      <c r="CV42" s="2" t="n">
        <v>57.9</v>
      </c>
      <c r="CW42" s="2" t="n">
        <v>57.9</v>
      </c>
      <c r="CY42" s="2" t="n">
        <v>12.1</v>
      </c>
      <c r="CZ42" s="2" t="n">
        <v>31.3</v>
      </c>
      <c r="DA42" s="2" t="n">
        <v>37.7</v>
      </c>
      <c r="DB42" s="2" t="n">
        <v>25.9</v>
      </c>
      <c r="DC42" s="2" t="n">
        <v>11.8</v>
      </c>
      <c r="DG42" s="2" t="n">
        <v>161.5</v>
      </c>
      <c r="DH42" s="2" t="n">
        <v>135.8</v>
      </c>
      <c r="DI42" s="2" t="n">
        <v>741.3</v>
      </c>
      <c r="DJ42" s="2" t="n">
        <v>150.4</v>
      </c>
      <c r="DK42" s="2" t="n">
        <v>559.6</v>
      </c>
      <c r="DL42" s="2" t="n">
        <v>133.9</v>
      </c>
      <c r="DM42" s="2" t="n">
        <v>197.7</v>
      </c>
      <c r="DO42" s="2" t="n">
        <v>182.3</v>
      </c>
      <c r="DP42" s="2" t="n">
        <v>164.1</v>
      </c>
      <c r="DQ42" s="2" t="n">
        <v>86.8</v>
      </c>
      <c r="DR42" s="2" t="n">
        <v>159.2</v>
      </c>
      <c r="DS42" s="2" t="n">
        <v>627.8</v>
      </c>
      <c r="DT42" s="2" t="n">
        <v>3300.4</v>
      </c>
      <c r="DU42" s="2" t="n">
        <v>-297.2999999999997</v>
      </c>
      <c r="DV42" s="2" t="n">
        <v>0</v>
      </c>
      <c r="GZ42" s="2" t="n">
        <v>784.1</v>
      </c>
      <c r="IN42" s="2" t="n">
        <v>119.2</v>
      </c>
      <c r="IY42" s="2" t="n">
        <v>47.77784510968368</v>
      </c>
      <c r="IZ42" s="2" t="n">
        <v>0.2778451096836818</v>
      </c>
      <c r="JB42" s="2" t="n">
        <v>10.60962307599079</v>
      </c>
      <c r="JC42" s="2" t="n">
        <v>0.009623075990790042</v>
      </c>
      <c r="JE42" s="2" t="n">
        <v>1713.4</v>
      </c>
      <c r="JF42" s="2" t="n">
        <v>0.5466907902416249</v>
      </c>
    </row>
    <row r="43">
      <c r="A43" s="1" t="n">
        <v>30348</v>
      </c>
      <c r="B43" s="2" t="n">
        <v>2789.3</v>
      </c>
      <c r="C43" s="2" t="n">
        <v>2954.4</v>
      </c>
      <c r="D43" s="2" t="n">
        <v>368.7</v>
      </c>
      <c r="E43" s="2" t="n">
        <v>1418.5</v>
      </c>
      <c r="F43" s="2" t="inlineStr">
        <is>
          <t>NA</t>
        </is>
      </c>
      <c r="G43" s="2" t="n">
        <v>69.3</v>
      </c>
      <c r="H43" s="2" t="n">
        <v>46.2</v>
      </c>
      <c r="I43" s="2" t="inlineStr">
        <is>
          <t>NA</t>
        </is>
      </c>
      <c r="J43" s="2" t="inlineStr">
        <is>
          <t>NA</t>
        </is>
      </c>
      <c r="K43" s="2" t="n">
        <v>997</v>
      </c>
      <c r="L43" s="2" t="n">
        <v>1700.3</v>
      </c>
      <c r="M43" s="2" t="n">
        <v>1364.7</v>
      </c>
      <c r="N43" s="2" t="n">
        <v>335.6</v>
      </c>
      <c r="O43" s="2" t="n">
        <v>117.7</v>
      </c>
      <c r="P43" s="2" t="n">
        <v>175.1</v>
      </c>
      <c r="Q43" s="2" t="n">
        <v>74.5</v>
      </c>
      <c r="R43" s="2" t="n">
        <v>100.6</v>
      </c>
      <c r="T43" s="2" t="inlineStr">
        <is>
          <t>NA</t>
        </is>
      </c>
      <c r="U43" s="2" t="inlineStr">
        <is>
          <t>NA</t>
        </is>
      </c>
      <c r="V43" s="2" t="inlineStr">
        <is>
          <t>NA</t>
        </is>
      </c>
      <c r="W43" s="2" t="n">
        <v>4.1</v>
      </c>
      <c r="X43" s="2" t="n">
        <v>55.3</v>
      </c>
      <c r="Y43" s="2" t="n">
        <v>6.5</v>
      </c>
      <c r="Z43" s="2" t="n">
        <v>118.8</v>
      </c>
      <c r="AA43" s="2" t="n">
        <v>101.1</v>
      </c>
      <c r="AB43" s="2" t="n">
        <v>17.7</v>
      </c>
      <c r="AC43" s="2" t="inlineStr">
        <is>
          <t>NA</t>
        </is>
      </c>
      <c r="AD43" s="2" t="inlineStr">
        <is>
          <t>NA</t>
        </is>
      </c>
      <c r="AG43" s="2" t="inlineStr">
        <is>
          <t>NA</t>
        </is>
      </c>
      <c r="AH43" s="2" t="inlineStr">
        <is>
          <t>NA</t>
        </is>
      </c>
      <c r="AI43" s="2" t="n">
        <v>73.09999999999999</v>
      </c>
      <c r="AL43" s="2" t="n">
        <v>66.19999999999999</v>
      </c>
      <c r="AM43" s="2" t="n">
        <v>39.3</v>
      </c>
      <c r="AN43" s="2" t="n">
        <v>26.9</v>
      </c>
      <c r="AO43" s="2" t="n">
        <v>2143.7</v>
      </c>
      <c r="AP43" s="2" t="n">
        <v>387.1</v>
      </c>
      <c r="AQ43" s="2" t="n">
        <v>77</v>
      </c>
      <c r="AR43" s="2" t="n">
        <v>35.7</v>
      </c>
      <c r="AS43" s="2" t="n">
        <v>167</v>
      </c>
      <c r="AT43" s="2" t="n">
        <v>107.3</v>
      </c>
      <c r="AU43" s="2" t="n">
        <v>96.09999999999999</v>
      </c>
      <c r="AV43" s="2" t="n">
        <v>53.1</v>
      </c>
      <c r="AW43" s="2" t="inlineStr">
        <is>
          <t>NA</t>
        </is>
      </c>
      <c r="AX43" s="2" t="inlineStr">
        <is>
          <t>NA</t>
        </is>
      </c>
      <c r="AY43" s="2" t="n">
        <v>37.5</v>
      </c>
      <c r="AZ43" s="2" t="n">
        <v>12.1</v>
      </c>
      <c r="BA43" s="2" t="inlineStr">
        <is>
          <t>NA</t>
        </is>
      </c>
      <c r="BB43" s="2" t="inlineStr">
        <is>
          <t>NA</t>
        </is>
      </c>
      <c r="BD43" s="2" t="n">
        <v>93</v>
      </c>
      <c r="BE43" s="2" t="n">
        <v>51.8</v>
      </c>
      <c r="BM43" s="2" t="n">
        <v>467.2</v>
      </c>
      <c r="BS43" s="2" t="n">
        <v>358.4</v>
      </c>
      <c r="BU43" s="2" t="n">
        <v>31.5</v>
      </c>
      <c r="BV43" s="2" t="inlineStr">
        <is>
          <t>NA</t>
        </is>
      </c>
      <c r="BW43" s="2" t="inlineStr">
        <is>
          <t>NA</t>
        </is>
      </c>
      <c r="BX43" s="2" t="n">
        <v>366.2</v>
      </c>
      <c r="BY43" s="2" t="inlineStr">
        <is>
          <t>NA</t>
        </is>
      </c>
      <c r="BZ43" s="2" t="inlineStr">
        <is>
          <t>NA</t>
        </is>
      </c>
      <c r="CF43" s="2" t="n">
        <v>98</v>
      </c>
      <c r="CG43" s="2" t="n">
        <v>180.1</v>
      </c>
      <c r="CH43" s="2" t="n">
        <v>21.4</v>
      </c>
      <c r="CN43" s="2" t="n">
        <v>57.5</v>
      </c>
      <c r="CO43" s="2" t="n">
        <v>144.7</v>
      </c>
      <c r="CP43" s="2" t="n">
        <v>104.1</v>
      </c>
      <c r="CQ43" s="2" t="n">
        <v>40.6</v>
      </c>
      <c r="CR43" s="2" t="inlineStr">
        <is>
          <t>NA</t>
        </is>
      </c>
      <c r="CS43" s="2" t="n">
        <v>41.8</v>
      </c>
      <c r="CT43" s="2" t="n">
        <v>29.4</v>
      </c>
      <c r="CU43" s="2" t="n">
        <v>12.4</v>
      </c>
      <c r="CV43" s="2" t="n">
        <v>76.40000000000001</v>
      </c>
      <c r="CW43" s="2" t="n">
        <v>76.40000000000001</v>
      </c>
      <c r="CY43" s="2" t="n">
        <v>12.5</v>
      </c>
      <c r="CZ43" s="2" t="n">
        <v>46.3</v>
      </c>
      <c r="DA43" s="2" t="inlineStr">
        <is>
          <t>NA</t>
        </is>
      </c>
      <c r="DB43" s="2" t="inlineStr">
        <is>
          <t>NA</t>
        </is>
      </c>
      <c r="DC43" s="2" t="inlineStr">
        <is>
          <t>NA</t>
        </is>
      </c>
      <c r="DG43" s="2" t="n">
        <v>128</v>
      </c>
      <c r="DH43" s="2" t="n">
        <v>126.8</v>
      </c>
      <c r="DI43" s="2" t="n">
        <v>607.3</v>
      </c>
      <c r="DJ43" s="2" t="n">
        <v>138.4</v>
      </c>
      <c r="DK43" s="2" t="n">
        <v>479.7</v>
      </c>
      <c r="DL43" s="2" t="n">
        <v>117.9</v>
      </c>
      <c r="DM43" s="2" t="n">
        <v>156.2</v>
      </c>
      <c r="DO43" s="2" t="n">
        <v>151.3</v>
      </c>
      <c r="DP43" s="2" t="n">
        <v>151.4</v>
      </c>
      <c r="DQ43" s="2" t="n">
        <v>75</v>
      </c>
      <c r="DR43" s="2" t="n">
        <v>145.7</v>
      </c>
      <c r="DS43" s="2" t="n">
        <v>511.6</v>
      </c>
      <c r="DT43" s="2" t="n">
        <v>2789.3</v>
      </c>
      <c r="DU43" s="2" t="n">
        <v>-254.8000000000002</v>
      </c>
      <c r="DV43" s="2" t="n">
        <v>0</v>
      </c>
      <c r="GZ43" s="2" t="n">
        <v>727.1</v>
      </c>
      <c r="IN43" s="2" t="n">
        <v>113.4</v>
      </c>
      <c r="IY43" s="2" t="n">
        <v>47.76897429462588</v>
      </c>
      <c r="IZ43" s="2" t="n">
        <v>0.2689742946258846</v>
      </c>
      <c r="JB43" s="2" t="n">
        <v>10.72312049618184</v>
      </c>
      <c r="JC43" s="2" t="n">
        <v>0.02312049618183742</v>
      </c>
      <c r="JE43" s="2" t="n">
        <v>1700.3</v>
      </c>
      <c r="JF43" s="2" t="n">
        <v>0.593248250308769</v>
      </c>
    </row>
    <row r="44">
      <c r="A44" s="1" t="n">
        <v>30376</v>
      </c>
      <c r="B44" s="2" t="n">
        <v>2837.3</v>
      </c>
      <c r="C44" s="2" t="n">
        <v>2885</v>
      </c>
      <c r="D44" s="2" t="n">
        <v>321.7</v>
      </c>
      <c r="E44" s="2" t="n">
        <v>1777.8</v>
      </c>
      <c r="F44" s="2" t="inlineStr">
        <is>
          <t>NA</t>
        </is>
      </c>
      <c r="G44" s="2" t="n">
        <v>103.8</v>
      </c>
      <c r="H44" s="2" t="n">
        <v>41.9</v>
      </c>
      <c r="I44" s="2" t="inlineStr">
        <is>
          <t>NA</t>
        </is>
      </c>
      <c r="J44" s="2" t="inlineStr">
        <is>
          <t>NA</t>
        </is>
      </c>
      <c r="K44" s="2" t="n">
        <v>1015.4</v>
      </c>
      <c r="L44" s="2" t="n">
        <v>1841.8</v>
      </c>
      <c r="M44" s="2" t="n">
        <v>1525.1</v>
      </c>
      <c r="N44" s="2" t="n">
        <v>316.7</v>
      </c>
      <c r="O44" s="2" t="n">
        <v>102.6</v>
      </c>
      <c r="P44" s="2" t="n">
        <v>158.1</v>
      </c>
      <c r="Q44" s="2" t="n">
        <v>70.3</v>
      </c>
      <c r="R44" s="2" t="n">
        <v>87.8</v>
      </c>
      <c r="T44" s="2" t="inlineStr">
        <is>
          <t>NA</t>
        </is>
      </c>
      <c r="U44" s="2" t="inlineStr">
        <is>
          <t>NA</t>
        </is>
      </c>
      <c r="V44" s="2" t="inlineStr">
        <is>
          <t>NA</t>
        </is>
      </c>
      <c r="W44" s="2" t="n">
        <v>4.3</v>
      </c>
      <c r="X44" s="2" t="n">
        <v>77.59999999999999</v>
      </c>
      <c r="Y44" s="2" t="n">
        <v>14.3</v>
      </c>
      <c r="Z44" s="2" t="n">
        <v>96.90000000000001</v>
      </c>
      <c r="AA44" s="2" t="n">
        <v>80.40000000000001</v>
      </c>
      <c r="AB44" s="2" t="n">
        <v>16.5</v>
      </c>
      <c r="AC44" s="2" t="inlineStr">
        <is>
          <t>NA</t>
        </is>
      </c>
      <c r="AD44" s="2" t="inlineStr">
        <is>
          <t>NA</t>
        </is>
      </c>
      <c r="AG44" s="2" t="inlineStr">
        <is>
          <t>NA</t>
        </is>
      </c>
      <c r="AH44" s="2" t="inlineStr">
        <is>
          <t>NA</t>
        </is>
      </c>
      <c r="AI44" s="2" t="n">
        <v>88.2</v>
      </c>
      <c r="AL44" s="2" t="n">
        <v>78.2</v>
      </c>
      <c r="AM44" s="2" t="n">
        <v>51.9</v>
      </c>
      <c r="AN44" s="2" t="n">
        <v>26.3</v>
      </c>
      <c r="AO44" s="2" t="n">
        <v>2176.5</v>
      </c>
      <c r="AP44" s="2" t="n">
        <v>306.4</v>
      </c>
      <c r="AQ44" s="2" t="n">
        <v>82.2</v>
      </c>
      <c r="AR44" s="2" t="n">
        <v>34.6</v>
      </c>
      <c r="AS44" s="2" t="n">
        <v>146.7</v>
      </c>
      <c r="AT44" s="2" t="n">
        <v>106.6</v>
      </c>
      <c r="AU44" s="2" t="n">
        <v>80.8</v>
      </c>
      <c r="AV44" s="2" t="n">
        <v>41.7</v>
      </c>
      <c r="AW44" s="2" t="inlineStr">
        <is>
          <t>NA</t>
        </is>
      </c>
      <c r="AX44" s="2" t="inlineStr">
        <is>
          <t>NA</t>
        </is>
      </c>
      <c r="AY44" s="2" t="n">
        <v>56.4</v>
      </c>
      <c r="AZ44" s="2" t="n">
        <v>14.5</v>
      </c>
      <c r="BA44" s="2" t="inlineStr">
        <is>
          <t>NA</t>
        </is>
      </c>
      <c r="BB44" s="2" t="inlineStr">
        <is>
          <t>NA</t>
        </is>
      </c>
      <c r="BD44" s="2" t="n">
        <v>107.3</v>
      </c>
      <c r="BE44" s="2" t="n">
        <v>40</v>
      </c>
      <c r="BM44" s="2" t="n">
        <v>531.3</v>
      </c>
      <c r="BS44" s="2" t="n">
        <v>372.6</v>
      </c>
      <c r="BU44" s="2" t="n">
        <v>36.1</v>
      </c>
      <c r="BV44" s="2" t="inlineStr">
        <is>
          <t>NA</t>
        </is>
      </c>
      <c r="BW44" s="2" t="inlineStr">
        <is>
          <t>NA</t>
        </is>
      </c>
      <c r="BX44" s="2" t="n">
        <v>412.1</v>
      </c>
      <c r="BY44" s="2" t="inlineStr">
        <is>
          <t>NA</t>
        </is>
      </c>
      <c r="BZ44" s="2" t="inlineStr">
        <is>
          <t>NA</t>
        </is>
      </c>
      <c r="CF44" s="2" t="n">
        <v>118.9</v>
      </c>
      <c r="CG44" s="2" t="n">
        <v>193.1</v>
      </c>
      <c r="CH44" s="2" t="n">
        <v>24.2</v>
      </c>
      <c r="CN44" s="2" t="n">
        <v>52.1</v>
      </c>
      <c r="CO44" s="2" t="n">
        <v>144</v>
      </c>
      <c r="CP44" s="2" t="n">
        <v>112.2</v>
      </c>
      <c r="CQ44" s="2" t="n">
        <v>31.8</v>
      </c>
      <c r="CR44" s="2" t="inlineStr">
        <is>
          <t>NA</t>
        </is>
      </c>
      <c r="CS44" s="2" t="n">
        <v>41.59999999999999</v>
      </c>
      <c r="CT44" s="2" t="n">
        <v>23.4</v>
      </c>
      <c r="CU44" s="2" t="n">
        <v>18.2</v>
      </c>
      <c r="CV44" s="2" t="n">
        <v>72.7</v>
      </c>
      <c r="CW44" s="2" t="n">
        <v>72.7</v>
      </c>
      <c r="CY44" s="2" t="inlineStr">
        <is>
          <t>NA</t>
        </is>
      </c>
      <c r="CZ44" s="2" t="n">
        <v>34.5</v>
      </c>
      <c r="DA44" s="2" t="inlineStr">
        <is>
          <t>NA</t>
        </is>
      </c>
      <c r="DB44" s="2" t="inlineStr">
        <is>
          <t>NA</t>
        </is>
      </c>
      <c r="DC44" s="2" t="inlineStr">
        <is>
          <t>NA</t>
        </is>
      </c>
      <c r="DG44" s="2" t="n">
        <v>142.4</v>
      </c>
      <c r="DH44" s="2" t="n">
        <v>140.1</v>
      </c>
      <c r="DI44" s="2" t="n">
        <v>625.6</v>
      </c>
      <c r="DK44" s="2" t="n">
        <v>459</v>
      </c>
      <c r="DL44" s="2" t="n">
        <v>129.3</v>
      </c>
      <c r="DM44" s="2" t="n">
        <v>174.2</v>
      </c>
      <c r="DO44" s="2" t="n">
        <v>133.6</v>
      </c>
      <c r="DP44" s="2" t="n">
        <v>164.1</v>
      </c>
      <c r="DQ44" s="2" t="n">
        <v>82.09999999999999</v>
      </c>
      <c r="DS44" s="2" t="n">
        <v>786.9</v>
      </c>
      <c r="DT44" s="2" t="n">
        <v>2837.3</v>
      </c>
      <c r="DU44" s="2" t="n">
        <v>-282.5000000000005</v>
      </c>
      <c r="DV44" s="2" t="n">
        <v>0</v>
      </c>
      <c r="GZ44" s="2" t="n">
        <v>841.8</v>
      </c>
      <c r="IN44" s="2" t="n">
        <v>103.1</v>
      </c>
      <c r="IY44" s="2" t="n">
        <v>47.76442392415324</v>
      </c>
      <c r="IZ44" s="2" t="n">
        <v>0.1644239241532404</v>
      </c>
      <c r="JB44" s="2" t="n">
        <v>10.73626334895852</v>
      </c>
      <c r="JC44" s="2" t="n">
        <v>0.03626334895851713</v>
      </c>
      <c r="JE44" s="2" t="n">
        <v>1841.8</v>
      </c>
      <c r="JF44" s="2" t="n">
        <v>0.5574438049733956</v>
      </c>
    </row>
    <row r="45">
      <c r="A45" s="1" t="n">
        <v>30407</v>
      </c>
      <c r="B45" s="2" t="n">
        <v>2454</v>
      </c>
      <c r="C45" s="2" t="n">
        <v>2539.4</v>
      </c>
      <c r="D45" s="2" t="n">
        <v>240.5</v>
      </c>
      <c r="E45" s="2" t="n">
        <v>892.4</v>
      </c>
      <c r="F45" s="2" t="inlineStr">
        <is>
          <t>NA</t>
        </is>
      </c>
      <c r="G45" s="2" t="n">
        <v>112.2</v>
      </c>
      <c r="H45" s="2" t="n">
        <v>34.8</v>
      </c>
      <c r="I45" s="2" t="inlineStr">
        <is>
          <t>NA</t>
        </is>
      </c>
      <c r="J45" s="2" t="inlineStr">
        <is>
          <t>NA</t>
        </is>
      </c>
      <c r="K45" s="2" t="n">
        <v>881.3</v>
      </c>
      <c r="L45" s="2" t="n">
        <v>1600.5</v>
      </c>
      <c r="M45" s="2" t="n">
        <v>1264.2</v>
      </c>
      <c r="N45" s="2" t="n">
        <v>336.3</v>
      </c>
      <c r="O45" s="2" t="n">
        <v>75.8</v>
      </c>
      <c r="P45" s="2" t="n">
        <v>164.7</v>
      </c>
      <c r="Q45" s="2" t="n">
        <v>75.8</v>
      </c>
      <c r="R45" s="2" t="n">
        <v>88.90000000000001</v>
      </c>
      <c r="T45" s="2" t="inlineStr">
        <is>
          <t>NA</t>
        </is>
      </c>
      <c r="U45" s="2" t="inlineStr">
        <is>
          <t>NA</t>
        </is>
      </c>
      <c r="V45" s="2" t="inlineStr">
        <is>
          <t>NA</t>
        </is>
      </c>
      <c r="W45" s="2" t="n">
        <v>3.4</v>
      </c>
      <c r="X45" s="2" t="n">
        <v>71.09999999999999</v>
      </c>
      <c r="Y45" s="2" t="n">
        <v>6.9</v>
      </c>
      <c r="Z45" s="2" t="n">
        <v>87.09999999999999</v>
      </c>
      <c r="AA45" s="2" t="n">
        <v>75.59999999999999</v>
      </c>
      <c r="AB45" s="2" t="n">
        <v>11.5</v>
      </c>
      <c r="AC45" s="2" t="inlineStr">
        <is>
          <t>NA</t>
        </is>
      </c>
      <c r="AD45" s="2" t="inlineStr">
        <is>
          <t>NA</t>
        </is>
      </c>
      <c r="AG45" s="2" t="inlineStr">
        <is>
          <t>NA</t>
        </is>
      </c>
      <c r="AH45" s="2" t="inlineStr">
        <is>
          <t>NA</t>
        </is>
      </c>
      <c r="AI45" s="2" t="n">
        <v>79.8</v>
      </c>
      <c r="AL45" s="2" t="n">
        <v>80.2</v>
      </c>
      <c r="AM45" s="2" t="n">
        <v>51.9</v>
      </c>
      <c r="AN45" s="2" t="n">
        <v>28.3</v>
      </c>
      <c r="AO45" s="2" t="n">
        <v>1871.7</v>
      </c>
      <c r="AP45" s="2" t="n">
        <v>322.2</v>
      </c>
      <c r="AQ45" s="2" t="n">
        <v>78</v>
      </c>
      <c r="AR45" s="2" t="n">
        <v>33.9</v>
      </c>
      <c r="AS45" s="2" t="n">
        <v>107.8</v>
      </c>
      <c r="AT45" s="2" t="n">
        <v>98.09999999999999</v>
      </c>
      <c r="AU45" s="2" t="n">
        <v>58.3</v>
      </c>
      <c r="AV45" s="2" t="n">
        <v>45.2</v>
      </c>
      <c r="AW45" s="2" t="inlineStr">
        <is>
          <t>NA</t>
        </is>
      </c>
      <c r="AX45" s="2" t="inlineStr">
        <is>
          <t>NA</t>
        </is>
      </c>
      <c r="AY45" s="2" t="n">
        <v>71.09999999999999</v>
      </c>
      <c r="AZ45" s="2" t="n">
        <v>22.8</v>
      </c>
      <c r="BA45" s="2" t="inlineStr">
        <is>
          <t>NA</t>
        </is>
      </c>
      <c r="BB45" s="2" t="inlineStr">
        <is>
          <t>NA</t>
        </is>
      </c>
      <c r="BD45" s="2" t="n">
        <v>94.09999999999999</v>
      </c>
      <c r="BE45" s="2" t="n">
        <v>39.9</v>
      </c>
      <c r="BM45" s="2" t="n">
        <v>484.4</v>
      </c>
      <c r="BS45" s="2" t="n">
        <v>333.5</v>
      </c>
      <c r="BU45" s="2" t="n">
        <v>39.1</v>
      </c>
      <c r="BV45" s="2" t="inlineStr">
        <is>
          <t>NA</t>
        </is>
      </c>
      <c r="BW45" s="2" t="inlineStr">
        <is>
          <t>NA</t>
        </is>
      </c>
      <c r="BX45" s="2" t="n">
        <v>398.8</v>
      </c>
      <c r="BY45" s="2" t="inlineStr">
        <is>
          <t>NA</t>
        </is>
      </c>
      <c r="BZ45" s="2" t="inlineStr">
        <is>
          <t>NA</t>
        </is>
      </c>
      <c r="CF45" s="2" t="n">
        <v>115.2</v>
      </c>
      <c r="CG45" s="2" t="n">
        <v>201.9</v>
      </c>
      <c r="CH45" s="2" t="n">
        <v>23.8</v>
      </c>
      <c r="CN45" s="2" t="n">
        <v>61.9</v>
      </c>
      <c r="CO45" s="2" t="n">
        <v>163</v>
      </c>
      <c r="CP45" s="2" t="n">
        <v>127.8</v>
      </c>
      <c r="CQ45" s="2" t="n">
        <v>35.2</v>
      </c>
      <c r="CR45" s="2" t="inlineStr">
        <is>
          <t>NA</t>
        </is>
      </c>
      <c r="CS45" s="2" t="n">
        <v>27.1</v>
      </c>
      <c r="CT45" s="2" t="n">
        <v>18</v>
      </c>
      <c r="CU45" s="2" t="n">
        <v>9.1</v>
      </c>
      <c r="CV45" s="2" t="n">
        <v>59</v>
      </c>
      <c r="CW45" s="2" t="n">
        <v>59</v>
      </c>
      <c r="CY45" s="2" t="inlineStr">
        <is>
          <t>NA</t>
        </is>
      </c>
      <c r="CZ45" s="2" t="n">
        <v>42.6</v>
      </c>
      <c r="DA45" s="2" t="inlineStr">
        <is>
          <t>NA</t>
        </is>
      </c>
      <c r="DB45" s="2" t="inlineStr">
        <is>
          <t>NA</t>
        </is>
      </c>
      <c r="DC45" s="2" t="inlineStr">
        <is>
          <t>NA</t>
        </is>
      </c>
      <c r="DG45" s="2" t="n">
        <v>140.8</v>
      </c>
      <c r="DH45" s="2" t="n">
        <v>104.8</v>
      </c>
      <c r="DI45" s="2" t="n">
        <v>516</v>
      </c>
      <c r="DK45" s="2" t="n">
        <v>406.5</v>
      </c>
      <c r="DL45" s="2" t="n">
        <v>111</v>
      </c>
      <c r="DM45" s="2" t="n">
        <v>182.5</v>
      </c>
      <c r="DO45" s="2" t="n">
        <v>87.7</v>
      </c>
      <c r="DP45" s="2" t="n">
        <v>151</v>
      </c>
      <c r="DQ45" s="2" t="n">
        <v>58.2</v>
      </c>
      <c r="DR45" s="2" t="n">
        <v>101.5</v>
      </c>
      <c r="DS45" s="2" t="n">
        <v>594</v>
      </c>
      <c r="DT45" s="2" t="n">
        <v>2454</v>
      </c>
      <c r="DU45" s="2" t="n">
        <v>-245.5999999999999</v>
      </c>
      <c r="DV45" s="2" t="n">
        <v>0</v>
      </c>
      <c r="GZ45" s="2" t="n">
        <v>800.9</v>
      </c>
      <c r="IN45" s="2" t="n">
        <v>82.59999999999999</v>
      </c>
      <c r="IY45" s="2" t="n">
        <v>47.66992665036675</v>
      </c>
      <c r="IZ45" s="2" t="n">
        <v>-0.03007334963324837</v>
      </c>
      <c r="JB45" s="2" t="n">
        <v>10.77383863080685</v>
      </c>
      <c r="JC45" s="2" t="n">
        <v>-0.02616136919315437</v>
      </c>
      <c r="JE45" s="2" t="n">
        <v>1600.5</v>
      </c>
      <c r="JF45" s="2" t="n">
        <v>0.5798188066229303</v>
      </c>
    </row>
    <row r="46">
      <c r="A46" s="1" t="n">
        <v>30437</v>
      </c>
      <c r="B46" s="2" t="n">
        <v>2510.3</v>
      </c>
      <c r="C46" s="2" t="n">
        <v>2094.4</v>
      </c>
      <c r="D46" s="2" t="n">
        <v>214.6</v>
      </c>
      <c r="E46" s="2" t="n">
        <v>706.7</v>
      </c>
      <c r="F46" s="2" t="inlineStr">
        <is>
          <t>NA</t>
        </is>
      </c>
      <c r="G46" s="2" t="n">
        <v>88.7</v>
      </c>
      <c r="H46" s="2" t="n">
        <v>15.5</v>
      </c>
      <c r="I46" s="2" t="inlineStr">
        <is>
          <t>NA</t>
        </is>
      </c>
      <c r="J46" s="2" t="inlineStr">
        <is>
          <t>NA</t>
        </is>
      </c>
      <c r="K46" s="2" t="n">
        <v>908.9</v>
      </c>
      <c r="L46" s="2" t="n">
        <v>1551.9</v>
      </c>
      <c r="M46" s="2" t="n">
        <v>1226.7</v>
      </c>
      <c r="N46" s="2" t="n">
        <v>325.2</v>
      </c>
      <c r="O46" s="2" t="n">
        <v>69</v>
      </c>
      <c r="P46" s="2" t="n">
        <v>130.4</v>
      </c>
      <c r="Q46" s="2" t="n">
        <v>51.3</v>
      </c>
      <c r="R46" s="2" t="n">
        <v>79.09999999999999</v>
      </c>
      <c r="T46" s="2" t="inlineStr">
        <is>
          <t>NA</t>
        </is>
      </c>
      <c r="U46" s="2" t="inlineStr">
        <is>
          <t>NA</t>
        </is>
      </c>
      <c r="V46" s="2" t="inlineStr">
        <is>
          <t>NA</t>
        </is>
      </c>
      <c r="W46" s="2" t="n">
        <v>6.3</v>
      </c>
      <c r="X46" s="2" t="n">
        <v>66.7</v>
      </c>
      <c r="Y46" s="2" t="n">
        <v>4.6</v>
      </c>
      <c r="Z46" s="2" t="n">
        <v>137.4</v>
      </c>
      <c r="AA46" s="2" t="n">
        <v>127</v>
      </c>
      <c r="AB46" s="2" t="n">
        <v>10.4</v>
      </c>
      <c r="AC46" s="2" t="inlineStr">
        <is>
          <t>NA</t>
        </is>
      </c>
      <c r="AD46" s="2" t="inlineStr">
        <is>
          <t>NA</t>
        </is>
      </c>
      <c r="AG46" s="2" t="inlineStr">
        <is>
          <t>NA</t>
        </is>
      </c>
      <c r="AH46" s="2" t="inlineStr">
        <is>
          <t>NA</t>
        </is>
      </c>
      <c r="AI46" s="2" t="n">
        <v>85.90000000000001</v>
      </c>
      <c r="AL46" s="2" t="n">
        <v>75.90000000000001</v>
      </c>
      <c r="AM46" s="2" t="n">
        <v>47.3</v>
      </c>
      <c r="AN46" s="2" t="n">
        <v>28.6</v>
      </c>
      <c r="AO46" s="2" t="n">
        <v>1913.7</v>
      </c>
      <c r="AP46" s="2" t="n">
        <v>297.3</v>
      </c>
      <c r="AQ46" s="2" t="n">
        <v>79</v>
      </c>
      <c r="AR46" s="2" t="n">
        <v>44.3</v>
      </c>
      <c r="AS46" s="2" t="n">
        <v>97.09999999999999</v>
      </c>
      <c r="AT46" s="2" t="n">
        <v>116.7</v>
      </c>
      <c r="AU46" s="2" t="n">
        <v>53.3</v>
      </c>
      <c r="AV46" s="2" t="n">
        <v>48.3</v>
      </c>
      <c r="AW46" s="2" t="inlineStr">
        <is>
          <t>NA</t>
        </is>
      </c>
      <c r="AX46" s="2" t="inlineStr">
        <is>
          <t>NA</t>
        </is>
      </c>
      <c r="AY46" s="2" t="n">
        <v>66.7</v>
      </c>
      <c r="AZ46" s="2" t="n">
        <v>40</v>
      </c>
      <c r="BA46" s="2" t="inlineStr">
        <is>
          <t>NA</t>
        </is>
      </c>
      <c r="BB46" s="2" t="inlineStr">
        <is>
          <t>NA</t>
        </is>
      </c>
      <c r="BD46" s="2" t="n">
        <v>100.2</v>
      </c>
      <c r="BE46" s="2" t="n">
        <v>40.2</v>
      </c>
      <c r="BM46" s="2" t="n">
        <v>502.2</v>
      </c>
      <c r="BS46" s="2" t="n">
        <v>319.7</v>
      </c>
      <c r="BU46" s="2" t="n">
        <v>43</v>
      </c>
      <c r="BV46" s="2" t="inlineStr">
        <is>
          <t>NA</t>
        </is>
      </c>
      <c r="BW46" s="2" t="inlineStr">
        <is>
          <t>NA</t>
        </is>
      </c>
      <c r="BX46" s="2" t="n">
        <v>407.8</v>
      </c>
      <c r="BY46" s="2" t="inlineStr">
        <is>
          <t>NA</t>
        </is>
      </c>
      <c r="BZ46" s="2" t="inlineStr">
        <is>
          <t>NA</t>
        </is>
      </c>
      <c r="CF46" s="2" t="n">
        <v>113.2</v>
      </c>
      <c r="CG46" s="2" t="n">
        <v>222.4</v>
      </c>
      <c r="CH46" s="2" t="n">
        <v>23.2</v>
      </c>
      <c r="CN46" s="2" t="n">
        <v>66.3</v>
      </c>
      <c r="CO46" s="2" t="n">
        <v>163.9</v>
      </c>
      <c r="CP46" s="2" t="n">
        <v>118.8</v>
      </c>
      <c r="CQ46" s="2" t="n">
        <v>45.1</v>
      </c>
      <c r="CR46" s="2" t="inlineStr">
        <is>
          <t>NA</t>
        </is>
      </c>
      <c r="CS46" s="2" t="n">
        <v>35.1</v>
      </c>
      <c r="CT46" s="2" t="n">
        <v>20.7</v>
      </c>
      <c r="CU46" s="2" t="n">
        <v>14.4</v>
      </c>
      <c r="CV46" s="2" t="n">
        <v>56.5</v>
      </c>
      <c r="CW46" s="2" t="n">
        <v>56.5</v>
      </c>
      <c r="CY46" s="2" t="inlineStr">
        <is>
          <t>NA</t>
        </is>
      </c>
      <c r="CZ46" s="2" t="n">
        <v>40.7</v>
      </c>
      <c r="DA46" s="2" t="inlineStr">
        <is>
          <t>NA</t>
        </is>
      </c>
      <c r="DB46" s="2" t="inlineStr">
        <is>
          <t>NA</t>
        </is>
      </c>
      <c r="DC46" s="2" t="inlineStr">
        <is>
          <t>NA</t>
        </is>
      </c>
      <c r="DG46" s="2" t="n">
        <v>145.6</v>
      </c>
      <c r="DH46" s="2" t="n">
        <v>109.9</v>
      </c>
      <c r="DI46" s="2" t="n">
        <v>540.4</v>
      </c>
      <c r="DK46" s="2" t="n">
        <v>426.2</v>
      </c>
      <c r="DL46" s="2" t="n">
        <v>94.59999999999999</v>
      </c>
      <c r="DM46" s="2" t="n">
        <v>172.1</v>
      </c>
      <c r="DP46" s="2" t="n">
        <v>161.8</v>
      </c>
      <c r="DQ46" s="2" t="n">
        <v>63.8</v>
      </c>
      <c r="DR46" s="2" t="n">
        <v>106.4</v>
      </c>
      <c r="DS46" s="2" t="n">
        <v>689.5</v>
      </c>
      <c r="DT46" s="2" t="n">
        <v>2510.3</v>
      </c>
      <c r="DU46" s="2" t="n">
        <v>-255.5000000000005</v>
      </c>
      <c r="DV46" s="2" t="n">
        <v>0</v>
      </c>
      <c r="GZ46" s="2" t="n">
        <v>843.1</v>
      </c>
      <c r="IN46" s="2" t="n">
        <v>78</v>
      </c>
      <c r="IY46" s="2" t="n">
        <v>47.62857029040353</v>
      </c>
      <c r="IZ46" s="2" t="n">
        <v>0.1285702904035304</v>
      </c>
      <c r="JB46" s="2" t="n">
        <v>10.86204836075369</v>
      </c>
      <c r="JC46" s="2" t="n">
        <v>0.06204836075369258</v>
      </c>
      <c r="JE46" s="2" t="n">
        <v>1551.9</v>
      </c>
      <c r="JF46" s="2" t="n">
        <v>0.5438494748372962</v>
      </c>
    </row>
    <row r="47">
      <c r="A47" s="1" t="n">
        <v>30468</v>
      </c>
      <c r="B47" s="2" t="n">
        <v>2446.1</v>
      </c>
      <c r="C47" s="2" t="n">
        <v>1861.2</v>
      </c>
      <c r="D47" s="2" t="n">
        <v>164.2</v>
      </c>
      <c r="E47" s="2" t="n">
        <v>472.2</v>
      </c>
      <c r="F47" s="2" t="inlineStr">
        <is>
          <t>NA</t>
        </is>
      </c>
      <c r="G47" s="2" t="n">
        <v>66.59999999999999</v>
      </c>
      <c r="H47" s="2" t="n">
        <v>19.6</v>
      </c>
      <c r="I47" s="2" t="inlineStr">
        <is>
          <t>NA</t>
        </is>
      </c>
      <c r="J47" s="2" t="inlineStr">
        <is>
          <t>NA</t>
        </is>
      </c>
      <c r="K47" s="2" t="n">
        <v>891.3</v>
      </c>
      <c r="L47" s="2" t="n">
        <v>1546</v>
      </c>
      <c r="M47" s="2" t="n">
        <v>1184.9</v>
      </c>
      <c r="N47" s="2" t="n">
        <v>361.1</v>
      </c>
      <c r="O47" s="2" t="n">
        <v>53.1</v>
      </c>
      <c r="P47" s="2" t="n">
        <v>113.6</v>
      </c>
      <c r="Q47" s="2" t="n">
        <v>46.8</v>
      </c>
      <c r="R47" s="2" t="n">
        <v>66.8</v>
      </c>
      <c r="T47" s="2" t="inlineStr">
        <is>
          <t>NA</t>
        </is>
      </c>
      <c r="U47" s="2" t="inlineStr">
        <is>
          <t>NA</t>
        </is>
      </c>
      <c r="V47" s="2" t="inlineStr">
        <is>
          <t>NA</t>
        </is>
      </c>
      <c r="W47" s="2" t="n">
        <v>6.1</v>
      </c>
      <c r="X47" s="2" t="n">
        <v>53.7</v>
      </c>
      <c r="Y47" s="2" t="n">
        <v>9.9</v>
      </c>
      <c r="Z47" s="2" t="n">
        <v>134.1</v>
      </c>
      <c r="AA47" s="2" t="n">
        <v>118.7</v>
      </c>
      <c r="AB47" s="2" t="n">
        <v>15.4</v>
      </c>
      <c r="AC47" s="2" t="inlineStr">
        <is>
          <t>NA</t>
        </is>
      </c>
      <c r="AD47" s="2" t="inlineStr">
        <is>
          <t>NA</t>
        </is>
      </c>
      <c r="AG47" s="2" t="inlineStr">
        <is>
          <t>NA</t>
        </is>
      </c>
      <c r="AH47" s="2" t="inlineStr">
        <is>
          <t>NA</t>
        </is>
      </c>
      <c r="AI47" s="2" t="n">
        <v>83.59999999999999</v>
      </c>
      <c r="AL47" s="2" t="n">
        <v>76.8</v>
      </c>
      <c r="AM47" s="2" t="n">
        <v>49.3</v>
      </c>
      <c r="AN47" s="2" t="n">
        <v>27.5</v>
      </c>
      <c r="AO47" s="2" t="n">
        <v>1873.7</v>
      </c>
      <c r="AP47" s="2" t="n">
        <v>237.7</v>
      </c>
      <c r="AQ47" s="2" t="n">
        <v>82.2</v>
      </c>
      <c r="AR47" s="2" t="n">
        <v>34.5</v>
      </c>
      <c r="AS47" s="2" t="n">
        <v>71.40000000000001</v>
      </c>
      <c r="AT47" s="2" t="n">
        <v>129.6</v>
      </c>
      <c r="AU47" s="2" t="n">
        <v>41</v>
      </c>
      <c r="AV47" s="2" t="n">
        <v>41.4</v>
      </c>
      <c r="AW47" s="2" t="inlineStr">
        <is>
          <t>NA</t>
        </is>
      </c>
      <c r="AX47" s="2" t="inlineStr">
        <is>
          <t>NA</t>
        </is>
      </c>
      <c r="AY47" s="2" t="n">
        <v>33.6</v>
      </c>
      <c r="AZ47" s="2" t="n">
        <v>7</v>
      </c>
      <c r="BA47" s="2" t="inlineStr">
        <is>
          <t>NA</t>
        </is>
      </c>
      <c r="BB47" s="2" t="inlineStr">
        <is>
          <t>NA</t>
        </is>
      </c>
      <c r="BD47" s="2" t="n">
        <v>98.40000000000001</v>
      </c>
      <c r="BE47" s="2" t="n">
        <v>43.4</v>
      </c>
      <c r="BM47" s="2" t="n">
        <v>516.5</v>
      </c>
      <c r="BS47" s="2" t="n">
        <v>352.9</v>
      </c>
      <c r="BU47" s="2" t="n">
        <v>41.8</v>
      </c>
      <c r="BV47" s="2" t="inlineStr">
        <is>
          <t>NA</t>
        </is>
      </c>
      <c r="BW47" s="2" t="inlineStr">
        <is>
          <t>NA</t>
        </is>
      </c>
      <c r="BX47" s="2" t="n">
        <v>411</v>
      </c>
      <c r="BY47" s="2" t="inlineStr">
        <is>
          <t>NA</t>
        </is>
      </c>
      <c r="BZ47" s="2" t="inlineStr">
        <is>
          <t>NA</t>
        </is>
      </c>
      <c r="CF47" s="2" t="n">
        <v>107.2</v>
      </c>
      <c r="CG47" s="2" t="n">
        <v>235.4</v>
      </c>
      <c r="CH47" s="2" t="n">
        <v>23</v>
      </c>
      <c r="CN47" s="2" t="n">
        <v>57.8</v>
      </c>
      <c r="CO47" s="2" t="n">
        <v>123.6</v>
      </c>
      <c r="CP47" s="2" t="n">
        <v>88.8</v>
      </c>
      <c r="CQ47" s="2" t="n">
        <v>34.8</v>
      </c>
      <c r="CR47" s="2" t="inlineStr">
        <is>
          <t>NA</t>
        </is>
      </c>
      <c r="CS47" s="2" t="n">
        <v>54.7</v>
      </c>
      <c r="CT47" s="2" t="n">
        <v>34.2</v>
      </c>
      <c r="CU47" s="2" t="n">
        <v>20.5</v>
      </c>
      <c r="CV47" s="2" t="n">
        <v>74.09999999999999</v>
      </c>
      <c r="CW47" s="2" t="n">
        <v>74.09999999999999</v>
      </c>
      <c r="CY47" s="2" t="inlineStr">
        <is>
          <t>NA</t>
        </is>
      </c>
      <c r="CZ47" s="2" t="n">
        <v>30</v>
      </c>
      <c r="DA47" s="2" t="inlineStr">
        <is>
          <t>NA</t>
        </is>
      </c>
      <c r="DB47" s="2" t="inlineStr">
        <is>
          <t>NA</t>
        </is>
      </c>
      <c r="DC47" s="2" t="inlineStr">
        <is>
          <t>NA</t>
        </is>
      </c>
      <c r="DG47" s="2" t="n">
        <v>139.8</v>
      </c>
      <c r="DH47" s="2" t="n">
        <v>115.4</v>
      </c>
      <c r="DI47" s="2" t="n">
        <v>538.2</v>
      </c>
      <c r="DJ47" s="2" t="n">
        <v>131.3</v>
      </c>
      <c r="DK47" s="2" t="n">
        <v>380.6</v>
      </c>
      <c r="DL47" s="2" t="n">
        <v>95.3</v>
      </c>
      <c r="DM47" s="2" t="n">
        <v>183.2</v>
      </c>
      <c r="DP47" s="2" t="n">
        <v>158.1</v>
      </c>
      <c r="DQ47" s="2" t="n">
        <v>56.5</v>
      </c>
      <c r="DS47" s="2" t="n">
        <v>647.7</v>
      </c>
      <c r="DT47" s="2" t="n">
        <v>2446.1</v>
      </c>
      <c r="DU47" s="2" t="n">
        <v>-255.2000000000003</v>
      </c>
      <c r="DV47" s="2" t="n">
        <v>0</v>
      </c>
      <c r="GZ47" s="2" t="n">
        <v>824</v>
      </c>
      <c r="IN47" s="2" t="n">
        <v>60.1</v>
      </c>
      <c r="IY47" s="2" t="n">
        <v>47.97596173500675</v>
      </c>
      <c r="IZ47" s="2" t="n">
        <v>0.2759617350067458</v>
      </c>
      <c r="JB47" s="2" t="n">
        <v>10.93127836147337</v>
      </c>
      <c r="JC47" s="2" t="n">
        <v>0.131278361473365</v>
      </c>
      <c r="JE47" s="2" t="n">
        <v>1546</v>
      </c>
      <c r="JF47" s="2" t="n">
        <v>0.5250970245795601</v>
      </c>
    </row>
    <row r="48">
      <c r="A48" s="1" t="n">
        <v>30498</v>
      </c>
      <c r="B48" s="2" t="n">
        <v>2448.1</v>
      </c>
      <c r="C48" s="2" t="n">
        <v>1661.4</v>
      </c>
      <c r="D48" s="2" t="n">
        <v>172.3</v>
      </c>
      <c r="E48" s="2" t="n">
        <v>370.8</v>
      </c>
      <c r="F48" s="2" t="inlineStr">
        <is>
          <t>NA</t>
        </is>
      </c>
      <c r="G48" s="2" t="n">
        <v>56.7</v>
      </c>
      <c r="H48" s="2" t="n">
        <v>32.4</v>
      </c>
      <c r="I48" s="2" t="inlineStr">
        <is>
          <t>NA</t>
        </is>
      </c>
      <c r="J48" s="2" t="inlineStr">
        <is>
          <t>NA</t>
        </is>
      </c>
      <c r="K48" s="2" t="n">
        <v>888</v>
      </c>
      <c r="L48" s="2" t="n">
        <v>1411.4</v>
      </c>
      <c r="M48" s="2" t="n">
        <v>1049.7</v>
      </c>
      <c r="N48" s="2" t="n">
        <v>361.7</v>
      </c>
      <c r="O48" s="2" t="n">
        <v>55.7</v>
      </c>
      <c r="P48" s="2" t="n">
        <v>108.9</v>
      </c>
      <c r="Q48" s="2" t="n">
        <v>59</v>
      </c>
      <c r="R48" s="2" t="n">
        <v>49.9</v>
      </c>
      <c r="T48" s="2" t="inlineStr">
        <is>
          <t>NA</t>
        </is>
      </c>
      <c r="U48" s="2" t="inlineStr">
        <is>
          <t>NA</t>
        </is>
      </c>
      <c r="V48" s="2" t="inlineStr">
        <is>
          <t>NA</t>
        </is>
      </c>
      <c r="W48" s="2" t="n">
        <v>6.2</v>
      </c>
      <c r="X48" s="2" t="n">
        <v>41.5</v>
      </c>
      <c r="Y48" s="2" t="n">
        <v>5.5</v>
      </c>
      <c r="Z48" s="2" t="n">
        <v>107.9</v>
      </c>
      <c r="AA48" s="2" t="n">
        <v>92.3</v>
      </c>
      <c r="AB48" s="2" t="n">
        <v>15.6</v>
      </c>
      <c r="AC48" s="2" t="inlineStr">
        <is>
          <t>NA</t>
        </is>
      </c>
      <c r="AD48" s="2" t="inlineStr">
        <is>
          <t>NA</t>
        </is>
      </c>
      <c r="AG48" s="2" t="inlineStr">
        <is>
          <t>NA</t>
        </is>
      </c>
      <c r="AH48" s="2" t="inlineStr">
        <is>
          <t>NA</t>
        </is>
      </c>
      <c r="AI48" s="2" t="n">
        <v>82.7</v>
      </c>
      <c r="AL48" s="2" t="n">
        <v>88</v>
      </c>
      <c r="AM48" s="2" t="n">
        <v>58.2</v>
      </c>
      <c r="AN48" s="2" t="n">
        <v>29.8</v>
      </c>
      <c r="AO48" s="2" t="n">
        <v>1854</v>
      </c>
      <c r="AP48" s="2" t="n">
        <v>325</v>
      </c>
      <c r="AQ48" s="2" t="n">
        <v>79.40000000000001</v>
      </c>
      <c r="AR48" s="2" t="n">
        <v>40.2</v>
      </c>
      <c r="AS48" s="2" t="n">
        <v>78.90000000000001</v>
      </c>
      <c r="AT48" s="2" t="n">
        <v>125.8</v>
      </c>
      <c r="AU48" s="2" t="n">
        <v>43.1</v>
      </c>
      <c r="AV48" s="2" t="n">
        <v>42.4</v>
      </c>
      <c r="AW48" s="2" t="inlineStr">
        <is>
          <t>NA</t>
        </is>
      </c>
      <c r="AX48" s="2" t="inlineStr">
        <is>
          <t>NA</t>
        </is>
      </c>
      <c r="AY48" s="2" t="inlineStr">
        <is>
          <t>NA</t>
        </is>
      </c>
      <c r="AZ48" s="2" t="inlineStr">
        <is>
          <t>NA</t>
        </is>
      </c>
      <c r="BA48" s="2" t="inlineStr">
        <is>
          <t>NA</t>
        </is>
      </c>
      <c r="BB48" s="2" t="inlineStr">
        <is>
          <t>NA</t>
        </is>
      </c>
      <c r="BD48" s="2" t="n">
        <v>91.40000000000001</v>
      </c>
      <c r="BE48" s="2" t="n">
        <v>47</v>
      </c>
      <c r="BM48" s="2" t="n">
        <v>491.3</v>
      </c>
      <c r="BS48" s="2" t="n">
        <v>418</v>
      </c>
      <c r="BU48" s="2" t="n">
        <v>41</v>
      </c>
      <c r="BV48" s="2" t="inlineStr">
        <is>
          <t>NA</t>
        </is>
      </c>
      <c r="BW48" s="2" t="inlineStr">
        <is>
          <t>NA</t>
        </is>
      </c>
      <c r="BX48" s="2" t="n">
        <v>398.5</v>
      </c>
      <c r="BY48" s="2" t="inlineStr">
        <is>
          <t>NA</t>
        </is>
      </c>
      <c r="BZ48" s="2" t="inlineStr">
        <is>
          <t>NA</t>
        </is>
      </c>
      <c r="CF48" s="2" t="n">
        <v>93.8</v>
      </c>
      <c r="CG48" s="2" t="n">
        <v>225.6</v>
      </c>
      <c r="CH48" s="2" t="n">
        <v>19.8</v>
      </c>
      <c r="CN48" s="2" t="n">
        <v>55.9</v>
      </c>
      <c r="CO48" s="2" t="n">
        <v>127.7</v>
      </c>
      <c r="CP48" s="2" t="n">
        <v>92.2</v>
      </c>
      <c r="CQ48" s="2" t="n">
        <v>35.5</v>
      </c>
      <c r="CR48" s="2" t="inlineStr">
        <is>
          <t>NA</t>
        </is>
      </c>
      <c r="CS48" s="2" t="n">
        <v>46.5</v>
      </c>
      <c r="CT48" s="2" t="n">
        <v>31.5</v>
      </c>
      <c r="CU48" s="2" t="n">
        <v>15</v>
      </c>
      <c r="CV48" s="2" t="n">
        <v>69.8</v>
      </c>
      <c r="CW48" s="2" t="n">
        <v>69.8</v>
      </c>
      <c r="CY48" s="2" t="inlineStr">
        <is>
          <t>NA</t>
        </is>
      </c>
      <c r="CZ48" s="2" t="n">
        <v>23.4</v>
      </c>
      <c r="DA48" s="2" t="inlineStr">
        <is>
          <t>NA</t>
        </is>
      </c>
      <c r="DB48" s="2" t="inlineStr">
        <is>
          <t>NA</t>
        </is>
      </c>
      <c r="DC48" s="2" t="inlineStr">
        <is>
          <t>NA</t>
        </is>
      </c>
      <c r="DG48" s="2" t="n">
        <v>150.4</v>
      </c>
      <c r="DH48" s="2" t="n">
        <v>108.4</v>
      </c>
      <c r="DI48" s="2" t="n">
        <v>555.2</v>
      </c>
      <c r="DJ48" s="2" t="n">
        <v>134.8</v>
      </c>
      <c r="DK48" s="2" t="n">
        <v>390.8</v>
      </c>
      <c r="DL48" s="2" t="n">
        <v>98</v>
      </c>
      <c r="DM48" s="2" t="n">
        <v>179.9</v>
      </c>
      <c r="DO48" s="2" t="n">
        <v>129.1</v>
      </c>
      <c r="DP48" s="2" t="n">
        <v>126</v>
      </c>
      <c r="DS48" s="2" t="n">
        <v>575.5</v>
      </c>
      <c r="DT48" s="2" t="n">
        <v>2448.1</v>
      </c>
      <c r="DU48" s="2" t="n">
        <v>-258.7999999999997</v>
      </c>
      <c r="DV48" s="2" t="n">
        <v>0</v>
      </c>
      <c r="GZ48" s="2" t="n">
        <v>778.7</v>
      </c>
      <c r="IN48" s="2" t="n">
        <v>56.5</v>
      </c>
      <c r="IY48" s="2" t="n">
        <v>47.38531922715576</v>
      </c>
      <c r="IZ48" s="2" t="n">
        <v>-0.1146807728442383</v>
      </c>
      <c r="JB48" s="2" t="n">
        <v>10.88190841877374</v>
      </c>
      <c r="JC48" s="2" t="n">
        <v>-0.01809158122625654</v>
      </c>
      <c r="JE48" s="2" t="n">
        <v>1411.4</v>
      </c>
      <c r="JF48" s="2" t="n">
        <v>0.5523593595012044</v>
      </c>
    </row>
    <row r="49">
      <c r="A49" s="1" t="n">
        <v>30529</v>
      </c>
      <c r="B49" s="2" t="n">
        <v>2570.7</v>
      </c>
      <c r="C49" s="2" t="n">
        <v>1757</v>
      </c>
      <c r="D49" s="2" t="n">
        <v>166.6</v>
      </c>
      <c r="E49" s="2" t="n">
        <v>325</v>
      </c>
      <c r="F49" s="2" t="inlineStr">
        <is>
          <t>NA</t>
        </is>
      </c>
      <c r="G49" s="2" t="n">
        <v>55.7</v>
      </c>
      <c r="H49" s="2" t="n">
        <v>40.1</v>
      </c>
      <c r="I49" s="2" t="inlineStr">
        <is>
          <t>NA</t>
        </is>
      </c>
      <c r="J49" s="2" t="inlineStr">
        <is>
          <t>NA</t>
        </is>
      </c>
      <c r="K49" s="2" t="n">
        <v>930.2</v>
      </c>
      <c r="L49" s="2" t="n">
        <v>1407.6</v>
      </c>
      <c r="M49" s="2" t="n">
        <v>1062.9</v>
      </c>
      <c r="N49" s="2" t="n">
        <v>344.7</v>
      </c>
      <c r="O49" s="2" t="n">
        <v>54.6</v>
      </c>
      <c r="P49" s="2" t="n">
        <v>96.7</v>
      </c>
      <c r="Q49" s="2" t="n">
        <v>49.5</v>
      </c>
      <c r="R49" s="2" t="n">
        <v>47.2</v>
      </c>
      <c r="T49" s="2" t="inlineStr">
        <is>
          <t>NA</t>
        </is>
      </c>
      <c r="U49" s="2" t="inlineStr">
        <is>
          <t>NA</t>
        </is>
      </c>
      <c r="V49" s="2" t="inlineStr">
        <is>
          <t>NA</t>
        </is>
      </c>
      <c r="W49" s="2" t="n">
        <v>4.9</v>
      </c>
      <c r="X49" s="2" t="n">
        <v>42.1</v>
      </c>
      <c r="Y49" s="2" t="inlineStr">
        <is>
          <t>NA</t>
        </is>
      </c>
      <c r="Z49" s="2" t="n">
        <v>109.2</v>
      </c>
      <c r="AA49" s="2" t="n">
        <v>97.8</v>
      </c>
      <c r="AB49" s="2" t="n">
        <v>11.4</v>
      </c>
      <c r="AC49" s="2" t="inlineStr">
        <is>
          <t>NA</t>
        </is>
      </c>
      <c r="AD49" s="2" t="inlineStr">
        <is>
          <t>NA</t>
        </is>
      </c>
      <c r="AG49" s="2" t="inlineStr">
        <is>
          <t>NA</t>
        </is>
      </c>
      <c r="AH49" s="2" t="inlineStr">
        <is>
          <t>NA</t>
        </is>
      </c>
      <c r="AI49" s="2" t="n">
        <v>92</v>
      </c>
      <c r="AL49" s="2" t="n">
        <v>95.7</v>
      </c>
      <c r="AM49" s="2" t="n">
        <v>63.6</v>
      </c>
      <c r="AN49" s="2" t="n">
        <v>32.1</v>
      </c>
      <c r="AO49" s="2" t="n">
        <v>1978.5</v>
      </c>
      <c r="AP49" s="2" t="n">
        <v>344.1</v>
      </c>
      <c r="AQ49" s="2" t="n">
        <v>74.3</v>
      </c>
      <c r="AR49" s="2" t="n">
        <v>34.4</v>
      </c>
      <c r="AS49" s="2" t="n">
        <v>78.8</v>
      </c>
      <c r="AT49" s="2" t="n">
        <v>129.9</v>
      </c>
      <c r="AU49" s="2" t="n">
        <v>43</v>
      </c>
      <c r="AV49" s="2" t="n">
        <v>45</v>
      </c>
      <c r="AW49" s="2" t="inlineStr">
        <is>
          <t>NA</t>
        </is>
      </c>
      <c r="AX49" s="2" t="inlineStr">
        <is>
          <t>NA</t>
        </is>
      </c>
      <c r="AY49" s="2" t="n">
        <v>29.1</v>
      </c>
      <c r="AZ49" s="2" t="n">
        <v>2.6</v>
      </c>
      <c r="BA49" s="2" t="inlineStr">
        <is>
          <t>NA</t>
        </is>
      </c>
      <c r="BB49" s="2" t="inlineStr">
        <is>
          <t>NA</t>
        </is>
      </c>
      <c r="BD49" s="2" t="n">
        <v>106.8</v>
      </c>
      <c r="BE49" s="2" t="n">
        <v>53.5</v>
      </c>
      <c r="BM49" s="2" t="n">
        <v>553.1</v>
      </c>
      <c r="BS49" s="2" t="n">
        <v>406.3</v>
      </c>
      <c r="BU49" s="2" t="n">
        <v>35.6</v>
      </c>
      <c r="BV49" s="2" t="inlineStr">
        <is>
          <t>NA</t>
        </is>
      </c>
      <c r="BW49" s="2" t="inlineStr">
        <is>
          <t>NA</t>
        </is>
      </c>
      <c r="BX49" s="2" t="n">
        <v>446.7</v>
      </c>
      <c r="BY49" s="2" t="inlineStr">
        <is>
          <t>NA</t>
        </is>
      </c>
      <c r="BZ49" s="2" t="inlineStr">
        <is>
          <t>NA</t>
        </is>
      </c>
      <c r="CF49" s="2" t="n">
        <v>103.1</v>
      </c>
      <c r="CG49" s="2" t="n">
        <v>217.2</v>
      </c>
      <c r="CH49" s="2" t="n">
        <v>19.9</v>
      </c>
      <c r="CN49" s="2" t="n">
        <v>55.4</v>
      </c>
      <c r="CO49" s="2" t="n">
        <v>132</v>
      </c>
      <c r="CP49" s="2" t="n">
        <v>100</v>
      </c>
      <c r="CQ49" s="2" t="n">
        <v>32</v>
      </c>
      <c r="CR49" s="2" t="inlineStr">
        <is>
          <t>NA</t>
        </is>
      </c>
      <c r="CS49" s="2" t="n">
        <v>41.6</v>
      </c>
      <c r="CT49" s="2" t="n">
        <v>28.2</v>
      </c>
      <c r="CU49" s="2" t="n">
        <v>13.4</v>
      </c>
      <c r="CV49" s="2" t="n">
        <v>62.4</v>
      </c>
      <c r="CW49" s="2" t="n">
        <v>62.4</v>
      </c>
      <c r="CY49" s="2" t="n">
        <v>10.9</v>
      </c>
      <c r="CZ49" s="2" t="n">
        <v>34.7</v>
      </c>
      <c r="DA49" s="2" t="inlineStr">
        <is>
          <t>NA</t>
        </is>
      </c>
      <c r="DB49" s="2" t="inlineStr">
        <is>
          <t>NA</t>
        </is>
      </c>
      <c r="DC49" s="2" t="inlineStr">
        <is>
          <t>NA</t>
        </is>
      </c>
      <c r="DG49" s="2" t="n">
        <v>140.9</v>
      </c>
      <c r="DI49" s="2" t="n">
        <v>587.3</v>
      </c>
      <c r="DK49" s="2" t="n">
        <v>426.3</v>
      </c>
      <c r="DL49" s="2" t="n">
        <v>80</v>
      </c>
      <c r="DM49" s="2" t="n">
        <v>187.9</v>
      </c>
      <c r="DO49" s="2" t="n">
        <v>147.6</v>
      </c>
      <c r="DP49" s="2" t="n">
        <v>162.8</v>
      </c>
      <c r="DQ49" s="2" t="n">
        <v>73.40000000000001</v>
      </c>
      <c r="DS49" s="2" t="n">
        <v>764.5</v>
      </c>
      <c r="DT49" s="2" t="n">
        <v>2570.7</v>
      </c>
      <c r="DU49" s="2" t="n">
        <v>-140.8999999999996</v>
      </c>
      <c r="DV49" s="2" t="n">
        <v>0</v>
      </c>
      <c r="GZ49" s="2" t="n">
        <v>837.7</v>
      </c>
      <c r="IN49" s="2" t="n">
        <v>55.2</v>
      </c>
      <c r="IY49" s="2" t="n">
        <v>47.91224180184386</v>
      </c>
      <c r="IZ49" s="2" t="n">
        <v>0.2122418018438594</v>
      </c>
      <c r="JB49" s="2" t="n">
        <v>10.85540903255923</v>
      </c>
      <c r="JC49" s="2" t="n">
        <v>-0.04459096744077407</v>
      </c>
      <c r="JE49" s="2" t="n">
        <v>1407.6</v>
      </c>
      <c r="JF49" s="2" t="n">
        <v>0.4964478545041204</v>
      </c>
    </row>
    <row r="50">
      <c r="A50" s="1" t="n">
        <v>30560</v>
      </c>
      <c r="B50" s="2" t="n">
        <v>2597.6</v>
      </c>
      <c r="C50" s="2" t="n">
        <v>1915.6</v>
      </c>
      <c r="D50" s="2" t="n">
        <v>120.7</v>
      </c>
      <c r="E50" s="2" t="n">
        <v>284.8</v>
      </c>
      <c r="F50" s="2" t="inlineStr">
        <is>
          <t>NA</t>
        </is>
      </c>
      <c r="G50" s="2" t="n">
        <v>62.4</v>
      </c>
      <c r="H50" s="2" t="n">
        <v>45.2</v>
      </c>
      <c r="I50" s="2" t="inlineStr">
        <is>
          <t>NA</t>
        </is>
      </c>
      <c r="J50" s="2" t="inlineStr">
        <is>
          <t>NA</t>
        </is>
      </c>
      <c r="K50" s="2" t="n">
        <v>945.3</v>
      </c>
      <c r="L50" s="2" t="n">
        <v>1261</v>
      </c>
      <c r="M50" s="2" t="n">
        <v>959.4</v>
      </c>
      <c r="N50" s="2" t="n">
        <v>301.6</v>
      </c>
      <c r="O50" s="2" t="n">
        <v>37.1</v>
      </c>
      <c r="P50" s="2" t="n">
        <v>89.59999999999999</v>
      </c>
      <c r="Q50" s="2" t="n">
        <v>52.9</v>
      </c>
      <c r="R50" s="2" t="n">
        <v>36.7</v>
      </c>
      <c r="T50" s="2" t="inlineStr">
        <is>
          <t>NA</t>
        </is>
      </c>
      <c r="U50" s="2" t="inlineStr">
        <is>
          <t>NA</t>
        </is>
      </c>
      <c r="V50" s="2" t="inlineStr">
        <is>
          <t>NA</t>
        </is>
      </c>
      <c r="W50" s="2" t="n">
        <v>3.9</v>
      </c>
      <c r="X50" s="2" t="n">
        <v>47.2</v>
      </c>
      <c r="Y50" s="2" t="inlineStr">
        <is>
          <t>NA</t>
        </is>
      </c>
      <c r="Z50" s="2" t="n">
        <v>95.3</v>
      </c>
      <c r="AA50" s="2" t="n">
        <v>84.59999999999999</v>
      </c>
      <c r="AB50" s="2" t="n">
        <v>10.7</v>
      </c>
      <c r="AC50" s="2" t="inlineStr">
        <is>
          <t>NA</t>
        </is>
      </c>
      <c r="AD50" s="2" t="inlineStr">
        <is>
          <t>NA</t>
        </is>
      </c>
      <c r="AG50" s="2" t="inlineStr">
        <is>
          <t>NA</t>
        </is>
      </c>
      <c r="AH50" s="2" t="inlineStr">
        <is>
          <t>NA</t>
        </is>
      </c>
      <c r="AI50" s="2" t="n">
        <v>88.2</v>
      </c>
      <c r="AL50" s="2" t="n">
        <v>89.5</v>
      </c>
      <c r="AM50" s="2" t="n">
        <v>62</v>
      </c>
      <c r="AN50" s="2" t="n">
        <v>27.5</v>
      </c>
      <c r="AO50" s="2" t="n">
        <v>2003.9</v>
      </c>
      <c r="AP50" s="2" t="n">
        <v>438.8</v>
      </c>
      <c r="AQ50" s="2" t="n">
        <v>71.3</v>
      </c>
      <c r="AR50" s="2" t="n">
        <v>35.3</v>
      </c>
      <c r="AS50" s="2" t="n">
        <v>55.3</v>
      </c>
      <c r="AT50" s="2" t="n">
        <v>92.90000000000001</v>
      </c>
      <c r="AU50" s="2" t="n">
        <v>31.7</v>
      </c>
      <c r="AV50" s="2" t="n">
        <v>27.2</v>
      </c>
      <c r="AW50" s="2" t="inlineStr">
        <is>
          <t>NA</t>
        </is>
      </c>
      <c r="AX50" s="2" t="inlineStr">
        <is>
          <t>NA</t>
        </is>
      </c>
      <c r="AY50" s="2" t="n">
        <v>31.6</v>
      </c>
      <c r="AZ50" s="2" t="n">
        <v>5.4</v>
      </c>
      <c r="BA50" s="2" t="inlineStr">
        <is>
          <t>NA</t>
        </is>
      </c>
      <c r="BB50" s="2" t="inlineStr">
        <is>
          <t>NA</t>
        </is>
      </c>
      <c r="BD50" s="2" t="n">
        <v>117.5</v>
      </c>
      <c r="BE50" s="2" t="n">
        <v>48.8</v>
      </c>
      <c r="BM50" s="2" t="n">
        <v>516.2</v>
      </c>
      <c r="BS50" s="2" t="n">
        <v>394.3</v>
      </c>
      <c r="BU50" s="2" t="n">
        <v>40.4</v>
      </c>
      <c r="BV50" s="2" t="inlineStr">
        <is>
          <t>NA</t>
        </is>
      </c>
      <c r="BW50" s="2" t="inlineStr">
        <is>
          <t>NA</t>
        </is>
      </c>
      <c r="BX50" s="2" t="n">
        <v>440.5</v>
      </c>
      <c r="BY50" s="2" t="inlineStr">
        <is>
          <t>NA</t>
        </is>
      </c>
      <c r="BZ50" s="2" t="inlineStr">
        <is>
          <t>NA</t>
        </is>
      </c>
      <c r="CF50" s="2" t="n">
        <v>99.90000000000001</v>
      </c>
      <c r="CG50" s="2" t="n">
        <v>203.7</v>
      </c>
      <c r="CH50" s="2" t="n">
        <v>19</v>
      </c>
      <c r="CN50" s="2" t="n">
        <v>55.8</v>
      </c>
      <c r="CO50" s="2" t="n">
        <v>145.2</v>
      </c>
      <c r="CP50" s="2" t="n">
        <v>109.4</v>
      </c>
      <c r="CQ50" s="2" t="n">
        <v>35.8</v>
      </c>
      <c r="CR50" s="2" t="inlineStr">
        <is>
          <t>NA</t>
        </is>
      </c>
      <c r="CS50" s="2" t="n">
        <v>50.4</v>
      </c>
      <c r="CT50" s="2" t="n">
        <v>37.3</v>
      </c>
      <c r="CU50" s="2" t="n">
        <v>13.1</v>
      </c>
      <c r="CV50" s="2" t="n">
        <v>69</v>
      </c>
      <c r="CW50" s="2" t="n">
        <v>69</v>
      </c>
      <c r="CY50" s="2" t="n">
        <v>11.8</v>
      </c>
      <c r="CZ50" s="2" t="n">
        <v>29.2</v>
      </c>
      <c r="DA50" s="2" t="inlineStr">
        <is>
          <t>NA</t>
        </is>
      </c>
      <c r="DB50" s="2" t="inlineStr">
        <is>
          <t>NA</t>
        </is>
      </c>
      <c r="DC50" s="2" t="inlineStr">
        <is>
          <t>NA</t>
        </is>
      </c>
      <c r="DG50" s="2" t="n">
        <v>91.2</v>
      </c>
      <c r="DH50" s="2" t="n">
        <v>98.90000000000001</v>
      </c>
      <c r="DI50" s="2" t="n">
        <v>629.8</v>
      </c>
      <c r="DJ50" s="2" t="n">
        <v>111.8</v>
      </c>
      <c r="DK50" s="2" t="n">
        <v>445.2</v>
      </c>
      <c r="DL50" s="2" t="n">
        <v>95.7</v>
      </c>
      <c r="DM50" s="2" t="n">
        <v>167.2</v>
      </c>
      <c r="DO50" s="2" t="n">
        <v>169.8</v>
      </c>
      <c r="DP50" s="2" t="n">
        <v>150.9</v>
      </c>
      <c r="DQ50" s="2" t="n">
        <v>66.8</v>
      </c>
      <c r="DR50" s="2" t="n">
        <v>77.8</v>
      </c>
      <c r="DS50" s="2" t="n">
        <v>492.5</v>
      </c>
      <c r="DT50" s="2" t="n">
        <v>2597.6</v>
      </c>
      <c r="DU50" s="2" t="n">
        <v>-190.0999999999999</v>
      </c>
      <c r="DV50" s="2" t="n">
        <v>0</v>
      </c>
      <c r="GZ50" s="2" t="n">
        <v>828.8</v>
      </c>
      <c r="IN50" s="2" t="n">
        <v>39.2</v>
      </c>
      <c r="IY50" s="2" t="n">
        <v>47.93347705574377</v>
      </c>
      <c r="IZ50" s="2" t="n">
        <v>-0.06652294425622785</v>
      </c>
      <c r="JB50" s="2" t="n">
        <v>10.91738527871882</v>
      </c>
      <c r="JC50" s="2" t="n">
        <v>0.01738527871881779</v>
      </c>
      <c r="JE50" s="2" t="n">
        <v>1261</v>
      </c>
      <c r="JF50" s="2" t="n">
        <v>0.5140364789849327</v>
      </c>
    </row>
    <row r="51">
      <c r="A51" s="1" t="n">
        <v>30590</v>
      </c>
      <c r="B51" s="2" t="n">
        <v>2893.7</v>
      </c>
      <c r="C51" s="2" t="n">
        <v>3734</v>
      </c>
      <c r="D51" s="2" t="n">
        <v>187.9</v>
      </c>
      <c r="E51" s="2" t="n">
        <v>704.8</v>
      </c>
      <c r="F51" s="2" t="inlineStr">
        <is>
          <t>NA</t>
        </is>
      </c>
      <c r="G51" s="2" t="inlineStr">
        <is>
          <t>NA</t>
        </is>
      </c>
      <c r="H51" s="2" t="n">
        <v>120.5</v>
      </c>
      <c r="I51" s="2" t="inlineStr">
        <is>
          <t>NA</t>
        </is>
      </c>
      <c r="J51" s="2" t="inlineStr">
        <is>
          <t>NA</t>
        </is>
      </c>
      <c r="K51" s="2" t="n">
        <v>1081</v>
      </c>
      <c r="L51" s="2" t="n">
        <v>1453.4</v>
      </c>
      <c r="M51" s="2" t="n">
        <v>1126.4</v>
      </c>
      <c r="N51" s="2" t="n">
        <v>327</v>
      </c>
      <c r="O51" s="2" t="n">
        <v>58.6</v>
      </c>
      <c r="P51" s="2" t="n">
        <v>82.5</v>
      </c>
      <c r="Q51" s="2" t="n">
        <v>46</v>
      </c>
      <c r="R51" s="2" t="n">
        <v>36.5</v>
      </c>
      <c r="T51" s="2" t="inlineStr">
        <is>
          <t>NA</t>
        </is>
      </c>
      <c r="U51" s="2" t="inlineStr">
        <is>
          <t>NA</t>
        </is>
      </c>
      <c r="V51" s="2" t="inlineStr">
        <is>
          <t>NA</t>
        </is>
      </c>
      <c r="W51" s="2" t="n">
        <v>3.8</v>
      </c>
      <c r="X51" s="2" t="n">
        <v>88.7</v>
      </c>
      <c r="Y51" s="2" t="n">
        <v>3.7</v>
      </c>
      <c r="Z51" s="2" t="n">
        <v>164.8</v>
      </c>
      <c r="AA51" s="2" t="n">
        <v>157</v>
      </c>
      <c r="AB51" s="2" t="n">
        <v>7.8</v>
      </c>
      <c r="AC51" s="2" t="inlineStr">
        <is>
          <t>NA</t>
        </is>
      </c>
      <c r="AD51" s="2" t="inlineStr">
        <is>
          <t>NA</t>
        </is>
      </c>
      <c r="AG51" s="2" t="inlineStr">
        <is>
          <t>NA</t>
        </is>
      </c>
      <c r="AH51" s="2" t="inlineStr">
        <is>
          <t>NA</t>
        </is>
      </c>
      <c r="AI51" s="2" t="n">
        <v>87</v>
      </c>
      <c r="AL51" s="2" t="n">
        <v>103</v>
      </c>
      <c r="AM51" s="2" t="n">
        <v>68.7</v>
      </c>
      <c r="AN51" s="2" t="n">
        <v>34.3</v>
      </c>
      <c r="AO51" s="2" t="n">
        <v>2208.5</v>
      </c>
      <c r="AP51" s="2" t="n">
        <v>386.1</v>
      </c>
      <c r="AQ51" s="2" t="n">
        <v>79.40000000000001</v>
      </c>
      <c r="AR51" s="2" t="n">
        <v>33.2</v>
      </c>
      <c r="AS51" s="2" t="n">
        <v>86.7</v>
      </c>
      <c r="AT51" s="2" t="n">
        <v>71.09999999999999</v>
      </c>
      <c r="AU51" s="2" t="n">
        <v>43.9</v>
      </c>
      <c r="AV51" s="2" t="n">
        <v>21.3</v>
      </c>
      <c r="AW51" s="2" t="inlineStr">
        <is>
          <t>NA</t>
        </is>
      </c>
      <c r="AX51" s="2" t="inlineStr">
        <is>
          <t>NA</t>
        </is>
      </c>
      <c r="AY51" s="2" t="n">
        <v>60</v>
      </c>
      <c r="AZ51" s="2" t="n">
        <v>12.3</v>
      </c>
      <c r="BA51" s="2" t="inlineStr">
        <is>
          <t>NA</t>
        </is>
      </c>
      <c r="BB51" s="2" t="inlineStr">
        <is>
          <t>NA</t>
        </is>
      </c>
      <c r="BD51" s="2" t="n">
        <v>130</v>
      </c>
      <c r="BE51" s="2" t="n">
        <v>52.3</v>
      </c>
      <c r="BM51" s="2" t="n">
        <v>531.5</v>
      </c>
      <c r="BS51" s="2" t="n">
        <v>428.1</v>
      </c>
      <c r="BT51" s="2" t="n">
        <v>90</v>
      </c>
      <c r="BU51" s="2" t="n">
        <v>41.4</v>
      </c>
      <c r="BV51" s="2" t="inlineStr">
        <is>
          <t>NA</t>
        </is>
      </c>
      <c r="BW51" s="2" t="inlineStr">
        <is>
          <t>NA</t>
        </is>
      </c>
      <c r="BX51" s="2" t="n">
        <v>603</v>
      </c>
      <c r="BY51" s="2" t="inlineStr">
        <is>
          <t>NA</t>
        </is>
      </c>
      <c r="BZ51" s="2" t="inlineStr">
        <is>
          <t>NA</t>
        </is>
      </c>
      <c r="CF51" s="2" t="n">
        <v>107.9</v>
      </c>
      <c r="CG51" s="2" t="n">
        <v>205.4</v>
      </c>
      <c r="CH51" s="2" t="n">
        <v>18.8</v>
      </c>
      <c r="CN51" s="2" t="n">
        <v>57.6</v>
      </c>
      <c r="CO51" s="2" t="n">
        <v>162.5</v>
      </c>
      <c r="CP51" s="2" t="n">
        <v>120.3</v>
      </c>
      <c r="CQ51" s="2" t="n">
        <v>42.2</v>
      </c>
      <c r="CR51" s="2" t="inlineStr">
        <is>
          <t>NA</t>
        </is>
      </c>
      <c r="CS51" s="2" t="n">
        <v>46</v>
      </c>
      <c r="CT51" s="2" t="n">
        <v>33.7</v>
      </c>
      <c r="CU51" s="2" t="n">
        <v>12.3</v>
      </c>
      <c r="CV51" s="2" t="n">
        <v>65.90000000000001</v>
      </c>
      <c r="CW51" s="2" t="n">
        <v>65.90000000000001</v>
      </c>
      <c r="CY51" s="2" t="n">
        <v>10.4</v>
      </c>
      <c r="CZ51" s="2" t="n">
        <v>32.1</v>
      </c>
      <c r="DA51" s="2" t="inlineStr">
        <is>
          <t>NA</t>
        </is>
      </c>
      <c r="DB51" s="2" t="inlineStr">
        <is>
          <t>NA</t>
        </is>
      </c>
      <c r="DC51" s="2" t="inlineStr">
        <is>
          <t>NA</t>
        </is>
      </c>
      <c r="DG51" s="2" t="n">
        <v>136.5</v>
      </c>
      <c r="DH51" s="2" t="n">
        <v>104.7</v>
      </c>
      <c r="DI51" s="2" t="n">
        <v>668.1</v>
      </c>
      <c r="DJ51" s="2" t="n">
        <v>147.4</v>
      </c>
      <c r="DK51" s="2" t="n">
        <v>526.2</v>
      </c>
      <c r="DL51" s="2" t="n">
        <v>97.59999999999999</v>
      </c>
      <c r="DM51" s="2" t="n">
        <v>173.7</v>
      </c>
      <c r="DO51" s="2" t="n">
        <v>159</v>
      </c>
      <c r="DP51" s="2" t="n">
        <v>171.5</v>
      </c>
      <c r="DR51" s="2" t="n">
        <v>99.2</v>
      </c>
      <c r="DS51" s="2" t="n">
        <v>609.8</v>
      </c>
      <c r="DT51" s="2" t="n">
        <v>2893.7</v>
      </c>
      <c r="DU51" s="2" t="n">
        <v>-241.1999999999998</v>
      </c>
      <c r="DV51" s="2" t="n">
        <v>0</v>
      </c>
      <c r="GZ51" s="2" t="n">
        <v>839.2</v>
      </c>
      <c r="IN51" s="2" t="n">
        <v>54.6</v>
      </c>
      <c r="IY51" s="2" t="n">
        <v>47.43891903099838</v>
      </c>
      <c r="IZ51" s="2" t="n">
        <v>0.0389190309983789</v>
      </c>
      <c r="JB51" s="2" t="n">
        <v>11.20710509036873</v>
      </c>
      <c r="JC51" s="2" t="n">
        <v>0.007105090368733968</v>
      </c>
      <c r="JE51" s="2" t="n">
        <v>1453.4</v>
      </c>
      <c r="JF51" s="2" t="n">
        <v>0.5335764414476399</v>
      </c>
    </row>
    <row r="52">
      <c r="A52" s="1" t="n">
        <v>30621</v>
      </c>
      <c r="B52" s="2" t="n">
        <v>2597</v>
      </c>
      <c r="C52" s="2" t="n">
        <v>4267.9</v>
      </c>
      <c r="D52" s="2" t="n">
        <v>301.8</v>
      </c>
      <c r="E52" s="2" t="n">
        <v>1325.7</v>
      </c>
      <c r="F52" s="2" t="inlineStr">
        <is>
          <t>NA</t>
        </is>
      </c>
      <c r="G52" s="2" t="n">
        <v>116.6</v>
      </c>
      <c r="H52" s="2" t="n">
        <v>166.5</v>
      </c>
      <c r="I52" s="2" t="inlineStr">
        <is>
          <t>NA</t>
        </is>
      </c>
      <c r="J52" s="2" t="inlineStr">
        <is>
          <t>NA</t>
        </is>
      </c>
      <c r="K52" s="2" t="n">
        <v>957.7</v>
      </c>
      <c r="L52" s="2" t="n">
        <v>1660.6</v>
      </c>
      <c r="M52" s="2" t="n">
        <v>1316.1</v>
      </c>
      <c r="N52" s="2" t="n">
        <v>344.5</v>
      </c>
      <c r="O52" s="2" t="n">
        <v>94.59999999999999</v>
      </c>
      <c r="P52" s="2" t="n">
        <v>108.7</v>
      </c>
      <c r="Q52" s="2" t="n">
        <v>59.8</v>
      </c>
      <c r="R52" s="2" t="n">
        <v>48.9</v>
      </c>
      <c r="T52" s="2" t="inlineStr">
        <is>
          <t>NA</t>
        </is>
      </c>
      <c r="U52" s="2" t="inlineStr">
        <is>
          <t>NA</t>
        </is>
      </c>
      <c r="V52" s="2" t="inlineStr">
        <is>
          <t>NA</t>
        </is>
      </c>
      <c r="W52" s="2" t="n">
        <v>5</v>
      </c>
      <c r="X52" s="2" t="n">
        <v>85.09999999999999</v>
      </c>
      <c r="Y52" s="2" t="n">
        <v>8.1</v>
      </c>
      <c r="Z52" s="2" t="n">
        <v>157.4</v>
      </c>
      <c r="AA52" s="2" t="n">
        <v>148.8</v>
      </c>
      <c r="AB52" s="2" t="n">
        <v>8.6</v>
      </c>
      <c r="AC52" s="2" t="inlineStr">
        <is>
          <t>NA</t>
        </is>
      </c>
      <c r="AD52" s="2" t="inlineStr">
        <is>
          <t>NA</t>
        </is>
      </c>
      <c r="AG52" s="2" t="inlineStr">
        <is>
          <t>NA</t>
        </is>
      </c>
      <c r="AH52" s="2" t="inlineStr">
        <is>
          <t>NA</t>
        </is>
      </c>
      <c r="AI52" s="2" t="n">
        <v>85.7</v>
      </c>
      <c r="AL52" s="2" t="n">
        <v>103.7</v>
      </c>
      <c r="AM52" s="2" t="n">
        <v>61.1</v>
      </c>
      <c r="AN52" s="2" t="n">
        <v>42.6</v>
      </c>
      <c r="AO52" s="2" t="n">
        <v>1969.5</v>
      </c>
      <c r="AP52" s="2" t="n">
        <v>428.6</v>
      </c>
      <c r="AQ52" s="2" t="n">
        <v>79.59999999999999</v>
      </c>
      <c r="AR52" s="2" t="n">
        <v>38.2</v>
      </c>
      <c r="AS52" s="2" t="n">
        <v>144.5</v>
      </c>
      <c r="AT52" s="2" t="n">
        <v>102.7</v>
      </c>
      <c r="AU52" s="2" t="n">
        <v>75.2</v>
      </c>
      <c r="AV52" s="2" t="n">
        <v>30.2</v>
      </c>
      <c r="AW52" s="2" t="inlineStr">
        <is>
          <t>NA</t>
        </is>
      </c>
      <c r="AX52" s="2" t="inlineStr">
        <is>
          <t>NA</t>
        </is>
      </c>
      <c r="AY52" s="2" t="n">
        <v>55.9</v>
      </c>
      <c r="AZ52" s="2" t="n">
        <v>7.8</v>
      </c>
      <c r="BA52" s="2" t="inlineStr">
        <is>
          <t>NA</t>
        </is>
      </c>
      <c r="BB52" s="2" t="inlineStr">
        <is>
          <t>NA</t>
        </is>
      </c>
      <c r="BD52" s="2" t="n">
        <v>114.1</v>
      </c>
      <c r="BE52" s="2" t="n">
        <v>50.4</v>
      </c>
      <c r="BM52" s="2" t="n">
        <v>510.3</v>
      </c>
      <c r="BS52" s="2" t="n">
        <v>371.2</v>
      </c>
      <c r="BT52" s="2" t="n">
        <v>94</v>
      </c>
      <c r="BU52" s="2" t="n">
        <v>45.8</v>
      </c>
      <c r="BV52" s="2" t="inlineStr">
        <is>
          <t>NA</t>
        </is>
      </c>
      <c r="BW52" s="2" t="inlineStr">
        <is>
          <t>NA</t>
        </is>
      </c>
      <c r="BX52" s="2" t="n">
        <v>571.8</v>
      </c>
      <c r="BY52" s="2" t="inlineStr">
        <is>
          <t>NA</t>
        </is>
      </c>
      <c r="BZ52" s="2" t="inlineStr">
        <is>
          <t>NA</t>
        </is>
      </c>
      <c r="CF52" s="2" t="n">
        <v>105.4</v>
      </c>
      <c r="CG52" s="2" t="n">
        <v>185.7</v>
      </c>
      <c r="CH52" s="2" t="n">
        <v>18.1</v>
      </c>
      <c r="CN52" s="2" t="n">
        <v>61.2</v>
      </c>
      <c r="CO52" s="2" t="n">
        <v>175.6</v>
      </c>
      <c r="CP52" s="2" t="n">
        <v>131.6</v>
      </c>
      <c r="CQ52" s="2" t="n">
        <v>44</v>
      </c>
      <c r="CR52" s="2" t="inlineStr">
        <is>
          <t>NA</t>
        </is>
      </c>
      <c r="CS52" s="2" t="n">
        <v>34.9</v>
      </c>
      <c r="CT52" s="2" t="n">
        <v>23.4</v>
      </c>
      <c r="CU52" s="2" t="n">
        <v>11.5</v>
      </c>
      <c r="CV52" s="2" t="n">
        <v>69.2</v>
      </c>
      <c r="CW52" s="2" t="n">
        <v>69.2</v>
      </c>
      <c r="CY52" s="2" t="n">
        <v>14.4</v>
      </c>
      <c r="CZ52" s="2" t="n">
        <v>20</v>
      </c>
      <c r="DA52" s="2" t="inlineStr">
        <is>
          <t>NA</t>
        </is>
      </c>
      <c r="DB52" s="2" t="inlineStr">
        <is>
          <t>NA</t>
        </is>
      </c>
      <c r="DC52" s="2" t="inlineStr">
        <is>
          <t>NA</t>
        </is>
      </c>
      <c r="DG52" s="2" t="n">
        <v>135.5</v>
      </c>
      <c r="DH52" s="2" t="n">
        <v>103.8</v>
      </c>
      <c r="DI52" s="2" t="n">
        <v>589.5</v>
      </c>
      <c r="DK52" s="2" t="n">
        <v>420.1</v>
      </c>
      <c r="DM52" s="2" t="n">
        <v>164.5</v>
      </c>
      <c r="DO52" s="2" t="n">
        <v>139.5</v>
      </c>
      <c r="DP52" s="2" t="n">
        <v>143.7</v>
      </c>
      <c r="DQ52" s="2" t="n">
        <v>54.5</v>
      </c>
      <c r="DR52" s="2" t="n">
        <v>71.7</v>
      </c>
      <c r="DS52" s="2" t="n">
        <v>774.2</v>
      </c>
      <c r="DT52" s="2" t="n">
        <v>2597</v>
      </c>
      <c r="DU52" s="2" t="n">
        <v>-239.3000000000002</v>
      </c>
      <c r="DV52" s="2" t="n">
        <v>0</v>
      </c>
      <c r="GZ52" s="2" t="n">
        <v>747.2</v>
      </c>
      <c r="IN52" s="2" t="n">
        <v>91.09999999999999</v>
      </c>
      <c r="IY52" s="2" t="n">
        <v>47.34154793993069</v>
      </c>
      <c r="IZ52" s="2" t="n">
        <v>0.4415479399306932</v>
      </c>
      <c r="JB52" s="2" t="n">
        <v>11.06314978821717</v>
      </c>
      <c r="JC52" s="2" t="n">
        <v>-0.03685021178282533</v>
      </c>
      <c r="JE52" s="2" t="n">
        <v>1660.6</v>
      </c>
      <c r="JF52" s="2" t="n">
        <v>0.5304106949295435</v>
      </c>
    </row>
    <row r="53">
      <c r="A53" s="1" t="n">
        <v>30651</v>
      </c>
      <c r="B53" s="2" t="n">
        <v>2682.6</v>
      </c>
      <c r="C53" s="2" t="n">
        <v>3718.9</v>
      </c>
      <c r="D53" s="2" t="n">
        <v>296.6</v>
      </c>
      <c r="E53" s="2" t="n">
        <v>1366.3</v>
      </c>
      <c r="F53" s="2" t="inlineStr">
        <is>
          <t>NA</t>
        </is>
      </c>
      <c r="G53" s="2" t="n">
        <v>113.2</v>
      </c>
      <c r="H53" s="2" t="n">
        <v>128.8</v>
      </c>
      <c r="I53" s="2" t="inlineStr">
        <is>
          <t>NA</t>
        </is>
      </c>
      <c r="J53" s="2" t="inlineStr">
        <is>
          <t>NA</t>
        </is>
      </c>
      <c r="K53" s="2" t="n">
        <v>990.9</v>
      </c>
      <c r="L53" s="2" t="n">
        <v>1919.3</v>
      </c>
      <c r="M53" s="2" t="n">
        <v>1559.3</v>
      </c>
      <c r="N53" s="2" t="n">
        <v>360</v>
      </c>
      <c r="O53" s="2" t="n">
        <v>93.59999999999999</v>
      </c>
      <c r="P53" s="2" t="n">
        <v>144.7</v>
      </c>
      <c r="Q53" s="2" t="n">
        <v>65.3</v>
      </c>
      <c r="R53" s="2" t="n">
        <v>79.40000000000001</v>
      </c>
      <c r="T53" s="2" t="inlineStr">
        <is>
          <t>NA</t>
        </is>
      </c>
      <c r="U53" s="2" t="inlineStr">
        <is>
          <t>NA</t>
        </is>
      </c>
      <c r="V53" s="2" t="inlineStr">
        <is>
          <t>NA</t>
        </is>
      </c>
      <c r="W53" s="2" t="n">
        <v>2.9</v>
      </c>
      <c r="X53" s="2" t="n">
        <v>64.5</v>
      </c>
      <c r="Y53" s="2" t="n">
        <v>7.1</v>
      </c>
      <c r="Z53" s="2" t="n">
        <v>179.2</v>
      </c>
      <c r="AA53" s="2" t="n">
        <v>171.9</v>
      </c>
      <c r="AB53" s="2" t="n">
        <v>7.3</v>
      </c>
      <c r="AC53" s="2" t="inlineStr">
        <is>
          <t>NA</t>
        </is>
      </c>
      <c r="AD53" s="2" t="inlineStr">
        <is>
          <t>NA</t>
        </is>
      </c>
      <c r="AG53" s="2" t="inlineStr">
        <is>
          <t>NA</t>
        </is>
      </c>
      <c r="AH53" s="2" t="inlineStr">
        <is>
          <t>NA</t>
        </is>
      </c>
      <c r="AI53" s="2" t="n">
        <v>83.2</v>
      </c>
      <c r="AL53" s="2" t="n">
        <v>81</v>
      </c>
      <c r="AM53" s="2" t="n">
        <v>48.7</v>
      </c>
      <c r="AN53" s="2" t="n">
        <v>32.3</v>
      </c>
      <c r="AO53" s="2" t="n">
        <v>2041.4</v>
      </c>
      <c r="AP53" s="2" t="n">
        <v>346.4</v>
      </c>
      <c r="AQ53" s="2" t="n">
        <v>81.09999999999999</v>
      </c>
      <c r="AR53" s="2" t="n">
        <v>44.7</v>
      </c>
      <c r="AS53" s="2" t="n">
        <v>140.9</v>
      </c>
      <c r="AT53" s="2" t="n">
        <v>122.9</v>
      </c>
      <c r="AU53" s="2" t="n">
        <v>75.2</v>
      </c>
      <c r="AV53" s="2" t="n">
        <v>38.7</v>
      </c>
      <c r="AW53" s="2" t="inlineStr">
        <is>
          <t>NA</t>
        </is>
      </c>
      <c r="AX53" s="2" t="inlineStr">
        <is>
          <t>NA</t>
        </is>
      </c>
      <c r="AY53" s="2" t="n">
        <v>41.4</v>
      </c>
      <c r="AZ53" s="2" t="n">
        <v>4.8</v>
      </c>
      <c r="BA53" s="2" t="inlineStr">
        <is>
          <t>NA</t>
        </is>
      </c>
      <c r="BB53" s="2" t="inlineStr">
        <is>
          <t>NA</t>
        </is>
      </c>
      <c r="BD53" s="2" t="n">
        <v>110.2</v>
      </c>
      <c r="BE53" s="2" t="n">
        <v>42.5</v>
      </c>
      <c r="BM53" s="2" t="n">
        <v>520.7</v>
      </c>
      <c r="BS53" s="2" t="n">
        <v>375.5</v>
      </c>
      <c r="BT53" s="2" t="n">
        <v>88</v>
      </c>
      <c r="BU53" s="2" t="n">
        <v>34.2</v>
      </c>
      <c r="BV53" s="2" t="inlineStr">
        <is>
          <t>NA</t>
        </is>
      </c>
      <c r="BW53" s="2" t="inlineStr">
        <is>
          <t>NA</t>
        </is>
      </c>
      <c r="BX53" s="2" t="n">
        <v>600.1</v>
      </c>
      <c r="BY53" s="2" t="inlineStr">
        <is>
          <t>NA</t>
        </is>
      </c>
      <c r="BZ53" s="2" t="inlineStr">
        <is>
          <t>NA</t>
        </is>
      </c>
      <c r="CF53" s="2" t="n">
        <v>93.40000000000001</v>
      </c>
      <c r="CG53" s="2" t="n">
        <v>186.2</v>
      </c>
      <c r="CH53" s="2" t="n">
        <v>17.4</v>
      </c>
      <c r="CN53" s="2" t="n">
        <v>57.6</v>
      </c>
      <c r="CO53" s="2" t="n">
        <v>175.2</v>
      </c>
      <c r="CP53" s="2" t="n">
        <v>120.9</v>
      </c>
      <c r="CQ53" s="2" t="n">
        <v>54.3</v>
      </c>
      <c r="CR53" s="2" t="inlineStr">
        <is>
          <t>NA</t>
        </is>
      </c>
      <c r="CS53" s="2" t="n">
        <v>34.09999999999999</v>
      </c>
      <c r="CT53" s="2" t="n">
        <v>22.9</v>
      </c>
      <c r="CU53" s="2" t="n">
        <v>11.2</v>
      </c>
      <c r="CV53" s="2" t="n">
        <v>93.90000000000001</v>
      </c>
      <c r="CW53" s="2" t="n">
        <v>93.90000000000001</v>
      </c>
      <c r="CY53" s="2" t="n">
        <v>9.9</v>
      </c>
      <c r="CZ53" s="2" t="n">
        <v>36.4</v>
      </c>
      <c r="DA53" s="2" t="inlineStr">
        <is>
          <t>NA</t>
        </is>
      </c>
      <c r="DB53" s="2" t="inlineStr">
        <is>
          <t>NA</t>
        </is>
      </c>
      <c r="DC53" s="2" t="inlineStr">
        <is>
          <t>NA</t>
        </is>
      </c>
      <c r="DG53" s="2" t="n">
        <v>122.3</v>
      </c>
      <c r="DH53" s="2" t="n">
        <v>123.6</v>
      </c>
      <c r="DI53" s="2" t="n">
        <v>615.4</v>
      </c>
      <c r="DJ53" s="2" t="n">
        <v>133.1</v>
      </c>
      <c r="DK53" s="2" t="n">
        <v>423.6</v>
      </c>
      <c r="DM53" s="2" t="n">
        <v>163.8</v>
      </c>
      <c r="DO53" s="2" t="n">
        <v>154.6</v>
      </c>
      <c r="DP53" s="2" t="n">
        <v>167.9</v>
      </c>
      <c r="DQ53" s="2" t="n">
        <v>35.5</v>
      </c>
      <c r="DR53" s="2" t="n">
        <v>100.7</v>
      </c>
      <c r="DS53" s="2" t="n">
        <v>642.1</v>
      </c>
      <c r="DT53" s="2" t="n">
        <v>2682.6</v>
      </c>
      <c r="DU53" s="2" t="n">
        <v>-245.9000000000001</v>
      </c>
      <c r="DV53" s="2" t="n">
        <v>0</v>
      </c>
      <c r="GZ53" s="2" t="n">
        <v>737.1</v>
      </c>
      <c r="IN53" s="2" t="n">
        <v>97.7</v>
      </c>
      <c r="IY53" s="2" t="n">
        <v>47.47260120778349</v>
      </c>
      <c r="IZ53" s="2" t="n">
        <v>0.2726012077834881</v>
      </c>
      <c r="JB53" s="2" t="n">
        <v>11.08141355401476</v>
      </c>
      <c r="JC53" s="2" t="n">
        <v>-0.01858644598523895</v>
      </c>
      <c r="JE53" s="2" t="n">
        <v>1919.3</v>
      </c>
      <c r="JF53" s="2" t="n">
        <v>0.5349867139061116</v>
      </c>
    </row>
    <row r="54">
      <c r="A54" s="1" t="n">
        <v>30682</v>
      </c>
      <c r="B54" s="2" t="n">
        <v>2815.2</v>
      </c>
      <c r="C54" s="2" t="n">
        <v>3758.5</v>
      </c>
      <c r="D54" s="2" t="n">
        <v>347.8</v>
      </c>
      <c r="E54" s="2" t="n">
        <v>1165.3</v>
      </c>
      <c r="F54" s="2" t="n">
        <v>15.3</v>
      </c>
      <c r="G54" s="2" t="n">
        <v>84.90000000000001</v>
      </c>
      <c r="H54" s="2" t="n">
        <v>74.90000000000001</v>
      </c>
      <c r="I54" s="2" t="inlineStr">
        <is>
          <t>NA</t>
        </is>
      </c>
      <c r="J54" s="2" t="inlineStr">
        <is>
          <t>NA</t>
        </is>
      </c>
      <c r="K54" s="2" t="n">
        <v>1052.5</v>
      </c>
      <c r="L54" s="2" t="n">
        <v>1907.1</v>
      </c>
      <c r="M54" s="2" t="n">
        <v>1569</v>
      </c>
      <c r="N54" s="2" t="n">
        <v>338.1</v>
      </c>
      <c r="O54" s="2" t="n">
        <v>109.5</v>
      </c>
      <c r="P54" s="2" t="n">
        <v>152.5</v>
      </c>
      <c r="Q54" s="2" t="n">
        <v>67.90000000000001</v>
      </c>
      <c r="R54" s="2" t="n">
        <v>84.59999999999999</v>
      </c>
      <c r="T54" s="2" t="n">
        <v>12.1</v>
      </c>
      <c r="U54" s="2" t="n">
        <v>26.4</v>
      </c>
      <c r="V54" s="2" t="n">
        <v>22.2</v>
      </c>
      <c r="W54" s="2" t="n">
        <v>4.2</v>
      </c>
      <c r="X54" s="2" t="n">
        <v>61.4</v>
      </c>
      <c r="Y54" s="2" t="n">
        <v>4.6</v>
      </c>
      <c r="Z54" s="2" t="n">
        <v>115.9</v>
      </c>
      <c r="AA54" s="2" t="n">
        <v>109.9</v>
      </c>
      <c r="AB54" s="2" t="n">
        <v>6</v>
      </c>
      <c r="AC54" s="2" t="inlineStr">
        <is>
          <t>NA</t>
        </is>
      </c>
      <c r="AD54" s="2" t="inlineStr">
        <is>
          <t>NA</t>
        </is>
      </c>
      <c r="AG54" s="2" t="inlineStr">
        <is>
          <t>NA</t>
        </is>
      </c>
      <c r="AH54" s="2" t="inlineStr">
        <is>
          <t>NA</t>
        </is>
      </c>
      <c r="AI54" s="2" t="n">
        <v>92.09999999999999</v>
      </c>
      <c r="AL54" s="2" t="n">
        <v>79.09999999999999</v>
      </c>
      <c r="AM54" s="2" t="n">
        <v>52.1</v>
      </c>
      <c r="AN54" s="2" t="n">
        <v>27</v>
      </c>
      <c r="AO54" s="2" t="n">
        <v>2136.5</v>
      </c>
      <c r="AP54" s="2" t="n">
        <v>428.1</v>
      </c>
      <c r="AQ54" s="2" t="n">
        <v>83.5</v>
      </c>
      <c r="AR54" s="2" t="n">
        <v>47.8</v>
      </c>
      <c r="AS54" s="2" t="n">
        <v>162.4</v>
      </c>
      <c r="AT54" s="2" t="n">
        <v>139.1</v>
      </c>
      <c r="AU54" s="2" t="n">
        <v>86.5</v>
      </c>
      <c r="AV54" s="2" t="n">
        <v>56.2</v>
      </c>
      <c r="AW54" s="2" t="n">
        <v>9.199999999999999</v>
      </c>
      <c r="AX54" s="2" t="n">
        <v>2.7</v>
      </c>
      <c r="AY54" s="2" t="n">
        <v>38.3</v>
      </c>
      <c r="AZ54" s="2" t="n">
        <v>4</v>
      </c>
      <c r="BA54" s="2" t="inlineStr">
        <is>
          <t>NA</t>
        </is>
      </c>
      <c r="BB54" s="2" t="inlineStr">
        <is>
          <t>NA</t>
        </is>
      </c>
      <c r="BD54" s="2" t="n">
        <v>92.7</v>
      </c>
      <c r="BE54" s="2" t="n">
        <v>44.1</v>
      </c>
      <c r="BM54" s="2" t="n">
        <v>470.3</v>
      </c>
      <c r="BS54" s="2" t="n">
        <v>367.1</v>
      </c>
      <c r="BT54" s="2" t="n">
        <v>79</v>
      </c>
      <c r="BU54" s="2" t="n">
        <v>34.1</v>
      </c>
      <c r="BV54" s="2" t="inlineStr">
        <is>
          <t>NA</t>
        </is>
      </c>
      <c r="BW54" s="2" t="inlineStr">
        <is>
          <t>NA</t>
        </is>
      </c>
      <c r="BX54" s="2" t="n">
        <v>540.8</v>
      </c>
      <c r="BY54" s="2" t="inlineStr">
        <is>
          <t>NA</t>
        </is>
      </c>
      <c r="BZ54" s="2" t="inlineStr">
        <is>
          <t>NA</t>
        </is>
      </c>
      <c r="CF54" s="2" t="n">
        <v>99.5</v>
      </c>
      <c r="CG54" s="2" t="n">
        <v>164.6</v>
      </c>
      <c r="CH54" s="2" t="n">
        <v>16.3</v>
      </c>
      <c r="CN54" s="2" t="n">
        <v>56.3</v>
      </c>
      <c r="CO54" s="2" t="n">
        <v>215.5</v>
      </c>
      <c r="CP54" s="2" t="n">
        <v>159.5</v>
      </c>
      <c r="CQ54" s="2" t="n">
        <v>56</v>
      </c>
      <c r="CR54" s="2" t="inlineStr">
        <is>
          <t>NA</t>
        </is>
      </c>
      <c r="CS54" s="2" t="n">
        <v>38</v>
      </c>
      <c r="CT54" s="2" t="n">
        <v>27</v>
      </c>
      <c r="CU54" s="2" t="n">
        <v>11</v>
      </c>
      <c r="CV54" s="2" t="n">
        <v>101.2</v>
      </c>
      <c r="CW54" s="2" t="n">
        <v>101.2</v>
      </c>
      <c r="CY54" s="2" t="n">
        <v>12</v>
      </c>
      <c r="CZ54" s="2" t="n">
        <v>38.7</v>
      </c>
      <c r="DA54" s="2" t="inlineStr">
        <is>
          <t>NA</t>
        </is>
      </c>
      <c r="DB54" s="2" t="inlineStr">
        <is>
          <t>NA</t>
        </is>
      </c>
      <c r="DC54" s="2" t="inlineStr">
        <is>
          <t>NA</t>
        </is>
      </c>
      <c r="DG54" s="2" t="n">
        <v>104.7</v>
      </c>
      <c r="DH54" s="2" t="n">
        <v>124.8</v>
      </c>
      <c r="DI54" s="2" t="n">
        <v>621.5</v>
      </c>
      <c r="DJ54" s="2" t="n">
        <v>136.7</v>
      </c>
      <c r="DK54" s="2" t="n">
        <v>456.4</v>
      </c>
      <c r="DL54" s="2" t="n">
        <v>95.2</v>
      </c>
      <c r="DM54" s="2" t="n">
        <v>182.4</v>
      </c>
      <c r="DO54" s="2" t="n">
        <v>167.9</v>
      </c>
      <c r="DP54" s="2" t="n">
        <v>173.4</v>
      </c>
      <c r="DQ54" s="2" t="n">
        <v>49.4</v>
      </c>
      <c r="DR54" s="2" t="n">
        <v>95.8</v>
      </c>
      <c r="DS54" s="2" t="n">
        <v>607</v>
      </c>
      <c r="DT54" s="2" t="n">
        <v>2815.2</v>
      </c>
      <c r="DU54" s="2" t="n">
        <v>-229.4999999999995</v>
      </c>
      <c r="DV54" s="2" t="n">
        <v>0</v>
      </c>
      <c r="GZ54" s="2" t="n">
        <v>797.9</v>
      </c>
      <c r="IN54" s="2" t="n">
        <v>99.7</v>
      </c>
      <c r="IY54" s="2" t="n">
        <v>47.3145780051151</v>
      </c>
      <c r="IZ54" s="2" t="n">
        <v>0.2145780051150936</v>
      </c>
      <c r="JB54" s="2" t="n">
        <v>11.21589940323956</v>
      </c>
      <c r="JC54" s="2" t="n">
        <v>0.0158994032395583</v>
      </c>
      <c r="JE54" s="2" t="n">
        <v>1907.1</v>
      </c>
      <c r="JF54" s="2" t="n">
        <v>0.5494730218656599</v>
      </c>
    </row>
    <row r="55">
      <c r="A55" s="1" t="n">
        <v>30713</v>
      </c>
      <c r="B55" s="2" t="n">
        <v>2376.5</v>
      </c>
      <c r="C55" s="2" t="n">
        <v>3444</v>
      </c>
      <c r="D55" s="2" t="n">
        <v>289.7</v>
      </c>
      <c r="E55" s="2" t="n">
        <v>902</v>
      </c>
      <c r="F55" s="2" t="n">
        <v>15.7</v>
      </c>
      <c r="G55" s="2" t="n">
        <v>82.59999999999999</v>
      </c>
      <c r="H55" s="2" t="n">
        <v>55.8</v>
      </c>
      <c r="I55" s="2" t="inlineStr">
        <is>
          <t>NA</t>
        </is>
      </c>
      <c r="J55" s="2" t="inlineStr">
        <is>
          <t>NA</t>
        </is>
      </c>
      <c r="K55" s="2" t="n">
        <v>896.9</v>
      </c>
      <c r="L55" s="2" t="n">
        <v>1582.9</v>
      </c>
      <c r="M55" s="2" t="n">
        <v>1260.9</v>
      </c>
      <c r="N55" s="2" t="n">
        <v>322</v>
      </c>
      <c r="O55" s="2" t="n">
        <v>91.3</v>
      </c>
      <c r="P55" s="2" t="n">
        <v>152.1</v>
      </c>
      <c r="Q55" s="2" t="n">
        <v>61.3</v>
      </c>
      <c r="R55" s="2" t="n">
        <v>90.8</v>
      </c>
      <c r="T55" s="2" t="n">
        <v>13.3</v>
      </c>
      <c r="U55" s="2" t="n">
        <v>27.3</v>
      </c>
      <c r="V55" s="2" t="n">
        <v>23.5</v>
      </c>
      <c r="W55" s="2" t="n">
        <v>3.8</v>
      </c>
      <c r="X55" s="2" t="n">
        <v>40.6</v>
      </c>
      <c r="Y55" s="2" t="n">
        <v>8.6</v>
      </c>
      <c r="Z55" s="2" t="n">
        <v>105.2</v>
      </c>
      <c r="AA55" s="2" t="n">
        <v>98.3</v>
      </c>
      <c r="AB55" s="2" t="n">
        <v>6.9</v>
      </c>
      <c r="AC55" s="2" t="inlineStr">
        <is>
          <t>NA</t>
        </is>
      </c>
      <c r="AD55" s="2" t="inlineStr">
        <is>
          <t>NA</t>
        </is>
      </c>
      <c r="AG55" s="2" t="inlineStr">
        <is>
          <t>NA</t>
        </is>
      </c>
      <c r="AH55" s="2" t="inlineStr">
        <is>
          <t>NA</t>
        </is>
      </c>
      <c r="AI55" s="2" t="n">
        <v>87.5</v>
      </c>
      <c r="AL55" s="2" t="n">
        <v>98.8</v>
      </c>
      <c r="AM55" s="2" t="n">
        <v>69.5</v>
      </c>
      <c r="AN55" s="2" t="n">
        <v>29.3</v>
      </c>
      <c r="AO55" s="2" t="n">
        <v>1798.2</v>
      </c>
      <c r="AP55" s="2" t="n">
        <v>407.7</v>
      </c>
      <c r="AQ55" s="2" t="n">
        <v>74.09999999999999</v>
      </c>
      <c r="AR55" s="2" t="n">
        <v>39</v>
      </c>
      <c r="AS55" s="2" t="n">
        <v>134.7</v>
      </c>
      <c r="AT55" s="2" t="n">
        <v>168.9</v>
      </c>
      <c r="AU55" s="2" t="n">
        <v>70.40000000000001</v>
      </c>
      <c r="AV55" s="2" t="n">
        <v>68.3</v>
      </c>
      <c r="AW55" s="2" t="n">
        <v>8.800000000000001</v>
      </c>
      <c r="AX55" s="2" t="n">
        <v>4.1</v>
      </c>
      <c r="AY55" s="2" t="n">
        <v>24.5</v>
      </c>
      <c r="AZ55" s="2" t="n">
        <v>7.4</v>
      </c>
      <c r="BA55" s="2" t="inlineStr">
        <is>
          <t>NA</t>
        </is>
      </c>
      <c r="BB55" s="2" t="inlineStr">
        <is>
          <t>NA</t>
        </is>
      </c>
      <c r="BD55" s="2" t="n">
        <v>103.3</v>
      </c>
      <c r="BE55" s="2" t="n">
        <v>41.3</v>
      </c>
      <c r="BM55" s="2" t="n">
        <v>464.7</v>
      </c>
      <c r="BS55" s="2" t="n">
        <v>388.9</v>
      </c>
      <c r="BT55" s="2" t="n">
        <v>74</v>
      </c>
      <c r="BU55" s="2" t="n">
        <v>28.5</v>
      </c>
      <c r="BV55" s="2" t="inlineStr">
        <is>
          <t>NA</t>
        </is>
      </c>
      <c r="BW55" s="2" t="inlineStr">
        <is>
          <t>NA</t>
        </is>
      </c>
      <c r="BX55" s="2" t="n">
        <v>537.5</v>
      </c>
      <c r="BY55" s="2" t="inlineStr">
        <is>
          <t>NA</t>
        </is>
      </c>
      <c r="BZ55" s="2" t="inlineStr">
        <is>
          <t>NA</t>
        </is>
      </c>
      <c r="CF55" s="2" t="n">
        <v>116.3</v>
      </c>
      <c r="CG55" s="2" t="n">
        <v>160.1</v>
      </c>
      <c r="CH55" s="2" t="n">
        <v>15.9</v>
      </c>
      <c r="CN55" s="2" t="n">
        <v>51.7</v>
      </c>
      <c r="CO55" s="2" t="n">
        <v>193.8</v>
      </c>
      <c r="CP55" s="2" t="n">
        <v>137.5</v>
      </c>
      <c r="CQ55" s="2" t="n">
        <v>56.3</v>
      </c>
      <c r="CR55" s="2" t="inlineStr">
        <is>
          <t>NA</t>
        </is>
      </c>
      <c r="CS55" s="2" t="n">
        <v>40.3</v>
      </c>
      <c r="CT55" s="2" t="n">
        <v>27</v>
      </c>
      <c r="CU55" s="2" t="n">
        <v>13.3</v>
      </c>
      <c r="CV55" s="2" t="n">
        <v>86.5</v>
      </c>
      <c r="CW55" s="2" t="n">
        <v>86.5</v>
      </c>
      <c r="CY55" s="2" t="inlineStr">
        <is>
          <t>NA</t>
        </is>
      </c>
      <c r="CZ55" s="2" t="n">
        <v>37.7</v>
      </c>
      <c r="DA55" s="2" t="inlineStr">
        <is>
          <t>NA</t>
        </is>
      </c>
      <c r="DB55" s="2" t="inlineStr">
        <is>
          <t>NA</t>
        </is>
      </c>
      <c r="DC55" s="2" t="inlineStr">
        <is>
          <t>NA</t>
        </is>
      </c>
      <c r="DG55" s="2" t="n">
        <v>82.90000000000001</v>
      </c>
      <c r="DH55" s="2" t="n">
        <v>111.7</v>
      </c>
      <c r="DI55" s="2" t="n">
        <v>536</v>
      </c>
      <c r="DJ55" s="2" t="n">
        <v>112.4</v>
      </c>
      <c r="DK55" s="2" t="n">
        <v>374.9</v>
      </c>
      <c r="DL55" s="2" t="n">
        <v>93.90000000000001</v>
      </c>
      <c r="DM55" s="2" t="n">
        <v>155.2</v>
      </c>
      <c r="DO55" s="2" t="n">
        <v>101.8</v>
      </c>
      <c r="DP55" s="2" t="n">
        <v>146.4</v>
      </c>
      <c r="DQ55" s="2" t="n">
        <v>50.3</v>
      </c>
      <c r="DR55" s="2" t="n">
        <v>86.7</v>
      </c>
      <c r="DS55" s="2" t="n">
        <v>524.3</v>
      </c>
      <c r="DT55" s="2" t="n">
        <v>2376.5</v>
      </c>
      <c r="DU55" s="2" t="n">
        <v>-194.5999999999999</v>
      </c>
      <c r="DV55" s="2" t="n">
        <v>0</v>
      </c>
      <c r="GZ55" s="2" t="n">
        <v>813.2</v>
      </c>
      <c r="IN55" s="2" t="n">
        <v>98.40000000000001</v>
      </c>
      <c r="IY55" s="2" t="n">
        <v>47.27035556490637</v>
      </c>
      <c r="IZ55" s="2" t="n">
        <v>-0.1296444350936241</v>
      </c>
      <c r="JB55" s="2" t="n">
        <v>11.32211235009468</v>
      </c>
      <c r="JC55" s="2" t="n">
        <v>0.02211235009467494</v>
      </c>
      <c r="JE55" s="2" t="n">
        <v>1582.9</v>
      </c>
      <c r="JF55" s="2" t="n">
        <v>0.55878450944469</v>
      </c>
    </row>
    <row r="56">
      <c r="A56" s="1" t="n">
        <v>30742</v>
      </c>
      <c r="B56" s="2" t="n">
        <v>2579.2</v>
      </c>
      <c r="C56" s="2" t="n">
        <v>3157.9</v>
      </c>
      <c r="D56" s="2" t="n">
        <v>294.7</v>
      </c>
      <c r="E56" s="2" t="n">
        <v>636.2</v>
      </c>
      <c r="F56" s="2" t="n">
        <v>15.5</v>
      </c>
      <c r="G56" s="2" t="n">
        <v>53.1</v>
      </c>
      <c r="H56" s="2" t="n">
        <v>35.8</v>
      </c>
      <c r="I56" s="2" t="inlineStr">
        <is>
          <t>NA</t>
        </is>
      </c>
      <c r="J56" s="2" t="inlineStr">
        <is>
          <t>NA</t>
        </is>
      </c>
      <c r="K56" s="2" t="n">
        <v>972.7</v>
      </c>
      <c r="L56" s="2" t="n">
        <v>1519.6</v>
      </c>
      <c r="M56" s="2" t="n">
        <v>1185.9</v>
      </c>
      <c r="N56" s="2" t="n">
        <v>333.7</v>
      </c>
      <c r="O56" s="2" t="n">
        <v>96.59999999999999</v>
      </c>
      <c r="P56" s="2" t="n">
        <v>172.7</v>
      </c>
      <c r="Q56" s="2" t="n">
        <v>70</v>
      </c>
      <c r="R56" s="2" t="n">
        <v>102.7</v>
      </c>
      <c r="T56" s="2" t="n">
        <v>10.8</v>
      </c>
      <c r="U56" s="2" t="n">
        <v>25.4</v>
      </c>
      <c r="V56" s="2" t="n">
        <v>20.9</v>
      </c>
      <c r="W56" s="2" t="n">
        <v>4.5</v>
      </c>
      <c r="X56" s="2" t="n">
        <v>35.5</v>
      </c>
      <c r="Y56" s="2" t="inlineStr">
        <is>
          <t>NA</t>
        </is>
      </c>
      <c r="Z56" s="2" t="n">
        <v>72.5</v>
      </c>
      <c r="AA56" s="2" t="n">
        <v>66.40000000000001</v>
      </c>
      <c r="AB56" s="2" t="n">
        <v>6.1</v>
      </c>
      <c r="AC56" s="2" t="inlineStr">
        <is>
          <t>NA</t>
        </is>
      </c>
      <c r="AD56" s="2" t="inlineStr">
        <is>
          <t>NA</t>
        </is>
      </c>
      <c r="AG56" s="2" t="inlineStr">
        <is>
          <t>NA</t>
        </is>
      </c>
      <c r="AH56" s="2" t="inlineStr">
        <is>
          <t>NA</t>
        </is>
      </c>
      <c r="AI56" s="2" t="n">
        <v>91.09999999999999</v>
      </c>
      <c r="AL56" s="2" t="n">
        <v>86.30000000000001</v>
      </c>
      <c r="AM56" s="2" t="n">
        <v>53.1</v>
      </c>
      <c r="AN56" s="2" t="n">
        <v>33.2</v>
      </c>
      <c r="AO56" s="2" t="n">
        <v>1940.5</v>
      </c>
      <c r="AP56" s="2" t="n">
        <v>416.6</v>
      </c>
      <c r="AQ56" s="2" t="n">
        <v>88.7</v>
      </c>
      <c r="AR56" s="2" t="n">
        <v>44.1</v>
      </c>
      <c r="AS56" s="2" t="n">
        <v>136.2</v>
      </c>
      <c r="AT56" s="2" t="n">
        <v>200.4</v>
      </c>
      <c r="AU56" s="2" t="n">
        <v>73.40000000000001</v>
      </c>
      <c r="AV56" s="2" t="n">
        <v>81.59999999999999</v>
      </c>
      <c r="AW56" s="2" t="n">
        <v>8.1</v>
      </c>
      <c r="AX56" s="2" t="n">
        <v>6.1</v>
      </c>
      <c r="AY56" s="2" t="n">
        <v>24.3</v>
      </c>
      <c r="AZ56" s="2" t="n">
        <v>5.7</v>
      </c>
      <c r="BA56" s="2" t="inlineStr">
        <is>
          <t>NA</t>
        </is>
      </c>
      <c r="BB56" s="2" t="inlineStr">
        <is>
          <t>NA</t>
        </is>
      </c>
      <c r="BD56" s="2" t="n">
        <v>124.1</v>
      </c>
      <c r="BE56" s="2" t="n">
        <v>32.9</v>
      </c>
      <c r="BM56" s="2" t="n">
        <v>545.3</v>
      </c>
      <c r="BS56" s="2" t="n">
        <v>308</v>
      </c>
      <c r="BT56" s="2" t="n">
        <v>86</v>
      </c>
      <c r="BU56" s="2" t="n">
        <v>29.1</v>
      </c>
      <c r="BV56" s="2" t="inlineStr">
        <is>
          <t>NA</t>
        </is>
      </c>
      <c r="BW56" s="2" t="inlineStr">
        <is>
          <t>NA</t>
        </is>
      </c>
      <c r="BX56" s="2" t="n">
        <v>551.4</v>
      </c>
      <c r="BY56" s="2" t="inlineStr">
        <is>
          <t>NA</t>
        </is>
      </c>
      <c r="BZ56" s="2" t="inlineStr">
        <is>
          <t>NA</t>
        </is>
      </c>
      <c r="CF56" s="2" t="n">
        <v>125.6</v>
      </c>
      <c r="CG56" s="2" t="n">
        <v>168.9</v>
      </c>
      <c r="CH56" s="2" t="n">
        <v>15.5</v>
      </c>
      <c r="CN56" s="2" t="n">
        <v>53.3</v>
      </c>
      <c r="CO56" s="2" t="n">
        <v>165</v>
      </c>
      <c r="CP56" s="2" t="n">
        <v>122.5</v>
      </c>
      <c r="CQ56" s="2" t="n">
        <v>42.5</v>
      </c>
      <c r="CR56" s="2" t="inlineStr">
        <is>
          <t>NA</t>
        </is>
      </c>
      <c r="CS56" s="2" t="n">
        <v>41.5</v>
      </c>
      <c r="CT56" s="2" t="n">
        <v>24.9</v>
      </c>
      <c r="CU56" s="2" t="n">
        <v>16.6</v>
      </c>
      <c r="CV56" s="2" t="n">
        <v>57.6</v>
      </c>
      <c r="CW56" s="2" t="n">
        <v>57.6</v>
      </c>
      <c r="CY56" s="2" t="n">
        <v>12.3</v>
      </c>
      <c r="CZ56" s="2" t="n">
        <v>23</v>
      </c>
      <c r="DA56" s="2" t="inlineStr">
        <is>
          <t>NA</t>
        </is>
      </c>
      <c r="DB56" s="2" t="inlineStr">
        <is>
          <t>NA</t>
        </is>
      </c>
      <c r="DC56" s="2" t="inlineStr">
        <is>
          <t>NA</t>
        </is>
      </c>
      <c r="DG56" s="2" t="n">
        <v>106.4</v>
      </c>
      <c r="DI56" s="2" t="n">
        <v>604.5</v>
      </c>
      <c r="DJ56" s="2" t="n">
        <v>122.8</v>
      </c>
      <c r="DK56" s="2" t="n">
        <v>393.2</v>
      </c>
      <c r="DL56" s="2" t="n">
        <v>107</v>
      </c>
      <c r="DM56" s="2" t="n">
        <v>180.2</v>
      </c>
      <c r="DO56" s="2" t="n">
        <v>112.6</v>
      </c>
      <c r="DP56" s="2" t="n">
        <v>149.1</v>
      </c>
      <c r="DQ56" s="2" t="n">
        <v>67.59999999999999</v>
      </c>
      <c r="DR56" s="2" t="n">
        <v>91.7</v>
      </c>
      <c r="DS56" s="2" t="n">
        <v>644.1</v>
      </c>
      <c r="DT56" s="2" t="n">
        <v>2579.2</v>
      </c>
      <c r="DU56" s="2" t="n">
        <v>-106.4000000000001</v>
      </c>
      <c r="DV56" s="2" t="n">
        <v>0</v>
      </c>
      <c r="GZ56" s="2" t="n">
        <v>841.8</v>
      </c>
      <c r="IN56" s="2" t="n">
        <v>100.6</v>
      </c>
      <c r="IY56" s="2" t="n">
        <v>47.20533498759306</v>
      </c>
      <c r="IZ56" s="2" t="n">
        <v>0.205334987593055</v>
      </c>
      <c r="JB56" s="2" t="n">
        <v>11.31397332506204</v>
      </c>
      <c r="JC56" s="2" t="n">
        <v>0.1139733250620374</v>
      </c>
      <c r="JE56" s="2" t="n">
        <v>1519.6</v>
      </c>
      <c r="JF56" s="2" t="n">
        <v>0.5338904974993418</v>
      </c>
    </row>
    <row r="57">
      <c r="A57" s="1" t="n">
        <v>30773</v>
      </c>
      <c r="B57" s="2" t="n">
        <v>2238.2</v>
      </c>
      <c r="C57" s="2" t="n">
        <v>2824.8</v>
      </c>
      <c r="D57" s="2" t="n">
        <v>205.6</v>
      </c>
      <c r="E57" s="2" t="n">
        <v>437.5</v>
      </c>
      <c r="F57" s="2" t="n">
        <v>17.4</v>
      </c>
      <c r="G57" s="2" t="n">
        <v>45.6</v>
      </c>
      <c r="H57" s="2" t="inlineStr">
        <is>
          <t>NA</t>
        </is>
      </c>
      <c r="I57" s="2" t="inlineStr">
        <is>
          <t>NA</t>
        </is>
      </c>
      <c r="J57" s="2" t="inlineStr">
        <is>
          <t>NA</t>
        </is>
      </c>
      <c r="K57" s="2" t="n">
        <v>846.7</v>
      </c>
      <c r="L57" s="2" t="n">
        <v>1380.1</v>
      </c>
      <c r="M57" s="2" t="n">
        <v>1053</v>
      </c>
      <c r="N57" s="2" t="n">
        <v>327.1</v>
      </c>
      <c r="O57" s="2" t="n">
        <v>69.3</v>
      </c>
      <c r="P57" s="2" t="n">
        <v>167.4</v>
      </c>
      <c r="Q57" s="2" t="n">
        <v>63.7</v>
      </c>
      <c r="R57" s="2" t="n">
        <v>103.7</v>
      </c>
      <c r="T57" s="2" t="n">
        <v>12.5</v>
      </c>
      <c r="U57" s="2" t="n">
        <v>31.2</v>
      </c>
      <c r="V57" s="2" t="n">
        <v>26.5</v>
      </c>
      <c r="W57" s="2" t="n">
        <v>4.7</v>
      </c>
      <c r="X57" s="2" t="inlineStr">
        <is>
          <t>NA</t>
        </is>
      </c>
      <c r="Y57" s="2" t="n">
        <v>5.6</v>
      </c>
      <c r="Z57" s="2" t="n">
        <v>64</v>
      </c>
      <c r="AA57" s="2" t="n">
        <v>57.1</v>
      </c>
      <c r="AB57" s="2" t="n">
        <v>6.9</v>
      </c>
      <c r="AC57" s="2" t="inlineStr">
        <is>
          <t>NA</t>
        </is>
      </c>
      <c r="AD57" s="2" t="inlineStr">
        <is>
          <t>NA</t>
        </is>
      </c>
      <c r="AG57" s="2" t="inlineStr">
        <is>
          <t>NA</t>
        </is>
      </c>
      <c r="AH57" s="2" t="inlineStr">
        <is>
          <t>NA</t>
        </is>
      </c>
      <c r="AI57" s="2" t="n">
        <v>88.5</v>
      </c>
      <c r="AL57" s="2" t="n">
        <v>88.59999999999999</v>
      </c>
      <c r="AM57" s="2" t="n">
        <v>53.5</v>
      </c>
      <c r="AN57" s="2" t="n">
        <v>35.1</v>
      </c>
      <c r="AO57" s="2" t="n">
        <v>1677.9</v>
      </c>
      <c r="AP57" s="2" t="n">
        <v>374.3</v>
      </c>
      <c r="AQ57" s="2" t="n">
        <v>82.40000000000001</v>
      </c>
      <c r="AR57" s="2" t="n">
        <v>44.3</v>
      </c>
      <c r="AS57" s="2" t="n">
        <v>95.09999999999999</v>
      </c>
      <c r="AT57" s="2" t="n">
        <v>219.5</v>
      </c>
      <c r="AU57" s="2" t="n">
        <v>52.6</v>
      </c>
      <c r="AV57" s="2" t="n">
        <v>82.90000000000001</v>
      </c>
      <c r="AW57" s="2" t="n">
        <v>9</v>
      </c>
      <c r="AX57" s="2" t="n">
        <v>4.6</v>
      </c>
      <c r="AY57" s="2" t="inlineStr">
        <is>
          <t>NA</t>
        </is>
      </c>
      <c r="AZ57" s="2" t="n">
        <v>7.9</v>
      </c>
      <c r="BA57" s="2" t="inlineStr">
        <is>
          <t>NA</t>
        </is>
      </c>
      <c r="BB57" s="2" t="inlineStr">
        <is>
          <t>NA</t>
        </is>
      </c>
      <c r="BD57" s="2" t="n">
        <v>91.8</v>
      </c>
      <c r="BE57" s="2" t="n">
        <v>35.4</v>
      </c>
      <c r="BM57" s="2" t="n">
        <v>486</v>
      </c>
      <c r="BS57" s="2" t="n">
        <v>316.2</v>
      </c>
      <c r="BT57" s="2" t="n">
        <v>79</v>
      </c>
      <c r="BU57" s="2" t="n">
        <v>31.2</v>
      </c>
      <c r="BV57" s="2" t="inlineStr">
        <is>
          <t>NA</t>
        </is>
      </c>
      <c r="BW57" s="2" t="inlineStr">
        <is>
          <t>NA</t>
        </is>
      </c>
      <c r="BX57" s="2" t="n">
        <v>489</v>
      </c>
      <c r="BY57" s="2" t="inlineStr">
        <is>
          <t>NA</t>
        </is>
      </c>
      <c r="BZ57" s="2" t="inlineStr">
        <is>
          <t>NA</t>
        </is>
      </c>
      <c r="CF57" s="2" t="n">
        <v>111.7</v>
      </c>
      <c r="CG57" s="2" t="n">
        <v>179.7</v>
      </c>
      <c r="CH57" s="2" t="n">
        <v>12.9</v>
      </c>
      <c r="CN57" s="2" t="n">
        <v>55.1</v>
      </c>
      <c r="CO57" s="2" t="n">
        <v>150.2</v>
      </c>
      <c r="CP57" s="2" t="n">
        <v>115</v>
      </c>
      <c r="CQ57" s="2" t="n">
        <v>35.2</v>
      </c>
      <c r="CR57" s="2" t="inlineStr">
        <is>
          <t>NA</t>
        </is>
      </c>
      <c r="CS57" s="2" t="n">
        <v>55.2</v>
      </c>
      <c r="CT57" s="2" t="n">
        <v>40.1</v>
      </c>
      <c r="CU57" s="2" t="n">
        <v>15.1</v>
      </c>
      <c r="CV57" s="2" t="n">
        <v>53.1</v>
      </c>
      <c r="CW57" s="2" t="n">
        <v>53.1</v>
      </c>
      <c r="CY57" s="2" t="inlineStr">
        <is>
          <t>NA</t>
        </is>
      </c>
      <c r="CZ57" s="2" t="n">
        <v>16.3</v>
      </c>
      <c r="DA57" s="2" t="inlineStr">
        <is>
          <t>NA</t>
        </is>
      </c>
      <c r="DB57" s="2" t="inlineStr">
        <is>
          <t>NA</t>
        </is>
      </c>
      <c r="DC57" s="2" t="inlineStr">
        <is>
          <t>NA</t>
        </is>
      </c>
      <c r="DG57" s="2" t="n">
        <v>84.59999999999999</v>
      </c>
      <c r="DI57" s="2" t="n">
        <v>424.6</v>
      </c>
      <c r="DJ57" s="2" t="n">
        <v>106.7</v>
      </c>
      <c r="DK57" s="2" t="n">
        <v>357.5</v>
      </c>
      <c r="DL57" s="2" t="n">
        <v>102</v>
      </c>
      <c r="DM57" s="2" t="n">
        <v>164.3</v>
      </c>
      <c r="DO57" s="2" t="n">
        <v>104</v>
      </c>
      <c r="DP57" s="2" t="n">
        <v>137.5</v>
      </c>
      <c r="DR57" s="2" t="n">
        <v>86.8</v>
      </c>
      <c r="DS57" s="2" t="n">
        <v>670.2</v>
      </c>
      <c r="DT57" s="2" t="n">
        <v>2238.2</v>
      </c>
      <c r="DU57" s="2" t="n">
        <v>-84.59999999999945</v>
      </c>
      <c r="DV57" s="2" t="n">
        <v>0</v>
      </c>
      <c r="GZ57" s="2" t="n">
        <v>763.8</v>
      </c>
      <c r="IN57" s="2" t="n">
        <v>89.09999999999999</v>
      </c>
      <c r="IY57" s="2" t="n">
        <v>47.18881243856672</v>
      </c>
      <c r="IZ57" s="2" t="n">
        <v>-0.0111875614332817</v>
      </c>
      <c r="JB57" s="2" t="n">
        <v>11.34885175587526</v>
      </c>
      <c r="JC57" s="2" t="n">
        <v>0.04885175587525836</v>
      </c>
      <c r="JE57" s="2" t="n">
        <v>1380.1</v>
      </c>
      <c r="JF57" s="2" t="n">
        <v>0.5064125787986378</v>
      </c>
    </row>
    <row r="58">
      <c r="A58" s="1" t="n">
        <v>30803</v>
      </c>
      <c r="B58" s="2" t="n">
        <v>2382.2</v>
      </c>
      <c r="C58" s="2" t="n">
        <v>3050</v>
      </c>
      <c r="D58" s="2" t="n">
        <v>173.2</v>
      </c>
      <c r="E58" s="2" t="n">
        <v>268.6</v>
      </c>
      <c r="F58" s="2" t="n">
        <v>13.2</v>
      </c>
      <c r="G58" s="2" t="inlineStr">
        <is>
          <t>NA</t>
        </is>
      </c>
      <c r="H58" s="2" t="inlineStr">
        <is>
          <t>NA</t>
        </is>
      </c>
      <c r="I58" s="2" t="inlineStr">
        <is>
          <t>NA</t>
        </is>
      </c>
      <c r="J58" s="2" t="inlineStr">
        <is>
          <t>NA</t>
        </is>
      </c>
      <c r="K58" s="2" t="n">
        <v>906.3</v>
      </c>
      <c r="L58" s="2" t="n">
        <v>1203.1</v>
      </c>
      <c r="M58" s="2" t="n">
        <v>880</v>
      </c>
      <c r="N58" s="2" t="n">
        <v>323.1</v>
      </c>
      <c r="O58" s="2" t="n">
        <v>55.4</v>
      </c>
      <c r="P58" s="2" t="n">
        <v>131.7</v>
      </c>
      <c r="Q58" s="2" t="n">
        <v>42.3</v>
      </c>
      <c r="R58" s="2" t="n">
        <v>89.40000000000001</v>
      </c>
      <c r="T58" s="2" t="n">
        <v>10.1</v>
      </c>
      <c r="U58" s="2" t="n">
        <v>31.1</v>
      </c>
      <c r="V58" s="2" t="n">
        <v>25.4</v>
      </c>
      <c r="W58" s="2" t="n">
        <v>5.7</v>
      </c>
      <c r="X58" s="2" t="inlineStr">
        <is>
          <t>NA</t>
        </is>
      </c>
      <c r="Y58" s="2" t="n">
        <v>10.8</v>
      </c>
      <c r="AA58" s="2" t="inlineStr">
        <is>
          <t>NA</t>
        </is>
      </c>
      <c r="AB58" s="2" t="inlineStr">
        <is>
          <t>NA</t>
        </is>
      </c>
      <c r="AC58" s="2" t="inlineStr">
        <is>
          <t>NA</t>
        </is>
      </c>
      <c r="AD58" s="2" t="inlineStr">
        <is>
          <t>NA</t>
        </is>
      </c>
      <c r="AG58" s="2" t="inlineStr">
        <is>
          <t>NA</t>
        </is>
      </c>
      <c r="AH58" s="2" t="inlineStr">
        <is>
          <t>NA</t>
        </is>
      </c>
      <c r="AI58" s="2" t="n">
        <v>94.5</v>
      </c>
      <c r="AL58" s="2" t="n">
        <v>88.09999999999999</v>
      </c>
      <c r="AM58" s="2" t="n">
        <v>56.4</v>
      </c>
      <c r="AN58" s="2" t="n">
        <v>31.7</v>
      </c>
      <c r="AO58" s="2" t="n">
        <v>1786.6</v>
      </c>
      <c r="AP58" s="2" t="n">
        <v>383.7</v>
      </c>
      <c r="AQ58" s="2" t="n">
        <v>85.5</v>
      </c>
      <c r="AR58" s="2" t="n">
        <v>43.5</v>
      </c>
      <c r="AS58" s="2" t="n">
        <v>76.7</v>
      </c>
      <c r="AT58" s="2" t="n">
        <v>220.3</v>
      </c>
      <c r="AU58" s="2" t="n">
        <v>44.6</v>
      </c>
      <c r="AV58" s="2" t="n">
        <v>70.2</v>
      </c>
      <c r="AW58" s="2" t="n">
        <v>6.7</v>
      </c>
      <c r="AX58" s="2" t="n">
        <v>5.4</v>
      </c>
      <c r="AY58" s="2" t="inlineStr">
        <is>
          <t>NA</t>
        </is>
      </c>
      <c r="AZ58" s="2" t="inlineStr">
        <is>
          <t>NA</t>
        </is>
      </c>
      <c r="BA58" s="2" t="inlineStr">
        <is>
          <t>NA</t>
        </is>
      </c>
      <c r="BB58" s="2" t="inlineStr">
        <is>
          <t>NA</t>
        </is>
      </c>
      <c r="BD58" s="2" t="n">
        <v>118.7</v>
      </c>
      <c r="BE58" s="2" t="n">
        <v>45.9</v>
      </c>
      <c r="BM58" s="2" t="n">
        <v>545.4</v>
      </c>
      <c r="BS58" s="2" t="n">
        <v>269.1</v>
      </c>
      <c r="BT58" s="2" t="n">
        <v>81</v>
      </c>
      <c r="BU58" s="2" t="n">
        <v>38.1</v>
      </c>
      <c r="BV58" s="2" t="inlineStr">
        <is>
          <t>NA</t>
        </is>
      </c>
      <c r="BW58" s="2" t="inlineStr">
        <is>
          <t>NA</t>
        </is>
      </c>
      <c r="BX58" s="2" t="n">
        <v>567.4</v>
      </c>
      <c r="BY58" s="2" t="inlineStr">
        <is>
          <t>NA</t>
        </is>
      </c>
      <c r="BZ58" s="2" t="inlineStr">
        <is>
          <t>NA</t>
        </is>
      </c>
      <c r="CF58" s="2" t="n">
        <v>117.8</v>
      </c>
      <c r="CG58" s="2" t="n">
        <v>190.2</v>
      </c>
      <c r="CH58" s="2" t="n">
        <v>11.7</v>
      </c>
      <c r="CN58" s="2" t="n">
        <v>60.4</v>
      </c>
      <c r="CO58" s="2" t="n">
        <v>121.8</v>
      </c>
      <c r="CP58" s="2" t="n">
        <v>93.2</v>
      </c>
      <c r="CQ58" s="2" t="n">
        <v>28.6</v>
      </c>
      <c r="CR58" s="2" t="inlineStr">
        <is>
          <t>NA</t>
        </is>
      </c>
      <c r="CS58" s="2" t="n">
        <v>47.6</v>
      </c>
      <c r="CT58" s="2" t="n">
        <v>34.2</v>
      </c>
      <c r="CU58" s="2" t="n">
        <v>13.4</v>
      </c>
      <c r="CV58" s="2" t="n">
        <v>49</v>
      </c>
      <c r="CW58" s="2" t="n">
        <v>49</v>
      </c>
      <c r="CY58" s="2" t="n">
        <v>14.3</v>
      </c>
      <c r="CZ58" s="2" t="n">
        <v>15.7</v>
      </c>
      <c r="DA58" s="2" t="inlineStr">
        <is>
          <t>NA</t>
        </is>
      </c>
      <c r="DB58" s="2" t="inlineStr">
        <is>
          <t>NA</t>
        </is>
      </c>
      <c r="DC58" s="2" t="inlineStr">
        <is>
          <t>NA</t>
        </is>
      </c>
      <c r="DG58" s="2" t="n">
        <v>94.59999999999999</v>
      </c>
      <c r="DH58" s="2" t="n">
        <v>105.4</v>
      </c>
      <c r="DI58" s="2" t="n">
        <v>471.3</v>
      </c>
      <c r="DK58" s="2" t="n">
        <v>376.8</v>
      </c>
      <c r="DM58" s="2" t="n">
        <v>198.3</v>
      </c>
      <c r="DO58" s="2" t="n">
        <v>161.7</v>
      </c>
      <c r="DR58" s="2" t="n">
        <v>88.90000000000001</v>
      </c>
      <c r="DS58" s="2" t="n">
        <v>885.2</v>
      </c>
      <c r="DT58" s="2" t="n">
        <v>2382.2</v>
      </c>
      <c r="DU58" s="2" t="n">
        <v>-199.9999999999995</v>
      </c>
      <c r="DV58" s="2" t="n">
        <v>0</v>
      </c>
      <c r="GZ58" s="2" t="n">
        <v>859.5</v>
      </c>
      <c r="IN58" s="2" t="n">
        <v>71.5</v>
      </c>
      <c r="IY58" s="2" t="n">
        <v>47.15221224078583</v>
      </c>
      <c r="IZ58" s="2" t="n">
        <v>-0.04778775921417378</v>
      </c>
      <c r="JB58" s="2" t="n">
        <v>11.41339937872555</v>
      </c>
      <c r="JC58" s="2" t="n">
        <v>0.1133993787255463</v>
      </c>
      <c r="JE58" s="2" t="n">
        <v>1203.1</v>
      </c>
      <c r="JF58" s="2" t="n">
        <v>0.4928933588230405</v>
      </c>
    </row>
    <row r="59">
      <c r="A59" s="1" t="n">
        <v>30834</v>
      </c>
      <c r="B59" s="2" t="n">
        <v>2117.6</v>
      </c>
      <c r="C59" s="2" t="n">
        <v>2502.3</v>
      </c>
      <c r="D59" s="2" t="n">
        <v>124.3</v>
      </c>
      <c r="E59" s="2" t="n">
        <v>145.7</v>
      </c>
      <c r="F59" s="2" t="n">
        <v>10.9</v>
      </c>
      <c r="G59" s="2" t="inlineStr">
        <is>
          <t>NA</t>
        </is>
      </c>
      <c r="H59" s="2" t="inlineStr">
        <is>
          <t>NA</t>
        </is>
      </c>
      <c r="I59" s="2" t="inlineStr">
        <is>
          <t>NA</t>
        </is>
      </c>
      <c r="J59" s="2" t="inlineStr">
        <is>
          <t>NA</t>
        </is>
      </c>
      <c r="K59" s="2" t="n">
        <v>803.5</v>
      </c>
      <c r="L59" s="2" t="n">
        <v>1011.8</v>
      </c>
      <c r="M59" s="2" t="n">
        <v>704.7</v>
      </c>
      <c r="N59" s="2" t="n">
        <v>307.1</v>
      </c>
      <c r="O59" s="2" t="n">
        <v>40.1</v>
      </c>
      <c r="P59" s="2" t="n">
        <v>111.5</v>
      </c>
      <c r="Q59" s="2" t="n">
        <v>32.5</v>
      </c>
      <c r="R59" s="2" t="n">
        <v>79</v>
      </c>
      <c r="T59" s="2" t="n">
        <v>8.9</v>
      </c>
      <c r="U59" s="2" t="n">
        <v>34.5</v>
      </c>
      <c r="V59" s="2" t="n">
        <v>29</v>
      </c>
      <c r="W59" s="2" t="n">
        <v>5.5</v>
      </c>
      <c r="X59" s="2" t="inlineStr">
        <is>
          <t>NA</t>
        </is>
      </c>
      <c r="Y59" s="2" t="inlineStr">
        <is>
          <t>NA</t>
        </is>
      </c>
      <c r="AA59" s="2" t="inlineStr">
        <is>
          <t>NA</t>
        </is>
      </c>
      <c r="AB59" s="2" t="inlineStr">
        <is>
          <t>NA</t>
        </is>
      </c>
      <c r="AC59" s="2" t="inlineStr">
        <is>
          <t>NA</t>
        </is>
      </c>
      <c r="AD59" s="2" t="inlineStr">
        <is>
          <t>NA</t>
        </is>
      </c>
      <c r="AG59" s="2" t="inlineStr">
        <is>
          <t>NA</t>
        </is>
      </c>
      <c r="AH59" s="2" t="inlineStr">
        <is>
          <t>NA</t>
        </is>
      </c>
      <c r="AI59" s="2" t="n">
        <v>84.40000000000001</v>
      </c>
      <c r="AL59" s="2" t="n">
        <v>79.90000000000001</v>
      </c>
      <c r="AM59" s="2" t="n">
        <v>57.7</v>
      </c>
      <c r="AN59" s="2" t="n">
        <v>22.2</v>
      </c>
      <c r="AO59" s="2" t="n">
        <v>1581.9</v>
      </c>
      <c r="AP59" s="2" t="n">
        <v>356.1</v>
      </c>
      <c r="AQ59" s="2" t="n">
        <v>83.09999999999999</v>
      </c>
      <c r="AR59" s="2" t="n">
        <v>35.1</v>
      </c>
      <c r="AS59" s="2" t="n">
        <v>56</v>
      </c>
      <c r="AT59" s="2" t="n">
        <v>243.5</v>
      </c>
      <c r="AU59" s="2" t="n">
        <v>30</v>
      </c>
      <c r="AV59" s="2" t="n">
        <v>59.6</v>
      </c>
      <c r="AW59" s="2" t="n">
        <v>6.2</v>
      </c>
      <c r="AX59" s="2" t="n">
        <v>7.2</v>
      </c>
      <c r="AY59" s="2" t="inlineStr">
        <is>
          <t>NA</t>
        </is>
      </c>
      <c r="AZ59" s="2" t="inlineStr">
        <is>
          <t>NA</t>
        </is>
      </c>
      <c r="BA59" s="2" t="inlineStr">
        <is>
          <t>NA</t>
        </is>
      </c>
      <c r="BB59" s="2" t="inlineStr">
        <is>
          <t>NA</t>
        </is>
      </c>
      <c r="BD59" s="2" t="n">
        <v>120.8</v>
      </c>
      <c r="BE59" s="2" t="n">
        <v>47.5</v>
      </c>
      <c r="BM59" s="2" t="n">
        <v>502.3</v>
      </c>
      <c r="BS59" s="2" t="n">
        <v>333.9</v>
      </c>
      <c r="BT59" s="2" t="n">
        <v>72</v>
      </c>
      <c r="BU59" s="2" t="n">
        <v>34.4</v>
      </c>
      <c r="BV59" s="2" t="inlineStr">
        <is>
          <t>NA</t>
        </is>
      </c>
      <c r="BW59" s="2" t="inlineStr">
        <is>
          <t>NA</t>
        </is>
      </c>
      <c r="BX59" s="2" t="n">
        <v>535.9</v>
      </c>
      <c r="BY59" s="2" t="inlineStr">
        <is>
          <t>NA</t>
        </is>
      </c>
      <c r="BZ59" s="2" t="inlineStr">
        <is>
          <t>NA</t>
        </is>
      </c>
      <c r="CF59" s="2" t="n">
        <v>109</v>
      </c>
      <c r="CG59" s="2" t="n">
        <v>163.3</v>
      </c>
      <c r="CH59" s="2" t="n">
        <v>9.199999999999999</v>
      </c>
      <c r="CN59" s="2" t="n">
        <v>60.2</v>
      </c>
      <c r="CO59" s="2" t="n">
        <v>78.69999999999999</v>
      </c>
      <c r="CP59" s="2" t="n">
        <v>50.8</v>
      </c>
      <c r="CQ59" s="2" t="n">
        <v>27.9</v>
      </c>
      <c r="CR59" s="2" t="inlineStr">
        <is>
          <t>NA</t>
        </is>
      </c>
      <c r="CS59" s="2" t="n">
        <v>50.7</v>
      </c>
      <c r="CT59" s="2" t="n">
        <v>36.1</v>
      </c>
      <c r="CU59" s="2" t="n">
        <v>14.6</v>
      </c>
      <c r="CV59" s="2" t="n">
        <v>39.9</v>
      </c>
      <c r="CW59" s="2" t="n">
        <v>39.9</v>
      </c>
      <c r="CY59" s="2" t="n">
        <v>9.199999999999999</v>
      </c>
      <c r="CZ59" s="2" t="n">
        <v>23.4</v>
      </c>
      <c r="DA59" s="2" t="inlineStr">
        <is>
          <t>NA</t>
        </is>
      </c>
      <c r="DB59" s="2" t="inlineStr">
        <is>
          <t>NA</t>
        </is>
      </c>
      <c r="DC59" s="2" t="inlineStr">
        <is>
          <t>NA</t>
        </is>
      </c>
      <c r="DG59" s="2" t="n">
        <v>88.59999999999999</v>
      </c>
      <c r="DH59" s="2" t="n">
        <v>100.8</v>
      </c>
      <c r="DI59" s="2" t="n">
        <v>439.3</v>
      </c>
      <c r="DK59" s="2" t="n">
        <v>373.8</v>
      </c>
      <c r="DL59" s="2" t="n">
        <v>99.3</v>
      </c>
      <c r="DM59" s="2" t="n">
        <v>185.9</v>
      </c>
      <c r="DO59" s="2" t="n">
        <v>106.3</v>
      </c>
      <c r="DP59" s="2" t="n">
        <v>140.5</v>
      </c>
      <c r="DR59" s="2" t="n">
        <v>82.5</v>
      </c>
      <c r="DS59" s="2" t="n">
        <v>500.6</v>
      </c>
      <c r="DT59" s="2" t="n">
        <v>2117.6</v>
      </c>
      <c r="DU59" s="2" t="n">
        <v>-189.4000000000001</v>
      </c>
      <c r="DV59" s="2" t="n">
        <v>0</v>
      </c>
      <c r="GZ59" s="2" t="n">
        <v>794.6</v>
      </c>
      <c r="IN59" s="2" t="n">
        <v>43.4</v>
      </c>
      <c r="IY59" s="2" t="n">
        <v>47.17604835663015</v>
      </c>
      <c r="IZ59" s="2" t="n">
        <v>-0.02395164336984834</v>
      </c>
      <c r="JB59" s="2" t="n">
        <v>11.38316962599169</v>
      </c>
      <c r="JC59" s="2" t="n">
        <v>0.08316962599168853</v>
      </c>
      <c r="JE59" s="2" t="n">
        <v>1011.8</v>
      </c>
      <c r="JF59" s="2" t="n">
        <v>0.4067009290373592</v>
      </c>
    </row>
    <row r="60">
      <c r="A60" s="1" t="n">
        <v>30864</v>
      </c>
      <c r="B60" s="2" t="n">
        <v>2069.2</v>
      </c>
      <c r="C60" s="2" t="n">
        <v>1731.8</v>
      </c>
      <c r="D60" s="2" t="n">
        <v>74.09999999999999</v>
      </c>
      <c r="E60" s="2" t="n">
        <v>116.2</v>
      </c>
      <c r="F60" s="2" t="n">
        <v>6.2</v>
      </c>
      <c r="G60" s="2" t="inlineStr">
        <is>
          <t>NA</t>
        </is>
      </c>
      <c r="H60" s="2" t="inlineStr">
        <is>
          <t>NA</t>
        </is>
      </c>
      <c r="I60" s="2" t="inlineStr">
        <is>
          <t>NA</t>
        </is>
      </c>
      <c r="J60" s="2" t="inlineStr">
        <is>
          <t>NA</t>
        </is>
      </c>
      <c r="K60" s="2" t="n">
        <v>788.2</v>
      </c>
      <c r="L60" s="2" t="n">
        <v>989.6</v>
      </c>
      <c r="M60" s="2" t="n">
        <v>658.1</v>
      </c>
      <c r="N60" s="2" t="n">
        <v>331.5</v>
      </c>
      <c r="O60" s="2" t="n">
        <v>24.4</v>
      </c>
      <c r="P60" s="2" t="n">
        <v>86</v>
      </c>
      <c r="Q60" s="2" t="n">
        <v>20.1</v>
      </c>
      <c r="R60" s="2" t="n">
        <v>65.90000000000001</v>
      </c>
      <c r="T60" s="2" t="n">
        <v>5.1</v>
      </c>
      <c r="U60" s="2" t="n">
        <v>32.5</v>
      </c>
      <c r="V60" s="2" t="n">
        <v>27.6</v>
      </c>
      <c r="W60" s="2" t="n">
        <v>4.9</v>
      </c>
      <c r="X60" s="2" t="inlineStr">
        <is>
          <t>NA</t>
        </is>
      </c>
      <c r="Y60" s="2" t="n">
        <v>8.199999999999999</v>
      </c>
      <c r="AA60" s="2" t="inlineStr">
        <is>
          <t>NA</t>
        </is>
      </c>
      <c r="AB60" s="2" t="inlineStr">
        <is>
          <t>NA</t>
        </is>
      </c>
      <c r="AC60" s="2" t="inlineStr">
        <is>
          <t>NA</t>
        </is>
      </c>
      <c r="AD60" s="2" t="inlineStr">
        <is>
          <t>NA</t>
        </is>
      </c>
      <c r="AG60" s="2" t="inlineStr">
        <is>
          <t>NA</t>
        </is>
      </c>
      <c r="AH60" s="2" t="inlineStr">
        <is>
          <t>NA</t>
        </is>
      </c>
      <c r="AI60" s="2" t="n">
        <v>90.59999999999999</v>
      </c>
      <c r="AL60" s="2" t="n">
        <v>79.09999999999999</v>
      </c>
      <c r="AM60" s="2" t="n">
        <v>52.7</v>
      </c>
      <c r="AN60" s="2" t="n">
        <v>26.4</v>
      </c>
      <c r="AO60" s="2" t="n">
        <v>1553</v>
      </c>
      <c r="AP60" s="2" t="n">
        <v>321.5</v>
      </c>
      <c r="AQ60" s="2" t="n">
        <v>76.09999999999999</v>
      </c>
      <c r="AR60" s="2" t="n">
        <v>34</v>
      </c>
      <c r="AS60" s="2" t="n">
        <v>35.8</v>
      </c>
      <c r="AT60" s="2" t="n">
        <v>185.9</v>
      </c>
      <c r="AU60" s="2" t="n">
        <v>19.4</v>
      </c>
      <c r="AV60" s="2" t="n">
        <v>44.4</v>
      </c>
      <c r="AW60" s="2" t="n">
        <v>3.6</v>
      </c>
      <c r="AX60" s="2" t="n">
        <v>5.7</v>
      </c>
      <c r="AY60" s="2" t="inlineStr">
        <is>
          <t>NA</t>
        </is>
      </c>
      <c r="AZ60" s="2" t="inlineStr">
        <is>
          <t>NA</t>
        </is>
      </c>
      <c r="BA60" s="2" t="inlineStr">
        <is>
          <t>NA</t>
        </is>
      </c>
      <c r="BB60" s="2" t="inlineStr">
        <is>
          <t>NA</t>
        </is>
      </c>
      <c r="BD60" s="2" t="n">
        <v>97.40000000000001</v>
      </c>
      <c r="BE60" s="2" t="n">
        <v>46.3</v>
      </c>
      <c r="BM60" s="2" t="n">
        <v>457</v>
      </c>
      <c r="BS60" s="2" t="n">
        <v>311.3</v>
      </c>
      <c r="BT60" s="2" t="n">
        <v>66</v>
      </c>
      <c r="BU60" s="2" t="n">
        <v>32.9</v>
      </c>
      <c r="BV60" s="2" t="inlineStr">
        <is>
          <t>NA</t>
        </is>
      </c>
      <c r="BW60" s="2" t="inlineStr">
        <is>
          <t>NA</t>
        </is>
      </c>
      <c r="BX60" s="2" t="n">
        <v>490.4</v>
      </c>
      <c r="BY60" s="2" t="inlineStr">
        <is>
          <t>NA</t>
        </is>
      </c>
      <c r="BZ60" s="2" t="inlineStr">
        <is>
          <t>NA</t>
        </is>
      </c>
      <c r="CF60" s="2" t="n">
        <v>105.1</v>
      </c>
      <c r="CG60" s="2" t="n">
        <v>149</v>
      </c>
      <c r="CH60" s="2" t="n">
        <v>11</v>
      </c>
      <c r="CN60" s="2" t="n">
        <v>48.4</v>
      </c>
      <c r="CO60" s="2" t="n">
        <v>90.90000000000001</v>
      </c>
      <c r="CP60" s="2" t="n">
        <v>67.5</v>
      </c>
      <c r="CQ60" s="2" t="n">
        <v>23.4</v>
      </c>
      <c r="CR60" s="2" t="inlineStr">
        <is>
          <t>NA</t>
        </is>
      </c>
      <c r="CS60" s="2" t="n">
        <v>40.8</v>
      </c>
      <c r="CT60" s="2" t="n">
        <v>30.9</v>
      </c>
      <c r="CU60" s="2" t="n">
        <v>9.9</v>
      </c>
      <c r="CV60" s="2" t="n">
        <v>57.1</v>
      </c>
      <c r="CW60" s="2" t="n">
        <v>57.1</v>
      </c>
      <c r="CY60" s="2" t="n">
        <v>7.1</v>
      </c>
      <c r="CZ60" s="2" t="n">
        <v>22.6</v>
      </c>
      <c r="DA60" s="2" t="inlineStr">
        <is>
          <t>NA</t>
        </is>
      </c>
      <c r="DB60" s="2" t="inlineStr">
        <is>
          <t>NA</t>
        </is>
      </c>
      <c r="DC60" s="2" t="inlineStr">
        <is>
          <t>NA</t>
        </is>
      </c>
      <c r="DG60" s="2" t="n">
        <v>85.2</v>
      </c>
      <c r="DI60" s="2" t="n">
        <v>372.5</v>
      </c>
      <c r="DK60" s="2" t="n">
        <v>387.6</v>
      </c>
      <c r="DM60" s="2" t="n">
        <v>171.8</v>
      </c>
      <c r="DO60" s="2" t="n">
        <v>149.3</v>
      </c>
      <c r="DP60" s="2" t="n">
        <v>119.7</v>
      </c>
      <c r="DR60" s="2" t="n">
        <v>79.7</v>
      </c>
      <c r="DS60" s="2" t="n">
        <v>703.4</v>
      </c>
      <c r="DT60" s="2" t="n">
        <v>2069.2</v>
      </c>
      <c r="DU60" s="2" t="n">
        <v>-85.19999999999982</v>
      </c>
      <c r="DV60" s="2" t="n">
        <v>0</v>
      </c>
      <c r="GZ60" s="2" t="n">
        <v>767.9</v>
      </c>
      <c r="IN60" s="2" t="n">
        <v>30.5</v>
      </c>
      <c r="IY60" s="2" t="n">
        <v>47.23854629808622</v>
      </c>
      <c r="IZ60" s="2" t="n">
        <v>0.03854629808621723</v>
      </c>
      <c r="JB60" s="2" t="n">
        <v>11.4276048714479</v>
      </c>
      <c r="JC60" s="2" t="n">
        <v>0.02760487144790424</v>
      </c>
      <c r="JE60" s="2" t="n">
        <v>989.6</v>
      </c>
      <c r="JF60" s="2" t="n">
        <v>0.4123888439773646</v>
      </c>
    </row>
    <row r="61">
      <c r="A61" s="1" t="n">
        <v>30895</v>
      </c>
      <c r="B61" s="2" t="n">
        <v>2133.3</v>
      </c>
      <c r="C61" s="2" t="n">
        <v>1060.1</v>
      </c>
      <c r="D61" s="2" t="n">
        <v>70.2</v>
      </c>
      <c r="E61" s="2" t="n">
        <v>132.1</v>
      </c>
      <c r="F61" s="2" t="n">
        <v>6.7</v>
      </c>
      <c r="G61" s="2" t="inlineStr">
        <is>
          <t>NA</t>
        </is>
      </c>
      <c r="H61" s="2" t="inlineStr">
        <is>
          <t>NA</t>
        </is>
      </c>
      <c r="I61" s="2" t="inlineStr">
        <is>
          <t>NA</t>
        </is>
      </c>
      <c r="J61" s="2" t="inlineStr">
        <is>
          <t>NA</t>
        </is>
      </c>
      <c r="K61" s="2" t="n">
        <v>819.4</v>
      </c>
      <c r="L61" s="2" t="n">
        <v>871</v>
      </c>
      <c r="M61" s="2" t="n">
        <v>559.7</v>
      </c>
      <c r="N61" s="2" t="n">
        <v>311.3</v>
      </c>
      <c r="O61" s="2" t="n">
        <v>21.7</v>
      </c>
      <c r="P61" s="2" t="n">
        <v>61.3</v>
      </c>
      <c r="Q61" s="2" t="n">
        <v>16.2</v>
      </c>
      <c r="R61" s="2" t="n">
        <v>45.1</v>
      </c>
      <c r="T61" s="2" t="n">
        <v>5.3</v>
      </c>
      <c r="U61" s="2" t="n">
        <v>27.7</v>
      </c>
      <c r="V61" s="2" t="n">
        <v>23.2</v>
      </c>
      <c r="W61" s="2" t="n">
        <v>4.5</v>
      </c>
      <c r="X61" s="2" t="inlineStr">
        <is>
          <t>NA</t>
        </is>
      </c>
      <c r="Y61" s="2" t="n">
        <v>6.3</v>
      </c>
      <c r="AA61" s="2" t="inlineStr">
        <is>
          <t>NA</t>
        </is>
      </c>
      <c r="AB61" s="2" t="inlineStr">
        <is>
          <t>NA</t>
        </is>
      </c>
      <c r="AC61" s="2" t="inlineStr">
        <is>
          <t>NA</t>
        </is>
      </c>
      <c r="AD61" s="2" t="inlineStr">
        <is>
          <t>NA</t>
        </is>
      </c>
      <c r="AG61" s="2" t="inlineStr">
        <is>
          <t>NA</t>
        </is>
      </c>
      <c r="AH61" s="2" t="inlineStr">
        <is>
          <t>NA</t>
        </is>
      </c>
      <c r="AI61" s="2" t="n">
        <v>86.40000000000001</v>
      </c>
      <c r="AL61" s="2" t="n">
        <v>75.8</v>
      </c>
      <c r="AM61" s="2" t="n">
        <v>45.9</v>
      </c>
      <c r="AN61" s="2" t="n">
        <v>29.9</v>
      </c>
      <c r="AO61" s="2" t="n">
        <v>1613.9</v>
      </c>
      <c r="AP61" s="2" t="n">
        <v>209.2</v>
      </c>
      <c r="AQ61" s="2" t="n">
        <v>75.59999999999999</v>
      </c>
      <c r="AR61" s="2" t="n">
        <v>33.6</v>
      </c>
      <c r="AS61" s="2" t="n">
        <v>32.2</v>
      </c>
      <c r="AT61" s="2" t="n">
        <v>144.6</v>
      </c>
      <c r="AU61" s="2" t="n">
        <v>18.8</v>
      </c>
      <c r="AV61" s="2" t="n">
        <v>29.2</v>
      </c>
      <c r="AW61" s="2" t="n">
        <v>3.8</v>
      </c>
      <c r="AX61" s="2" t="n">
        <v>4.5</v>
      </c>
      <c r="AY61" s="2" t="inlineStr">
        <is>
          <t>NA</t>
        </is>
      </c>
      <c r="AZ61" s="2" t="inlineStr">
        <is>
          <t>NA</t>
        </is>
      </c>
      <c r="BA61" s="2" t="inlineStr">
        <is>
          <t>NA</t>
        </is>
      </c>
      <c r="BB61" s="2" t="inlineStr">
        <is>
          <t>NA</t>
        </is>
      </c>
      <c r="BD61" s="2" t="n">
        <v>114.3</v>
      </c>
      <c r="BE61" s="2" t="n">
        <v>41</v>
      </c>
      <c r="BM61" s="2" t="n">
        <v>505.4</v>
      </c>
      <c r="BS61" s="2" t="n">
        <v>299.8</v>
      </c>
      <c r="BT61" s="2" t="n">
        <v>76</v>
      </c>
      <c r="BU61" s="2" t="n">
        <v>33.1</v>
      </c>
      <c r="BV61" s="2" t="inlineStr">
        <is>
          <t>NA</t>
        </is>
      </c>
      <c r="BW61" s="2" t="inlineStr">
        <is>
          <t>NA</t>
        </is>
      </c>
      <c r="BX61" s="2" t="n">
        <v>587.3</v>
      </c>
      <c r="BY61" s="2" t="inlineStr">
        <is>
          <t>NA</t>
        </is>
      </c>
      <c r="BZ61" s="2" t="inlineStr">
        <is>
          <t>NA</t>
        </is>
      </c>
      <c r="CF61" s="2" t="n">
        <v>106.1</v>
      </c>
      <c r="CG61" s="2" t="n">
        <v>123.6</v>
      </c>
      <c r="CH61" s="2" t="n">
        <v>11.1</v>
      </c>
      <c r="CN61" s="2" t="n">
        <v>53.4</v>
      </c>
      <c r="CO61" s="2" t="n">
        <v>100.2</v>
      </c>
      <c r="CP61" s="2" t="n">
        <v>79.7</v>
      </c>
      <c r="CQ61" s="2" t="n">
        <v>20.5</v>
      </c>
      <c r="CR61" s="2" t="inlineStr">
        <is>
          <t>NA</t>
        </is>
      </c>
      <c r="CS61" s="2" t="n">
        <v>24.9</v>
      </c>
      <c r="CT61" s="2" t="n">
        <v>15</v>
      </c>
      <c r="CU61" s="2" t="n">
        <v>9.9</v>
      </c>
      <c r="CV61" s="2" t="n">
        <v>61.9</v>
      </c>
      <c r="CW61" s="2" t="n">
        <v>61.9</v>
      </c>
      <c r="CY61" s="2" t="n">
        <v>13.7</v>
      </c>
      <c r="CZ61" s="2" t="n">
        <v>27.4</v>
      </c>
      <c r="DA61" s="2" t="inlineStr">
        <is>
          <t>NA</t>
        </is>
      </c>
      <c r="DB61" s="2" t="inlineStr">
        <is>
          <t>NA</t>
        </is>
      </c>
      <c r="DC61" s="2" t="inlineStr">
        <is>
          <t>NA</t>
        </is>
      </c>
      <c r="DG61" s="2" t="n">
        <v>73.3</v>
      </c>
      <c r="DH61" s="2" t="n">
        <v>101.8</v>
      </c>
      <c r="DI61" s="2" t="n">
        <v>397.7</v>
      </c>
      <c r="DJ61" s="2" t="n">
        <v>90.09999999999999</v>
      </c>
      <c r="DK61" s="2" t="n">
        <v>434.2</v>
      </c>
      <c r="DL61" s="2" t="n">
        <v>84.7</v>
      </c>
      <c r="DM61" s="2" t="n">
        <v>140.3</v>
      </c>
      <c r="DO61" s="2" t="n">
        <v>96.90000000000001</v>
      </c>
      <c r="DQ61" s="2" t="n">
        <v>28.8</v>
      </c>
      <c r="DS61" s="2" t="n">
        <v>685.5</v>
      </c>
      <c r="DT61" s="2" t="n">
        <v>2133.3</v>
      </c>
      <c r="DU61" s="2" t="n">
        <v>-175.1000000000001</v>
      </c>
      <c r="DV61" s="2" t="n">
        <v>0</v>
      </c>
      <c r="GZ61" s="2" t="n">
        <v>752.2</v>
      </c>
      <c r="IN61" s="2" t="n">
        <v>25.7</v>
      </c>
      <c r="IY61" s="2" t="n">
        <v>47.51792996765575</v>
      </c>
      <c r="IZ61" s="2" t="n">
        <v>-0.08207003234425514</v>
      </c>
      <c r="JB61" s="2" t="n">
        <v>11.52299254675854</v>
      </c>
      <c r="JC61" s="2" t="n">
        <v>0.1229925467585424</v>
      </c>
      <c r="JE61" s="2" t="n">
        <v>871</v>
      </c>
      <c r="JF61" s="2" t="n">
        <v>0.387715269804822</v>
      </c>
    </row>
    <row r="62">
      <c r="A62" s="1" t="n">
        <v>30926</v>
      </c>
      <c r="B62" s="2" t="n">
        <v>1966.5</v>
      </c>
      <c r="C62" s="2" t="n">
        <v>590.7</v>
      </c>
      <c r="D62" s="2" t="n">
        <v>72.59999999999999</v>
      </c>
      <c r="E62" s="2" t="n">
        <v>221.2</v>
      </c>
      <c r="F62" s="2" t="n">
        <v>5.4</v>
      </c>
      <c r="G62" s="2" t="inlineStr">
        <is>
          <t>NA</t>
        </is>
      </c>
      <c r="H62" s="2" t="inlineStr">
        <is>
          <t>NA</t>
        </is>
      </c>
      <c r="I62" s="2" t="inlineStr">
        <is>
          <t>NA</t>
        </is>
      </c>
      <c r="J62" s="2" t="inlineStr">
        <is>
          <t>NA</t>
        </is>
      </c>
      <c r="K62" s="2" t="n">
        <v>755.9</v>
      </c>
      <c r="L62" s="2" t="n">
        <v>720.5</v>
      </c>
      <c r="M62" s="2" t="n">
        <v>435.5</v>
      </c>
      <c r="N62" s="2" t="n">
        <v>285</v>
      </c>
      <c r="O62" s="2" t="n">
        <v>21.6</v>
      </c>
      <c r="P62" s="2" t="n">
        <v>49.8</v>
      </c>
      <c r="Q62" s="2" t="n">
        <v>12.3</v>
      </c>
      <c r="R62" s="2" t="n">
        <v>37.5</v>
      </c>
      <c r="T62" s="2" t="n">
        <v>4.3</v>
      </c>
      <c r="U62" s="2" t="n">
        <v>21.9</v>
      </c>
      <c r="V62" s="2" t="n">
        <v>17.9</v>
      </c>
      <c r="W62" s="2" t="n">
        <v>4</v>
      </c>
      <c r="X62" s="2" t="inlineStr">
        <is>
          <t>NA</t>
        </is>
      </c>
      <c r="Y62" s="2" t="n">
        <v>3.7</v>
      </c>
      <c r="AA62" s="2" t="inlineStr">
        <is>
          <t>NA</t>
        </is>
      </c>
      <c r="AB62" s="2" t="inlineStr">
        <is>
          <t>NA</t>
        </is>
      </c>
      <c r="AC62" s="2" t="inlineStr">
        <is>
          <t>NA</t>
        </is>
      </c>
      <c r="AD62" s="2" t="inlineStr">
        <is>
          <t>NA</t>
        </is>
      </c>
      <c r="AG62" s="2" t="inlineStr">
        <is>
          <t>NA</t>
        </is>
      </c>
      <c r="AH62" s="2" t="inlineStr">
        <is>
          <t>NA</t>
        </is>
      </c>
      <c r="AI62" s="2" t="n">
        <v>82</v>
      </c>
      <c r="AL62" s="2" t="n">
        <v>69.69999999999999</v>
      </c>
      <c r="AM62" s="2" t="n">
        <v>41.3</v>
      </c>
      <c r="AN62" s="2" t="n">
        <v>28.4</v>
      </c>
      <c r="AO62" s="2" t="n">
        <v>1487.9</v>
      </c>
      <c r="AP62" s="2" t="n">
        <v>217.6</v>
      </c>
      <c r="AQ62" s="2" t="n">
        <v>71.09999999999999</v>
      </c>
      <c r="AR62" s="2" t="n">
        <v>37.8</v>
      </c>
      <c r="AS62" s="2" t="n">
        <v>32.6</v>
      </c>
      <c r="AT62" s="2" t="n">
        <v>99.8</v>
      </c>
      <c r="AU62" s="2" t="n">
        <v>18.7</v>
      </c>
      <c r="AV62" s="2" t="n">
        <v>16.1</v>
      </c>
      <c r="AW62" s="2" t="n">
        <v>3.2</v>
      </c>
      <c r="AX62" s="2" t="n">
        <v>3</v>
      </c>
      <c r="AY62" s="2" t="inlineStr">
        <is>
          <t>NA</t>
        </is>
      </c>
      <c r="AZ62" s="2" t="inlineStr">
        <is>
          <t>NA</t>
        </is>
      </c>
      <c r="BA62" s="2" t="inlineStr">
        <is>
          <t>NA</t>
        </is>
      </c>
      <c r="BB62" s="2" t="inlineStr">
        <is>
          <t>NA</t>
        </is>
      </c>
      <c r="BD62" s="2" t="n">
        <v>127.3</v>
      </c>
      <c r="BE62" s="2" t="n">
        <v>28.5</v>
      </c>
      <c r="BM62" s="2" t="n">
        <v>465.6</v>
      </c>
      <c r="BS62" s="2" t="n">
        <v>284.8</v>
      </c>
      <c r="BT62" s="2" t="n">
        <v>74</v>
      </c>
      <c r="BU62" s="2" t="n">
        <v>29.9</v>
      </c>
      <c r="BV62" s="2" t="inlineStr">
        <is>
          <t>NA</t>
        </is>
      </c>
      <c r="BW62" s="2" t="inlineStr">
        <is>
          <t>NA</t>
        </is>
      </c>
      <c r="BX62" s="2" t="n">
        <v>557.4</v>
      </c>
      <c r="BY62" s="2" t="inlineStr">
        <is>
          <t>NA</t>
        </is>
      </c>
      <c r="BZ62" s="2" t="inlineStr">
        <is>
          <t>NA</t>
        </is>
      </c>
      <c r="CF62" s="2" t="n">
        <v>95.40000000000001</v>
      </c>
      <c r="CG62" s="2" t="n">
        <v>112.8</v>
      </c>
      <c r="CH62" s="2" t="n">
        <v>9.9</v>
      </c>
      <c r="CN62" s="2" t="n">
        <v>43.3</v>
      </c>
      <c r="CO62" s="2" t="n">
        <v>111</v>
      </c>
      <c r="CP62" s="2" t="n">
        <v>85.59999999999999</v>
      </c>
      <c r="CQ62" s="2" t="n">
        <v>25.4</v>
      </c>
      <c r="CR62" s="2" t="inlineStr">
        <is>
          <t>NA</t>
        </is>
      </c>
      <c r="CS62" s="2" t="n">
        <v>48.3</v>
      </c>
      <c r="CT62" s="2" t="n">
        <v>32.7</v>
      </c>
      <c r="CU62" s="2" t="n">
        <v>15.6</v>
      </c>
      <c r="CV62" s="2" t="n">
        <v>50.9</v>
      </c>
      <c r="CW62" s="2" t="n">
        <v>50.9</v>
      </c>
      <c r="CY62" s="2" t="n">
        <v>10.8</v>
      </c>
      <c r="CZ62" s="2" t="n">
        <v>22.6</v>
      </c>
      <c r="DA62" s="2" t="inlineStr">
        <is>
          <t>NA</t>
        </is>
      </c>
      <c r="DB62" s="2" t="inlineStr">
        <is>
          <t>NA</t>
        </is>
      </c>
      <c r="DC62" s="2" t="inlineStr">
        <is>
          <t>NA</t>
        </is>
      </c>
      <c r="DG62" s="2" t="n">
        <v>45.1</v>
      </c>
      <c r="DH62" s="2" t="n">
        <v>76.90000000000001</v>
      </c>
      <c r="DI62" s="2" t="n">
        <v>378.1</v>
      </c>
      <c r="DJ62" s="2" t="n">
        <v>114</v>
      </c>
      <c r="DK62" s="2" t="n">
        <v>362.8</v>
      </c>
      <c r="DM62" s="2" t="n">
        <v>164.4</v>
      </c>
      <c r="DO62" s="2" t="n">
        <v>119.5</v>
      </c>
      <c r="DP62" s="2" t="n">
        <v>131.5</v>
      </c>
      <c r="DQ62" s="2" t="n">
        <v>33.2</v>
      </c>
      <c r="DR62" s="2" t="n">
        <v>79.7</v>
      </c>
      <c r="DS62" s="2" t="n">
        <v>461.3</v>
      </c>
      <c r="DT62" s="2" t="n">
        <v>1966.5</v>
      </c>
      <c r="DU62" s="2" t="n">
        <v>-121.9999999999998</v>
      </c>
      <c r="DV62" s="2" t="n">
        <v>0</v>
      </c>
      <c r="GZ62" s="2" t="n">
        <v>760.9</v>
      </c>
      <c r="IN62" s="2" t="n">
        <v>27.8</v>
      </c>
      <c r="IY62" s="2" t="n">
        <v>47.56674294431732</v>
      </c>
      <c r="IZ62" s="2" t="n">
        <v>0.1667429443173205</v>
      </c>
      <c r="JB62" s="2" t="n">
        <v>11.53165522501907</v>
      </c>
      <c r="JC62" s="2" t="n">
        <v>0.03165522501906892</v>
      </c>
      <c r="JE62" s="2" t="n">
        <v>720.5</v>
      </c>
      <c r="JF62" s="2" t="n">
        <v>0.3780707841776544</v>
      </c>
    </row>
    <row r="63">
      <c r="A63" s="1" t="n">
        <v>30956</v>
      </c>
      <c r="B63" s="2" t="n">
        <v>2676.3</v>
      </c>
      <c r="C63" s="2" t="n">
        <v>1615.7</v>
      </c>
      <c r="D63" s="2" t="n">
        <v>274.3</v>
      </c>
      <c r="E63" s="2" t="n">
        <v>781.7</v>
      </c>
      <c r="F63" s="2" t="n">
        <v>12.2</v>
      </c>
      <c r="G63" s="2" t="n">
        <v>62.9</v>
      </c>
      <c r="H63" s="2" t="inlineStr">
        <is>
          <t>NA</t>
        </is>
      </c>
      <c r="I63" s="2" t="inlineStr">
        <is>
          <t>NA</t>
        </is>
      </c>
      <c r="J63" s="2" t="inlineStr">
        <is>
          <t>NA</t>
        </is>
      </c>
      <c r="K63" s="2" t="n">
        <v>995.5</v>
      </c>
      <c r="L63" s="2" t="n">
        <v>597.2</v>
      </c>
      <c r="M63" s="2" t="n">
        <v>330.5</v>
      </c>
      <c r="N63" s="2" t="n">
        <v>266.7</v>
      </c>
      <c r="O63" s="2" t="n">
        <v>84.3</v>
      </c>
      <c r="P63" s="2" t="n">
        <v>57.6</v>
      </c>
      <c r="Q63" s="2" t="n">
        <v>28.1</v>
      </c>
      <c r="R63" s="2" t="n">
        <v>29.5</v>
      </c>
      <c r="T63" s="2" t="n">
        <v>9.9</v>
      </c>
      <c r="U63" s="2" t="n">
        <v>21.7</v>
      </c>
      <c r="V63" s="2" t="n">
        <v>17.5</v>
      </c>
      <c r="W63" s="2" t="n">
        <v>4.2</v>
      </c>
      <c r="X63" s="2" t="n">
        <v>48.4</v>
      </c>
      <c r="Y63" s="2" t="n">
        <v>4.2</v>
      </c>
      <c r="Z63" s="2" t="n">
        <v>32.3</v>
      </c>
      <c r="AA63" s="2" t="n">
        <v>24.1</v>
      </c>
      <c r="AB63" s="2" t="n">
        <v>8.199999999999999</v>
      </c>
      <c r="AC63" s="2" t="inlineStr">
        <is>
          <t>NA</t>
        </is>
      </c>
      <c r="AD63" s="2" t="inlineStr">
        <is>
          <t>NA</t>
        </is>
      </c>
      <c r="AG63" s="2" t="inlineStr">
        <is>
          <t>NA</t>
        </is>
      </c>
      <c r="AH63" s="2" t="inlineStr">
        <is>
          <t>NA</t>
        </is>
      </c>
      <c r="AI63" s="2" t="n">
        <v>88.8</v>
      </c>
      <c r="AL63" s="2" t="n">
        <v>65.8</v>
      </c>
      <c r="AM63" s="2" t="n">
        <v>40.1</v>
      </c>
      <c r="AN63" s="2" t="n">
        <v>25.7</v>
      </c>
      <c r="AO63" s="2" t="n">
        <v>2020.1</v>
      </c>
      <c r="AP63" s="2" t="n">
        <v>196.4</v>
      </c>
      <c r="AQ63" s="2" t="n">
        <v>86.90000000000001</v>
      </c>
      <c r="AR63" s="2" t="n">
        <v>39.7</v>
      </c>
      <c r="AS63" s="2" t="n">
        <v>127.3</v>
      </c>
      <c r="AT63" s="2" t="n">
        <v>64.3</v>
      </c>
      <c r="AU63" s="2" t="n">
        <v>66.7</v>
      </c>
      <c r="AV63" s="2" t="n">
        <v>17.5</v>
      </c>
      <c r="AW63" s="2" t="n">
        <v>6.5</v>
      </c>
      <c r="AX63" s="2" t="n">
        <v>3</v>
      </c>
      <c r="AY63" s="2" t="n">
        <v>35.2</v>
      </c>
      <c r="AZ63" s="2" t="n">
        <v>9</v>
      </c>
      <c r="BA63" s="2" t="inlineStr">
        <is>
          <t>NA</t>
        </is>
      </c>
      <c r="BB63" s="2" t="inlineStr">
        <is>
          <t>NA</t>
        </is>
      </c>
      <c r="BD63" s="2" t="n">
        <v>127</v>
      </c>
      <c r="BE63" s="2" t="n">
        <v>26</v>
      </c>
      <c r="BH63" s="2" t="n">
        <v>366.1</v>
      </c>
      <c r="BK63" s="2" t="n">
        <v>160.7</v>
      </c>
      <c r="BL63" s="2" t="n">
        <v>23.2</v>
      </c>
      <c r="BM63" s="2" t="n">
        <v>550</v>
      </c>
      <c r="BN63" s="2" t="n">
        <v>254.1</v>
      </c>
      <c r="BQ63" s="2" t="n">
        <v>73.5</v>
      </c>
      <c r="BR63" s="2" t="n">
        <v>5.6</v>
      </c>
      <c r="BS63" s="2" t="n">
        <v>333.2</v>
      </c>
      <c r="BT63" s="2" t="n">
        <v>90</v>
      </c>
      <c r="BU63" s="2" t="n">
        <v>37.8</v>
      </c>
      <c r="BV63" s="2" t="n">
        <v>372.5</v>
      </c>
      <c r="BW63" s="2" t="n">
        <v>138.4</v>
      </c>
      <c r="BX63" s="2" t="n">
        <v>535.5</v>
      </c>
      <c r="BY63" s="2" t="n">
        <v>67.2</v>
      </c>
      <c r="BZ63" s="2" t="n">
        <v>11.3</v>
      </c>
      <c r="CA63" s="2" t="n">
        <v>78.5</v>
      </c>
      <c r="CF63" s="2" t="n">
        <v>112.8</v>
      </c>
      <c r="CG63" s="2" t="n">
        <v>101.9</v>
      </c>
      <c r="CH63" s="2" t="n">
        <v>10.9</v>
      </c>
      <c r="CN63" s="2" t="n">
        <v>55.8</v>
      </c>
      <c r="CO63" s="2" t="n">
        <v>119.8</v>
      </c>
      <c r="CP63" s="2" t="n">
        <v>91.5</v>
      </c>
      <c r="CQ63" s="2" t="n">
        <v>28.3</v>
      </c>
      <c r="CR63" s="2" t="n">
        <v>16</v>
      </c>
      <c r="CS63" s="2" t="n">
        <v>41.3</v>
      </c>
      <c r="CT63" s="2" t="n">
        <v>28.2</v>
      </c>
      <c r="CU63" s="2" t="n">
        <v>13.1</v>
      </c>
      <c r="CV63" s="2" t="n">
        <v>44.59999999999999</v>
      </c>
      <c r="CW63" s="2" t="n">
        <v>17.2</v>
      </c>
      <c r="CX63" s="2" t="n">
        <v>27.4</v>
      </c>
      <c r="CY63" s="2" t="n">
        <v>19.8</v>
      </c>
      <c r="CZ63" s="2" t="n">
        <v>22.2</v>
      </c>
      <c r="DA63" s="2" t="n">
        <v>31.6</v>
      </c>
      <c r="DB63" s="2" t="n">
        <v>30.8</v>
      </c>
      <c r="DC63" s="2" t="n">
        <v>0.8</v>
      </c>
      <c r="DH63" s="2" t="n">
        <v>91.5</v>
      </c>
      <c r="DI63" s="2" t="n">
        <v>632.9</v>
      </c>
      <c r="DJ63" s="2" t="n">
        <v>149.9</v>
      </c>
      <c r="DK63" s="2" t="n">
        <v>406.5</v>
      </c>
      <c r="DM63" s="2" t="n">
        <v>198.8</v>
      </c>
      <c r="DO63" s="2" t="n">
        <v>175.4</v>
      </c>
      <c r="DP63" s="2" t="n">
        <v>161.5</v>
      </c>
      <c r="DQ63" s="2" t="n">
        <v>46.5</v>
      </c>
      <c r="DS63" s="2" t="n">
        <v>813.3</v>
      </c>
      <c r="DT63" s="2" t="n">
        <v>2676.3</v>
      </c>
      <c r="DU63" s="2" t="n">
        <v>-91.5</v>
      </c>
      <c r="DV63" s="2" t="n">
        <v>0</v>
      </c>
      <c r="GZ63" s="2" t="n">
        <v>907.6</v>
      </c>
      <c r="IN63" s="2" t="n">
        <v>64.5</v>
      </c>
      <c r="IY63" s="2" t="n">
        <v>47.23685685461271</v>
      </c>
      <c r="IZ63" s="2" t="n">
        <v>0.3368568546127122</v>
      </c>
      <c r="JB63" s="2" t="n">
        <v>11.15906288532676</v>
      </c>
      <c r="JC63" s="2" t="n">
        <v>0.1590628853267564</v>
      </c>
      <c r="JE63" s="2" t="n">
        <v>597.2</v>
      </c>
      <c r="JF63" s="2" t="n">
        <v>0.2729403884795713</v>
      </c>
    </row>
    <row r="64">
      <c r="A64" s="1" t="n">
        <v>30987</v>
      </c>
      <c r="B64" s="2" t="n">
        <v>2968.5</v>
      </c>
      <c r="C64" s="2" t="n">
        <v>3493.2</v>
      </c>
      <c r="D64" s="2" t="n">
        <v>423.1</v>
      </c>
      <c r="E64" s="2" t="n">
        <v>1646.4</v>
      </c>
      <c r="F64" s="2" t="n">
        <v>10.9</v>
      </c>
      <c r="G64" s="2" t="n">
        <v>91.7</v>
      </c>
      <c r="H64" s="2" t="inlineStr">
        <is>
          <t>NA</t>
        </is>
      </c>
      <c r="I64" s="2" t="inlineStr">
        <is>
          <t>NA</t>
        </is>
      </c>
      <c r="J64" s="2" t="inlineStr">
        <is>
          <t>NA</t>
        </is>
      </c>
      <c r="K64" s="2" t="n">
        <v>1070.2</v>
      </c>
      <c r="L64" s="2" t="n">
        <v>580.1</v>
      </c>
      <c r="M64" s="2" t="n">
        <v>338.7</v>
      </c>
      <c r="N64" s="2" t="n">
        <v>241.4</v>
      </c>
      <c r="O64" s="2" t="n">
        <v>132.5</v>
      </c>
      <c r="P64" s="2" t="n">
        <v>74.59999999999999</v>
      </c>
      <c r="Q64" s="2" t="n">
        <v>31.1</v>
      </c>
      <c r="R64" s="2" t="n">
        <v>43.5</v>
      </c>
      <c r="T64" s="2" t="n">
        <v>8.6</v>
      </c>
      <c r="U64" s="2" t="n">
        <v>15.3</v>
      </c>
      <c r="V64" s="2" t="n">
        <v>11.1</v>
      </c>
      <c r="W64" s="2" t="n">
        <v>4.2</v>
      </c>
      <c r="X64" s="2" t="n">
        <v>71.40000000000001</v>
      </c>
      <c r="Y64" s="2" t="n">
        <v>4.7</v>
      </c>
      <c r="Z64" s="2" t="n">
        <v>70.5</v>
      </c>
      <c r="AA64" s="2" t="n">
        <v>64.2</v>
      </c>
      <c r="AB64" s="2" t="n">
        <v>6.3</v>
      </c>
      <c r="AC64" s="2" t="inlineStr">
        <is>
          <t>NA</t>
        </is>
      </c>
      <c r="AD64" s="2" t="inlineStr">
        <is>
          <t>NA</t>
        </is>
      </c>
      <c r="AG64" s="2" t="inlineStr">
        <is>
          <t>NA</t>
        </is>
      </c>
      <c r="AH64" s="2" t="inlineStr">
        <is>
          <t>NA</t>
        </is>
      </c>
      <c r="AI64" s="2" t="n">
        <v>75.5</v>
      </c>
      <c r="AL64" s="2" t="n">
        <v>70.40000000000001</v>
      </c>
      <c r="AM64" s="2" t="n">
        <v>40.8</v>
      </c>
      <c r="AN64" s="2" t="n">
        <v>29.6</v>
      </c>
      <c r="AO64" s="2" t="n">
        <v>2235.9</v>
      </c>
      <c r="AP64" s="2" t="n">
        <v>252.4</v>
      </c>
      <c r="AQ64" s="2" t="n">
        <v>90.09999999999999</v>
      </c>
      <c r="AR64" s="2" t="n">
        <v>33.3</v>
      </c>
      <c r="AS64" s="2" t="n">
        <v>198.4</v>
      </c>
      <c r="AT64" s="2" t="n">
        <v>95.3</v>
      </c>
      <c r="AU64" s="2" t="n">
        <v>104.5</v>
      </c>
      <c r="AV64" s="2" t="n">
        <v>35.4</v>
      </c>
      <c r="AW64" s="2" t="n">
        <v>5.7</v>
      </c>
      <c r="AX64" s="2" t="n">
        <v>4.2</v>
      </c>
      <c r="AY64" s="2" t="n">
        <v>55</v>
      </c>
      <c r="AZ64" s="2" t="inlineStr">
        <is>
          <t>NA</t>
        </is>
      </c>
      <c r="BA64" s="2" t="inlineStr">
        <is>
          <t>NA</t>
        </is>
      </c>
      <c r="BB64" s="2" t="inlineStr">
        <is>
          <t>NA</t>
        </is>
      </c>
      <c r="BD64" s="2" t="n">
        <v>107.4</v>
      </c>
      <c r="BE64" s="2" t="n">
        <v>28.6</v>
      </c>
      <c r="BH64" s="2" t="n">
        <v>316.2</v>
      </c>
      <c r="BK64" s="2" t="n">
        <v>128.7</v>
      </c>
      <c r="BL64" s="2" t="n">
        <v>9.4</v>
      </c>
      <c r="BM64" s="2" t="n">
        <v>454.3</v>
      </c>
      <c r="BN64" s="2" t="n">
        <v>271.1</v>
      </c>
      <c r="BQ64" s="2" t="n">
        <v>74.90000000000001</v>
      </c>
      <c r="BR64" s="2" t="n">
        <v>2.8</v>
      </c>
      <c r="BS64" s="2" t="n">
        <v>348.8</v>
      </c>
      <c r="BT64" s="2" t="n">
        <v>84</v>
      </c>
      <c r="BU64" s="2" t="n">
        <v>33.1</v>
      </c>
      <c r="BV64" s="2" t="n">
        <v>337.5</v>
      </c>
      <c r="BW64" s="2" t="n">
        <v>127.5</v>
      </c>
      <c r="BX64" s="2" t="n">
        <v>475.1</v>
      </c>
      <c r="BY64" s="2" t="n">
        <v>68.5</v>
      </c>
      <c r="BZ64" s="2" t="n">
        <v>13.1</v>
      </c>
      <c r="CA64" s="2" t="n">
        <v>81.59999999999999</v>
      </c>
      <c r="CF64" s="2" t="n">
        <v>110.7</v>
      </c>
      <c r="CG64" s="2" t="n">
        <v>103</v>
      </c>
      <c r="CH64" s="2" t="n">
        <v>12.6</v>
      </c>
      <c r="CN64" s="2" t="n">
        <v>44.7</v>
      </c>
      <c r="CO64" s="2" t="n">
        <v>107.3</v>
      </c>
      <c r="CP64" s="2" t="n">
        <v>75.3</v>
      </c>
      <c r="CQ64" s="2" t="n">
        <v>32</v>
      </c>
      <c r="CR64" s="2" t="inlineStr">
        <is>
          <t>NA</t>
        </is>
      </c>
      <c r="CS64" s="2" t="n">
        <v>36.1</v>
      </c>
      <c r="CT64" s="2" t="n">
        <v>22.2</v>
      </c>
      <c r="CU64" s="2" t="n">
        <v>13.9</v>
      </c>
      <c r="CV64" s="2" t="n">
        <v>41.40000000000001</v>
      </c>
      <c r="CW64" s="2" t="n">
        <v>15.3</v>
      </c>
      <c r="CX64" s="2" t="n">
        <v>26.1</v>
      </c>
      <c r="CY64" s="2" t="n">
        <v>12</v>
      </c>
      <c r="CZ64" s="2" t="n">
        <v>14.9</v>
      </c>
      <c r="DA64" s="2" t="n">
        <v>35.5</v>
      </c>
      <c r="DB64" s="2" t="n">
        <v>31.6</v>
      </c>
      <c r="DC64" s="2" t="n">
        <v>3.9</v>
      </c>
      <c r="DG64" s="2" t="n">
        <v>151.1</v>
      </c>
      <c r="DH64" s="2" t="n">
        <v>117.4</v>
      </c>
      <c r="DI64" s="2" t="n">
        <v>674.2</v>
      </c>
      <c r="DJ64" s="2" t="n">
        <v>145.3</v>
      </c>
      <c r="DK64" s="2" t="n">
        <v>382.7</v>
      </c>
      <c r="DL64" s="2" t="n">
        <v>113.7</v>
      </c>
      <c r="DM64" s="2" t="n">
        <v>195.8</v>
      </c>
      <c r="DO64" s="2" t="n">
        <v>158</v>
      </c>
      <c r="DP64" s="2" t="n">
        <v>164.6</v>
      </c>
      <c r="DQ64" s="2" t="n">
        <v>81.5</v>
      </c>
      <c r="DR64" s="2" t="n">
        <v>129.6</v>
      </c>
      <c r="DS64" s="2" t="n">
        <v>654.5</v>
      </c>
      <c r="DT64" s="2" t="n">
        <v>2968.4</v>
      </c>
      <c r="DU64" s="2" t="n">
        <v>-268.5000000000005</v>
      </c>
      <c r="DV64" s="2" t="n">
        <v>-0.09999999999990905</v>
      </c>
      <c r="GZ64" s="2" t="n">
        <v>835.5</v>
      </c>
      <c r="IN64" s="2" t="n">
        <v>121.4</v>
      </c>
      <c r="IY64" s="2" t="n">
        <v>47.01364325416877</v>
      </c>
      <c r="IZ64" s="2" t="n">
        <v>-0.08635674583123176</v>
      </c>
      <c r="JB64" s="2" t="n">
        <v>10.8155634158666</v>
      </c>
      <c r="JC64" s="2" t="n">
        <v>-0.08443658413340138</v>
      </c>
      <c r="JE64" s="2" t="n">
        <v>580.1</v>
      </c>
      <c r="JF64" s="2" t="n">
        <v>0.28960524047578</v>
      </c>
    </row>
    <row r="65">
      <c r="A65" s="1" t="n">
        <v>31017</v>
      </c>
      <c r="B65" s="2" t="n">
        <v>3032.5</v>
      </c>
      <c r="C65" s="2" t="n">
        <v>2953.1</v>
      </c>
      <c r="D65" s="2" t="n">
        <v>424.2</v>
      </c>
      <c r="E65" s="2" t="n">
        <v>1900.4</v>
      </c>
      <c r="F65" s="2" t="n">
        <v>9.199999999999999</v>
      </c>
      <c r="G65" s="2" t="inlineStr">
        <is>
          <t>NA</t>
        </is>
      </c>
      <c r="H65" s="2" t="inlineStr">
        <is>
          <t>NA</t>
        </is>
      </c>
      <c r="I65" s="2" t="inlineStr">
        <is>
          <t>NA</t>
        </is>
      </c>
      <c r="J65" s="2" t="inlineStr">
        <is>
          <t>NA</t>
        </is>
      </c>
      <c r="K65" s="2" t="n">
        <v>1095.5</v>
      </c>
      <c r="L65" s="2" t="n">
        <v>777.0999999999999</v>
      </c>
      <c r="M65" s="2" t="n">
        <v>500.2</v>
      </c>
      <c r="N65" s="2" t="n">
        <v>276.9</v>
      </c>
      <c r="O65" s="2" t="n">
        <v>132.5</v>
      </c>
      <c r="P65" s="2" t="n">
        <v>79.40000000000001</v>
      </c>
      <c r="Q65" s="2" t="n">
        <v>36.8</v>
      </c>
      <c r="R65" s="2" t="n">
        <v>42.6</v>
      </c>
      <c r="T65" s="2" t="n">
        <v>7.3</v>
      </c>
      <c r="U65" s="2" t="n">
        <v>14.4</v>
      </c>
      <c r="V65" s="2" t="n">
        <v>11.1</v>
      </c>
      <c r="W65" s="2" t="n">
        <v>3.3</v>
      </c>
      <c r="X65" s="2" t="inlineStr">
        <is>
          <t>NA</t>
        </is>
      </c>
      <c r="Y65" s="2" t="n">
        <v>4.9</v>
      </c>
      <c r="Z65" s="2" t="n">
        <v>56.9</v>
      </c>
      <c r="AA65" s="2" t="n">
        <v>51.4</v>
      </c>
      <c r="AB65" s="2" t="n">
        <v>5.5</v>
      </c>
      <c r="AC65" s="2" t="inlineStr">
        <is>
          <t>NA</t>
        </is>
      </c>
      <c r="AD65" s="2" t="inlineStr">
        <is>
          <t>NA</t>
        </is>
      </c>
      <c r="AG65" s="2" t="inlineStr">
        <is>
          <t>NA</t>
        </is>
      </c>
      <c r="AH65" s="2" t="inlineStr">
        <is>
          <t>NA</t>
        </is>
      </c>
      <c r="AI65" s="2" t="n">
        <v>89.59999999999999</v>
      </c>
      <c r="AL65" s="2" t="n">
        <v>60.6</v>
      </c>
      <c r="AM65" s="2" t="n">
        <v>31.5</v>
      </c>
      <c r="AN65" s="2" t="n">
        <v>29.1</v>
      </c>
      <c r="AO65" s="2" t="n">
        <v>2283.7</v>
      </c>
      <c r="AP65" s="2" t="n">
        <v>305.7</v>
      </c>
      <c r="AQ65" s="2" t="n">
        <v>97.2</v>
      </c>
      <c r="AR65" s="2" t="n">
        <v>31</v>
      </c>
      <c r="AS65" s="2" t="n">
        <v>198.7</v>
      </c>
      <c r="AT65" s="2" t="n">
        <v>100.4</v>
      </c>
      <c r="AU65" s="2" t="n">
        <v>107.3</v>
      </c>
      <c r="AV65" s="2" t="n">
        <v>41.8</v>
      </c>
      <c r="AW65" s="2" t="n">
        <v>4.5</v>
      </c>
      <c r="AX65" s="2" t="n">
        <v>3.4</v>
      </c>
      <c r="AY65" s="2" t="inlineStr">
        <is>
          <t>NA</t>
        </is>
      </c>
      <c r="AZ65" s="2" t="inlineStr">
        <is>
          <t>NA</t>
        </is>
      </c>
      <c r="BA65" s="2" t="inlineStr">
        <is>
          <t>NA</t>
        </is>
      </c>
      <c r="BB65" s="2" t="inlineStr">
        <is>
          <t>NA</t>
        </is>
      </c>
      <c r="BD65" s="2" t="n">
        <v>113</v>
      </c>
      <c r="BE65" s="2" t="n">
        <v>36.2</v>
      </c>
      <c r="BH65" s="2" t="n">
        <v>342</v>
      </c>
      <c r="BK65" s="2" t="n">
        <v>122.6</v>
      </c>
      <c r="BL65" s="2" t="n">
        <v>14</v>
      </c>
      <c r="BM65" s="2" t="n">
        <v>478.6</v>
      </c>
      <c r="BN65" s="2" t="n">
        <v>300.4</v>
      </c>
      <c r="BQ65" s="2" t="n">
        <v>65.3</v>
      </c>
      <c r="BR65" s="2" t="n">
        <v>1.8</v>
      </c>
      <c r="BS65" s="2" t="n">
        <v>367.5</v>
      </c>
      <c r="BT65" s="2" t="n">
        <v>78</v>
      </c>
      <c r="BU65" s="2" t="n">
        <v>38.7</v>
      </c>
      <c r="BV65" s="2" t="n">
        <v>327.8</v>
      </c>
      <c r="BW65" s="2" t="n">
        <v>130.7</v>
      </c>
      <c r="BX65" s="2" t="n">
        <v>465.9</v>
      </c>
      <c r="BY65" s="2" t="n">
        <v>60.8</v>
      </c>
      <c r="BZ65" s="2" t="n">
        <v>13.3</v>
      </c>
      <c r="CA65" s="2" t="n">
        <v>74.09999999999999</v>
      </c>
      <c r="CF65" s="2" t="n">
        <v>109.2</v>
      </c>
      <c r="CG65" s="2" t="n">
        <v>109.5</v>
      </c>
      <c r="CH65" s="2" t="n">
        <v>13</v>
      </c>
      <c r="CN65" s="2" t="n">
        <v>33.6</v>
      </c>
      <c r="CO65" s="2" t="n">
        <v>121.5</v>
      </c>
      <c r="CP65" s="2" t="n">
        <v>88.8</v>
      </c>
      <c r="CQ65" s="2" t="n">
        <v>32.7</v>
      </c>
      <c r="CR65" s="2" t="n">
        <v>13.1</v>
      </c>
      <c r="CS65" s="2" t="n">
        <v>39.3</v>
      </c>
      <c r="CT65" s="2" t="n">
        <v>26.1</v>
      </c>
      <c r="CU65" s="2" t="n">
        <v>13.2</v>
      </c>
      <c r="CV65" s="2" t="n">
        <v>52.3</v>
      </c>
      <c r="CW65" s="2" t="n">
        <v>19.6</v>
      </c>
      <c r="CX65" s="2" t="n">
        <v>32.7</v>
      </c>
      <c r="CY65" s="2" t="n">
        <v>9.6</v>
      </c>
      <c r="CZ65" s="2" t="n">
        <v>26.9</v>
      </c>
      <c r="DA65" s="2" t="n">
        <v>28.5</v>
      </c>
      <c r="DB65" s="2" t="n">
        <v>26</v>
      </c>
      <c r="DC65" s="2" t="n">
        <v>2.5</v>
      </c>
      <c r="DG65" s="2" t="n">
        <v>144.4</v>
      </c>
      <c r="DH65" s="2" t="n">
        <v>116.7</v>
      </c>
      <c r="DI65" s="2" t="n">
        <v>672.8</v>
      </c>
      <c r="DK65" s="2" t="n">
        <v>411.2</v>
      </c>
      <c r="DL65" s="2" t="n">
        <v>103.4</v>
      </c>
      <c r="DM65" s="2" t="n">
        <v>195.5</v>
      </c>
      <c r="DO65" s="2" t="n">
        <v>153</v>
      </c>
      <c r="DP65" s="2" t="n">
        <v>170.8</v>
      </c>
      <c r="DQ65" s="2" t="n">
        <v>91.5</v>
      </c>
      <c r="DS65" s="2" t="n">
        <v>973.2</v>
      </c>
      <c r="DT65" s="2" t="n">
        <v>3032.5</v>
      </c>
      <c r="DU65" s="2" t="n">
        <v>-261.0999999999999</v>
      </c>
      <c r="DV65" s="2" t="n">
        <v>0</v>
      </c>
      <c r="GZ65" s="2" t="n">
        <v>821.2</v>
      </c>
      <c r="IN65" s="2" t="n">
        <v>117.6</v>
      </c>
      <c r="IY65" s="2" t="n">
        <v>47.10766694146743</v>
      </c>
      <c r="IZ65" s="2" t="n">
        <v>0.00766694146742708</v>
      </c>
      <c r="JB65" s="2" t="n">
        <v>10.83759274525969</v>
      </c>
      <c r="JC65" s="2" t="n">
        <v>-0.06240725474031272</v>
      </c>
      <c r="JE65" s="2" t="n">
        <v>777.0999999999999</v>
      </c>
      <c r="JF65" s="2" t="n">
        <v>0.3011195470338438</v>
      </c>
    </row>
    <row r="66">
      <c r="A66" s="1" t="n">
        <v>31048</v>
      </c>
      <c r="B66" s="2" t="n">
        <v>2835.6</v>
      </c>
      <c r="C66" s="2" t="n">
        <v>2576.4</v>
      </c>
      <c r="D66" s="2" t="n">
        <v>453.4</v>
      </c>
      <c r="E66" s="2" t="n">
        <v>1936.5</v>
      </c>
      <c r="F66" s="2" t="n">
        <v>13</v>
      </c>
      <c r="G66" s="2" t="n">
        <v>73.3</v>
      </c>
      <c r="H66" s="2" t="inlineStr">
        <is>
          <t>NA</t>
        </is>
      </c>
      <c r="I66" s="2" t="inlineStr">
        <is>
          <t>NA</t>
        </is>
      </c>
      <c r="J66" s="2" t="inlineStr">
        <is>
          <t>NA</t>
        </is>
      </c>
      <c r="K66" s="2" t="n">
        <v>1027.4</v>
      </c>
      <c r="L66" s="2" t="n">
        <v>883.5</v>
      </c>
      <c r="M66" s="2" t="n">
        <v>621.7</v>
      </c>
      <c r="N66" s="2" t="n">
        <v>261.8</v>
      </c>
      <c r="O66" s="2" t="n">
        <v>141.5</v>
      </c>
      <c r="P66" s="2" t="n">
        <v>89.59999999999999</v>
      </c>
      <c r="Q66" s="2" t="n">
        <v>38.7</v>
      </c>
      <c r="R66" s="2" t="n">
        <v>50.9</v>
      </c>
      <c r="T66" s="2" t="n">
        <v>9.800000000000001</v>
      </c>
      <c r="U66" s="2" t="n">
        <v>9.800000000000001</v>
      </c>
      <c r="V66" s="2" t="n">
        <v>6.3</v>
      </c>
      <c r="W66" s="2" t="n">
        <v>3.5</v>
      </c>
      <c r="X66" s="2" t="n">
        <v>55</v>
      </c>
      <c r="Y66" s="2" t="n">
        <v>10.7</v>
      </c>
      <c r="Z66" s="2" t="n">
        <v>42.8</v>
      </c>
      <c r="AA66" s="2" t="n">
        <v>34.4</v>
      </c>
      <c r="AB66" s="2" t="n">
        <v>8.4</v>
      </c>
      <c r="AC66" s="2" t="inlineStr">
        <is>
          <t>NA</t>
        </is>
      </c>
      <c r="AD66" s="2" t="inlineStr">
        <is>
          <t>NA</t>
        </is>
      </c>
      <c r="AG66" s="2" t="inlineStr">
        <is>
          <t>NA</t>
        </is>
      </c>
      <c r="AH66" s="2" t="inlineStr">
        <is>
          <t>NA</t>
        </is>
      </c>
      <c r="AI66" s="2" t="n">
        <v>87.7</v>
      </c>
      <c r="AL66" s="2" t="n">
        <v>74.59999999999999</v>
      </c>
      <c r="AM66" s="2" t="n">
        <v>35.8</v>
      </c>
      <c r="AN66" s="2" t="n">
        <v>38.8</v>
      </c>
      <c r="AO66" s="2" t="n">
        <v>2137.4</v>
      </c>
      <c r="AP66" s="2" t="n">
        <v>291.1</v>
      </c>
      <c r="AQ66" s="2" t="n">
        <v>89</v>
      </c>
      <c r="AR66" s="2" t="n">
        <v>28.5</v>
      </c>
      <c r="AS66" s="2" t="n">
        <v>207.7</v>
      </c>
      <c r="AT66" s="2" t="n">
        <v>100.4</v>
      </c>
      <c r="AU66" s="2" t="n">
        <v>113.7</v>
      </c>
      <c r="AV66" s="2" t="n">
        <v>44.9</v>
      </c>
      <c r="AW66" s="2" t="n">
        <v>7.5</v>
      </c>
      <c r="AX66" s="2" t="n">
        <v>3.6</v>
      </c>
      <c r="AY66" s="2" t="n">
        <v>42.6</v>
      </c>
      <c r="AZ66" s="2" t="n">
        <v>11.3</v>
      </c>
      <c r="BA66" s="2" t="inlineStr">
        <is>
          <t>NA</t>
        </is>
      </c>
      <c r="BB66" s="2" t="inlineStr">
        <is>
          <t>NA</t>
        </is>
      </c>
      <c r="BD66" s="2" t="n">
        <v>129.1</v>
      </c>
      <c r="BE66" s="2" t="n">
        <v>34</v>
      </c>
      <c r="BH66" s="2" t="n">
        <v>324.1</v>
      </c>
      <c r="BK66" s="2" t="n">
        <v>141.6</v>
      </c>
      <c r="BL66" s="2" t="n">
        <v>15</v>
      </c>
      <c r="BM66" s="2" t="n">
        <v>480.6</v>
      </c>
      <c r="BN66" s="2" t="n">
        <v>337.2</v>
      </c>
      <c r="BQ66" s="2" t="n">
        <v>143.5</v>
      </c>
      <c r="BR66" s="2" t="n">
        <v>7.7</v>
      </c>
      <c r="BS66" s="2" t="n">
        <v>488.4</v>
      </c>
      <c r="BT66" s="2" t="n">
        <v>81</v>
      </c>
      <c r="BU66" s="2" t="n">
        <v>33.7</v>
      </c>
      <c r="BV66" s="2" t="n">
        <v>337.2</v>
      </c>
      <c r="BW66" s="2" t="n">
        <v>143.5</v>
      </c>
      <c r="BX66" s="2" t="n">
        <v>488.4</v>
      </c>
      <c r="BY66" s="2" t="n">
        <v>62.4</v>
      </c>
      <c r="BZ66" s="2" t="n">
        <v>11.5</v>
      </c>
      <c r="CA66" s="2" t="n">
        <v>73.90000000000001</v>
      </c>
      <c r="CF66" s="2" t="n">
        <v>95.2</v>
      </c>
      <c r="CG66" s="2" t="n">
        <v>108.7</v>
      </c>
      <c r="CH66" s="2" t="n">
        <v>13.6</v>
      </c>
      <c r="CN66" s="2" t="n">
        <v>42.7</v>
      </c>
      <c r="CO66" s="2" t="n">
        <v>127.9</v>
      </c>
      <c r="CP66" s="2" t="n">
        <v>96.40000000000001</v>
      </c>
      <c r="CQ66" s="2" t="n">
        <v>31.5</v>
      </c>
      <c r="CR66" s="2" t="n">
        <v>13.6</v>
      </c>
      <c r="CS66" s="2" t="n">
        <v>38.3</v>
      </c>
      <c r="CT66" s="2" t="n">
        <v>25.9</v>
      </c>
      <c r="CU66" s="2" t="n">
        <v>12.4</v>
      </c>
      <c r="CV66" s="2" t="n">
        <v>63.5</v>
      </c>
      <c r="CW66" s="2" t="n">
        <v>19.8</v>
      </c>
      <c r="CX66" s="2" t="n">
        <v>43.7</v>
      </c>
      <c r="CY66" s="2" t="inlineStr">
        <is>
          <t>NA</t>
        </is>
      </c>
      <c r="CZ66" s="2" t="n">
        <v>29.2</v>
      </c>
      <c r="DA66" s="2" t="n">
        <v>29.3</v>
      </c>
      <c r="DB66" s="2" t="n">
        <v>25.5</v>
      </c>
      <c r="DC66" s="2" t="n">
        <v>3.8</v>
      </c>
      <c r="DG66" s="2" t="n">
        <v>143.2</v>
      </c>
      <c r="DH66" s="2" t="n">
        <v>121.3</v>
      </c>
      <c r="DI66" s="2" t="n">
        <v>586.8</v>
      </c>
      <c r="DK66" s="2" t="n">
        <v>393.4</v>
      </c>
      <c r="DL66" s="2" t="n">
        <v>91.40000000000001</v>
      </c>
      <c r="DM66" s="2" t="n">
        <v>185.2</v>
      </c>
      <c r="DO66" s="2" t="n">
        <v>156.2</v>
      </c>
      <c r="DQ66" s="2" t="n">
        <v>83.3</v>
      </c>
      <c r="DS66" s="2" t="n">
        <v>1074.9</v>
      </c>
      <c r="DT66" s="2" t="n">
        <v>2835.7</v>
      </c>
      <c r="DU66" s="2" t="n">
        <v>-264.5</v>
      </c>
      <c r="DV66" s="2" t="n">
        <v>0.09999999999990905</v>
      </c>
      <c r="GZ66" s="2" t="n">
        <v>838.7</v>
      </c>
      <c r="IN66" s="2" t="n">
        <v>135.8</v>
      </c>
      <c r="IY66" s="2" t="n">
        <v>47.10960643250106</v>
      </c>
      <c r="IZ66" s="2" t="n">
        <v>0.009606432501058748</v>
      </c>
      <c r="JB66" s="2" t="n">
        <v>10.86965721540415</v>
      </c>
      <c r="JC66" s="2" t="n">
        <v>0.06965721540414727</v>
      </c>
      <c r="JE66" s="2" t="n">
        <v>883.5</v>
      </c>
      <c r="JF66" s="2" t="n">
        <v>0.2907753254102999</v>
      </c>
    </row>
    <row r="67">
      <c r="A67" s="1" t="n">
        <v>31079</v>
      </c>
      <c r="B67" s="2" t="n">
        <v>2423.8</v>
      </c>
      <c r="C67" s="2" t="n">
        <v>1974.8</v>
      </c>
      <c r="D67" s="2" t="n">
        <v>394.5</v>
      </c>
      <c r="E67" s="2" t="n">
        <v>1701.3</v>
      </c>
      <c r="F67" s="2" t="n">
        <v>17</v>
      </c>
      <c r="G67" s="2" t="n">
        <v>60.9</v>
      </c>
      <c r="H67" s="2" t="inlineStr">
        <is>
          <t>NA</t>
        </is>
      </c>
      <c r="I67" s="2" t="inlineStr">
        <is>
          <t>NA</t>
        </is>
      </c>
      <c r="J67" s="2" t="inlineStr">
        <is>
          <t>NA</t>
        </is>
      </c>
      <c r="K67" s="2" t="n">
        <v>879</v>
      </c>
      <c r="L67" s="2" t="n">
        <v>724.8</v>
      </c>
      <c r="M67" s="2" t="n">
        <v>444.9</v>
      </c>
      <c r="N67" s="2" t="n">
        <v>279.9</v>
      </c>
      <c r="O67" s="2" t="n">
        <v>124.3</v>
      </c>
      <c r="P67" s="2" t="n">
        <v>98.59999999999999</v>
      </c>
      <c r="Q67" s="2" t="n">
        <v>44.9</v>
      </c>
      <c r="R67" s="2" t="n">
        <v>53.7</v>
      </c>
      <c r="T67" s="2" t="n">
        <v>13.9</v>
      </c>
      <c r="U67" s="2" t="n">
        <v>9.6</v>
      </c>
      <c r="V67" s="2" t="n">
        <v>6.7</v>
      </c>
      <c r="W67" s="2" t="n">
        <v>2.9</v>
      </c>
      <c r="X67" s="2" t="n">
        <v>46.2</v>
      </c>
      <c r="Y67" s="2" t="n">
        <v>7.9</v>
      </c>
      <c r="Z67" s="2" t="n">
        <v>37.5</v>
      </c>
      <c r="AA67" s="2" t="n">
        <v>28.2</v>
      </c>
      <c r="AB67" s="2" t="n">
        <v>9.300000000000001</v>
      </c>
      <c r="AC67" s="2" t="inlineStr">
        <is>
          <t>NA</t>
        </is>
      </c>
      <c r="AD67" s="2" t="inlineStr">
        <is>
          <t>NA</t>
        </is>
      </c>
      <c r="AG67" s="2" t="inlineStr">
        <is>
          <t>NA</t>
        </is>
      </c>
      <c r="AH67" s="2" t="inlineStr">
        <is>
          <t>NA</t>
        </is>
      </c>
      <c r="AI67" s="2" t="n">
        <v>84.2</v>
      </c>
      <c r="AL67" s="2" t="n">
        <v>78.40000000000001</v>
      </c>
      <c r="AM67" s="2" t="n">
        <v>35.4</v>
      </c>
      <c r="AN67" s="2" t="n">
        <v>43</v>
      </c>
      <c r="AO67" s="2" t="n">
        <v>1810.8</v>
      </c>
      <c r="AP67" s="2" t="n">
        <v>302.5</v>
      </c>
      <c r="AQ67" s="2" t="n">
        <v>76.5</v>
      </c>
      <c r="AR67" s="2" t="n">
        <v>31.6</v>
      </c>
      <c r="AS67" s="2" t="n">
        <v>180.4</v>
      </c>
      <c r="AT67" s="2" t="n">
        <v>110.3</v>
      </c>
      <c r="AU67" s="2" t="n">
        <v>100.8</v>
      </c>
      <c r="AV67" s="2" t="n">
        <v>50.3</v>
      </c>
      <c r="AW67" s="2" t="n">
        <v>9.800000000000001</v>
      </c>
      <c r="AX67" s="2" t="n">
        <v>6.7</v>
      </c>
      <c r="AY67" s="2" t="n">
        <v>32.7</v>
      </c>
      <c r="AZ67" s="2" t="n">
        <v>10.4</v>
      </c>
      <c r="BA67" s="2" t="inlineStr">
        <is>
          <t>NA</t>
        </is>
      </c>
      <c r="BB67" s="2" t="inlineStr">
        <is>
          <t>NA</t>
        </is>
      </c>
      <c r="BD67" s="2" t="n">
        <v>105.6</v>
      </c>
      <c r="BE67" s="2" t="n">
        <v>46.2</v>
      </c>
      <c r="BH67" s="2" t="n">
        <v>285.8</v>
      </c>
      <c r="BK67" s="2" t="n">
        <v>122.1</v>
      </c>
      <c r="BL67" s="2" t="n">
        <v>14.7</v>
      </c>
      <c r="BM67" s="2" t="n">
        <v>422.6</v>
      </c>
      <c r="BN67" s="2" t="n">
        <v>221.7</v>
      </c>
      <c r="BQ67" s="2" t="n">
        <v>54.1</v>
      </c>
      <c r="BR67" s="2" t="n">
        <v>3.1</v>
      </c>
      <c r="BS67" s="2" t="n">
        <v>278.9</v>
      </c>
      <c r="BT67" s="2" t="n">
        <v>70</v>
      </c>
      <c r="BU67" s="2" t="n">
        <v>36.6</v>
      </c>
      <c r="BV67" s="2" t="n">
        <v>311.8</v>
      </c>
      <c r="BW67" s="2" t="n">
        <v>118.9</v>
      </c>
      <c r="BX67" s="2" t="n">
        <v>438.2</v>
      </c>
      <c r="BY67" s="2" t="n">
        <v>74.5</v>
      </c>
      <c r="BZ67" s="2" t="n">
        <v>12.9</v>
      </c>
      <c r="CA67" s="2" t="n">
        <v>87.40000000000001</v>
      </c>
      <c r="CF67" s="2" t="n">
        <v>104</v>
      </c>
      <c r="CG67" s="2" t="n">
        <v>117</v>
      </c>
      <c r="CH67" s="2" t="n">
        <v>17.7</v>
      </c>
      <c r="CN67" s="2" t="n">
        <v>42</v>
      </c>
      <c r="CO67" s="2" t="n">
        <v>91.90000000000001</v>
      </c>
      <c r="CP67" s="2" t="n">
        <v>63.9</v>
      </c>
      <c r="CQ67" s="2" t="n">
        <v>28</v>
      </c>
      <c r="CR67" s="2" t="n">
        <v>14.7</v>
      </c>
      <c r="CS67" s="2" t="n">
        <v>34.1</v>
      </c>
      <c r="CT67" s="2" t="n">
        <v>23.5</v>
      </c>
      <c r="CU67" s="2" t="n">
        <v>10.6</v>
      </c>
      <c r="CV67" s="2" t="n">
        <v>60.2</v>
      </c>
      <c r="CW67" s="2" t="n">
        <v>10.8</v>
      </c>
      <c r="CX67" s="2" t="n">
        <v>49.4</v>
      </c>
      <c r="CY67" s="2" t="inlineStr">
        <is>
          <t>NA</t>
        </is>
      </c>
      <c r="CZ67" s="2" t="n">
        <v>29</v>
      </c>
      <c r="DA67" s="2" t="n">
        <v>23.3</v>
      </c>
      <c r="DB67" s="2" t="inlineStr">
        <is>
          <t>NA</t>
        </is>
      </c>
      <c r="DC67" s="2" t="inlineStr">
        <is>
          <t>NA</t>
        </is>
      </c>
      <c r="DG67" s="2" t="n">
        <v>122.5</v>
      </c>
      <c r="DH67" s="2" t="n">
        <v>106.1</v>
      </c>
      <c r="DI67" s="2" t="n">
        <v>475</v>
      </c>
      <c r="DK67" s="2" t="n">
        <v>342.3</v>
      </c>
      <c r="DM67" s="2" t="n">
        <v>172.8</v>
      </c>
      <c r="DO67" s="2" t="n">
        <v>133.1</v>
      </c>
      <c r="DQ67" s="2" t="n">
        <v>75.5</v>
      </c>
      <c r="DS67" s="2" t="n">
        <v>996.5</v>
      </c>
      <c r="DT67" s="2" t="n">
        <v>2423.8</v>
      </c>
      <c r="DU67" s="2" t="n">
        <v>-228.6000000000004</v>
      </c>
      <c r="DV67" s="2" t="n">
        <v>0</v>
      </c>
      <c r="GZ67" s="2" t="n">
        <v>796.1</v>
      </c>
      <c r="IN67" s="2" t="n">
        <v>122.2</v>
      </c>
      <c r="IY67" s="2" t="n">
        <v>46.71920125422889</v>
      </c>
      <c r="IZ67" s="2" t="n">
        <v>-0.1807987457711064</v>
      </c>
      <c r="JB67" s="2" t="n">
        <v>10.87961052892153</v>
      </c>
      <c r="JC67" s="2" t="n">
        <v>-0.020389471078472</v>
      </c>
      <c r="JE67" s="2" t="n">
        <v>724.8</v>
      </c>
      <c r="JF67" s="2" t="n">
        <v>0.234271523178808</v>
      </c>
    </row>
    <row r="68">
      <c r="A68" s="1" t="n">
        <v>31107</v>
      </c>
      <c r="B68" s="2" t="n">
        <v>2569.1</v>
      </c>
      <c r="C68" s="2" t="n">
        <v>2091.7</v>
      </c>
      <c r="D68" s="2" t="n">
        <v>395.3</v>
      </c>
      <c r="E68" s="2" t="n">
        <v>1356.5</v>
      </c>
      <c r="F68" s="2" t="n">
        <v>19</v>
      </c>
      <c r="G68" s="2" t="n">
        <v>43.1</v>
      </c>
      <c r="H68" s="2" t="inlineStr">
        <is>
          <t>NA</t>
        </is>
      </c>
      <c r="I68" s="2" t="inlineStr">
        <is>
          <t>NA</t>
        </is>
      </c>
      <c r="J68" s="2" t="inlineStr">
        <is>
          <t>NA</t>
        </is>
      </c>
      <c r="K68" s="2" t="n">
        <v>946</v>
      </c>
      <c r="L68" s="2" t="n">
        <v>715.6</v>
      </c>
      <c r="M68" s="2" t="n">
        <v>425.6</v>
      </c>
      <c r="N68" s="2" t="n">
        <v>290</v>
      </c>
      <c r="O68" s="2" t="n">
        <v>123.3</v>
      </c>
      <c r="P68" s="2" t="n">
        <v>114.2</v>
      </c>
      <c r="Q68" s="2" t="n">
        <v>54.5</v>
      </c>
      <c r="R68" s="2" t="n">
        <v>59.7</v>
      </c>
      <c r="T68" s="2" t="n">
        <v>15.8</v>
      </c>
      <c r="U68" s="2" t="n">
        <v>9.699999999999999</v>
      </c>
      <c r="V68" s="2" t="n">
        <v>5.6</v>
      </c>
      <c r="W68" s="2" t="n">
        <v>4.1</v>
      </c>
      <c r="X68" s="2" t="n">
        <v>34.2</v>
      </c>
      <c r="Y68" s="2" t="inlineStr">
        <is>
          <t>NA</t>
        </is>
      </c>
      <c r="Z68" s="2" t="n">
        <v>46.7</v>
      </c>
      <c r="AA68" s="2" t="inlineStr">
        <is>
          <t>NA</t>
        </is>
      </c>
      <c r="AB68" s="2" t="inlineStr">
        <is>
          <t>NA</t>
        </is>
      </c>
      <c r="AC68" s="2" t="inlineStr">
        <is>
          <t>NA</t>
        </is>
      </c>
      <c r="AD68" s="2" t="inlineStr">
        <is>
          <t>NA</t>
        </is>
      </c>
      <c r="AG68" s="2" t="inlineStr">
        <is>
          <t>NA</t>
        </is>
      </c>
      <c r="AH68" s="2" t="inlineStr">
        <is>
          <t>NA</t>
        </is>
      </c>
      <c r="AI68" s="2" t="n">
        <v>107.3</v>
      </c>
      <c r="AL68" s="2" t="n">
        <v>74.09999999999999</v>
      </c>
      <c r="AM68" s="2" t="n">
        <v>40.2</v>
      </c>
      <c r="AN68" s="2" t="n">
        <v>33.9</v>
      </c>
      <c r="AO68" s="2" t="n">
        <v>1935.1</v>
      </c>
      <c r="AP68" s="2" t="n">
        <v>406.4</v>
      </c>
      <c r="AQ68" s="2" t="n">
        <v>88.5</v>
      </c>
      <c r="AR68" s="2" t="n">
        <v>38.2</v>
      </c>
      <c r="AS68" s="2" t="n">
        <v>181.6</v>
      </c>
      <c r="AT68" s="2" t="n">
        <v>139.8</v>
      </c>
      <c r="AU68" s="2" t="n">
        <v>109.7</v>
      </c>
      <c r="AV68" s="2" t="n">
        <v>57.5</v>
      </c>
      <c r="AW68" s="2" t="n">
        <v>11.2</v>
      </c>
      <c r="AX68" s="2" t="inlineStr">
        <is>
          <t>NA</t>
        </is>
      </c>
      <c r="AY68" s="2" t="n">
        <v>24.8</v>
      </c>
      <c r="AZ68" s="2" t="n">
        <v>6.7</v>
      </c>
      <c r="BA68" s="2" t="inlineStr">
        <is>
          <t>NA</t>
        </is>
      </c>
      <c r="BB68" s="2" t="inlineStr">
        <is>
          <t>NA</t>
        </is>
      </c>
      <c r="BD68" s="2" t="n">
        <v>140</v>
      </c>
      <c r="BE68" s="2" t="n">
        <v>52.2</v>
      </c>
      <c r="BH68" s="2" t="n">
        <v>321.6</v>
      </c>
      <c r="BK68" s="2" t="n">
        <v>134.9</v>
      </c>
      <c r="BL68" s="2" t="n">
        <v>13.6</v>
      </c>
      <c r="BM68" s="2" t="n">
        <v>470</v>
      </c>
      <c r="BN68" s="2" t="n">
        <v>277.3</v>
      </c>
      <c r="BQ68" s="2" t="n">
        <v>59.7</v>
      </c>
      <c r="BR68" s="2" t="n">
        <v>3.5</v>
      </c>
      <c r="BS68" s="2" t="n">
        <v>340.5</v>
      </c>
      <c r="BT68" s="2" t="n">
        <v>78</v>
      </c>
      <c r="BU68" s="2" t="n">
        <v>37.1</v>
      </c>
      <c r="BV68" s="2" t="n">
        <v>325.6</v>
      </c>
      <c r="BW68" s="2" t="n">
        <v>134.4</v>
      </c>
      <c r="BX68" s="2" t="n">
        <v>467.7</v>
      </c>
      <c r="BY68" s="2" t="n">
        <v>77</v>
      </c>
      <c r="BZ68" s="2" t="n">
        <v>13.9</v>
      </c>
      <c r="CA68" s="2" t="n">
        <v>90.90000000000001</v>
      </c>
      <c r="CF68" s="2" t="n">
        <v>121.4</v>
      </c>
      <c r="CG68" s="2" t="n">
        <v>117.3</v>
      </c>
      <c r="CH68" s="2" t="n">
        <v>18.3</v>
      </c>
      <c r="CN68" s="2" t="n">
        <v>46</v>
      </c>
      <c r="CO68" s="2" t="n">
        <v>81.3</v>
      </c>
      <c r="CP68" s="2" t="n">
        <v>54.5</v>
      </c>
      <c r="CQ68" s="2" t="n">
        <v>26.8</v>
      </c>
      <c r="CR68" s="2" t="inlineStr">
        <is>
          <t>NA</t>
        </is>
      </c>
      <c r="CS68" s="2" t="n">
        <v>30.1</v>
      </c>
      <c r="CT68" s="2" t="n">
        <v>19.4</v>
      </c>
      <c r="CU68" s="2" t="n">
        <v>10.7</v>
      </c>
      <c r="CV68" s="2" t="n">
        <v>56.09999999999999</v>
      </c>
      <c r="CW68" s="2" t="n">
        <v>19.8</v>
      </c>
      <c r="CX68" s="2" t="n">
        <v>36.3</v>
      </c>
      <c r="CY68" s="2" t="inlineStr">
        <is>
          <t>NA</t>
        </is>
      </c>
      <c r="CZ68" s="2" t="n">
        <v>33.4</v>
      </c>
      <c r="DA68" s="2" t="n">
        <v>18.1</v>
      </c>
      <c r="DB68" s="2" t="inlineStr">
        <is>
          <t>NA</t>
        </is>
      </c>
      <c r="DC68" s="2" t="inlineStr">
        <is>
          <t>NA</t>
        </is>
      </c>
      <c r="DG68" s="2" t="n">
        <v>112.9</v>
      </c>
      <c r="DH68" s="2" t="n">
        <v>121.4</v>
      </c>
      <c r="DI68" s="2" t="n">
        <v>547.2</v>
      </c>
      <c r="DK68" s="2" t="n">
        <v>369.5</v>
      </c>
      <c r="DM68" s="2" t="n">
        <v>183.5</v>
      </c>
      <c r="DO68" s="2" t="n">
        <v>126.9</v>
      </c>
      <c r="DQ68" s="2" t="n">
        <v>71.09999999999999</v>
      </c>
      <c r="DS68" s="2" t="n">
        <v>1036.6</v>
      </c>
      <c r="DT68" s="2" t="n">
        <v>2569.1</v>
      </c>
      <c r="DU68" s="2" t="n">
        <v>-234.2999999999997</v>
      </c>
      <c r="DV68" s="2" t="n">
        <v>0</v>
      </c>
      <c r="GZ68" s="2" t="n">
        <v>835.5</v>
      </c>
      <c r="IN68" s="2" t="n">
        <v>101.9</v>
      </c>
      <c r="IY68" s="2" t="n">
        <v>47.2601300066171</v>
      </c>
      <c r="IZ68" s="2" t="n">
        <v>0.160130006617095</v>
      </c>
      <c r="JB68" s="2" t="n">
        <v>11.04667004009186</v>
      </c>
      <c r="JC68" s="2" t="n">
        <v>-0.05332995990813849</v>
      </c>
      <c r="JE68" s="2" t="n">
        <v>715.6</v>
      </c>
      <c r="JF68" s="2" t="n">
        <v>0.2757126886528787</v>
      </c>
    </row>
    <row r="69">
      <c r="A69" s="1" t="n">
        <v>31138</v>
      </c>
      <c r="B69" s="2" t="n">
        <v>2497.4</v>
      </c>
      <c r="C69" s="2" t="n">
        <v>1955.3</v>
      </c>
      <c r="D69" s="2" t="n">
        <v>316.1</v>
      </c>
      <c r="E69" s="2" t="n">
        <v>1064.1</v>
      </c>
      <c r="F69" s="2" t="n">
        <v>18.8</v>
      </c>
      <c r="G69" s="2" t="n">
        <v>62.3</v>
      </c>
      <c r="H69" s="2" t="inlineStr">
        <is>
          <t>NA</t>
        </is>
      </c>
      <c r="I69" s="2" t="inlineStr">
        <is>
          <t>NA</t>
        </is>
      </c>
      <c r="J69" s="2" t="inlineStr">
        <is>
          <t>NA</t>
        </is>
      </c>
      <c r="K69" s="2" t="n">
        <v>917.6</v>
      </c>
      <c r="L69" s="2" t="n">
        <v>665.9000000000001</v>
      </c>
      <c r="M69" s="2" t="n">
        <v>348.6</v>
      </c>
      <c r="N69" s="2" t="n">
        <v>317.3</v>
      </c>
      <c r="O69" s="2" t="n">
        <v>96.3</v>
      </c>
      <c r="P69" s="2" t="n">
        <v>114.7</v>
      </c>
      <c r="Q69" s="2" t="n">
        <v>43</v>
      </c>
      <c r="R69" s="2" t="n">
        <v>71.7</v>
      </c>
      <c r="T69" s="2" t="n">
        <v>15.5</v>
      </c>
      <c r="U69" s="2" t="n">
        <v>11.4</v>
      </c>
      <c r="V69" s="2" t="n">
        <v>8.4</v>
      </c>
      <c r="W69" s="2" t="n">
        <v>3</v>
      </c>
      <c r="X69" s="2" t="n">
        <v>45.9</v>
      </c>
      <c r="Y69" s="2" t="n">
        <v>6.3</v>
      </c>
      <c r="Z69" s="2" t="n">
        <v>61.1</v>
      </c>
      <c r="AA69" s="2" t="inlineStr">
        <is>
          <t>NA</t>
        </is>
      </c>
      <c r="AB69" s="2" t="inlineStr">
        <is>
          <t>NA</t>
        </is>
      </c>
      <c r="AC69" s="2" t="inlineStr">
        <is>
          <t>NA</t>
        </is>
      </c>
      <c r="AD69" s="2" t="inlineStr">
        <is>
          <t>NA</t>
        </is>
      </c>
      <c r="AG69" s="2" t="inlineStr">
        <is>
          <t>NA</t>
        </is>
      </c>
      <c r="AH69" s="2" t="inlineStr">
        <is>
          <t>NA</t>
        </is>
      </c>
      <c r="AI69" s="2" t="n">
        <v>107</v>
      </c>
      <c r="AL69" s="2" t="n">
        <v>73</v>
      </c>
      <c r="AM69" s="2" t="n">
        <v>35.9</v>
      </c>
      <c r="AN69" s="2" t="n">
        <v>37.1</v>
      </c>
      <c r="AO69" s="2" t="n">
        <v>1876.6</v>
      </c>
      <c r="AP69" s="2" t="n">
        <v>402.7</v>
      </c>
      <c r="AQ69" s="2" t="n">
        <v>81.59999999999999</v>
      </c>
      <c r="AR69" s="2" t="n">
        <v>27.1</v>
      </c>
      <c r="AS69" s="2" t="n">
        <v>145</v>
      </c>
      <c r="AT69" s="2" t="n">
        <v>157.7</v>
      </c>
      <c r="AU69" s="2" t="n">
        <v>84.5</v>
      </c>
      <c r="AV69" s="2" t="n">
        <v>53.3</v>
      </c>
      <c r="AW69" s="2" t="n">
        <v>10.7</v>
      </c>
      <c r="AX69" s="2" t="n">
        <v>9.800000000000001</v>
      </c>
      <c r="AY69" s="2" t="n">
        <v>32</v>
      </c>
      <c r="AZ69" s="2" t="n">
        <v>8.199999999999999</v>
      </c>
      <c r="BA69" s="2" t="inlineStr">
        <is>
          <t>NA</t>
        </is>
      </c>
      <c r="BB69" s="2" t="inlineStr">
        <is>
          <t>NA</t>
        </is>
      </c>
      <c r="BD69" s="2" t="n">
        <v>141.5</v>
      </c>
      <c r="BE69" s="2" t="n">
        <v>61.7</v>
      </c>
      <c r="BH69" s="2" t="n">
        <v>318.9</v>
      </c>
      <c r="BK69" s="2" t="n">
        <v>144</v>
      </c>
      <c r="BL69" s="2" t="n">
        <v>13.9</v>
      </c>
      <c r="BM69" s="2" t="n">
        <v>476.8</v>
      </c>
      <c r="BN69" s="2" t="n">
        <v>275.3</v>
      </c>
      <c r="BQ69" s="2" t="n">
        <v>64.09999999999999</v>
      </c>
      <c r="BR69" s="2" t="n">
        <v>4.1</v>
      </c>
      <c r="BS69" s="2" t="n">
        <v>343.5</v>
      </c>
      <c r="BT69" s="2" t="n">
        <v>81</v>
      </c>
      <c r="BU69" s="2" t="n">
        <v>42</v>
      </c>
      <c r="BV69" s="2" t="n">
        <v>336.6</v>
      </c>
      <c r="BW69" s="2" t="n">
        <v>130.1</v>
      </c>
      <c r="BX69" s="2" t="n">
        <v>474.5</v>
      </c>
      <c r="BY69" s="2" t="n">
        <v>88</v>
      </c>
      <c r="BZ69" s="2" t="n">
        <v>13.8</v>
      </c>
      <c r="CA69" s="2" t="n">
        <v>101.8</v>
      </c>
      <c r="CF69" s="2" t="n">
        <v>116.4</v>
      </c>
      <c r="CG69" s="2" t="n">
        <v>126.4</v>
      </c>
      <c r="CH69" s="2" t="n">
        <v>21.9</v>
      </c>
      <c r="CN69" s="2" t="n">
        <v>42.7</v>
      </c>
      <c r="CO69" s="2" t="n">
        <v>74.90000000000001</v>
      </c>
      <c r="CP69" s="2" t="n">
        <v>50.8</v>
      </c>
      <c r="CQ69" s="2" t="n">
        <v>24.1</v>
      </c>
      <c r="CR69" s="2" t="n">
        <v>21.2</v>
      </c>
      <c r="CS69" s="2" t="n">
        <v>35.1</v>
      </c>
      <c r="CT69" s="2" t="n">
        <v>25.6</v>
      </c>
      <c r="CU69" s="2" t="n">
        <v>9.5</v>
      </c>
      <c r="CV69" s="2" t="n">
        <v>51.5</v>
      </c>
      <c r="CW69" s="2" t="n">
        <v>12.4</v>
      </c>
      <c r="CX69" s="2" t="n">
        <v>39.1</v>
      </c>
      <c r="CY69" s="2" t="inlineStr">
        <is>
          <t>NA</t>
        </is>
      </c>
      <c r="CZ69" s="2" t="n">
        <v>33.6</v>
      </c>
      <c r="DA69" s="2" t="n">
        <v>20.9</v>
      </c>
      <c r="DB69" s="2" t="n">
        <v>19.4</v>
      </c>
      <c r="DC69" s="2" t="n">
        <v>1.5</v>
      </c>
      <c r="DG69" s="2" t="n">
        <v>116.5</v>
      </c>
      <c r="DH69" s="2" t="n">
        <v>82</v>
      </c>
      <c r="DI69" s="2" t="n">
        <v>510.8</v>
      </c>
      <c r="DK69" s="2" t="n">
        <v>366.1</v>
      </c>
      <c r="DM69" s="2" t="n">
        <v>181.6</v>
      </c>
      <c r="DO69" s="2" t="n">
        <v>98.2</v>
      </c>
      <c r="DQ69" s="2" t="n">
        <v>76.7</v>
      </c>
      <c r="DS69" s="2" t="n">
        <v>1065.5</v>
      </c>
      <c r="DT69" s="2" t="n">
        <v>2497.4</v>
      </c>
      <c r="DU69" s="2" t="n">
        <v>-198.5</v>
      </c>
      <c r="DV69" s="2" t="n">
        <v>0</v>
      </c>
      <c r="GZ69" s="2" t="n">
        <v>865</v>
      </c>
      <c r="IN69" s="2" t="n">
        <v>93.3</v>
      </c>
      <c r="IY69" s="2" t="n">
        <v>47.04572755665892</v>
      </c>
      <c r="IZ69" s="2" t="n">
        <v>-0.05427244334108394</v>
      </c>
      <c r="JB69" s="2" t="n">
        <v>11.02266357011292</v>
      </c>
      <c r="JC69" s="2" t="n">
        <v>-0.07733642988708311</v>
      </c>
      <c r="JE69" s="2" t="n">
        <v>665.9000000000001</v>
      </c>
      <c r="JF69" s="2" t="n">
        <v>0.2515392701606848</v>
      </c>
    </row>
    <row r="70">
      <c r="A70" s="1" t="n">
        <v>31168</v>
      </c>
      <c r="B70" s="2" t="n">
        <v>2679.6</v>
      </c>
      <c r="C70" s="2" t="n">
        <v>1601.9</v>
      </c>
      <c r="D70" s="2" t="n">
        <v>279.5</v>
      </c>
      <c r="E70" s="2" t="n">
        <v>785</v>
      </c>
      <c r="F70" s="2" t="n">
        <v>16.7</v>
      </c>
      <c r="G70" s="2" t="n">
        <v>46.3</v>
      </c>
      <c r="H70" s="2" t="n">
        <v>11</v>
      </c>
      <c r="I70" s="2" t="inlineStr">
        <is>
          <t>NA</t>
        </is>
      </c>
      <c r="J70" s="2" t="inlineStr">
        <is>
          <t>NA</t>
        </is>
      </c>
      <c r="K70" s="2" t="n">
        <v>983.3</v>
      </c>
      <c r="L70" s="2" t="n">
        <v>706.7</v>
      </c>
      <c r="M70" s="2" t="n">
        <v>414.5</v>
      </c>
      <c r="N70" s="2" t="n">
        <v>292.2</v>
      </c>
      <c r="O70" s="2" t="n">
        <v>87</v>
      </c>
      <c r="P70" s="2" t="n">
        <v>107.7</v>
      </c>
      <c r="Q70" s="2" t="n">
        <v>39.7</v>
      </c>
      <c r="R70" s="2" t="n">
        <v>68</v>
      </c>
      <c r="T70" s="2" t="n">
        <v>14.5</v>
      </c>
      <c r="U70" s="2" t="n">
        <v>17.5</v>
      </c>
      <c r="V70" s="2" t="n">
        <v>12.2</v>
      </c>
      <c r="W70" s="2" t="n">
        <v>5.3</v>
      </c>
      <c r="X70" s="2" t="n">
        <v>34.9</v>
      </c>
      <c r="Y70" s="2" t="n">
        <v>11</v>
      </c>
      <c r="Z70" s="2" t="n">
        <v>57</v>
      </c>
      <c r="AA70" s="2" t="inlineStr">
        <is>
          <t>NA</t>
        </is>
      </c>
      <c r="AB70" s="2" t="inlineStr">
        <is>
          <t>NA</t>
        </is>
      </c>
      <c r="AC70" s="2" t="inlineStr">
        <is>
          <t>NA</t>
        </is>
      </c>
      <c r="AD70" s="2" t="inlineStr">
        <is>
          <t>NA</t>
        </is>
      </c>
      <c r="AG70" s="2" t="inlineStr">
        <is>
          <t>NA</t>
        </is>
      </c>
      <c r="AH70" s="2" t="inlineStr">
        <is>
          <t>NA</t>
        </is>
      </c>
      <c r="AI70" s="2" t="n">
        <v>110.1</v>
      </c>
      <c r="AL70" s="2" t="n">
        <v>78.69999999999999</v>
      </c>
      <c r="AM70" s="2" t="n">
        <v>31.9</v>
      </c>
      <c r="AN70" s="2" t="n">
        <v>46.8</v>
      </c>
      <c r="AO70" s="2" t="n">
        <v>2012.4</v>
      </c>
      <c r="AP70" s="2" t="n">
        <v>465.4</v>
      </c>
      <c r="AQ70" s="2" t="n">
        <v>88.5</v>
      </c>
      <c r="AR70" s="2" t="n">
        <v>30.4</v>
      </c>
      <c r="AS70" s="2" t="n">
        <v>128.8</v>
      </c>
      <c r="AT70" s="2" t="n">
        <v>171.7</v>
      </c>
      <c r="AU70" s="2" t="n">
        <v>73</v>
      </c>
      <c r="AV70" s="2" t="n">
        <v>54.9</v>
      </c>
      <c r="AW70" s="2" t="n">
        <v>9.199999999999999</v>
      </c>
      <c r="AX70" s="2" t="n">
        <v>10.5</v>
      </c>
      <c r="AY70" s="2" t="n">
        <v>26.3</v>
      </c>
      <c r="AZ70" s="2" t="n">
        <v>6.4</v>
      </c>
      <c r="BA70" s="2" t="inlineStr">
        <is>
          <t>NA</t>
        </is>
      </c>
      <c r="BB70" s="2" t="inlineStr">
        <is>
          <t>NA</t>
        </is>
      </c>
      <c r="BD70" s="2" t="n">
        <v>133</v>
      </c>
      <c r="BE70" s="2" t="n">
        <v>65.2</v>
      </c>
      <c r="BH70" s="2" t="n">
        <v>349.9</v>
      </c>
      <c r="BK70" s="2" t="n">
        <v>147.4</v>
      </c>
      <c r="BL70" s="2" t="n">
        <v>14.8</v>
      </c>
      <c r="BM70" s="2" t="n">
        <v>512.2</v>
      </c>
      <c r="BN70" s="2" t="n">
        <v>328.4</v>
      </c>
      <c r="BQ70" s="2" t="n">
        <v>59.9</v>
      </c>
      <c r="BR70" s="2" t="n">
        <v>4.5</v>
      </c>
      <c r="BS70" s="2" t="n">
        <v>392.8</v>
      </c>
      <c r="BT70" s="2" t="n">
        <v>83</v>
      </c>
      <c r="BU70" s="2" t="n">
        <v>43.1</v>
      </c>
      <c r="BV70" s="2" t="n">
        <v>357.8</v>
      </c>
      <c r="BW70" s="2" t="n">
        <v>139.1</v>
      </c>
      <c r="BX70" s="2" t="n">
        <v>505.1</v>
      </c>
      <c r="BY70" s="2" t="n">
        <v>81.40000000000001</v>
      </c>
      <c r="BZ70" s="2" t="n">
        <v>15</v>
      </c>
      <c r="CA70" s="2" t="n">
        <v>96.40000000000001</v>
      </c>
      <c r="CF70" s="2" t="n">
        <v>108.4</v>
      </c>
      <c r="CG70" s="2" t="n">
        <v>113.8</v>
      </c>
      <c r="CH70" s="2" t="n">
        <v>22.9</v>
      </c>
      <c r="CN70" s="2" t="n">
        <v>50.8</v>
      </c>
      <c r="CO70" s="2" t="n">
        <v>85.90000000000001</v>
      </c>
      <c r="CP70" s="2" t="n">
        <v>57.9</v>
      </c>
      <c r="CQ70" s="2" t="n">
        <v>28</v>
      </c>
      <c r="CR70" s="2" t="n">
        <v>18.2</v>
      </c>
      <c r="CS70" s="2" t="n">
        <v>33.40000000000001</v>
      </c>
      <c r="CT70" s="2" t="n">
        <v>22.1</v>
      </c>
      <c r="CU70" s="2" t="n">
        <v>11.3</v>
      </c>
      <c r="CV70" s="2" t="n">
        <v>65.59999999999999</v>
      </c>
      <c r="CW70" s="2" t="n">
        <v>22.2</v>
      </c>
      <c r="CX70" s="2" t="n">
        <v>43.4</v>
      </c>
      <c r="CY70" s="2" t="inlineStr">
        <is>
          <t>NA</t>
        </is>
      </c>
      <c r="CZ70" s="2" t="n">
        <v>37.7</v>
      </c>
      <c r="DA70" s="2" t="n">
        <v>17.3</v>
      </c>
      <c r="DB70" s="2" t="n">
        <v>16</v>
      </c>
      <c r="DC70" s="2" t="n">
        <v>1.3</v>
      </c>
      <c r="DG70" s="2" t="n">
        <v>120.3</v>
      </c>
      <c r="DH70" s="2" t="n">
        <v>107.4</v>
      </c>
      <c r="DI70" s="2" t="n">
        <v>562.7</v>
      </c>
      <c r="DK70" s="2" t="n">
        <v>397.1</v>
      </c>
      <c r="DM70" s="2" t="n">
        <v>197.5</v>
      </c>
      <c r="DO70" s="2" t="n">
        <v>141.5</v>
      </c>
      <c r="DQ70" s="2" t="n">
        <v>75</v>
      </c>
      <c r="DS70" s="2" t="n">
        <v>1078.1</v>
      </c>
      <c r="DT70" s="2" t="n">
        <v>2679.6</v>
      </c>
      <c r="DU70" s="2" t="n">
        <v>-227.6999999999998</v>
      </c>
      <c r="DV70" s="2" t="n">
        <v>0</v>
      </c>
      <c r="GZ70" s="2" t="n">
        <v>899.5</v>
      </c>
      <c r="IN70" s="2" t="n">
        <v>95.40000000000001</v>
      </c>
      <c r="IY70" s="2" t="n">
        <v>47.04209583519929</v>
      </c>
      <c r="IZ70" s="2" t="n">
        <v>-0.2579041648007063</v>
      </c>
      <c r="JB70" s="2" t="n">
        <v>11.00873264666368</v>
      </c>
      <c r="JC70" s="2" t="n">
        <v>0.00873264666368101</v>
      </c>
      <c r="JE70" s="2" t="n">
        <v>706.7</v>
      </c>
      <c r="JF70" s="2" t="n">
        <v>0.2517334088014716</v>
      </c>
    </row>
    <row r="71">
      <c r="A71" s="1" t="n">
        <v>31199</v>
      </c>
      <c r="B71" s="2" t="n">
        <v>2481.8</v>
      </c>
      <c r="C71" s="2" t="n">
        <v>1428</v>
      </c>
      <c r="D71" s="2" t="n">
        <v>219.6</v>
      </c>
      <c r="E71" s="2" t="n">
        <v>577.3</v>
      </c>
      <c r="F71" s="2" t="n">
        <v>14.9</v>
      </c>
      <c r="G71" s="2" t="n">
        <v>36</v>
      </c>
      <c r="H71" s="2" t="n">
        <v>15.3</v>
      </c>
      <c r="I71" s="2" t="inlineStr">
        <is>
          <t>NA</t>
        </is>
      </c>
      <c r="J71" s="2" t="inlineStr">
        <is>
          <t>NA</t>
        </is>
      </c>
      <c r="K71" s="2" t="n">
        <v>918.9</v>
      </c>
      <c r="L71" s="2" t="n">
        <v>732</v>
      </c>
      <c r="M71" s="2" t="n">
        <v>444.9</v>
      </c>
      <c r="N71" s="2" t="n">
        <v>287.1</v>
      </c>
      <c r="O71" s="2" t="n">
        <v>67.8</v>
      </c>
      <c r="P71" s="2" t="n">
        <v>105.9</v>
      </c>
      <c r="Q71" s="2" t="n">
        <v>34.1</v>
      </c>
      <c r="R71" s="2" t="n">
        <v>71.8</v>
      </c>
      <c r="T71" s="2" t="n">
        <v>12.4</v>
      </c>
      <c r="U71" s="2" t="n">
        <v>24.4</v>
      </c>
      <c r="V71" s="2" t="n">
        <v>18.8</v>
      </c>
      <c r="W71" s="2" t="n">
        <v>5.6</v>
      </c>
      <c r="X71" s="2" t="n">
        <v>26.8</v>
      </c>
      <c r="Y71" s="2" t="n">
        <v>7.5</v>
      </c>
      <c r="Z71" s="2" t="n">
        <v>51.7</v>
      </c>
      <c r="AA71" s="2" t="inlineStr">
        <is>
          <t>NA</t>
        </is>
      </c>
      <c r="AB71" s="2" t="inlineStr">
        <is>
          <t>NA</t>
        </is>
      </c>
      <c r="AC71" s="2" t="inlineStr">
        <is>
          <t>NA</t>
        </is>
      </c>
      <c r="AD71" s="2" t="inlineStr">
        <is>
          <t>NA</t>
        </is>
      </c>
      <c r="AG71" s="2" t="inlineStr">
        <is>
          <t>NA</t>
        </is>
      </c>
      <c r="AH71" s="2" t="inlineStr">
        <is>
          <t>NA</t>
        </is>
      </c>
      <c r="AI71" s="2" t="n">
        <v>107.7</v>
      </c>
      <c r="AL71" s="2" t="n">
        <v>76.5</v>
      </c>
      <c r="AM71" s="2" t="n">
        <v>39.3</v>
      </c>
      <c r="AN71" s="2" t="n">
        <v>37.2</v>
      </c>
      <c r="AO71" s="2" t="n">
        <v>1867.5</v>
      </c>
      <c r="AP71" s="2" t="n">
        <v>541.9</v>
      </c>
      <c r="AQ71" s="2" t="n">
        <v>85.2</v>
      </c>
      <c r="AR71" s="2" t="n">
        <v>27.7</v>
      </c>
      <c r="AS71" s="2" t="n">
        <v>99.09999999999999</v>
      </c>
      <c r="AT71" s="2" t="n">
        <v>158.9</v>
      </c>
      <c r="AU71" s="2" t="n">
        <v>59.5</v>
      </c>
      <c r="AV71" s="2" t="n">
        <v>42</v>
      </c>
      <c r="AW71" s="2" t="n">
        <v>8.4</v>
      </c>
      <c r="AX71" s="2" t="n">
        <v>16.4</v>
      </c>
      <c r="AY71" s="2" t="n">
        <v>18.8</v>
      </c>
      <c r="AZ71" s="2" t="n">
        <v>4.2</v>
      </c>
      <c r="BA71" s="2" t="inlineStr">
        <is>
          <t>NA</t>
        </is>
      </c>
      <c r="BB71" s="2" t="inlineStr">
        <is>
          <t>NA</t>
        </is>
      </c>
      <c r="BD71" s="2" t="n">
        <v>140.3</v>
      </c>
      <c r="BE71" s="2" t="n">
        <v>70.2</v>
      </c>
      <c r="BH71" s="2" t="n">
        <v>319.6</v>
      </c>
      <c r="BK71" s="2" t="n">
        <v>143.6</v>
      </c>
      <c r="BL71" s="2" t="n">
        <v>15.3</v>
      </c>
      <c r="BM71" s="2" t="n">
        <v>478.6</v>
      </c>
      <c r="BN71" s="2" t="n">
        <v>355.4</v>
      </c>
      <c r="BQ71" s="2" t="n">
        <v>67.7</v>
      </c>
      <c r="BR71" s="2" t="n">
        <v>4.7</v>
      </c>
      <c r="BS71" s="2" t="n">
        <v>427.8</v>
      </c>
      <c r="BT71" s="2" t="n">
        <v>70</v>
      </c>
      <c r="BU71" s="2" t="n">
        <v>47.3</v>
      </c>
      <c r="BV71" s="2" t="n">
        <v>327.3</v>
      </c>
      <c r="BW71" s="2" t="n">
        <v>125.3</v>
      </c>
      <c r="BX71" s="2" t="n">
        <v>460</v>
      </c>
      <c r="BY71" s="2" t="n">
        <v>72.90000000000001</v>
      </c>
      <c r="BZ71" s="2" t="n">
        <v>12.1</v>
      </c>
      <c r="CA71" s="2" t="n">
        <v>85</v>
      </c>
      <c r="CF71" s="2" t="n">
        <v>112.1</v>
      </c>
      <c r="CG71" s="2" t="n">
        <v>121.1</v>
      </c>
      <c r="CH71" s="2" t="n">
        <v>23.8</v>
      </c>
      <c r="CN71" s="2" t="n">
        <v>40.4</v>
      </c>
      <c r="CO71" s="2" t="n">
        <v>116</v>
      </c>
      <c r="CP71" s="2" t="n">
        <v>84.40000000000001</v>
      </c>
      <c r="CQ71" s="2" t="n">
        <v>31.6</v>
      </c>
      <c r="CR71" s="2" t="inlineStr">
        <is>
          <t>NA</t>
        </is>
      </c>
      <c r="CS71" s="2" t="n">
        <v>32.7</v>
      </c>
      <c r="CT71" s="2" t="n">
        <v>21.2</v>
      </c>
      <c r="CU71" s="2" t="n">
        <v>11.5</v>
      </c>
      <c r="CV71" s="2" t="n">
        <v>63.40000000000001</v>
      </c>
      <c r="CW71" s="2" t="n">
        <v>22.7</v>
      </c>
      <c r="CX71" s="2" t="n">
        <v>40.7</v>
      </c>
      <c r="CY71" s="2" t="inlineStr">
        <is>
          <t>NA</t>
        </is>
      </c>
      <c r="CZ71" s="2" t="n">
        <v>26.9</v>
      </c>
      <c r="DA71" s="2" t="n">
        <v>16.3</v>
      </c>
      <c r="DB71" s="2" t="n">
        <v>15.3</v>
      </c>
      <c r="DC71" s="2" t="n">
        <v>1</v>
      </c>
      <c r="DG71" s="2" t="n">
        <v>119.6</v>
      </c>
      <c r="DI71" s="2" t="n">
        <v>537.6</v>
      </c>
      <c r="DJ71" s="2" t="n">
        <v>140.6</v>
      </c>
      <c r="DK71" s="2" t="n">
        <v>368.7</v>
      </c>
      <c r="DM71" s="2" t="n">
        <v>199.1</v>
      </c>
      <c r="DO71" s="2" t="n">
        <v>128.6</v>
      </c>
      <c r="DQ71" s="2" t="n">
        <v>81.8</v>
      </c>
      <c r="DS71" s="2" t="n">
        <v>905.8</v>
      </c>
      <c r="DT71" s="2" t="n">
        <v>2481.8</v>
      </c>
      <c r="DU71" s="2" t="n">
        <v>-119.6000000000004</v>
      </c>
      <c r="DV71" s="2" t="n">
        <v>0</v>
      </c>
      <c r="GZ71" s="2" t="n">
        <v>773.1</v>
      </c>
      <c r="IN71" s="2" t="n">
        <v>74.59999999999999</v>
      </c>
      <c r="IY71" s="2" t="n">
        <v>47.20847771778548</v>
      </c>
      <c r="IZ71" s="2" t="n">
        <v>0.008477717785474681</v>
      </c>
      <c r="JB71" s="2" t="n">
        <v>11.10766379240873</v>
      </c>
      <c r="JC71" s="2" t="n">
        <v>0.1076637924087347</v>
      </c>
      <c r="JE71" s="2" t="n">
        <v>732</v>
      </c>
      <c r="JF71" s="2" t="n">
        <v>0.2525956284153005</v>
      </c>
    </row>
    <row r="72">
      <c r="A72" s="1" t="n">
        <v>31229</v>
      </c>
      <c r="B72" s="2" t="n">
        <v>2459</v>
      </c>
      <c r="C72" s="2" t="n">
        <v>1080.9</v>
      </c>
      <c r="D72" s="2" t="n">
        <v>191.3</v>
      </c>
      <c r="E72" s="2" t="n">
        <v>405.9</v>
      </c>
      <c r="F72" s="2" t="n">
        <v>12.8</v>
      </c>
      <c r="G72" s="2" t="n">
        <v>50.6</v>
      </c>
      <c r="H72" s="2" t="inlineStr">
        <is>
          <t>NA</t>
        </is>
      </c>
      <c r="I72" s="2" t="inlineStr">
        <is>
          <t>NA</t>
        </is>
      </c>
      <c r="J72" s="2" t="inlineStr">
        <is>
          <t>NA</t>
        </is>
      </c>
      <c r="K72" s="2" t="n">
        <v>912.6</v>
      </c>
      <c r="L72" s="2" t="n">
        <v>724.2</v>
      </c>
      <c r="M72" s="2" t="n">
        <v>461</v>
      </c>
      <c r="N72" s="2" t="n">
        <v>263.2</v>
      </c>
      <c r="O72" s="2" t="n">
        <v>62.9</v>
      </c>
      <c r="P72" s="2" t="n">
        <v>124.4</v>
      </c>
      <c r="Q72" s="2" t="n">
        <v>29.4</v>
      </c>
      <c r="R72" s="2" t="n">
        <v>95</v>
      </c>
      <c r="T72" s="2" t="n">
        <v>10.4</v>
      </c>
      <c r="U72" s="2" t="n">
        <v>17.7</v>
      </c>
      <c r="V72" s="2" t="n">
        <v>12.6</v>
      </c>
      <c r="W72" s="2" t="n">
        <v>5.1</v>
      </c>
      <c r="X72" s="2" t="n">
        <v>36.7</v>
      </c>
      <c r="Y72" s="2" t="inlineStr">
        <is>
          <t>NA</t>
        </is>
      </c>
      <c r="Z72" s="2" t="n">
        <v>76.5</v>
      </c>
      <c r="AA72" s="2" t="n">
        <v>59.5</v>
      </c>
      <c r="AB72" s="2" t="n">
        <v>17</v>
      </c>
      <c r="AC72" s="2" t="inlineStr">
        <is>
          <t>NA</t>
        </is>
      </c>
      <c r="AD72" s="2" t="inlineStr">
        <is>
          <t>NA</t>
        </is>
      </c>
      <c r="AG72" s="2" t="inlineStr">
        <is>
          <t>NA</t>
        </is>
      </c>
      <c r="AH72" s="2" t="inlineStr">
        <is>
          <t>NA</t>
        </is>
      </c>
      <c r="AI72" s="2" t="n">
        <v>130.1</v>
      </c>
      <c r="AL72" s="2" t="n">
        <v>67.59999999999999</v>
      </c>
      <c r="AM72" s="2" t="n">
        <v>30.9</v>
      </c>
      <c r="AN72" s="2" t="n">
        <v>36.7</v>
      </c>
      <c r="AO72" s="2" t="n">
        <v>1844.8</v>
      </c>
      <c r="AP72" s="2" t="n">
        <v>533.6</v>
      </c>
      <c r="AQ72" s="2" t="n">
        <v>89.2</v>
      </c>
      <c r="AR72" s="2" t="n">
        <v>28.9</v>
      </c>
      <c r="AS72" s="2" t="n">
        <v>86.2</v>
      </c>
      <c r="AT72" s="2" t="n">
        <v>134.5</v>
      </c>
      <c r="AU72" s="2" t="n">
        <v>55.6</v>
      </c>
      <c r="AV72" s="2" t="n">
        <v>40.2</v>
      </c>
      <c r="AW72" s="2" t="n">
        <v>7.3</v>
      </c>
      <c r="AX72" s="2" t="inlineStr">
        <is>
          <t>NA</t>
        </is>
      </c>
      <c r="AY72" s="2" t="n">
        <v>27.5</v>
      </c>
      <c r="AZ72" s="2" t="n">
        <v>10.5</v>
      </c>
      <c r="BA72" s="2" t="inlineStr">
        <is>
          <t>NA</t>
        </is>
      </c>
      <c r="BB72" s="2" t="inlineStr">
        <is>
          <t>NA</t>
        </is>
      </c>
      <c r="BD72" s="2" t="n">
        <v>140</v>
      </c>
      <c r="BE72" s="2" t="n">
        <v>68.7</v>
      </c>
      <c r="BH72" s="2" t="n">
        <v>335.2</v>
      </c>
      <c r="BK72" s="2" t="n">
        <v>164.9</v>
      </c>
      <c r="BL72" s="2" t="n">
        <v>18.2</v>
      </c>
      <c r="BM72" s="2" t="n">
        <v>517.4</v>
      </c>
      <c r="BN72" s="2" t="n">
        <v>361.3</v>
      </c>
      <c r="BQ72" s="2" t="n">
        <v>75</v>
      </c>
      <c r="BR72" s="2" t="n">
        <v>5.2</v>
      </c>
      <c r="BS72" s="2" t="n">
        <v>441.5</v>
      </c>
      <c r="BT72" s="2" t="n">
        <v>72</v>
      </c>
      <c r="BU72" s="2" t="n">
        <v>42.2</v>
      </c>
      <c r="BV72" s="2" t="n">
        <v>354.1</v>
      </c>
      <c r="BW72" s="2" t="n">
        <v>129.4</v>
      </c>
      <c r="BX72" s="2" t="n">
        <v>491.4</v>
      </c>
      <c r="BY72" s="2" t="n">
        <v>68.5</v>
      </c>
      <c r="BZ72" s="2" t="n">
        <v>12.3</v>
      </c>
      <c r="CA72" s="2" t="n">
        <v>80.8</v>
      </c>
      <c r="CF72" s="2" t="n">
        <v>117.1</v>
      </c>
      <c r="CG72" s="2" t="n">
        <v>141.8</v>
      </c>
      <c r="CH72" s="2" t="n">
        <v>25.9</v>
      </c>
      <c r="CN72" s="2" t="n">
        <v>49.9</v>
      </c>
      <c r="CO72" s="2" t="n">
        <v>121.7</v>
      </c>
      <c r="CP72" s="2" t="n">
        <v>94.7</v>
      </c>
      <c r="CQ72" s="2" t="n">
        <v>27</v>
      </c>
      <c r="CR72" s="2" t="n">
        <v>20.5</v>
      </c>
      <c r="CS72" s="2" t="n">
        <v>36.9</v>
      </c>
      <c r="CT72" s="2" t="n">
        <v>25.2</v>
      </c>
      <c r="CU72" s="2" t="n">
        <v>11.7</v>
      </c>
      <c r="CV72" s="2" t="n">
        <v>79.40000000000001</v>
      </c>
      <c r="CW72" s="2" t="n">
        <v>25.6</v>
      </c>
      <c r="CX72" s="2" t="n">
        <v>53.8</v>
      </c>
      <c r="CY72" s="2" t="inlineStr">
        <is>
          <t>NA</t>
        </is>
      </c>
      <c r="CZ72" s="2" t="n">
        <v>33.4</v>
      </c>
      <c r="DA72" s="2" t="n">
        <v>12.6</v>
      </c>
      <c r="DB72" s="2" t="n">
        <v>11.7</v>
      </c>
      <c r="DC72" s="2" t="n">
        <v>0.9</v>
      </c>
      <c r="DG72" s="2" t="n">
        <v>73.09999999999999</v>
      </c>
      <c r="DH72" s="2" t="n">
        <v>112</v>
      </c>
      <c r="DI72" s="2" t="n">
        <v>526.9</v>
      </c>
      <c r="DJ72" s="2" t="n">
        <v>136.5</v>
      </c>
      <c r="DK72" s="2" t="n">
        <v>394.3</v>
      </c>
      <c r="DM72" s="2" t="n">
        <v>209.9</v>
      </c>
      <c r="DO72" s="2" t="n">
        <v>98.09999999999999</v>
      </c>
      <c r="DQ72" s="2" t="n">
        <v>55.8</v>
      </c>
      <c r="DS72" s="2" t="n">
        <v>851.9</v>
      </c>
      <c r="DT72" s="2" t="n">
        <v>2458.5</v>
      </c>
      <c r="DU72" s="2" t="n">
        <v>-185.0999999999999</v>
      </c>
      <c r="DV72" s="2" t="n">
        <v>-0.5</v>
      </c>
      <c r="GZ72" s="2" t="n">
        <v>763.9</v>
      </c>
      <c r="IN72" s="2" t="n">
        <v>68.2</v>
      </c>
      <c r="IY72" s="2" t="n">
        <v>47.18991459943067</v>
      </c>
      <c r="IZ72" s="2" t="n">
        <v>0.189914599430665</v>
      </c>
      <c r="JB72" s="2" t="n">
        <v>11.13379422529484</v>
      </c>
      <c r="JC72" s="2" t="n">
        <v>0.03379422529483556</v>
      </c>
      <c r="JE72" s="2" t="n">
        <v>724.2</v>
      </c>
      <c r="JF72" s="2" t="n">
        <v>0.291908312620823</v>
      </c>
    </row>
    <row r="73">
      <c r="A73" s="1" t="n">
        <v>31260</v>
      </c>
      <c r="B73" s="2" t="n">
        <v>2324.6</v>
      </c>
      <c r="C73" s="2" t="n">
        <v>800.5</v>
      </c>
      <c r="D73" s="2" t="n">
        <v>194.6</v>
      </c>
      <c r="E73" s="2" t="n">
        <v>402.3</v>
      </c>
      <c r="F73" s="2" t="n">
        <v>11.8</v>
      </c>
      <c r="G73" s="2" t="inlineStr">
        <is>
          <t>NA</t>
        </is>
      </c>
      <c r="H73" s="2" t="inlineStr">
        <is>
          <t>NA</t>
        </is>
      </c>
      <c r="I73" s="2" t="inlineStr">
        <is>
          <t>NA</t>
        </is>
      </c>
      <c r="J73" s="2" t="inlineStr">
        <is>
          <t>NA</t>
        </is>
      </c>
      <c r="K73" s="2" t="n">
        <v>868.8</v>
      </c>
      <c r="L73" s="2" t="n">
        <v>715.7</v>
      </c>
      <c r="M73" s="2" t="n">
        <v>444.2</v>
      </c>
      <c r="N73" s="2" t="n">
        <v>271.5</v>
      </c>
      <c r="O73" s="2" t="n">
        <v>60.9</v>
      </c>
      <c r="P73" s="2" t="n">
        <v>131.2</v>
      </c>
      <c r="Q73" s="2" t="n">
        <v>26.3</v>
      </c>
      <c r="R73" s="2" t="n">
        <v>104.9</v>
      </c>
      <c r="T73" s="2" t="n">
        <v>10</v>
      </c>
      <c r="U73" s="2" t="n">
        <v>18.7</v>
      </c>
      <c r="V73" s="2" t="n">
        <v>12.6</v>
      </c>
      <c r="W73" s="2" t="n">
        <v>6.1</v>
      </c>
      <c r="X73" s="2" t="inlineStr">
        <is>
          <t>NA</t>
        </is>
      </c>
      <c r="Y73" s="2" t="n">
        <v>14.5</v>
      </c>
      <c r="Z73" s="2" t="n">
        <v>85.09999999999999</v>
      </c>
      <c r="AA73" s="2" t="n">
        <v>69.3</v>
      </c>
      <c r="AB73" s="2" t="n">
        <v>15.8</v>
      </c>
      <c r="AC73" s="2" t="inlineStr">
        <is>
          <t>NA</t>
        </is>
      </c>
      <c r="AD73" s="2" t="inlineStr">
        <is>
          <t>NA</t>
        </is>
      </c>
      <c r="AG73" s="2" t="inlineStr">
        <is>
          <t>NA</t>
        </is>
      </c>
      <c r="AH73" s="2" t="inlineStr">
        <is>
          <t>NA</t>
        </is>
      </c>
      <c r="AI73" s="2" t="n">
        <v>101.9</v>
      </c>
      <c r="AL73" s="2" t="n">
        <v>71.8</v>
      </c>
      <c r="AM73" s="2" t="n">
        <v>37</v>
      </c>
      <c r="AN73" s="2" t="n">
        <v>34.8</v>
      </c>
      <c r="AO73" s="2" t="n">
        <v>1749</v>
      </c>
      <c r="AP73" s="2" t="n">
        <v>425.9</v>
      </c>
      <c r="AQ73" s="2" t="n">
        <v>82.59999999999999</v>
      </c>
      <c r="AR73" s="2" t="n">
        <v>32</v>
      </c>
      <c r="AS73" s="2" t="n">
        <v>87.90000000000001</v>
      </c>
      <c r="AT73" s="2" t="n">
        <v>103.4</v>
      </c>
      <c r="AU73" s="2" t="n">
        <v>52.9</v>
      </c>
      <c r="AV73" s="2" t="n">
        <v>36.8</v>
      </c>
      <c r="AW73" s="2" t="n">
        <v>6.6</v>
      </c>
      <c r="AX73" s="2" t="inlineStr">
        <is>
          <t>NA</t>
        </is>
      </c>
      <c r="AY73" s="2" t="inlineStr">
        <is>
          <t>NA</t>
        </is>
      </c>
      <c r="AZ73" s="2" t="n">
        <v>3.4</v>
      </c>
      <c r="BA73" s="2" t="inlineStr">
        <is>
          <t>NA</t>
        </is>
      </c>
      <c r="BB73" s="2" t="inlineStr">
        <is>
          <t>NA</t>
        </is>
      </c>
      <c r="BD73" s="2" t="n">
        <v>150.2</v>
      </c>
      <c r="BE73" s="2" t="n">
        <v>63.5</v>
      </c>
      <c r="BH73" s="2" t="n">
        <v>345.6</v>
      </c>
      <c r="BK73" s="2" t="n">
        <v>146.4</v>
      </c>
      <c r="BL73" s="2" t="n">
        <v>14.5</v>
      </c>
      <c r="BM73" s="2" t="n">
        <v>506.5</v>
      </c>
      <c r="BN73" s="2" t="n">
        <v>398.9</v>
      </c>
      <c r="BQ73" s="2" t="n">
        <v>81.3</v>
      </c>
      <c r="BR73" s="2" t="n">
        <v>5</v>
      </c>
      <c r="BS73" s="2" t="n">
        <v>485.2</v>
      </c>
      <c r="BT73" s="2" t="n">
        <v>77</v>
      </c>
      <c r="BU73" s="2" t="n">
        <v>41</v>
      </c>
      <c r="BV73" s="2" t="n">
        <v>355.9</v>
      </c>
      <c r="BW73" s="2" t="n">
        <v>133.4</v>
      </c>
      <c r="BX73" s="2" t="n">
        <v>497.4</v>
      </c>
      <c r="BY73" s="2" t="n">
        <v>67.90000000000001</v>
      </c>
      <c r="BZ73" s="2" t="n">
        <v>12.5</v>
      </c>
      <c r="CA73" s="2" t="n">
        <v>80.40000000000001</v>
      </c>
      <c r="CF73" s="2" t="n">
        <v>107.8</v>
      </c>
      <c r="CG73" s="2" t="n">
        <v>131.4</v>
      </c>
      <c r="CH73" s="2" t="n">
        <v>29.4</v>
      </c>
      <c r="CN73" s="2" t="n">
        <v>45.5</v>
      </c>
      <c r="CO73" s="2" t="n">
        <v>140.5</v>
      </c>
      <c r="CP73" s="2" t="n">
        <v>109.1</v>
      </c>
      <c r="CQ73" s="2" t="n">
        <v>31.4</v>
      </c>
      <c r="CR73" s="2" t="n">
        <v>8.5</v>
      </c>
      <c r="CS73" s="2" t="n">
        <v>25.4</v>
      </c>
      <c r="CT73" s="2" t="n">
        <v>16.6</v>
      </c>
      <c r="CU73" s="2" t="n">
        <v>8.800000000000001</v>
      </c>
      <c r="CV73" s="2" t="n">
        <v>71.40000000000001</v>
      </c>
      <c r="CW73" s="2" t="n">
        <v>28.6</v>
      </c>
      <c r="CX73" s="2" t="n">
        <v>42.8</v>
      </c>
      <c r="CY73" s="2" t="inlineStr">
        <is>
          <t>NA</t>
        </is>
      </c>
      <c r="CZ73" s="2" t="n">
        <v>34.7</v>
      </c>
      <c r="DA73" s="2" t="n">
        <v>19.3</v>
      </c>
      <c r="DB73" s="2" t="n">
        <v>16.8</v>
      </c>
      <c r="DC73" s="2" t="n">
        <v>2.5</v>
      </c>
      <c r="DG73" s="2" t="n">
        <v>71.8</v>
      </c>
      <c r="DH73" s="2" t="n">
        <v>106.8</v>
      </c>
      <c r="DI73" s="2" t="n">
        <v>534.1</v>
      </c>
      <c r="DK73" s="2" t="n">
        <v>364.7</v>
      </c>
      <c r="DM73" s="2" t="n">
        <v>194.9</v>
      </c>
      <c r="DO73" s="2" t="n">
        <v>116.7</v>
      </c>
      <c r="DQ73" s="2" t="n">
        <v>57.9</v>
      </c>
      <c r="DS73" s="2" t="n">
        <v>877.7</v>
      </c>
      <c r="DT73" s="2" t="n">
        <v>2324.6</v>
      </c>
      <c r="DU73" s="2" t="n">
        <v>-178.5999999999999</v>
      </c>
      <c r="DV73" s="2" t="n">
        <v>0</v>
      </c>
      <c r="GZ73" s="2" t="n">
        <v>806.2</v>
      </c>
      <c r="IN73" s="2" t="n">
        <v>55.9</v>
      </c>
      <c r="IY73" s="2" t="n">
        <v>47.27523014712209</v>
      </c>
      <c r="IZ73" s="2" t="n">
        <v>0.1752301471220861</v>
      </c>
      <c r="JB73" s="2" t="n">
        <v>11.21225157016261</v>
      </c>
      <c r="JC73" s="2" t="n">
        <v>0.01225157016260958</v>
      </c>
      <c r="JE73" s="2" t="n">
        <v>715.7</v>
      </c>
      <c r="JF73" s="2" t="n">
        <v>0.2668715942433981</v>
      </c>
    </row>
    <row r="74">
      <c r="A74" s="1" t="n">
        <v>31291</v>
      </c>
      <c r="B74" s="2" t="n">
        <v>2295.4</v>
      </c>
      <c r="C74" s="2" t="n">
        <v>772.5</v>
      </c>
      <c r="D74" s="2" t="n">
        <v>197</v>
      </c>
      <c r="E74" s="2" t="n">
        <v>599.5</v>
      </c>
      <c r="F74" s="2" t="n">
        <v>12.6</v>
      </c>
      <c r="G74" s="2" t="n">
        <v>12.4</v>
      </c>
      <c r="H74" s="2" t="inlineStr">
        <is>
          <t>NA</t>
        </is>
      </c>
      <c r="I74" s="2" t="inlineStr">
        <is>
          <t>NA</t>
        </is>
      </c>
      <c r="J74" s="2" t="inlineStr">
        <is>
          <t>NA</t>
        </is>
      </c>
      <c r="K74" s="2" t="n">
        <v>853.4</v>
      </c>
      <c r="L74" s="2" t="n">
        <v>632.5</v>
      </c>
      <c r="M74" s="2" t="n">
        <v>341.3</v>
      </c>
      <c r="N74" s="2" t="n">
        <v>291.2</v>
      </c>
      <c r="O74" s="2" t="n">
        <v>60.7</v>
      </c>
      <c r="P74" s="2" t="n">
        <v>106.8</v>
      </c>
      <c r="Q74" s="2" t="n">
        <v>33.3</v>
      </c>
      <c r="R74" s="2" t="n">
        <v>73.5</v>
      </c>
      <c r="T74" s="2" t="n">
        <v>10.1</v>
      </c>
      <c r="U74" s="2" t="n">
        <v>14.4</v>
      </c>
      <c r="V74" s="2" t="n">
        <v>9.6</v>
      </c>
      <c r="W74" s="2" t="n">
        <v>4.8</v>
      </c>
      <c r="X74" s="2" t="n">
        <v>9.300000000000001</v>
      </c>
      <c r="Y74" s="2" t="n">
        <v>12.2</v>
      </c>
      <c r="Z74" s="2" t="n">
        <v>65.59999999999999</v>
      </c>
      <c r="AA74" s="2" t="n">
        <v>48.8</v>
      </c>
      <c r="AB74" s="2" t="n">
        <v>16.8</v>
      </c>
      <c r="AC74" s="2" t="inlineStr">
        <is>
          <t>NA</t>
        </is>
      </c>
      <c r="AD74" s="2" t="inlineStr">
        <is>
          <t>NA</t>
        </is>
      </c>
      <c r="AG74" s="2" t="inlineStr">
        <is>
          <t>NA</t>
        </is>
      </c>
      <c r="AH74" s="2" t="inlineStr">
        <is>
          <t>NA</t>
        </is>
      </c>
      <c r="AI74" s="2" t="n">
        <v>104</v>
      </c>
      <c r="AL74" s="2" t="n">
        <v>73.5</v>
      </c>
      <c r="AM74" s="2" t="n">
        <v>38.7</v>
      </c>
      <c r="AN74" s="2" t="n">
        <v>34.8</v>
      </c>
      <c r="AO74" s="2" t="n">
        <v>1722.1</v>
      </c>
      <c r="AP74" s="2" t="n">
        <v>353.2</v>
      </c>
      <c r="AQ74" s="2" t="n">
        <v>78.5</v>
      </c>
      <c r="AR74" s="2" t="n">
        <v>33.7</v>
      </c>
      <c r="AS74" s="2" t="n">
        <v>90.7</v>
      </c>
      <c r="AT74" s="2" t="n">
        <v>68.2</v>
      </c>
      <c r="AU74" s="2" t="n">
        <v>52.1</v>
      </c>
      <c r="AV74" s="2" t="n">
        <v>30.5</v>
      </c>
      <c r="AW74" s="2" t="n">
        <v>7.6</v>
      </c>
      <c r="AX74" s="2" t="inlineStr">
        <is>
          <t>NA</t>
        </is>
      </c>
      <c r="AY74" s="2" t="n">
        <v>6.8</v>
      </c>
      <c r="AZ74" s="2" t="inlineStr">
        <is>
          <t>NA</t>
        </is>
      </c>
      <c r="BA74" s="2" t="inlineStr">
        <is>
          <t>NA</t>
        </is>
      </c>
      <c r="BB74" s="2" t="inlineStr">
        <is>
          <t>NA</t>
        </is>
      </c>
      <c r="BD74" s="2" t="n">
        <v>143</v>
      </c>
      <c r="BE74" s="2" t="n">
        <v>61.6</v>
      </c>
      <c r="BH74" s="2" t="n">
        <v>333.6</v>
      </c>
      <c r="BK74" s="2" t="n">
        <v>148.4</v>
      </c>
      <c r="BL74" s="2" t="n">
        <v>13.9</v>
      </c>
      <c r="BM74" s="2" t="n">
        <v>495.9</v>
      </c>
      <c r="BN74" s="2" t="n">
        <v>413.2</v>
      </c>
      <c r="BQ74" s="2" t="n">
        <v>80</v>
      </c>
      <c r="BR74" s="2" t="n">
        <v>13.9</v>
      </c>
      <c r="BS74" s="2" t="n">
        <v>507.1</v>
      </c>
      <c r="BT74" s="2" t="n">
        <v>76</v>
      </c>
      <c r="BU74" s="2" t="n">
        <v>41.3</v>
      </c>
      <c r="BV74" s="2" t="n">
        <v>327.4</v>
      </c>
      <c r="BW74" s="2" t="n">
        <v>119.8</v>
      </c>
      <c r="BX74" s="2" t="n">
        <v>454.8</v>
      </c>
      <c r="BY74" s="2" t="n">
        <v>67.8</v>
      </c>
      <c r="BZ74" s="2" t="n">
        <v>13.3</v>
      </c>
      <c r="CA74" s="2" t="n">
        <v>81.09999999999999</v>
      </c>
      <c r="CF74" s="2" t="n">
        <v>105.8</v>
      </c>
      <c r="CG74" s="2" t="n">
        <v>125.9</v>
      </c>
      <c r="CH74" s="2" t="n">
        <v>19.7</v>
      </c>
      <c r="CN74" s="2" t="n">
        <v>52.2</v>
      </c>
      <c r="CO74" s="2" t="n">
        <v>130</v>
      </c>
      <c r="CP74" s="2" t="n">
        <v>103.9</v>
      </c>
      <c r="CQ74" s="2" t="n">
        <v>26.1</v>
      </c>
      <c r="CR74" s="2" t="n">
        <v>35.4</v>
      </c>
      <c r="CS74" s="2" t="n">
        <v>47</v>
      </c>
      <c r="CT74" s="2" t="n">
        <v>33.7</v>
      </c>
      <c r="CU74" s="2" t="n">
        <v>13.3</v>
      </c>
      <c r="CV74" s="2" t="n">
        <v>57.3</v>
      </c>
      <c r="CW74" s="2" t="n">
        <v>18.4</v>
      </c>
      <c r="CX74" s="2" t="n">
        <v>38.9</v>
      </c>
      <c r="CY74" s="2" t="inlineStr">
        <is>
          <t>NA</t>
        </is>
      </c>
      <c r="CZ74" s="2" t="n">
        <v>41.5</v>
      </c>
      <c r="DA74" s="2" t="n">
        <v>33.6</v>
      </c>
      <c r="DB74" s="2" t="inlineStr">
        <is>
          <t>NA</t>
        </is>
      </c>
      <c r="DC74" s="2" t="inlineStr">
        <is>
          <t>NA</t>
        </is>
      </c>
      <c r="DG74" s="2" t="n">
        <v>46.6</v>
      </c>
      <c r="DI74" s="2" t="n">
        <v>519.4</v>
      </c>
      <c r="DK74" s="2" t="n">
        <v>353.3</v>
      </c>
      <c r="DM74" s="2" t="n">
        <v>163.2</v>
      </c>
      <c r="DQ74" s="2" t="n">
        <v>54.1</v>
      </c>
      <c r="DS74" s="2" t="n">
        <v>1158.5</v>
      </c>
      <c r="DT74" s="2" t="n">
        <v>2295.1</v>
      </c>
      <c r="DU74" s="2" t="n">
        <v>-46.59999999999991</v>
      </c>
      <c r="DV74" s="2" t="n">
        <v>-0.3000000000001819</v>
      </c>
      <c r="GZ74" s="2" t="n">
        <v>794.4</v>
      </c>
      <c r="IN74" s="2" t="n">
        <v>57</v>
      </c>
      <c r="IY74" s="2" t="n">
        <v>47.06630652609567</v>
      </c>
      <c r="IZ74" s="2" t="n">
        <v>-0.1336934739043372</v>
      </c>
      <c r="JB74" s="2" t="n">
        <v>11.15361157096802</v>
      </c>
      <c r="JC74" s="2" t="n">
        <v>-0.04638842903197649</v>
      </c>
      <c r="JE74" s="2" t="n">
        <v>632.5</v>
      </c>
      <c r="JF74" s="2" t="n">
        <v>0.2776284584980237</v>
      </c>
    </row>
    <row r="75">
      <c r="A75" s="1" t="n">
        <v>31321</v>
      </c>
      <c r="B75" s="2" t="n">
        <v>2830.2</v>
      </c>
      <c r="C75" s="2" t="n">
        <v>2785.2</v>
      </c>
      <c r="D75" s="2" t="n">
        <v>338</v>
      </c>
      <c r="E75" s="2" t="n">
        <v>1195.9</v>
      </c>
      <c r="F75" s="2" t="n">
        <v>11.1</v>
      </c>
      <c r="G75" s="2" t="n">
        <v>48.8</v>
      </c>
      <c r="H75" s="2" t="n">
        <v>13.1</v>
      </c>
      <c r="I75" s="2" t="inlineStr">
        <is>
          <t>NA</t>
        </is>
      </c>
      <c r="J75" s="2" t="inlineStr">
        <is>
          <t>NA</t>
        </is>
      </c>
      <c r="K75" s="2" t="n">
        <v>1040.3</v>
      </c>
      <c r="L75" s="2" t="n">
        <v>636</v>
      </c>
      <c r="M75" s="2" t="n">
        <v>383.7</v>
      </c>
      <c r="N75" s="2" t="n">
        <v>252.3</v>
      </c>
      <c r="O75" s="2" t="n">
        <v>105.6</v>
      </c>
      <c r="P75" s="2" t="n">
        <v>106.2</v>
      </c>
      <c r="Q75" s="2" t="n">
        <v>35.5</v>
      </c>
      <c r="R75" s="2" t="n">
        <v>70.7</v>
      </c>
      <c r="T75" s="2" t="n">
        <v>9.199999999999999</v>
      </c>
      <c r="U75" s="2" t="n">
        <v>10.3</v>
      </c>
      <c r="V75" s="2" t="n">
        <v>7.3</v>
      </c>
      <c r="W75" s="2" t="n">
        <v>3</v>
      </c>
      <c r="X75" s="2" t="n">
        <v>39.2</v>
      </c>
      <c r="Y75" s="2" t="n">
        <v>13.3</v>
      </c>
      <c r="Z75" s="2" t="n">
        <v>57.9</v>
      </c>
      <c r="AA75" s="2" t="inlineStr">
        <is>
          <t>NA</t>
        </is>
      </c>
      <c r="AB75" s="2" t="inlineStr">
        <is>
          <t>NA</t>
        </is>
      </c>
      <c r="AC75" s="2" t="inlineStr">
        <is>
          <t>NA</t>
        </is>
      </c>
      <c r="AD75" s="2" t="inlineStr">
        <is>
          <t>NA</t>
        </is>
      </c>
      <c r="AG75" s="2" t="inlineStr">
        <is>
          <t>NA</t>
        </is>
      </c>
      <c r="AH75" s="2" t="inlineStr">
        <is>
          <t>NA</t>
        </is>
      </c>
      <c r="AI75" s="2" t="n">
        <v>114.2</v>
      </c>
      <c r="AL75" s="2" t="n">
        <v>82.3</v>
      </c>
      <c r="AM75" s="2" t="n">
        <v>48.4</v>
      </c>
      <c r="AN75" s="2" t="n">
        <v>33.9</v>
      </c>
      <c r="AO75" s="2" t="n">
        <v>2133.9</v>
      </c>
      <c r="AP75" s="2" t="n">
        <v>282.7</v>
      </c>
      <c r="AQ75" s="2" t="n">
        <v>84.2</v>
      </c>
      <c r="AR75" s="2" t="n">
        <v>35.8</v>
      </c>
      <c r="AS75" s="2" t="n">
        <v>153.1</v>
      </c>
      <c r="AT75" s="2" t="n">
        <v>29.9</v>
      </c>
      <c r="AU75" s="2" t="n">
        <v>84.7</v>
      </c>
      <c r="AV75" s="2" t="n">
        <v>29.5</v>
      </c>
      <c r="AW75" s="2" t="n">
        <v>6.3</v>
      </c>
      <c r="AX75" s="2" t="inlineStr">
        <is>
          <t>NA</t>
        </is>
      </c>
      <c r="AY75" s="2" t="n">
        <v>25.9</v>
      </c>
      <c r="AZ75" s="2" t="n">
        <v>5</v>
      </c>
      <c r="BA75" s="2" t="inlineStr">
        <is>
          <t>NA</t>
        </is>
      </c>
      <c r="BB75" s="2" t="inlineStr">
        <is>
          <t>NA</t>
        </is>
      </c>
      <c r="BD75" s="2" t="n">
        <v>148</v>
      </c>
      <c r="BE75" s="2" t="n">
        <v>57.5</v>
      </c>
      <c r="BH75" s="2" t="n">
        <v>360.6</v>
      </c>
      <c r="BK75" s="2" t="n">
        <v>171</v>
      </c>
      <c r="BL75" s="2" t="n">
        <v>15.7</v>
      </c>
      <c r="BM75" s="2" t="n">
        <v>547.2</v>
      </c>
      <c r="BN75" s="2" t="n">
        <v>338.7</v>
      </c>
      <c r="BQ75" s="2" t="n">
        <v>80.40000000000001</v>
      </c>
      <c r="BR75" s="2" t="n">
        <v>6.1</v>
      </c>
      <c r="BS75" s="2" t="n">
        <v>425.2</v>
      </c>
      <c r="BT75" s="2" t="n">
        <v>85</v>
      </c>
      <c r="BU75" s="2" t="n">
        <v>39.3</v>
      </c>
      <c r="BV75" s="2" t="n">
        <v>374.1</v>
      </c>
      <c r="BW75" s="2" t="n">
        <v>144.5</v>
      </c>
      <c r="BX75" s="2" t="n">
        <v>527.5</v>
      </c>
      <c r="BY75" s="2" t="n">
        <v>65.90000000000001</v>
      </c>
      <c r="BZ75" s="2" t="n">
        <v>13.6</v>
      </c>
      <c r="CA75" s="2" t="n">
        <v>79.5</v>
      </c>
      <c r="CF75" s="2" t="n">
        <v>115.5</v>
      </c>
      <c r="CG75" s="2" t="n">
        <v>125.1</v>
      </c>
      <c r="CH75" s="2" t="n">
        <v>19.7</v>
      </c>
      <c r="CN75" s="2" t="n">
        <v>52.2</v>
      </c>
      <c r="CO75" s="2" t="n">
        <v>177.5</v>
      </c>
      <c r="CP75" s="2" t="n">
        <v>152.2</v>
      </c>
      <c r="CQ75" s="2" t="n">
        <v>25.3</v>
      </c>
      <c r="CR75" s="2" t="n">
        <v>33.3</v>
      </c>
      <c r="CS75" s="2" t="n">
        <v>62.3</v>
      </c>
      <c r="CT75" s="2" t="n">
        <v>48.1</v>
      </c>
      <c r="CU75" s="2" t="n">
        <v>14.2</v>
      </c>
      <c r="CV75" s="2" t="n">
        <v>64.3</v>
      </c>
      <c r="CW75" s="2" t="n">
        <v>22.8</v>
      </c>
      <c r="CX75" s="2" t="n">
        <v>41.5</v>
      </c>
      <c r="CY75" s="2" t="inlineStr">
        <is>
          <t>NA</t>
        </is>
      </c>
      <c r="CZ75" s="2" t="n">
        <v>37.7</v>
      </c>
      <c r="DA75" s="2" t="n">
        <v>35.40000000000001</v>
      </c>
      <c r="DB75" s="2" t="n">
        <v>32.7</v>
      </c>
      <c r="DC75" s="2" t="n">
        <v>2.7</v>
      </c>
      <c r="DG75" s="2" t="n">
        <v>92.7</v>
      </c>
      <c r="DI75" s="2" t="n">
        <v>655.7</v>
      </c>
      <c r="DJ75" s="2" t="n">
        <v>136.4</v>
      </c>
      <c r="DK75" s="2" t="n">
        <v>391</v>
      </c>
      <c r="DL75" s="2" t="n">
        <v>117.9</v>
      </c>
      <c r="DM75" s="2" t="n">
        <v>190.1</v>
      </c>
      <c r="DO75" s="2" t="n">
        <v>133.8</v>
      </c>
      <c r="DQ75" s="2" t="n">
        <v>62</v>
      </c>
      <c r="DS75" s="2" t="n">
        <v>1050.6</v>
      </c>
      <c r="DT75" s="2" t="n">
        <v>2830.2</v>
      </c>
      <c r="DU75" s="2" t="n">
        <v>-92.69999999999982</v>
      </c>
      <c r="DV75" s="2" t="n">
        <v>0</v>
      </c>
      <c r="GZ75" s="2" t="n">
        <v>865.7</v>
      </c>
      <c r="IN75" s="2" t="n">
        <v>87.5</v>
      </c>
      <c r="IY75" s="2" t="n">
        <v>47.02353190587238</v>
      </c>
      <c r="IZ75" s="2" t="n">
        <v>-0.07646809412761968</v>
      </c>
      <c r="JB75" s="2" t="n">
        <v>11.02713589145644</v>
      </c>
      <c r="JC75" s="2" t="n">
        <v>0.02713589145643525</v>
      </c>
      <c r="JE75" s="2" t="n">
        <v>636</v>
      </c>
      <c r="JF75" s="2" t="n">
        <v>0.2490566037735849</v>
      </c>
    </row>
    <row r="76">
      <c r="A76" s="1" t="n">
        <v>31352</v>
      </c>
      <c r="B76" s="2" t="n">
        <v>2899.7</v>
      </c>
      <c r="C76" s="2" t="n">
        <v>3403.5</v>
      </c>
      <c r="D76" s="2" t="n">
        <v>411.4</v>
      </c>
      <c r="E76" s="2" t="n">
        <v>1732</v>
      </c>
      <c r="F76" s="2" t="n">
        <v>12.3</v>
      </c>
      <c r="G76" s="2" t="n">
        <v>93.59999999999999</v>
      </c>
      <c r="H76" s="2" t="n">
        <v>44.9</v>
      </c>
      <c r="I76" s="2" t="inlineStr">
        <is>
          <t>NA</t>
        </is>
      </c>
      <c r="J76" s="2" t="inlineStr">
        <is>
          <t>NA</t>
        </is>
      </c>
      <c r="K76" s="2" t="n">
        <v>1053.1</v>
      </c>
      <c r="L76" s="2" t="n">
        <v>810.4000000000001</v>
      </c>
      <c r="M76" s="2" t="n">
        <v>525.1</v>
      </c>
      <c r="N76" s="2" t="n">
        <v>285.3</v>
      </c>
      <c r="O76" s="2" t="n">
        <v>129.8</v>
      </c>
      <c r="P76" s="2" t="n">
        <v>127.9</v>
      </c>
      <c r="Q76" s="2" t="n">
        <v>56.6</v>
      </c>
      <c r="R76" s="2" t="n">
        <v>71.3</v>
      </c>
      <c r="T76" s="2" t="n">
        <v>10.2</v>
      </c>
      <c r="U76" s="2" t="n">
        <v>11</v>
      </c>
      <c r="V76" s="2" t="n">
        <v>7.5</v>
      </c>
      <c r="W76" s="2" t="n">
        <v>3.5</v>
      </c>
      <c r="X76" s="2" t="n">
        <v>70.8</v>
      </c>
      <c r="Y76" s="2" t="n">
        <v>7.5</v>
      </c>
      <c r="Z76" s="2" t="n">
        <v>65</v>
      </c>
      <c r="AA76" s="2" t="inlineStr">
        <is>
          <t>NA</t>
        </is>
      </c>
      <c r="AB76" s="2" t="inlineStr">
        <is>
          <t>NA</t>
        </is>
      </c>
      <c r="AC76" s="2" t="inlineStr">
        <is>
          <t>NA</t>
        </is>
      </c>
      <c r="AD76" s="2" t="inlineStr">
        <is>
          <t>NA</t>
        </is>
      </c>
      <c r="AG76" s="2" t="inlineStr">
        <is>
          <t>NA</t>
        </is>
      </c>
      <c r="AH76" s="2" t="inlineStr">
        <is>
          <t>NA</t>
        </is>
      </c>
      <c r="AI76" s="2" t="n">
        <v>101.5</v>
      </c>
      <c r="AL76" s="2" t="n">
        <v>69.3</v>
      </c>
      <c r="AM76" s="2" t="n">
        <v>37.8</v>
      </c>
      <c r="AN76" s="2" t="n">
        <v>31.5</v>
      </c>
      <c r="AO76" s="2" t="n">
        <v>2200.3</v>
      </c>
      <c r="AP76" s="2" t="n">
        <v>332.6</v>
      </c>
      <c r="AQ76" s="2" t="n">
        <v>87.40000000000001</v>
      </c>
      <c r="AR76" s="2" t="n">
        <v>36.6</v>
      </c>
      <c r="AS76" s="2" t="n">
        <v>187.6</v>
      </c>
      <c r="AT76" s="2" t="n">
        <v>45.2</v>
      </c>
      <c r="AU76" s="2" t="n">
        <v>102.4</v>
      </c>
      <c r="AV76" s="2" t="n">
        <v>48.8</v>
      </c>
      <c r="AW76" s="2" t="n">
        <v>7.1</v>
      </c>
      <c r="AX76" s="2" t="inlineStr">
        <is>
          <t>NA</t>
        </is>
      </c>
      <c r="AY76" s="2" t="n">
        <v>47.8</v>
      </c>
      <c r="AZ76" s="2" t="n">
        <v>10.5</v>
      </c>
      <c r="BA76" s="2" t="inlineStr">
        <is>
          <t>NA</t>
        </is>
      </c>
      <c r="BB76" s="2" t="inlineStr">
        <is>
          <t>NA</t>
        </is>
      </c>
      <c r="BD76" s="2" t="n">
        <v>126.3</v>
      </c>
      <c r="BE76" s="2" t="n">
        <v>42.4</v>
      </c>
      <c r="BH76" s="2" t="n">
        <v>317.6</v>
      </c>
      <c r="BK76" s="2" t="n">
        <v>141.9</v>
      </c>
      <c r="BL76" s="2" t="n">
        <v>12.5</v>
      </c>
      <c r="BM76" s="2" t="n">
        <v>472.1</v>
      </c>
      <c r="BN76" s="2" t="n">
        <v>296.4</v>
      </c>
      <c r="BQ76" s="2" t="n">
        <v>77.7</v>
      </c>
      <c r="BR76" s="2" t="n">
        <v>6</v>
      </c>
      <c r="BS76" s="2" t="n">
        <v>380.1</v>
      </c>
      <c r="BT76" s="2" t="n">
        <v>78</v>
      </c>
      <c r="BU76" s="2" t="n">
        <v>35.9</v>
      </c>
      <c r="BV76" s="2" t="n">
        <v>345.5</v>
      </c>
      <c r="BW76" s="2" t="n">
        <v>123.9</v>
      </c>
      <c r="BX76" s="2" t="n">
        <v>477.6</v>
      </c>
      <c r="BY76" s="2" t="n">
        <v>71.59999999999999</v>
      </c>
      <c r="BZ76" s="2" t="n">
        <v>16.9</v>
      </c>
      <c r="CA76" s="2" t="n">
        <v>88.5</v>
      </c>
      <c r="CF76" s="2" t="n">
        <v>103.5</v>
      </c>
      <c r="CG76" s="2" t="n">
        <v>158.7</v>
      </c>
      <c r="CH76" s="2" t="n">
        <v>19.9</v>
      </c>
      <c r="CN76" s="2" t="n">
        <v>54.5</v>
      </c>
      <c r="CO76" s="2" t="n">
        <v>162.8</v>
      </c>
      <c r="CP76" s="2" t="n">
        <v>134.6</v>
      </c>
      <c r="CQ76" s="2" t="n">
        <v>28.2</v>
      </c>
      <c r="CR76" s="2" t="n">
        <v>15.6</v>
      </c>
      <c r="CS76" s="2" t="n">
        <v>55.2</v>
      </c>
      <c r="CT76" s="2" t="n">
        <v>39.7</v>
      </c>
      <c r="CU76" s="2" t="n">
        <v>15.5</v>
      </c>
      <c r="CV76" s="2" t="n">
        <v>76.5</v>
      </c>
      <c r="CW76" s="2" t="n">
        <v>16.9</v>
      </c>
      <c r="CX76" s="2" t="n">
        <v>59.6</v>
      </c>
      <c r="CY76" s="2" t="inlineStr">
        <is>
          <t>NA</t>
        </is>
      </c>
      <c r="CZ76" s="2" t="n">
        <v>51.9</v>
      </c>
      <c r="DA76" s="2" t="n">
        <v>31.7</v>
      </c>
      <c r="DB76" s="2" t="inlineStr">
        <is>
          <t>NA</t>
        </is>
      </c>
      <c r="DC76" s="2" t="inlineStr">
        <is>
          <t>NA</t>
        </is>
      </c>
      <c r="DG76" s="2" t="n">
        <v>112</v>
      </c>
      <c r="DH76" s="2" t="n">
        <v>110.9</v>
      </c>
      <c r="DI76" s="2" t="n">
        <v>648.7</v>
      </c>
      <c r="DJ76" s="2" t="n">
        <v>157.3</v>
      </c>
      <c r="DK76" s="2" t="n">
        <v>378.4</v>
      </c>
      <c r="DL76" s="2" t="n">
        <v>111.9</v>
      </c>
      <c r="DM76" s="2" t="n">
        <v>194.5</v>
      </c>
      <c r="DO76" s="2" t="n">
        <v>141.1</v>
      </c>
      <c r="DP76" s="2" t="n">
        <v>177.4</v>
      </c>
      <c r="DQ76" s="2" t="n">
        <v>82.90000000000001</v>
      </c>
      <c r="DS76" s="2" t="n">
        <v>784.5</v>
      </c>
      <c r="DT76" s="2" t="n">
        <v>2899.7</v>
      </c>
      <c r="DU76" s="2" t="n">
        <v>-222.9999999999995</v>
      </c>
      <c r="DV76" s="2" t="n">
        <v>0</v>
      </c>
      <c r="GZ76" s="2" t="n">
        <v>834.8</v>
      </c>
      <c r="IN76" s="2" t="n">
        <v>117.1</v>
      </c>
      <c r="IY76" s="2" t="n">
        <v>47.33662102976171</v>
      </c>
      <c r="IZ76" s="2" t="n">
        <v>0.03662102976171155</v>
      </c>
      <c r="JB76" s="2" t="n">
        <v>10.89526502741663</v>
      </c>
      <c r="JC76" s="2" t="n">
        <v>-0.004734972583371189</v>
      </c>
      <c r="JE76" s="2" t="n">
        <v>810.4000000000001</v>
      </c>
      <c r="JF76" s="2" t="n">
        <v>0.3035538005923001</v>
      </c>
    </row>
    <row r="77">
      <c r="A77" s="1" t="n">
        <v>31382</v>
      </c>
      <c r="B77" s="2" t="n">
        <v>3025.4</v>
      </c>
      <c r="C77" s="2" t="n">
        <v>3595.5</v>
      </c>
      <c r="D77" s="2" t="n">
        <v>368.8</v>
      </c>
      <c r="E77" s="2" t="n">
        <v>1998.5</v>
      </c>
      <c r="F77" s="2" t="n">
        <v>17.7</v>
      </c>
      <c r="G77" s="2" t="n">
        <v>79.59999999999999</v>
      </c>
      <c r="H77" s="2" t="n">
        <v>36.1</v>
      </c>
      <c r="I77" s="2" t="inlineStr">
        <is>
          <t>NA</t>
        </is>
      </c>
      <c r="J77" s="2" t="inlineStr">
        <is>
          <t>NA</t>
        </is>
      </c>
      <c r="K77" s="2" t="n">
        <v>1095.8</v>
      </c>
      <c r="L77" s="2" t="n">
        <v>969.4</v>
      </c>
      <c r="M77" s="2" t="n">
        <v>704.5</v>
      </c>
      <c r="N77" s="2" t="n">
        <v>264.9</v>
      </c>
      <c r="O77" s="2" t="n">
        <v>117.1</v>
      </c>
      <c r="P77" s="2" t="n">
        <v>130.2</v>
      </c>
      <c r="Q77" s="2" t="n">
        <v>63.1</v>
      </c>
      <c r="R77" s="2" t="n">
        <v>67.09999999999999</v>
      </c>
      <c r="T77" s="2" t="n">
        <v>14.9</v>
      </c>
      <c r="U77" s="2" t="n">
        <v>10.1</v>
      </c>
      <c r="V77" s="2" t="n">
        <v>6.6</v>
      </c>
      <c r="W77" s="2" t="n">
        <v>3.5</v>
      </c>
      <c r="X77" s="2" t="n">
        <v>60.3</v>
      </c>
      <c r="Y77" s="2" t="n">
        <v>9</v>
      </c>
      <c r="Z77" s="2" t="n">
        <v>79.09999999999999</v>
      </c>
      <c r="AA77" s="2" t="inlineStr">
        <is>
          <t>NA</t>
        </is>
      </c>
      <c r="AB77" s="2" t="inlineStr">
        <is>
          <t>NA</t>
        </is>
      </c>
      <c r="AC77" s="2" t="inlineStr">
        <is>
          <t>NA</t>
        </is>
      </c>
      <c r="AD77" s="2" t="inlineStr">
        <is>
          <t>NA</t>
        </is>
      </c>
      <c r="AG77" s="2" t="inlineStr">
        <is>
          <t>NA</t>
        </is>
      </c>
      <c r="AH77" s="2" t="inlineStr">
        <is>
          <t>NA</t>
        </is>
      </c>
      <c r="AI77" s="2" t="n">
        <v>97.09999999999999</v>
      </c>
      <c r="AL77" s="2" t="n">
        <v>79.2</v>
      </c>
      <c r="AM77" s="2" t="n">
        <v>50.5</v>
      </c>
      <c r="AN77" s="2" t="n">
        <v>28.7</v>
      </c>
      <c r="AO77" s="2" t="n">
        <v>2296.1</v>
      </c>
      <c r="AP77" s="2" t="n">
        <v>326.2</v>
      </c>
      <c r="AQ77" s="2" t="n">
        <v>83.5</v>
      </c>
      <c r="AR77" s="2" t="n">
        <v>32.2</v>
      </c>
      <c r="AS77" s="2" t="n">
        <v>169.4</v>
      </c>
      <c r="AT77" s="2" t="n">
        <v>22.4</v>
      </c>
      <c r="AU77" s="2" t="n">
        <v>93.7</v>
      </c>
      <c r="AV77" s="2" t="n">
        <v>49.6</v>
      </c>
      <c r="AW77" s="2" t="n">
        <v>10.1</v>
      </c>
      <c r="AX77" s="2" t="n">
        <v>9</v>
      </c>
      <c r="AY77" s="2" t="n">
        <v>40.3</v>
      </c>
      <c r="AZ77" s="2" t="n">
        <v>4.7</v>
      </c>
      <c r="BA77" s="2" t="inlineStr">
        <is>
          <t>NA</t>
        </is>
      </c>
      <c r="BB77" s="2" t="inlineStr">
        <is>
          <t>NA</t>
        </is>
      </c>
      <c r="BD77" s="2" t="n">
        <v>113.6</v>
      </c>
      <c r="BE77" s="2" t="n">
        <v>40.5</v>
      </c>
      <c r="BH77" s="2" t="n">
        <v>303.8</v>
      </c>
      <c r="BK77" s="2" t="n">
        <v>131.7</v>
      </c>
      <c r="BL77" s="2" t="n">
        <v>12</v>
      </c>
      <c r="BM77" s="2" t="n">
        <v>447.5</v>
      </c>
      <c r="BN77" s="2" t="n">
        <v>282.5</v>
      </c>
      <c r="BQ77" s="2" t="n">
        <v>73.7</v>
      </c>
      <c r="BR77" s="2" t="n">
        <v>5.5</v>
      </c>
      <c r="BS77" s="2" t="n">
        <v>361.7</v>
      </c>
      <c r="BT77" s="2" t="n">
        <v>76</v>
      </c>
      <c r="BU77" s="2" t="n">
        <v>35.4</v>
      </c>
      <c r="BV77" s="2" t="n">
        <v>331.4</v>
      </c>
      <c r="BW77" s="2" t="n">
        <v>151.7</v>
      </c>
      <c r="BX77" s="2" t="n">
        <v>491</v>
      </c>
      <c r="BY77" s="2" t="n">
        <v>70.5</v>
      </c>
      <c r="BZ77" s="2" t="n">
        <v>18.6</v>
      </c>
      <c r="CA77" s="2" t="n">
        <v>89.09999999999999</v>
      </c>
      <c r="CF77" s="2" t="n">
        <v>167.6</v>
      </c>
      <c r="CG77" s="2" t="n">
        <v>167.6</v>
      </c>
      <c r="CH77" s="2" t="n">
        <v>19</v>
      </c>
      <c r="CN77" s="2" t="n">
        <v>45.1</v>
      </c>
      <c r="CO77" s="2" t="n">
        <v>206.5</v>
      </c>
      <c r="CP77" s="2" t="n">
        <v>173.1</v>
      </c>
      <c r="CQ77" s="2" t="n">
        <v>33.4</v>
      </c>
      <c r="CR77" s="2" t="n">
        <v>14.3</v>
      </c>
      <c r="CS77" s="2" t="n">
        <v>60.6</v>
      </c>
      <c r="CT77" s="2" t="n">
        <v>45.2</v>
      </c>
      <c r="CU77" s="2" t="n">
        <v>15.4</v>
      </c>
      <c r="CV77" s="2" t="n">
        <v>98.89999999999999</v>
      </c>
      <c r="CW77" s="2" t="n">
        <v>28.3</v>
      </c>
      <c r="CX77" s="2" t="n">
        <v>70.59999999999999</v>
      </c>
      <c r="CY77" s="2" t="inlineStr">
        <is>
          <t>NA</t>
        </is>
      </c>
      <c r="CZ77" s="2" t="n">
        <v>36.3</v>
      </c>
      <c r="DA77" s="2" t="n">
        <v>30.4</v>
      </c>
      <c r="DB77" s="2" t="n">
        <v>28.7</v>
      </c>
      <c r="DC77" s="2" t="n">
        <v>1.7</v>
      </c>
      <c r="DG77" s="2" t="n">
        <v>111</v>
      </c>
      <c r="DH77" s="2" t="n">
        <v>124.7</v>
      </c>
      <c r="DI77" s="2" t="n">
        <v>656.2</v>
      </c>
      <c r="DJ77" s="2" t="n">
        <v>169.1</v>
      </c>
      <c r="DK77" s="2" t="n">
        <v>414.4</v>
      </c>
      <c r="DL77" s="2" t="n">
        <v>118.8</v>
      </c>
      <c r="DM77" s="2" t="n">
        <v>200.2</v>
      </c>
      <c r="DO77" s="2" t="n">
        <v>149.3</v>
      </c>
      <c r="DP77" s="2" t="n">
        <v>184.8</v>
      </c>
      <c r="DQ77" s="2" t="n">
        <v>69.40000000000001</v>
      </c>
      <c r="DS77" s="2" t="n">
        <v>822.1</v>
      </c>
      <c r="DT77" s="2" t="n">
        <v>3020.1</v>
      </c>
      <c r="DU77" s="2" t="n">
        <v>-235.7999999999997</v>
      </c>
      <c r="DV77" s="2" t="n">
        <v>-5.300000000000182</v>
      </c>
      <c r="GZ77" s="2" t="n">
        <v>790</v>
      </c>
      <c r="IN77" s="2" t="n">
        <v>112</v>
      </c>
      <c r="IY77" s="2" t="n">
        <v>47.19243736365439</v>
      </c>
      <c r="IZ77" s="2" t="n">
        <v>0.03243736365439531</v>
      </c>
      <c r="JB77" s="2" t="n">
        <v>10.8660011899253</v>
      </c>
      <c r="JC77" s="2" t="n">
        <v>-0.0139988100747015</v>
      </c>
      <c r="JE77" s="2" t="n">
        <v>969.4</v>
      </c>
      <c r="JF77" s="2" t="n">
        <v>0.3366731999174747</v>
      </c>
    </row>
    <row r="78">
      <c r="A78" s="1" t="n">
        <v>31413</v>
      </c>
      <c r="B78" s="2" t="n">
        <v>2988.6</v>
      </c>
      <c r="C78" s="2" t="n">
        <v>3738</v>
      </c>
      <c r="D78" s="2" t="n">
        <v>431.5</v>
      </c>
      <c r="E78" s="2" t="n">
        <v>1766.4</v>
      </c>
      <c r="F78" s="2" t="n">
        <v>22.4</v>
      </c>
      <c r="G78" s="2" t="n">
        <v>99</v>
      </c>
      <c r="H78" s="2" t="n">
        <v>29.5</v>
      </c>
      <c r="I78" s="2" t="inlineStr">
        <is>
          <t>NA</t>
        </is>
      </c>
      <c r="J78" s="2" t="inlineStr">
        <is>
          <t>NA</t>
        </is>
      </c>
      <c r="K78" s="2" t="n">
        <v>1085.8</v>
      </c>
      <c r="L78" s="2" t="n">
        <v>1216</v>
      </c>
      <c r="M78" s="2" t="n">
        <v>940.3</v>
      </c>
      <c r="N78" s="2" t="n">
        <v>275.7</v>
      </c>
      <c r="O78" s="2" t="n">
        <v>136.4</v>
      </c>
      <c r="P78" s="2" t="n">
        <v>112</v>
      </c>
      <c r="Q78" s="2" t="n">
        <v>64.90000000000001</v>
      </c>
      <c r="R78" s="2" t="n">
        <v>47.1</v>
      </c>
      <c r="T78" s="2" t="n">
        <v>19.2</v>
      </c>
      <c r="U78" s="2" t="n">
        <v>20.3</v>
      </c>
      <c r="V78" s="2" t="n">
        <v>17.5</v>
      </c>
      <c r="W78" s="2" t="n">
        <v>2.8</v>
      </c>
      <c r="X78" s="2" t="n">
        <v>75.2</v>
      </c>
      <c r="Y78" s="2" t="n">
        <v>6.7</v>
      </c>
      <c r="Z78" s="2" t="n">
        <v>62.2</v>
      </c>
      <c r="AA78" s="2" t="inlineStr">
        <is>
          <t>NA</t>
        </is>
      </c>
      <c r="AB78" s="2" t="inlineStr">
        <is>
          <t>NA</t>
        </is>
      </c>
      <c r="AC78" s="2" t="inlineStr">
        <is>
          <t>NA</t>
        </is>
      </c>
      <c r="AD78" s="2" t="inlineStr">
        <is>
          <t>NA</t>
        </is>
      </c>
      <c r="AG78" s="2" t="inlineStr">
        <is>
          <t>NA</t>
        </is>
      </c>
      <c r="AH78" s="2" t="inlineStr">
        <is>
          <t>NA</t>
        </is>
      </c>
      <c r="AI78" s="2" t="n">
        <v>72.8</v>
      </c>
      <c r="AL78" s="2" t="n">
        <v>78.09999999999999</v>
      </c>
      <c r="AM78" s="2" t="n">
        <v>39.2</v>
      </c>
      <c r="AN78" s="2" t="n">
        <v>38.9</v>
      </c>
      <c r="AO78" s="2" t="n">
        <v>2265.6</v>
      </c>
      <c r="AP78" s="2" t="n">
        <v>339.4</v>
      </c>
      <c r="AQ78" s="2" t="n">
        <v>78.2</v>
      </c>
      <c r="AR78" s="2" t="n">
        <v>33</v>
      </c>
      <c r="AS78" s="2" t="n">
        <v>199.1</v>
      </c>
      <c r="AT78" s="2" t="n">
        <v>32.9</v>
      </c>
      <c r="AU78" s="2" t="n">
        <v>105.1</v>
      </c>
      <c r="AV78" s="2" t="n">
        <v>59.2</v>
      </c>
      <c r="AW78" s="2" t="n">
        <v>12.8</v>
      </c>
      <c r="AX78" s="2" t="inlineStr">
        <is>
          <t>NA</t>
        </is>
      </c>
      <c r="AY78" s="2" t="n">
        <v>50.9</v>
      </c>
      <c r="AZ78" s="2" t="n">
        <v>16.1</v>
      </c>
      <c r="BA78" s="2" t="inlineStr">
        <is>
          <t>NA</t>
        </is>
      </c>
      <c r="BB78" s="2" t="inlineStr">
        <is>
          <t>NA</t>
        </is>
      </c>
      <c r="BD78" s="2" t="n">
        <v>152</v>
      </c>
      <c r="BE78" s="2" t="n">
        <v>50.3</v>
      </c>
      <c r="BH78" s="2" t="n">
        <v>345.9</v>
      </c>
      <c r="BK78" s="2" t="n">
        <v>143</v>
      </c>
      <c r="BL78" s="2" t="n">
        <v>12</v>
      </c>
      <c r="BM78" s="2" t="n">
        <v>500.9</v>
      </c>
      <c r="BN78" s="2" t="n">
        <v>324.5</v>
      </c>
      <c r="BQ78" s="2" t="n">
        <v>72.3</v>
      </c>
      <c r="BR78" s="2" t="n">
        <v>4.9</v>
      </c>
      <c r="BS78" s="2" t="n">
        <v>401.7</v>
      </c>
      <c r="BT78" s="2" t="n">
        <v>80</v>
      </c>
      <c r="BU78" s="2" t="n">
        <v>37.6</v>
      </c>
      <c r="BV78" s="2" t="n">
        <v>378.4</v>
      </c>
      <c r="BW78" s="2" t="n">
        <v>158.7</v>
      </c>
      <c r="BX78" s="2" t="n">
        <v>544.9</v>
      </c>
      <c r="BY78" s="2" t="n">
        <v>74.7</v>
      </c>
      <c r="BZ78" s="2" t="n">
        <v>18.3</v>
      </c>
      <c r="CA78" s="2" t="n">
        <v>93</v>
      </c>
      <c r="CF78" s="2" t="n">
        <v>120.2</v>
      </c>
      <c r="CG78" s="2" t="n">
        <v>154.1</v>
      </c>
      <c r="CH78" s="2" t="n">
        <v>21.2</v>
      </c>
      <c r="CN78" s="2" t="n">
        <v>72.40000000000001</v>
      </c>
      <c r="CO78" s="2" t="n">
        <v>259</v>
      </c>
      <c r="CP78" s="2" t="n">
        <v>218.9</v>
      </c>
      <c r="CQ78" s="2" t="n">
        <v>40.1</v>
      </c>
      <c r="CR78" s="2" t="n">
        <v>13.6</v>
      </c>
      <c r="CS78" s="2" t="n">
        <v>62.7</v>
      </c>
      <c r="CT78" s="2" t="n">
        <v>47.8</v>
      </c>
      <c r="CU78" s="2" t="n">
        <v>14.9</v>
      </c>
      <c r="CV78" s="2" t="n">
        <v>92.90000000000001</v>
      </c>
      <c r="CW78" s="2" t="n">
        <v>19.4</v>
      </c>
      <c r="CX78" s="2" t="n">
        <v>73.5</v>
      </c>
      <c r="CY78" s="2" t="inlineStr">
        <is>
          <t>NA</t>
        </is>
      </c>
      <c r="CZ78" s="2" t="n">
        <v>66.90000000000001</v>
      </c>
      <c r="DA78" s="2" t="n">
        <v>38.4</v>
      </c>
      <c r="DB78" s="2" t="n">
        <v>34.9</v>
      </c>
      <c r="DC78" s="2" t="n">
        <v>3.5</v>
      </c>
      <c r="DG78" s="2" t="n">
        <v>137.7</v>
      </c>
      <c r="DH78" s="2" t="n">
        <v>125.3</v>
      </c>
      <c r="DI78" s="2" t="n">
        <v>633.3</v>
      </c>
      <c r="DJ78" s="2" t="n">
        <v>167.3</v>
      </c>
      <c r="DK78" s="2" t="n">
        <v>389.9</v>
      </c>
      <c r="DL78" s="2" t="n">
        <v>114.1</v>
      </c>
      <c r="DM78" s="2" t="n">
        <v>183.3</v>
      </c>
      <c r="DO78" s="2" t="n">
        <v>158.1</v>
      </c>
      <c r="DP78" s="2" t="n">
        <v>191.8</v>
      </c>
      <c r="DQ78" s="2" t="n">
        <v>96.59999999999999</v>
      </c>
      <c r="DS78" s="2" t="n">
        <v>791.2</v>
      </c>
      <c r="DT78" s="2" t="n">
        <v>2988.6</v>
      </c>
      <c r="DU78" s="2" t="n">
        <v>-263.0000000000005</v>
      </c>
      <c r="DV78" s="2" t="n">
        <v>0</v>
      </c>
      <c r="GZ78" s="2" t="n">
        <v>804.2</v>
      </c>
      <c r="IN78" s="2" t="n">
        <v>119.3</v>
      </c>
      <c r="IY78" s="2" t="n">
        <v>47.05480827143144</v>
      </c>
      <c r="IZ78" s="2" t="n">
        <v>-0.01519172856855988</v>
      </c>
      <c r="JB78" s="2" t="n">
        <v>10.89941778759285</v>
      </c>
      <c r="JC78" s="2" t="n">
        <v>-0.03058221240714687</v>
      </c>
      <c r="JE78" s="2" t="n">
        <v>1216</v>
      </c>
      <c r="JF78" s="2" t="n">
        <v>0.3052960526315789</v>
      </c>
    </row>
    <row r="79">
      <c r="A79" s="1" t="n">
        <v>31444</v>
      </c>
      <c r="B79" s="2" t="n">
        <v>2442.2</v>
      </c>
      <c r="C79" s="2" t="n">
        <v>2923.5</v>
      </c>
      <c r="D79" s="2" t="n">
        <v>361</v>
      </c>
      <c r="E79" s="2" t="n">
        <v>1489.4</v>
      </c>
      <c r="F79" s="2" t="n">
        <v>24.3</v>
      </c>
      <c r="G79" s="2" t="n">
        <v>70.40000000000001</v>
      </c>
      <c r="H79" s="2" t="inlineStr">
        <is>
          <t>NA</t>
        </is>
      </c>
      <c r="I79" s="2" t="inlineStr">
        <is>
          <t>NA</t>
        </is>
      </c>
      <c r="J79" s="2" t="inlineStr">
        <is>
          <t>NA</t>
        </is>
      </c>
      <c r="K79" s="2" t="n">
        <v>894.8</v>
      </c>
      <c r="L79" s="2" t="n">
        <v>1230.2</v>
      </c>
      <c r="M79" s="2" t="n">
        <v>942.8</v>
      </c>
      <c r="N79" s="2" t="n">
        <v>287.4</v>
      </c>
      <c r="O79" s="2" t="n">
        <v>115.5</v>
      </c>
      <c r="P79" s="2" t="n">
        <v>184.1</v>
      </c>
      <c r="Q79" s="2" t="n">
        <v>64.5</v>
      </c>
      <c r="R79" s="2" t="n">
        <v>119.6</v>
      </c>
      <c r="T79" s="2" t="n">
        <v>21.1</v>
      </c>
      <c r="U79" s="2" t="n">
        <v>16.5</v>
      </c>
      <c r="V79" s="2" t="n">
        <v>12.7</v>
      </c>
      <c r="W79" s="2" t="n">
        <v>3.8</v>
      </c>
      <c r="X79" s="2" t="n">
        <v>53.1</v>
      </c>
      <c r="Y79" s="2" t="n">
        <v>6.8</v>
      </c>
      <c r="Z79" s="2" t="n">
        <v>50.8</v>
      </c>
      <c r="AA79" s="2" t="n">
        <v>29.4</v>
      </c>
      <c r="AB79" s="2" t="n">
        <v>21.4</v>
      </c>
      <c r="AC79" s="2" t="inlineStr">
        <is>
          <t>NA</t>
        </is>
      </c>
      <c r="AD79" s="2" t="inlineStr">
        <is>
          <t>NA</t>
        </is>
      </c>
      <c r="AG79" s="2" t="inlineStr">
        <is>
          <t>NA</t>
        </is>
      </c>
      <c r="AH79" s="2" t="inlineStr">
        <is>
          <t>NA</t>
        </is>
      </c>
      <c r="AI79" s="2" t="n">
        <v>97.90000000000001</v>
      </c>
      <c r="AL79" s="2" t="n">
        <v>84.09999999999999</v>
      </c>
      <c r="AM79" s="2" t="n">
        <v>44.2</v>
      </c>
      <c r="AN79" s="2" t="n">
        <v>39.9</v>
      </c>
      <c r="AO79" s="2" t="n">
        <v>1857.2</v>
      </c>
      <c r="AP79" s="2" t="n">
        <v>254.1</v>
      </c>
      <c r="AQ79" s="2" t="n">
        <v>68</v>
      </c>
      <c r="AR79" s="2" t="n">
        <v>27.2</v>
      </c>
      <c r="AS79" s="2" t="n">
        <v>166.4</v>
      </c>
      <c r="AT79" s="2" t="n">
        <v>48.1</v>
      </c>
      <c r="AU79" s="2" t="n">
        <v>91.09999999999999</v>
      </c>
      <c r="AV79" s="2" t="n">
        <v>65.59999999999999</v>
      </c>
      <c r="AW79" s="2" t="n">
        <v>21.1</v>
      </c>
      <c r="AX79" s="2" t="n">
        <v>8.699999999999999</v>
      </c>
      <c r="AY79" s="2" t="n">
        <v>35.9</v>
      </c>
      <c r="AZ79" s="2" t="n">
        <v>13.7</v>
      </c>
      <c r="BA79" s="2" t="inlineStr">
        <is>
          <t>NA</t>
        </is>
      </c>
      <c r="BB79" s="2" t="inlineStr">
        <is>
          <t>NA</t>
        </is>
      </c>
      <c r="BD79" s="2" t="n">
        <v>122.7</v>
      </c>
      <c r="BE79" s="2" t="n">
        <v>48.6</v>
      </c>
      <c r="BH79" s="2" t="n">
        <v>296.9</v>
      </c>
      <c r="BK79" s="2" t="n">
        <v>114.9</v>
      </c>
      <c r="BL79" s="2" t="n">
        <v>7.4</v>
      </c>
      <c r="BM79" s="2" t="n">
        <v>419.2</v>
      </c>
      <c r="BN79" s="2" t="n">
        <v>256.6</v>
      </c>
      <c r="BQ79" s="2" t="n">
        <v>98.2</v>
      </c>
      <c r="BR79" s="2" t="n">
        <v>7</v>
      </c>
      <c r="BS79" s="2" t="n">
        <v>361.8</v>
      </c>
      <c r="BT79" s="2" t="n">
        <v>68</v>
      </c>
      <c r="BU79" s="2" t="n">
        <v>36.4</v>
      </c>
      <c r="BV79" s="2" t="n">
        <v>302.9</v>
      </c>
      <c r="BW79" s="2" t="n">
        <v>137</v>
      </c>
      <c r="BX79" s="2" t="n">
        <v>446.2</v>
      </c>
      <c r="BY79" s="2" t="n">
        <v>64.09999999999999</v>
      </c>
      <c r="BZ79" s="2" t="n">
        <v>16.5</v>
      </c>
      <c r="CA79" s="2" t="n">
        <v>80.59999999999999</v>
      </c>
      <c r="CF79" s="2" t="n">
        <v>113.8</v>
      </c>
      <c r="CG79" s="2" t="n">
        <v>160.7</v>
      </c>
      <c r="CH79" s="2" t="n">
        <v>19.3</v>
      </c>
      <c r="CN79" s="2" t="n">
        <v>61.9</v>
      </c>
      <c r="CO79" s="2" t="n">
        <v>252.1</v>
      </c>
      <c r="CP79" s="2" t="n">
        <v>223.2</v>
      </c>
      <c r="CQ79" s="2" t="n">
        <v>28.9</v>
      </c>
      <c r="CR79" s="2" t="n">
        <v>15.2</v>
      </c>
      <c r="CS79" s="2" t="n">
        <v>64.60000000000001</v>
      </c>
      <c r="CT79" s="2" t="n">
        <v>50.7</v>
      </c>
      <c r="CU79" s="2" t="n">
        <v>13.9</v>
      </c>
      <c r="CV79" s="2" t="n">
        <v>89.2</v>
      </c>
      <c r="CW79" s="2" t="n">
        <v>16.3</v>
      </c>
      <c r="CX79" s="2" t="n">
        <v>72.90000000000001</v>
      </c>
      <c r="CY79" s="2" t="inlineStr">
        <is>
          <t>NA</t>
        </is>
      </c>
      <c r="CZ79" s="2" t="n">
        <v>96.8</v>
      </c>
      <c r="DA79" s="2" t="n">
        <v>37</v>
      </c>
      <c r="DB79" s="2" t="inlineStr">
        <is>
          <t>NA</t>
        </is>
      </c>
      <c r="DC79" s="2" t="inlineStr">
        <is>
          <t>NA</t>
        </is>
      </c>
      <c r="DG79" s="2" t="n">
        <v>104</v>
      </c>
      <c r="DH79" s="2" t="n">
        <v>90.7</v>
      </c>
      <c r="DI79" s="2" t="n">
        <v>500</v>
      </c>
      <c r="DJ79" s="2" t="n">
        <v>127.3</v>
      </c>
      <c r="DK79" s="2" t="n">
        <v>340.8</v>
      </c>
      <c r="DL79" s="2" t="n">
        <v>97.40000000000001</v>
      </c>
      <c r="DM79" s="2" t="n">
        <v>174.6</v>
      </c>
      <c r="DO79" s="2" t="n">
        <v>126.5</v>
      </c>
      <c r="DP79" s="2" t="n">
        <v>161.9</v>
      </c>
      <c r="DQ79" s="2" t="n">
        <v>66</v>
      </c>
      <c r="DS79" s="2" t="n">
        <v>653</v>
      </c>
      <c r="DT79" s="2" t="n">
        <v>2442.2</v>
      </c>
      <c r="DU79" s="2" t="n">
        <v>-194.6999999999998</v>
      </c>
      <c r="DV79" s="2" t="n">
        <v>0</v>
      </c>
      <c r="GZ79" s="2" t="n">
        <v>751.1</v>
      </c>
      <c r="IN79" s="2" t="n">
        <v>109.3</v>
      </c>
      <c r="IY79" s="2" t="n">
        <v>47.29833756449104</v>
      </c>
      <c r="IZ79" s="2" t="n">
        <v>0.06833756449103845</v>
      </c>
      <c r="JB79" s="2" t="n">
        <v>10.99172876914258</v>
      </c>
      <c r="JC79" s="2" t="n">
        <v>0.02172876914257493</v>
      </c>
      <c r="JE79" s="2" t="n">
        <v>1230.2</v>
      </c>
      <c r="JF79" s="2" t="n">
        <v>0.2779840676312795</v>
      </c>
    </row>
    <row r="80">
      <c r="A80" s="1" t="n">
        <v>31472</v>
      </c>
      <c r="B80" s="2" t="n">
        <v>2748.8</v>
      </c>
      <c r="C80" s="2" t="n">
        <v>2547.4</v>
      </c>
      <c r="D80" s="2" t="n">
        <v>349.8</v>
      </c>
      <c r="E80" s="2" t="n">
        <v>1163.7</v>
      </c>
      <c r="F80" s="2" t="n">
        <v>23.6</v>
      </c>
      <c r="G80" s="2" t="n">
        <v>76.09999999999999</v>
      </c>
      <c r="H80" s="2" t="n">
        <v>17.8</v>
      </c>
      <c r="I80" s="2" t="inlineStr">
        <is>
          <t>NA</t>
        </is>
      </c>
      <c r="J80" s="2" t="inlineStr">
        <is>
          <t>NA</t>
        </is>
      </c>
      <c r="K80" s="2" t="n">
        <v>1005.4</v>
      </c>
      <c r="L80" s="2" t="n">
        <v>1314.4</v>
      </c>
      <c r="M80" s="2" t="n">
        <v>1024.8</v>
      </c>
      <c r="N80" s="2" t="n">
        <v>289.6</v>
      </c>
      <c r="O80" s="2" t="n">
        <v>112</v>
      </c>
      <c r="P80" s="2" t="n">
        <v>197.7</v>
      </c>
      <c r="Q80" s="2" t="n">
        <v>67.5</v>
      </c>
      <c r="R80" s="2" t="n">
        <v>130.2</v>
      </c>
      <c r="T80" s="2" t="n">
        <v>19.9</v>
      </c>
      <c r="U80" s="2" t="n">
        <v>26.4</v>
      </c>
      <c r="V80" s="2" t="n">
        <v>23.2</v>
      </c>
      <c r="W80" s="2" t="n">
        <v>3.2</v>
      </c>
      <c r="X80" s="2" t="n">
        <v>57.9</v>
      </c>
      <c r="Y80" s="2" t="n">
        <v>5.9</v>
      </c>
      <c r="Z80" s="2" t="n">
        <v>50.6</v>
      </c>
      <c r="AA80" s="2" t="inlineStr">
        <is>
          <t>NA</t>
        </is>
      </c>
      <c r="AB80" s="2" t="inlineStr">
        <is>
          <t>NA</t>
        </is>
      </c>
      <c r="AC80" s="2" t="inlineStr">
        <is>
          <t>NA</t>
        </is>
      </c>
      <c r="AD80" s="2" t="inlineStr">
        <is>
          <t>NA</t>
        </is>
      </c>
      <c r="AG80" s="2" t="inlineStr">
        <is>
          <t>NA</t>
        </is>
      </c>
      <c r="AH80" s="2" t="inlineStr">
        <is>
          <t>NA</t>
        </is>
      </c>
      <c r="AI80" s="2" t="n">
        <v>102.2</v>
      </c>
      <c r="AL80" s="2" t="n">
        <v>90.59999999999999</v>
      </c>
      <c r="AM80" s="2" t="n">
        <v>41.4</v>
      </c>
      <c r="AN80" s="2" t="n">
        <v>49.2</v>
      </c>
      <c r="AO80" s="2" t="n">
        <v>2077.9</v>
      </c>
      <c r="AP80" s="2" t="n">
        <v>354.3</v>
      </c>
      <c r="AQ80" s="2" t="n">
        <v>81.8</v>
      </c>
      <c r="AR80" s="2" t="n">
        <v>32.3</v>
      </c>
      <c r="AS80" s="2" t="n">
        <v>159.1</v>
      </c>
      <c r="AT80" s="2" t="n">
        <v>77.3</v>
      </c>
      <c r="AU80" s="2" t="n">
        <v>85.40000000000001</v>
      </c>
      <c r="AV80" s="2" t="n">
        <v>69.8</v>
      </c>
      <c r="AW80" s="2" t="n">
        <v>12</v>
      </c>
      <c r="AX80" s="2" t="n">
        <v>3.9</v>
      </c>
      <c r="AY80" s="2" t="n">
        <v>38.6</v>
      </c>
      <c r="AZ80" s="2" t="n">
        <v>15.4</v>
      </c>
      <c r="BA80" s="2" t="inlineStr">
        <is>
          <t>NA</t>
        </is>
      </c>
      <c r="BB80" s="2" t="inlineStr">
        <is>
          <t>NA</t>
        </is>
      </c>
      <c r="BD80" s="2" t="n">
        <v>134.6</v>
      </c>
      <c r="BE80" s="2" t="n">
        <v>49.5</v>
      </c>
      <c r="BH80" s="2" t="n">
        <v>304.7</v>
      </c>
      <c r="BK80" s="2" t="n">
        <v>133.6</v>
      </c>
      <c r="BL80" s="2" t="n">
        <v>7.4</v>
      </c>
      <c r="BM80" s="2" t="n">
        <v>445.7</v>
      </c>
      <c r="BN80" s="2" t="n">
        <v>292</v>
      </c>
      <c r="BQ80" s="2" t="n">
        <v>92.2</v>
      </c>
      <c r="BR80" s="2" t="n">
        <v>7.8</v>
      </c>
      <c r="BS80" s="2" t="n">
        <v>392</v>
      </c>
      <c r="BT80" s="2" t="n">
        <v>76</v>
      </c>
      <c r="BU80" s="2" t="n">
        <v>40.8</v>
      </c>
      <c r="BV80" s="2" t="n">
        <v>317.8</v>
      </c>
      <c r="BW80" s="2" t="n">
        <v>142</v>
      </c>
      <c r="BX80" s="2" t="n">
        <v>446.3</v>
      </c>
      <c r="BY80" s="2" t="n">
        <v>72.09999999999999</v>
      </c>
      <c r="BZ80" s="2" t="n">
        <v>14.9</v>
      </c>
      <c r="CA80" s="2" t="n">
        <v>87</v>
      </c>
      <c r="CF80" s="2" t="n">
        <v>126.6</v>
      </c>
      <c r="CG80" s="2" t="n">
        <v>182.7</v>
      </c>
      <c r="CH80" s="2" t="n">
        <v>25.3</v>
      </c>
      <c r="CN80" s="2" t="n">
        <v>63.6</v>
      </c>
      <c r="CO80" s="2" t="n">
        <v>285.1</v>
      </c>
      <c r="CP80" s="2" t="n">
        <v>249.6</v>
      </c>
      <c r="CQ80" s="2" t="n">
        <v>35.5</v>
      </c>
      <c r="CR80" s="2" t="inlineStr">
        <is>
          <t>NA</t>
        </is>
      </c>
      <c r="CS80" s="2" t="n">
        <v>66</v>
      </c>
      <c r="CT80" s="2" t="n">
        <v>47.8</v>
      </c>
      <c r="CU80" s="2" t="n">
        <v>18.2</v>
      </c>
      <c r="CV80" s="2" t="n">
        <v>93.90000000000001</v>
      </c>
      <c r="CW80" s="2" t="n">
        <v>17.7</v>
      </c>
      <c r="CX80" s="2" t="n">
        <v>76.2</v>
      </c>
      <c r="CY80" s="2" t="inlineStr">
        <is>
          <t>NA</t>
        </is>
      </c>
      <c r="CZ80" s="2" t="n">
        <v>79.40000000000001</v>
      </c>
      <c r="DA80" s="2" t="n">
        <v>33.5</v>
      </c>
      <c r="DB80" s="2" t="inlineStr">
        <is>
          <t>NA</t>
        </is>
      </c>
      <c r="DC80" s="2" t="inlineStr">
        <is>
          <t>NA</t>
        </is>
      </c>
      <c r="DG80" s="2" t="n">
        <v>121.5</v>
      </c>
      <c r="DI80" s="2" t="n">
        <v>594.9</v>
      </c>
      <c r="DK80" s="2" t="n">
        <v>380.9</v>
      </c>
      <c r="DL80" s="2" t="n">
        <v>98</v>
      </c>
      <c r="DM80" s="2" t="n">
        <v>186.9</v>
      </c>
      <c r="DO80" s="2" t="n">
        <v>141.5</v>
      </c>
      <c r="DP80" s="2" t="n">
        <v>188.9</v>
      </c>
      <c r="DQ80" s="2" t="n">
        <v>68.40000000000001</v>
      </c>
      <c r="DS80" s="2" t="n">
        <v>967.8</v>
      </c>
      <c r="DT80" s="2" t="n">
        <v>2748.8</v>
      </c>
      <c r="DU80" s="2" t="n">
        <v>-121.5</v>
      </c>
      <c r="DV80" s="2" t="n">
        <v>0</v>
      </c>
      <c r="GZ80" s="2" t="n">
        <v>819.5</v>
      </c>
      <c r="IN80" s="2" t="n">
        <v>112.9</v>
      </c>
      <c r="IY80" s="2" t="n">
        <v>47.1412980209546</v>
      </c>
      <c r="IZ80" s="2" t="n">
        <v>0.03129802095460121</v>
      </c>
      <c r="JB80" s="2" t="n">
        <v>10.97278812572759</v>
      </c>
      <c r="JC80" s="2" t="n">
        <v>-0.02721187427241212</v>
      </c>
      <c r="JE80" s="2" t="n">
        <v>1314.4</v>
      </c>
      <c r="JF80" s="2" t="n">
        <v>0.298923463177115</v>
      </c>
    </row>
    <row r="81">
      <c r="A81" s="1" t="n">
        <v>31503</v>
      </c>
      <c r="B81" s="2" t="n">
        <v>2532.9</v>
      </c>
      <c r="C81" s="2" t="n">
        <v>2028.4</v>
      </c>
      <c r="D81" s="2" t="n">
        <v>381.3</v>
      </c>
      <c r="E81" s="2" t="n">
        <v>883.6</v>
      </c>
      <c r="F81" s="2" t="n">
        <v>24.8</v>
      </c>
      <c r="G81" s="2" t="n">
        <v>82.59999999999999</v>
      </c>
      <c r="H81" s="2" t="n">
        <v>8.4</v>
      </c>
      <c r="I81" s="2" t="inlineStr">
        <is>
          <t>NA</t>
        </is>
      </c>
      <c r="J81" s="2" t="inlineStr">
        <is>
          <t>NA</t>
        </is>
      </c>
      <c r="K81" s="2" t="n">
        <v>935.4</v>
      </c>
      <c r="L81" s="2" t="n">
        <v>1286.2</v>
      </c>
      <c r="M81" s="2" t="n">
        <v>981.9</v>
      </c>
      <c r="N81" s="2" t="n">
        <v>304.3</v>
      </c>
      <c r="O81" s="2" t="n">
        <v>93.7</v>
      </c>
      <c r="P81" s="2" t="n">
        <v>179.7</v>
      </c>
      <c r="Q81" s="2" t="n">
        <v>57.3</v>
      </c>
      <c r="R81" s="2" t="n">
        <v>122.4</v>
      </c>
      <c r="T81" s="2" t="n">
        <v>20.8</v>
      </c>
      <c r="U81" s="2" t="n">
        <v>31.3</v>
      </c>
      <c r="V81" s="2" t="n">
        <v>28.1</v>
      </c>
      <c r="W81" s="2" t="n">
        <v>3.2</v>
      </c>
      <c r="X81" s="2" t="n">
        <v>64.2</v>
      </c>
      <c r="Y81" s="2" t="n">
        <v>11.7</v>
      </c>
      <c r="Z81" s="2" t="n">
        <v>56.2</v>
      </c>
      <c r="AA81" s="2" t="n">
        <v>31.7</v>
      </c>
      <c r="AB81" s="2" t="n">
        <v>24.5</v>
      </c>
      <c r="AC81" s="2" t="inlineStr">
        <is>
          <t>NA</t>
        </is>
      </c>
      <c r="AD81" s="2" t="inlineStr">
        <is>
          <t>NA</t>
        </is>
      </c>
      <c r="AG81" s="2" t="inlineStr">
        <is>
          <t>NA</t>
        </is>
      </c>
      <c r="AH81" s="2" t="inlineStr">
        <is>
          <t>NA</t>
        </is>
      </c>
      <c r="AI81" s="2" t="n">
        <v>109.8</v>
      </c>
      <c r="AL81" s="2" t="n">
        <v>88.59999999999999</v>
      </c>
      <c r="AM81" s="2" t="n">
        <v>46.5</v>
      </c>
      <c r="AN81" s="2" t="n">
        <v>42.1</v>
      </c>
      <c r="AO81" s="2" t="n">
        <v>1926.7</v>
      </c>
      <c r="AP81" s="2" t="n">
        <v>267.5</v>
      </c>
      <c r="AQ81" s="2" t="n">
        <v>81.7</v>
      </c>
      <c r="AR81" s="2" t="n">
        <v>33.3</v>
      </c>
      <c r="AS81" s="2" t="n">
        <v>128.6</v>
      </c>
      <c r="AT81" s="2" t="n">
        <v>92.59999999999999</v>
      </c>
      <c r="AU81" s="2" t="n">
        <v>69.90000000000001</v>
      </c>
      <c r="AV81" s="2" t="n">
        <v>75.3</v>
      </c>
      <c r="AW81" s="2" t="n">
        <v>13.3</v>
      </c>
      <c r="AX81" s="2" t="n">
        <v>5</v>
      </c>
      <c r="AY81" s="2" t="n">
        <v>42.2</v>
      </c>
      <c r="AZ81" s="2" t="n">
        <v>11.8</v>
      </c>
      <c r="BA81" s="2" t="inlineStr">
        <is>
          <t>NA</t>
        </is>
      </c>
      <c r="BB81" s="2" t="inlineStr">
        <is>
          <t>NA</t>
        </is>
      </c>
      <c r="BD81" s="2" t="n">
        <v>142.6</v>
      </c>
      <c r="BE81" s="2" t="n">
        <v>58.6</v>
      </c>
      <c r="BH81" s="2" t="n">
        <v>347.4</v>
      </c>
      <c r="BK81" s="2" t="n">
        <v>138.1</v>
      </c>
      <c r="BL81" s="2" t="n">
        <v>7.7</v>
      </c>
      <c r="BM81" s="2" t="n">
        <v>493.2</v>
      </c>
      <c r="BN81" s="2" t="n">
        <v>278.5</v>
      </c>
      <c r="BQ81" s="2" t="n">
        <v>91</v>
      </c>
      <c r="BR81" s="2" t="n">
        <v>7.8</v>
      </c>
      <c r="BS81" s="2" t="n">
        <v>377.3</v>
      </c>
      <c r="BT81" s="2" t="n">
        <v>81</v>
      </c>
      <c r="BU81" s="2" t="n">
        <v>4</v>
      </c>
      <c r="BV81" s="2" t="n">
        <v>353.2</v>
      </c>
      <c r="BW81" s="2" t="n">
        <v>152</v>
      </c>
      <c r="BX81" s="2" t="n">
        <v>512.5</v>
      </c>
      <c r="BY81" s="2" t="n">
        <v>64.90000000000001</v>
      </c>
      <c r="BZ81" s="2" t="n">
        <v>13</v>
      </c>
      <c r="CA81" s="2" t="n">
        <v>77.90000000000001</v>
      </c>
      <c r="CF81" s="2" t="n">
        <v>120.7</v>
      </c>
      <c r="CG81" s="2" t="n">
        <v>183.4</v>
      </c>
      <c r="CH81" s="2" t="n">
        <v>29.2</v>
      </c>
      <c r="CN81" s="2" t="n">
        <v>57.4</v>
      </c>
      <c r="CO81" s="2" t="n">
        <v>247.4</v>
      </c>
      <c r="CP81" s="2" t="n">
        <v>215.8</v>
      </c>
      <c r="CQ81" s="2" t="n">
        <v>31.6</v>
      </c>
      <c r="CR81" s="2" t="inlineStr">
        <is>
          <t>NA</t>
        </is>
      </c>
      <c r="CS81" s="2" t="n">
        <v>56.1</v>
      </c>
      <c r="CT81" s="2" t="n">
        <v>38.5</v>
      </c>
      <c r="CU81" s="2" t="n">
        <v>17.6</v>
      </c>
      <c r="CV81" s="2" t="n">
        <v>67.09999999999999</v>
      </c>
      <c r="CW81" s="2" t="n">
        <v>13.6</v>
      </c>
      <c r="CX81" s="2" t="n">
        <v>53.5</v>
      </c>
      <c r="CY81" s="2" t="inlineStr">
        <is>
          <t>NA</t>
        </is>
      </c>
      <c r="CZ81" s="2" t="n">
        <v>62.6</v>
      </c>
      <c r="DA81" s="2" t="n">
        <v>30</v>
      </c>
      <c r="DB81" s="2" t="inlineStr">
        <is>
          <t>NA</t>
        </is>
      </c>
      <c r="DC81" s="2" t="inlineStr">
        <is>
          <t>NA</t>
        </is>
      </c>
      <c r="DG81" s="2" t="n">
        <v>107.1</v>
      </c>
      <c r="DI81" s="2" t="n">
        <v>531.1</v>
      </c>
      <c r="DJ81" s="2" t="n">
        <v>151</v>
      </c>
      <c r="DK81" s="2" t="n">
        <v>316.8</v>
      </c>
      <c r="DM81" s="2" t="n">
        <v>163</v>
      </c>
      <c r="DO81" s="2" t="n">
        <v>151.2</v>
      </c>
      <c r="DP81" s="2" t="n">
        <v>171.1</v>
      </c>
      <c r="DQ81" s="2" t="n">
        <v>59.4</v>
      </c>
      <c r="DS81" s="2" t="n">
        <v>882.3</v>
      </c>
      <c r="DT81" s="2" t="n">
        <v>2533</v>
      </c>
      <c r="DU81" s="2" t="n">
        <v>-107.0999999999999</v>
      </c>
      <c r="DV81" s="2" t="n">
        <v>0.09999999999990905</v>
      </c>
      <c r="GZ81" s="2" t="n">
        <v>783</v>
      </c>
      <c r="IN81" s="2" t="n">
        <v>95</v>
      </c>
      <c r="IY81" s="2" t="n">
        <v>47.57550633661021</v>
      </c>
      <c r="IZ81" s="2" t="n">
        <v>0.03550633661021152</v>
      </c>
      <c r="JB81" s="2" t="n">
        <v>11.07900035532394</v>
      </c>
      <c r="JC81" s="2" t="n">
        <v>0.1590003553239363</v>
      </c>
      <c r="JE81" s="2" t="n">
        <v>1286.2</v>
      </c>
      <c r="JF81" s="2" t="n">
        <v>0.2846470222360442</v>
      </c>
    </row>
    <row r="82">
      <c r="A82" s="1" t="n">
        <v>31533</v>
      </c>
      <c r="B82" s="2" t="n">
        <v>2588.1</v>
      </c>
      <c r="C82" s="2" t="n">
        <v>1595.4</v>
      </c>
      <c r="D82" s="2" t="n">
        <v>213.8</v>
      </c>
      <c r="E82" s="2" t="n">
        <v>638.9</v>
      </c>
      <c r="F82" s="2" t="n">
        <v>37.8</v>
      </c>
      <c r="G82" s="2" t="n">
        <v>39</v>
      </c>
      <c r="H82" s="2" t="n">
        <v>13.7</v>
      </c>
      <c r="I82" s="2" t="inlineStr">
        <is>
          <t>NA</t>
        </is>
      </c>
      <c r="J82" s="2" t="inlineStr">
        <is>
          <t>NA</t>
        </is>
      </c>
      <c r="K82" s="2" t="n">
        <v>953.3</v>
      </c>
      <c r="L82" s="2" t="n">
        <v>1421.6</v>
      </c>
      <c r="M82" s="2" t="n">
        <v>1115.1</v>
      </c>
      <c r="N82" s="2" t="n">
        <v>306.5</v>
      </c>
      <c r="O82" s="2" t="n">
        <v>69.59999999999999</v>
      </c>
      <c r="P82" s="2" t="n">
        <v>167.9</v>
      </c>
      <c r="Q82" s="2" t="n">
        <v>52.2</v>
      </c>
      <c r="R82" s="2" t="n">
        <v>115.7</v>
      </c>
      <c r="T82" s="2" t="n">
        <v>24</v>
      </c>
      <c r="U82" s="2" t="n">
        <v>37.1</v>
      </c>
      <c r="V82" s="2" t="n">
        <v>33.7</v>
      </c>
      <c r="W82" s="2" t="n">
        <v>3.4</v>
      </c>
      <c r="X82" s="2" t="n">
        <v>30</v>
      </c>
      <c r="Y82" s="2" t="n">
        <v>6</v>
      </c>
      <c r="Z82" s="2" t="n">
        <v>43.90000000000001</v>
      </c>
      <c r="AA82" s="2" t="n">
        <v>32.7</v>
      </c>
      <c r="AB82" s="2" t="n">
        <v>11.2</v>
      </c>
      <c r="AC82" s="2" t="inlineStr">
        <is>
          <t>NA</t>
        </is>
      </c>
      <c r="AD82" s="2" t="inlineStr">
        <is>
          <t>NA</t>
        </is>
      </c>
      <c r="AG82" s="2" t="inlineStr">
        <is>
          <t>NA</t>
        </is>
      </c>
      <c r="AH82" s="2" t="inlineStr">
        <is>
          <t>NA</t>
        </is>
      </c>
      <c r="AI82" s="2" t="n">
        <v>118.4</v>
      </c>
      <c r="AL82" s="2" t="n">
        <v>81.3</v>
      </c>
      <c r="AM82" s="2" t="n">
        <v>40.8</v>
      </c>
      <c r="AN82" s="2" t="n">
        <v>40.5</v>
      </c>
      <c r="AO82" s="2" t="n">
        <v>1949.5</v>
      </c>
      <c r="AP82" s="2" t="n">
        <v>249.3</v>
      </c>
      <c r="AQ82" s="2" t="n">
        <v>87.2</v>
      </c>
      <c r="AR82" s="2" t="n">
        <v>33.1</v>
      </c>
      <c r="AS82" s="2" t="n">
        <v>97.5</v>
      </c>
      <c r="AT82" s="2" t="n">
        <v>101.4</v>
      </c>
      <c r="AU82" s="2" t="n">
        <v>53.6</v>
      </c>
      <c r="AV82" s="2" t="n">
        <v>69.09999999999999</v>
      </c>
      <c r="AW82" s="2" t="n">
        <v>16.6</v>
      </c>
      <c r="AX82" s="2" t="n">
        <v>8.5</v>
      </c>
      <c r="AY82" s="2" t="n">
        <v>20.7</v>
      </c>
      <c r="AZ82" s="2" t="n">
        <v>7.6</v>
      </c>
      <c r="BA82" s="2" t="inlineStr">
        <is>
          <t>NA</t>
        </is>
      </c>
      <c r="BB82" s="2" t="inlineStr">
        <is>
          <t>NA</t>
        </is>
      </c>
      <c r="BD82" s="2" t="n">
        <v>140.1</v>
      </c>
      <c r="BE82" s="2" t="n">
        <v>48.7</v>
      </c>
      <c r="BH82" s="2" t="n">
        <v>332.6</v>
      </c>
      <c r="BK82" s="2" t="n">
        <v>134.1</v>
      </c>
      <c r="BL82" s="2" t="n">
        <v>7.6</v>
      </c>
      <c r="BM82" s="2" t="n">
        <v>474.3</v>
      </c>
      <c r="BN82" s="2" t="n">
        <v>277.3</v>
      </c>
      <c r="BQ82" s="2" t="n">
        <v>87.40000000000001</v>
      </c>
      <c r="BR82" s="2" t="n">
        <v>7.8</v>
      </c>
      <c r="BS82" s="2" t="n">
        <v>372.5000000000001</v>
      </c>
      <c r="BT82" s="2" t="n">
        <v>76</v>
      </c>
      <c r="BU82" s="2" t="n">
        <v>35.5</v>
      </c>
      <c r="BV82" s="2" t="n">
        <v>327.4</v>
      </c>
      <c r="BW82" s="2" t="n">
        <v>150.4</v>
      </c>
      <c r="BX82" s="2" t="n">
        <v>494.9</v>
      </c>
      <c r="BY82" s="2" t="n">
        <v>56.7</v>
      </c>
      <c r="BZ82" s="2" t="n">
        <v>12.1</v>
      </c>
      <c r="CA82" s="2" t="n">
        <v>68.8</v>
      </c>
      <c r="CF82" s="2" t="n">
        <v>111.7</v>
      </c>
      <c r="CG82" s="2" t="n">
        <v>181.1</v>
      </c>
      <c r="CH82" s="2" t="n">
        <v>27.6</v>
      </c>
      <c r="CN82" s="2" t="n">
        <v>65.90000000000001</v>
      </c>
      <c r="CO82" s="2" t="n">
        <v>289.3</v>
      </c>
      <c r="CP82" s="2" t="n">
        <v>258.6</v>
      </c>
      <c r="CQ82" s="2" t="n">
        <v>30.7</v>
      </c>
      <c r="CR82" s="2" t="inlineStr">
        <is>
          <t>NA</t>
        </is>
      </c>
      <c r="CS82" s="2" t="n">
        <v>40.1</v>
      </c>
      <c r="CT82" s="2" t="n">
        <v>28.2</v>
      </c>
      <c r="CU82" s="2" t="n">
        <v>11.9</v>
      </c>
      <c r="CV82" s="2" t="n">
        <v>80.8</v>
      </c>
      <c r="CW82" s="2" t="n">
        <v>18.8</v>
      </c>
      <c r="CX82" s="2" t="n">
        <v>62</v>
      </c>
      <c r="CY82" s="2" t="inlineStr">
        <is>
          <t>NA</t>
        </is>
      </c>
      <c r="CZ82" s="2" t="n">
        <v>102.1</v>
      </c>
      <c r="DA82" s="2" t="n">
        <v>28.8</v>
      </c>
      <c r="DB82" s="2" t="inlineStr">
        <is>
          <t>NA</t>
        </is>
      </c>
      <c r="DC82" s="2" t="inlineStr">
        <is>
          <t>NA</t>
        </is>
      </c>
      <c r="DG82" s="2" t="n">
        <v>103.3</v>
      </c>
      <c r="DH82" s="2" t="n">
        <v>77.09999999999999</v>
      </c>
      <c r="DI82" s="2" t="n">
        <v>474.5</v>
      </c>
      <c r="DJ82" s="2" t="n">
        <v>181.1</v>
      </c>
      <c r="DK82" s="2" t="n">
        <v>355</v>
      </c>
      <c r="DL82" s="2" t="n">
        <v>113</v>
      </c>
      <c r="DM82" s="2" t="n">
        <v>182</v>
      </c>
      <c r="DO82" s="2" t="n">
        <v>145.3</v>
      </c>
      <c r="DP82" s="2" t="n">
        <v>169.8</v>
      </c>
      <c r="DQ82" s="2" t="n">
        <v>59.8</v>
      </c>
      <c r="DS82" s="2" t="n">
        <v>727.6</v>
      </c>
      <c r="DT82" s="2" t="n">
        <v>2588.5</v>
      </c>
      <c r="DU82" s="2" t="n">
        <v>-180.4000000000001</v>
      </c>
      <c r="DV82" s="2" t="n">
        <v>0.4000000000000909</v>
      </c>
      <c r="GZ82" s="2" t="n">
        <v>808.5</v>
      </c>
      <c r="IN82" s="2" t="n">
        <v>63.7</v>
      </c>
      <c r="IY82" s="2" t="n">
        <v>47.21687724585604</v>
      </c>
      <c r="IZ82" s="2" t="n">
        <v>-0.1031227541439605</v>
      </c>
      <c r="JB82" s="2" t="n">
        <v>11.05019125999768</v>
      </c>
      <c r="JC82" s="2" t="n">
        <v>-0.009808740002318572</v>
      </c>
      <c r="JE82" s="2" t="n">
        <v>1421.6</v>
      </c>
      <c r="JF82" s="2" t="n">
        <v>0.3505514912774339</v>
      </c>
    </row>
    <row r="83">
      <c r="A83" s="1" t="n">
        <v>31564</v>
      </c>
      <c r="B83" s="2" t="n">
        <v>2387.6</v>
      </c>
      <c r="C83" s="2" t="n">
        <v>1220.8</v>
      </c>
      <c r="D83" s="2" t="n">
        <v>154.5</v>
      </c>
      <c r="E83" s="2" t="n">
        <v>445.5</v>
      </c>
      <c r="F83" s="2" t="n">
        <v>31.8</v>
      </c>
      <c r="G83" s="2" t="n">
        <v>32.8</v>
      </c>
      <c r="H83" s="2" t="inlineStr">
        <is>
          <t>NA</t>
        </is>
      </c>
      <c r="I83" s="2" t="inlineStr">
        <is>
          <t>NA</t>
        </is>
      </c>
      <c r="J83" s="2" t="inlineStr">
        <is>
          <t>NA</t>
        </is>
      </c>
      <c r="K83" s="2" t="n">
        <v>881.9</v>
      </c>
      <c r="L83" s="2" t="n">
        <v>1286.2</v>
      </c>
      <c r="M83" s="2" t="n">
        <v>1000.1</v>
      </c>
      <c r="N83" s="2" t="n">
        <v>286.1</v>
      </c>
      <c r="O83" s="2" t="n">
        <v>50.1</v>
      </c>
      <c r="P83" s="2" t="n">
        <v>154.6</v>
      </c>
      <c r="Q83" s="2" t="n">
        <v>48.7</v>
      </c>
      <c r="R83" s="2" t="n">
        <v>105.9</v>
      </c>
      <c r="T83" s="2" t="n">
        <v>26.4</v>
      </c>
      <c r="U83" s="2" t="n">
        <v>54.7</v>
      </c>
      <c r="V83" s="2" t="n">
        <v>51.1</v>
      </c>
      <c r="W83" s="2" t="n">
        <v>3.6</v>
      </c>
      <c r="X83" s="2" t="n">
        <v>25.8</v>
      </c>
      <c r="Y83" s="2" t="n">
        <v>3.8</v>
      </c>
      <c r="Z83" s="2" t="n">
        <v>48</v>
      </c>
      <c r="AA83" s="2" t="n">
        <v>39.4</v>
      </c>
      <c r="AB83" s="2" t="n">
        <v>8.6</v>
      </c>
      <c r="AC83" s="2" t="inlineStr">
        <is>
          <t>NA</t>
        </is>
      </c>
      <c r="AD83" s="2" t="inlineStr">
        <is>
          <t>NA</t>
        </is>
      </c>
      <c r="AG83" s="2" t="inlineStr">
        <is>
          <t>NA</t>
        </is>
      </c>
      <c r="AH83" s="2" t="inlineStr">
        <is>
          <t>NA</t>
        </is>
      </c>
      <c r="AI83" s="2" t="n">
        <v>106.3</v>
      </c>
      <c r="AL83" s="2" t="n">
        <v>95.90000000000001</v>
      </c>
      <c r="AM83" s="2" t="n">
        <v>44.1</v>
      </c>
      <c r="AN83" s="2" t="n">
        <v>51.8</v>
      </c>
      <c r="AO83" s="2" t="n">
        <v>1799.6</v>
      </c>
      <c r="AP83" s="2" t="n">
        <v>242.1</v>
      </c>
      <c r="AQ83" s="2" t="n">
        <v>79.8</v>
      </c>
      <c r="AR83" s="2" t="n">
        <v>36.6</v>
      </c>
      <c r="AS83" s="2" t="n">
        <v>71.40000000000001</v>
      </c>
      <c r="AT83" s="2" t="n">
        <v>101.8</v>
      </c>
      <c r="AU83" s="2" t="n">
        <v>40.2</v>
      </c>
      <c r="AV83" s="2" t="n">
        <v>67.7</v>
      </c>
      <c r="AW83" s="2" t="n">
        <v>16.3</v>
      </c>
      <c r="AX83" s="2" t="n">
        <v>12.2</v>
      </c>
      <c r="AY83" s="2" t="n">
        <v>19.1</v>
      </c>
      <c r="AZ83" s="2" t="n">
        <v>8.6</v>
      </c>
      <c r="BA83" s="2" t="inlineStr">
        <is>
          <t>NA</t>
        </is>
      </c>
      <c r="BB83" s="2" t="inlineStr">
        <is>
          <t>NA</t>
        </is>
      </c>
      <c r="BD83" s="2" t="n">
        <v>126.6</v>
      </c>
      <c r="BE83" s="2" t="n">
        <v>33.7</v>
      </c>
      <c r="BH83" s="2" t="n">
        <v>314.1</v>
      </c>
      <c r="BK83" s="2" t="n">
        <v>144.1</v>
      </c>
      <c r="BL83" s="2" t="n">
        <v>7.4</v>
      </c>
      <c r="BM83" s="2" t="n">
        <v>465.6</v>
      </c>
      <c r="BN83" s="2" t="n">
        <v>296.6</v>
      </c>
      <c r="BQ83" s="2" t="n">
        <v>89</v>
      </c>
      <c r="BR83" s="2" t="n">
        <v>7.4</v>
      </c>
      <c r="BS83" s="2" t="n">
        <v>393</v>
      </c>
      <c r="BT83" s="2" t="n">
        <v>67</v>
      </c>
      <c r="BU83" s="2" t="n">
        <v>27.3</v>
      </c>
      <c r="BV83" s="2" t="n">
        <v>314.8</v>
      </c>
      <c r="BW83" s="2" t="n">
        <v>137</v>
      </c>
      <c r="BX83" s="2" t="n">
        <v>468.5</v>
      </c>
      <c r="BY83" s="2" t="n">
        <v>50.9</v>
      </c>
      <c r="BZ83" s="2" t="n">
        <v>12.1</v>
      </c>
      <c r="CA83" s="2" t="n">
        <v>63</v>
      </c>
      <c r="CF83" s="2" t="n">
        <v>108.4</v>
      </c>
      <c r="CG83" s="2" t="n">
        <v>175.5</v>
      </c>
      <c r="CH83" s="2" t="n">
        <v>26.5</v>
      </c>
      <c r="CN83" s="2" t="n">
        <v>57.1</v>
      </c>
      <c r="CO83" s="2" t="n">
        <v>275</v>
      </c>
      <c r="CP83" s="2" t="n">
        <v>239.7</v>
      </c>
      <c r="CQ83" s="2" t="n">
        <v>35.3</v>
      </c>
      <c r="CR83" s="2" t="inlineStr">
        <is>
          <t>NA</t>
        </is>
      </c>
      <c r="CS83" s="2" t="n">
        <v>46</v>
      </c>
      <c r="CT83" s="2" t="n">
        <v>30</v>
      </c>
      <c r="CU83" s="2" t="n">
        <v>16</v>
      </c>
      <c r="CV83" s="2" t="n">
        <v>75.40000000000001</v>
      </c>
      <c r="CW83" s="2" t="n">
        <v>18.9</v>
      </c>
      <c r="CX83" s="2" t="n">
        <v>56.5</v>
      </c>
      <c r="CY83" s="2" t="inlineStr">
        <is>
          <t>NA</t>
        </is>
      </c>
      <c r="CZ83" s="2" t="n">
        <v>81.5</v>
      </c>
      <c r="DA83" s="2" t="n">
        <v>17.8</v>
      </c>
      <c r="DB83" s="2" t="inlineStr">
        <is>
          <t>NA</t>
        </is>
      </c>
      <c r="DC83" s="2" t="inlineStr">
        <is>
          <t>NA</t>
        </is>
      </c>
      <c r="DH83" s="2" t="n">
        <v>107.8</v>
      </c>
      <c r="DI83" s="2" t="n">
        <v>459.3</v>
      </c>
      <c r="DJ83" s="2" t="n">
        <v>133</v>
      </c>
      <c r="DK83" s="2" t="n">
        <v>343.4</v>
      </c>
      <c r="DL83" s="2" t="n">
        <v>107.5</v>
      </c>
      <c r="DM83" s="2" t="n">
        <v>179</v>
      </c>
      <c r="DO83" s="2" t="n">
        <v>132.8</v>
      </c>
      <c r="DP83" s="2" t="n">
        <v>158.7</v>
      </c>
      <c r="DS83" s="2" t="n">
        <v>766</v>
      </c>
      <c r="DT83" s="2" t="n">
        <v>2387.5</v>
      </c>
      <c r="DU83" s="2" t="n">
        <v>-107.8000000000002</v>
      </c>
      <c r="DV83" s="2" t="n">
        <v>-0.09999999999990905</v>
      </c>
      <c r="GZ83" s="2" t="n">
        <v>816.8</v>
      </c>
      <c r="IN83" s="2" t="n">
        <v>54.9</v>
      </c>
      <c r="IY83" s="2" t="n">
        <v>47.22901658569275</v>
      </c>
      <c r="IZ83" s="2" t="n">
        <v>0.09901658569274474</v>
      </c>
      <c r="JB83" s="2" t="n">
        <v>11.08100184285475</v>
      </c>
      <c r="JC83" s="2" t="n">
        <v>-0.24899815714525</v>
      </c>
      <c r="JE83" s="2" t="n">
        <v>1286.2</v>
      </c>
      <c r="JF83" s="2" t="n">
        <v>0.3286277406313171</v>
      </c>
    </row>
    <row r="84">
      <c r="A84" s="1" t="n">
        <v>31594</v>
      </c>
      <c r="B84" s="2" t="n">
        <v>2492.9</v>
      </c>
      <c r="C84" s="2" t="n">
        <v>1206.9</v>
      </c>
      <c r="D84" s="2" t="n">
        <v>115.3</v>
      </c>
      <c r="E84" s="2" t="n">
        <v>346.6</v>
      </c>
      <c r="F84" s="2" t="n">
        <v>16.8</v>
      </c>
      <c r="G84" s="2" t="inlineStr">
        <is>
          <t>NA</t>
        </is>
      </c>
      <c r="H84" s="2" t="inlineStr">
        <is>
          <t>NA</t>
        </is>
      </c>
      <c r="I84" s="2" t="inlineStr">
        <is>
          <t>NA</t>
        </is>
      </c>
      <c r="J84" s="2" t="inlineStr">
        <is>
          <t>NA</t>
        </is>
      </c>
      <c r="K84" s="2" t="n">
        <v>909.5</v>
      </c>
      <c r="L84" s="2" t="n">
        <v>1320.8</v>
      </c>
      <c r="M84" s="2" t="n">
        <v>1031.7</v>
      </c>
      <c r="N84" s="2" t="n">
        <v>289.1</v>
      </c>
      <c r="O84" s="2" t="n">
        <v>37.8</v>
      </c>
      <c r="P84" s="2" t="n">
        <v>110.4</v>
      </c>
      <c r="Q84" s="2" t="n">
        <v>35.4</v>
      </c>
      <c r="R84" s="2" t="n">
        <v>75</v>
      </c>
      <c r="T84" s="2" t="n">
        <v>14.2</v>
      </c>
      <c r="U84" s="2" t="n">
        <v>61.8</v>
      </c>
      <c r="V84" s="2" t="n">
        <v>57</v>
      </c>
      <c r="W84" s="2" t="n">
        <v>4.8</v>
      </c>
      <c r="X84" s="2" t="inlineStr">
        <is>
          <t>NA</t>
        </is>
      </c>
      <c r="Y84" s="2" t="n">
        <v>4.9</v>
      </c>
      <c r="Z84" s="2" t="n">
        <v>73.5</v>
      </c>
      <c r="AA84" s="2" t="n">
        <v>63.6</v>
      </c>
      <c r="AB84" s="2" t="n">
        <v>9.9</v>
      </c>
      <c r="AC84" s="2" t="inlineStr">
        <is>
          <t>NA</t>
        </is>
      </c>
      <c r="AD84" s="2" t="inlineStr">
        <is>
          <t>NA</t>
        </is>
      </c>
      <c r="AG84" s="2" t="inlineStr">
        <is>
          <t>NA</t>
        </is>
      </c>
      <c r="AH84" s="2" t="inlineStr">
        <is>
          <t>NA</t>
        </is>
      </c>
      <c r="AI84" s="2" t="n">
        <v>108.6</v>
      </c>
      <c r="AL84" s="2" t="n">
        <v>103.6</v>
      </c>
      <c r="AM84" s="2" t="n">
        <v>46</v>
      </c>
      <c r="AN84" s="2" t="n">
        <v>57.6</v>
      </c>
      <c r="AO84" s="2" t="n">
        <v>1886.6</v>
      </c>
      <c r="AP84" s="2" t="n">
        <v>211.6</v>
      </c>
      <c r="AQ84" s="2" t="n">
        <v>90</v>
      </c>
      <c r="AR84" s="2" t="n">
        <v>39</v>
      </c>
      <c r="AS84" s="2" t="n">
        <v>51.9</v>
      </c>
      <c r="AT84" s="2" t="n">
        <v>77.09999999999999</v>
      </c>
      <c r="AU84" s="2" t="n">
        <v>28.3</v>
      </c>
      <c r="AV84" s="2" t="n">
        <v>57</v>
      </c>
      <c r="AW84" s="2" t="n">
        <v>8.5</v>
      </c>
      <c r="AX84" s="2" t="n">
        <v>10.7</v>
      </c>
      <c r="AY84" s="2" t="inlineStr">
        <is>
          <t>NA</t>
        </is>
      </c>
      <c r="AZ84" s="2" t="n">
        <v>7.5</v>
      </c>
      <c r="BA84" s="2" t="inlineStr">
        <is>
          <t>NA</t>
        </is>
      </c>
      <c r="BB84" s="2" t="inlineStr">
        <is>
          <t>NA</t>
        </is>
      </c>
      <c r="BD84" s="2" t="n">
        <v>123.7</v>
      </c>
      <c r="BE84" s="2" t="n">
        <v>35.6</v>
      </c>
      <c r="BH84" s="2" t="n">
        <v>336.5</v>
      </c>
      <c r="BK84" s="2" t="n">
        <v>153</v>
      </c>
      <c r="BL84" s="2" t="n">
        <v>6.4</v>
      </c>
      <c r="BM84" s="2" t="n">
        <v>495.9</v>
      </c>
      <c r="BN84" s="2" t="n">
        <v>264.4</v>
      </c>
      <c r="BQ84" s="2" t="n">
        <v>91.3</v>
      </c>
      <c r="BR84" s="2" t="n">
        <v>7.6</v>
      </c>
      <c r="BS84" s="2" t="n">
        <v>363.3</v>
      </c>
      <c r="BT84" s="2" t="n">
        <v>67</v>
      </c>
      <c r="BU84" s="2" t="n">
        <v>32.1</v>
      </c>
      <c r="BV84" s="2" t="n">
        <v>341.3</v>
      </c>
      <c r="BW84" s="2" t="n">
        <v>122.6</v>
      </c>
      <c r="BX84" s="2" t="n">
        <v>471.3</v>
      </c>
      <c r="BY84" s="2" t="n">
        <v>54.2</v>
      </c>
      <c r="BZ84" s="2" t="n">
        <v>9.5</v>
      </c>
      <c r="CA84" s="2" t="n">
        <v>63.7</v>
      </c>
      <c r="CF84" s="2" t="n">
        <v>107.7</v>
      </c>
      <c r="CG84" s="2" t="n">
        <v>184.1</v>
      </c>
      <c r="CH84" s="2" t="n">
        <v>25.3</v>
      </c>
      <c r="CN84" s="2" t="n">
        <v>52.7</v>
      </c>
      <c r="CO84" s="2" t="n">
        <v>273.4</v>
      </c>
      <c r="CP84" s="2" t="n">
        <v>244.4</v>
      </c>
      <c r="CQ84" s="2" t="n">
        <v>29</v>
      </c>
      <c r="CR84" s="2" t="inlineStr">
        <is>
          <t>NA</t>
        </is>
      </c>
      <c r="CS84" s="2" t="n">
        <v>45.3</v>
      </c>
      <c r="CT84" s="2" t="n">
        <v>28.8</v>
      </c>
      <c r="CU84" s="2" t="n">
        <v>16.5</v>
      </c>
      <c r="CV84" s="2" t="n">
        <v>69.40000000000001</v>
      </c>
      <c r="CW84" s="2" t="n">
        <v>9.800000000000001</v>
      </c>
      <c r="CX84" s="2" t="n">
        <v>59.6</v>
      </c>
      <c r="CY84" s="2" t="inlineStr">
        <is>
          <t>NA</t>
        </is>
      </c>
      <c r="CZ84" s="2" t="n">
        <v>83.40000000000001</v>
      </c>
      <c r="DA84" s="2" t="n">
        <v>13.9</v>
      </c>
      <c r="DB84" s="2" t="inlineStr">
        <is>
          <t>NA</t>
        </is>
      </c>
      <c r="DC84" s="2" t="inlineStr">
        <is>
          <t>NA</t>
        </is>
      </c>
      <c r="DH84" s="2" t="n">
        <v>118.8</v>
      </c>
      <c r="DI84" s="2" t="n">
        <v>525.9</v>
      </c>
      <c r="DK84" s="2" t="n">
        <v>399.1</v>
      </c>
      <c r="DM84" s="2" t="n">
        <v>177.1</v>
      </c>
      <c r="DO84" s="2" t="n">
        <v>136.9</v>
      </c>
      <c r="DP84" s="2" t="n">
        <v>157.9</v>
      </c>
      <c r="DQ84" s="2" t="n">
        <v>34.1</v>
      </c>
      <c r="DS84" s="2" t="n">
        <v>943.1</v>
      </c>
      <c r="DT84" s="2" t="n">
        <v>2492.9</v>
      </c>
      <c r="DU84" s="2" t="n">
        <v>-118.8000000000002</v>
      </c>
      <c r="DV84" s="2" t="n">
        <v>0</v>
      </c>
      <c r="GZ84" s="2" t="n">
        <v>780.2</v>
      </c>
      <c r="IN84" s="2" t="n">
        <v>42.4</v>
      </c>
      <c r="IY84" s="2" t="n">
        <v>47.5735087648923</v>
      </c>
      <c r="IZ84" s="2" t="n">
        <v>0.3135087648922976</v>
      </c>
      <c r="JB84" s="2" t="n">
        <v>10.94508403866982</v>
      </c>
      <c r="JC84" s="2" t="n">
        <v>0.135084038669822</v>
      </c>
      <c r="JE84" s="2" t="n">
        <v>1320.8</v>
      </c>
      <c r="JF84" s="2" t="n">
        <v>0.3451968503937007</v>
      </c>
    </row>
    <row r="85">
      <c r="A85" s="1" t="n">
        <v>31625</v>
      </c>
      <c r="B85" s="2" t="n">
        <v>2353</v>
      </c>
      <c r="C85" s="2" t="n">
        <v>856</v>
      </c>
      <c r="D85" s="2" t="n">
        <v>141.4</v>
      </c>
      <c r="E85" s="2" t="n">
        <v>324.3</v>
      </c>
      <c r="F85" s="2" t="n">
        <v>11.1</v>
      </c>
      <c r="G85" s="2" t="n">
        <v>49.8</v>
      </c>
      <c r="H85" s="2" t="inlineStr">
        <is>
          <t>NA</t>
        </is>
      </c>
      <c r="I85" s="2" t="inlineStr">
        <is>
          <t>NA</t>
        </is>
      </c>
      <c r="J85" s="2" t="inlineStr">
        <is>
          <t>NA</t>
        </is>
      </c>
      <c r="K85" s="2" t="n">
        <v>875.3</v>
      </c>
      <c r="L85" s="2" t="n">
        <v>1152.2</v>
      </c>
      <c r="M85" s="2" t="n">
        <v>850.6</v>
      </c>
      <c r="N85" s="2" t="n">
        <v>301.6</v>
      </c>
      <c r="O85" s="2" t="n">
        <v>48</v>
      </c>
      <c r="P85" s="2" t="n">
        <v>90.40000000000001</v>
      </c>
      <c r="Q85" s="2" t="n">
        <v>28</v>
      </c>
      <c r="R85" s="2" t="n">
        <v>62.4</v>
      </c>
      <c r="T85" s="2" t="n">
        <v>9.6</v>
      </c>
      <c r="U85" s="2" t="n">
        <v>69.30000000000001</v>
      </c>
      <c r="V85" s="2" t="n">
        <v>64.90000000000001</v>
      </c>
      <c r="W85" s="2" t="n">
        <v>4.4</v>
      </c>
      <c r="X85" s="2" t="n">
        <v>40</v>
      </c>
      <c r="Y85" s="2" t="n">
        <v>5.4</v>
      </c>
      <c r="Z85" s="2" t="n">
        <v>65.59999999999999</v>
      </c>
      <c r="AA85" s="2" t="n">
        <v>54.6</v>
      </c>
      <c r="AB85" s="2" t="n">
        <v>11</v>
      </c>
      <c r="AC85" s="2" t="inlineStr">
        <is>
          <t>NA</t>
        </is>
      </c>
      <c r="AD85" s="2" t="inlineStr">
        <is>
          <t>NA</t>
        </is>
      </c>
      <c r="AG85" s="2" t="inlineStr">
        <is>
          <t>NA</t>
        </is>
      </c>
      <c r="AH85" s="2" t="inlineStr">
        <is>
          <t>NA</t>
        </is>
      </c>
      <c r="AI85" s="2" t="n">
        <v>119.9</v>
      </c>
      <c r="AL85" s="2" t="n">
        <v>92.5</v>
      </c>
      <c r="AM85" s="2" t="n">
        <v>37.9</v>
      </c>
      <c r="AN85" s="2" t="n">
        <v>54.6</v>
      </c>
      <c r="AO85" s="2" t="n">
        <v>1778.4</v>
      </c>
      <c r="AP85" s="2" t="n">
        <v>255.1</v>
      </c>
      <c r="AQ85" s="2" t="n">
        <v>85</v>
      </c>
      <c r="AR85" s="2" t="n">
        <v>43.2</v>
      </c>
      <c r="AS85" s="2" t="n">
        <v>64.40000000000001</v>
      </c>
      <c r="AT85" s="2" t="n">
        <v>74.8</v>
      </c>
      <c r="AU85" s="2" t="n">
        <v>35.7</v>
      </c>
      <c r="AV85" s="2" t="n">
        <v>46.7</v>
      </c>
      <c r="AW85" s="2" t="n">
        <v>6.3</v>
      </c>
      <c r="AX85" s="2" t="n">
        <v>5.6</v>
      </c>
      <c r="AY85" s="2" t="n">
        <v>24.7</v>
      </c>
      <c r="AZ85" s="2" t="n">
        <v>3.7</v>
      </c>
      <c r="BA85" s="2" t="inlineStr">
        <is>
          <t>NA</t>
        </is>
      </c>
      <c r="BB85" s="2" t="inlineStr">
        <is>
          <t>NA</t>
        </is>
      </c>
      <c r="BD85" s="2" t="n">
        <v>121.1</v>
      </c>
      <c r="BE85" s="2" t="n">
        <v>40.5</v>
      </c>
      <c r="BH85" s="2" t="n">
        <v>309.7</v>
      </c>
      <c r="BK85" s="2" t="n">
        <v>137.3</v>
      </c>
      <c r="BL85" s="2" t="n">
        <v>5.7</v>
      </c>
      <c r="BM85" s="2" t="n">
        <v>452.8</v>
      </c>
      <c r="BN85" s="2" t="n">
        <v>231.2</v>
      </c>
      <c r="BQ85" s="2" t="n">
        <v>92</v>
      </c>
      <c r="BR85" s="2" t="n">
        <v>7</v>
      </c>
      <c r="BS85" s="2" t="n">
        <v>330.2</v>
      </c>
      <c r="BT85" s="2" t="n">
        <v>66</v>
      </c>
      <c r="BU85" s="2" t="n">
        <v>28.3</v>
      </c>
      <c r="BV85" s="2" t="n">
        <v>321</v>
      </c>
      <c r="BW85" s="2" t="n">
        <v>115.4</v>
      </c>
      <c r="BX85" s="2" t="n">
        <v>443.4</v>
      </c>
      <c r="BY85" s="2" t="n">
        <v>52.5</v>
      </c>
      <c r="BZ85" s="2" t="n">
        <v>8.300000000000001</v>
      </c>
      <c r="CA85" s="2" t="n">
        <v>60.8</v>
      </c>
      <c r="CF85" s="2" t="n">
        <v>107.9</v>
      </c>
      <c r="CG85" s="2" t="n">
        <v>169.7</v>
      </c>
      <c r="CH85" s="2" t="n">
        <v>30.1</v>
      </c>
      <c r="CN85" s="2" t="n">
        <v>53.9</v>
      </c>
      <c r="CO85" s="2" t="n">
        <v>273.8</v>
      </c>
      <c r="CP85" s="2" t="n">
        <v>235.5</v>
      </c>
      <c r="CQ85" s="2" t="n">
        <v>38.3</v>
      </c>
      <c r="CR85" s="2" t="inlineStr">
        <is>
          <t>NA</t>
        </is>
      </c>
      <c r="CS85" s="2" t="n">
        <v>40.4</v>
      </c>
      <c r="CT85" s="2" t="n">
        <v>24.4</v>
      </c>
      <c r="CU85" s="2" t="n">
        <v>16</v>
      </c>
      <c r="CV85" s="2" t="n">
        <v>76.90000000000001</v>
      </c>
      <c r="CW85" s="2" t="n">
        <v>21</v>
      </c>
      <c r="CX85" s="2" t="n">
        <v>55.9</v>
      </c>
      <c r="CY85" s="2" t="inlineStr">
        <is>
          <t>NA</t>
        </is>
      </c>
      <c r="CZ85" s="2" t="n">
        <v>89.90000000000001</v>
      </c>
      <c r="DA85" s="2" t="n">
        <v>23.8</v>
      </c>
      <c r="DB85" s="2" t="inlineStr">
        <is>
          <t>NA</t>
        </is>
      </c>
      <c r="DC85" s="2" t="inlineStr">
        <is>
          <t>NA</t>
        </is>
      </c>
      <c r="DG85" s="2" t="n">
        <v>82.59999999999999</v>
      </c>
      <c r="DI85" s="2" t="n">
        <v>472</v>
      </c>
      <c r="DK85" s="2" t="n">
        <v>364.9</v>
      </c>
      <c r="DM85" s="2" t="n">
        <v>189.3</v>
      </c>
      <c r="DO85" s="2" t="n">
        <v>131.4</v>
      </c>
      <c r="DP85" s="2" t="n">
        <v>183</v>
      </c>
      <c r="DQ85" s="2" t="n">
        <v>60.8</v>
      </c>
      <c r="DS85" s="2" t="n">
        <v>869</v>
      </c>
      <c r="DT85" s="2" t="n">
        <v>2353</v>
      </c>
      <c r="DU85" s="2" t="n">
        <v>-82.59999999999991</v>
      </c>
      <c r="DV85" s="2" t="n">
        <v>0</v>
      </c>
      <c r="GZ85" s="2" t="n">
        <v>830.1</v>
      </c>
      <c r="IN85" s="2" t="n">
        <v>60.3</v>
      </c>
      <c r="IY85" s="2" t="n">
        <v>47.51551211219719</v>
      </c>
      <c r="IZ85" s="2" t="n">
        <v>0.005512112197195052</v>
      </c>
      <c r="JB85" s="2" t="n">
        <v>11.15979600509987</v>
      </c>
      <c r="JC85" s="2" t="n">
        <v>0.1697960050998706</v>
      </c>
      <c r="JE85" s="2" t="n">
        <v>1152.2</v>
      </c>
      <c r="JF85" s="2" t="n">
        <v>0.3331652490886999</v>
      </c>
    </row>
    <row r="86">
      <c r="A86" s="1" t="n">
        <v>31656</v>
      </c>
      <c r="B86" s="2" t="n">
        <v>2382.4</v>
      </c>
      <c r="C86" s="2" t="n">
        <v>1150.1</v>
      </c>
      <c r="D86" s="2" t="n">
        <v>167.7</v>
      </c>
      <c r="E86" s="2" t="n">
        <v>480.7</v>
      </c>
      <c r="F86" s="2" t="inlineStr">
        <is>
          <t>NA</t>
        </is>
      </c>
      <c r="G86" s="2" t="inlineStr">
        <is>
          <t>NA</t>
        </is>
      </c>
      <c r="H86" s="2" t="n">
        <v>6.3</v>
      </c>
      <c r="I86" s="2" t="inlineStr">
        <is>
          <t>NA</t>
        </is>
      </c>
      <c r="J86" s="2" t="inlineStr">
        <is>
          <t>NA</t>
        </is>
      </c>
      <c r="K86" s="2" t="n">
        <v>886.7</v>
      </c>
      <c r="L86" s="2" t="n">
        <v>946.6</v>
      </c>
      <c r="M86" s="2" t="n">
        <v>652.6</v>
      </c>
      <c r="N86" s="2" t="n">
        <v>294</v>
      </c>
      <c r="O86" s="2" t="n">
        <v>54.5</v>
      </c>
      <c r="P86" s="2" t="n">
        <v>84.90000000000001</v>
      </c>
      <c r="Q86" s="2" t="n">
        <v>27.1</v>
      </c>
      <c r="R86" s="2" t="n">
        <v>57.8</v>
      </c>
      <c r="T86" s="2" t="inlineStr">
        <is>
          <t>NA</t>
        </is>
      </c>
      <c r="U86" s="2" t="n">
        <v>68.90000000000001</v>
      </c>
      <c r="V86" s="2" t="n">
        <v>64.90000000000001</v>
      </c>
      <c r="W86" s="2" t="n">
        <v>4</v>
      </c>
      <c r="X86" s="2" t="inlineStr">
        <is>
          <t>NA</t>
        </is>
      </c>
      <c r="Y86" s="2" t="n">
        <v>5.5</v>
      </c>
      <c r="Z86" s="2" t="n">
        <v>53.8</v>
      </c>
      <c r="AA86" s="2" t="n">
        <v>40.2</v>
      </c>
      <c r="AB86" s="2" t="n">
        <v>13.6</v>
      </c>
      <c r="AC86" s="2" t="inlineStr">
        <is>
          <t>NA</t>
        </is>
      </c>
      <c r="AD86" s="2" t="inlineStr">
        <is>
          <t>NA</t>
        </is>
      </c>
      <c r="AG86" s="2" t="inlineStr">
        <is>
          <t>NA</t>
        </is>
      </c>
      <c r="AH86" s="2" t="inlineStr">
        <is>
          <t>NA</t>
        </is>
      </c>
      <c r="AI86" s="2" t="n">
        <v>104.1</v>
      </c>
      <c r="AL86" s="2" t="n">
        <v>120.2</v>
      </c>
      <c r="AM86" s="2" t="n">
        <v>59</v>
      </c>
      <c r="AN86" s="2" t="n">
        <v>61.2</v>
      </c>
      <c r="AO86" s="2" t="n">
        <v>1793.4</v>
      </c>
      <c r="AP86" s="2" t="n">
        <v>176.3</v>
      </c>
      <c r="AQ86" s="2" t="n">
        <v>79</v>
      </c>
      <c r="AR86" s="2" t="n">
        <v>35.4</v>
      </c>
      <c r="AS86" s="2" t="n">
        <v>77.7</v>
      </c>
      <c r="AT86" s="2" t="n">
        <v>68.59999999999999</v>
      </c>
      <c r="AU86" s="2" t="n">
        <v>40.3</v>
      </c>
      <c r="AV86" s="2" t="n">
        <v>39.2</v>
      </c>
      <c r="AW86" s="2" t="inlineStr">
        <is>
          <t>NA</t>
        </is>
      </c>
      <c r="AX86" s="2" t="n">
        <v>3.8</v>
      </c>
      <c r="AY86" s="2" t="inlineStr">
        <is>
          <t>NA</t>
        </is>
      </c>
      <c r="AZ86" s="2" t="inlineStr">
        <is>
          <t>NA</t>
        </is>
      </c>
      <c r="BA86" s="2" t="inlineStr">
        <is>
          <t>NA</t>
        </is>
      </c>
      <c r="BB86" s="2" t="inlineStr">
        <is>
          <t>NA</t>
        </is>
      </c>
      <c r="BD86" s="2" t="n">
        <v>119.2</v>
      </c>
      <c r="BE86" s="2" t="n">
        <v>40.6</v>
      </c>
      <c r="BH86" s="2" t="n">
        <v>299</v>
      </c>
      <c r="BK86" s="2" t="n">
        <v>140.5</v>
      </c>
      <c r="BL86" s="2" t="n">
        <v>5.3</v>
      </c>
      <c r="BM86" s="2" t="n">
        <v>444.8</v>
      </c>
      <c r="BN86" s="2" t="n">
        <v>256.7</v>
      </c>
      <c r="BQ86" s="2" t="n">
        <v>92.5</v>
      </c>
      <c r="BR86" s="2" t="n">
        <v>6.3</v>
      </c>
      <c r="BS86" s="2" t="n">
        <v>355.5</v>
      </c>
      <c r="BT86" s="2" t="n">
        <v>71</v>
      </c>
      <c r="BU86" s="2" t="n">
        <v>21.6</v>
      </c>
      <c r="BV86" s="2" t="n">
        <v>321.4</v>
      </c>
      <c r="BW86" s="2" t="n">
        <v>114.5</v>
      </c>
      <c r="BX86" s="2" t="n">
        <v>442.2</v>
      </c>
      <c r="BY86" s="2" t="n">
        <v>56.9</v>
      </c>
      <c r="BZ86" s="2" t="n">
        <v>9.4</v>
      </c>
      <c r="CA86" s="2" t="n">
        <v>66.3</v>
      </c>
      <c r="CF86" s="2" t="n">
        <v>111.8</v>
      </c>
      <c r="CG86" s="2" t="n">
        <v>177.8</v>
      </c>
      <c r="CH86" s="2" t="n">
        <v>29.1</v>
      </c>
      <c r="CN86" s="2" t="n">
        <v>48.8</v>
      </c>
      <c r="CO86" s="2" t="n">
        <v>308</v>
      </c>
      <c r="CP86" s="2" t="n">
        <v>277</v>
      </c>
      <c r="CQ86" s="2" t="n">
        <v>31</v>
      </c>
      <c r="CR86" s="2" t="inlineStr">
        <is>
          <t>NA</t>
        </is>
      </c>
      <c r="CS86" s="2" t="n">
        <v>40</v>
      </c>
      <c r="CT86" s="2" t="n">
        <v>28.9</v>
      </c>
      <c r="CU86" s="2" t="n">
        <v>11.1</v>
      </c>
      <c r="CV86" s="2" t="n">
        <v>71.8</v>
      </c>
      <c r="CW86" s="2" t="n">
        <v>17.4</v>
      </c>
      <c r="CX86" s="2" t="n">
        <v>54.4</v>
      </c>
      <c r="CY86" s="2" t="inlineStr">
        <is>
          <t>NA</t>
        </is>
      </c>
      <c r="CZ86" s="2" t="n">
        <v>71.7</v>
      </c>
      <c r="DA86" s="2" t="n">
        <v>22.9</v>
      </c>
      <c r="DB86" s="2" t="n">
        <v>17.9</v>
      </c>
      <c r="DC86" s="2" t="n">
        <v>5</v>
      </c>
      <c r="DG86" s="2" t="n">
        <v>47.2</v>
      </c>
      <c r="DI86" s="2" t="n">
        <v>539.3</v>
      </c>
      <c r="DK86" s="2" t="n">
        <v>395.7</v>
      </c>
      <c r="DM86" s="2" t="n">
        <v>186.4</v>
      </c>
      <c r="DO86" s="2" t="n">
        <v>138.4</v>
      </c>
      <c r="DP86" s="2" t="n">
        <v>167.3</v>
      </c>
      <c r="DS86" s="2" t="n">
        <v>908</v>
      </c>
      <c r="DT86" s="2" t="n">
        <v>2382.3</v>
      </c>
      <c r="DU86" s="2" t="n">
        <v>-47.19999999999982</v>
      </c>
      <c r="DV86" s="2" t="n">
        <v>-0.09999999999990905</v>
      </c>
      <c r="GZ86" s="2" t="n">
        <v>834.8</v>
      </c>
      <c r="IN86" s="2" t="n">
        <v>51.2</v>
      </c>
      <c r="IY86" s="2" t="n">
        <v>47.15580926796508</v>
      </c>
      <c r="IZ86" s="2" t="n">
        <v>-0.1141907320349276</v>
      </c>
      <c r="JB86" s="2" t="n">
        <v>11.16563129617193</v>
      </c>
      <c r="JC86" s="2" t="n">
        <v>-0.02436870382807221</v>
      </c>
      <c r="JE86" s="2" t="n">
        <v>946.6</v>
      </c>
      <c r="JF86" s="2" t="n">
        <v>0.3202176209592225</v>
      </c>
    </row>
    <row r="87">
      <c r="A87" s="1" t="n">
        <v>31686</v>
      </c>
      <c r="B87" s="2" t="n">
        <v>3210.7</v>
      </c>
      <c r="C87" s="2" t="n">
        <v>3243.6</v>
      </c>
      <c r="D87" s="2" t="n">
        <v>208.5</v>
      </c>
      <c r="E87" s="2" t="n">
        <v>1197.4</v>
      </c>
      <c r="F87" s="2" t="n">
        <v>6</v>
      </c>
      <c r="G87" s="2" t="n">
        <v>65.3</v>
      </c>
      <c r="H87" s="2" t="n">
        <v>26.9</v>
      </c>
      <c r="I87" s="2" t="inlineStr">
        <is>
          <t>NA</t>
        </is>
      </c>
      <c r="J87" s="2" t="inlineStr">
        <is>
          <t>NA</t>
        </is>
      </c>
      <c r="K87" s="2" t="n">
        <v>1163.1</v>
      </c>
      <c r="L87" s="2" t="n">
        <v>963.5</v>
      </c>
      <c r="M87" s="2" t="n">
        <v>717.4</v>
      </c>
      <c r="N87" s="2" t="n">
        <v>246.1</v>
      </c>
      <c r="O87" s="2" t="n">
        <v>64.5</v>
      </c>
      <c r="P87" s="2" t="n">
        <v>77</v>
      </c>
      <c r="Q87" s="2" t="n">
        <v>34.9</v>
      </c>
      <c r="R87" s="2" t="n">
        <v>42.1</v>
      </c>
      <c r="T87" s="2" t="n">
        <v>4.1</v>
      </c>
      <c r="U87" s="2" t="n">
        <v>60.1</v>
      </c>
      <c r="V87" s="2" t="n">
        <v>57.7</v>
      </c>
      <c r="W87" s="2" t="n">
        <v>2.4</v>
      </c>
      <c r="X87" s="2" t="n">
        <v>54</v>
      </c>
      <c r="Y87" s="2" t="n">
        <v>6</v>
      </c>
      <c r="Z87" s="2" t="n">
        <v>59.1</v>
      </c>
      <c r="AA87" s="2" t="n">
        <v>48.1</v>
      </c>
      <c r="AB87" s="2" t="n">
        <v>11</v>
      </c>
      <c r="AC87" s="2" t="inlineStr">
        <is>
          <t>NA</t>
        </is>
      </c>
      <c r="AD87" s="2" t="inlineStr">
        <is>
          <t>NA</t>
        </is>
      </c>
      <c r="AG87" s="2" t="inlineStr">
        <is>
          <t>NA</t>
        </is>
      </c>
      <c r="AH87" s="2" t="inlineStr">
        <is>
          <t>NA</t>
        </is>
      </c>
      <c r="AI87" s="2" t="n">
        <v>134.6</v>
      </c>
      <c r="AL87" s="2" t="n">
        <v>101</v>
      </c>
      <c r="AM87" s="2" t="n">
        <v>41.6</v>
      </c>
      <c r="AN87" s="2" t="n">
        <v>59.4</v>
      </c>
      <c r="AO87" s="2" t="n">
        <v>2410.6</v>
      </c>
      <c r="AP87" s="2" t="n">
        <v>173.9</v>
      </c>
      <c r="AQ87" s="2" t="n">
        <v>110.4</v>
      </c>
      <c r="AR87" s="2" t="n">
        <v>44.1</v>
      </c>
      <c r="AS87" s="2" t="n">
        <v>95</v>
      </c>
      <c r="AT87" s="2" t="n">
        <v>50.8</v>
      </c>
      <c r="AU87" s="2" t="n">
        <v>50.2</v>
      </c>
      <c r="AV87" s="2" t="n">
        <v>36.3</v>
      </c>
      <c r="AW87" s="2" t="n">
        <v>3.3</v>
      </c>
      <c r="AX87" s="2" t="n">
        <v>3.5</v>
      </c>
      <c r="AY87" s="2" t="n">
        <v>30.3</v>
      </c>
      <c r="AZ87" s="2" t="n">
        <v>6.8</v>
      </c>
      <c r="BA87" s="2" t="inlineStr">
        <is>
          <t>NA</t>
        </is>
      </c>
      <c r="BB87" s="2" t="inlineStr">
        <is>
          <t>NA</t>
        </is>
      </c>
      <c r="BD87" s="2" t="n">
        <v>130.5</v>
      </c>
      <c r="BE87" s="2" t="n">
        <v>41</v>
      </c>
      <c r="BH87" s="2" t="n">
        <v>324.9</v>
      </c>
      <c r="BK87" s="2" t="n">
        <v>152.8</v>
      </c>
      <c r="BL87" s="2" t="n">
        <v>5.9</v>
      </c>
      <c r="BM87" s="2" t="n">
        <v>483.6</v>
      </c>
      <c r="BN87" s="2" t="n">
        <v>293.5</v>
      </c>
      <c r="BQ87" s="2" t="n">
        <v>90.5</v>
      </c>
      <c r="BR87" s="2" t="n">
        <v>6.5</v>
      </c>
      <c r="BS87" s="2" t="n">
        <v>390.5</v>
      </c>
      <c r="BT87" s="2" t="n">
        <v>80</v>
      </c>
      <c r="BU87" s="2" t="n">
        <v>30.6</v>
      </c>
      <c r="BV87" s="2" t="n">
        <v>360.8</v>
      </c>
      <c r="BW87" s="2" t="n">
        <v>123.9</v>
      </c>
      <c r="BX87" s="2" t="n">
        <v>491.7</v>
      </c>
      <c r="BY87" s="2" t="n">
        <v>61.4</v>
      </c>
      <c r="BZ87" s="2" t="n">
        <v>8.1</v>
      </c>
      <c r="CA87" s="2" t="n">
        <v>69.5</v>
      </c>
      <c r="CF87" s="2" t="n">
        <v>114.4</v>
      </c>
      <c r="CG87" s="2" t="n">
        <v>164.9</v>
      </c>
      <c r="CH87" s="2" t="n">
        <v>27.7</v>
      </c>
      <c r="CN87" s="2" t="n">
        <v>63.8</v>
      </c>
      <c r="CO87" s="2" t="n">
        <v>295.5</v>
      </c>
      <c r="CP87" s="2" t="n">
        <v>263.2</v>
      </c>
      <c r="CQ87" s="2" t="n">
        <v>32.3</v>
      </c>
      <c r="CR87" s="2" t="inlineStr">
        <is>
          <t>NA</t>
        </is>
      </c>
      <c r="CS87" s="2" t="n">
        <v>45.2</v>
      </c>
      <c r="CT87" s="2" t="n">
        <v>31.6</v>
      </c>
      <c r="CU87" s="2" t="n">
        <v>13.6</v>
      </c>
      <c r="CV87" s="2" t="n">
        <v>58.8</v>
      </c>
      <c r="CW87" s="2" t="n">
        <v>16.2</v>
      </c>
      <c r="CX87" s="2" t="n">
        <v>42.6</v>
      </c>
      <c r="CY87" s="2" t="inlineStr">
        <is>
          <t>NA</t>
        </is>
      </c>
      <c r="CZ87" s="2" t="n">
        <v>93.7</v>
      </c>
      <c r="DA87" s="2" t="n">
        <v>39.9</v>
      </c>
      <c r="DB87" s="2" t="n">
        <v>34</v>
      </c>
      <c r="DC87" s="2" t="n">
        <v>5.9</v>
      </c>
      <c r="DG87" s="2" t="n">
        <v>142.1</v>
      </c>
      <c r="DI87" s="2" t="n">
        <v>670.5</v>
      </c>
      <c r="DK87" s="2" t="n">
        <v>497.4</v>
      </c>
      <c r="DL87" s="2" t="n">
        <v>119.6</v>
      </c>
      <c r="DM87" s="2" t="n">
        <v>205.3</v>
      </c>
      <c r="DP87" s="2" t="n">
        <v>201.7</v>
      </c>
      <c r="DQ87" s="2" t="n">
        <v>81.09999999999999</v>
      </c>
      <c r="DS87" s="2" t="n">
        <v>1293</v>
      </c>
      <c r="DT87" s="2" t="n">
        <v>3210.7</v>
      </c>
      <c r="DU87" s="2" t="n">
        <v>-142.0999999999999</v>
      </c>
      <c r="DV87" s="2" t="n">
        <v>0</v>
      </c>
      <c r="GZ87" s="2" t="n">
        <v>911.3</v>
      </c>
      <c r="IN87" s="2" t="n">
        <v>73.5</v>
      </c>
      <c r="IY87" s="2" t="n">
        <v>47.1112218519326</v>
      </c>
      <c r="IZ87" s="2" t="n">
        <v>0.4212218519326072</v>
      </c>
      <c r="JB87" s="2" t="n">
        <v>10.86772354938175</v>
      </c>
      <c r="JC87" s="2" t="n">
        <v>-0.02227645061824646</v>
      </c>
      <c r="JE87" s="2" t="n">
        <v>963.5</v>
      </c>
      <c r="JF87" s="2" t="n">
        <v>0.3815889984431759</v>
      </c>
    </row>
    <row r="88">
      <c r="A88" s="1" t="n">
        <v>31717</v>
      </c>
      <c r="B88" s="2" t="n">
        <v>3281.4</v>
      </c>
      <c r="C88" s="2" t="n">
        <v>3823.4</v>
      </c>
      <c r="D88" s="2" t="n">
        <v>262.2</v>
      </c>
      <c r="E88" s="2" t="n">
        <v>1466.8</v>
      </c>
      <c r="F88" s="2" t="n">
        <v>15.6</v>
      </c>
      <c r="G88" s="2" t="n">
        <v>109</v>
      </c>
      <c r="H88" s="2" t="n">
        <v>38.3</v>
      </c>
      <c r="I88" s="2" t="inlineStr">
        <is>
          <t>NA</t>
        </is>
      </c>
      <c r="J88" s="2" t="inlineStr">
        <is>
          <t>NA</t>
        </is>
      </c>
      <c r="K88" s="2" t="n">
        <v>1171.5</v>
      </c>
      <c r="L88" s="2" t="n">
        <v>1268.8</v>
      </c>
      <c r="M88" s="2" t="n">
        <v>976.3</v>
      </c>
      <c r="N88" s="2" t="n">
        <v>292.5</v>
      </c>
      <c r="O88" s="2" t="n">
        <v>83.5</v>
      </c>
      <c r="P88" s="2" t="n">
        <v>101.1</v>
      </c>
      <c r="Q88" s="2" t="n">
        <v>36.3</v>
      </c>
      <c r="R88" s="2" t="n">
        <v>64.8</v>
      </c>
      <c r="T88" s="2" t="n">
        <v>11.9</v>
      </c>
      <c r="U88" s="2" t="n">
        <v>54</v>
      </c>
      <c r="V88" s="2" t="n">
        <v>50.9</v>
      </c>
      <c r="W88" s="2" t="n">
        <v>3.1</v>
      </c>
      <c r="X88" s="2" t="n">
        <v>88.2</v>
      </c>
      <c r="Y88" s="2" t="n">
        <v>7</v>
      </c>
      <c r="Z88" s="2" t="n">
        <v>105</v>
      </c>
      <c r="AA88" s="2" t="n">
        <v>93.59999999999999</v>
      </c>
      <c r="AB88" s="2" t="n">
        <v>11.4</v>
      </c>
      <c r="AC88" s="2" t="inlineStr">
        <is>
          <t>NA</t>
        </is>
      </c>
      <c r="AD88" s="2" t="inlineStr">
        <is>
          <t>NA</t>
        </is>
      </c>
      <c r="AG88" s="2" t="inlineStr">
        <is>
          <t>NA</t>
        </is>
      </c>
      <c r="AH88" s="2" t="inlineStr">
        <is>
          <t>NA</t>
        </is>
      </c>
      <c r="AI88" s="2" t="n">
        <v>120.2</v>
      </c>
      <c r="AL88" s="2" t="n">
        <v>90.7</v>
      </c>
      <c r="AM88" s="2" t="n">
        <v>46.1</v>
      </c>
      <c r="AN88" s="2" t="n">
        <v>44.6</v>
      </c>
      <c r="AO88" s="2" t="n">
        <v>2452.2</v>
      </c>
      <c r="AP88" s="2" t="n">
        <v>338.5</v>
      </c>
      <c r="AQ88" s="2" t="n">
        <v>110.6</v>
      </c>
      <c r="AR88" s="2" t="n">
        <v>48.7</v>
      </c>
      <c r="AS88" s="2" t="n">
        <v>121.2</v>
      </c>
      <c r="AT88" s="2" t="n">
        <v>68.90000000000001</v>
      </c>
      <c r="AU88" s="2" t="n">
        <v>63.4</v>
      </c>
      <c r="AV88" s="2" t="n">
        <v>38.8</v>
      </c>
      <c r="AW88" s="2" t="n">
        <v>8.300000000000001</v>
      </c>
      <c r="AX88" s="2" t="n">
        <v>4.6</v>
      </c>
      <c r="AY88" s="2" t="n">
        <v>52.7</v>
      </c>
      <c r="AZ88" s="2" t="n">
        <v>12.4</v>
      </c>
      <c r="BA88" s="2" t="inlineStr">
        <is>
          <t>NA</t>
        </is>
      </c>
      <c r="BB88" s="2" t="inlineStr">
        <is>
          <t>NA</t>
        </is>
      </c>
      <c r="BD88" s="2" t="n">
        <v>106.1</v>
      </c>
      <c r="BE88" s="2" t="n">
        <v>41.7</v>
      </c>
      <c r="BH88" s="2" t="n">
        <v>291</v>
      </c>
      <c r="BK88" s="2" t="n">
        <v>128.4</v>
      </c>
      <c r="BL88" s="2" t="n">
        <v>5</v>
      </c>
      <c r="BM88" s="2" t="n">
        <v>424.4</v>
      </c>
      <c r="BN88" s="2" t="n">
        <v>282.5</v>
      </c>
      <c r="BQ88" s="2" t="n">
        <v>83.5</v>
      </c>
      <c r="BR88" s="2" t="n">
        <v>6.3</v>
      </c>
      <c r="BS88" s="2" t="n">
        <v>372.3</v>
      </c>
      <c r="BT88" s="2" t="n">
        <v>69</v>
      </c>
      <c r="BU88" s="2" t="n">
        <v>28.9</v>
      </c>
      <c r="BV88" s="2" t="n">
        <v>320.5</v>
      </c>
      <c r="BW88" s="2" t="n">
        <v>113.3</v>
      </c>
      <c r="BX88" s="2" t="n">
        <v>439.9</v>
      </c>
      <c r="BY88" s="2" t="n">
        <v>59.6</v>
      </c>
      <c r="BZ88" s="2" t="n">
        <v>9.6</v>
      </c>
      <c r="CA88" s="2" t="n">
        <v>69.2</v>
      </c>
      <c r="CF88" s="2" t="n">
        <v>106.8</v>
      </c>
      <c r="CG88" s="2" t="n">
        <v>173.9</v>
      </c>
      <c r="CH88" s="2" t="n">
        <v>23.4</v>
      </c>
      <c r="CN88" s="2" t="n">
        <v>65.40000000000001</v>
      </c>
      <c r="CO88" s="2" t="n">
        <v>320.5</v>
      </c>
      <c r="CP88" s="2" t="n">
        <v>291.6</v>
      </c>
      <c r="CQ88" s="2" t="n">
        <v>28.9</v>
      </c>
      <c r="CR88" s="2" t="inlineStr">
        <is>
          <t>NA</t>
        </is>
      </c>
      <c r="CS88" s="2" t="n">
        <v>39.2</v>
      </c>
      <c r="CT88" s="2" t="n">
        <v>26.8</v>
      </c>
      <c r="CU88" s="2" t="n">
        <v>12.4</v>
      </c>
      <c r="CV88" s="2" t="n">
        <v>61.9</v>
      </c>
      <c r="CW88" s="2" t="n">
        <v>17.6</v>
      </c>
      <c r="CX88" s="2" t="n">
        <v>44.3</v>
      </c>
      <c r="CY88" s="2" t="inlineStr">
        <is>
          <t>NA</t>
        </is>
      </c>
      <c r="CZ88" s="2" t="n">
        <v>107.9</v>
      </c>
      <c r="DA88" s="2" t="n">
        <v>35.7</v>
      </c>
      <c r="DB88" s="2" t="n">
        <v>30.1</v>
      </c>
      <c r="DC88" s="2" t="n">
        <v>5.6</v>
      </c>
      <c r="DG88" s="2" t="n">
        <v>165.8</v>
      </c>
      <c r="DI88" s="2" t="n">
        <v>669.9</v>
      </c>
      <c r="DJ88" s="2" t="n">
        <v>186</v>
      </c>
      <c r="DK88" s="2" t="n">
        <v>491.9</v>
      </c>
      <c r="DL88" s="2" t="n">
        <v>127.8</v>
      </c>
      <c r="DM88" s="2" t="n">
        <v>201.1</v>
      </c>
      <c r="DO88" s="2" t="n">
        <v>180.6</v>
      </c>
      <c r="DP88" s="2" t="n">
        <v>192.8</v>
      </c>
      <c r="DQ88" s="2" t="n">
        <v>92.3</v>
      </c>
      <c r="DS88" s="2" t="n">
        <v>973.1</v>
      </c>
      <c r="DT88" s="2" t="n">
        <v>3281.3</v>
      </c>
      <c r="DU88" s="2" t="n">
        <v>-165.8000000000002</v>
      </c>
      <c r="DV88" s="2" t="n">
        <v>-0.09999999999990905</v>
      </c>
      <c r="GZ88" s="2" t="n">
        <v>848.1</v>
      </c>
      <c r="IN88" s="2" t="n">
        <v>90.90000000000001</v>
      </c>
      <c r="IY88" s="2" t="n">
        <v>46.86048637776558</v>
      </c>
      <c r="IZ88" s="2" t="n">
        <v>0.02048637776557882</v>
      </c>
      <c r="JB88" s="2" t="n">
        <v>10.71036752605595</v>
      </c>
      <c r="JC88" s="2" t="n">
        <v>-0.009632473944050091</v>
      </c>
      <c r="JE88" s="2" t="n">
        <v>1268.8</v>
      </c>
      <c r="JF88" s="2" t="n">
        <v>0.4233677490542245</v>
      </c>
    </row>
    <row r="89">
      <c r="A89" s="1" t="n">
        <v>31747</v>
      </c>
      <c r="B89" s="2" t="n">
        <v>3229</v>
      </c>
      <c r="C89" s="2" t="n">
        <v>3516.8</v>
      </c>
      <c r="D89" s="2" t="n">
        <v>283.2</v>
      </c>
      <c r="E89" s="2" t="n">
        <v>1513.3</v>
      </c>
      <c r="F89" s="2" t="n">
        <v>17.9</v>
      </c>
      <c r="G89" s="2" t="n">
        <v>85.5</v>
      </c>
      <c r="H89" s="2" t="n">
        <v>48.4</v>
      </c>
      <c r="I89" s="2" t="inlineStr">
        <is>
          <t>NA</t>
        </is>
      </c>
      <c r="J89" s="2" t="inlineStr">
        <is>
          <t>NA</t>
        </is>
      </c>
      <c r="K89" s="2" t="n">
        <v>1152.2</v>
      </c>
      <c r="L89" s="2" t="n">
        <v>1506.5</v>
      </c>
      <c r="M89" s="2" t="n">
        <v>1225.9</v>
      </c>
      <c r="N89" s="2" t="n">
        <v>280.6</v>
      </c>
      <c r="O89" s="2" t="n">
        <v>91.40000000000001</v>
      </c>
      <c r="P89" s="2" t="n">
        <v>130.6</v>
      </c>
      <c r="Q89" s="2" t="n">
        <v>42.2</v>
      </c>
      <c r="R89" s="2" t="n">
        <v>88.40000000000001</v>
      </c>
      <c r="T89" s="2" t="n">
        <v>10.7</v>
      </c>
      <c r="U89" s="2" t="n">
        <v>51.5</v>
      </c>
      <c r="V89" s="2" t="n">
        <v>49.4</v>
      </c>
      <c r="W89" s="2" t="n">
        <v>2.1</v>
      </c>
      <c r="X89" s="2" t="n">
        <v>66.90000000000001</v>
      </c>
      <c r="Y89" s="2" t="n">
        <v>5.6</v>
      </c>
      <c r="Z89" s="2" t="n">
        <v>113.3</v>
      </c>
      <c r="AA89" s="2" t="n">
        <v>105.2</v>
      </c>
      <c r="AB89" s="2" t="n">
        <v>8.1</v>
      </c>
      <c r="AC89" s="2" t="inlineStr">
        <is>
          <t>NA</t>
        </is>
      </c>
      <c r="AD89" s="2" t="inlineStr">
        <is>
          <t>NA</t>
        </is>
      </c>
      <c r="AG89" s="2" t="inlineStr">
        <is>
          <t>NA</t>
        </is>
      </c>
      <c r="AH89" s="2" t="inlineStr">
        <is>
          <t>NA</t>
        </is>
      </c>
      <c r="AI89" s="2" t="n">
        <v>114</v>
      </c>
      <c r="AL89" s="2" t="n">
        <v>73.8</v>
      </c>
      <c r="AM89" s="2" t="n">
        <v>29.8</v>
      </c>
      <c r="AN89" s="2" t="n">
        <v>44</v>
      </c>
      <c r="AO89" s="2" t="n">
        <v>2428.1</v>
      </c>
      <c r="AP89" s="2" t="n">
        <v>199.5</v>
      </c>
      <c r="AQ89" s="2" t="n">
        <v>99.2</v>
      </c>
      <c r="AR89" s="2" t="n">
        <v>40.8</v>
      </c>
      <c r="AS89" s="2" t="n">
        <v>130.3</v>
      </c>
      <c r="AT89" s="2" t="n">
        <v>73.2</v>
      </c>
      <c r="AU89" s="2" t="n">
        <v>67.7</v>
      </c>
      <c r="AV89" s="2" t="n">
        <v>44.5</v>
      </c>
      <c r="AW89" s="2" t="n">
        <v>7.2</v>
      </c>
      <c r="AX89" s="2" t="n">
        <v>5.1</v>
      </c>
      <c r="AY89" s="2" t="n">
        <v>39.3</v>
      </c>
      <c r="AZ89" s="2" t="n">
        <v>5.4</v>
      </c>
      <c r="BA89" s="2" t="inlineStr">
        <is>
          <t>NA</t>
        </is>
      </c>
      <c r="BB89" s="2" t="inlineStr">
        <is>
          <t>NA</t>
        </is>
      </c>
      <c r="BD89" s="2" t="n">
        <v>104.2</v>
      </c>
      <c r="BE89" s="2" t="n">
        <v>32.8</v>
      </c>
      <c r="BH89" s="2" t="n">
        <v>302.4</v>
      </c>
      <c r="BK89" s="2" t="n">
        <v>135.4</v>
      </c>
      <c r="BL89" s="2" t="n">
        <v>5.2</v>
      </c>
      <c r="BM89" s="2" t="n">
        <v>443</v>
      </c>
      <c r="BN89" s="2" t="n">
        <v>235.1</v>
      </c>
      <c r="BQ89" s="2" t="n">
        <v>74.7</v>
      </c>
      <c r="BR89" s="2" t="n">
        <v>6</v>
      </c>
      <c r="BS89" s="2" t="n">
        <v>315.8</v>
      </c>
      <c r="BT89" s="2" t="n">
        <v>75</v>
      </c>
      <c r="BU89" s="2" t="n">
        <v>21.9</v>
      </c>
      <c r="BV89" s="2" t="n">
        <v>338.1</v>
      </c>
      <c r="BW89" s="2" t="n">
        <v>116.1</v>
      </c>
      <c r="BX89" s="2" t="n">
        <v>460.6</v>
      </c>
      <c r="BY89" s="2" t="n">
        <v>57.1</v>
      </c>
      <c r="BZ89" s="2" t="n">
        <v>7.8</v>
      </c>
      <c r="CA89" s="2" t="n">
        <v>64.90000000000001</v>
      </c>
      <c r="CF89" s="2" t="n">
        <v>120.9</v>
      </c>
      <c r="CG89" s="2" t="n">
        <v>196.1</v>
      </c>
      <c r="CH89" s="2" t="n">
        <v>28.3</v>
      </c>
      <c r="CN89" s="2" t="n">
        <v>52.5</v>
      </c>
      <c r="CO89" s="2" t="n">
        <v>323.3</v>
      </c>
      <c r="CP89" s="2" t="n">
        <v>291.9</v>
      </c>
      <c r="CQ89" s="2" t="n">
        <v>31.4</v>
      </c>
      <c r="CR89" s="2" t="inlineStr">
        <is>
          <t>NA</t>
        </is>
      </c>
      <c r="CS89" s="2" t="n">
        <v>50.3</v>
      </c>
      <c r="CT89" s="2" t="n">
        <v>34.8</v>
      </c>
      <c r="CU89" s="2" t="n">
        <v>15.5</v>
      </c>
      <c r="CV89" s="2" t="n">
        <v>58</v>
      </c>
      <c r="CW89" s="2" t="n">
        <v>16.5</v>
      </c>
      <c r="CX89" s="2" t="n">
        <v>41.5</v>
      </c>
      <c r="CY89" s="2" t="inlineStr">
        <is>
          <t>NA</t>
        </is>
      </c>
      <c r="CZ89" s="2" t="n">
        <v>130.2</v>
      </c>
      <c r="DA89" s="2" t="n">
        <v>30.9</v>
      </c>
      <c r="DB89" s="2" t="n">
        <v>25.9</v>
      </c>
      <c r="DC89" s="2" t="n">
        <v>5</v>
      </c>
      <c r="DG89" s="2" t="n">
        <v>170.4</v>
      </c>
      <c r="DI89" s="2" t="n">
        <v>646.4</v>
      </c>
      <c r="DJ89" s="2" t="n">
        <v>167.6</v>
      </c>
      <c r="DK89" s="2" t="n">
        <v>473.8</v>
      </c>
      <c r="DL89" s="2" t="n">
        <v>128.5</v>
      </c>
      <c r="DM89" s="2" t="n">
        <v>203.5</v>
      </c>
      <c r="DO89" s="2" t="n">
        <v>189.3</v>
      </c>
      <c r="DP89" s="2" t="n">
        <v>195.2</v>
      </c>
      <c r="DQ89" s="2" t="n">
        <v>98.8</v>
      </c>
      <c r="DS89" s="2" t="n">
        <v>955.5</v>
      </c>
      <c r="DT89" s="2" t="n">
        <v>3229</v>
      </c>
      <c r="DU89" s="2" t="n">
        <v>-170.4000000000001</v>
      </c>
      <c r="DV89" s="2" t="n">
        <v>0</v>
      </c>
      <c r="GZ89" s="2" t="n">
        <v>850</v>
      </c>
      <c r="IN89" s="2" t="n">
        <v>97.59999999999999</v>
      </c>
      <c r="IY89" s="2" t="n">
        <v>46.96128832455868</v>
      </c>
      <c r="IZ89" s="2" t="n">
        <v>0.2712883245586823</v>
      </c>
      <c r="JB89" s="2" t="n">
        <v>10.70486218643543</v>
      </c>
      <c r="JC89" s="2" t="n">
        <v>-0.005137813564571658</v>
      </c>
      <c r="JE89" s="2" t="n">
        <v>1506.5</v>
      </c>
      <c r="JF89" s="2" t="n">
        <v>0.4020298705609028</v>
      </c>
    </row>
    <row r="90">
      <c r="A90" s="1" t="n">
        <v>31778</v>
      </c>
      <c r="B90" s="2" t="n">
        <v>3307.9</v>
      </c>
      <c r="C90" s="2" t="n">
        <v>3392.8</v>
      </c>
      <c r="D90" s="2" t="n">
        <v>323.5</v>
      </c>
      <c r="E90" s="2" t="n">
        <v>1427.8</v>
      </c>
      <c r="F90" s="2" t="n">
        <v>11.8</v>
      </c>
      <c r="G90" s="2" t="n">
        <v>61.8</v>
      </c>
      <c r="H90" s="2" t="n">
        <v>36.2</v>
      </c>
      <c r="I90" s="2" t="inlineStr">
        <is>
          <t>NA</t>
        </is>
      </c>
      <c r="J90" s="2" t="inlineStr">
        <is>
          <t>NA</t>
        </is>
      </c>
      <c r="K90" s="2" t="n">
        <v>1185.6</v>
      </c>
      <c r="L90" s="2" t="n">
        <v>1837.3</v>
      </c>
      <c r="M90" s="2" t="n">
        <v>1542.6</v>
      </c>
      <c r="N90" s="2" t="n">
        <v>294.7</v>
      </c>
      <c r="O90" s="2" t="n">
        <v>103.7</v>
      </c>
      <c r="P90" s="2" t="n">
        <v>165.4</v>
      </c>
      <c r="Q90" s="2" t="n">
        <v>55.8</v>
      </c>
      <c r="R90" s="2" t="n">
        <v>109.6</v>
      </c>
      <c r="T90" s="2" t="n">
        <v>9.800000000000001</v>
      </c>
      <c r="U90" s="2" t="n">
        <v>47.2</v>
      </c>
      <c r="V90" s="2" t="n">
        <v>45.2</v>
      </c>
      <c r="W90" s="2" t="n">
        <v>2</v>
      </c>
      <c r="X90" s="2" t="n">
        <v>50.8</v>
      </c>
      <c r="Y90" s="2" t="n">
        <v>5.7</v>
      </c>
      <c r="Z90" s="2" t="n">
        <v>140.7</v>
      </c>
      <c r="AA90" s="2" t="n">
        <v>133.6</v>
      </c>
      <c r="AB90" s="2" t="n">
        <v>7.1</v>
      </c>
      <c r="AC90" s="2" t="inlineStr">
        <is>
          <t>NA</t>
        </is>
      </c>
      <c r="AD90" s="2" t="inlineStr">
        <is>
          <t>NA</t>
        </is>
      </c>
      <c r="AG90" s="2" t="inlineStr">
        <is>
          <t>NA</t>
        </is>
      </c>
      <c r="AH90" s="2" t="inlineStr">
        <is>
          <t>NA</t>
        </is>
      </c>
      <c r="AI90" s="2" t="n">
        <v>100.1</v>
      </c>
      <c r="AL90" s="2" t="n">
        <v>87.19999999999999</v>
      </c>
      <c r="AM90" s="2" t="n">
        <v>32.8</v>
      </c>
      <c r="AN90" s="2" t="n">
        <v>54.4</v>
      </c>
      <c r="AO90" s="2" t="n">
        <v>2486.5</v>
      </c>
      <c r="AP90" s="2" t="n">
        <v>278.9</v>
      </c>
      <c r="AQ90" s="2" t="n">
        <v>103.6</v>
      </c>
      <c r="AR90" s="2" t="n">
        <v>32.3</v>
      </c>
      <c r="AS90" s="2" t="n">
        <v>151.1</v>
      </c>
      <c r="AT90" s="2" t="n">
        <v>111.1</v>
      </c>
      <c r="AU90" s="2" t="n">
        <v>77.40000000000001</v>
      </c>
      <c r="AV90" s="2" t="n">
        <v>63.2</v>
      </c>
      <c r="AW90" s="2" t="n">
        <v>6.5</v>
      </c>
      <c r="AX90" s="2" t="n">
        <v>5.2</v>
      </c>
      <c r="AY90" s="2" t="n">
        <v>28.5</v>
      </c>
      <c r="AZ90" s="2" t="n">
        <v>3.4</v>
      </c>
      <c r="BA90" s="2" t="inlineStr">
        <is>
          <t>NA</t>
        </is>
      </c>
      <c r="BB90" s="2" t="inlineStr">
        <is>
          <t>NA</t>
        </is>
      </c>
      <c r="BD90" s="2" t="n">
        <v>111.4</v>
      </c>
      <c r="BE90" s="2" t="n">
        <v>40.1</v>
      </c>
      <c r="BH90" s="2" t="n">
        <v>323.4</v>
      </c>
      <c r="BK90" s="2" t="n">
        <v>142</v>
      </c>
      <c r="BL90" s="2" t="n">
        <v>6.2</v>
      </c>
      <c r="BM90" s="2" t="n">
        <v>471.5</v>
      </c>
      <c r="BN90" s="2" t="n">
        <v>272.5</v>
      </c>
      <c r="BQ90" s="2" t="n">
        <v>74.2</v>
      </c>
      <c r="BR90" s="2" t="n">
        <v>4.9</v>
      </c>
      <c r="BS90" s="2" t="n">
        <v>351.6</v>
      </c>
      <c r="BT90" s="2" t="n">
        <v>76</v>
      </c>
      <c r="BU90" s="2" t="n">
        <v>31.5</v>
      </c>
      <c r="BV90" s="2" t="n">
        <v>343.7</v>
      </c>
      <c r="BW90" s="2" t="n">
        <v>108.1</v>
      </c>
      <c r="BX90" s="2" t="n">
        <v>458.2</v>
      </c>
      <c r="BY90" s="2" t="n">
        <v>67.59999999999999</v>
      </c>
      <c r="BZ90" s="2" t="n">
        <v>7.5</v>
      </c>
      <c r="CA90" s="2" t="n">
        <v>75.09999999999999</v>
      </c>
      <c r="CF90" s="2" t="n">
        <v>123.8</v>
      </c>
      <c r="CG90" s="2" t="n">
        <v>185.6</v>
      </c>
      <c r="CH90" s="2" t="n">
        <v>26.5</v>
      </c>
      <c r="CN90" s="2" t="n">
        <v>65.3</v>
      </c>
      <c r="CO90" s="2" t="n">
        <v>323.6</v>
      </c>
      <c r="CP90" s="2" t="n">
        <v>290.5</v>
      </c>
      <c r="CQ90" s="2" t="n">
        <v>33.1</v>
      </c>
      <c r="CR90" s="2" t="inlineStr">
        <is>
          <t>NA</t>
        </is>
      </c>
      <c r="CS90" s="2" t="n">
        <v>68</v>
      </c>
      <c r="CT90" s="2" t="n">
        <v>54</v>
      </c>
      <c r="CU90" s="2" t="n">
        <v>14</v>
      </c>
      <c r="CV90" s="2" t="n">
        <v>58.4</v>
      </c>
      <c r="CW90" s="2" t="n">
        <v>17.4</v>
      </c>
      <c r="CX90" s="2" t="n">
        <v>41</v>
      </c>
      <c r="CY90" s="2" t="inlineStr">
        <is>
          <t>NA</t>
        </is>
      </c>
      <c r="CZ90" s="2" t="n">
        <v>125.9</v>
      </c>
      <c r="DA90" s="2" t="n">
        <v>37.8</v>
      </c>
      <c r="DB90" s="2" t="n">
        <v>33</v>
      </c>
      <c r="DC90" s="2" t="n">
        <v>4.8</v>
      </c>
      <c r="DG90" s="2" t="n">
        <v>186.1</v>
      </c>
      <c r="DI90" s="2" t="n">
        <v>635.4</v>
      </c>
      <c r="DJ90" s="2" t="n">
        <v>198.1</v>
      </c>
      <c r="DK90" s="2" t="n">
        <v>468</v>
      </c>
      <c r="DL90" s="2" t="n">
        <v>129.4</v>
      </c>
      <c r="DM90" s="2" t="n">
        <v>237.8</v>
      </c>
      <c r="DO90" s="2" t="n">
        <v>179.9</v>
      </c>
      <c r="DP90" s="2" t="n">
        <v>196.5</v>
      </c>
      <c r="DQ90" s="2" t="n">
        <v>99</v>
      </c>
      <c r="DS90" s="2" t="n">
        <v>977.7</v>
      </c>
      <c r="DT90" s="2" t="n">
        <v>3307.9</v>
      </c>
      <c r="DU90" s="2" t="n">
        <v>-186.0999999999999</v>
      </c>
      <c r="DV90" s="2" t="n">
        <v>0</v>
      </c>
      <c r="GZ90" s="2" t="n">
        <v>790.2</v>
      </c>
      <c r="IN90" s="2" t="n">
        <v>103.7</v>
      </c>
      <c r="IY90" s="2" t="n">
        <v>46.98025937906224</v>
      </c>
      <c r="IZ90" s="2" t="n">
        <v>-0.02974062093775842</v>
      </c>
      <c r="JB90" s="2" t="n">
        <v>10.75244112578977</v>
      </c>
      <c r="JC90" s="2" t="n">
        <v>-0.02755887421022507</v>
      </c>
      <c r="JE90" s="2" t="n">
        <v>1837.3</v>
      </c>
      <c r="JF90" s="2" t="n">
        <v>0.4070380449572742</v>
      </c>
    </row>
    <row r="91">
      <c r="A91" s="1" t="n">
        <v>31809</v>
      </c>
      <c r="B91" s="2" t="n">
        <v>3068.1</v>
      </c>
      <c r="C91" s="2" t="n">
        <v>3160.7</v>
      </c>
      <c r="D91" s="2" t="n">
        <v>278.4</v>
      </c>
      <c r="E91" s="2" t="n">
        <v>1157.4</v>
      </c>
      <c r="F91" s="2" t="n">
        <v>16.9</v>
      </c>
      <c r="G91" s="2" t="n">
        <v>67.40000000000001</v>
      </c>
      <c r="H91" s="2" t="n">
        <v>35.4</v>
      </c>
      <c r="I91" s="2" t="inlineStr">
        <is>
          <t>NA</t>
        </is>
      </c>
      <c r="J91" s="2" t="inlineStr">
        <is>
          <t>NA</t>
        </is>
      </c>
      <c r="K91" s="2" t="n">
        <v>1109.6</v>
      </c>
      <c r="L91" s="2" t="n">
        <v>2017</v>
      </c>
      <c r="M91" s="2" t="n">
        <v>1717.2</v>
      </c>
      <c r="N91" s="2" t="n">
        <v>299.8</v>
      </c>
      <c r="O91" s="2" t="n">
        <v>90.3</v>
      </c>
      <c r="P91" s="2" t="n">
        <v>188.1</v>
      </c>
      <c r="Q91" s="2" t="n">
        <v>65.7</v>
      </c>
      <c r="R91" s="2" t="n">
        <v>122.4</v>
      </c>
      <c r="T91" s="2" t="n">
        <v>13.6</v>
      </c>
      <c r="U91" s="2" t="n">
        <v>55.4</v>
      </c>
      <c r="V91" s="2" t="n">
        <v>52.4</v>
      </c>
      <c r="W91" s="2" t="n">
        <v>3</v>
      </c>
      <c r="X91" s="2" t="n">
        <v>51.5</v>
      </c>
      <c r="Y91" s="2" t="n">
        <v>5.6</v>
      </c>
      <c r="Z91" s="2" t="n">
        <v>152.1</v>
      </c>
      <c r="AA91" s="2" t="n">
        <v>146.8</v>
      </c>
      <c r="AB91" s="2" t="n">
        <v>5.3</v>
      </c>
      <c r="AC91" s="2" t="inlineStr">
        <is>
          <t>NA</t>
        </is>
      </c>
      <c r="AD91" s="2" t="inlineStr">
        <is>
          <t>NA</t>
        </is>
      </c>
      <c r="AG91" s="2" t="inlineStr">
        <is>
          <t>NA</t>
        </is>
      </c>
      <c r="AH91" s="2" t="inlineStr">
        <is>
          <t>NA</t>
        </is>
      </c>
      <c r="AI91" s="2" t="n">
        <v>102.2</v>
      </c>
      <c r="AL91" s="2" t="n">
        <v>101</v>
      </c>
      <c r="AM91" s="2" t="n">
        <v>35</v>
      </c>
      <c r="AN91" s="2" t="n">
        <v>66</v>
      </c>
      <c r="AO91" s="2" t="n">
        <v>2315.9</v>
      </c>
      <c r="AP91" s="2" t="n">
        <v>245.3</v>
      </c>
      <c r="AQ91" s="2" t="n">
        <v>94</v>
      </c>
      <c r="AR91" s="2" t="n">
        <v>32.2</v>
      </c>
      <c r="AS91" s="2" t="n">
        <v>128.7</v>
      </c>
      <c r="AT91" s="2" t="n">
        <v>141.5</v>
      </c>
      <c r="AU91" s="2" t="n">
        <v>68.8</v>
      </c>
      <c r="AV91" s="2" t="n">
        <v>80.8</v>
      </c>
      <c r="AW91" s="2" t="n">
        <v>9.699999999999999</v>
      </c>
      <c r="AX91" s="2" t="n">
        <v>5.7</v>
      </c>
      <c r="AY91" s="2" t="n">
        <v>32.3</v>
      </c>
      <c r="AZ91" s="2" t="n">
        <v>8.4</v>
      </c>
      <c r="BA91" s="2" t="inlineStr">
        <is>
          <t>NA</t>
        </is>
      </c>
      <c r="BB91" s="2" t="inlineStr">
        <is>
          <t>NA</t>
        </is>
      </c>
      <c r="BD91" s="2" t="n">
        <v>97.5</v>
      </c>
      <c r="BE91" s="2" t="n">
        <v>41.4</v>
      </c>
      <c r="BH91" s="2" t="n">
        <v>289.7</v>
      </c>
      <c r="BK91" s="2" t="n">
        <v>127.8</v>
      </c>
      <c r="BL91" s="2" t="n">
        <v>4.9</v>
      </c>
      <c r="BM91" s="2" t="n">
        <v>422.3</v>
      </c>
      <c r="BN91" s="2" t="n">
        <v>315.8</v>
      </c>
      <c r="BQ91" s="2" t="n">
        <v>84.8</v>
      </c>
      <c r="BR91" s="2" t="n">
        <v>5.4</v>
      </c>
      <c r="BS91" s="2" t="n">
        <v>406</v>
      </c>
      <c r="BT91" s="2" t="n">
        <v>66</v>
      </c>
      <c r="BU91" s="2" t="n">
        <v>30.9</v>
      </c>
      <c r="BV91" s="2" t="n">
        <v>308.6</v>
      </c>
      <c r="BW91" s="2" t="n">
        <v>98.90000000000001</v>
      </c>
      <c r="BX91" s="2" t="n">
        <v>413.3</v>
      </c>
      <c r="BY91" s="2" t="n">
        <v>57.2</v>
      </c>
      <c r="BZ91" s="2" t="n">
        <v>7.5</v>
      </c>
      <c r="CA91" s="2" t="n">
        <v>64.7</v>
      </c>
      <c r="CF91" s="2" t="n">
        <v>143</v>
      </c>
      <c r="CG91" s="2" t="n">
        <v>199.2</v>
      </c>
      <c r="CH91" s="2" t="n">
        <v>27.3</v>
      </c>
      <c r="CN91" s="2" t="n">
        <v>57.7</v>
      </c>
      <c r="CO91" s="2" t="n">
        <v>355.7</v>
      </c>
      <c r="CP91" s="2" t="n">
        <v>325.2</v>
      </c>
      <c r="CQ91" s="2" t="n">
        <v>30.5</v>
      </c>
      <c r="CR91" s="2" t="inlineStr">
        <is>
          <t>NA</t>
        </is>
      </c>
      <c r="CS91" s="2" t="n">
        <v>55.7</v>
      </c>
      <c r="CT91" s="2" t="n">
        <v>42.5</v>
      </c>
      <c r="CU91" s="2" t="n">
        <v>13.2</v>
      </c>
      <c r="CV91" s="2" t="n">
        <v>56.3</v>
      </c>
      <c r="CW91" s="2" t="n">
        <v>16.6</v>
      </c>
      <c r="CX91" s="2" t="n">
        <v>39.7</v>
      </c>
      <c r="CY91" s="2" t="inlineStr">
        <is>
          <t>NA</t>
        </is>
      </c>
      <c r="CZ91" s="2" t="n">
        <v>121</v>
      </c>
      <c r="DA91" s="2" t="n">
        <v>35.9</v>
      </c>
      <c r="DB91" s="2" t="n">
        <v>29.7</v>
      </c>
      <c r="DC91" s="2" t="n">
        <v>6.2</v>
      </c>
      <c r="DG91" s="2" t="n">
        <v>160.4</v>
      </c>
      <c r="DI91" s="2" t="n">
        <v>616.9</v>
      </c>
      <c r="DJ91" s="2" t="n">
        <v>182</v>
      </c>
      <c r="DK91" s="2" t="n">
        <v>447.8</v>
      </c>
      <c r="DL91" s="2" t="n">
        <v>114.4</v>
      </c>
      <c r="DM91" s="2" t="n">
        <v>211.2</v>
      </c>
      <c r="DO91" s="2" t="n">
        <v>164.4</v>
      </c>
      <c r="DP91" s="2" t="n">
        <v>175.2</v>
      </c>
      <c r="DQ91" s="2" t="n">
        <v>92.90000000000001</v>
      </c>
      <c r="DS91" s="2" t="n">
        <v>902.9</v>
      </c>
      <c r="DT91" s="2" t="n">
        <v>3068.1</v>
      </c>
      <c r="DU91" s="2" t="n">
        <v>-160.3999999999996</v>
      </c>
      <c r="DV91" s="2" t="n">
        <v>0</v>
      </c>
      <c r="GZ91" s="2" t="n">
        <v>763.6</v>
      </c>
      <c r="IN91" s="2" t="n">
        <v>96.8</v>
      </c>
      <c r="IY91" s="2" t="n">
        <v>47.12819008506894</v>
      </c>
      <c r="IZ91" s="2" t="n">
        <v>-0.001809914931065748</v>
      </c>
      <c r="JB91" s="2" t="n">
        <v>10.8497115478635</v>
      </c>
      <c r="JC91" s="2" t="n">
        <v>-0.02028845213650143</v>
      </c>
      <c r="JE91" s="2" t="n">
        <v>2017</v>
      </c>
      <c r="JF91" s="2" t="n">
        <v>0.428427367377293</v>
      </c>
    </row>
    <row r="92">
      <c r="A92" s="1" t="n">
        <v>31837</v>
      </c>
      <c r="B92" s="2" t="n">
        <v>3179.7</v>
      </c>
      <c r="C92" s="2" t="n">
        <v>2707.2</v>
      </c>
      <c r="D92" s="2" t="n">
        <v>255.8</v>
      </c>
      <c r="E92" s="2" t="n">
        <v>912.6</v>
      </c>
      <c r="F92" s="2" t="n">
        <v>25.2</v>
      </c>
      <c r="G92" s="2" t="n">
        <v>63.1</v>
      </c>
      <c r="H92" s="2" t="n">
        <v>16.9</v>
      </c>
      <c r="I92" s="2" t="inlineStr">
        <is>
          <t>NA</t>
        </is>
      </c>
      <c r="J92" s="2" t="inlineStr">
        <is>
          <t>NA</t>
        </is>
      </c>
      <c r="K92" s="2" t="n">
        <v>1149</v>
      </c>
      <c r="L92" s="2" t="n">
        <v>2352.3</v>
      </c>
      <c r="M92" s="2" t="n">
        <v>2028.9</v>
      </c>
      <c r="N92" s="2" t="n">
        <v>323.4</v>
      </c>
      <c r="O92" s="2" t="n">
        <v>83.3</v>
      </c>
      <c r="P92" s="2" t="n">
        <v>207.5</v>
      </c>
      <c r="Q92" s="2" t="n">
        <v>85.8</v>
      </c>
      <c r="R92" s="2" t="n">
        <v>121.7</v>
      </c>
      <c r="T92" s="2" t="n">
        <v>20.5</v>
      </c>
      <c r="U92" s="2" t="n">
        <v>48.8</v>
      </c>
      <c r="V92" s="2" t="n">
        <v>46.2</v>
      </c>
      <c r="W92" s="2" t="n">
        <v>2.6</v>
      </c>
      <c r="X92" s="2" t="n">
        <v>50.5</v>
      </c>
      <c r="Y92" s="2" t="n">
        <v>9.699999999999999</v>
      </c>
      <c r="Z92" s="2" t="n">
        <v>134.8</v>
      </c>
      <c r="AA92" s="2" t="n">
        <v>129.6</v>
      </c>
      <c r="AB92" s="2" t="n">
        <v>5.2</v>
      </c>
      <c r="AC92" s="2" t="inlineStr">
        <is>
          <t>NA</t>
        </is>
      </c>
      <c r="AD92" s="2" t="inlineStr">
        <is>
          <t>NA</t>
        </is>
      </c>
      <c r="AG92" s="2" t="inlineStr">
        <is>
          <t>NA</t>
        </is>
      </c>
      <c r="AH92" s="2" t="inlineStr">
        <is>
          <t>NA</t>
        </is>
      </c>
      <c r="AI92" s="2" t="n">
        <v>119.3</v>
      </c>
      <c r="AL92" s="2" t="n">
        <v>84.7</v>
      </c>
      <c r="AM92" s="2" t="n">
        <v>32.5</v>
      </c>
      <c r="AN92" s="2" t="n">
        <v>52.2</v>
      </c>
      <c r="AO92" s="2" t="n">
        <v>2390.1</v>
      </c>
      <c r="AP92" s="2" t="n">
        <v>205.8</v>
      </c>
      <c r="AQ92" s="2" t="n">
        <v>99</v>
      </c>
      <c r="AR92" s="2" t="n">
        <v>30</v>
      </c>
      <c r="AS92" s="2" t="n">
        <v>116.1</v>
      </c>
      <c r="AT92" s="2" t="n">
        <v>154.1</v>
      </c>
      <c r="AU92" s="2" t="n">
        <v>59.2</v>
      </c>
      <c r="AV92" s="2" t="n">
        <v>87.2</v>
      </c>
      <c r="AW92" s="2" t="n">
        <v>14.3</v>
      </c>
      <c r="AX92" s="2" t="n">
        <v>5.5</v>
      </c>
      <c r="AY92" s="2" t="n">
        <v>28.2</v>
      </c>
      <c r="AZ92" s="2" t="n">
        <v>8.5</v>
      </c>
      <c r="BA92" s="2" t="inlineStr">
        <is>
          <t>NA</t>
        </is>
      </c>
      <c r="BB92" s="2" t="inlineStr">
        <is>
          <t>NA</t>
        </is>
      </c>
      <c r="BD92" s="2" t="n">
        <v>101.7</v>
      </c>
      <c r="BE92" s="2" t="n">
        <v>38.8</v>
      </c>
      <c r="BH92" s="2" t="n">
        <v>306.9</v>
      </c>
      <c r="BK92" s="2" t="n">
        <v>136.1</v>
      </c>
      <c r="BL92" s="2" t="n">
        <v>6</v>
      </c>
      <c r="BM92" s="2" t="n">
        <v>448.9</v>
      </c>
      <c r="BN92" s="2" t="n">
        <v>308.1</v>
      </c>
      <c r="BQ92" s="2" t="n">
        <v>82.59999999999999</v>
      </c>
      <c r="BR92" s="2" t="n">
        <v>5.5</v>
      </c>
      <c r="BS92" s="2" t="n">
        <v>396.2</v>
      </c>
      <c r="BT92" s="2" t="n">
        <v>74</v>
      </c>
      <c r="BU92" s="2" t="n">
        <v>27.2</v>
      </c>
      <c r="BV92" s="2" t="n">
        <v>332.2</v>
      </c>
      <c r="BW92" s="2" t="n">
        <v>103.3</v>
      </c>
      <c r="BX92" s="2" t="n">
        <v>441.8</v>
      </c>
      <c r="BY92" s="2" t="n">
        <v>66.09999999999999</v>
      </c>
      <c r="BZ92" s="2" t="n">
        <v>8.300000000000001</v>
      </c>
      <c r="CA92" s="2" t="n">
        <v>74.39999999999999</v>
      </c>
      <c r="CF92" s="2" t="n">
        <v>145.5</v>
      </c>
      <c r="CG92" s="2" t="n">
        <v>211.6</v>
      </c>
      <c r="CH92" s="2" t="n">
        <v>35.8</v>
      </c>
      <c r="CN92" s="2" t="n">
        <v>71.2</v>
      </c>
      <c r="CO92" s="2" t="n">
        <v>318.1</v>
      </c>
      <c r="CP92" s="2" t="n">
        <v>287.6</v>
      </c>
      <c r="CQ92" s="2" t="n">
        <v>30.5</v>
      </c>
      <c r="CR92" s="2" t="inlineStr">
        <is>
          <t>NA</t>
        </is>
      </c>
      <c r="CS92" s="2" t="n">
        <v>64.60000000000001</v>
      </c>
      <c r="CT92" s="2" t="n">
        <v>51.2</v>
      </c>
      <c r="CU92" s="2" t="n">
        <v>13.4</v>
      </c>
      <c r="CV92" s="2" t="n">
        <v>62.2</v>
      </c>
      <c r="CW92" s="2" t="n">
        <v>17.2</v>
      </c>
      <c r="CX92" s="2" t="n">
        <v>45</v>
      </c>
      <c r="CY92" s="2" t="inlineStr">
        <is>
          <t>NA</t>
        </is>
      </c>
      <c r="CZ92" s="2" t="n">
        <v>113</v>
      </c>
      <c r="DA92" s="2" t="n">
        <v>34.6</v>
      </c>
      <c r="DB92" s="2" t="n">
        <v>28</v>
      </c>
      <c r="DC92" s="2" t="n">
        <v>6.6</v>
      </c>
      <c r="DG92" s="2" t="n">
        <v>143.9</v>
      </c>
      <c r="DH92" s="2" t="n">
        <v>129.9</v>
      </c>
      <c r="DI92" s="2" t="n">
        <v>644.1</v>
      </c>
      <c r="DJ92" s="2" t="n">
        <v>203.9</v>
      </c>
      <c r="DK92" s="2" t="n">
        <v>463.6</v>
      </c>
      <c r="DL92" s="2" t="n">
        <v>125.3</v>
      </c>
      <c r="DM92" s="2" t="n">
        <v>225.2</v>
      </c>
      <c r="DO92" s="2" t="n">
        <v>171</v>
      </c>
      <c r="DP92" s="2" t="n">
        <v>177.1</v>
      </c>
      <c r="DQ92" s="2" t="n">
        <v>88.09999999999999</v>
      </c>
      <c r="DS92" s="2" t="n">
        <v>807.6</v>
      </c>
      <c r="DT92" s="2" t="n">
        <v>3179.7</v>
      </c>
      <c r="DU92" s="2" t="n">
        <v>-273.8000000000002</v>
      </c>
      <c r="DV92" s="2" t="n">
        <v>0</v>
      </c>
      <c r="GZ92" s="2" t="n">
        <v>900.7</v>
      </c>
      <c r="IN92" s="2" t="n">
        <v>90.3</v>
      </c>
      <c r="IY92" s="2" t="n">
        <v>46.96858194169261</v>
      </c>
      <c r="IZ92" s="2" t="n">
        <v>0.03858194169261253</v>
      </c>
      <c r="JB92" s="2" t="n">
        <v>10.84064534390037</v>
      </c>
      <c r="JC92" s="2" t="n">
        <v>-0.009354656099631597</v>
      </c>
      <c r="JE92" s="2" t="n">
        <v>2352.3</v>
      </c>
      <c r="JF92" s="2" t="n">
        <v>0.3674748118862389</v>
      </c>
    </row>
    <row r="93">
      <c r="A93" s="1" t="n">
        <v>31868</v>
      </c>
      <c r="B93" s="2" t="n">
        <v>2877.3</v>
      </c>
      <c r="C93" s="2" t="n">
        <v>2554.6</v>
      </c>
      <c r="D93" s="2" t="n">
        <v>214.7</v>
      </c>
      <c r="E93" s="2" t="n">
        <v>678.8</v>
      </c>
      <c r="F93" s="2" t="n">
        <v>14.3</v>
      </c>
      <c r="G93" s="2" t="n">
        <v>32.5</v>
      </c>
      <c r="H93" s="2" t="n">
        <v>16.3</v>
      </c>
      <c r="I93" s="2" t="inlineStr">
        <is>
          <t>NA</t>
        </is>
      </c>
      <c r="J93" s="2" t="inlineStr">
        <is>
          <t>NA</t>
        </is>
      </c>
      <c r="K93" s="2" t="n">
        <v>1047.1</v>
      </c>
      <c r="L93" s="2" t="n">
        <v>2344</v>
      </c>
      <c r="M93" s="2" t="n">
        <v>2017.5</v>
      </c>
      <c r="N93" s="2" t="n">
        <v>326.5</v>
      </c>
      <c r="O93" s="2" t="n">
        <v>70.59999999999999</v>
      </c>
      <c r="P93" s="2" t="n">
        <v>204.2</v>
      </c>
      <c r="Q93" s="2" t="n">
        <v>73</v>
      </c>
      <c r="R93" s="2" t="n">
        <v>131.2</v>
      </c>
      <c r="T93" s="2" t="n">
        <v>11.6</v>
      </c>
      <c r="U93" s="2" t="n">
        <v>44.2</v>
      </c>
      <c r="V93" s="2" t="n">
        <v>40.7</v>
      </c>
      <c r="W93" s="2" t="n">
        <v>3.5</v>
      </c>
      <c r="X93" s="2" t="n">
        <v>26.4</v>
      </c>
      <c r="Y93" s="2" t="n">
        <v>8.699999999999999</v>
      </c>
      <c r="Z93" s="2" t="n">
        <v>134.8</v>
      </c>
      <c r="AA93" s="2" t="n">
        <v>128.6</v>
      </c>
      <c r="AB93" s="2" t="n">
        <v>6.2</v>
      </c>
      <c r="AC93" s="2" t="inlineStr">
        <is>
          <t>NA</t>
        </is>
      </c>
      <c r="AD93" s="2" t="inlineStr">
        <is>
          <t>NA</t>
        </is>
      </c>
      <c r="AG93" s="2" t="inlineStr">
        <is>
          <t>NA</t>
        </is>
      </c>
      <c r="AH93" s="2" t="inlineStr">
        <is>
          <t>NA</t>
        </is>
      </c>
      <c r="AI93" s="2" t="n">
        <v>111.2</v>
      </c>
      <c r="AL93" s="2" t="n">
        <v>123.1</v>
      </c>
      <c r="AM93" s="2" t="n">
        <v>52.6</v>
      </c>
      <c r="AN93" s="2" t="n">
        <v>70.5</v>
      </c>
      <c r="AO93" s="2" t="n">
        <v>2153.2</v>
      </c>
      <c r="AP93" s="2" t="n">
        <v>209.6</v>
      </c>
      <c r="AQ93" s="2" t="n">
        <v>103.2</v>
      </c>
      <c r="AR93" s="2" t="n">
        <v>34.4</v>
      </c>
      <c r="AS93" s="2" t="n">
        <v>100</v>
      </c>
      <c r="AT93" s="2" t="n">
        <v>150.3</v>
      </c>
      <c r="AU93" s="2" t="n">
        <v>54</v>
      </c>
      <c r="AV93" s="2" t="n">
        <v>88.09999999999999</v>
      </c>
      <c r="AW93" s="2" t="n">
        <v>8.1</v>
      </c>
      <c r="AX93" s="2" t="n">
        <v>5.6</v>
      </c>
      <c r="AY93" s="2" t="n">
        <v>16</v>
      </c>
      <c r="AZ93" s="2" t="n">
        <v>5.3</v>
      </c>
      <c r="BA93" s="2" t="inlineStr">
        <is>
          <t>NA</t>
        </is>
      </c>
      <c r="BB93" s="2" t="inlineStr">
        <is>
          <t>NA</t>
        </is>
      </c>
      <c r="BD93" s="2" t="n">
        <v>110.7</v>
      </c>
      <c r="BE93" s="2" t="n">
        <v>41.4</v>
      </c>
      <c r="BH93" s="2" t="n">
        <v>311.3</v>
      </c>
      <c r="BK93" s="2" t="n">
        <v>143.5</v>
      </c>
      <c r="BL93" s="2" t="n">
        <v>6.5</v>
      </c>
      <c r="BM93" s="2" t="n">
        <v>461.3</v>
      </c>
      <c r="BN93" s="2" t="n">
        <v>270.2</v>
      </c>
      <c r="BQ93" s="2" t="n">
        <v>78.90000000000001</v>
      </c>
      <c r="BR93" s="2" t="n">
        <v>4.7</v>
      </c>
      <c r="BS93" s="2" t="n">
        <v>353.8</v>
      </c>
      <c r="BT93" s="2" t="n">
        <v>73</v>
      </c>
      <c r="BU93" s="2" t="n">
        <v>28.9</v>
      </c>
      <c r="BV93" s="2" t="n">
        <v>343.4</v>
      </c>
      <c r="BW93" s="2" t="n">
        <v>104.3</v>
      </c>
      <c r="BX93" s="2" t="n">
        <v>454.1</v>
      </c>
      <c r="BY93" s="2" t="n">
        <v>63.5</v>
      </c>
      <c r="BZ93" s="2" t="n">
        <v>7.3</v>
      </c>
      <c r="CA93" s="2" t="n">
        <v>70.8</v>
      </c>
      <c r="CF93" s="2" t="n">
        <v>132.6</v>
      </c>
      <c r="CG93" s="2" t="n">
        <v>204.4</v>
      </c>
      <c r="CH93" s="2" t="n">
        <v>29.3</v>
      </c>
      <c r="CN93" s="2" t="n">
        <v>71.3</v>
      </c>
      <c r="CO93" s="2" t="n">
        <v>336.9</v>
      </c>
      <c r="CP93" s="2" t="n">
        <v>304.7</v>
      </c>
      <c r="CQ93" s="2" t="n">
        <v>32.2</v>
      </c>
      <c r="CR93" s="2" t="inlineStr">
        <is>
          <t>NA</t>
        </is>
      </c>
      <c r="CS93" s="2" t="n">
        <v>55</v>
      </c>
      <c r="CT93" s="2" t="n">
        <v>44.1</v>
      </c>
      <c r="CU93" s="2" t="n">
        <v>10.9</v>
      </c>
      <c r="CV93" s="2" t="n">
        <v>50.09999999999999</v>
      </c>
      <c r="CW93" s="2" t="n">
        <v>13.3</v>
      </c>
      <c r="CX93" s="2" t="n">
        <v>36.8</v>
      </c>
      <c r="CY93" s="2" t="inlineStr">
        <is>
          <t>NA</t>
        </is>
      </c>
      <c r="CZ93" s="2" t="n">
        <v>114.2</v>
      </c>
      <c r="DA93" s="2" t="n">
        <v>34.1</v>
      </c>
      <c r="DB93" s="2" t="n">
        <v>30.5</v>
      </c>
      <c r="DC93" s="2" t="n">
        <v>3.6</v>
      </c>
      <c r="DG93" s="2" t="n">
        <v>106.3</v>
      </c>
      <c r="DH93" s="2" t="n">
        <v>128.3</v>
      </c>
      <c r="DI93" s="2" t="n">
        <v>537.2</v>
      </c>
      <c r="DJ93" s="2" t="n">
        <v>172.4</v>
      </c>
      <c r="DK93" s="2" t="n">
        <v>455.8</v>
      </c>
      <c r="DL93" s="2" t="n">
        <v>122</v>
      </c>
      <c r="DM93" s="2" t="n">
        <v>204.7</v>
      </c>
      <c r="DO93" s="2" t="n">
        <v>147.6</v>
      </c>
      <c r="DP93" s="2" t="n">
        <v>166.7</v>
      </c>
      <c r="DQ93" s="2" t="n">
        <v>90.7</v>
      </c>
      <c r="DS93" s="2" t="n">
        <v>745.6</v>
      </c>
      <c r="DT93" s="2" t="n">
        <v>2877.3</v>
      </c>
      <c r="DU93" s="2" t="n">
        <v>-234.5999999999999</v>
      </c>
      <c r="DV93" s="2" t="n">
        <v>0</v>
      </c>
      <c r="GZ93" s="2" t="n">
        <v>871.2</v>
      </c>
      <c r="IN93" s="2" t="n">
        <v>74.90000000000001</v>
      </c>
      <c r="IY93" s="2" t="n">
        <v>47.05244500052131</v>
      </c>
      <c r="IZ93" s="2" t="n">
        <v>-0.1475549994786931</v>
      </c>
      <c r="JB93" s="2" t="n">
        <v>10.91752684808675</v>
      </c>
      <c r="JC93" s="2" t="n">
        <v>-0.05247315191325441</v>
      </c>
      <c r="JE93" s="2" t="n">
        <v>2344</v>
      </c>
      <c r="JF93" s="2" t="n">
        <v>0.39392704778157</v>
      </c>
    </row>
    <row r="94">
      <c r="A94" s="1" t="n">
        <v>31898</v>
      </c>
      <c r="B94" s="2" t="n">
        <v>2859.6</v>
      </c>
      <c r="C94" s="2" t="n">
        <v>2186.1</v>
      </c>
      <c r="D94" s="2" t="n">
        <v>171.3</v>
      </c>
      <c r="E94" s="2" t="n">
        <v>468.8</v>
      </c>
      <c r="F94" s="2" t="n">
        <v>22.9</v>
      </c>
      <c r="G94" s="2" t="n">
        <v>37.1</v>
      </c>
      <c r="H94" s="2" t="n">
        <v>6.3</v>
      </c>
      <c r="I94" s="2" t="inlineStr">
        <is>
          <t>NA</t>
        </is>
      </c>
      <c r="J94" s="2" t="inlineStr">
        <is>
          <t>NA</t>
        </is>
      </c>
      <c r="K94" s="2" t="n">
        <v>1037.6</v>
      </c>
      <c r="L94" s="2" t="n">
        <v>2416.1</v>
      </c>
      <c r="M94" s="2" t="n">
        <v>2090.1</v>
      </c>
      <c r="N94" s="2" t="n">
        <v>326</v>
      </c>
      <c r="O94" s="2" t="n">
        <v>55.6</v>
      </c>
      <c r="P94" s="2" t="n">
        <v>236.2</v>
      </c>
      <c r="Q94" s="2" t="n">
        <v>88.5</v>
      </c>
      <c r="R94" s="2" t="n">
        <v>147.7</v>
      </c>
      <c r="T94" s="2" t="n">
        <v>17.8</v>
      </c>
      <c r="U94" s="2" t="n">
        <v>48</v>
      </c>
      <c r="V94" s="2" t="n">
        <v>45.5</v>
      </c>
      <c r="W94" s="2" t="n">
        <v>2.5</v>
      </c>
      <c r="X94" s="2" t="n">
        <v>29.7</v>
      </c>
      <c r="Y94" s="2" t="n">
        <v>7.5</v>
      </c>
      <c r="Z94" s="2" t="n">
        <v>124.9</v>
      </c>
      <c r="AA94" s="2" t="n">
        <v>117.5</v>
      </c>
      <c r="AB94" s="2" t="n">
        <v>7.4</v>
      </c>
      <c r="AC94" s="2" t="inlineStr">
        <is>
          <t>NA</t>
        </is>
      </c>
      <c r="AD94" s="2" t="inlineStr">
        <is>
          <t>NA</t>
        </is>
      </c>
      <c r="AG94" s="2" t="inlineStr">
        <is>
          <t>NA</t>
        </is>
      </c>
      <c r="AH94" s="2" t="inlineStr">
        <is>
          <t>NA</t>
        </is>
      </c>
      <c r="AI94" s="2" t="n">
        <v>123.8</v>
      </c>
      <c r="AL94" s="2" t="n">
        <v>102.7</v>
      </c>
      <c r="AM94" s="2" t="n">
        <v>40.8</v>
      </c>
      <c r="AN94" s="2" t="n">
        <v>61.9</v>
      </c>
      <c r="AO94" s="2" t="n">
        <v>2141.2</v>
      </c>
      <c r="AP94" s="2" t="n">
        <v>275.3</v>
      </c>
      <c r="AQ94" s="2" t="n">
        <v>104.4</v>
      </c>
      <c r="AR94" s="2" t="n">
        <v>46.4</v>
      </c>
      <c r="AS94" s="2" t="n">
        <v>80</v>
      </c>
      <c r="AT94" s="2" t="n">
        <v>139.7</v>
      </c>
      <c r="AU94" s="2" t="n">
        <v>42.6</v>
      </c>
      <c r="AV94" s="2" t="n">
        <v>84.8</v>
      </c>
      <c r="AW94" s="2" t="n">
        <v>13</v>
      </c>
      <c r="AX94" s="2" t="n">
        <v>5.7</v>
      </c>
      <c r="AY94" s="2" t="n">
        <v>17.6</v>
      </c>
      <c r="AZ94" s="2" t="n">
        <v>6.8</v>
      </c>
      <c r="BA94" s="2" t="inlineStr">
        <is>
          <t>NA</t>
        </is>
      </c>
      <c r="BB94" s="2" t="inlineStr">
        <is>
          <t>NA</t>
        </is>
      </c>
      <c r="BD94" s="2" t="n">
        <v>100.9</v>
      </c>
      <c r="BE94" s="2" t="n">
        <v>34.7</v>
      </c>
      <c r="BH94" s="2" t="n">
        <v>287.8</v>
      </c>
      <c r="BK94" s="2" t="n">
        <v>137</v>
      </c>
      <c r="BL94" s="2" t="n">
        <v>6.1</v>
      </c>
      <c r="BM94" s="2" t="n">
        <v>430.9</v>
      </c>
      <c r="BN94" s="2" t="n">
        <v>292</v>
      </c>
      <c r="BQ94" s="2" t="n">
        <v>77</v>
      </c>
      <c r="BR94" s="2" t="n">
        <v>4.5</v>
      </c>
      <c r="BS94" s="2" t="n">
        <v>373.5</v>
      </c>
      <c r="BT94" s="2" t="n">
        <v>66</v>
      </c>
      <c r="BU94" s="2" t="n">
        <v>29.9</v>
      </c>
      <c r="BV94" s="2" t="n">
        <v>318.2</v>
      </c>
      <c r="BW94" s="2" t="n">
        <v>94.7</v>
      </c>
      <c r="BX94" s="2" t="n">
        <v>418.9</v>
      </c>
      <c r="BY94" s="2" t="n">
        <v>55.4</v>
      </c>
      <c r="BZ94" s="2" t="n">
        <v>6.9</v>
      </c>
      <c r="CA94" s="2" t="n">
        <v>62.3</v>
      </c>
      <c r="CF94" s="2" t="n">
        <v>124.3</v>
      </c>
      <c r="CG94" s="2" t="n">
        <v>209.7</v>
      </c>
      <c r="CH94" s="2" t="n">
        <v>30.9</v>
      </c>
      <c r="CN94" s="2" t="n">
        <v>70.40000000000001</v>
      </c>
      <c r="CO94" s="2" t="n">
        <v>271.2</v>
      </c>
      <c r="CP94" s="2" t="n">
        <v>243.7</v>
      </c>
      <c r="CQ94" s="2" t="n">
        <v>27.5</v>
      </c>
      <c r="CR94" s="2" t="inlineStr">
        <is>
          <t>NA</t>
        </is>
      </c>
      <c r="CS94" s="2" t="n">
        <v>51.09999999999999</v>
      </c>
      <c r="CT94" s="2" t="n">
        <v>40.3</v>
      </c>
      <c r="CU94" s="2" t="n">
        <v>10.8</v>
      </c>
      <c r="CV94" s="2" t="n">
        <v>59.4</v>
      </c>
      <c r="CW94" s="2" t="n">
        <v>13.4</v>
      </c>
      <c r="CX94" s="2" t="n">
        <v>46</v>
      </c>
      <c r="CY94" s="2" t="inlineStr">
        <is>
          <t>NA</t>
        </is>
      </c>
      <c r="CZ94" s="2" t="n">
        <v>118.2</v>
      </c>
      <c r="DA94" s="2" t="n">
        <v>36.5</v>
      </c>
      <c r="DB94" s="2" t="n">
        <v>35.1</v>
      </c>
      <c r="DC94" s="2" t="n">
        <v>1.4</v>
      </c>
      <c r="DG94" s="2" t="n">
        <v>75.90000000000001</v>
      </c>
      <c r="DH94" s="2" t="n">
        <v>116.6</v>
      </c>
      <c r="DI94" s="2" t="n">
        <v>608.3</v>
      </c>
      <c r="DJ94" s="2" t="n">
        <v>188.7</v>
      </c>
      <c r="DK94" s="2" t="n">
        <v>426.1</v>
      </c>
      <c r="DL94" s="2" t="n">
        <v>130.4</v>
      </c>
      <c r="DM94" s="2" t="n">
        <v>244.7</v>
      </c>
      <c r="DO94" s="2" t="n">
        <v>161.2</v>
      </c>
      <c r="DP94" s="2" t="n">
        <v>138.2</v>
      </c>
      <c r="DQ94" s="2" t="n">
        <v>99.7</v>
      </c>
      <c r="DS94" s="2" t="n">
        <v>669.7</v>
      </c>
      <c r="DT94" s="2" t="n">
        <v>2859.6</v>
      </c>
      <c r="DU94" s="2" t="n">
        <v>-192.5999999999999</v>
      </c>
      <c r="DV94" s="2" t="n">
        <v>0</v>
      </c>
      <c r="GZ94" s="2" t="n">
        <v>826.9</v>
      </c>
      <c r="IN94" s="2" t="n">
        <v>59.8</v>
      </c>
      <c r="IY94" s="2" t="n">
        <v>47.11707931179186</v>
      </c>
      <c r="IZ94" s="2" t="n">
        <v>0.03707931179186374</v>
      </c>
      <c r="JB94" s="2" t="n">
        <v>10.88543852287033</v>
      </c>
      <c r="JC94" s="2" t="n">
        <v>-0.0145614771296696</v>
      </c>
      <c r="JE94" s="2" t="n">
        <v>2416.1</v>
      </c>
      <c r="JF94" s="2" t="n">
        <v>0.3918128388725632</v>
      </c>
    </row>
    <row r="95">
      <c r="A95" s="1" t="n">
        <v>31929</v>
      </c>
      <c r="B95" s="2" t="n">
        <v>2718.1</v>
      </c>
      <c r="C95" s="2" t="n">
        <v>1909.2</v>
      </c>
      <c r="D95" s="2" t="n">
        <v>134.2</v>
      </c>
      <c r="E95" s="2" t="n">
        <v>307.2</v>
      </c>
      <c r="F95" s="2" t="n">
        <v>21.3</v>
      </c>
      <c r="G95" s="2" t="inlineStr">
        <is>
          <t>NA</t>
        </is>
      </c>
      <c r="H95" s="2" t="inlineStr">
        <is>
          <t>NA</t>
        </is>
      </c>
      <c r="I95" s="2" t="inlineStr">
        <is>
          <t>NA</t>
        </is>
      </c>
      <c r="J95" s="2" t="inlineStr">
        <is>
          <t>NA</t>
        </is>
      </c>
      <c r="K95" s="2" t="n">
        <v>980.9</v>
      </c>
      <c r="L95" s="2" t="n">
        <v>2338.6</v>
      </c>
      <c r="M95" s="2" t="n">
        <v>2067.2</v>
      </c>
      <c r="N95" s="2" t="n">
        <v>271.4</v>
      </c>
      <c r="O95" s="2" t="n">
        <v>43.5</v>
      </c>
      <c r="P95" s="2" t="n">
        <v>190.8</v>
      </c>
      <c r="Q95" s="2" t="n">
        <v>70.59999999999999</v>
      </c>
      <c r="R95" s="2" t="n">
        <v>120.2</v>
      </c>
      <c r="T95" s="2" t="n">
        <v>15.8</v>
      </c>
      <c r="U95" s="2" t="n">
        <v>44.5</v>
      </c>
      <c r="V95" s="2" t="n">
        <v>41.6</v>
      </c>
      <c r="W95" s="2" t="n">
        <v>2.9</v>
      </c>
      <c r="X95" s="2" t="inlineStr">
        <is>
          <t>NA</t>
        </is>
      </c>
      <c r="Y95" s="2" t="n">
        <v>10.2</v>
      </c>
      <c r="Z95" s="2" t="n">
        <v>122</v>
      </c>
      <c r="AA95" s="2" t="n">
        <v>116.1</v>
      </c>
      <c r="AB95" s="2" t="n">
        <v>5.9</v>
      </c>
      <c r="AC95" s="2" t="inlineStr">
        <is>
          <t>NA</t>
        </is>
      </c>
      <c r="AD95" s="2" t="inlineStr">
        <is>
          <t>NA</t>
        </is>
      </c>
      <c r="AG95" s="2" t="inlineStr">
        <is>
          <t>NA</t>
        </is>
      </c>
      <c r="AH95" s="2" t="inlineStr">
        <is>
          <t>NA</t>
        </is>
      </c>
      <c r="AI95" s="2" t="n">
        <v>117.5</v>
      </c>
      <c r="AL95" s="2" t="n">
        <v>88.40000000000001</v>
      </c>
      <c r="AM95" s="2" t="n">
        <v>41.1</v>
      </c>
      <c r="AN95" s="2" t="n">
        <v>47.3</v>
      </c>
      <c r="AO95" s="2" t="n">
        <v>2032.9</v>
      </c>
      <c r="AP95" s="2" t="n">
        <v>219.3</v>
      </c>
      <c r="AQ95" s="2" t="n">
        <v>102</v>
      </c>
      <c r="AR95" s="2" t="n">
        <v>42</v>
      </c>
      <c r="AS95" s="2" t="n">
        <v>61.3</v>
      </c>
      <c r="AT95" s="2" t="n">
        <v>117.9</v>
      </c>
      <c r="AU95" s="2" t="n">
        <v>34.4</v>
      </c>
      <c r="AV95" s="2" t="n">
        <v>76.5</v>
      </c>
      <c r="AW95" s="2" t="n">
        <v>11.4</v>
      </c>
      <c r="AX95" s="2" t="n">
        <v>3.2</v>
      </c>
      <c r="AY95" s="2" t="inlineStr">
        <is>
          <t>NA</t>
        </is>
      </c>
      <c r="AZ95" s="2" t="inlineStr">
        <is>
          <t>NA</t>
        </is>
      </c>
      <c r="BA95" s="2" t="inlineStr">
        <is>
          <t>NA</t>
        </is>
      </c>
      <c r="BB95" s="2" t="inlineStr">
        <is>
          <t>NA</t>
        </is>
      </c>
      <c r="BD95" s="2" t="n">
        <v>97.40000000000001</v>
      </c>
      <c r="BE95" s="2" t="n">
        <v>27</v>
      </c>
      <c r="BH95" s="2" t="n">
        <v>301.7</v>
      </c>
      <c r="BK95" s="2" t="n">
        <v>151.4</v>
      </c>
      <c r="BL95" s="2" t="n">
        <v>6.5</v>
      </c>
      <c r="BM95" s="2" t="n">
        <v>459.6</v>
      </c>
      <c r="BN95" s="2" t="n">
        <v>285.3</v>
      </c>
      <c r="BQ95" s="2" t="n">
        <v>80.90000000000001</v>
      </c>
      <c r="BR95" s="2" t="n">
        <v>4.5</v>
      </c>
      <c r="BS95" s="2" t="n">
        <v>370.7</v>
      </c>
      <c r="BT95" s="2" t="n">
        <v>67</v>
      </c>
      <c r="BU95" s="2" t="n">
        <v>27.4</v>
      </c>
      <c r="BV95" s="2" t="n">
        <v>332.2</v>
      </c>
      <c r="BW95" s="2" t="n">
        <v>94.3</v>
      </c>
      <c r="BX95" s="2" t="n">
        <v>432.7</v>
      </c>
      <c r="BY95" s="2" t="n">
        <v>62.1</v>
      </c>
      <c r="BZ95" s="2" t="n">
        <v>8.9</v>
      </c>
      <c r="CA95" s="2" t="n">
        <v>71</v>
      </c>
      <c r="CF95" s="2" t="n">
        <v>122.9</v>
      </c>
      <c r="CG95" s="2" t="n">
        <v>194.5</v>
      </c>
      <c r="CH95" s="2" t="n">
        <v>31.8</v>
      </c>
      <c r="CN95" s="2" t="n">
        <v>73.2</v>
      </c>
      <c r="CO95" s="2" t="n">
        <v>203.6</v>
      </c>
      <c r="CP95" s="2" t="n">
        <v>179.7</v>
      </c>
      <c r="CQ95" s="2" t="n">
        <v>23.9</v>
      </c>
      <c r="CR95" s="2" t="inlineStr">
        <is>
          <t>NA</t>
        </is>
      </c>
      <c r="CS95" s="2" t="n">
        <v>52.3</v>
      </c>
      <c r="CT95" s="2" t="n">
        <v>37.6</v>
      </c>
      <c r="CU95" s="2" t="n">
        <v>14.7</v>
      </c>
      <c r="CV95" s="2" t="n">
        <v>52.5</v>
      </c>
      <c r="CW95" s="2" t="n">
        <v>12.3</v>
      </c>
      <c r="CX95" s="2" t="n">
        <v>40.2</v>
      </c>
      <c r="CY95" s="2" t="inlineStr">
        <is>
          <t>NA</t>
        </is>
      </c>
      <c r="CZ95" s="2" t="n">
        <v>93</v>
      </c>
      <c r="DA95" s="2" t="n">
        <v>28.3</v>
      </c>
      <c r="DB95" s="2" t="n">
        <v>26.3</v>
      </c>
      <c r="DC95" s="2" t="n">
        <v>2</v>
      </c>
      <c r="DG95" s="2" t="n">
        <v>90.8</v>
      </c>
      <c r="DI95" s="2" t="n">
        <v>513.2</v>
      </c>
      <c r="DJ95" s="2" t="n">
        <v>177.7</v>
      </c>
      <c r="DK95" s="2" t="n">
        <v>464</v>
      </c>
      <c r="DL95" s="2" t="n">
        <v>121.5</v>
      </c>
      <c r="DM95" s="2" t="n">
        <v>234.2</v>
      </c>
      <c r="DP95" s="2" t="n">
        <v>167</v>
      </c>
      <c r="DQ95" s="2" t="n">
        <v>86.90000000000001</v>
      </c>
      <c r="DS95" s="2" t="n">
        <v>678.2</v>
      </c>
      <c r="DT95" s="2" t="n">
        <v>2718.1</v>
      </c>
      <c r="DU95" s="2" t="n">
        <v>-275.3999999999996</v>
      </c>
      <c r="DV95" s="2" t="n">
        <v>0</v>
      </c>
      <c r="GZ95" s="2" t="n">
        <v>871.3</v>
      </c>
      <c r="IN95" s="2" t="n">
        <v>51</v>
      </c>
      <c r="IY95" s="2" t="n">
        <v>47.12630146057909</v>
      </c>
      <c r="IZ95" s="2" t="n">
        <v>0.6763014605790829</v>
      </c>
      <c r="JB95" s="2" t="n">
        <v>10.8263124977006</v>
      </c>
      <c r="JC95" s="2" t="n">
        <v>-0.06368750229940012</v>
      </c>
      <c r="JE95" s="2" t="n">
        <v>2338.6</v>
      </c>
      <c r="JF95" s="2" t="n">
        <v>0.4129034465064569</v>
      </c>
    </row>
    <row r="96">
      <c r="A96" s="1" t="n">
        <v>31959</v>
      </c>
      <c r="B96" s="2" t="n">
        <v>2777.6</v>
      </c>
      <c r="C96" s="2" t="n">
        <v>1495.4</v>
      </c>
      <c r="D96" s="2" t="n">
        <v>78.8</v>
      </c>
      <c r="E96" s="2" t="n">
        <v>189</v>
      </c>
      <c r="F96" s="2" t="n">
        <v>17.8</v>
      </c>
      <c r="G96" s="2" t="inlineStr">
        <is>
          <t>NA</t>
        </is>
      </c>
      <c r="H96" s="2" t="inlineStr">
        <is>
          <t>NA</t>
        </is>
      </c>
      <c r="I96" s="2" t="inlineStr">
        <is>
          <t>NA</t>
        </is>
      </c>
      <c r="J96" s="2" t="inlineStr">
        <is>
          <t>NA</t>
        </is>
      </c>
      <c r="K96" s="2" t="n">
        <v>1013.7</v>
      </c>
      <c r="L96" s="2" t="n">
        <v>2184.2</v>
      </c>
      <c r="M96" s="2" t="n">
        <v>1915.7</v>
      </c>
      <c r="N96" s="2" t="n">
        <v>268.5</v>
      </c>
      <c r="O96" s="2" t="n">
        <v>25.4</v>
      </c>
      <c r="P96" s="2" t="n">
        <v>165.9</v>
      </c>
      <c r="Q96" s="2" t="n">
        <v>60.2</v>
      </c>
      <c r="R96" s="2" t="n">
        <v>105.7</v>
      </c>
      <c r="T96" s="2" t="n">
        <v>14.5</v>
      </c>
      <c r="U96" s="2" t="n">
        <v>49.4</v>
      </c>
      <c r="V96" s="2" t="n">
        <v>44</v>
      </c>
      <c r="W96" s="2" t="n">
        <v>5.4</v>
      </c>
      <c r="X96" s="2" t="n">
        <v>50.2</v>
      </c>
      <c r="Y96" s="2" t="n">
        <v>8.4</v>
      </c>
      <c r="Z96" s="2" t="n">
        <v>105.6</v>
      </c>
      <c r="AA96" s="2" t="n">
        <v>101.7</v>
      </c>
      <c r="AB96" s="2" t="n">
        <v>3.9</v>
      </c>
      <c r="AC96" s="2" t="inlineStr">
        <is>
          <t>NA</t>
        </is>
      </c>
      <c r="AD96" s="2" t="inlineStr">
        <is>
          <t>NA</t>
        </is>
      </c>
      <c r="AG96" s="2" t="inlineStr">
        <is>
          <t>NA</t>
        </is>
      </c>
      <c r="AH96" s="2" t="inlineStr">
        <is>
          <t>NA</t>
        </is>
      </c>
      <c r="AI96" s="2" t="n">
        <v>123</v>
      </c>
      <c r="AL96" s="2" t="n">
        <v>150.7</v>
      </c>
      <c r="AM96" s="2" t="n">
        <v>67.8</v>
      </c>
      <c r="AN96" s="2" t="n">
        <v>82.90000000000001</v>
      </c>
      <c r="AO96" s="2" t="n">
        <v>2076.7</v>
      </c>
      <c r="AP96" s="2" t="n">
        <v>257.4</v>
      </c>
      <c r="AQ96" s="2" t="n">
        <v>108.5</v>
      </c>
      <c r="AR96" s="2" t="n">
        <v>35.6</v>
      </c>
      <c r="AS96" s="2" t="n">
        <v>37.3</v>
      </c>
      <c r="AT96" s="2" t="n">
        <v>84.8</v>
      </c>
      <c r="AU96" s="2" t="n">
        <v>19.2</v>
      </c>
      <c r="AV96" s="2" t="n">
        <v>56.3</v>
      </c>
      <c r="AW96" s="2" t="n">
        <v>10.4</v>
      </c>
      <c r="AX96" s="2" t="n">
        <v>3.3</v>
      </c>
      <c r="AY96" s="2" t="n">
        <v>28.2</v>
      </c>
      <c r="AZ96" s="2" t="n">
        <v>2.6</v>
      </c>
      <c r="BA96" s="2" t="inlineStr">
        <is>
          <t>NA</t>
        </is>
      </c>
      <c r="BB96" s="2" t="inlineStr">
        <is>
          <t>NA</t>
        </is>
      </c>
      <c r="BD96" s="2" t="n">
        <v>105.3</v>
      </c>
      <c r="BE96" s="2" t="n">
        <v>34.8</v>
      </c>
      <c r="BH96" s="2" t="n">
        <v>306.8</v>
      </c>
      <c r="BK96" s="2" t="n">
        <v>157.3</v>
      </c>
      <c r="BL96" s="2" t="n">
        <v>6.6</v>
      </c>
      <c r="BM96" s="2" t="n">
        <v>470.7</v>
      </c>
      <c r="BN96" s="2" t="n">
        <v>269.3</v>
      </c>
      <c r="BQ96" s="2" t="n">
        <v>92.40000000000001</v>
      </c>
      <c r="BR96" s="2" t="n">
        <v>4.5</v>
      </c>
      <c r="BS96" s="2" t="n">
        <v>366.2</v>
      </c>
      <c r="BT96" s="2" t="n">
        <v>68</v>
      </c>
      <c r="BU96" s="2" t="n">
        <v>27.8</v>
      </c>
      <c r="BV96" s="2" t="n">
        <v>341.3</v>
      </c>
      <c r="BW96" s="2" t="n">
        <v>99.7</v>
      </c>
      <c r="BX96" s="2" t="n">
        <v>447.6</v>
      </c>
      <c r="BY96" s="2" t="n">
        <v>55.7</v>
      </c>
      <c r="BZ96" s="2" t="n">
        <v>10</v>
      </c>
      <c r="CA96" s="2" t="n">
        <v>65.7</v>
      </c>
      <c r="CF96" s="2" t="n">
        <v>130.9</v>
      </c>
      <c r="CG96" s="2" t="n">
        <v>171.6</v>
      </c>
      <c r="CH96" s="2" t="n">
        <v>33.4</v>
      </c>
      <c r="CN96" s="2" t="n">
        <v>66.5</v>
      </c>
      <c r="CO96" s="2" t="n">
        <v>243.9</v>
      </c>
      <c r="CP96" s="2" t="n">
        <v>216.9</v>
      </c>
      <c r="CQ96" s="2" t="n">
        <v>27</v>
      </c>
      <c r="CR96" s="2" t="inlineStr">
        <is>
          <t>NA</t>
        </is>
      </c>
      <c r="CS96" s="2" t="n">
        <v>45.9</v>
      </c>
      <c r="CT96" s="2" t="n">
        <v>31.8</v>
      </c>
      <c r="CU96" s="2" t="n">
        <v>14.1</v>
      </c>
      <c r="CV96" s="2" t="n">
        <v>42.4</v>
      </c>
      <c r="CW96" s="2" t="n">
        <v>9.5</v>
      </c>
      <c r="CX96" s="2" t="n">
        <v>32.9</v>
      </c>
      <c r="CY96" s="2" t="inlineStr">
        <is>
          <t>NA</t>
        </is>
      </c>
      <c r="CZ96" s="2" t="n">
        <v>101.5</v>
      </c>
      <c r="DA96" s="2" t="n">
        <v>30.5</v>
      </c>
      <c r="DB96" s="2" t="n">
        <v>28.8</v>
      </c>
      <c r="DC96" s="2" t="n">
        <v>1.7</v>
      </c>
      <c r="DG96" s="2" t="n">
        <v>107.4</v>
      </c>
      <c r="DI96" s="2" t="n">
        <v>543.5</v>
      </c>
      <c r="DJ96" s="2" t="n">
        <v>170.2</v>
      </c>
      <c r="DK96" s="2" t="n">
        <v>454.4</v>
      </c>
      <c r="DL96" s="2" t="n">
        <v>125.8</v>
      </c>
      <c r="DM96" s="2" t="n">
        <v>216.1</v>
      </c>
      <c r="DP96" s="2" t="n">
        <v>174.9</v>
      </c>
      <c r="DQ96" s="2" t="n">
        <v>82.40000000000001</v>
      </c>
      <c r="DS96" s="2" t="n">
        <v>688.2</v>
      </c>
      <c r="DT96" s="2" t="n">
        <v>2777.5</v>
      </c>
      <c r="DU96" s="2" t="n">
        <v>-322</v>
      </c>
      <c r="DV96" s="2" t="n">
        <v>-0.09999999999990905</v>
      </c>
      <c r="GZ96" s="2" t="n">
        <v>921.8</v>
      </c>
      <c r="IN96" s="2" t="n">
        <v>45.5</v>
      </c>
      <c r="IY96" s="2" t="n">
        <v>47.20334101382488</v>
      </c>
      <c r="IZ96" s="2" t="n">
        <v>0.1733410138248814</v>
      </c>
      <c r="JB96" s="2" t="n">
        <v>10.94866071428572</v>
      </c>
      <c r="JC96" s="2" t="n">
        <v>-0.01133928571428555</v>
      </c>
      <c r="JE96" s="2" t="n">
        <v>2184.2</v>
      </c>
      <c r="JF96" s="2" t="n">
        <v>0.4166482007142204</v>
      </c>
    </row>
    <row r="97">
      <c r="A97" s="1" t="n">
        <v>31990</v>
      </c>
      <c r="B97" s="2" t="n">
        <v>2471.3</v>
      </c>
      <c r="C97" s="2" t="n">
        <v>934.6</v>
      </c>
      <c r="D97" s="2" t="n">
        <v>71.40000000000001</v>
      </c>
      <c r="E97" s="2" t="n">
        <v>246.3</v>
      </c>
      <c r="F97" s="2" t="n">
        <v>12</v>
      </c>
      <c r="G97" s="2" t="inlineStr">
        <is>
          <t>NA</t>
        </is>
      </c>
      <c r="H97" s="2" t="inlineStr">
        <is>
          <t>NA</t>
        </is>
      </c>
      <c r="I97" s="2" t="inlineStr">
        <is>
          <t>NA</t>
        </is>
      </c>
      <c r="J97" s="2" t="inlineStr">
        <is>
          <t>NA</t>
        </is>
      </c>
      <c r="K97" s="2" t="n">
        <v>906.4</v>
      </c>
      <c r="L97" s="2" t="n">
        <v>1979.4</v>
      </c>
      <c r="M97" s="2" t="n">
        <v>1712.2</v>
      </c>
      <c r="N97" s="2" t="n">
        <v>267.2</v>
      </c>
      <c r="O97" s="2" t="n">
        <v>22.6</v>
      </c>
      <c r="P97" s="2" t="n">
        <v>127.3</v>
      </c>
      <c r="Q97" s="2" t="n">
        <v>34.6</v>
      </c>
      <c r="R97" s="2" t="n">
        <v>92.7</v>
      </c>
      <c r="T97" s="2" t="n">
        <v>9.699999999999999</v>
      </c>
      <c r="U97" s="2" t="n">
        <v>36.5</v>
      </c>
      <c r="V97" s="2" t="n">
        <v>30.9</v>
      </c>
      <c r="W97" s="2" t="n">
        <v>5.6</v>
      </c>
      <c r="X97" s="2" t="inlineStr">
        <is>
          <t>NA</t>
        </is>
      </c>
      <c r="Y97" s="2" t="n">
        <v>6.9</v>
      </c>
      <c r="Z97" s="2" t="n">
        <v>127.3</v>
      </c>
      <c r="AA97" s="2" t="n">
        <v>121.4</v>
      </c>
      <c r="AB97" s="2" t="n">
        <v>5.9</v>
      </c>
      <c r="AC97" s="2" t="inlineStr">
        <is>
          <t>NA</t>
        </is>
      </c>
      <c r="AD97" s="2" t="inlineStr">
        <is>
          <t>NA</t>
        </is>
      </c>
      <c r="AG97" s="2" t="inlineStr">
        <is>
          <t>NA</t>
        </is>
      </c>
      <c r="AH97" s="2" t="inlineStr">
        <is>
          <t>NA</t>
        </is>
      </c>
      <c r="AI97" s="2" t="n">
        <v>114.7</v>
      </c>
      <c r="AL97" s="2" t="n">
        <v>124.5</v>
      </c>
      <c r="AM97" s="2" t="n">
        <v>68.59999999999999</v>
      </c>
      <c r="AN97" s="2" t="n">
        <v>55.9</v>
      </c>
      <c r="AO97" s="2" t="n">
        <v>1853.9</v>
      </c>
      <c r="AP97" s="2" t="n">
        <v>250.2</v>
      </c>
      <c r="AQ97" s="2" t="n">
        <v>95</v>
      </c>
      <c r="AR97" s="2" t="n">
        <v>51.1</v>
      </c>
      <c r="AS97" s="2" t="n">
        <v>32.2</v>
      </c>
      <c r="AT97" s="2" t="n">
        <v>44.5</v>
      </c>
      <c r="AU97" s="2" t="n">
        <v>18.8</v>
      </c>
      <c r="AV97" s="2" t="n">
        <v>42.1</v>
      </c>
      <c r="AW97" s="2" t="n">
        <v>6.8</v>
      </c>
      <c r="AX97" s="2" t="n">
        <v>1.7</v>
      </c>
      <c r="AY97" s="2" t="inlineStr">
        <is>
          <t>NA</t>
        </is>
      </c>
      <c r="AZ97" s="2" t="inlineStr">
        <is>
          <t>NA</t>
        </is>
      </c>
      <c r="BA97" s="2" t="inlineStr">
        <is>
          <t>NA</t>
        </is>
      </c>
      <c r="BB97" s="2" t="inlineStr">
        <is>
          <t>NA</t>
        </is>
      </c>
      <c r="BD97" s="2" t="n">
        <v>103.6</v>
      </c>
      <c r="BE97" s="2" t="n">
        <v>38.3</v>
      </c>
      <c r="BH97" s="2" t="n">
        <v>304.1</v>
      </c>
      <c r="BK97" s="2" t="n">
        <v>147.3</v>
      </c>
      <c r="BL97" s="2" t="n">
        <v>6.4</v>
      </c>
      <c r="BM97" s="2" t="n">
        <v>457.9</v>
      </c>
      <c r="BN97" s="2" t="n">
        <v>272.9</v>
      </c>
      <c r="BQ97" s="2" t="n">
        <v>88.2</v>
      </c>
      <c r="BR97" s="2" t="n">
        <v>4.5</v>
      </c>
      <c r="BS97" s="2" t="n">
        <v>365.6</v>
      </c>
      <c r="BT97" s="2" t="n">
        <v>68</v>
      </c>
      <c r="BU97" s="2" t="n">
        <v>28.9</v>
      </c>
      <c r="BV97" s="2" t="n">
        <v>330</v>
      </c>
      <c r="BW97" s="2" t="n">
        <v>101.6</v>
      </c>
      <c r="BX97" s="2" t="n">
        <v>437.9</v>
      </c>
      <c r="BY97" s="2" t="n">
        <v>65.59999999999999</v>
      </c>
      <c r="BZ97" s="2" t="n">
        <v>8</v>
      </c>
      <c r="CA97" s="2" t="n">
        <v>73.59999999999999</v>
      </c>
      <c r="CF97" s="2" t="n">
        <v>116.6</v>
      </c>
      <c r="CG97" s="2" t="n">
        <v>161.2</v>
      </c>
      <c r="CH97" s="2" t="n">
        <v>33.7</v>
      </c>
      <c r="CN97" s="2" t="n">
        <v>62.2</v>
      </c>
      <c r="CO97" s="2" t="n">
        <v>240.8</v>
      </c>
      <c r="CP97" s="2" t="n">
        <v>217.5</v>
      </c>
      <c r="CQ97" s="2" t="n">
        <v>23.3</v>
      </c>
      <c r="CR97" s="2" t="inlineStr">
        <is>
          <t>NA</t>
        </is>
      </c>
      <c r="CS97" s="2" t="n">
        <v>50.5</v>
      </c>
      <c r="CT97" s="2" t="n">
        <v>40.2</v>
      </c>
      <c r="CU97" s="2" t="n">
        <v>10.3</v>
      </c>
      <c r="CV97" s="2" t="n">
        <v>48.5</v>
      </c>
      <c r="CW97" s="2" t="n">
        <v>18.8</v>
      </c>
      <c r="CX97" s="2" t="n">
        <v>29.7</v>
      </c>
      <c r="CY97" s="2" t="inlineStr">
        <is>
          <t>NA</t>
        </is>
      </c>
      <c r="CZ97" s="2" t="n">
        <v>66.5</v>
      </c>
      <c r="DA97" s="2" t="n">
        <v>43.59999999999999</v>
      </c>
      <c r="DB97" s="2" t="n">
        <v>42.3</v>
      </c>
      <c r="DC97" s="2" t="n">
        <v>1.3</v>
      </c>
      <c r="DG97" s="2" t="n">
        <v>99.8</v>
      </c>
      <c r="DI97" s="2" t="n">
        <v>476.8</v>
      </c>
      <c r="DJ97" s="2" t="n">
        <v>173.9</v>
      </c>
      <c r="DK97" s="2" t="n">
        <v>449.5</v>
      </c>
      <c r="DL97" s="2" t="n">
        <v>72.7</v>
      </c>
      <c r="DM97" s="2" t="n">
        <v>207.5</v>
      </c>
      <c r="DP97" s="2" t="n">
        <v>160.8</v>
      </c>
      <c r="DQ97" s="2" t="n">
        <v>55.4</v>
      </c>
      <c r="DS97" s="2" t="n">
        <v>532.6</v>
      </c>
      <c r="DT97" s="2" t="n">
        <v>2471.3</v>
      </c>
      <c r="DU97" s="2" t="n">
        <v>-342.0999999999999</v>
      </c>
      <c r="DV97" s="2" t="n">
        <v>0</v>
      </c>
      <c r="GZ97" s="2" t="n">
        <v>898.6</v>
      </c>
      <c r="IN97" s="2" t="n">
        <v>45.8</v>
      </c>
      <c r="IY97" s="2" t="n">
        <v>47.31679682758062</v>
      </c>
      <c r="IZ97" s="2" t="n">
        <v>0.0267968275806183</v>
      </c>
      <c r="JB97" s="2" t="n">
        <v>11.00311576902844</v>
      </c>
      <c r="JC97" s="2" t="n">
        <v>-0.006884230971555994</v>
      </c>
      <c r="JE97" s="2" t="n">
        <v>1979.4</v>
      </c>
      <c r="JF97" s="2" t="n">
        <v>0.38729109831262</v>
      </c>
    </row>
    <row r="98">
      <c r="A98" s="1" t="n">
        <v>32021</v>
      </c>
      <c r="B98" s="2" t="n">
        <v>2390.2</v>
      </c>
      <c r="C98" s="2" t="n">
        <v>1971.8</v>
      </c>
      <c r="D98" s="2" t="n">
        <v>137.7</v>
      </c>
      <c r="E98" s="2" t="n">
        <v>682.8</v>
      </c>
      <c r="F98" s="2" t="n">
        <v>5.2</v>
      </c>
      <c r="G98" s="2" t="n">
        <v>36.5</v>
      </c>
      <c r="H98" s="2" t="n">
        <v>4.9</v>
      </c>
      <c r="I98" s="2" t="inlineStr">
        <is>
          <t>NA</t>
        </is>
      </c>
      <c r="J98" s="2" t="inlineStr">
        <is>
          <t>NA</t>
        </is>
      </c>
      <c r="K98" s="2" t="n">
        <v>881.4</v>
      </c>
      <c r="L98" s="2" t="n">
        <v>1725</v>
      </c>
      <c r="M98" s="2" t="n">
        <v>1451</v>
      </c>
      <c r="N98" s="2" t="n">
        <v>274</v>
      </c>
      <c r="O98" s="2" t="n">
        <v>46.9</v>
      </c>
      <c r="P98" s="2" t="n">
        <v>90.2</v>
      </c>
      <c r="Q98" s="2" t="n">
        <v>29.3</v>
      </c>
      <c r="R98" s="2" t="n">
        <v>60.9</v>
      </c>
      <c r="T98" s="2" t="n">
        <v>4.2</v>
      </c>
      <c r="U98" s="2" t="n">
        <v>20.6</v>
      </c>
      <c r="V98" s="2" t="n">
        <v>17</v>
      </c>
      <c r="W98" s="2" t="n">
        <v>3.6</v>
      </c>
      <c r="X98" s="2" t="n">
        <v>34.4</v>
      </c>
      <c r="Y98" s="2" t="n">
        <v>10.5</v>
      </c>
      <c r="Z98" s="2" t="n">
        <v>112.4</v>
      </c>
      <c r="AA98" s="2" t="n">
        <v>103.7</v>
      </c>
      <c r="AB98" s="2" t="n">
        <v>8.699999999999999</v>
      </c>
      <c r="AC98" s="2" t="inlineStr">
        <is>
          <t>NA</t>
        </is>
      </c>
      <c r="AD98" s="2" t="inlineStr">
        <is>
          <t>NA</t>
        </is>
      </c>
      <c r="AG98" s="2" t="inlineStr">
        <is>
          <t>NA</t>
        </is>
      </c>
      <c r="AH98" s="2" t="inlineStr">
        <is>
          <t>NA</t>
        </is>
      </c>
      <c r="AI98" s="2" t="n">
        <v>119.5</v>
      </c>
      <c r="AL98" s="2" t="n">
        <v>109.4</v>
      </c>
      <c r="AM98" s="2" t="n">
        <v>68.09999999999999</v>
      </c>
      <c r="AN98" s="2" t="n">
        <v>41.3</v>
      </c>
      <c r="AO98" s="2" t="n">
        <v>1799.5</v>
      </c>
      <c r="AP98" s="2" t="n">
        <v>197.8</v>
      </c>
      <c r="AQ98" s="2" t="n">
        <v>88.2</v>
      </c>
      <c r="AR98" s="2" t="n">
        <v>42.4</v>
      </c>
      <c r="AS98" s="2" t="n">
        <v>58.3</v>
      </c>
      <c r="AT98" s="2" t="n">
        <v>31.5</v>
      </c>
      <c r="AU98" s="2" t="n">
        <v>32.4</v>
      </c>
      <c r="AV98" s="2" t="n">
        <v>42.1</v>
      </c>
      <c r="AW98" s="2" t="n">
        <v>2.9</v>
      </c>
      <c r="AX98" s="2" t="n">
        <v>1.7</v>
      </c>
      <c r="AY98" s="2" t="n">
        <v>16.4</v>
      </c>
      <c r="AZ98" s="2" t="inlineStr">
        <is>
          <t>NA</t>
        </is>
      </c>
      <c r="BA98" s="2" t="inlineStr">
        <is>
          <t>NA</t>
        </is>
      </c>
      <c r="BB98" s="2" t="inlineStr">
        <is>
          <t>NA</t>
        </is>
      </c>
      <c r="BD98" s="2" t="n">
        <v>109</v>
      </c>
      <c r="BE98" s="2" t="n">
        <v>35.3</v>
      </c>
      <c r="BH98" s="2" t="n">
        <v>329.3</v>
      </c>
      <c r="BK98" s="2" t="n">
        <v>160</v>
      </c>
      <c r="BL98" s="2" t="n">
        <v>6.9</v>
      </c>
      <c r="BM98" s="2" t="n">
        <v>496.1</v>
      </c>
      <c r="BN98" s="2" t="n">
        <v>265.7</v>
      </c>
      <c r="BQ98" s="2" t="n">
        <v>98.09999999999999</v>
      </c>
      <c r="BR98" s="2" t="n">
        <v>4.5</v>
      </c>
      <c r="BS98" s="2" t="n">
        <v>368.3</v>
      </c>
      <c r="BT98" s="2" t="n">
        <v>71</v>
      </c>
      <c r="BU98" s="2" t="n">
        <v>28.8</v>
      </c>
      <c r="BV98" s="2" t="n">
        <v>343.4</v>
      </c>
      <c r="BW98" s="2" t="n">
        <v>106</v>
      </c>
      <c r="BX98" s="2" t="n">
        <v>455.8</v>
      </c>
      <c r="BY98" s="2" t="n">
        <v>51.7</v>
      </c>
      <c r="BZ98" s="2" t="n">
        <v>8.300000000000001</v>
      </c>
      <c r="CA98" s="2" t="n">
        <v>60</v>
      </c>
      <c r="CF98" s="2" t="n">
        <v>119.7</v>
      </c>
      <c r="CG98" s="2" t="n">
        <v>160.1</v>
      </c>
      <c r="CH98" s="2" t="n">
        <v>33.2</v>
      </c>
      <c r="CN98" s="2" t="n">
        <v>66.59999999999999</v>
      </c>
      <c r="CO98" s="2" t="n">
        <v>270.2</v>
      </c>
      <c r="CP98" s="2" t="n">
        <v>246.6</v>
      </c>
      <c r="CQ98" s="2" t="n">
        <v>23.6</v>
      </c>
      <c r="CR98" s="2" t="inlineStr">
        <is>
          <t>NA</t>
        </is>
      </c>
      <c r="CS98" s="2" t="n">
        <v>52.1</v>
      </c>
      <c r="CT98" s="2" t="n">
        <v>42.2</v>
      </c>
      <c r="CU98" s="2" t="n">
        <v>9.9</v>
      </c>
      <c r="CV98" s="2" t="n">
        <v>40.2</v>
      </c>
      <c r="CW98" s="2" t="n">
        <v>7.7</v>
      </c>
      <c r="CX98" s="2" t="n">
        <v>32.5</v>
      </c>
      <c r="CY98" s="2" t="n">
        <v>7.4</v>
      </c>
      <c r="CZ98" s="2" t="n">
        <v>85.8</v>
      </c>
      <c r="DA98" s="2" t="n">
        <v>36</v>
      </c>
      <c r="DB98" s="2" t="n">
        <v>34.9</v>
      </c>
      <c r="DC98" s="2" t="n">
        <v>1.1</v>
      </c>
      <c r="DG98" s="2" t="n">
        <v>65.09999999999999</v>
      </c>
      <c r="DI98" s="2" t="n">
        <v>483</v>
      </c>
      <c r="DK98" s="2" t="n">
        <v>458.5</v>
      </c>
      <c r="DM98" s="2" t="n">
        <v>203.7</v>
      </c>
      <c r="DO98" s="2" t="n">
        <v>162.5</v>
      </c>
      <c r="DP98" s="2" t="n">
        <v>161.9</v>
      </c>
      <c r="DS98" s="2" t="n">
        <v>508.3</v>
      </c>
      <c r="DT98" s="2" t="n">
        <v>2390.2</v>
      </c>
      <c r="DU98" s="2" t="n">
        <v>-412.2999999999997</v>
      </c>
      <c r="DV98" s="2" t="n">
        <v>0</v>
      </c>
      <c r="GZ98" s="2" t="n">
        <v>946.5</v>
      </c>
      <c r="IN98" s="2" t="n">
        <v>56.9</v>
      </c>
      <c r="IY98" s="2" t="n">
        <v>47.38599280394946</v>
      </c>
      <c r="IZ98" s="2" t="n">
        <v>-0.004007196050537232</v>
      </c>
      <c r="JB98" s="2" t="n">
        <v>11.06267257970044</v>
      </c>
      <c r="JC98" s="2" t="n">
        <v>-0.007327420299557019</v>
      </c>
      <c r="JE98" s="2" t="n">
        <v>1725</v>
      </c>
      <c r="JF98" s="2" t="n">
        <v>0.3657524637681159</v>
      </c>
    </row>
    <row r="99">
      <c r="A99" s="1" t="n">
        <v>32051</v>
      </c>
      <c r="B99" s="2" t="n">
        <v>3074.9</v>
      </c>
      <c r="C99" s="2" t="n">
        <v>4755.8</v>
      </c>
      <c r="D99" s="2" t="n">
        <v>251.8</v>
      </c>
      <c r="E99" s="2" t="n">
        <v>1403.7</v>
      </c>
      <c r="F99" s="2" t="n">
        <v>9.199999999999999</v>
      </c>
      <c r="G99" s="2" t="n">
        <v>62.7</v>
      </c>
      <c r="H99" s="2" t="inlineStr">
        <is>
          <t>NA</t>
        </is>
      </c>
      <c r="I99" s="2" t="inlineStr">
        <is>
          <t>NA</t>
        </is>
      </c>
      <c r="J99" s="2" t="inlineStr">
        <is>
          <t>NA</t>
        </is>
      </c>
      <c r="K99" s="2" t="n">
        <v>1119.7</v>
      </c>
      <c r="L99" s="2" t="n">
        <v>1660.7</v>
      </c>
      <c r="M99" s="2" t="n">
        <v>1393.2</v>
      </c>
      <c r="N99" s="2" t="n">
        <v>267.5</v>
      </c>
      <c r="O99" s="2" t="n">
        <v>84</v>
      </c>
      <c r="P99" s="2" t="n">
        <v>107.1</v>
      </c>
      <c r="Q99" s="2" t="n">
        <v>51.5</v>
      </c>
      <c r="R99" s="2" t="n">
        <v>55.6</v>
      </c>
      <c r="T99" s="2" t="n">
        <v>7.5</v>
      </c>
      <c r="U99" s="2" t="n">
        <v>16.5</v>
      </c>
      <c r="V99" s="2" t="n">
        <v>12.3</v>
      </c>
      <c r="W99" s="2" t="n">
        <v>4.2</v>
      </c>
      <c r="X99" s="2" t="n">
        <v>51.8</v>
      </c>
      <c r="Y99" s="2" t="n">
        <v>14.4</v>
      </c>
      <c r="Z99" s="2" t="n">
        <v>104.9</v>
      </c>
      <c r="AA99" s="2" t="n">
        <v>97.8</v>
      </c>
      <c r="AB99" s="2" t="n">
        <v>7.1</v>
      </c>
      <c r="AC99" s="2" t="inlineStr">
        <is>
          <t>NA</t>
        </is>
      </c>
      <c r="AD99" s="2" t="inlineStr">
        <is>
          <t>NA</t>
        </is>
      </c>
      <c r="AG99" s="2" t="inlineStr">
        <is>
          <t>NA</t>
        </is>
      </c>
      <c r="AH99" s="2" t="inlineStr">
        <is>
          <t>NA</t>
        </is>
      </c>
      <c r="AI99" s="2" t="n">
        <v>121.5</v>
      </c>
      <c r="AL99" s="2" t="n">
        <v>89.5</v>
      </c>
      <c r="AM99" s="2" t="n">
        <v>51.1</v>
      </c>
      <c r="AN99" s="2" t="n">
        <v>38.4</v>
      </c>
      <c r="AO99" s="2" t="n">
        <v>2333.8</v>
      </c>
      <c r="AP99" s="2" t="n">
        <v>227.9</v>
      </c>
      <c r="AQ99" s="2" t="n">
        <v>105.6</v>
      </c>
      <c r="AR99" s="2" t="n">
        <v>39.7</v>
      </c>
      <c r="AS99" s="2" t="n">
        <v>121.7</v>
      </c>
      <c r="AT99" s="2" t="n">
        <v>29.3</v>
      </c>
      <c r="AU99" s="2" t="n">
        <v>63.7</v>
      </c>
      <c r="AV99" s="2" t="n">
        <v>25.6</v>
      </c>
      <c r="AW99" s="2" t="n">
        <v>5.2</v>
      </c>
      <c r="AX99" s="2" t="n">
        <v>2.2</v>
      </c>
      <c r="AY99" s="2" t="n">
        <v>31.7</v>
      </c>
      <c r="AZ99" s="2" t="n">
        <v>6</v>
      </c>
      <c r="BA99" s="2" t="inlineStr">
        <is>
          <t>NA</t>
        </is>
      </c>
      <c r="BB99" s="2" t="inlineStr">
        <is>
          <t>NA</t>
        </is>
      </c>
      <c r="BD99" s="2" t="n">
        <v>116.4</v>
      </c>
      <c r="BE99" s="2" t="n">
        <v>38.2</v>
      </c>
      <c r="BH99" s="2" t="n">
        <v>338.4</v>
      </c>
      <c r="BK99" s="2" t="n">
        <v>159.7</v>
      </c>
      <c r="BL99" s="2" t="n">
        <v>6.9</v>
      </c>
      <c r="BM99" s="2" t="n">
        <v>505.1</v>
      </c>
      <c r="BN99" s="2" t="n">
        <v>323.4</v>
      </c>
      <c r="BQ99" s="2" t="n">
        <v>96.09999999999999</v>
      </c>
      <c r="BR99" s="2" t="n">
        <v>4.9</v>
      </c>
      <c r="BS99" s="2" t="n">
        <v>424.4</v>
      </c>
      <c r="BT99" s="2" t="n">
        <v>78</v>
      </c>
      <c r="BU99" s="2" t="n">
        <v>38.2</v>
      </c>
      <c r="BV99" s="2" t="n">
        <v>361.4</v>
      </c>
      <c r="BW99" s="2" t="n">
        <v>128.1</v>
      </c>
      <c r="BX99" s="2" t="n">
        <v>496.4</v>
      </c>
      <c r="BY99" s="2" t="n">
        <v>59.3</v>
      </c>
      <c r="BZ99" s="2" t="n">
        <v>10</v>
      </c>
      <c r="CA99" s="2" t="n">
        <v>69.3</v>
      </c>
      <c r="CF99" s="2" t="n">
        <v>123</v>
      </c>
      <c r="CG99" s="2" t="n">
        <v>144</v>
      </c>
      <c r="CH99" s="2" t="n">
        <v>34.5</v>
      </c>
      <c r="CN99" s="2" t="n">
        <v>77.7</v>
      </c>
      <c r="CO99" s="2" t="n">
        <v>288.5</v>
      </c>
      <c r="CP99" s="2" t="n">
        <v>260</v>
      </c>
      <c r="CQ99" s="2" t="n">
        <v>28.5</v>
      </c>
      <c r="CR99" s="2" t="inlineStr">
        <is>
          <t>NA</t>
        </is>
      </c>
      <c r="CS99" s="2" t="n">
        <v>54.3</v>
      </c>
      <c r="CT99" s="2" t="n">
        <v>42.4</v>
      </c>
      <c r="CU99" s="2" t="n">
        <v>11.9</v>
      </c>
      <c r="CV99" s="2" t="n">
        <v>47.5</v>
      </c>
      <c r="CW99" s="2" t="n">
        <v>18.6</v>
      </c>
      <c r="CX99" s="2" t="n">
        <v>28.9</v>
      </c>
      <c r="CY99" s="2" t="n">
        <v>13.7</v>
      </c>
      <c r="CZ99" s="2" t="n">
        <v>88.40000000000001</v>
      </c>
      <c r="DA99" s="2" t="n">
        <v>51.3</v>
      </c>
      <c r="DB99" s="2" t="n">
        <v>50.4</v>
      </c>
      <c r="DC99" s="2" t="n">
        <v>0.9</v>
      </c>
      <c r="DG99" s="2" t="n">
        <v>97.5</v>
      </c>
      <c r="DI99" s="2" t="n">
        <v>606</v>
      </c>
      <c r="DK99" s="2" t="n">
        <v>514.2</v>
      </c>
      <c r="DM99" s="2" t="n">
        <v>213.2</v>
      </c>
      <c r="DO99" s="2" t="n">
        <v>176.7</v>
      </c>
      <c r="DP99" s="2" t="n">
        <v>210.2</v>
      </c>
      <c r="DS99" s="2" t="n">
        <v>784.6</v>
      </c>
      <c r="DT99" s="2" t="n">
        <v>3074.9</v>
      </c>
      <c r="DU99" s="2" t="n">
        <v>-570</v>
      </c>
      <c r="DV99" s="2" t="n">
        <v>0</v>
      </c>
      <c r="GZ99" s="2" t="n">
        <v>975.5</v>
      </c>
      <c r="IN99" s="2" t="n">
        <v>71.5</v>
      </c>
      <c r="IY99" s="2" t="n">
        <v>47.59959673485317</v>
      </c>
      <c r="IZ99" s="2" t="n">
        <v>0.05959673485316586</v>
      </c>
      <c r="JB99" s="2" t="n">
        <v>10.92425769943738</v>
      </c>
      <c r="JC99" s="2" t="n">
        <v>0.1642576994373801</v>
      </c>
      <c r="JE99" s="2" t="n">
        <v>1660.7</v>
      </c>
      <c r="JF99" s="2" t="n">
        <v>0.3914180767146384</v>
      </c>
    </row>
    <row r="100">
      <c r="A100" s="1" t="n">
        <v>32082</v>
      </c>
      <c r="B100" s="2" t="n">
        <v>3335.8</v>
      </c>
      <c r="C100" s="2" t="n">
        <v>4665.1</v>
      </c>
      <c r="D100" s="2" t="n">
        <v>344.2</v>
      </c>
      <c r="E100" s="2" t="n">
        <v>1959.1</v>
      </c>
      <c r="F100" s="2" t="n">
        <v>18.1</v>
      </c>
      <c r="G100" s="2" t="n">
        <v>109.5</v>
      </c>
      <c r="H100" s="2" t="inlineStr">
        <is>
          <t>NA</t>
        </is>
      </c>
      <c r="I100" s="2" t="inlineStr">
        <is>
          <t>NA</t>
        </is>
      </c>
      <c r="J100" s="2" t="inlineStr">
        <is>
          <t>NA</t>
        </is>
      </c>
      <c r="K100" s="2" t="n">
        <v>1207.1</v>
      </c>
      <c r="L100" s="2" t="n">
        <v>1833.8</v>
      </c>
      <c r="M100" s="2" t="n">
        <v>1548.7</v>
      </c>
      <c r="N100" s="2" t="n">
        <v>285.1</v>
      </c>
      <c r="O100" s="2" t="n">
        <v>118.2</v>
      </c>
      <c r="P100" s="2" t="n">
        <v>136</v>
      </c>
      <c r="Q100" s="2" t="n">
        <v>53.8</v>
      </c>
      <c r="R100" s="2" t="n">
        <v>82.2</v>
      </c>
      <c r="T100" s="2" t="n">
        <v>13.7</v>
      </c>
      <c r="U100" s="2" t="n">
        <v>18.3</v>
      </c>
      <c r="V100" s="2" t="n">
        <v>14</v>
      </c>
      <c r="W100" s="2" t="n">
        <v>4.3</v>
      </c>
      <c r="X100" s="2" t="n">
        <v>93.7</v>
      </c>
      <c r="Y100" s="2" t="n">
        <v>10.4</v>
      </c>
      <c r="Z100" s="2" t="n">
        <v>81.19999999999999</v>
      </c>
      <c r="AA100" s="2" t="n">
        <v>76.09999999999999</v>
      </c>
      <c r="AB100" s="2" t="n">
        <v>5.1</v>
      </c>
      <c r="AC100" s="2" t="inlineStr">
        <is>
          <t>NA</t>
        </is>
      </c>
      <c r="AD100" s="2" t="inlineStr">
        <is>
          <t>NA</t>
        </is>
      </c>
      <c r="AG100" s="2" t="inlineStr">
        <is>
          <t>NA</t>
        </is>
      </c>
      <c r="AH100" s="2" t="inlineStr">
        <is>
          <t>NA</t>
        </is>
      </c>
      <c r="AI100" s="2" t="n">
        <v>115.9</v>
      </c>
      <c r="AL100" s="2" t="n">
        <v>77.3</v>
      </c>
      <c r="AM100" s="2" t="n">
        <v>42.4</v>
      </c>
      <c r="AN100" s="2" t="n">
        <v>34.9</v>
      </c>
      <c r="AO100" s="2" t="n">
        <v>2542.8</v>
      </c>
      <c r="AP100" s="2" t="n">
        <v>264.4</v>
      </c>
      <c r="AQ100" s="2" t="n">
        <v>125</v>
      </c>
      <c r="AR100" s="2" t="n">
        <v>47.4</v>
      </c>
      <c r="AS100" s="2" t="n">
        <v>156.9</v>
      </c>
      <c r="AT100" s="2" t="n">
        <v>39.7</v>
      </c>
      <c r="AU100" s="2" t="n">
        <v>89.09999999999999</v>
      </c>
      <c r="AV100" s="2" t="n">
        <v>41.2</v>
      </c>
      <c r="AW100" s="2" t="n">
        <v>11.1</v>
      </c>
      <c r="AX100" s="2" t="n">
        <v>5.3</v>
      </c>
      <c r="AY100" s="2" t="n">
        <v>52.2</v>
      </c>
      <c r="AZ100" s="2" t="n">
        <v>7.5</v>
      </c>
      <c r="BA100" s="2" t="inlineStr">
        <is>
          <t>NA</t>
        </is>
      </c>
      <c r="BB100" s="2" t="inlineStr">
        <is>
          <t>NA</t>
        </is>
      </c>
      <c r="BD100" s="2" t="n">
        <v>105.3</v>
      </c>
      <c r="BE100" s="2" t="n">
        <v>40.6</v>
      </c>
      <c r="BH100" s="2" t="n">
        <v>312.6</v>
      </c>
      <c r="BK100" s="2" t="n">
        <v>144.3</v>
      </c>
      <c r="BL100" s="2" t="n">
        <v>6.8</v>
      </c>
      <c r="BM100" s="2" t="n">
        <v>463.7</v>
      </c>
      <c r="BN100" s="2" t="n">
        <v>371.3</v>
      </c>
      <c r="BQ100" s="2" t="n">
        <v>100</v>
      </c>
      <c r="BR100" s="2" t="n">
        <v>5.4</v>
      </c>
      <c r="BS100" s="2" t="n">
        <v>476.7</v>
      </c>
      <c r="BT100" s="2" t="n">
        <v>78</v>
      </c>
      <c r="BU100" s="2" t="n">
        <v>36.2</v>
      </c>
      <c r="BV100" s="2" t="n">
        <v>340.8</v>
      </c>
      <c r="BW100" s="2" t="n">
        <v>112.7</v>
      </c>
      <c r="BX100" s="2" t="n">
        <v>460.1</v>
      </c>
      <c r="BY100" s="2" t="n">
        <v>65.90000000000001</v>
      </c>
      <c r="BZ100" s="2" t="n">
        <v>8.9</v>
      </c>
      <c r="CA100" s="2" t="n">
        <v>74.80000000000001</v>
      </c>
      <c r="CF100" s="2" t="n">
        <v>116.2</v>
      </c>
      <c r="CG100" s="2" t="n">
        <v>147.7</v>
      </c>
      <c r="CH100" s="2" t="n">
        <v>35.3</v>
      </c>
      <c r="CN100" s="2" t="n">
        <v>60</v>
      </c>
      <c r="CO100" s="2" t="n">
        <v>371</v>
      </c>
      <c r="CP100" s="2" t="n">
        <v>342.2</v>
      </c>
      <c r="CQ100" s="2" t="n">
        <v>28.8</v>
      </c>
      <c r="CR100" s="2" t="inlineStr">
        <is>
          <t>NA</t>
        </is>
      </c>
      <c r="CS100" s="2" t="n">
        <v>50.4</v>
      </c>
      <c r="CT100" s="2" t="n">
        <v>36.8</v>
      </c>
      <c r="CU100" s="2" t="n">
        <v>13.6</v>
      </c>
      <c r="CV100" s="2" t="n">
        <v>53.6</v>
      </c>
      <c r="CW100" s="2" t="n">
        <v>22.3</v>
      </c>
      <c r="CX100" s="2" t="n">
        <v>31.3</v>
      </c>
      <c r="CY100" s="2" t="n">
        <v>8.5</v>
      </c>
      <c r="CZ100" s="2" t="n">
        <v>112.5</v>
      </c>
      <c r="DA100" s="2" t="n">
        <v>46.2</v>
      </c>
      <c r="DB100" s="2" t="n">
        <v>45.4</v>
      </c>
      <c r="DC100" s="2" t="n">
        <v>0.8</v>
      </c>
      <c r="DG100" s="2" t="n">
        <v>119.3</v>
      </c>
      <c r="DI100" s="2" t="n">
        <v>678.4</v>
      </c>
      <c r="DJ100" s="2" t="n">
        <v>221.5</v>
      </c>
      <c r="DK100" s="2" t="n">
        <v>545.8</v>
      </c>
      <c r="DM100" s="2" t="n">
        <v>203.2</v>
      </c>
      <c r="DO100" s="2" t="n">
        <v>205.6</v>
      </c>
      <c r="DP100" s="2" t="n">
        <v>204.3</v>
      </c>
      <c r="DS100" s="2" t="n">
        <v>868.5</v>
      </c>
      <c r="DT100" s="2" t="n">
        <v>3335.8</v>
      </c>
      <c r="DU100" s="2" t="n">
        <v>-408.5000000000005</v>
      </c>
      <c r="DV100" s="2" t="n">
        <v>0</v>
      </c>
      <c r="GZ100" s="2" t="n">
        <v>925.8</v>
      </c>
      <c r="IN100" s="2" t="n">
        <v>110.3</v>
      </c>
      <c r="IY100" s="2" t="n">
        <v>47.98489118052641</v>
      </c>
      <c r="IZ100" s="2" t="n">
        <v>0.284891180526408</v>
      </c>
      <c r="JB100" s="2" t="n">
        <v>10.85586665867258</v>
      </c>
      <c r="JC100" s="2" t="n">
        <v>-0.06413334132741966</v>
      </c>
      <c r="JE100" s="2" t="n">
        <v>1833.8</v>
      </c>
      <c r="JF100" s="2" t="n">
        <v>0.4045664739884393</v>
      </c>
    </row>
    <row r="101">
      <c r="A101" s="1" t="n">
        <v>32112</v>
      </c>
      <c r="B101" s="2" t="n">
        <v>3323.7</v>
      </c>
      <c r="C101" s="2" t="n">
        <v>4350.4</v>
      </c>
      <c r="D101" s="2" t="n">
        <v>363.2</v>
      </c>
      <c r="E101" s="2" t="n">
        <v>2251.9</v>
      </c>
      <c r="F101" s="2" t="n">
        <v>17.3</v>
      </c>
      <c r="G101" s="2" t="n">
        <v>115.6</v>
      </c>
      <c r="H101" s="2" t="inlineStr">
        <is>
          <t>NA</t>
        </is>
      </c>
      <c r="I101" s="2" t="inlineStr">
        <is>
          <t>NA</t>
        </is>
      </c>
      <c r="J101" s="2" t="inlineStr">
        <is>
          <t>NA</t>
        </is>
      </c>
      <c r="K101" s="2" t="n">
        <v>1208.1</v>
      </c>
      <c r="L101" s="2" t="n">
        <v>2050.4</v>
      </c>
      <c r="M101" s="2" t="n">
        <v>1749.6</v>
      </c>
      <c r="N101" s="2" t="n">
        <v>300.8</v>
      </c>
      <c r="O101" s="2" t="n">
        <v>124.8</v>
      </c>
      <c r="P101" s="2" t="n">
        <v>169.8</v>
      </c>
      <c r="Q101" s="2" t="n">
        <v>64.90000000000001</v>
      </c>
      <c r="R101" s="2" t="n">
        <v>104.9</v>
      </c>
      <c r="T101" s="2" t="n">
        <v>13.1</v>
      </c>
      <c r="U101" s="2" t="n">
        <v>15.7</v>
      </c>
      <c r="V101" s="2" t="n">
        <v>11.9</v>
      </c>
      <c r="W101" s="2" t="n">
        <v>3.8</v>
      </c>
      <c r="X101" s="2" t="n">
        <v>96.5</v>
      </c>
      <c r="Y101" s="2" t="n">
        <v>13.6</v>
      </c>
      <c r="Z101" s="2" t="n">
        <v>126.6</v>
      </c>
      <c r="AA101" s="2" t="n">
        <v>123.4</v>
      </c>
      <c r="AB101" s="2" t="n">
        <v>3.2</v>
      </c>
      <c r="AC101" s="2" t="inlineStr">
        <is>
          <t>NA</t>
        </is>
      </c>
      <c r="AD101" s="2" t="inlineStr">
        <is>
          <t>NA</t>
        </is>
      </c>
      <c r="AG101" s="2" t="inlineStr">
        <is>
          <t>NA</t>
        </is>
      </c>
      <c r="AH101" s="2" t="inlineStr">
        <is>
          <t>NA</t>
        </is>
      </c>
      <c r="AI101" s="2" t="n">
        <v>110.6</v>
      </c>
      <c r="AL101" s="2" t="n">
        <v>103</v>
      </c>
      <c r="AM101" s="2" t="n">
        <v>59.9</v>
      </c>
      <c r="AN101" s="2" t="n">
        <v>43.1</v>
      </c>
      <c r="AO101" s="2" t="n">
        <v>2527</v>
      </c>
      <c r="AP101" s="2" t="n">
        <v>255</v>
      </c>
      <c r="AQ101" s="2" t="n">
        <v>122.3</v>
      </c>
      <c r="AR101" s="2" t="n">
        <v>41.2</v>
      </c>
      <c r="AS101" s="2" t="n">
        <v>169.3</v>
      </c>
      <c r="AT101" s="2" t="n">
        <v>35.6</v>
      </c>
      <c r="AU101" s="2" t="n">
        <v>97.2</v>
      </c>
      <c r="AV101" s="2" t="n">
        <v>45.5</v>
      </c>
      <c r="AW101" s="2" t="n">
        <v>10.6</v>
      </c>
      <c r="AX101" s="2" t="n">
        <v>3.3</v>
      </c>
      <c r="AY101" s="2" t="n">
        <v>52.8</v>
      </c>
      <c r="AZ101" s="2" t="n">
        <v>9</v>
      </c>
      <c r="BA101" s="2" t="inlineStr">
        <is>
          <t>NA</t>
        </is>
      </c>
      <c r="BB101" s="2" t="inlineStr">
        <is>
          <t>NA</t>
        </is>
      </c>
      <c r="BD101" s="2" t="n">
        <v>98.7</v>
      </c>
      <c r="BE101" s="2" t="n">
        <v>39.6</v>
      </c>
      <c r="BH101" s="2" t="n">
        <v>353.6</v>
      </c>
      <c r="BK101" s="2" t="n">
        <v>153.3</v>
      </c>
      <c r="BL101" s="2" t="n">
        <v>6.6</v>
      </c>
      <c r="BM101" s="2" t="n">
        <v>513.6</v>
      </c>
      <c r="BN101" s="2" t="n">
        <v>302.3</v>
      </c>
      <c r="BQ101" s="2" t="n">
        <v>99.5</v>
      </c>
      <c r="BR101" s="2" t="n">
        <v>4.8</v>
      </c>
      <c r="BS101" s="2" t="n">
        <v>406.6</v>
      </c>
      <c r="BT101" s="2" t="n">
        <v>78</v>
      </c>
      <c r="BU101" s="2" t="n">
        <v>33</v>
      </c>
      <c r="BV101" s="2" t="n">
        <v>358.2</v>
      </c>
      <c r="BW101" s="2" t="n">
        <v>111.8</v>
      </c>
      <c r="BX101" s="2" t="n">
        <v>479</v>
      </c>
      <c r="BY101" s="2" t="n">
        <v>61.3</v>
      </c>
      <c r="BZ101" s="2" t="n">
        <v>8.9</v>
      </c>
      <c r="CA101" s="2" t="n">
        <v>70.2</v>
      </c>
      <c r="CF101" s="2" t="n">
        <v>127.9</v>
      </c>
      <c r="CG101" s="2" t="n">
        <v>161.8</v>
      </c>
      <c r="CH101" s="2" t="n">
        <v>39.2</v>
      </c>
      <c r="CN101" s="2" t="n">
        <v>61.5</v>
      </c>
      <c r="CO101" s="2" t="n">
        <v>367.6</v>
      </c>
      <c r="CP101" s="2" t="n">
        <v>335.8</v>
      </c>
      <c r="CQ101" s="2" t="n">
        <v>31.8</v>
      </c>
      <c r="CR101" s="2" t="inlineStr">
        <is>
          <t>NA</t>
        </is>
      </c>
      <c r="CS101" s="2" t="n">
        <v>50.8</v>
      </c>
      <c r="CT101" s="2" t="n">
        <v>34.9</v>
      </c>
      <c r="CU101" s="2" t="n">
        <v>15.9</v>
      </c>
      <c r="CV101" s="2" t="n">
        <v>56.09999999999999</v>
      </c>
      <c r="CW101" s="2" t="n">
        <v>24.7</v>
      </c>
      <c r="CX101" s="2" t="n">
        <v>31.4</v>
      </c>
      <c r="CY101" s="2" t="n">
        <v>12.7</v>
      </c>
      <c r="CZ101" s="2" t="n">
        <v>118.6</v>
      </c>
      <c r="DA101" s="2" t="n">
        <v>45.6</v>
      </c>
      <c r="DB101" s="2" t="n">
        <v>45</v>
      </c>
      <c r="DC101" s="2" t="n">
        <v>0.6</v>
      </c>
      <c r="DG101" s="2" t="n">
        <v>123.4</v>
      </c>
      <c r="DI101" s="2" t="n">
        <v>678.5</v>
      </c>
      <c r="DJ101" s="2" t="n">
        <v>218.9</v>
      </c>
      <c r="DK101" s="2" t="n">
        <v>550.9</v>
      </c>
      <c r="DM101" s="2" t="n">
        <v>216.1</v>
      </c>
      <c r="DO101" s="2" t="n">
        <v>196.6</v>
      </c>
      <c r="DP101" s="2" t="n">
        <v>208.5</v>
      </c>
      <c r="DS101" s="2" t="n">
        <v>853.6</v>
      </c>
      <c r="DT101" s="2" t="n">
        <v>3323.7</v>
      </c>
      <c r="DU101" s="2" t="n">
        <v>-400.5999999999999</v>
      </c>
      <c r="DV101" s="2" t="n">
        <v>0</v>
      </c>
      <c r="GZ101" s="2" t="n">
        <v>902.5</v>
      </c>
      <c r="IN101" s="2" t="n">
        <v>120.9</v>
      </c>
      <c r="IY101" s="2" t="n">
        <v>47.82561603032765</v>
      </c>
      <c r="IZ101" s="2" t="n">
        <v>0.0556160303276485</v>
      </c>
      <c r="JB101" s="2" t="n">
        <v>10.90441375575413</v>
      </c>
      <c r="JC101" s="2" t="n">
        <v>-0.05558624424587144</v>
      </c>
      <c r="JE101" s="2" t="n">
        <v>2050.4</v>
      </c>
      <c r="JF101" s="2" t="n">
        <v>0.3770293601248537</v>
      </c>
    </row>
    <row r="102">
      <c r="A102" s="1" t="n">
        <v>32143</v>
      </c>
      <c r="B102" s="2" t="n">
        <v>3202.3</v>
      </c>
      <c r="C102" s="2" t="n">
        <v>4254.9</v>
      </c>
      <c r="D102" s="2" t="n">
        <v>373.4</v>
      </c>
      <c r="E102" s="2" t="n">
        <v>2250.2</v>
      </c>
      <c r="F102" s="2" t="n">
        <v>17.3</v>
      </c>
      <c r="G102" s="2" t="n">
        <v>87.8</v>
      </c>
      <c r="H102" s="2" t="inlineStr">
        <is>
          <t>NA</t>
        </is>
      </c>
      <c r="I102" s="2" t="inlineStr">
        <is>
          <t>NA</t>
        </is>
      </c>
      <c r="J102" s="2" t="inlineStr">
        <is>
          <t>NA</t>
        </is>
      </c>
      <c r="K102" s="2" t="n">
        <v>1170.2</v>
      </c>
      <c r="L102" s="2" t="n">
        <v>2390.9</v>
      </c>
      <c r="M102" s="2" t="n">
        <v>2100.6</v>
      </c>
      <c r="N102" s="2" t="n">
        <v>290.3</v>
      </c>
      <c r="O102" s="2" t="n">
        <v>125.7</v>
      </c>
      <c r="P102" s="2" t="n">
        <v>209.9</v>
      </c>
      <c r="Q102" s="2" t="n">
        <v>99</v>
      </c>
      <c r="R102" s="2" t="n">
        <v>110.9</v>
      </c>
      <c r="T102" s="2" t="n">
        <v>13.8</v>
      </c>
      <c r="U102" s="2" t="n">
        <v>20.2</v>
      </c>
      <c r="V102" s="2" t="n">
        <v>11.8</v>
      </c>
      <c r="W102" s="2" t="n">
        <v>8.4</v>
      </c>
      <c r="X102" s="2" t="n">
        <v>71.3</v>
      </c>
      <c r="Y102" s="2" t="n">
        <v>10.9</v>
      </c>
      <c r="Z102" s="2" t="n">
        <v>170.6</v>
      </c>
      <c r="AA102" s="2" t="n">
        <v>167.5</v>
      </c>
      <c r="AB102" s="2" t="n">
        <v>3.1</v>
      </c>
      <c r="AC102" s="2" t="inlineStr">
        <is>
          <t>NA</t>
        </is>
      </c>
      <c r="AD102" s="2" t="inlineStr">
        <is>
          <t>NA</t>
        </is>
      </c>
      <c r="AG102" s="2" t="inlineStr">
        <is>
          <t>NA</t>
        </is>
      </c>
      <c r="AH102" s="2" t="inlineStr">
        <is>
          <t>NA</t>
        </is>
      </c>
      <c r="AI102" s="2" t="n">
        <v>107.1</v>
      </c>
      <c r="AL102" s="2" t="n">
        <v>119.6</v>
      </c>
      <c r="AM102" s="2" t="n">
        <v>81.90000000000001</v>
      </c>
      <c r="AN102" s="2" t="n">
        <v>37.7</v>
      </c>
      <c r="AO102" s="2" t="n">
        <v>2434.2</v>
      </c>
      <c r="AP102" s="2" t="n">
        <v>343.3</v>
      </c>
      <c r="AQ102" s="2" t="n">
        <v>120.2</v>
      </c>
      <c r="AR102" s="2" t="n">
        <v>47.1</v>
      </c>
      <c r="AS102" s="2" t="n">
        <v>169.4</v>
      </c>
      <c r="AT102" s="2" t="n">
        <v>53.2</v>
      </c>
      <c r="AU102" s="2" t="n">
        <v>92</v>
      </c>
      <c r="AV102" s="2" t="n">
        <v>63.4</v>
      </c>
      <c r="AW102" s="2" t="n">
        <v>10.2</v>
      </c>
      <c r="AX102" s="2" t="inlineStr">
        <is>
          <t>NA</t>
        </is>
      </c>
      <c r="AY102" s="2" t="n">
        <v>41.8</v>
      </c>
      <c r="AZ102" s="2" t="n">
        <v>3.4</v>
      </c>
      <c r="BA102" s="2" t="inlineStr">
        <is>
          <t>NA</t>
        </is>
      </c>
      <c r="BB102" s="2" t="inlineStr">
        <is>
          <t>NA</t>
        </is>
      </c>
      <c r="BD102" s="2" t="n">
        <v>106.3</v>
      </c>
      <c r="BE102" s="2" t="n">
        <v>51.6</v>
      </c>
      <c r="BH102" s="2" t="n">
        <v>344.4</v>
      </c>
      <c r="BK102" s="2" t="n">
        <v>148.3</v>
      </c>
      <c r="BL102" s="2" t="n">
        <v>6.5</v>
      </c>
      <c r="BM102" s="2" t="n">
        <v>499.2</v>
      </c>
      <c r="BN102" s="2" t="n">
        <v>324.6</v>
      </c>
      <c r="BQ102" s="2" t="n">
        <v>79.8</v>
      </c>
      <c r="BR102" s="2" t="n">
        <v>5.1</v>
      </c>
      <c r="BS102" s="2" t="n">
        <v>409.5000000000001</v>
      </c>
      <c r="BT102" s="2" t="n">
        <v>73</v>
      </c>
      <c r="BU102" s="2" t="n">
        <v>37.2</v>
      </c>
      <c r="BV102" s="2" t="n">
        <v>337.4</v>
      </c>
      <c r="BW102" s="2" t="n">
        <v>112.7</v>
      </c>
      <c r="BX102" s="2" t="n">
        <v>458.5</v>
      </c>
      <c r="BY102" s="2" t="n">
        <v>63</v>
      </c>
      <c r="BZ102" s="2" t="n">
        <v>10.4</v>
      </c>
      <c r="CA102" s="2" t="n">
        <v>73.40000000000001</v>
      </c>
      <c r="CF102" s="2" t="n">
        <v>121.7</v>
      </c>
      <c r="CG102" s="2" t="n">
        <v>148.3</v>
      </c>
      <c r="CH102" s="2" t="n">
        <v>30.1</v>
      </c>
      <c r="CN102" s="2" t="n">
        <v>57.3</v>
      </c>
      <c r="CO102" s="2" t="n">
        <v>358.8</v>
      </c>
      <c r="CP102" s="2" t="n">
        <v>329.5</v>
      </c>
      <c r="CQ102" s="2" t="n">
        <v>29.3</v>
      </c>
      <c r="CR102" s="2" t="inlineStr">
        <is>
          <t>NA</t>
        </is>
      </c>
      <c r="CS102" s="2" t="n">
        <v>56</v>
      </c>
      <c r="CT102" s="2" t="n">
        <v>41.1</v>
      </c>
      <c r="CU102" s="2" t="n">
        <v>14.9</v>
      </c>
      <c r="CV102" s="2" t="n">
        <v>49.40000000000001</v>
      </c>
      <c r="CW102" s="2" t="n">
        <v>17.6</v>
      </c>
      <c r="CX102" s="2" t="n">
        <v>31.8</v>
      </c>
      <c r="CY102" s="2" t="n">
        <v>9.1</v>
      </c>
      <c r="CZ102" s="2" t="n">
        <v>118.6</v>
      </c>
      <c r="DA102" s="2" t="n">
        <v>50.3</v>
      </c>
      <c r="DB102" s="2" t="n">
        <v>49.7</v>
      </c>
      <c r="DC102" s="2" t="n">
        <v>0.6</v>
      </c>
      <c r="DG102" s="2" t="n">
        <v>130</v>
      </c>
      <c r="DI102" s="2" t="n">
        <v>629.4</v>
      </c>
      <c r="DJ102" s="2" t="n">
        <v>215.1</v>
      </c>
      <c r="DK102" s="2" t="n">
        <v>521.1</v>
      </c>
      <c r="DM102" s="2" t="n">
        <v>221.5</v>
      </c>
      <c r="DO102" s="2" t="n">
        <v>185.4</v>
      </c>
      <c r="DP102" s="2" t="n">
        <v>204.6</v>
      </c>
      <c r="DS102" s="2" t="n">
        <v>820</v>
      </c>
      <c r="DT102" s="2" t="n">
        <v>3202.3</v>
      </c>
      <c r="DU102" s="2" t="n">
        <v>-405.2000000000003</v>
      </c>
      <c r="DV102" s="2" t="n">
        <v>0</v>
      </c>
      <c r="GZ102" s="2" t="n">
        <v>880.3</v>
      </c>
      <c r="IN102" s="2" t="n">
        <v>119.9</v>
      </c>
      <c r="IY102" s="2" t="n">
        <v>47.86060019361084</v>
      </c>
      <c r="IZ102" s="2" t="n">
        <v>0.220600193610835</v>
      </c>
      <c r="JB102" s="2" t="n">
        <v>10.96274552665272</v>
      </c>
      <c r="JC102" s="2" t="n">
        <v>-0.06725447334728152</v>
      </c>
      <c r="JE102" s="2" t="n">
        <v>2390.9</v>
      </c>
      <c r="JF102" s="2" t="n">
        <v>0.3779162658413149</v>
      </c>
    </row>
    <row r="103">
      <c r="A103" s="1" t="n">
        <v>32174</v>
      </c>
      <c r="B103" s="2" t="n">
        <v>2994.4</v>
      </c>
      <c r="C103" s="2" t="n">
        <v>4177.6</v>
      </c>
      <c r="D103" s="2" t="n">
        <v>352.2</v>
      </c>
      <c r="E103" s="2" t="n">
        <v>1948.8</v>
      </c>
      <c r="F103" s="2" t="n">
        <v>18.3</v>
      </c>
      <c r="G103" s="2" t="n">
        <v>102.8</v>
      </c>
      <c r="H103" s="2" t="inlineStr">
        <is>
          <t>NA</t>
        </is>
      </c>
      <c r="I103" s="2" t="inlineStr">
        <is>
          <t>NA</t>
        </is>
      </c>
      <c r="J103" s="2" t="inlineStr">
        <is>
          <t>NA</t>
        </is>
      </c>
      <c r="K103" s="2" t="n">
        <v>1091.8</v>
      </c>
      <c r="L103" s="2" t="n">
        <v>2239</v>
      </c>
      <c r="M103" s="2" t="n">
        <v>1958.9</v>
      </c>
      <c r="N103" s="2" t="n">
        <v>280.1</v>
      </c>
      <c r="O103" s="2" t="n">
        <v>115.8</v>
      </c>
      <c r="P103" s="2" t="n">
        <v>197.6</v>
      </c>
      <c r="Q103" s="2" t="n">
        <v>92.3</v>
      </c>
      <c r="R103" s="2" t="n">
        <v>105.3</v>
      </c>
      <c r="T103" s="2" t="n">
        <v>14.9</v>
      </c>
      <c r="U103" s="2" t="n">
        <v>23.3</v>
      </c>
      <c r="V103" s="2" t="n">
        <v>18.8</v>
      </c>
      <c r="W103" s="2" t="n">
        <v>4.5</v>
      </c>
      <c r="X103" s="2" t="n">
        <v>87.3</v>
      </c>
      <c r="Y103" s="2" t="n">
        <v>7.8</v>
      </c>
      <c r="Z103" s="2" t="n">
        <v>155.6</v>
      </c>
      <c r="AA103" s="2" t="n">
        <v>137.5</v>
      </c>
      <c r="AB103" s="2" t="n">
        <v>18.1</v>
      </c>
      <c r="AC103" s="2" t="inlineStr">
        <is>
          <t>NA</t>
        </is>
      </c>
      <c r="AD103" s="2" t="inlineStr">
        <is>
          <t>NA</t>
        </is>
      </c>
      <c r="AG103" s="2" t="inlineStr">
        <is>
          <t>NA</t>
        </is>
      </c>
      <c r="AH103" s="2" t="inlineStr">
        <is>
          <t>NA</t>
        </is>
      </c>
      <c r="AI103" s="2" t="n">
        <v>110.2</v>
      </c>
      <c r="AL103" s="2" t="n">
        <v>128.3</v>
      </c>
      <c r="AM103" s="2" t="n">
        <v>82.3</v>
      </c>
      <c r="AN103" s="2" t="n">
        <v>46</v>
      </c>
      <c r="AO103" s="2" t="n">
        <v>2260</v>
      </c>
      <c r="AP103" s="2" t="n">
        <v>266</v>
      </c>
      <c r="AQ103" s="2" t="n">
        <v>117.5</v>
      </c>
      <c r="AR103" s="2" t="n">
        <v>38.9</v>
      </c>
      <c r="AS103" s="2" t="n">
        <v>160.2</v>
      </c>
      <c r="AT103" s="2" t="n">
        <v>65.3</v>
      </c>
      <c r="AU103" s="2" t="n">
        <v>90</v>
      </c>
      <c r="AV103" s="2" t="n">
        <v>70.59999999999999</v>
      </c>
      <c r="AW103" s="2" t="n">
        <v>10.9</v>
      </c>
      <c r="AX103" s="2" t="n">
        <v>3.6</v>
      </c>
      <c r="AY103" s="2" t="n">
        <v>48</v>
      </c>
      <c r="AZ103" s="2" t="inlineStr">
        <is>
          <t>NA</t>
        </is>
      </c>
      <c r="BA103" s="2" t="inlineStr">
        <is>
          <t>NA</t>
        </is>
      </c>
      <c r="BB103" s="2" t="inlineStr">
        <is>
          <t>NA</t>
        </is>
      </c>
      <c r="BD103" s="2" t="n">
        <v>108.2</v>
      </c>
      <c r="BE103" s="2" t="n">
        <v>43.3</v>
      </c>
      <c r="BH103" s="2" t="n">
        <v>318.3</v>
      </c>
      <c r="BK103" s="2" t="n">
        <v>145.3</v>
      </c>
      <c r="BL103" s="2" t="n">
        <v>8.699999999999999</v>
      </c>
      <c r="BM103" s="2" t="n">
        <v>472.3</v>
      </c>
      <c r="BN103" s="2" t="n">
        <v>333</v>
      </c>
      <c r="BQ103" s="2" t="n">
        <v>68.59999999999999</v>
      </c>
      <c r="BR103" s="2" t="n">
        <v>4.8</v>
      </c>
      <c r="BS103" s="2" t="n">
        <v>406.4</v>
      </c>
      <c r="BT103" s="2" t="n">
        <v>73</v>
      </c>
      <c r="BU103" s="2" t="n">
        <v>33.8</v>
      </c>
      <c r="BV103" s="2" t="n">
        <v>322.3</v>
      </c>
      <c r="BW103" s="2" t="n">
        <v>115.2</v>
      </c>
      <c r="BX103" s="2" t="n">
        <v>447.4</v>
      </c>
      <c r="BY103" s="2" t="n">
        <v>49.9</v>
      </c>
      <c r="BZ103" s="2" t="n">
        <v>11.1</v>
      </c>
      <c r="CA103" s="2" t="n">
        <v>61</v>
      </c>
      <c r="CF103" s="2" t="n">
        <v>126.3</v>
      </c>
      <c r="CG103" s="2" t="n">
        <v>159.1</v>
      </c>
      <c r="CH103" s="2" t="n">
        <v>27.9</v>
      </c>
      <c r="CN103" s="2" t="n">
        <v>56.1</v>
      </c>
      <c r="CO103" s="2" t="n">
        <v>370.7</v>
      </c>
      <c r="CP103" s="2" t="n">
        <v>344.1</v>
      </c>
      <c r="CQ103" s="2" t="n">
        <v>26.6</v>
      </c>
      <c r="CR103" s="2" t="inlineStr">
        <is>
          <t>NA</t>
        </is>
      </c>
      <c r="CS103" s="2" t="n">
        <v>39</v>
      </c>
      <c r="CT103" s="2" t="n">
        <v>27.6</v>
      </c>
      <c r="CU103" s="2" t="n">
        <v>11.4</v>
      </c>
      <c r="CV103" s="2" t="n">
        <v>52</v>
      </c>
      <c r="CW103" s="2" t="n">
        <v>15.6</v>
      </c>
      <c r="CX103" s="2" t="n">
        <v>36.4</v>
      </c>
      <c r="CY103" s="2" t="n">
        <v>8.4</v>
      </c>
      <c r="CZ103" s="2" t="n">
        <v>127.7</v>
      </c>
      <c r="DA103" s="2" t="n">
        <v>45.6</v>
      </c>
      <c r="DB103" s="2" t="n">
        <v>44.5</v>
      </c>
      <c r="DC103" s="2" t="n">
        <v>1.1</v>
      </c>
      <c r="DG103" s="2" t="n">
        <v>112.2</v>
      </c>
      <c r="DI103" s="2" t="n">
        <v>617.1</v>
      </c>
      <c r="DJ103" s="2" t="n">
        <v>192.8</v>
      </c>
      <c r="DK103" s="2" t="n">
        <v>463.9</v>
      </c>
      <c r="DM103" s="2" t="n">
        <v>203.8</v>
      </c>
      <c r="DO103" s="2" t="n">
        <v>171.6</v>
      </c>
      <c r="DP103" s="2" t="n">
        <v>191.5</v>
      </c>
      <c r="DS103" s="2" t="n">
        <v>780.6</v>
      </c>
      <c r="DT103" s="2" t="n">
        <v>2994.4</v>
      </c>
      <c r="DU103" s="2" t="n">
        <v>-373.0999999999999</v>
      </c>
      <c r="DV103" s="2" t="n">
        <v>0</v>
      </c>
      <c r="GZ103" s="2" t="n">
        <v>843.4</v>
      </c>
      <c r="IN103" s="2" t="n">
        <v>117.8</v>
      </c>
      <c r="IY103" s="2" t="n">
        <v>47.63892599519102</v>
      </c>
      <c r="IZ103" s="2" t="n">
        <v>-0.08107400480897553</v>
      </c>
      <c r="JB103" s="2" t="n">
        <v>10.93841838097783</v>
      </c>
      <c r="JC103" s="2" t="n">
        <v>-0.111581619022175</v>
      </c>
      <c r="JE103" s="2" t="n">
        <v>2239</v>
      </c>
      <c r="JF103" s="2" t="n">
        <v>0.4101121036176865</v>
      </c>
    </row>
    <row r="104">
      <c r="A104" s="1" t="n">
        <v>32203</v>
      </c>
      <c r="B104" s="2" t="n">
        <v>3229.3</v>
      </c>
      <c r="C104" s="2" t="n">
        <v>4012.9</v>
      </c>
      <c r="D104" s="2" t="n">
        <v>340.1</v>
      </c>
      <c r="E104" s="2" t="n">
        <v>1619.8</v>
      </c>
      <c r="F104" s="2" t="n">
        <v>12.5</v>
      </c>
      <c r="G104" s="2" t="n">
        <v>122.4</v>
      </c>
      <c r="H104" s="2" t="n">
        <v>30.7</v>
      </c>
      <c r="I104" s="2" t="inlineStr">
        <is>
          <t>NA</t>
        </is>
      </c>
      <c r="J104" s="2" t="inlineStr">
        <is>
          <t>NA</t>
        </is>
      </c>
      <c r="K104" s="2" t="n">
        <v>1186.9</v>
      </c>
      <c r="L104" s="2" t="n">
        <v>2342.7</v>
      </c>
      <c r="M104" s="2" t="n">
        <v>2068.1</v>
      </c>
      <c r="N104" s="2" t="n">
        <v>274.6</v>
      </c>
      <c r="O104" s="2" t="n">
        <v>113.2</v>
      </c>
      <c r="P104" s="2" t="n">
        <v>184.7</v>
      </c>
      <c r="Q104" s="2" t="n">
        <v>75.7</v>
      </c>
      <c r="R104" s="2" t="n">
        <v>109</v>
      </c>
      <c r="T104" s="2" t="n">
        <v>10.1</v>
      </c>
      <c r="U104" s="2" t="n">
        <v>22.1</v>
      </c>
      <c r="V104" s="2" t="n">
        <v>18.4</v>
      </c>
      <c r="W104" s="2" t="n">
        <v>3.7</v>
      </c>
      <c r="X104" s="2" t="n">
        <v>106.6</v>
      </c>
      <c r="Y104" s="2" t="n">
        <v>9.300000000000001</v>
      </c>
      <c r="Z104" s="2" t="n">
        <v>193.9</v>
      </c>
      <c r="AA104" s="2" t="n">
        <v>188.7</v>
      </c>
      <c r="AB104" s="2" t="n">
        <v>5.2</v>
      </c>
      <c r="AC104" s="2" t="inlineStr">
        <is>
          <t>NA</t>
        </is>
      </c>
      <c r="AD104" s="2" t="inlineStr">
        <is>
          <t>NA</t>
        </is>
      </c>
      <c r="AG104" s="2" t="inlineStr">
        <is>
          <t>NA</t>
        </is>
      </c>
      <c r="AH104" s="2" t="inlineStr">
        <is>
          <t>NA</t>
        </is>
      </c>
      <c r="AI104" s="2" t="n">
        <v>113.4</v>
      </c>
      <c r="AL104" s="2" t="n">
        <v>106.5</v>
      </c>
      <c r="AM104" s="2" t="n">
        <v>69.5</v>
      </c>
      <c r="AN104" s="2" t="n">
        <v>37</v>
      </c>
      <c r="AO104" s="2" t="n">
        <v>2453.9</v>
      </c>
      <c r="AP104" s="2" t="n">
        <v>207.1</v>
      </c>
      <c r="AQ104" s="2" t="n">
        <v>119</v>
      </c>
      <c r="AR104" s="2" t="n">
        <v>36.6</v>
      </c>
      <c r="AS104" s="2" t="n">
        <v>155.7</v>
      </c>
      <c r="AT104" s="2" t="n">
        <v>60.4</v>
      </c>
      <c r="AU104" s="2" t="n">
        <v>86.40000000000001</v>
      </c>
      <c r="AV104" s="2" t="n">
        <v>70.2</v>
      </c>
      <c r="AW104" s="2" t="n">
        <v>7.2</v>
      </c>
      <c r="AX104" s="2" t="n">
        <v>7.9</v>
      </c>
      <c r="AY104" s="2" t="n">
        <v>58</v>
      </c>
      <c r="AZ104" s="2" t="inlineStr">
        <is>
          <t>NA</t>
        </is>
      </c>
      <c r="BA104" s="2" t="inlineStr">
        <is>
          <t>NA</t>
        </is>
      </c>
      <c r="BB104" s="2" t="inlineStr">
        <is>
          <t>NA</t>
        </is>
      </c>
      <c r="BD104" s="2" t="n">
        <v>122.2</v>
      </c>
      <c r="BE104" s="2" t="n">
        <v>41.5</v>
      </c>
      <c r="BH104" s="2" t="n">
        <v>356.6</v>
      </c>
      <c r="BK104" s="2" t="n">
        <v>168.1</v>
      </c>
      <c r="BL104" s="2" t="n">
        <v>6.1</v>
      </c>
      <c r="BM104" s="2" t="n">
        <v>530.9</v>
      </c>
      <c r="BN104" s="2" t="n">
        <v>344.3</v>
      </c>
      <c r="BQ104" s="2" t="n">
        <v>78.3</v>
      </c>
      <c r="BR104" s="2" t="n">
        <v>5.1</v>
      </c>
      <c r="BS104" s="2" t="n">
        <v>427.7</v>
      </c>
      <c r="BT104" s="2" t="n">
        <v>83</v>
      </c>
      <c r="BU104" s="2" t="n">
        <v>37.1</v>
      </c>
      <c r="BV104" s="2" t="n">
        <v>338.5</v>
      </c>
      <c r="BW104" s="2" t="n">
        <v>115.9</v>
      </c>
      <c r="BX104" s="2" t="n">
        <v>463</v>
      </c>
      <c r="BY104" s="2" t="n">
        <v>48.1</v>
      </c>
      <c r="BZ104" s="2" t="n">
        <v>11.3</v>
      </c>
      <c r="CA104" s="2" t="n">
        <v>59.40000000000001</v>
      </c>
      <c r="CF104" s="2" t="n">
        <v>141.3</v>
      </c>
      <c r="CG104" s="2" t="n">
        <v>165.4</v>
      </c>
      <c r="CH104" s="2" t="n">
        <v>28.1</v>
      </c>
      <c r="CN104" s="2" t="n">
        <v>51.7</v>
      </c>
      <c r="CO104" s="2" t="n">
        <v>371.6</v>
      </c>
      <c r="CP104" s="2" t="n">
        <v>345.7</v>
      </c>
      <c r="CQ104" s="2" t="n">
        <v>25.9</v>
      </c>
      <c r="CR104" s="2" t="inlineStr">
        <is>
          <t>NA</t>
        </is>
      </c>
      <c r="CS104" s="2" t="n">
        <v>35.5</v>
      </c>
      <c r="CT104" s="2" t="n">
        <v>22.7</v>
      </c>
      <c r="CU104" s="2" t="n">
        <v>12.8</v>
      </c>
      <c r="CV104" s="2" t="n">
        <v>61.7</v>
      </c>
      <c r="CW104" s="2" t="n">
        <v>20.1</v>
      </c>
      <c r="CX104" s="2" t="n">
        <v>41.6</v>
      </c>
      <c r="CY104" s="2" t="n">
        <v>16.1</v>
      </c>
      <c r="CZ104" s="2" t="n">
        <v>112.2</v>
      </c>
      <c r="DA104" s="2" t="n">
        <v>48</v>
      </c>
      <c r="DB104" s="2" t="n">
        <v>46.4</v>
      </c>
      <c r="DC104" s="2" t="n">
        <v>1.6</v>
      </c>
      <c r="DG104" s="2" t="n">
        <v>121.3</v>
      </c>
      <c r="DI104" s="2" t="n">
        <v>672.8</v>
      </c>
      <c r="DJ104" s="2" t="n">
        <v>213.4</v>
      </c>
      <c r="DK104" s="2" t="n">
        <v>494.2</v>
      </c>
      <c r="DM104" s="2" t="n">
        <v>213.7</v>
      </c>
      <c r="DO104" s="2" t="n">
        <v>188.2</v>
      </c>
      <c r="DP104" s="2" t="n">
        <v>204.8</v>
      </c>
      <c r="DS104" s="2" t="n">
        <v>846.7</v>
      </c>
      <c r="DT104" s="2" t="n">
        <v>3229.3</v>
      </c>
      <c r="DU104" s="2" t="n">
        <v>-395.5</v>
      </c>
      <c r="DV104" s="2" t="n">
        <v>0</v>
      </c>
      <c r="GZ104" s="2" t="n">
        <v>925.6</v>
      </c>
      <c r="IN104" s="2" t="n">
        <v>132.6</v>
      </c>
      <c r="IY104" s="2" t="n">
        <v>47.8041680859629</v>
      </c>
      <c r="IZ104" s="2" t="n">
        <v>0.01416808596290053</v>
      </c>
      <c r="JB104" s="2" t="n">
        <v>11.02622859443223</v>
      </c>
      <c r="JC104" s="2" t="n">
        <v>-0.05377140556777071</v>
      </c>
      <c r="JE104" s="2" t="n">
        <v>2342.7</v>
      </c>
      <c r="JF104" s="2" t="n">
        <v>0.3768241772313997</v>
      </c>
    </row>
    <row r="105">
      <c r="A105" s="1" t="n">
        <v>32234</v>
      </c>
      <c r="B105" s="2" t="n">
        <v>3078.2</v>
      </c>
      <c r="C105" s="2" t="n">
        <v>3418.4</v>
      </c>
      <c r="D105" s="2" t="n">
        <v>310.7</v>
      </c>
      <c r="E105" s="2" t="n">
        <v>1278</v>
      </c>
      <c r="F105" s="2" t="n">
        <v>10.6</v>
      </c>
      <c r="G105" s="2" t="n">
        <v>95.5</v>
      </c>
      <c r="H105" s="2" t="inlineStr">
        <is>
          <t>NA</t>
        </is>
      </c>
      <c r="I105" s="2" t="inlineStr">
        <is>
          <t>NA</t>
        </is>
      </c>
      <c r="J105" s="2" t="inlineStr">
        <is>
          <t>NA</t>
        </is>
      </c>
      <c r="K105" s="2" t="n">
        <v>1132.7</v>
      </c>
      <c r="L105" s="2" t="n">
        <v>2385.2</v>
      </c>
      <c r="M105" s="2" t="n">
        <v>2092.7</v>
      </c>
      <c r="N105" s="2" t="n">
        <v>292.5</v>
      </c>
      <c r="O105" s="2" t="n">
        <v>104.4</v>
      </c>
      <c r="P105" s="2" t="n">
        <v>177.2</v>
      </c>
      <c r="Q105" s="2" t="n">
        <v>72.8</v>
      </c>
      <c r="R105" s="2" t="n">
        <v>104.4</v>
      </c>
      <c r="T105" s="2" t="n">
        <v>8.300000000000001</v>
      </c>
      <c r="U105" s="2" t="n">
        <v>18.8</v>
      </c>
      <c r="V105" s="2" t="n">
        <v>14.6</v>
      </c>
      <c r="W105" s="2" t="n">
        <v>4.2</v>
      </c>
      <c r="X105" s="2" t="n">
        <v>79.5</v>
      </c>
      <c r="Y105" s="2" t="n">
        <v>7.7</v>
      </c>
      <c r="Z105" s="2" t="n">
        <v>157.4</v>
      </c>
      <c r="AA105" s="2" t="n">
        <v>154.3</v>
      </c>
      <c r="AB105" s="2" t="n">
        <v>3.1</v>
      </c>
      <c r="AC105" s="2" t="inlineStr">
        <is>
          <t>NA</t>
        </is>
      </c>
      <c r="AD105" s="2" t="inlineStr">
        <is>
          <t>NA</t>
        </is>
      </c>
      <c r="AG105" s="2" t="inlineStr">
        <is>
          <t>NA</t>
        </is>
      </c>
      <c r="AH105" s="2" t="inlineStr">
        <is>
          <t>NA</t>
        </is>
      </c>
      <c r="AI105" s="2" t="n">
        <v>117.3</v>
      </c>
      <c r="AL105" s="2" t="n">
        <v>107.9</v>
      </c>
      <c r="AM105" s="2" t="n">
        <v>72.2</v>
      </c>
      <c r="AN105" s="2" t="n">
        <v>35.7</v>
      </c>
      <c r="AO105" s="2" t="n">
        <v>2327.8</v>
      </c>
      <c r="AP105" s="2" t="n">
        <v>266.8</v>
      </c>
      <c r="AQ105" s="2" t="n">
        <v>122</v>
      </c>
      <c r="AR105" s="2" t="n">
        <v>32.7</v>
      </c>
      <c r="AS105" s="2" t="n">
        <v>144</v>
      </c>
      <c r="AT105" s="2" t="n">
        <v>82.90000000000001</v>
      </c>
      <c r="AU105" s="2" t="n">
        <v>81.3</v>
      </c>
      <c r="AV105" s="2" t="n">
        <v>80.5</v>
      </c>
      <c r="AW105" s="2" t="n">
        <v>6.1</v>
      </c>
      <c r="AX105" s="2" t="n">
        <v>4.1</v>
      </c>
      <c r="AY105" s="2" t="n">
        <v>45</v>
      </c>
      <c r="AZ105" s="2" t="n">
        <v>17.8</v>
      </c>
      <c r="BA105" s="2" t="inlineStr">
        <is>
          <t>NA</t>
        </is>
      </c>
      <c r="BB105" s="2" t="inlineStr">
        <is>
          <t>NA</t>
        </is>
      </c>
      <c r="BD105" s="2" t="n">
        <v>105.4</v>
      </c>
      <c r="BE105" s="2" t="n">
        <v>44</v>
      </c>
      <c r="BH105" s="2" t="n">
        <v>315</v>
      </c>
      <c r="BK105" s="2" t="n">
        <v>163.1</v>
      </c>
      <c r="BL105" s="2" t="n">
        <v>6.1</v>
      </c>
      <c r="BM105" s="2" t="n">
        <v>484.1</v>
      </c>
      <c r="BN105" s="2" t="n">
        <v>366.5</v>
      </c>
      <c r="BQ105" s="2" t="n">
        <v>78.3</v>
      </c>
      <c r="BR105" s="2" t="n">
        <v>5.1</v>
      </c>
      <c r="BS105" s="2" t="n">
        <v>449.9</v>
      </c>
      <c r="BT105" s="2" t="n">
        <v>76</v>
      </c>
      <c r="BU105" s="2" t="n">
        <v>31.2</v>
      </c>
      <c r="BV105" s="2" t="n">
        <v>309.7</v>
      </c>
      <c r="BW105" s="2" t="n">
        <v>104.3</v>
      </c>
      <c r="BX105" s="2" t="n">
        <v>426</v>
      </c>
      <c r="BY105" s="2" t="n">
        <v>51.8</v>
      </c>
      <c r="BZ105" s="2" t="n">
        <v>9.199999999999999</v>
      </c>
      <c r="CA105" s="2" t="n">
        <v>61</v>
      </c>
      <c r="CF105" s="2" t="n">
        <v>124.3</v>
      </c>
      <c r="CG105" s="2" t="n">
        <v>155.9</v>
      </c>
      <c r="CH105" s="2" t="n">
        <v>28.2</v>
      </c>
      <c r="CN105" s="2" t="n">
        <v>56.4</v>
      </c>
      <c r="CO105" s="2" t="n">
        <v>356</v>
      </c>
      <c r="CP105" s="2" t="n">
        <v>328</v>
      </c>
      <c r="CQ105" s="2" t="n">
        <v>28</v>
      </c>
      <c r="CR105" s="2" t="inlineStr">
        <is>
          <t>NA</t>
        </is>
      </c>
      <c r="CS105" s="2" t="n">
        <v>35.6</v>
      </c>
      <c r="CT105" s="2" t="n">
        <v>22</v>
      </c>
      <c r="CU105" s="2" t="n">
        <v>13.6</v>
      </c>
      <c r="CV105" s="2" t="n">
        <v>53.3</v>
      </c>
      <c r="CW105" s="2" t="n">
        <v>17</v>
      </c>
      <c r="CX105" s="2" t="n">
        <v>36.3</v>
      </c>
      <c r="CY105" s="2" t="n">
        <v>10.9</v>
      </c>
      <c r="CZ105" s="2" t="n">
        <v>95.7</v>
      </c>
      <c r="DA105" s="2" t="n">
        <v>34.8</v>
      </c>
      <c r="DB105" s="2" t="n">
        <v>32.9</v>
      </c>
      <c r="DC105" s="2" t="n">
        <v>1.9</v>
      </c>
      <c r="DG105" s="2" t="n">
        <v>113.2</v>
      </c>
      <c r="DI105" s="2" t="n">
        <v>647.7</v>
      </c>
      <c r="DJ105" s="2" t="n">
        <v>204.1</v>
      </c>
      <c r="DK105" s="2" t="n">
        <v>478.1</v>
      </c>
      <c r="DL105" s="2" t="n">
        <v>123.9</v>
      </c>
      <c r="DM105" s="2" t="n">
        <v>188.4</v>
      </c>
      <c r="DO105" s="2" t="n">
        <v>121.6</v>
      </c>
      <c r="DP105" s="2" t="n">
        <v>184.2</v>
      </c>
      <c r="DS105" s="2" t="n">
        <v>839.6</v>
      </c>
      <c r="DT105" s="2" t="n">
        <v>3078.2</v>
      </c>
      <c r="DU105" s="2" t="n">
        <v>-290.5999999999995</v>
      </c>
      <c r="DV105" s="2" t="n">
        <v>0</v>
      </c>
      <c r="GZ105" s="2" t="n">
        <v>843.5</v>
      </c>
      <c r="IN105" s="2" t="n">
        <v>116.5</v>
      </c>
      <c r="IY105" s="2" t="n">
        <v>47.75128321746476</v>
      </c>
      <c r="IZ105" s="2" t="n">
        <v>0.0812832174647582</v>
      </c>
      <c r="JB105" s="2" t="n">
        <v>11.03924371385875</v>
      </c>
      <c r="JC105" s="2" t="n">
        <v>-0.05075628614124916</v>
      </c>
      <c r="JE105" s="2" t="n">
        <v>2385.2</v>
      </c>
      <c r="JF105" s="2" t="n">
        <v>0.3942227066912628</v>
      </c>
    </row>
    <row r="106">
      <c r="A106" s="1" t="n">
        <v>32264</v>
      </c>
      <c r="B106" s="2" t="n">
        <v>2940.2</v>
      </c>
      <c r="C106" s="2" t="n">
        <v>2862.3</v>
      </c>
      <c r="D106" s="2" t="n">
        <v>312.5</v>
      </c>
      <c r="E106" s="2" t="n">
        <v>928.4</v>
      </c>
      <c r="F106" s="2" t="n">
        <v>24.9</v>
      </c>
      <c r="G106" s="2" t="n">
        <v>52.6</v>
      </c>
      <c r="H106" s="2" t="inlineStr">
        <is>
          <t>NA</t>
        </is>
      </c>
      <c r="I106" s="2" t="inlineStr">
        <is>
          <t>NA</t>
        </is>
      </c>
      <c r="J106" s="2" t="inlineStr">
        <is>
          <t>NA</t>
        </is>
      </c>
      <c r="K106" s="2" t="n">
        <v>1087.5</v>
      </c>
      <c r="L106" s="2" t="n">
        <v>2570.3</v>
      </c>
      <c r="M106" s="2" t="n">
        <v>2282.2</v>
      </c>
      <c r="N106" s="2" t="n">
        <v>288.1</v>
      </c>
      <c r="O106" s="2" t="n">
        <v>105.8</v>
      </c>
      <c r="P106" s="2" t="n">
        <v>197.8</v>
      </c>
      <c r="Q106" s="2" t="n">
        <v>65.59999999999999</v>
      </c>
      <c r="R106" s="2" t="n">
        <v>132.2</v>
      </c>
      <c r="T106" s="2" t="n">
        <v>19.5</v>
      </c>
      <c r="U106" s="2" t="n">
        <v>19.3</v>
      </c>
      <c r="V106" s="2" t="n">
        <v>15.1</v>
      </c>
      <c r="W106" s="2" t="n">
        <v>4.2</v>
      </c>
      <c r="X106" s="2" t="n">
        <v>44.4</v>
      </c>
      <c r="Y106" s="2" t="n">
        <v>7.8</v>
      </c>
      <c r="Z106" s="2" t="n">
        <v>110.8</v>
      </c>
      <c r="AA106" s="2" t="n">
        <v>106.9</v>
      </c>
      <c r="AB106" s="2" t="n">
        <v>3.9</v>
      </c>
      <c r="AC106" s="2" t="inlineStr">
        <is>
          <t>NA</t>
        </is>
      </c>
      <c r="AD106" s="2" t="inlineStr">
        <is>
          <t>NA</t>
        </is>
      </c>
      <c r="AG106" s="2" t="inlineStr">
        <is>
          <t>NA</t>
        </is>
      </c>
      <c r="AH106" s="2" t="inlineStr">
        <is>
          <t>NA</t>
        </is>
      </c>
      <c r="AI106" s="2" t="n">
        <v>125.6</v>
      </c>
      <c r="AL106" s="2" t="n">
        <v>126.4</v>
      </c>
      <c r="AM106" s="2" t="n">
        <v>79.90000000000001</v>
      </c>
      <c r="AN106" s="2" t="n">
        <v>46.5</v>
      </c>
      <c r="AO106" s="2" t="n">
        <v>2216.7</v>
      </c>
      <c r="AP106" s="2" t="n">
        <v>217.2</v>
      </c>
      <c r="AQ106" s="2" t="n">
        <v>123.2</v>
      </c>
      <c r="AR106" s="2" t="n">
        <v>38.4</v>
      </c>
      <c r="AS106" s="2" t="n">
        <v>144</v>
      </c>
      <c r="AT106" s="2" t="n">
        <v>110</v>
      </c>
      <c r="AU106" s="2" t="n">
        <v>81.8</v>
      </c>
      <c r="AV106" s="2" t="n">
        <v>89.5</v>
      </c>
      <c r="AW106" s="2" t="n">
        <v>14.4</v>
      </c>
      <c r="AX106" s="2" t="n">
        <v>5.2</v>
      </c>
      <c r="AY106" s="2" t="n">
        <v>26.1</v>
      </c>
      <c r="AZ106" s="2" t="n">
        <v>4.3</v>
      </c>
      <c r="BA106" s="2" t="inlineStr">
        <is>
          <t>NA</t>
        </is>
      </c>
      <c r="BB106" s="2" t="inlineStr">
        <is>
          <t>NA</t>
        </is>
      </c>
      <c r="BD106" s="2" t="n">
        <v>112.5</v>
      </c>
      <c r="BE106" s="2" t="n">
        <v>43.3</v>
      </c>
      <c r="BH106" s="2" t="n">
        <v>347.8</v>
      </c>
      <c r="BK106" s="2" t="n">
        <v>163.1</v>
      </c>
      <c r="BL106" s="2" t="n">
        <v>6.5</v>
      </c>
      <c r="BM106" s="2" t="n">
        <v>517.4</v>
      </c>
      <c r="BN106" s="2" t="n">
        <v>387.8</v>
      </c>
      <c r="BQ106" s="2" t="n">
        <v>73.3</v>
      </c>
      <c r="BR106" s="2" t="n">
        <v>4.8</v>
      </c>
      <c r="BS106" s="2" t="n">
        <v>465.9</v>
      </c>
      <c r="BT106" s="2" t="n">
        <v>74</v>
      </c>
      <c r="BU106" s="2" t="n">
        <v>31.9</v>
      </c>
      <c r="BV106" s="2" t="n">
        <v>327.6</v>
      </c>
      <c r="BW106" s="2" t="n">
        <v>121.3</v>
      </c>
      <c r="BX106" s="2" t="n">
        <v>460.7</v>
      </c>
      <c r="BY106" s="2" t="n">
        <v>46.5</v>
      </c>
      <c r="BZ106" s="2" t="n">
        <v>8.199999999999999</v>
      </c>
      <c r="CA106" s="2" t="n">
        <v>54.7</v>
      </c>
      <c r="CF106" s="2" t="n">
        <v>119.3</v>
      </c>
      <c r="CG106" s="2" t="n">
        <v>138.7</v>
      </c>
      <c r="CH106" s="2" t="n">
        <v>27.2</v>
      </c>
      <c r="CN106" s="2" t="n">
        <v>63.5</v>
      </c>
      <c r="CO106" s="2" t="n">
        <v>353.6</v>
      </c>
      <c r="CP106" s="2" t="n">
        <v>302.8</v>
      </c>
      <c r="CQ106" s="2" t="n">
        <v>50.8</v>
      </c>
      <c r="CR106" s="2" t="inlineStr">
        <is>
          <t>NA</t>
        </is>
      </c>
      <c r="CS106" s="2" t="n">
        <v>40.8</v>
      </c>
      <c r="CT106" s="2" t="n">
        <v>32</v>
      </c>
      <c r="CU106" s="2" t="n">
        <v>8.800000000000001</v>
      </c>
      <c r="CV106" s="2" t="n">
        <v>51.09999999999999</v>
      </c>
      <c r="CW106" s="2" t="n">
        <v>14.7</v>
      </c>
      <c r="CX106" s="2" t="n">
        <v>36.4</v>
      </c>
      <c r="CY106" s="2" t="n">
        <v>8.9</v>
      </c>
      <c r="CZ106" s="2" t="n">
        <v>90.7</v>
      </c>
      <c r="DA106" s="2" t="n">
        <v>31.1</v>
      </c>
      <c r="DB106" s="2" t="n">
        <v>29.6</v>
      </c>
      <c r="DC106" s="2" t="n">
        <v>1.5</v>
      </c>
      <c r="DG106" s="2" t="n">
        <v>115.3</v>
      </c>
      <c r="DI106" s="2" t="n">
        <v>574.4</v>
      </c>
      <c r="DJ106" s="2" t="n">
        <v>166.9</v>
      </c>
      <c r="DK106" s="2" t="n">
        <v>445.3</v>
      </c>
      <c r="DL106" s="2" t="n">
        <v>133.8</v>
      </c>
      <c r="DM106" s="2" t="n">
        <v>211.2</v>
      </c>
      <c r="DO106" s="2" t="n">
        <v>106.6</v>
      </c>
      <c r="DP106" s="2" t="n">
        <v>170.9</v>
      </c>
      <c r="DS106" s="2" t="n">
        <v>841.3</v>
      </c>
      <c r="DT106" s="2" t="n">
        <v>2940.2</v>
      </c>
      <c r="DU106" s="2" t="n">
        <v>-289.8000000000002</v>
      </c>
      <c r="DV106" s="2" t="n">
        <v>0</v>
      </c>
      <c r="GZ106" s="2" t="n">
        <v>894.1</v>
      </c>
      <c r="IN106" s="2" t="n">
        <v>119.2</v>
      </c>
      <c r="IY106" s="2" t="n">
        <v>47.74981293789538</v>
      </c>
      <c r="IZ106" s="2" t="n">
        <v>0.06981293789537801</v>
      </c>
      <c r="JB106" s="2" t="n">
        <v>11.09618393306578</v>
      </c>
      <c r="JC106" s="2" t="n">
        <v>-0.04381606693422135</v>
      </c>
      <c r="JE106" s="2" t="n">
        <v>2570.3</v>
      </c>
      <c r="JF106" s="2" t="n">
        <v>0.3568237170758278</v>
      </c>
    </row>
    <row r="107">
      <c r="A107" s="1" t="n">
        <v>32295</v>
      </c>
      <c r="B107" s="2" t="n">
        <v>2676.9</v>
      </c>
      <c r="C107" s="2" t="n">
        <v>2703.1</v>
      </c>
      <c r="D107" s="2" t="n">
        <v>275.5</v>
      </c>
      <c r="E107" s="2" t="n">
        <v>631.2</v>
      </c>
      <c r="F107" s="2" t="n">
        <v>16.6</v>
      </c>
      <c r="G107" s="2" t="n">
        <v>70.09999999999999</v>
      </c>
      <c r="H107" s="2" t="n">
        <v>45.3</v>
      </c>
      <c r="I107" s="2" t="inlineStr">
        <is>
          <t>NA</t>
        </is>
      </c>
      <c r="J107" s="2" t="inlineStr">
        <is>
          <t>NA</t>
        </is>
      </c>
      <c r="K107" s="2" t="n">
        <v>996.4</v>
      </c>
      <c r="L107" s="2" t="n">
        <v>2361</v>
      </c>
      <c r="M107" s="2" t="n">
        <v>2088.8</v>
      </c>
      <c r="N107" s="2" t="n">
        <v>272.2</v>
      </c>
      <c r="O107" s="2" t="n">
        <v>91.2</v>
      </c>
      <c r="P107" s="2" t="n">
        <v>175.6</v>
      </c>
      <c r="Q107" s="2" t="n">
        <v>76.7</v>
      </c>
      <c r="R107" s="2" t="n">
        <v>98.90000000000001</v>
      </c>
      <c r="T107" s="2" t="n">
        <v>12.5</v>
      </c>
      <c r="U107" s="2" t="n">
        <v>19.4</v>
      </c>
      <c r="V107" s="2" t="n">
        <v>15.1</v>
      </c>
      <c r="W107" s="2" t="n">
        <v>4.3</v>
      </c>
      <c r="X107" s="2" t="n">
        <v>58.9</v>
      </c>
      <c r="Y107" s="2" t="n">
        <v>5.4</v>
      </c>
      <c r="Z107" s="2" t="n">
        <v>131.8</v>
      </c>
      <c r="AA107" s="2" t="n">
        <v>129.5</v>
      </c>
      <c r="AB107" s="2" t="n">
        <v>2.3</v>
      </c>
      <c r="AC107" s="2" t="inlineStr">
        <is>
          <t>NA</t>
        </is>
      </c>
      <c r="AD107" s="2" t="inlineStr">
        <is>
          <t>NA</t>
        </is>
      </c>
      <c r="AG107" s="2" t="inlineStr">
        <is>
          <t>NA</t>
        </is>
      </c>
      <c r="AH107" s="2" t="inlineStr">
        <is>
          <t>NA</t>
        </is>
      </c>
      <c r="AI107" s="2" t="n">
        <v>125.4</v>
      </c>
      <c r="AL107" s="2" t="n">
        <v>107.4</v>
      </c>
      <c r="AM107" s="2" t="n">
        <v>69.90000000000001</v>
      </c>
      <c r="AN107" s="2" t="n">
        <v>37.5</v>
      </c>
      <c r="AO107" s="2" t="n">
        <v>2016.3</v>
      </c>
      <c r="AP107" s="2" t="n">
        <v>259.6</v>
      </c>
      <c r="AQ107" s="2" t="n">
        <v>112.7</v>
      </c>
      <c r="AR107" s="2" t="n">
        <v>34.8</v>
      </c>
      <c r="AS107" s="2" t="n">
        <v>124.7</v>
      </c>
      <c r="AT107" s="2" t="n">
        <v>93.5</v>
      </c>
      <c r="AU107" s="2" t="n">
        <v>72.3</v>
      </c>
      <c r="AV107" s="2" t="n">
        <v>61.5</v>
      </c>
      <c r="AW107" s="2" t="n">
        <v>10.2</v>
      </c>
      <c r="AX107" s="2" t="n">
        <v>3.6</v>
      </c>
      <c r="AY107" s="2" t="n">
        <v>32.1</v>
      </c>
      <c r="AZ107" s="2" t="inlineStr">
        <is>
          <t>NA</t>
        </is>
      </c>
      <c r="BA107" s="2" t="inlineStr">
        <is>
          <t>NA</t>
        </is>
      </c>
      <c r="BB107" s="2" t="inlineStr">
        <is>
          <t>NA</t>
        </is>
      </c>
      <c r="BD107" s="2" t="n">
        <v>94.7</v>
      </c>
      <c r="BE107" s="2" t="n">
        <v>52.5</v>
      </c>
      <c r="BH107" s="2" t="n">
        <v>334.8</v>
      </c>
      <c r="BK107" s="2" t="n">
        <v>175.8</v>
      </c>
      <c r="BL107" s="2" t="n">
        <v>6.6</v>
      </c>
      <c r="BM107" s="2" t="n">
        <v>517.2</v>
      </c>
      <c r="BN107" s="2" t="n">
        <v>376.4</v>
      </c>
      <c r="BQ107" s="2" t="n">
        <v>76.7</v>
      </c>
      <c r="BR107" s="2" t="n">
        <v>4.4</v>
      </c>
      <c r="BS107" s="2" t="n">
        <v>457.4999999999999</v>
      </c>
      <c r="BT107" s="2" t="n">
        <v>74</v>
      </c>
      <c r="BU107" s="2" t="n">
        <v>37.8</v>
      </c>
      <c r="BV107" s="2" t="n">
        <v>320</v>
      </c>
      <c r="BW107" s="2" t="n">
        <v>107.7</v>
      </c>
      <c r="BX107" s="2" t="n">
        <v>439.9</v>
      </c>
      <c r="BY107" s="2" t="n">
        <v>63.6</v>
      </c>
      <c r="BZ107" s="2" t="n">
        <v>7.2</v>
      </c>
      <c r="CA107" s="2" t="n">
        <v>70.8</v>
      </c>
      <c r="CF107" s="2" t="n">
        <v>117.1</v>
      </c>
      <c r="CG107" s="2" t="n">
        <v>145.3</v>
      </c>
      <c r="CH107" s="2" t="n">
        <v>22.7</v>
      </c>
      <c r="CN107" s="2" t="n">
        <v>62.1</v>
      </c>
      <c r="CO107" s="2" t="n">
        <v>336.6</v>
      </c>
      <c r="CP107" s="2" t="n">
        <v>284.9</v>
      </c>
      <c r="CQ107" s="2" t="n">
        <v>51.7</v>
      </c>
      <c r="CR107" s="2" t="inlineStr">
        <is>
          <t>NA</t>
        </is>
      </c>
      <c r="CS107" s="2" t="n">
        <v>35.6</v>
      </c>
      <c r="CT107" s="2" t="n">
        <v>23.7</v>
      </c>
      <c r="CU107" s="2" t="n">
        <v>11.9</v>
      </c>
      <c r="CV107" s="2" t="n">
        <v>48.3</v>
      </c>
      <c r="CW107" s="2" t="n">
        <v>16</v>
      </c>
      <c r="CX107" s="2" t="n">
        <v>32.3</v>
      </c>
      <c r="CY107" s="2" t="n">
        <v>15.3</v>
      </c>
      <c r="CZ107" s="2" t="n">
        <v>89.40000000000001</v>
      </c>
      <c r="DA107" s="2" t="n">
        <v>32</v>
      </c>
      <c r="DB107" s="2" t="n">
        <v>30.7</v>
      </c>
      <c r="DC107" s="2" t="n">
        <v>1.3</v>
      </c>
      <c r="DG107" s="2" t="n">
        <v>111.3</v>
      </c>
      <c r="DI107" s="2" t="n">
        <v>509</v>
      </c>
      <c r="DJ107" s="2" t="n">
        <v>167.9</v>
      </c>
      <c r="DK107" s="2" t="n">
        <v>448.6</v>
      </c>
      <c r="DL107" s="2" t="n">
        <v>122.6</v>
      </c>
      <c r="DM107" s="2" t="n">
        <v>200.7</v>
      </c>
      <c r="DO107" s="2" t="n">
        <v>90.7</v>
      </c>
      <c r="DP107" s="2" t="n">
        <v>168.2</v>
      </c>
      <c r="DS107" s="2" t="n">
        <v>695.2</v>
      </c>
      <c r="DT107" s="2" t="n">
        <v>2676.9</v>
      </c>
      <c r="DU107" s="2" t="n">
        <v>-274</v>
      </c>
      <c r="DV107" s="2" t="n">
        <v>0</v>
      </c>
      <c r="GZ107" s="2" t="n">
        <v>890.1</v>
      </c>
      <c r="IN107" s="2" t="n">
        <v>103.3</v>
      </c>
      <c r="IY107" s="2" t="n">
        <v>47.7193768911801</v>
      </c>
      <c r="IZ107" s="2" t="n">
        <v>-0.01062310881989958</v>
      </c>
      <c r="JB107" s="2" t="n">
        <v>11.16664798834473</v>
      </c>
      <c r="JC107" s="2" t="n">
        <v>-0.04335201165527458</v>
      </c>
      <c r="JE107" s="2" t="n">
        <v>2361</v>
      </c>
      <c r="JF107" s="2" t="n">
        <v>0.3552227869546802</v>
      </c>
    </row>
    <row r="108">
      <c r="A108" s="1" t="n">
        <v>32325</v>
      </c>
      <c r="B108" s="2" t="n">
        <v>2640.6</v>
      </c>
      <c r="C108" s="2" t="n">
        <v>1987.3</v>
      </c>
      <c r="D108" s="2" t="n">
        <v>263.6</v>
      </c>
      <c r="E108" s="2" t="n">
        <v>358.9</v>
      </c>
      <c r="F108" s="2" t="n">
        <v>23.1</v>
      </c>
      <c r="G108" s="2" t="n">
        <v>80.7</v>
      </c>
      <c r="H108" s="2" t="inlineStr">
        <is>
          <t>NA</t>
        </is>
      </c>
      <c r="I108" s="2" t="inlineStr">
        <is>
          <t>NA</t>
        </is>
      </c>
      <c r="J108" s="2" t="inlineStr">
        <is>
          <t>NA</t>
        </is>
      </c>
      <c r="K108" s="2" t="n">
        <v>994.2</v>
      </c>
      <c r="L108" s="2" t="n">
        <v>2203.4</v>
      </c>
      <c r="M108" s="2" t="n">
        <v>1895.2</v>
      </c>
      <c r="N108" s="2" t="n">
        <v>308.2</v>
      </c>
      <c r="O108" s="2" t="n">
        <v>91</v>
      </c>
      <c r="P108" s="2" t="n">
        <v>176</v>
      </c>
      <c r="Q108" s="2" t="n">
        <v>70</v>
      </c>
      <c r="R108" s="2" t="n">
        <v>106</v>
      </c>
      <c r="T108" s="2" t="n">
        <v>17</v>
      </c>
      <c r="U108" s="2" t="n">
        <v>23.8</v>
      </c>
      <c r="V108" s="2" t="n">
        <v>20</v>
      </c>
      <c r="W108" s="2" t="n">
        <v>3.8</v>
      </c>
      <c r="X108" s="2" t="n">
        <v>68.09999999999999</v>
      </c>
      <c r="Y108" s="2" t="n">
        <v>8.5</v>
      </c>
      <c r="Z108" s="2" t="n">
        <v>167.3</v>
      </c>
      <c r="AA108" s="2" t="n">
        <v>165.5</v>
      </c>
      <c r="AB108" s="2" t="n">
        <v>1.8</v>
      </c>
      <c r="AC108" s="2" t="inlineStr">
        <is>
          <t>NA</t>
        </is>
      </c>
      <c r="AD108" s="2" t="inlineStr">
        <is>
          <t>NA</t>
        </is>
      </c>
      <c r="AG108" s="2" t="inlineStr">
        <is>
          <t>NA</t>
        </is>
      </c>
      <c r="AH108" s="2" t="inlineStr">
        <is>
          <t>NA</t>
        </is>
      </c>
      <c r="AI108" s="2" t="n">
        <v>131.7</v>
      </c>
      <c r="AL108" s="2" t="n">
        <v>123.9</v>
      </c>
      <c r="AM108" s="2" t="n">
        <v>79.8</v>
      </c>
      <c r="AN108" s="2" t="n">
        <v>44.1</v>
      </c>
      <c r="AO108" s="2" t="n">
        <v>1996.5</v>
      </c>
      <c r="AP108" s="2" t="n">
        <v>389</v>
      </c>
      <c r="AQ108" s="2" t="n">
        <v>113.8</v>
      </c>
      <c r="AR108" s="2" t="n">
        <v>48.5</v>
      </c>
      <c r="AS108" s="2" t="n">
        <v>120.6</v>
      </c>
      <c r="AT108" s="2" t="n">
        <v>106.8</v>
      </c>
      <c r="AU108" s="2" t="n">
        <v>70.5</v>
      </c>
      <c r="AV108" s="2" t="n">
        <v>72.40000000000001</v>
      </c>
      <c r="AW108" s="2" t="n">
        <v>14</v>
      </c>
      <c r="AX108" s="2" t="n">
        <v>4</v>
      </c>
      <c r="AY108" s="2" t="n">
        <v>39.1</v>
      </c>
      <c r="AZ108" s="2" t="inlineStr">
        <is>
          <t>NA</t>
        </is>
      </c>
      <c r="BA108" s="2" t="inlineStr">
        <is>
          <t>NA</t>
        </is>
      </c>
      <c r="BB108" s="2" t="inlineStr">
        <is>
          <t>NA</t>
        </is>
      </c>
      <c r="BD108" s="2" t="n">
        <v>100.3</v>
      </c>
      <c r="BE108" s="2" t="n">
        <v>58.6</v>
      </c>
      <c r="BH108" s="2" t="n">
        <v>342</v>
      </c>
      <c r="BK108" s="2" t="n">
        <v>157.4</v>
      </c>
      <c r="BL108" s="2" t="n">
        <v>4.4</v>
      </c>
      <c r="BM108" s="2" t="n">
        <v>503.8</v>
      </c>
      <c r="BN108" s="2" t="n">
        <v>334.7</v>
      </c>
      <c r="BQ108" s="2" t="n">
        <v>84.3</v>
      </c>
      <c r="BR108" s="2" t="n">
        <v>5.5</v>
      </c>
      <c r="BS108" s="2" t="n">
        <v>424.5</v>
      </c>
      <c r="BT108" s="2" t="n">
        <v>69</v>
      </c>
      <c r="BU108" s="2" t="n">
        <v>41.1</v>
      </c>
      <c r="BV108" s="2" t="n">
        <v>325</v>
      </c>
      <c r="BW108" s="2" t="n">
        <v>112.9</v>
      </c>
      <c r="BX108" s="2" t="n">
        <v>446.3</v>
      </c>
      <c r="BY108" s="2" t="n">
        <v>74.40000000000001</v>
      </c>
      <c r="BZ108" s="2" t="n">
        <v>9.800000000000001</v>
      </c>
      <c r="CA108" s="2" t="n">
        <v>84.2</v>
      </c>
      <c r="CF108" s="2" t="n">
        <v>124.2</v>
      </c>
      <c r="CG108" s="2" t="n">
        <v>148.8</v>
      </c>
      <c r="CH108" s="2" t="n">
        <v>22.2</v>
      </c>
      <c r="CN108" s="2" t="n">
        <v>63</v>
      </c>
      <c r="CO108" s="2" t="n">
        <v>287.5</v>
      </c>
      <c r="CP108" s="2" t="n">
        <v>229.2</v>
      </c>
      <c r="CQ108" s="2" t="n">
        <v>58.3</v>
      </c>
      <c r="CR108" s="2" t="inlineStr">
        <is>
          <t>NA</t>
        </is>
      </c>
      <c r="CS108" s="2" t="n">
        <v>36</v>
      </c>
      <c r="CT108" s="2" t="n">
        <v>19.1</v>
      </c>
      <c r="CU108" s="2" t="n">
        <v>16.9</v>
      </c>
      <c r="CV108" s="2" t="n">
        <v>55</v>
      </c>
      <c r="CW108" s="2" t="n">
        <v>17.8</v>
      </c>
      <c r="CX108" s="2" t="n">
        <v>37.2</v>
      </c>
      <c r="CY108" s="2" t="n">
        <v>11.4</v>
      </c>
      <c r="CZ108" s="2" t="n">
        <v>92.8</v>
      </c>
      <c r="DA108" s="2" t="n">
        <v>21.8</v>
      </c>
      <c r="DB108" s="2" t="n">
        <v>19.9</v>
      </c>
      <c r="DC108" s="2" t="n">
        <v>1.9</v>
      </c>
      <c r="DG108" s="2" t="n">
        <v>111.3</v>
      </c>
      <c r="DI108" s="2" t="n">
        <v>526.8</v>
      </c>
      <c r="DJ108" s="2" t="n">
        <v>159.3</v>
      </c>
      <c r="DK108" s="2" t="n">
        <v>387</v>
      </c>
      <c r="DL108" s="2" t="n">
        <v>116.9</v>
      </c>
      <c r="DM108" s="2" t="n">
        <v>202.4</v>
      </c>
      <c r="DO108" s="2" t="n">
        <v>96.40000000000001</v>
      </c>
      <c r="DP108" s="2" t="n">
        <v>178.9</v>
      </c>
      <c r="DS108" s="2" t="n">
        <v>692.8</v>
      </c>
      <c r="DT108" s="2" t="n">
        <v>2640.6</v>
      </c>
      <c r="DU108" s="2" t="n">
        <v>-280.0999999999999</v>
      </c>
      <c r="DV108" s="2" t="n">
        <v>0</v>
      </c>
      <c r="GZ108" s="2" t="n">
        <v>947.4</v>
      </c>
      <c r="IN108" s="2" t="n">
        <v>109.6</v>
      </c>
      <c r="IY108" s="2" t="n">
        <v>47.95046580322654</v>
      </c>
      <c r="IZ108" s="2" t="n">
        <v>0.01046580322654478</v>
      </c>
      <c r="JB108" s="2" t="n">
        <v>11.29516019086571</v>
      </c>
      <c r="JC108" s="2" t="n">
        <v>-0.02483980913428674</v>
      </c>
      <c r="JE108" s="2" t="n">
        <v>2203.4</v>
      </c>
      <c r="JF108" s="2" t="n">
        <v>0.3519156757738041</v>
      </c>
    </row>
    <row r="109">
      <c r="A109" s="1" t="n">
        <v>32356</v>
      </c>
      <c r="B109" s="2" t="n">
        <v>2348</v>
      </c>
      <c r="C109" s="2" t="n">
        <v>1792</v>
      </c>
      <c r="D109" s="2" t="n">
        <v>216.8</v>
      </c>
      <c r="E109" s="2" t="n">
        <v>369.1</v>
      </c>
      <c r="F109" s="2" t="n">
        <v>13.3</v>
      </c>
      <c r="G109" s="2" t="n">
        <v>52.8</v>
      </c>
      <c r="H109" s="2" t="inlineStr">
        <is>
          <t>NA</t>
        </is>
      </c>
      <c r="I109" s="2" t="inlineStr">
        <is>
          <t>NA</t>
        </is>
      </c>
      <c r="J109" s="2" t="inlineStr">
        <is>
          <t>NA</t>
        </is>
      </c>
      <c r="K109" s="2" t="n">
        <v>878.6</v>
      </c>
      <c r="L109" s="2" t="n">
        <v>2212.4</v>
      </c>
      <c r="M109" s="2" t="n">
        <v>1959.6</v>
      </c>
      <c r="N109" s="2" t="n">
        <v>252.8</v>
      </c>
      <c r="O109" s="2" t="n">
        <v>72.7</v>
      </c>
      <c r="P109" s="2" t="n">
        <v>172.9</v>
      </c>
      <c r="Q109" s="2" t="n">
        <v>85.40000000000001</v>
      </c>
      <c r="R109" s="2" t="n">
        <v>87.5</v>
      </c>
      <c r="T109" s="2" t="n">
        <v>11.4</v>
      </c>
      <c r="U109" s="2" t="n">
        <v>19.5</v>
      </c>
      <c r="V109" s="2" t="n">
        <v>17.3</v>
      </c>
      <c r="W109" s="2" t="n">
        <v>2.2</v>
      </c>
      <c r="X109" s="2" t="n">
        <v>45.8</v>
      </c>
      <c r="Y109" s="2" t="n">
        <v>8</v>
      </c>
      <c r="Z109" s="2" t="n">
        <v>213.7</v>
      </c>
      <c r="AA109" s="2" t="n">
        <v>210.8</v>
      </c>
      <c r="AB109" s="2" t="n">
        <v>2.9</v>
      </c>
      <c r="AC109" s="2" t="inlineStr">
        <is>
          <t>NA</t>
        </is>
      </c>
      <c r="AD109" s="2" t="inlineStr">
        <is>
          <t>NA</t>
        </is>
      </c>
      <c r="AG109" s="2" t="inlineStr">
        <is>
          <t>NA</t>
        </is>
      </c>
      <c r="AH109" s="2" t="inlineStr">
        <is>
          <t>NA</t>
        </is>
      </c>
      <c r="AI109" s="2" t="n">
        <v>132.1</v>
      </c>
      <c r="AL109" s="2" t="n">
        <v>112.9</v>
      </c>
      <c r="AM109" s="2" t="n">
        <v>75.3</v>
      </c>
      <c r="AN109" s="2" t="n">
        <v>37.6</v>
      </c>
      <c r="AO109" s="2" t="n">
        <v>1766.5</v>
      </c>
      <c r="AP109" s="2" t="n">
        <v>227.1</v>
      </c>
      <c r="AQ109" s="2" t="n">
        <v>106.1</v>
      </c>
      <c r="AR109" s="2" t="n">
        <v>37.5</v>
      </c>
      <c r="AS109" s="2" t="n">
        <v>100.7</v>
      </c>
      <c r="AT109" s="2" t="n">
        <v>86.59999999999999</v>
      </c>
      <c r="AU109" s="2" t="n">
        <v>60.1</v>
      </c>
      <c r="AV109" s="2" t="n">
        <v>57.8</v>
      </c>
      <c r="AW109" s="2" t="n">
        <v>7.6</v>
      </c>
      <c r="AX109" s="2" t="n">
        <v>4.2</v>
      </c>
      <c r="AY109" s="2" t="n">
        <v>24.3</v>
      </c>
      <c r="AZ109" s="2" t="inlineStr">
        <is>
          <t>NA</t>
        </is>
      </c>
      <c r="BA109" s="2" t="inlineStr">
        <is>
          <t>NA</t>
        </is>
      </c>
      <c r="BB109" s="2" t="inlineStr">
        <is>
          <t>NA</t>
        </is>
      </c>
      <c r="BD109" s="2" t="n">
        <v>116.3</v>
      </c>
      <c r="BE109" s="2" t="n">
        <v>58</v>
      </c>
      <c r="BH109" s="2" t="n">
        <v>369.3</v>
      </c>
      <c r="BK109" s="2" t="n">
        <v>168</v>
      </c>
      <c r="BL109" s="2" t="n">
        <v>9.300000000000001</v>
      </c>
      <c r="BM109" s="2" t="n">
        <v>546.5</v>
      </c>
      <c r="BN109" s="2" t="n">
        <v>412.9</v>
      </c>
      <c r="BQ109" s="2" t="n">
        <v>96.2</v>
      </c>
      <c r="BR109" s="2" t="n">
        <v>5.6</v>
      </c>
      <c r="BS109" s="2" t="n">
        <v>514.6999999999999</v>
      </c>
      <c r="BT109" s="2" t="n">
        <v>79</v>
      </c>
      <c r="BU109" s="2" t="n">
        <v>30.1</v>
      </c>
      <c r="BV109" s="2" t="n">
        <v>380.7</v>
      </c>
      <c r="BW109" s="2" t="n">
        <v>116.1</v>
      </c>
      <c r="BX109" s="2" t="n">
        <v>506.3</v>
      </c>
      <c r="BY109" s="2" t="n">
        <v>54.5</v>
      </c>
      <c r="BZ109" s="2" t="n">
        <v>16.8</v>
      </c>
      <c r="CA109" s="2" t="n">
        <v>71.3</v>
      </c>
      <c r="CF109" s="2" t="n">
        <v>116.4</v>
      </c>
      <c r="CG109" s="2" t="n">
        <v>115</v>
      </c>
      <c r="CH109" s="2" t="n">
        <v>22.9</v>
      </c>
      <c r="CN109" s="2" t="n">
        <v>57</v>
      </c>
      <c r="CO109" s="2" t="n">
        <v>335</v>
      </c>
      <c r="CP109" s="2" t="n">
        <v>280.3</v>
      </c>
      <c r="CQ109" s="2" t="n">
        <v>54.7</v>
      </c>
      <c r="CR109" s="2" t="inlineStr">
        <is>
          <t>NA</t>
        </is>
      </c>
      <c r="CS109" s="2" t="n">
        <v>44.8</v>
      </c>
      <c r="CT109" s="2" t="n">
        <v>29.3</v>
      </c>
      <c r="CU109" s="2" t="n">
        <v>15.5</v>
      </c>
      <c r="CV109" s="2" t="n">
        <v>43.7</v>
      </c>
      <c r="CW109" s="2" t="n">
        <v>16.3</v>
      </c>
      <c r="CX109" s="2" t="n">
        <v>27.4</v>
      </c>
      <c r="CY109" s="2" t="inlineStr">
        <is>
          <t>NA</t>
        </is>
      </c>
      <c r="CZ109" s="2" t="n">
        <v>88.59999999999999</v>
      </c>
      <c r="DA109" s="2" t="n">
        <v>35.40000000000001</v>
      </c>
      <c r="DB109" s="2" t="n">
        <v>33.7</v>
      </c>
      <c r="DC109" s="2" t="n">
        <v>1.7</v>
      </c>
      <c r="DG109" s="2" t="n">
        <v>97.8</v>
      </c>
      <c r="DI109" s="2" t="n">
        <v>360.4</v>
      </c>
      <c r="DK109" s="2" t="n">
        <v>417</v>
      </c>
      <c r="DM109" s="2" t="n">
        <v>199.4</v>
      </c>
      <c r="DO109" s="2" t="n">
        <v>125.2</v>
      </c>
      <c r="DP109" s="2" t="n">
        <v>183.6</v>
      </c>
      <c r="DS109" s="2" t="n">
        <v>618.1</v>
      </c>
      <c r="DT109" s="2" t="n">
        <v>2438</v>
      </c>
      <c r="DU109" s="2" t="n">
        <v>-534.3000000000002</v>
      </c>
      <c r="DV109" s="2" t="n">
        <v>90</v>
      </c>
      <c r="GZ109" s="2" t="n">
        <v>903.6</v>
      </c>
      <c r="IN109" s="2" t="n">
        <v>83.2</v>
      </c>
      <c r="IY109" s="2" t="n">
        <v>47.85178875638842</v>
      </c>
      <c r="IZ109" s="2" t="n">
        <v>0.07178875638841475</v>
      </c>
      <c r="JB109" s="2" t="n">
        <v>11.22572402044293</v>
      </c>
      <c r="JC109" s="2" t="n">
        <v>0.03572402044293099</v>
      </c>
      <c r="JE109" s="2" t="n">
        <v>2212.4</v>
      </c>
      <c r="JF109" s="2" t="n">
        <v>0.2886128186584704</v>
      </c>
    </row>
    <row r="110">
      <c r="A110" s="1" t="n">
        <v>32387</v>
      </c>
      <c r="B110" s="2" t="n">
        <v>2396.7</v>
      </c>
      <c r="C110" s="2" t="n">
        <v>1841.5</v>
      </c>
      <c r="D110" s="2" t="n">
        <v>179.5</v>
      </c>
      <c r="E110" s="2" t="n">
        <v>607.2</v>
      </c>
      <c r="F110" s="2" t="n">
        <v>3.4</v>
      </c>
      <c r="G110" s="2" t="n">
        <v>32.3</v>
      </c>
      <c r="H110" s="2" t="n">
        <v>7.2</v>
      </c>
      <c r="I110" s="2" t="inlineStr">
        <is>
          <t>NA</t>
        </is>
      </c>
      <c r="J110" s="2" t="inlineStr">
        <is>
          <t>NA</t>
        </is>
      </c>
      <c r="K110" s="2" t="n">
        <v>901.3</v>
      </c>
      <c r="L110" s="2" t="n">
        <v>2092.2</v>
      </c>
      <c r="M110" s="2" t="n">
        <v>1833.9</v>
      </c>
      <c r="N110" s="2" t="n">
        <v>258.3</v>
      </c>
      <c r="O110" s="2" t="n">
        <v>56.9</v>
      </c>
      <c r="P110" s="2" t="n">
        <v>160.4</v>
      </c>
      <c r="Q110" s="2" t="n">
        <v>83.09999999999999</v>
      </c>
      <c r="R110" s="2" t="n">
        <v>77.3</v>
      </c>
      <c r="T110" s="2" t="n">
        <v>2.8</v>
      </c>
      <c r="U110" s="2" t="n">
        <v>14.7</v>
      </c>
      <c r="V110" s="2" t="n">
        <v>10.9</v>
      </c>
      <c r="W110" s="2" t="n">
        <v>3.8</v>
      </c>
      <c r="X110" s="2" t="n">
        <v>26.6</v>
      </c>
      <c r="Y110" s="2" t="n">
        <v>5.8</v>
      </c>
      <c r="Z110" s="2" t="n">
        <v>157.3</v>
      </c>
      <c r="AA110" s="2" t="n">
        <v>155.2</v>
      </c>
      <c r="AB110" s="2" t="n">
        <v>2.1</v>
      </c>
      <c r="AC110" s="2" t="inlineStr">
        <is>
          <t>NA</t>
        </is>
      </c>
      <c r="AD110" s="2" t="inlineStr">
        <is>
          <t>NA</t>
        </is>
      </c>
      <c r="AG110" s="2" t="inlineStr">
        <is>
          <t>NA</t>
        </is>
      </c>
      <c r="AH110" s="2" t="inlineStr">
        <is>
          <t>NA</t>
        </is>
      </c>
      <c r="AI110" s="2" t="n">
        <v>124.5</v>
      </c>
      <c r="AL110" s="2" t="n">
        <v>111.1</v>
      </c>
      <c r="AM110" s="2" t="n">
        <v>74.7</v>
      </c>
      <c r="AN110" s="2" t="n">
        <v>36.4</v>
      </c>
      <c r="AO110" s="2" t="n">
        <v>1789.5</v>
      </c>
      <c r="AP110" s="2" t="n">
        <v>122.4</v>
      </c>
      <c r="AQ110" s="2" t="n">
        <v>108.3</v>
      </c>
      <c r="AR110" s="2" t="n">
        <v>31.1</v>
      </c>
      <c r="AS110" s="2" t="n">
        <v>80.09999999999999</v>
      </c>
      <c r="AT110" s="2" t="n">
        <v>44.1</v>
      </c>
      <c r="AU110" s="2" t="n">
        <v>47.3</v>
      </c>
      <c r="AV110" s="2" t="n">
        <v>39.3</v>
      </c>
      <c r="AW110" s="2" t="n">
        <v>2</v>
      </c>
      <c r="AX110" s="2" t="n">
        <v>2.3</v>
      </c>
      <c r="AY110" s="2" t="n">
        <v>16.6</v>
      </c>
      <c r="AZ110" s="2" t="n">
        <v>4.5</v>
      </c>
      <c r="BA110" s="2" t="inlineStr">
        <is>
          <t>NA</t>
        </is>
      </c>
      <c r="BB110" s="2" t="inlineStr">
        <is>
          <t>NA</t>
        </is>
      </c>
      <c r="BD110" s="2" t="n">
        <v>113.8</v>
      </c>
      <c r="BE110" s="2" t="n">
        <v>56.6</v>
      </c>
      <c r="BH110" s="2" t="n">
        <v>383.4</v>
      </c>
      <c r="BK110" s="2" t="n">
        <v>174.9</v>
      </c>
      <c r="BL110" s="2" t="n">
        <v>4.7</v>
      </c>
      <c r="BM110" s="2" t="n">
        <v>563</v>
      </c>
      <c r="BN110" s="2" t="n">
        <v>320.7</v>
      </c>
      <c r="BQ110" s="2" t="n">
        <v>100.7</v>
      </c>
      <c r="BR110" s="2" t="n">
        <v>4.8</v>
      </c>
      <c r="BS110" s="2" t="n">
        <v>426.2</v>
      </c>
      <c r="BT110" s="2" t="n">
        <v>81</v>
      </c>
      <c r="BU110" s="2" t="n">
        <v>39</v>
      </c>
      <c r="BV110" s="2" t="n">
        <v>358.3</v>
      </c>
      <c r="BW110" s="2" t="n">
        <v>118.7</v>
      </c>
      <c r="BX110" s="2" t="n">
        <v>484.1</v>
      </c>
      <c r="BY110" s="2" t="n">
        <v>49.4</v>
      </c>
      <c r="BZ110" s="2" t="n">
        <v>19.1</v>
      </c>
      <c r="CA110" s="2" t="n">
        <v>68.5</v>
      </c>
      <c r="CF110" s="2" t="n">
        <v>125.6</v>
      </c>
      <c r="CG110" s="2" t="n">
        <v>109.7</v>
      </c>
      <c r="CH110" s="2" t="n">
        <v>22.3</v>
      </c>
      <c r="CN110" s="2" t="n">
        <v>46.3</v>
      </c>
      <c r="CO110" s="2" t="n">
        <v>333.3</v>
      </c>
      <c r="CP110" s="2" t="n">
        <v>287.1</v>
      </c>
      <c r="CQ110" s="2" t="n">
        <v>46.2</v>
      </c>
      <c r="CR110" s="2" t="inlineStr">
        <is>
          <t>NA</t>
        </is>
      </c>
      <c r="CS110" s="2" t="n">
        <v>24.4</v>
      </c>
      <c r="CT110" s="2" t="n">
        <v>15.8</v>
      </c>
      <c r="CU110" s="2" t="n">
        <v>8.6</v>
      </c>
      <c r="CV110" s="2" t="n">
        <v>62.3</v>
      </c>
      <c r="CW110" s="2" t="n">
        <v>32.3</v>
      </c>
      <c r="CX110" s="2" t="n">
        <v>30</v>
      </c>
      <c r="CY110" s="2" t="inlineStr">
        <is>
          <t>NA</t>
        </is>
      </c>
      <c r="CZ110" s="2" t="n">
        <v>82.09999999999999</v>
      </c>
      <c r="DA110" s="2" t="n">
        <v>50.9</v>
      </c>
      <c r="DB110" s="2" t="n">
        <v>45.5</v>
      </c>
      <c r="DC110" s="2" t="n">
        <v>5.4</v>
      </c>
      <c r="DI110" s="2" t="n">
        <v>486.5</v>
      </c>
      <c r="DJ110" s="2" t="n">
        <v>161.4</v>
      </c>
      <c r="DK110" s="2" t="n">
        <v>409.8</v>
      </c>
      <c r="DL110" s="2" t="n">
        <v>85.90000000000001</v>
      </c>
      <c r="DM110" s="2" t="n">
        <v>193.7</v>
      </c>
      <c r="DO110" s="2" t="n">
        <v>115.2</v>
      </c>
      <c r="DP110" s="2" t="n">
        <v>157.3</v>
      </c>
      <c r="DS110" s="2" t="n">
        <v>676</v>
      </c>
      <c r="DT110" s="2" t="n">
        <v>2396.7</v>
      </c>
      <c r="DU110" s="2" t="n">
        <v>-110.8999999999996</v>
      </c>
      <c r="DV110" s="2" t="n">
        <v>0</v>
      </c>
      <c r="GZ110" s="2" t="n">
        <v>838.7</v>
      </c>
      <c r="IN110" s="2" t="n">
        <v>61.7</v>
      </c>
      <c r="IY110" s="2" t="n">
        <v>47.51032669921141</v>
      </c>
      <c r="IZ110" s="2" t="n">
        <v>-0.01967330078858964</v>
      </c>
      <c r="JB110" s="2" t="n">
        <v>11.28176242333208</v>
      </c>
      <c r="JC110" s="2" t="n">
        <v>-0.02823757666791948</v>
      </c>
      <c r="JE110" s="2" t="n">
        <v>2092.2</v>
      </c>
      <c r="JF110" s="2" t="n">
        <v>0.2830800114711786</v>
      </c>
    </row>
    <row r="111">
      <c r="A111" s="1" t="n">
        <v>32417</v>
      </c>
      <c r="B111" s="2" t="n">
        <v>2833.4</v>
      </c>
      <c r="C111" s="2" t="n">
        <v>4097.4</v>
      </c>
      <c r="D111" s="2" t="n">
        <v>299.3</v>
      </c>
      <c r="E111" s="2" t="n">
        <v>1320.2</v>
      </c>
      <c r="F111" s="2" t="n">
        <v>12.5</v>
      </c>
      <c r="G111" s="2" t="n">
        <v>67.90000000000001</v>
      </c>
      <c r="H111" s="2" t="n">
        <v>58.1</v>
      </c>
      <c r="I111" s="2" t="inlineStr">
        <is>
          <t>NA</t>
        </is>
      </c>
      <c r="J111" s="2" t="inlineStr">
        <is>
          <t>NA</t>
        </is>
      </c>
      <c r="K111" s="2" t="n">
        <v>1047.4</v>
      </c>
      <c r="L111" s="2" t="n">
        <v>2046.2</v>
      </c>
      <c r="M111" s="2" t="n">
        <v>1783</v>
      </c>
      <c r="N111" s="2" t="n">
        <v>263.2</v>
      </c>
      <c r="O111" s="2" t="n">
        <v>98.59999999999999</v>
      </c>
      <c r="P111" s="2" t="n">
        <v>163.9</v>
      </c>
      <c r="Q111" s="2" t="n">
        <v>77.40000000000001</v>
      </c>
      <c r="R111" s="2" t="n">
        <v>86.5</v>
      </c>
      <c r="T111" s="2" t="n">
        <v>9.699999999999999</v>
      </c>
      <c r="U111" s="2" t="n">
        <v>7.7</v>
      </c>
      <c r="V111" s="2" t="n">
        <v>5.2</v>
      </c>
      <c r="W111" s="2" t="n">
        <v>2.5</v>
      </c>
      <c r="X111" s="2" t="n">
        <v>56</v>
      </c>
      <c r="Y111" s="2" t="n">
        <v>10.7</v>
      </c>
      <c r="Z111" s="2" t="n">
        <v>147.5</v>
      </c>
      <c r="AA111" s="2" t="n">
        <v>128.5</v>
      </c>
      <c r="AB111" s="2" t="n">
        <v>19</v>
      </c>
      <c r="AC111" s="2" t="inlineStr">
        <is>
          <t>NA</t>
        </is>
      </c>
      <c r="AD111" s="2" t="inlineStr">
        <is>
          <t>NA</t>
        </is>
      </c>
      <c r="AG111" s="2" t="inlineStr">
        <is>
          <t>NA</t>
        </is>
      </c>
      <c r="AH111" s="2" t="inlineStr">
        <is>
          <t>NA</t>
        </is>
      </c>
      <c r="AI111" s="2" t="n">
        <v>123.8</v>
      </c>
      <c r="AL111" s="2" t="n">
        <v>125.9</v>
      </c>
      <c r="AM111" s="2" t="n">
        <v>84.3</v>
      </c>
      <c r="AN111" s="2" t="n">
        <v>41.6</v>
      </c>
      <c r="AO111" s="2" t="n">
        <v>2110.9</v>
      </c>
      <c r="AP111" s="2" t="n">
        <v>227.1</v>
      </c>
      <c r="AQ111" s="2" t="n">
        <v>124.6</v>
      </c>
      <c r="AR111" s="2" t="n">
        <v>40.8</v>
      </c>
      <c r="AS111" s="2" t="n">
        <v>135.4</v>
      </c>
      <c r="AT111" s="2" t="n">
        <v>58.8</v>
      </c>
      <c r="AU111" s="2" t="n">
        <v>76.40000000000001</v>
      </c>
      <c r="AV111" s="2" t="n">
        <v>34.2</v>
      </c>
      <c r="AW111" s="2" t="n">
        <v>7.2</v>
      </c>
      <c r="AX111" s="2" t="n">
        <v>3.6</v>
      </c>
      <c r="AY111" s="2" t="n">
        <v>35.4</v>
      </c>
      <c r="AZ111" s="2" t="n">
        <v>5.6</v>
      </c>
      <c r="BA111" s="2" t="inlineStr">
        <is>
          <t>NA</t>
        </is>
      </c>
      <c r="BB111" s="2" t="inlineStr">
        <is>
          <t>NA</t>
        </is>
      </c>
      <c r="BD111" s="2" t="n">
        <v>108.8</v>
      </c>
      <c r="BE111" s="2" t="n">
        <v>53.9</v>
      </c>
      <c r="BH111" s="2" t="n">
        <v>338.5</v>
      </c>
      <c r="BK111" s="2" t="n">
        <v>172.4</v>
      </c>
      <c r="BL111" s="2" t="n">
        <v>4.7</v>
      </c>
      <c r="BM111" s="2" t="n">
        <v>515.5</v>
      </c>
      <c r="BN111" s="2" t="n">
        <v>362.2</v>
      </c>
      <c r="BQ111" s="2" t="n">
        <v>91.90000000000001</v>
      </c>
      <c r="BR111" s="2" t="n">
        <v>5.1</v>
      </c>
      <c r="BS111" s="2" t="n">
        <v>459.2</v>
      </c>
      <c r="BT111" s="2" t="n">
        <v>84</v>
      </c>
      <c r="BU111" s="2" t="n">
        <v>41.7</v>
      </c>
      <c r="BV111" s="2" t="n">
        <v>350</v>
      </c>
      <c r="BW111" s="2" t="n">
        <v>114.6</v>
      </c>
      <c r="BX111" s="2" t="n">
        <v>471.5</v>
      </c>
      <c r="BY111" s="2" t="n">
        <v>51.8</v>
      </c>
      <c r="BZ111" s="2" t="n">
        <v>20</v>
      </c>
      <c r="CA111" s="2" t="n">
        <v>71.8</v>
      </c>
      <c r="CF111" s="2" t="n">
        <v>120.9</v>
      </c>
      <c r="CG111" s="2" t="n">
        <v>107.6</v>
      </c>
      <c r="CH111" s="2" t="n">
        <v>22.1</v>
      </c>
      <c r="CN111" s="2" t="n">
        <v>74.2</v>
      </c>
      <c r="CO111" s="2" t="n">
        <v>332.7</v>
      </c>
      <c r="CP111" s="2" t="n">
        <v>302.8</v>
      </c>
      <c r="CQ111" s="2" t="n">
        <v>29.9</v>
      </c>
      <c r="CR111" s="2" t="inlineStr">
        <is>
          <t>NA</t>
        </is>
      </c>
      <c r="CS111" s="2" t="n">
        <v>33.5</v>
      </c>
      <c r="CT111" s="2" t="n">
        <v>26.6</v>
      </c>
      <c r="CU111" s="2" t="n">
        <v>6.9</v>
      </c>
      <c r="CV111" s="2" t="n">
        <v>72</v>
      </c>
      <c r="CW111" s="2" t="n">
        <v>28.4</v>
      </c>
      <c r="CX111" s="2" t="n">
        <v>43.6</v>
      </c>
      <c r="CY111" s="2" t="inlineStr">
        <is>
          <t>NA</t>
        </is>
      </c>
      <c r="CZ111" s="2" t="n">
        <v>126.2</v>
      </c>
      <c r="DA111" s="2" t="n">
        <v>42.5</v>
      </c>
      <c r="DB111" s="2" t="n">
        <v>39.1</v>
      </c>
      <c r="DC111" s="2" t="n">
        <v>3.4</v>
      </c>
      <c r="DG111" s="2" t="n">
        <v>97.7</v>
      </c>
      <c r="DI111" s="2" t="n">
        <v>554.7</v>
      </c>
      <c r="DJ111" s="2" t="n">
        <v>182</v>
      </c>
      <c r="DK111" s="2" t="n">
        <v>471.8</v>
      </c>
      <c r="DL111" s="2" t="n">
        <v>137.2</v>
      </c>
      <c r="DM111" s="2" t="n">
        <v>185.5</v>
      </c>
      <c r="DO111" s="2" t="n">
        <v>165.7</v>
      </c>
      <c r="DP111" s="2" t="n">
        <v>188.9</v>
      </c>
      <c r="DS111" s="2" t="n">
        <v>712.2</v>
      </c>
      <c r="DT111" s="2" t="n">
        <v>2833.4</v>
      </c>
      <c r="DU111" s="2" t="n">
        <v>-235.4000000000001</v>
      </c>
      <c r="DV111" s="2" t="n">
        <v>0</v>
      </c>
      <c r="GZ111" s="2" t="n">
        <v>867.1</v>
      </c>
      <c r="IN111" s="2" t="n">
        <v>94.09999999999999</v>
      </c>
      <c r="IY111" s="2" t="n">
        <v>47.33888614385543</v>
      </c>
      <c r="IZ111" s="2" t="n">
        <v>0.09888614385543093</v>
      </c>
      <c r="JB111" s="2" t="n">
        <v>11.0898567092539</v>
      </c>
      <c r="JC111" s="2" t="n">
        <v>-0.05014329074610124</v>
      </c>
      <c r="JE111" s="2" t="n">
        <v>2046.2</v>
      </c>
      <c r="JF111" s="2" t="n">
        <v>0.3013390675398299</v>
      </c>
    </row>
    <row r="112">
      <c r="A112" s="1" t="n">
        <v>32448</v>
      </c>
      <c r="B112" s="2" t="n">
        <v>3031</v>
      </c>
      <c r="C112" s="2" t="n">
        <v>4423.3</v>
      </c>
      <c r="D112" s="2" t="n">
        <v>375.3</v>
      </c>
      <c r="E112" s="2" t="n">
        <v>2337</v>
      </c>
      <c r="F112" s="2" t="n">
        <v>21.1</v>
      </c>
      <c r="G112" s="2" t="n">
        <v>84.09999999999999</v>
      </c>
      <c r="H112" s="2" t="n">
        <v>61.2</v>
      </c>
      <c r="I112" s="2" t="inlineStr">
        <is>
          <t>NA</t>
        </is>
      </c>
      <c r="J112" s="2" t="inlineStr">
        <is>
          <t>NA</t>
        </is>
      </c>
      <c r="K112" s="2" t="n">
        <v>1108.6</v>
      </c>
      <c r="L112" s="2" t="n">
        <v>2303.1</v>
      </c>
      <c r="M112" s="2" t="n">
        <v>2042.9</v>
      </c>
      <c r="N112" s="2" t="n">
        <v>260.2</v>
      </c>
      <c r="O112" s="2" t="n">
        <v>125.3</v>
      </c>
      <c r="P112" s="2" t="n">
        <v>188.6</v>
      </c>
      <c r="Q112" s="2" t="n">
        <v>83.3</v>
      </c>
      <c r="R112" s="2" t="n">
        <v>105.3</v>
      </c>
      <c r="T112" s="2" t="n">
        <v>17</v>
      </c>
      <c r="U112" s="2" t="n">
        <v>11.2</v>
      </c>
      <c r="V112" s="2" t="n">
        <v>7.6</v>
      </c>
      <c r="W112" s="2" t="n">
        <v>3.6</v>
      </c>
      <c r="X112" s="2" t="n">
        <v>69.2</v>
      </c>
      <c r="Y112" s="2" t="n">
        <v>8.6</v>
      </c>
      <c r="Z112" s="2" t="n">
        <v>186.1</v>
      </c>
      <c r="AA112" s="2" t="n">
        <v>181.6</v>
      </c>
      <c r="AB112" s="2" t="n">
        <v>4.5</v>
      </c>
      <c r="AC112" s="2" t="inlineStr">
        <is>
          <t>NA</t>
        </is>
      </c>
      <c r="AD112" s="2" t="inlineStr">
        <is>
          <t>NA</t>
        </is>
      </c>
      <c r="AG112" s="2" t="inlineStr">
        <is>
          <t>NA</t>
        </is>
      </c>
      <c r="AH112" s="2" t="inlineStr">
        <is>
          <t>NA</t>
        </is>
      </c>
      <c r="AI112" s="2" t="n">
        <v>107.5</v>
      </c>
      <c r="AL112" s="2" t="n">
        <v>93.69999999999999</v>
      </c>
      <c r="AM112" s="2" t="n">
        <v>54.9</v>
      </c>
      <c r="AN112" s="2" t="n">
        <v>38.8</v>
      </c>
      <c r="AO112" s="2" t="n">
        <v>2227.6</v>
      </c>
      <c r="AP112" s="2" t="n">
        <v>258.4</v>
      </c>
      <c r="AQ112" s="2" t="n">
        <v>121.8</v>
      </c>
      <c r="AR112" s="2" t="n">
        <v>37.1</v>
      </c>
      <c r="AS112" s="2" t="n">
        <v>170</v>
      </c>
      <c r="AT112" s="2" t="n">
        <v>58.7</v>
      </c>
      <c r="AU112" s="2" t="n">
        <v>100.3</v>
      </c>
      <c r="AV112" s="2" t="n">
        <v>25.6</v>
      </c>
      <c r="AW112" s="2" t="n">
        <v>12.3</v>
      </c>
      <c r="AX112" s="2" t="n">
        <v>4.3</v>
      </c>
      <c r="AY112" s="2" t="n">
        <v>42.5</v>
      </c>
      <c r="AZ112" s="2" t="n">
        <v>4.5</v>
      </c>
      <c r="BA112" s="2" t="inlineStr">
        <is>
          <t>NA</t>
        </is>
      </c>
      <c r="BB112" s="2" t="inlineStr">
        <is>
          <t>NA</t>
        </is>
      </c>
      <c r="BD112" s="2" t="n">
        <v>107.3</v>
      </c>
      <c r="BE112" s="2" t="n">
        <v>71.59999999999999</v>
      </c>
      <c r="BH112" s="2" t="n">
        <v>340.2</v>
      </c>
      <c r="BK112" s="2" t="n">
        <v>168.3</v>
      </c>
      <c r="BL112" s="2" t="n">
        <v>4.7</v>
      </c>
      <c r="BM112" s="2" t="n">
        <v>513.2</v>
      </c>
      <c r="BN112" s="2" t="n">
        <v>365.7</v>
      </c>
      <c r="BQ112" s="2" t="n">
        <v>86.3</v>
      </c>
      <c r="BR112" s="2" t="n">
        <v>6.4</v>
      </c>
      <c r="BS112" s="2" t="n">
        <v>458.4</v>
      </c>
      <c r="BT112" s="2" t="n">
        <v>84</v>
      </c>
      <c r="BU112" s="2" t="n">
        <v>36.7</v>
      </c>
      <c r="BV112" s="2" t="n">
        <v>342.7</v>
      </c>
      <c r="BW112" s="2" t="n">
        <v>114.4</v>
      </c>
      <c r="BX112" s="2" t="n">
        <v>464.1</v>
      </c>
      <c r="BY112" s="2" t="n">
        <v>58</v>
      </c>
      <c r="BZ112" s="2" t="n">
        <v>18.6</v>
      </c>
      <c r="CA112" s="2" t="n">
        <v>76.59999999999999</v>
      </c>
      <c r="CF112" s="2" t="n">
        <v>122.8</v>
      </c>
      <c r="CG112" s="2" t="n">
        <v>103.1</v>
      </c>
      <c r="CH112" s="2" t="n">
        <v>23.4</v>
      </c>
      <c r="CN112" s="2" t="n">
        <v>62.4</v>
      </c>
      <c r="CO112" s="2" t="n">
        <v>307</v>
      </c>
      <c r="CP112" s="2" t="n">
        <v>270.1</v>
      </c>
      <c r="CQ112" s="2" t="n">
        <v>36.9</v>
      </c>
      <c r="CR112" s="2" t="inlineStr">
        <is>
          <t>NA</t>
        </is>
      </c>
      <c r="CS112" s="2" t="n">
        <v>36.6</v>
      </c>
      <c r="CT112" s="2" t="n">
        <v>26.8</v>
      </c>
      <c r="CU112" s="2" t="n">
        <v>9.800000000000001</v>
      </c>
      <c r="CV112" s="2" t="n">
        <v>70.59999999999999</v>
      </c>
      <c r="CW112" s="2" t="n">
        <v>27.4</v>
      </c>
      <c r="CX112" s="2" t="n">
        <v>43.2</v>
      </c>
      <c r="CY112" s="2" t="n">
        <v>7.8</v>
      </c>
      <c r="CZ112" s="2" t="n">
        <v>134.9</v>
      </c>
      <c r="DA112" s="2" t="n">
        <v>43.3</v>
      </c>
      <c r="DB112" s="2" t="n">
        <v>41.8</v>
      </c>
      <c r="DC112" s="2" t="n">
        <v>1.5</v>
      </c>
      <c r="DG112" s="2" t="n">
        <v>121</v>
      </c>
      <c r="DI112" s="2" t="n">
        <v>571.7</v>
      </c>
      <c r="DJ112" s="2" t="n">
        <v>200.2</v>
      </c>
      <c r="DK112" s="2" t="n">
        <v>504.1</v>
      </c>
      <c r="DL112" s="2" t="n">
        <v>132.6</v>
      </c>
      <c r="DM112" s="2" t="n">
        <v>206.9</v>
      </c>
      <c r="DO112" s="2" t="n">
        <v>178.3</v>
      </c>
      <c r="DP112" s="2" t="n">
        <v>188</v>
      </c>
      <c r="DS112" s="2" t="n">
        <v>765.1</v>
      </c>
      <c r="DT112" s="2" t="n">
        <v>3031</v>
      </c>
      <c r="DU112" s="2" t="n">
        <v>-284.0999999999999</v>
      </c>
      <c r="DV112" s="2" t="n">
        <v>0</v>
      </c>
      <c r="GZ112" s="2" t="n">
        <v>826.9</v>
      </c>
      <c r="IN112" s="2" t="n">
        <v>124.8</v>
      </c>
      <c r="IY112" s="2" t="n">
        <v>46.50742329264269</v>
      </c>
      <c r="IZ112" s="2" t="n">
        <v>-0.9625767073573073</v>
      </c>
      <c r="JB112" s="2" t="n">
        <v>10.9726162982514</v>
      </c>
      <c r="JC112" s="2" t="n">
        <v>-0.07738370174859988</v>
      </c>
      <c r="JE112" s="2" t="n">
        <v>2303.1</v>
      </c>
      <c r="JF112" s="2" t="n">
        <v>0.3128031783248665</v>
      </c>
    </row>
    <row r="113">
      <c r="A113" s="1" t="n">
        <v>32478</v>
      </c>
      <c r="B113" s="2" t="n">
        <v>3021.5</v>
      </c>
      <c r="C113" s="2" t="n">
        <v>4159.5</v>
      </c>
      <c r="D113" s="2" t="n">
        <v>376.7</v>
      </c>
      <c r="E113" s="2" t="n">
        <v>2832.5</v>
      </c>
      <c r="F113" s="2" t="n">
        <v>22.6</v>
      </c>
      <c r="G113" s="2" t="n">
        <v>67.2</v>
      </c>
      <c r="H113" s="2" t="n">
        <v>48.9</v>
      </c>
      <c r="I113" s="2" t="inlineStr">
        <is>
          <t>NA</t>
        </is>
      </c>
      <c r="J113" s="2" t="inlineStr">
        <is>
          <t>NA</t>
        </is>
      </c>
      <c r="K113" s="2" t="n">
        <v>1110.4</v>
      </c>
      <c r="L113" s="2" t="n">
        <v>2539.9</v>
      </c>
      <c r="M113" s="2" t="n">
        <v>2294.3</v>
      </c>
      <c r="N113" s="2" t="n">
        <v>245.6</v>
      </c>
      <c r="O113" s="2" t="n">
        <v>125</v>
      </c>
      <c r="P113" s="2" t="n">
        <v>206.1</v>
      </c>
      <c r="Q113" s="2" t="n">
        <v>85.8</v>
      </c>
      <c r="R113" s="2" t="n">
        <v>120.3</v>
      </c>
      <c r="T113" s="2" t="n">
        <v>18.4</v>
      </c>
      <c r="U113" s="2" t="n">
        <v>9</v>
      </c>
      <c r="V113" s="2" t="n">
        <v>6.1</v>
      </c>
      <c r="W113" s="2" t="n">
        <v>2.9</v>
      </c>
      <c r="X113" s="2" t="n">
        <v>55.7</v>
      </c>
      <c r="Y113" s="2" t="n">
        <v>10.1</v>
      </c>
      <c r="Z113" s="2" t="n">
        <v>213.3</v>
      </c>
      <c r="AA113" s="2" t="n">
        <v>209.8</v>
      </c>
      <c r="AB113" s="2" t="n">
        <v>3.5</v>
      </c>
      <c r="AC113" s="2" t="inlineStr">
        <is>
          <t>NA</t>
        </is>
      </c>
      <c r="AD113" s="2" t="inlineStr">
        <is>
          <t>NA</t>
        </is>
      </c>
      <c r="AG113" s="2" t="inlineStr">
        <is>
          <t>NA</t>
        </is>
      </c>
      <c r="AH113" s="2" t="inlineStr">
        <is>
          <t>NA</t>
        </is>
      </c>
      <c r="AI113" s="2" t="n">
        <v>127.8</v>
      </c>
      <c r="AL113" s="2" t="n">
        <v>97.40000000000001</v>
      </c>
      <c r="AM113" s="2" t="n">
        <v>62.4</v>
      </c>
      <c r="AN113" s="2" t="n">
        <v>35</v>
      </c>
      <c r="AO113" s="2" t="n">
        <v>2269.8</v>
      </c>
      <c r="AP113" s="2" t="n">
        <v>322.1</v>
      </c>
      <c r="AQ113" s="2" t="n">
        <v>120.2</v>
      </c>
      <c r="AR113" s="2" t="n">
        <v>31.5</v>
      </c>
      <c r="AS113" s="2" t="n">
        <v>172.5</v>
      </c>
      <c r="AT113" s="2" t="n">
        <v>52.9</v>
      </c>
      <c r="AU113" s="2" t="n">
        <v>101.3</v>
      </c>
      <c r="AV113" s="2" t="n">
        <v>24.8</v>
      </c>
      <c r="AW113" s="2" t="n">
        <v>13.4</v>
      </c>
      <c r="AX113" s="2" t="n">
        <v>4.6</v>
      </c>
      <c r="AY113" s="2" t="n">
        <v>34.9</v>
      </c>
      <c r="AZ113" s="2" t="n">
        <v>3</v>
      </c>
      <c r="BA113" s="2" t="inlineStr">
        <is>
          <t>NA</t>
        </is>
      </c>
      <c r="BB113" s="2" t="inlineStr">
        <is>
          <t>NA</t>
        </is>
      </c>
      <c r="BD113" s="2" t="n">
        <v>100.5</v>
      </c>
      <c r="BE113" s="2" t="n">
        <v>48.3</v>
      </c>
      <c r="BH113" s="2" t="n">
        <v>338</v>
      </c>
      <c r="BK113" s="2" t="n">
        <v>152.5</v>
      </c>
      <c r="BL113" s="2" t="n">
        <v>4.5</v>
      </c>
      <c r="BM113" s="2" t="n">
        <v>494.9</v>
      </c>
      <c r="BN113" s="2" t="n">
        <v>304</v>
      </c>
      <c r="BQ113" s="2" t="n">
        <v>89.3</v>
      </c>
      <c r="BR113" s="2" t="n">
        <v>5.4</v>
      </c>
      <c r="BS113" s="2" t="n">
        <v>398.7</v>
      </c>
      <c r="BT113" s="2" t="n">
        <v>82</v>
      </c>
      <c r="BU113" s="2" t="n">
        <v>37.4</v>
      </c>
      <c r="BV113" s="2" t="n">
        <v>343.8</v>
      </c>
      <c r="BW113" s="2" t="n">
        <v>106.9</v>
      </c>
      <c r="BX113" s="2" t="n">
        <v>457.4</v>
      </c>
      <c r="BY113" s="2" t="n">
        <v>55</v>
      </c>
      <c r="BZ113" s="2" t="n">
        <v>17</v>
      </c>
      <c r="CA113" s="2" t="n">
        <v>72</v>
      </c>
      <c r="CF113" s="2" t="n">
        <v>125.9</v>
      </c>
      <c r="CG113" s="2" t="n">
        <v>106.4</v>
      </c>
      <c r="CH113" s="2" t="n">
        <v>23.2</v>
      </c>
      <c r="CN113" s="2" t="n">
        <v>60.2</v>
      </c>
      <c r="CO113" s="2" t="n">
        <v>275.7</v>
      </c>
      <c r="CP113" s="2" t="n">
        <v>249</v>
      </c>
      <c r="CQ113" s="2" t="n">
        <v>26.7</v>
      </c>
      <c r="CR113" s="2" t="inlineStr">
        <is>
          <t>NA</t>
        </is>
      </c>
      <c r="CS113" s="2" t="n">
        <v>46.8</v>
      </c>
      <c r="CT113" s="2" t="n">
        <v>33</v>
      </c>
      <c r="CU113" s="2" t="n">
        <v>13.8</v>
      </c>
      <c r="CV113" s="2" t="n">
        <v>69.09999999999999</v>
      </c>
      <c r="CW113" s="2" t="n">
        <v>27</v>
      </c>
      <c r="CX113" s="2" t="n">
        <v>42.1</v>
      </c>
      <c r="CY113" s="2" t="inlineStr">
        <is>
          <t>NA</t>
        </is>
      </c>
      <c r="CZ113" s="2" t="n">
        <v>139.5</v>
      </c>
      <c r="DA113" s="2" t="n">
        <v>42.2</v>
      </c>
      <c r="DB113" s="2" t="n">
        <v>38.9</v>
      </c>
      <c r="DC113" s="2" t="n">
        <v>3.3</v>
      </c>
      <c r="DG113" s="2" t="n">
        <v>115.2</v>
      </c>
      <c r="DI113" s="2" t="n">
        <v>574</v>
      </c>
      <c r="DJ113" s="2" t="n">
        <v>197.1</v>
      </c>
      <c r="DK113" s="2" t="n">
        <v>505</v>
      </c>
      <c r="DL113" s="2" t="n">
        <v>128.5</v>
      </c>
      <c r="DM113" s="2" t="n">
        <v>196.6</v>
      </c>
      <c r="DO113" s="2" t="n">
        <v>168.3</v>
      </c>
      <c r="DP113" s="2" t="n">
        <v>196.7</v>
      </c>
      <c r="DS113" s="2" t="n">
        <v>775.9</v>
      </c>
      <c r="DT113" s="2" t="n">
        <v>3021.5</v>
      </c>
      <c r="DU113" s="2" t="n">
        <v>-279.4000000000001</v>
      </c>
      <c r="DV113" s="2" t="n">
        <v>0</v>
      </c>
      <c r="GZ113" s="2" t="n">
        <v>800.8</v>
      </c>
      <c r="IN113" s="2" t="n">
        <v>127.8</v>
      </c>
      <c r="IY113" s="2" t="n">
        <v>47.45987092503723</v>
      </c>
      <c r="IZ113" s="2" t="n">
        <v>0.07987092503722693</v>
      </c>
      <c r="JB113" s="2" t="n">
        <v>11.02498758894589</v>
      </c>
      <c r="JC113" s="2" t="n">
        <v>0.1149875889458887</v>
      </c>
      <c r="JE113" s="2" t="n">
        <v>2539.9</v>
      </c>
      <c r="JF113" s="2" t="n">
        <v>0.3281538643253671</v>
      </c>
    </row>
    <row r="114">
      <c r="A114" s="1" t="n">
        <v>32509</v>
      </c>
      <c r="B114" s="2" t="n">
        <v>2993.3</v>
      </c>
      <c r="C114" s="2" t="n">
        <v>3958.4</v>
      </c>
      <c r="D114" s="2" t="n">
        <v>399.7</v>
      </c>
      <c r="E114" s="2" t="n">
        <v>2616.7</v>
      </c>
      <c r="F114" s="2" t="n">
        <v>13</v>
      </c>
      <c r="G114" s="2" t="n">
        <v>65</v>
      </c>
      <c r="H114" s="2" t="n">
        <v>30.4</v>
      </c>
      <c r="I114" s="2" t="inlineStr">
        <is>
          <t>NA</t>
        </is>
      </c>
      <c r="J114" s="2" t="inlineStr">
        <is>
          <t>NA</t>
        </is>
      </c>
      <c r="K114" s="2" t="n">
        <v>1105.8</v>
      </c>
      <c r="L114" s="2" t="n">
        <v>2703.1</v>
      </c>
      <c r="M114" s="2" t="n">
        <v>2446</v>
      </c>
      <c r="N114" s="2" t="n">
        <v>257.1</v>
      </c>
      <c r="O114" s="2" t="n">
        <v>129.3</v>
      </c>
      <c r="P114" s="2" t="n">
        <v>266.3</v>
      </c>
      <c r="Q114" s="2" t="n">
        <v>127</v>
      </c>
      <c r="R114" s="2" t="n">
        <v>139.3</v>
      </c>
      <c r="T114" s="2" t="n">
        <v>10.5</v>
      </c>
      <c r="U114" s="2" t="n">
        <v>12.6</v>
      </c>
      <c r="V114" s="2" t="n">
        <v>9.4</v>
      </c>
      <c r="W114" s="2" t="n">
        <v>3.2</v>
      </c>
      <c r="X114" s="2" t="n">
        <v>53</v>
      </c>
      <c r="Y114" s="2" t="n">
        <v>6.7</v>
      </c>
      <c r="Z114" s="2" t="n">
        <v>138.9</v>
      </c>
      <c r="AA114" s="2" t="n">
        <v>135.4</v>
      </c>
      <c r="AB114" s="2" t="n">
        <v>3.5</v>
      </c>
      <c r="AC114" s="2" t="inlineStr">
        <is>
          <t>NA</t>
        </is>
      </c>
      <c r="AD114" s="2" t="inlineStr">
        <is>
          <t>NA</t>
        </is>
      </c>
      <c r="AG114" s="2" t="inlineStr">
        <is>
          <t>NA</t>
        </is>
      </c>
      <c r="AH114" s="2" t="n">
        <v>10.1</v>
      </c>
      <c r="AI114" s="2" t="n">
        <v>125.5</v>
      </c>
      <c r="AL114" s="2" t="n">
        <v>101.9</v>
      </c>
      <c r="AM114" s="2" t="n">
        <v>61.7</v>
      </c>
      <c r="AN114" s="2" t="n">
        <v>40.2</v>
      </c>
      <c r="AO114" s="2" t="n">
        <v>2247.1</v>
      </c>
      <c r="AP114" s="2" t="n">
        <v>410.1</v>
      </c>
      <c r="AQ114" s="2" t="n">
        <v>112.7</v>
      </c>
      <c r="AR114" s="2" t="n">
        <v>32.2</v>
      </c>
      <c r="AS114" s="2" t="n">
        <v>183.2</v>
      </c>
      <c r="AT114" s="2" t="n">
        <v>70.8</v>
      </c>
      <c r="AU114" s="2" t="n">
        <v>106.3</v>
      </c>
      <c r="AV114" s="2" t="n">
        <v>38.7</v>
      </c>
      <c r="AW114" s="2" t="n">
        <v>7.6</v>
      </c>
      <c r="AX114" s="2" t="n">
        <v>5.7</v>
      </c>
      <c r="AY114" s="2" t="n">
        <v>33.6</v>
      </c>
      <c r="AZ114" s="2" t="n">
        <v>5.3</v>
      </c>
      <c r="BA114" s="2" t="inlineStr">
        <is>
          <t>NA</t>
        </is>
      </c>
      <c r="BB114" s="2" t="inlineStr">
        <is>
          <t>NA</t>
        </is>
      </c>
      <c r="BD114" s="2" t="n">
        <v>97.5</v>
      </c>
      <c r="BE114" s="2" t="n">
        <v>55.4</v>
      </c>
      <c r="BH114" s="2" t="n">
        <v>328.2</v>
      </c>
      <c r="BK114" s="2" t="n">
        <v>151.9</v>
      </c>
      <c r="BL114" s="2" t="n">
        <v>4.3</v>
      </c>
      <c r="BM114" s="2" t="n">
        <v>484.4</v>
      </c>
      <c r="BN114" s="2" t="n">
        <v>347.8</v>
      </c>
      <c r="BQ114" s="2" t="n">
        <v>81.90000000000001</v>
      </c>
      <c r="BR114" s="2" t="n">
        <v>4.9</v>
      </c>
      <c r="BS114" s="2" t="n">
        <v>434.6</v>
      </c>
      <c r="BT114" s="2" t="n">
        <v>77</v>
      </c>
      <c r="BU114" s="2" t="n">
        <v>38.2</v>
      </c>
      <c r="BV114" s="2" t="n">
        <v>318.6</v>
      </c>
      <c r="BW114" s="2" t="n">
        <v>100.2</v>
      </c>
      <c r="BX114" s="2" t="n">
        <v>425</v>
      </c>
      <c r="BY114" s="2" t="n">
        <v>55.8</v>
      </c>
      <c r="BZ114" s="2" t="n">
        <v>16.5</v>
      </c>
      <c r="CA114" s="2" t="n">
        <v>72.3</v>
      </c>
      <c r="CF114" s="2" t="n">
        <v>144.2</v>
      </c>
      <c r="CG114" s="2" t="n">
        <v>120.1</v>
      </c>
      <c r="CH114" s="2" t="n">
        <v>25.3</v>
      </c>
      <c r="CN114" s="2" t="n">
        <v>46.9</v>
      </c>
      <c r="CO114" s="2" t="n">
        <v>278.9</v>
      </c>
      <c r="CP114" s="2" t="n">
        <v>256.8</v>
      </c>
      <c r="CQ114" s="2" t="n">
        <v>22.1</v>
      </c>
      <c r="CR114" s="2" t="inlineStr">
        <is>
          <t>NA</t>
        </is>
      </c>
      <c r="CS114" s="2" t="n">
        <v>54.6</v>
      </c>
      <c r="CT114" s="2" t="n">
        <v>39.1</v>
      </c>
      <c r="CU114" s="2" t="n">
        <v>15.5</v>
      </c>
      <c r="CV114" s="2" t="n">
        <v>67</v>
      </c>
      <c r="CW114" s="2" t="n">
        <v>30.6</v>
      </c>
      <c r="CX114" s="2" t="n">
        <v>36.4</v>
      </c>
      <c r="CY114" s="2" t="n">
        <v>4.8</v>
      </c>
      <c r="CZ114" s="2" t="n">
        <v>140.7</v>
      </c>
      <c r="DA114" s="2" t="n">
        <v>43.4</v>
      </c>
      <c r="DB114" s="2" t="n">
        <v>40.4</v>
      </c>
      <c r="DC114" s="2" t="n">
        <v>3</v>
      </c>
      <c r="DG114" s="2" t="n">
        <v>114.5</v>
      </c>
      <c r="DI114" s="2" t="n">
        <v>585</v>
      </c>
      <c r="DJ114" s="2" t="n">
        <v>198</v>
      </c>
      <c r="DK114" s="2" t="n">
        <v>510.5</v>
      </c>
      <c r="DL114" s="2" t="n">
        <v>132.9</v>
      </c>
      <c r="DM114" s="2" t="n">
        <v>193.9</v>
      </c>
      <c r="DO114" s="2" t="n">
        <v>169</v>
      </c>
      <c r="DP114" s="2" t="n">
        <v>190.4</v>
      </c>
      <c r="DS114" s="2" t="n">
        <v>739.8</v>
      </c>
      <c r="DT114" s="2" t="n">
        <v>2993.3</v>
      </c>
      <c r="DU114" s="2" t="n">
        <v>-273.8000000000002</v>
      </c>
      <c r="DV114" s="2" t="n">
        <v>0</v>
      </c>
      <c r="GZ114" s="2" t="n">
        <v>776.7</v>
      </c>
      <c r="IN114" s="2" t="n">
        <v>139.7</v>
      </c>
      <c r="IY114" s="2" t="n">
        <v>47.30164033007048</v>
      </c>
      <c r="IZ114" s="2" t="n">
        <v>-0.1683596699295151</v>
      </c>
      <c r="JB114" s="2" t="n">
        <v>11.08275147830154</v>
      </c>
      <c r="JC114" s="2" t="n">
        <v>-0.05724852169846173</v>
      </c>
      <c r="JE114" s="2" t="n">
        <v>2703.1</v>
      </c>
      <c r="JF114" s="2" t="n">
        <v>0.3571066553216677</v>
      </c>
    </row>
    <row r="115">
      <c r="A115" s="1" t="n">
        <v>32540</v>
      </c>
      <c r="B115" s="2" t="n">
        <v>2574.1</v>
      </c>
      <c r="C115" s="2" t="n">
        <v>3359.3</v>
      </c>
      <c r="D115" s="2" t="n">
        <v>325.4</v>
      </c>
      <c r="E115" s="2" t="n">
        <v>2358.7</v>
      </c>
      <c r="F115" s="2" t="n">
        <v>25.6</v>
      </c>
      <c r="G115" s="2" t="n">
        <v>53.3</v>
      </c>
      <c r="H115" s="2" t="n">
        <v>31.4</v>
      </c>
      <c r="I115" s="2" t="inlineStr">
        <is>
          <t>NA</t>
        </is>
      </c>
      <c r="J115" s="2" t="inlineStr">
        <is>
          <t>NA</t>
        </is>
      </c>
      <c r="K115" s="2" t="n">
        <v>952.3</v>
      </c>
      <c r="L115" s="2" t="n">
        <v>2902.3</v>
      </c>
      <c r="M115" s="2" t="n">
        <v>2634.4</v>
      </c>
      <c r="N115" s="2" t="n">
        <v>267.9</v>
      </c>
      <c r="O115" s="2" t="n">
        <v>106</v>
      </c>
      <c r="P115" s="2" t="n">
        <v>273.9</v>
      </c>
      <c r="Q115" s="2" t="n">
        <v>118.2</v>
      </c>
      <c r="R115" s="2" t="n">
        <v>155.7</v>
      </c>
      <c r="T115" s="2" t="n">
        <v>20.8</v>
      </c>
      <c r="U115" s="2" t="n">
        <v>15.9</v>
      </c>
      <c r="V115" s="2" t="n">
        <v>11.5</v>
      </c>
      <c r="W115" s="2" t="n">
        <v>4.4</v>
      </c>
      <c r="X115" s="2" t="n">
        <v>44</v>
      </c>
      <c r="Y115" s="2" t="n">
        <v>5.1</v>
      </c>
      <c r="Z115" s="2" t="n">
        <v>155.7</v>
      </c>
      <c r="AA115" s="2" t="n">
        <v>154.1</v>
      </c>
      <c r="AB115" s="2" t="n">
        <v>1.6</v>
      </c>
      <c r="AC115" s="2" t="inlineStr">
        <is>
          <t>NA</t>
        </is>
      </c>
      <c r="AD115" s="2" t="inlineStr">
        <is>
          <t>NA</t>
        </is>
      </c>
      <c r="AG115" s="2" t="inlineStr">
        <is>
          <t>NA</t>
        </is>
      </c>
      <c r="AH115" s="2" t="n">
        <v>13.7</v>
      </c>
      <c r="AI115" s="2" t="n">
        <v>108.6</v>
      </c>
      <c r="AL115" s="2" t="n">
        <v>100.5</v>
      </c>
      <c r="AM115" s="2" t="n">
        <v>61.2</v>
      </c>
      <c r="AN115" s="2" t="n">
        <v>39.3</v>
      </c>
      <c r="AO115" s="2" t="n">
        <v>1941</v>
      </c>
      <c r="AP115" s="2" t="n">
        <v>364.5</v>
      </c>
      <c r="AQ115" s="2" t="n">
        <v>95.3</v>
      </c>
      <c r="AR115" s="2" t="n">
        <v>31.2</v>
      </c>
      <c r="AS115" s="2" t="n">
        <v>151.6</v>
      </c>
      <c r="AT115" s="2" t="n">
        <v>57.6</v>
      </c>
      <c r="AU115" s="2" t="n">
        <v>83.8</v>
      </c>
      <c r="AV115" s="2" t="n">
        <v>36.9</v>
      </c>
      <c r="AW115" s="2" t="n">
        <v>14.9</v>
      </c>
      <c r="AX115" s="2" t="n">
        <v>3.9</v>
      </c>
      <c r="AY115" s="2" t="n">
        <v>26.6</v>
      </c>
      <c r="AZ115" s="2" t="n">
        <v>7.2</v>
      </c>
      <c r="BA115" s="2" t="inlineStr">
        <is>
          <t>NA</t>
        </is>
      </c>
      <c r="BB115" s="2" t="inlineStr">
        <is>
          <t>NA</t>
        </is>
      </c>
      <c r="BD115" s="2" t="n">
        <v>100.1</v>
      </c>
      <c r="BE115" s="2" t="n">
        <v>53.3</v>
      </c>
      <c r="BH115" s="2" t="n">
        <v>330.1</v>
      </c>
      <c r="BK115" s="2" t="n">
        <v>148.8</v>
      </c>
      <c r="BL115" s="2" t="n">
        <v>4.4</v>
      </c>
      <c r="BM115" s="2" t="n">
        <v>483.3</v>
      </c>
      <c r="BN115" s="2" t="n">
        <v>341.9</v>
      </c>
      <c r="BQ115" s="2" t="n">
        <v>86.90000000000001</v>
      </c>
      <c r="BR115" s="2" t="n">
        <v>5.4</v>
      </c>
      <c r="BS115" s="2" t="n">
        <v>434.1999999999999</v>
      </c>
      <c r="BT115" s="2" t="n">
        <v>71</v>
      </c>
      <c r="BU115" s="2" t="n">
        <v>37.1</v>
      </c>
      <c r="BV115" s="2" t="n">
        <v>304.1</v>
      </c>
      <c r="BW115" s="2" t="n">
        <v>95.7</v>
      </c>
      <c r="BX115" s="2" t="n">
        <v>405.8</v>
      </c>
      <c r="BY115" s="2" t="n">
        <v>55.2</v>
      </c>
      <c r="BZ115" s="2" t="n">
        <v>16.4</v>
      </c>
      <c r="CA115" s="2" t="n">
        <v>71.59999999999999</v>
      </c>
      <c r="CF115" s="2" t="n">
        <v>121.9</v>
      </c>
      <c r="CG115" s="2" t="n">
        <v>122.5</v>
      </c>
      <c r="CH115" s="2" t="n">
        <v>26.5</v>
      </c>
      <c r="CN115" s="2" t="n">
        <v>47.8</v>
      </c>
      <c r="CO115" s="2" t="n">
        <v>247.4</v>
      </c>
      <c r="CP115" s="2" t="n">
        <v>228.7</v>
      </c>
      <c r="CQ115" s="2" t="n">
        <v>18.7</v>
      </c>
      <c r="CR115" s="2" t="inlineStr">
        <is>
          <t>NA</t>
        </is>
      </c>
      <c r="CS115" s="2" t="n">
        <v>47.6</v>
      </c>
      <c r="CT115" s="2" t="n">
        <v>33</v>
      </c>
      <c r="CU115" s="2" t="n">
        <v>14.6</v>
      </c>
      <c r="CV115" s="2" t="n">
        <v>75.40000000000001</v>
      </c>
      <c r="CW115" s="2" t="n">
        <v>34.8</v>
      </c>
      <c r="CX115" s="2" t="n">
        <v>40.6</v>
      </c>
      <c r="CY115" s="2" t="n">
        <v>8.199999999999999</v>
      </c>
      <c r="CZ115" s="2" t="n">
        <v>131.1</v>
      </c>
      <c r="DA115" s="2" t="n">
        <v>49.9</v>
      </c>
      <c r="DB115" s="2" t="n">
        <v>47.6</v>
      </c>
      <c r="DC115" s="2" t="n">
        <v>2.3</v>
      </c>
      <c r="DG115" s="2" t="n">
        <v>104.4</v>
      </c>
      <c r="DI115" s="2" t="n">
        <v>497.3</v>
      </c>
      <c r="DJ115" s="2" t="n">
        <v>155.9</v>
      </c>
      <c r="DK115" s="2" t="n">
        <v>404.8</v>
      </c>
      <c r="DL115" s="2" t="n">
        <v>105.2</v>
      </c>
      <c r="DM115" s="2" t="n">
        <v>177.7</v>
      </c>
      <c r="DO115" s="2" t="n">
        <v>142.4</v>
      </c>
      <c r="DP115" s="2" t="n">
        <v>159.2</v>
      </c>
      <c r="DS115" s="2" t="n">
        <v>681.7</v>
      </c>
      <c r="DT115" s="2" t="n">
        <v>2574.1</v>
      </c>
      <c r="DU115" s="2" t="n">
        <v>-249.8999999999996</v>
      </c>
      <c r="DV115" s="2" t="n">
        <v>0</v>
      </c>
      <c r="GZ115" s="2" t="n">
        <v>709.6</v>
      </c>
      <c r="IN115" s="2" t="n">
        <v>121.9</v>
      </c>
      <c r="IY115" s="2" t="n">
        <v>47.46435647410745</v>
      </c>
      <c r="IZ115" s="2" t="n">
        <v>0.1343564741074559</v>
      </c>
      <c r="JB115" s="2" t="n">
        <v>11.09863641661163</v>
      </c>
      <c r="JC115" s="2" t="n">
        <v>0.1386364166116305</v>
      </c>
      <c r="JE115" s="2" t="n">
        <v>2902.3</v>
      </c>
      <c r="JF115" s="2" t="n">
        <v>0.341720704269028</v>
      </c>
    </row>
    <row r="116">
      <c r="A116" s="1" t="n">
        <v>32568</v>
      </c>
      <c r="B116" s="2" t="n">
        <v>2806.1</v>
      </c>
      <c r="C116" s="2" t="n">
        <v>2976.1</v>
      </c>
      <c r="D116" s="2" t="n">
        <v>383.3</v>
      </c>
      <c r="E116" s="2" t="n">
        <v>1981.9</v>
      </c>
      <c r="F116" s="2" t="n">
        <v>34.4</v>
      </c>
      <c r="G116" s="2" t="n">
        <v>65.09999999999999</v>
      </c>
      <c r="H116" s="2" t="n">
        <v>39.4</v>
      </c>
      <c r="I116" s="2" t="inlineStr">
        <is>
          <t>NA</t>
        </is>
      </c>
      <c r="J116" s="2" t="inlineStr">
        <is>
          <t>NA</t>
        </is>
      </c>
      <c r="K116" s="2" t="n">
        <v>1041.2</v>
      </c>
      <c r="L116" s="2" t="n">
        <v>2893.4</v>
      </c>
      <c r="M116" s="2" t="n">
        <v>2643.2</v>
      </c>
      <c r="N116" s="2" t="n">
        <v>250.2</v>
      </c>
      <c r="O116" s="2" t="n">
        <v>127.1</v>
      </c>
      <c r="P116" s="2" t="n">
        <v>276.6</v>
      </c>
      <c r="Q116" s="2" t="n">
        <v>123.6</v>
      </c>
      <c r="R116" s="2" t="n">
        <v>153</v>
      </c>
      <c r="T116" s="2" t="n">
        <v>27.8</v>
      </c>
      <c r="U116" s="2" t="n">
        <v>20.1</v>
      </c>
      <c r="V116" s="2" t="n">
        <v>16.5</v>
      </c>
      <c r="W116" s="2" t="n">
        <v>3.6</v>
      </c>
      <c r="X116" s="2" t="n">
        <v>55.1</v>
      </c>
      <c r="Y116" s="2" t="n">
        <v>6.5</v>
      </c>
      <c r="Z116" s="2" t="n">
        <v>162.3</v>
      </c>
      <c r="AA116" s="2" t="n">
        <v>160.2</v>
      </c>
      <c r="AB116" s="2" t="n">
        <v>2.1</v>
      </c>
      <c r="AC116" s="2" t="inlineStr">
        <is>
          <t>NA</t>
        </is>
      </c>
      <c r="AD116" s="2" t="inlineStr">
        <is>
          <t>NA</t>
        </is>
      </c>
      <c r="AG116" s="2" t="inlineStr">
        <is>
          <t>NA</t>
        </is>
      </c>
      <c r="AH116" s="2" t="n">
        <v>18.4</v>
      </c>
      <c r="AI116" s="2" t="n">
        <v>128.9</v>
      </c>
      <c r="AL116" s="2" t="n">
        <v>89.2</v>
      </c>
      <c r="AM116" s="2" t="n">
        <v>54</v>
      </c>
      <c r="AN116" s="2" t="n">
        <v>35.2</v>
      </c>
      <c r="AO116" s="2" t="n">
        <v>2112.1</v>
      </c>
      <c r="AP116" s="2" t="n">
        <v>209.6</v>
      </c>
      <c r="AQ116" s="2" t="n">
        <v>106.7</v>
      </c>
      <c r="AR116" s="2" t="n">
        <v>28.3</v>
      </c>
      <c r="AS116" s="2" t="n">
        <v>175.3</v>
      </c>
      <c r="AT116" s="2" t="n">
        <v>53.4</v>
      </c>
      <c r="AU116" s="2" t="n">
        <v>102.9</v>
      </c>
      <c r="AV116" s="2" t="n">
        <v>30.9</v>
      </c>
      <c r="AW116" s="2" t="n">
        <v>20.1</v>
      </c>
      <c r="AX116" s="2" t="n">
        <v>4.5</v>
      </c>
      <c r="AY116" s="2" t="n">
        <v>33</v>
      </c>
      <c r="AZ116" s="2" t="inlineStr">
        <is>
          <t>NA</t>
        </is>
      </c>
      <c r="BA116" s="2" t="inlineStr">
        <is>
          <t>NA</t>
        </is>
      </c>
      <c r="BB116" s="2" t="inlineStr">
        <is>
          <t>NA</t>
        </is>
      </c>
      <c r="BD116" s="2" t="n">
        <v>99</v>
      </c>
      <c r="BE116" s="2" t="n">
        <v>43.2</v>
      </c>
      <c r="BH116" s="2" t="n">
        <v>338.1</v>
      </c>
      <c r="BK116" s="2" t="n">
        <v>157.9</v>
      </c>
      <c r="BL116" s="2" t="n">
        <v>4.6</v>
      </c>
      <c r="BM116" s="2" t="n">
        <v>500.6</v>
      </c>
      <c r="BN116" s="2" t="n">
        <v>304</v>
      </c>
      <c r="BQ116" s="2" t="n">
        <v>85.59999999999999</v>
      </c>
      <c r="BR116" s="2" t="n">
        <v>5.4</v>
      </c>
      <c r="BS116" s="2" t="n">
        <v>395</v>
      </c>
      <c r="BT116" s="2" t="n">
        <v>82</v>
      </c>
      <c r="BU116" s="2" t="n">
        <v>27.3</v>
      </c>
      <c r="BV116" s="2" t="n">
        <v>332.1</v>
      </c>
      <c r="BW116" s="2" t="n">
        <v>104.4</v>
      </c>
      <c r="BX116" s="2" t="n">
        <v>443</v>
      </c>
      <c r="BY116" s="2" t="n">
        <v>52.4</v>
      </c>
      <c r="BZ116" s="2" t="n">
        <v>21.1</v>
      </c>
      <c r="CA116" s="2" t="n">
        <v>73.5</v>
      </c>
      <c r="CF116" s="2" t="n">
        <v>142.4</v>
      </c>
      <c r="CG116" s="2" t="n">
        <v>125.9</v>
      </c>
      <c r="CH116" s="2" t="n">
        <v>27</v>
      </c>
      <c r="CN116" s="2" t="n">
        <v>69.09999999999999</v>
      </c>
      <c r="CO116" s="2" t="n">
        <v>205.3</v>
      </c>
      <c r="CP116" s="2" t="n">
        <v>186.9</v>
      </c>
      <c r="CQ116" s="2" t="n">
        <v>18.4</v>
      </c>
      <c r="CR116" s="2" t="inlineStr">
        <is>
          <t>NA</t>
        </is>
      </c>
      <c r="CS116" s="2" t="n">
        <v>49.1</v>
      </c>
      <c r="CT116" s="2" t="n">
        <v>35.5</v>
      </c>
      <c r="CU116" s="2" t="n">
        <v>13.6</v>
      </c>
      <c r="CV116" s="2" t="n">
        <v>73.59999999999999</v>
      </c>
      <c r="CW116" s="2" t="n">
        <v>33.5</v>
      </c>
      <c r="CX116" s="2" t="n">
        <v>40.1</v>
      </c>
      <c r="CY116" s="2" t="n">
        <v>12.1</v>
      </c>
      <c r="CZ116" s="2" t="n">
        <v>118.5</v>
      </c>
      <c r="DA116" s="2" t="n">
        <v>41.5</v>
      </c>
      <c r="DB116" s="2" t="n">
        <v>39.8</v>
      </c>
      <c r="DC116" s="2" t="n">
        <v>1.7</v>
      </c>
      <c r="DG116" s="2" t="n">
        <v>122.1</v>
      </c>
      <c r="DI116" s="2" t="n">
        <v>542.4</v>
      </c>
      <c r="DJ116" s="2" t="n">
        <v>148.6</v>
      </c>
      <c r="DK116" s="2" t="n">
        <v>451</v>
      </c>
      <c r="DL116" s="2" t="n">
        <v>119.2</v>
      </c>
      <c r="DM116" s="2" t="n">
        <v>205.9</v>
      </c>
      <c r="DO116" s="2" t="n">
        <v>161.6</v>
      </c>
      <c r="DP116" s="2" t="n">
        <v>171.2</v>
      </c>
      <c r="DS116" s="2" t="n">
        <v>731.7</v>
      </c>
      <c r="DT116" s="2" t="n">
        <v>2806.1</v>
      </c>
      <c r="DU116" s="2" t="n">
        <v>-274.4999999999995</v>
      </c>
      <c r="DV116" s="2" t="n">
        <v>0</v>
      </c>
      <c r="GZ116" s="2" t="n">
        <v>830.1</v>
      </c>
      <c r="IN116" s="2" t="n">
        <v>137</v>
      </c>
      <c r="IY116" s="2" t="n">
        <v>47.44235772067994</v>
      </c>
      <c r="IZ116" s="2" t="n">
        <v>0.03235772067994702</v>
      </c>
      <c r="JB116" s="2" t="n">
        <v>11.13146359716332</v>
      </c>
      <c r="JC116" s="2" t="n">
        <v>-0.1185364028366767</v>
      </c>
      <c r="JE116" s="2" t="n">
        <v>2893.4</v>
      </c>
      <c r="JF116" s="2" t="n">
        <v>0.3389037118960393</v>
      </c>
    </row>
    <row r="117">
      <c r="A117" s="1" t="n">
        <v>32599</v>
      </c>
      <c r="B117" s="2" t="n">
        <v>2687.4</v>
      </c>
      <c r="C117" s="2" t="n">
        <v>2183.2</v>
      </c>
      <c r="D117" s="2" t="n">
        <v>336.6</v>
      </c>
      <c r="E117" s="2" t="n">
        <v>1635</v>
      </c>
      <c r="F117" s="2" t="n">
        <v>29.1</v>
      </c>
      <c r="G117" s="2" t="n">
        <v>57.9</v>
      </c>
      <c r="H117" s="2" t="n">
        <v>23.3</v>
      </c>
      <c r="I117" s="2" t="inlineStr">
        <is>
          <t>NA</t>
        </is>
      </c>
      <c r="J117" s="2" t="inlineStr">
        <is>
          <t>NA</t>
        </is>
      </c>
      <c r="K117" s="2" t="n">
        <v>1004</v>
      </c>
      <c r="L117" s="2" t="n">
        <v>2758.9</v>
      </c>
      <c r="M117" s="2" t="n">
        <v>2496.3</v>
      </c>
      <c r="N117" s="2" t="n">
        <v>262.6</v>
      </c>
      <c r="O117" s="2" t="n">
        <v>111.7</v>
      </c>
      <c r="P117" s="2" t="n">
        <v>263.7</v>
      </c>
      <c r="Q117" s="2" t="n">
        <v>117.7</v>
      </c>
      <c r="R117" s="2" t="n">
        <v>146</v>
      </c>
      <c r="T117" s="2" t="n">
        <v>24.3</v>
      </c>
      <c r="U117" s="2" t="n">
        <v>25.1</v>
      </c>
      <c r="V117" s="2" t="n">
        <v>22.7</v>
      </c>
      <c r="W117" s="2" t="n">
        <v>2.4</v>
      </c>
      <c r="X117" s="2" t="n">
        <v>48.3</v>
      </c>
      <c r="Y117" s="2" t="n">
        <v>5.8</v>
      </c>
      <c r="Z117" s="2" t="n">
        <v>122</v>
      </c>
      <c r="AA117" s="2" t="n">
        <v>119.5</v>
      </c>
      <c r="AB117" s="2" t="n">
        <v>2.5</v>
      </c>
      <c r="AC117" s="2" t="inlineStr">
        <is>
          <t>NA</t>
        </is>
      </c>
      <c r="AD117" s="2" t="inlineStr">
        <is>
          <t>NA</t>
        </is>
      </c>
      <c r="AG117" s="2" t="inlineStr">
        <is>
          <t>NA</t>
        </is>
      </c>
      <c r="AH117" s="2" t="n">
        <v>12.4</v>
      </c>
      <c r="AI117" s="2" t="n">
        <v>122</v>
      </c>
      <c r="AL117" s="2" t="n">
        <v>100.1</v>
      </c>
      <c r="AM117" s="2" t="n">
        <v>63.3</v>
      </c>
      <c r="AN117" s="2" t="n">
        <v>36.8</v>
      </c>
      <c r="AO117" s="2" t="n">
        <v>2023.5</v>
      </c>
      <c r="AP117" s="2" t="n">
        <v>263.3</v>
      </c>
      <c r="AQ117" s="2" t="n">
        <v>103.1</v>
      </c>
      <c r="AR117" s="2" t="n">
        <v>33.5</v>
      </c>
      <c r="AS117" s="2" t="n">
        <v>152.7</v>
      </c>
      <c r="AT117" s="2" t="n">
        <v>89.3</v>
      </c>
      <c r="AU117" s="2" t="n">
        <v>88.90000000000001</v>
      </c>
      <c r="AV117" s="2" t="n">
        <v>36.8</v>
      </c>
      <c r="AW117" s="2" t="n">
        <v>16.8</v>
      </c>
      <c r="AX117" s="2" t="n">
        <v>5.1</v>
      </c>
      <c r="AY117" s="2" t="n">
        <v>29.8</v>
      </c>
      <c r="AZ117" s="2" t="inlineStr">
        <is>
          <t>NA</t>
        </is>
      </c>
      <c r="BA117" s="2" t="inlineStr">
        <is>
          <t>NA</t>
        </is>
      </c>
      <c r="BB117" s="2" t="inlineStr">
        <is>
          <t>NA</t>
        </is>
      </c>
      <c r="BD117" s="2" t="n">
        <v>87.5</v>
      </c>
      <c r="BE117" s="2" t="n">
        <v>43.3</v>
      </c>
      <c r="BH117" s="2" t="n">
        <v>308.1</v>
      </c>
      <c r="BK117" s="2" t="n">
        <v>155.6</v>
      </c>
      <c r="BL117" s="2" t="n">
        <v>4.9</v>
      </c>
      <c r="BM117" s="2" t="n">
        <v>468.5</v>
      </c>
      <c r="BN117" s="2" t="n">
        <v>344.7</v>
      </c>
      <c r="BQ117" s="2" t="n">
        <v>82.5</v>
      </c>
      <c r="BR117" s="2" t="n">
        <v>3.8</v>
      </c>
      <c r="BS117" s="2" t="n">
        <v>431</v>
      </c>
      <c r="BT117" s="2" t="n">
        <v>78</v>
      </c>
      <c r="BU117" s="2" t="n">
        <v>34.2</v>
      </c>
      <c r="BV117" s="2" t="n">
        <v>295.1</v>
      </c>
      <c r="BW117" s="2" t="n">
        <v>95.90000000000001</v>
      </c>
      <c r="BX117" s="2" t="n">
        <v>397</v>
      </c>
      <c r="BY117" s="2" t="n">
        <v>57.5</v>
      </c>
      <c r="BZ117" s="2" t="n">
        <v>18.4</v>
      </c>
      <c r="CA117" s="2" t="n">
        <v>75.90000000000001</v>
      </c>
      <c r="CF117" s="2" t="n">
        <v>133.2</v>
      </c>
      <c r="CG117" s="2" t="n">
        <v>127.7</v>
      </c>
      <c r="CH117" s="2" t="n">
        <v>28.3</v>
      </c>
      <c r="CN117" s="2" t="n">
        <v>60.3</v>
      </c>
      <c r="CO117" s="2" t="n">
        <v>167.7</v>
      </c>
      <c r="CP117" s="2" t="n">
        <v>149.4</v>
      </c>
      <c r="CQ117" s="2" t="n">
        <v>18.3</v>
      </c>
      <c r="CR117" s="2" t="inlineStr">
        <is>
          <t>NA</t>
        </is>
      </c>
      <c r="CS117" s="2" t="n">
        <v>54.59999999999999</v>
      </c>
      <c r="CT117" s="2" t="n">
        <v>39.3</v>
      </c>
      <c r="CU117" s="2" t="n">
        <v>15.3</v>
      </c>
      <c r="CV117" s="2" t="n">
        <v>69.8</v>
      </c>
      <c r="CW117" s="2" t="n">
        <v>26.9</v>
      </c>
      <c r="CX117" s="2" t="n">
        <v>42.9</v>
      </c>
      <c r="CY117" s="2" t="n">
        <v>7.2</v>
      </c>
      <c r="CZ117" s="2" t="n">
        <v>113.7</v>
      </c>
      <c r="DA117" s="2" t="n">
        <v>31.7</v>
      </c>
      <c r="DB117" s="2" t="n">
        <v>29</v>
      </c>
      <c r="DC117" s="2" t="n">
        <v>2.7</v>
      </c>
      <c r="DG117" s="2" t="n">
        <v>114.6</v>
      </c>
      <c r="DI117" s="2" t="n">
        <v>523.4</v>
      </c>
      <c r="DK117" s="2" t="n">
        <v>463.9</v>
      </c>
      <c r="DL117" s="2" t="n">
        <v>120</v>
      </c>
      <c r="DM117" s="2" t="n">
        <v>167.1</v>
      </c>
      <c r="DO117" s="2" t="n">
        <v>146.2</v>
      </c>
      <c r="DP117" s="2" t="n">
        <v>161.4</v>
      </c>
      <c r="DS117" s="2" t="n">
        <v>719.7</v>
      </c>
      <c r="DT117" s="2" t="n">
        <v>2687.4</v>
      </c>
      <c r="DU117" s="2" t="n">
        <v>-385.7000000000003</v>
      </c>
      <c r="DV117" s="2" t="n">
        <v>0</v>
      </c>
      <c r="GZ117" s="2" t="n">
        <v>800.6</v>
      </c>
      <c r="IN117" s="2" t="n">
        <v>116.3</v>
      </c>
      <c r="IY117" s="2" t="n">
        <v>47.47934806876535</v>
      </c>
      <c r="IZ117" s="2" t="n">
        <v>0.03934806876534935</v>
      </c>
      <c r="JB117" s="2" t="n">
        <v>11.20785889707524</v>
      </c>
      <c r="JC117" s="2" t="n">
        <v>-0.06214110292475894</v>
      </c>
      <c r="JE117" s="2" t="n">
        <v>2758.9</v>
      </c>
      <c r="JF117" s="2" t="n">
        <v>0.3627884301714451</v>
      </c>
    </row>
    <row r="118">
      <c r="A118" s="1" t="n">
        <v>32629</v>
      </c>
      <c r="B118" s="2" t="n">
        <v>2608.7</v>
      </c>
      <c r="C118" s="2" t="n">
        <v>1575.7</v>
      </c>
      <c r="D118" s="2" t="n">
        <v>321.7</v>
      </c>
      <c r="E118" s="2" t="n">
        <v>1268.7</v>
      </c>
      <c r="F118" s="2" t="n">
        <v>23.4</v>
      </c>
      <c r="G118" s="2" t="inlineStr">
        <is>
          <t>NA</t>
        </is>
      </c>
      <c r="H118" s="2" t="n">
        <v>21.1</v>
      </c>
      <c r="I118" s="2" t="inlineStr">
        <is>
          <t>NA</t>
        </is>
      </c>
      <c r="J118" s="2" t="inlineStr">
        <is>
          <t>NA</t>
        </is>
      </c>
      <c r="K118" s="2" t="n">
        <v>977.4</v>
      </c>
      <c r="L118" s="2" t="n">
        <v>2743.3</v>
      </c>
      <c r="M118" s="2" t="n">
        <v>2487.5</v>
      </c>
      <c r="N118" s="2" t="n">
        <v>255.8</v>
      </c>
      <c r="O118" s="2" t="n">
        <v>109.7</v>
      </c>
      <c r="P118" s="2" t="n">
        <v>249.3</v>
      </c>
      <c r="Q118" s="2" t="n">
        <v>87.8</v>
      </c>
      <c r="R118" s="2" t="n">
        <v>161.5</v>
      </c>
      <c r="T118" s="2" t="n">
        <v>19</v>
      </c>
      <c r="U118" s="2" t="n">
        <v>31</v>
      </c>
      <c r="V118" s="2" t="n">
        <v>27.6</v>
      </c>
      <c r="W118" s="2" t="n">
        <v>3.4</v>
      </c>
      <c r="X118" s="2" t="inlineStr">
        <is>
          <t>NA</t>
        </is>
      </c>
      <c r="Y118" s="2" t="n">
        <v>6.7</v>
      </c>
      <c r="Z118" s="2" t="n">
        <v>127.3</v>
      </c>
      <c r="AA118" s="2" t="n">
        <v>124.6</v>
      </c>
      <c r="AB118" s="2" t="n">
        <v>2.7</v>
      </c>
      <c r="AC118" s="2" t="inlineStr">
        <is>
          <t>NA</t>
        </is>
      </c>
      <c r="AD118" s="2" t="inlineStr">
        <is>
          <t>NA</t>
        </is>
      </c>
      <c r="AF118" s="2" t="n">
        <v>21.7</v>
      </c>
      <c r="AG118" s="2" t="n">
        <v>7.7</v>
      </c>
      <c r="AH118" s="2" t="n">
        <v>14</v>
      </c>
      <c r="AI118" s="2" t="n">
        <v>125.1</v>
      </c>
      <c r="AL118" s="2" t="n">
        <v>108.7</v>
      </c>
      <c r="AM118" s="2" t="n">
        <v>74.3</v>
      </c>
      <c r="AN118" s="2" t="n">
        <v>34.4</v>
      </c>
      <c r="AO118" s="2" t="n">
        <v>1956.3</v>
      </c>
      <c r="AP118" s="2" t="n">
        <v>231.2</v>
      </c>
      <c r="AQ118" s="2" t="n">
        <v>104.9</v>
      </c>
      <c r="AR118" s="2" t="n">
        <v>29.2</v>
      </c>
      <c r="AS118" s="2" t="n">
        <v>147.6</v>
      </c>
      <c r="AT118" s="2" t="n">
        <v>117.7</v>
      </c>
      <c r="AU118" s="2" t="n">
        <v>78.59999999999999</v>
      </c>
      <c r="AV118" s="2" t="n">
        <v>37.6</v>
      </c>
      <c r="AW118" s="2" t="n">
        <v>13.7</v>
      </c>
      <c r="AX118" s="2" t="n">
        <v>6</v>
      </c>
      <c r="AY118" s="2" t="n">
        <v>20.6</v>
      </c>
      <c r="AZ118" s="2" t="inlineStr">
        <is>
          <t>NA</t>
        </is>
      </c>
      <c r="BA118" s="2" t="inlineStr">
        <is>
          <t>NA</t>
        </is>
      </c>
      <c r="BB118" s="2" t="inlineStr">
        <is>
          <t>NA</t>
        </is>
      </c>
      <c r="BD118" s="2" t="n">
        <v>108.7</v>
      </c>
      <c r="BE118" s="2" t="n">
        <v>35.3</v>
      </c>
      <c r="BH118" s="2" t="n">
        <v>355.3</v>
      </c>
      <c r="BK118" s="2" t="n">
        <v>152.4</v>
      </c>
      <c r="BL118" s="2" t="n">
        <v>5.7</v>
      </c>
      <c r="BM118" s="2" t="n">
        <v>513.4</v>
      </c>
      <c r="BN118" s="2" t="n">
        <v>315.2</v>
      </c>
      <c r="BQ118" s="2" t="n">
        <v>68.09999999999999</v>
      </c>
      <c r="BR118" s="2" t="n">
        <v>5</v>
      </c>
      <c r="BS118" s="2" t="n">
        <v>388.3</v>
      </c>
      <c r="BT118" s="2" t="n">
        <v>80</v>
      </c>
      <c r="BU118" s="2" t="n">
        <v>37.6</v>
      </c>
      <c r="BV118" s="2" t="n">
        <v>320.3</v>
      </c>
      <c r="BW118" s="2" t="n">
        <v>107.1</v>
      </c>
      <c r="BX118" s="2" t="n">
        <v>436</v>
      </c>
      <c r="BY118" s="2" t="n">
        <v>55</v>
      </c>
      <c r="BZ118" s="2" t="n">
        <v>9.199999999999999</v>
      </c>
      <c r="CA118" s="2" t="n">
        <v>64.2</v>
      </c>
      <c r="CF118" s="2" t="n">
        <v>123.7</v>
      </c>
      <c r="CG118" s="2" t="n">
        <v>134.1</v>
      </c>
      <c r="CH118" s="2" t="n">
        <v>25.8</v>
      </c>
      <c r="CN118" s="2" t="n">
        <v>59.2</v>
      </c>
      <c r="CO118" s="2" t="n">
        <v>134.7</v>
      </c>
      <c r="CP118" s="2" t="n">
        <v>121.8</v>
      </c>
      <c r="CQ118" s="2" t="n">
        <v>12.9</v>
      </c>
      <c r="CR118" s="2" t="inlineStr">
        <is>
          <t>NA</t>
        </is>
      </c>
      <c r="CS118" s="2" t="n">
        <v>47.5</v>
      </c>
      <c r="CT118" s="2" t="n">
        <v>35.1</v>
      </c>
      <c r="CU118" s="2" t="n">
        <v>12.4</v>
      </c>
      <c r="CV118" s="2" t="n">
        <v>55.7</v>
      </c>
      <c r="CW118" s="2" t="n">
        <v>18.8</v>
      </c>
      <c r="CX118" s="2" t="n">
        <v>36.9</v>
      </c>
      <c r="CY118" s="2" t="n">
        <v>8.1</v>
      </c>
      <c r="CZ118" s="2" t="n">
        <v>127.7</v>
      </c>
      <c r="DA118" s="2" t="n">
        <v>24.5</v>
      </c>
      <c r="DB118" s="2" t="n">
        <v>22.2</v>
      </c>
      <c r="DC118" s="2" t="n">
        <v>2.3</v>
      </c>
      <c r="DG118" s="2" t="n">
        <v>106.5</v>
      </c>
      <c r="DI118" s="2" t="n">
        <v>475.9</v>
      </c>
      <c r="DK118" s="2" t="n">
        <v>424.9</v>
      </c>
      <c r="DL118" s="2" t="n">
        <v>119.4</v>
      </c>
      <c r="DM118" s="2" t="n">
        <v>200.8</v>
      </c>
      <c r="DO118" s="2" t="n">
        <v>148.3</v>
      </c>
      <c r="DP118" s="2" t="n">
        <v>142.9</v>
      </c>
      <c r="DS118" s="2" t="n">
        <v>685.1</v>
      </c>
      <c r="DT118" s="2" t="n">
        <v>2608.7</v>
      </c>
      <c r="DU118" s="2" t="n">
        <v>-411.3999999999996</v>
      </c>
      <c r="DV118" s="2" t="n">
        <v>0</v>
      </c>
      <c r="GZ118" s="2" t="n">
        <v>867.4</v>
      </c>
      <c r="IN118" s="2" t="n">
        <v>119.1</v>
      </c>
      <c r="IY118" s="2" t="n">
        <v>47.40752098746502</v>
      </c>
      <c r="IZ118" s="2" t="n">
        <v>-2.992479012534979</v>
      </c>
      <c r="JB118" s="2" t="n">
        <v>11.24008126653122</v>
      </c>
      <c r="JC118" s="2" t="n">
        <v>-0.09991873346877789</v>
      </c>
      <c r="JE118" s="2" t="n">
        <v>2743.3</v>
      </c>
      <c r="JF118" s="2" t="n">
        <v>0.3604166514781467</v>
      </c>
    </row>
    <row r="119">
      <c r="A119" s="1" t="n">
        <v>32660</v>
      </c>
      <c r="B119" s="2" t="n">
        <v>2280.4</v>
      </c>
      <c r="C119" s="2" t="n">
        <v>1384</v>
      </c>
      <c r="D119" s="2" t="n">
        <v>287</v>
      </c>
      <c r="E119" s="2" t="n">
        <v>840.7</v>
      </c>
      <c r="F119" s="2" t="n">
        <v>40.7</v>
      </c>
      <c r="G119" s="2" t="n">
        <v>35.6</v>
      </c>
      <c r="H119" s="2" t="n">
        <v>27.2</v>
      </c>
      <c r="I119" s="2" t="inlineStr">
        <is>
          <t>NA</t>
        </is>
      </c>
      <c r="J119" s="2" t="inlineStr">
        <is>
          <t>NA</t>
        </is>
      </c>
      <c r="K119" s="2" t="n">
        <v>856.1</v>
      </c>
      <c r="L119" s="2" t="n">
        <v>2683.1</v>
      </c>
      <c r="M119" s="2" t="n">
        <v>2437.7</v>
      </c>
      <c r="N119" s="2" t="n">
        <v>245.4</v>
      </c>
      <c r="O119" s="2" t="n">
        <v>94.5</v>
      </c>
      <c r="P119" s="2" t="n">
        <v>266.7</v>
      </c>
      <c r="Q119" s="2" t="n">
        <v>88.09999999999999</v>
      </c>
      <c r="R119" s="2" t="n">
        <v>178.6</v>
      </c>
      <c r="T119" s="2" t="n">
        <v>33.4</v>
      </c>
      <c r="U119" s="2" t="n">
        <v>38</v>
      </c>
      <c r="V119" s="2" t="n">
        <v>34.6</v>
      </c>
      <c r="W119" s="2" t="n">
        <v>3.4</v>
      </c>
      <c r="X119" s="2" t="n">
        <v>28.9</v>
      </c>
      <c r="Y119" s="2" t="n">
        <v>5</v>
      </c>
      <c r="Z119" s="2" t="n">
        <v>136</v>
      </c>
      <c r="AA119" s="2" t="n">
        <v>132.8</v>
      </c>
      <c r="AB119" s="2" t="n">
        <v>3.2</v>
      </c>
      <c r="AC119" s="2" t="inlineStr">
        <is>
          <t>NA</t>
        </is>
      </c>
      <c r="AD119" s="2" t="inlineStr">
        <is>
          <t>NA</t>
        </is>
      </c>
      <c r="AF119" s="2" t="n">
        <v>20.8</v>
      </c>
      <c r="AG119" s="2" t="n">
        <v>6.9</v>
      </c>
      <c r="AH119" s="2" t="n">
        <v>13.9</v>
      </c>
      <c r="AI119" s="2" t="n">
        <v>119.9</v>
      </c>
      <c r="AL119" s="2" t="n">
        <v>102.3</v>
      </c>
      <c r="AM119" s="2" t="n">
        <v>61.9</v>
      </c>
      <c r="AN119" s="2" t="n">
        <v>40.4</v>
      </c>
      <c r="AO119" s="2" t="n">
        <v>1705.8</v>
      </c>
      <c r="AP119" s="2" t="n">
        <v>191.7</v>
      </c>
      <c r="AQ119" s="2" t="n">
        <v>97.09999999999999</v>
      </c>
      <c r="AR119" s="2" t="n">
        <v>26.3</v>
      </c>
      <c r="AS119" s="2" t="n">
        <v>126.7</v>
      </c>
      <c r="AT119" s="2" t="n">
        <v>141.5</v>
      </c>
      <c r="AU119" s="2" t="n">
        <v>73.7</v>
      </c>
      <c r="AV119" s="2" t="n">
        <v>42.9</v>
      </c>
      <c r="AW119" s="2" t="n">
        <v>33.4</v>
      </c>
      <c r="AX119" s="2" t="n">
        <v>25.2</v>
      </c>
      <c r="AY119" s="2" t="n">
        <v>18</v>
      </c>
      <c r="AZ119" s="2" t="inlineStr">
        <is>
          <t>NA</t>
        </is>
      </c>
      <c r="BA119" s="2" t="inlineStr">
        <is>
          <t>NA</t>
        </is>
      </c>
      <c r="BB119" s="2" t="inlineStr">
        <is>
          <t>NA</t>
        </is>
      </c>
      <c r="BD119" s="2" t="n">
        <v>103</v>
      </c>
      <c r="BE119" s="2" t="n">
        <v>42.2</v>
      </c>
      <c r="BH119" s="2" t="n">
        <v>334.8</v>
      </c>
      <c r="BK119" s="2" t="n">
        <v>142</v>
      </c>
      <c r="BL119" s="2" t="n">
        <v>5.7</v>
      </c>
      <c r="BM119" s="2" t="n">
        <v>482.5</v>
      </c>
      <c r="BN119" s="2" t="n">
        <v>306.3</v>
      </c>
      <c r="BQ119" s="2" t="n">
        <v>71.8</v>
      </c>
      <c r="BR119" s="2" t="n">
        <v>4.8</v>
      </c>
      <c r="BS119" s="2" t="n">
        <v>382.9</v>
      </c>
      <c r="BT119" s="2" t="n">
        <v>73</v>
      </c>
      <c r="BU119" s="2" t="n">
        <v>41.3</v>
      </c>
      <c r="BV119" s="2" t="n">
        <v>326.3</v>
      </c>
      <c r="BW119" s="2" t="n">
        <v>115.9</v>
      </c>
      <c r="BX119" s="2" t="n">
        <v>451.1</v>
      </c>
      <c r="BY119" s="2" t="n">
        <v>44.2</v>
      </c>
      <c r="BZ119" s="2" t="n">
        <v>8.9</v>
      </c>
      <c r="CA119" s="2" t="n">
        <v>53.1</v>
      </c>
      <c r="CF119" s="2" t="n">
        <v>132</v>
      </c>
      <c r="CG119" s="2" t="n">
        <v>127.9</v>
      </c>
      <c r="CH119" s="2" t="n">
        <v>25.9</v>
      </c>
      <c r="CN119" s="2" t="n">
        <v>67.8</v>
      </c>
      <c r="CO119" s="2" t="n">
        <v>189.9</v>
      </c>
      <c r="CP119" s="2" t="n">
        <v>173.4</v>
      </c>
      <c r="CQ119" s="2" t="n">
        <v>16.5</v>
      </c>
      <c r="CR119" s="2" t="inlineStr">
        <is>
          <t>NA</t>
        </is>
      </c>
      <c r="CS119" s="2" t="n">
        <v>48.40000000000001</v>
      </c>
      <c r="CT119" s="2" t="n">
        <v>30.3</v>
      </c>
      <c r="CU119" s="2" t="n">
        <v>18.1</v>
      </c>
      <c r="CV119" s="2" t="n">
        <v>45.8</v>
      </c>
      <c r="CW119" s="2" t="n">
        <v>14.4</v>
      </c>
      <c r="CX119" s="2" t="n">
        <v>31.4</v>
      </c>
      <c r="CY119" s="2" t="n">
        <v>10.6</v>
      </c>
      <c r="CZ119" s="2" t="n">
        <v>111.3</v>
      </c>
      <c r="DA119" s="2" t="n">
        <v>22.3</v>
      </c>
      <c r="DB119" s="2" t="n">
        <v>19.6</v>
      </c>
      <c r="DC119" s="2" t="n">
        <v>2.7</v>
      </c>
      <c r="DG119" s="2" t="n">
        <v>77.09999999999999</v>
      </c>
      <c r="DI119" s="2" t="n">
        <v>434.9</v>
      </c>
      <c r="DK119" s="2" t="n">
        <v>397.9</v>
      </c>
      <c r="DL119" s="2" t="n">
        <v>92.09999999999999</v>
      </c>
      <c r="DM119" s="2" t="n">
        <v>205.6</v>
      </c>
      <c r="DO119" s="2" t="n">
        <v>148.8</v>
      </c>
      <c r="DP119" s="2" t="n">
        <v>171.3</v>
      </c>
      <c r="DS119" s="2" t="n">
        <v>475.6</v>
      </c>
      <c r="DT119" s="2" t="n">
        <v>2280.4</v>
      </c>
      <c r="DU119" s="2" t="n">
        <v>-354.2000000000003</v>
      </c>
      <c r="DV119" s="2" t="n">
        <v>0</v>
      </c>
      <c r="GZ119" s="2" t="n">
        <v>801.4</v>
      </c>
      <c r="IN119" s="2" t="n">
        <v>102.8</v>
      </c>
      <c r="IY119" s="2" t="n">
        <v>47.43641466409402</v>
      </c>
      <c r="IZ119" s="2" t="n">
        <v>0.07641466409401687</v>
      </c>
      <c r="JB119" s="2" t="n">
        <v>11.26249780740221</v>
      </c>
      <c r="JC119" s="2" t="n">
        <v>-0.05750219259778966</v>
      </c>
      <c r="JE119" s="2" t="n">
        <v>2683.1</v>
      </c>
      <c r="JF119" s="2" t="n">
        <v>0.3443073310722672</v>
      </c>
    </row>
    <row r="120">
      <c r="A120" s="1" t="n">
        <v>32690</v>
      </c>
      <c r="B120" s="2" t="n">
        <v>2220.9</v>
      </c>
      <c r="C120" s="2" t="n">
        <v>929.8</v>
      </c>
      <c r="D120" s="2" t="n">
        <v>228.9</v>
      </c>
      <c r="E120" s="2" t="n">
        <v>664.9</v>
      </c>
      <c r="F120" s="2" t="n">
        <v>31.1</v>
      </c>
      <c r="G120" s="2" t="n">
        <v>36.8</v>
      </c>
      <c r="H120" s="2" t="inlineStr">
        <is>
          <t>NA</t>
        </is>
      </c>
      <c r="I120" s="2" t="inlineStr">
        <is>
          <t>NA</t>
        </is>
      </c>
      <c r="J120" s="2" t="inlineStr">
        <is>
          <t>NA</t>
        </is>
      </c>
      <c r="K120" s="2" t="n">
        <v>835.9</v>
      </c>
      <c r="L120" s="2" t="n">
        <v>2426.9</v>
      </c>
      <c r="M120" s="2" t="n">
        <v>2178.2</v>
      </c>
      <c r="N120" s="2" t="n">
        <v>248.7</v>
      </c>
      <c r="O120" s="2" t="n">
        <v>76.59999999999999</v>
      </c>
      <c r="P120" s="2" t="n">
        <v>247.6</v>
      </c>
      <c r="Q120" s="2" t="n">
        <v>91.09999999999999</v>
      </c>
      <c r="R120" s="2" t="n">
        <v>156.5</v>
      </c>
      <c r="T120" s="2" t="n">
        <v>26.6</v>
      </c>
      <c r="U120" s="2" t="n">
        <v>37.7</v>
      </c>
      <c r="V120" s="2" t="n">
        <v>32.6</v>
      </c>
      <c r="W120" s="2" t="n">
        <v>5.1</v>
      </c>
      <c r="X120" s="2" t="n">
        <v>31.9</v>
      </c>
      <c r="Y120" s="2" t="n">
        <v>4.7</v>
      </c>
      <c r="Z120" s="2" t="n">
        <v>146.6</v>
      </c>
      <c r="AA120" s="2" t="n">
        <v>144.8</v>
      </c>
      <c r="AB120" s="2" t="n">
        <v>1.8</v>
      </c>
      <c r="AC120" s="2" t="inlineStr">
        <is>
          <t>NA</t>
        </is>
      </c>
      <c r="AD120" s="2" t="inlineStr">
        <is>
          <t>NA</t>
        </is>
      </c>
      <c r="AF120" s="2" t="n">
        <v>20.5</v>
      </c>
      <c r="AG120" s="2" t="n">
        <v>6.4</v>
      </c>
      <c r="AH120" s="2" t="n">
        <v>14.1</v>
      </c>
      <c r="AI120" s="2" t="n">
        <v>118.6</v>
      </c>
      <c r="AL120" s="2" t="n">
        <v>99.90000000000001</v>
      </c>
      <c r="AM120" s="2" t="n">
        <v>58.9</v>
      </c>
      <c r="AN120" s="2" t="n">
        <v>41</v>
      </c>
      <c r="AO120" s="2" t="n">
        <v>1652.1</v>
      </c>
      <c r="AP120" s="2" t="n">
        <v>232.9</v>
      </c>
      <c r="AQ120" s="2" t="n">
        <v>97.09999999999999</v>
      </c>
      <c r="AR120" s="2" t="n">
        <v>32</v>
      </c>
      <c r="AS120" s="2" t="n">
        <v>106.1</v>
      </c>
      <c r="AT120" s="2" t="n">
        <v>143.1</v>
      </c>
      <c r="AU120" s="2" t="n">
        <v>59.5</v>
      </c>
      <c r="AV120" s="2" t="n">
        <v>42.8</v>
      </c>
      <c r="AW120" s="2" t="n">
        <v>17.6</v>
      </c>
      <c r="AX120" s="2" t="n">
        <v>10.5</v>
      </c>
      <c r="AY120" s="2" t="n">
        <v>19.8</v>
      </c>
      <c r="AZ120" s="2" t="inlineStr">
        <is>
          <t>NA</t>
        </is>
      </c>
      <c r="BA120" s="2" t="inlineStr">
        <is>
          <t>NA</t>
        </is>
      </c>
      <c r="BB120" s="2" t="inlineStr">
        <is>
          <t>NA</t>
        </is>
      </c>
      <c r="BD120" s="2" t="n">
        <v>94.59999999999999</v>
      </c>
      <c r="BE120" s="2" t="n">
        <v>41.9</v>
      </c>
      <c r="BH120" s="2" t="n">
        <v>373.5</v>
      </c>
      <c r="BK120" s="2" t="n">
        <v>72.40000000000001</v>
      </c>
      <c r="BL120" s="2" t="n">
        <v>5.4</v>
      </c>
      <c r="BM120" s="2" t="n">
        <v>451.4</v>
      </c>
      <c r="BN120" s="2" t="n">
        <v>373.5</v>
      </c>
      <c r="BQ120" s="2" t="n">
        <v>72.40000000000001</v>
      </c>
      <c r="BR120" s="2" t="n">
        <v>5.4</v>
      </c>
      <c r="BS120" s="2" t="n">
        <v>451.3</v>
      </c>
      <c r="BT120" s="2" t="inlineStr">
        <is>
          <t>NA</t>
        </is>
      </c>
      <c r="BU120" s="2" t="n">
        <v>32.4</v>
      </c>
      <c r="BV120" s="2" t="n">
        <v>301.7</v>
      </c>
      <c r="BW120" s="2" t="n">
        <v>109</v>
      </c>
      <c r="BX120" s="2" t="n">
        <v>418.8</v>
      </c>
      <c r="BY120" s="2" t="n">
        <v>56.7</v>
      </c>
      <c r="BZ120" s="2" t="n">
        <v>9.6</v>
      </c>
      <c r="CA120" s="2" t="n">
        <v>66.3</v>
      </c>
      <c r="CF120" s="2" t="n">
        <v>123.7</v>
      </c>
      <c r="CG120" s="2" t="n">
        <v>133.4</v>
      </c>
      <c r="CH120" s="2" t="n">
        <v>25.8</v>
      </c>
      <c r="CN120" s="2" t="n">
        <v>57.3</v>
      </c>
      <c r="CO120" s="2" t="n">
        <v>177.5</v>
      </c>
      <c r="CP120" s="2" t="n">
        <v>159.7</v>
      </c>
      <c r="CQ120" s="2" t="n">
        <v>17.8</v>
      </c>
      <c r="CR120" s="2" t="inlineStr">
        <is>
          <t>NA</t>
        </is>
      </c>
      <c r="CS120" s="2" t="n">
        <v>43.8</v>
      </c>
      <c r="CT120" s="2" t="n">
        <v>27.5</v>
      </c>
      <c r="CU120" s="2" t="n">
        <v>16.3</v>
      </c>
      <c r="CV120" s="2" t="n">
        <v>45.2</v>
      </c>
      <c r="CW120" s="2" t="n">
        <v>12.9</v>
      </c>
      <c r="CX120" s="2" t="n">
        <v>32.3</v>
      </c>
      <c r="CY120" s="2" t="inlineStr">
        <is>
          <t>NA</t>
        </is>
      </c>
      <c r="CZ120" s="2" t="n">
        <v>95.90000000000001</v>
      </c>
      <c r="DA120" s="2" t="n">
        <v>25.6</v>
      </c>
      <c r="DB120" s="2" t="n">
        <v>23.2</v>
      </c>
      <c r="DC120" s="2" t="n">
        <v>2.4</v>
      </c>
      <c r="DG120" s="2" t="n">
        <v>67.90000000000001</v>
      </c>
      <c r="DI120" s="2" t="n">
        <v>400</v>
      </c>
      <c r="DK120" s="2" t="n">
        <v>392.2</v>
      </c>
      <c r="DL120" s="2" t="n">
        <v>110.7</v>
      </c>
      <c r="DM120" s="2" t="n">
        <v>203.4</v>
      </c>
      <c r="DO120" s="2" t="n">
        <v>147.4</v>
      </c>
      <c r="DP120" s="2" t="n">
        <v>169.8</v>
      </c>
      <c r="DS120" s="2" t="n">
        <v>451.9</v>
      </c>
      <c r="DT120" s="2" t="n">
        <v>2220.9</v>
      </c>
      <c r="DU120" s="2" t="n">
        <v>-345.5</v>
      </c>
      <c r="DV120" s="2" t="n">
        <v>0</v>
      </c>
      <c r="GZ120" s="2" t="n">
        <v>791.4</v>
      </c>
      <c r="IN120" s="2" t="n">
        <v>71.59999999999999</v>
      </c>
      <c r="IY120" s="2" t="n">
        <v>47.25651762798865</v>
      </c>
      <c r="IZ120" s="2" t="n">
        <v>-0.7434823720113499</v>
      </c>
      <c r="JB120" s="2" t="n">
        <v>11.29136836417668</v>
      </c>
      <c r="JC120" s="2" t="n">
        <v>-0.2286316358233158</v>
      </c>
      <c r="JE120" s="2" t="n">
        <v>2426.9</v>
      </c>
      <c r="JF120" s="2" t="n">
        <v>0.3268956281676213</v>
      </c>
    </row>
    <row r="121">
      <c r="A121" s="1" t="n">
        <v>32721</v>
      </c>
      <c r="B121" s="2" t="n">
        <v>2275.9</v>
      </c>
      <c r="C121" s="2" t="n">
        <v>712.9</v>
      </c>
      <c r="D121" s="2" t="n">
        <v>218.6</v>
      </c>
      <c r="E121" s="2" t="n">
        <v>532.2</v>
      </c>
      <c r="F121" s="2" t="n">
        <v>26.7</v>
      </c>
      <c r="G121" s="2" t="n">
        <v>34.8</v>
      </c>
      <c r="H121" s="2" t="n">
        <v>8</v>
      </c>
      <c r="I121" s="2" t="inlineStr">
        <is>
          <t>NA</t>
        </is>
      </c>
      <c r="J121" s="2" t="inlineStr">
        <is>
          <t>NA</t>
        </is>
      </c>
      <c r="K121" s="2" t="n">
        <v>855</v>
      </c>
      <c r="L121" s="2" t="n">
        <v>2069.6</v>
      </c>
      <c r="M121" s="2" t="n">
        <v>1836.1</v>
      </c>
      <c r="N121" s="2" t="n">
        <v>233.5</v>
      </c>
      <c r="O121" s="2" t="n">
        <v>81.90000000000001</v>
      </c>
      <c r="P121" s="2" t="n">
        <v>191.4</v>
      </c>
      <c r="Q121" s="2" t="n">
        <v>68.2</v>
      </c>
      <c r="R121" s="2" t="n">
        <v>123.2</v>
      </c>
      <c r="T121" s="2" t="n">
        <v>22.4</v>
      </c>
      <c r="U121" s="2" t="n">
        <v>33.3</v>
      </c>
      <c r="V121" s="2" t="n">
        <v>28.9</v>
      </c>
      <c r="W121" s="2" t="n">
        <v>4.4</v>
      </c>
      <c r="X121" s="2" t="n">
        <v>30.9</v>
      </c>
      <c r="Y121" s="2" t="n">
        <v>7.2</v>
      </c>
      <c r="Z121" s="2" t="n">
        <v>74.19999999999999</v>
      </c>
      <c r="AA121" s="2" t="n">
        <v>71.59999999999999</v>
      </c>
      <c r="AB121" s="2" t="n">
        <v>2.6</v>
      </c>
      <c r="AC121" s="2" t="inlineStr">
        <is>
          <t>NA</t>
        </is>
      </c>
      <c r="AD121" s="2" t="inlineStr">
        <is>
          <t>NA</t>
        </is>
      </c>
      <c r="AG121" s="2" t="inlineStr">
        <is>
          <t>NA</t>
        </is>
      </c>
      <c r="AH121" s="2" t="n">
        <v>15</v>
      </c>
      <c r="AI121" s="2" t="n">
        <v>98.7</v>
      </c>
      <c r="AL121" s="2" t="n">
        <v>97.69999999999999</v>
      </c>
      <c r="AM121" s="2" t="n">
        <v>37.4</v>
      </c>
      <c r="AN121" s="2" t="n">
        <v>60.3</v>
      </c>
      <c r="AO121" s="2" t="n">
        <v>1701.3</v>
      </c>
      <c r="AP121" s="2" t="n">
        <v>127.9</v>
      </c>
      <c r="AQ121" s="2" t="n">
        <v>103.1</v>
      </c>
      <c r="AR121" s="2" t="n">
        <v>24.1</v>
      </c>
      <c r="AS121" s="2" t="n">
        <v>98.5</v>
      </c>
      <c r="AT121" s="2" t="n">
        <v>138.2</v>
      </c>
      <c r="AU121" s="2" t="n">
        <v>60.2</v>
      </c>
      <c r="AV121" s="2" t="n">
        <v>46.1</v>
      </c>
      <c r="AW121" s="2" t="n">
        <v>15</v>
      </c>
      <c r="AX121" s="2" t="n">
        <v>7.6</v>
      </c>
      <c r="AY121" s="2" t="n">
        <v>17.8</v>
      </c>
      <c r="AZ121" s="2" t="inlineStr">
        <is>
          <t>NA</t>
        </is>
      </c>
      <c r="BA121" s="2" t="inlineStr">
        <is>
          <t>NA</t>
        </is>
      </c>
      <c r="BB121" s="2" t="inlineStr">
        <is>
          <t>NA</t>
        </is>
      </c>
      <c r="BD121" s="2" t="n">
        <v>102.4</v>
      </c>
      <c r="BE121" s="2" t="n">
        <v>35.8</v>
      </c>
      <c r="BH121" s="2" t="n">
        <v>340.7</v>
      </c>
      <c r="BK121" s="2" t="n">
        <v>168.3</v>
      </c>
      <c r="BL121" s="2" t="n">
        <v>4.3</v>
      </c>
      <c r="BM121" s="2" t="n">
        <v>513.3</v>
      </c>
      <c r="BN121" s="2" t="n">
        <v>272.8</v>
      </c>
      <c r="BQ121" s="2" t="n">
        <v>70.7</v>
      </c>
      <c r="BR121" s="2" t="n">
        <v>4.6</v>
      </c>
      <c r="BS121" s="2" t="n">
        <v>348.1</v>
      </c>
      <c r="BT121" s="2" t="inlineStr">
        <is>
          <t>NA</t>
        </is>
      </c>
      <c r="BU121" s="2" t="n">
        <v>28.9</v>
      </c>
      <c r="BV121" s="2" t="n">
        <v>313.8</v>
      </c>
      <c r="BW121" s="2" t="n">
        <v>118.9</v>
      </c>
      <c r="BX121" s="2" t="n">
        <v>439.5</v>
      </c>
      <c r="BY121" s="2" t="n">
        <v>44.3</v>
      </c>
      <c r="BZ121" s="2" t="n">
        <v>6.7</v>
      </c>
      <c r="CA121" s="2" t="n">
        <v>51</v>
      </c>
      <c r="CF121" s="2" t="n">
        <v>138.4</v>
      </c>
      <c r="CG121" s="2" t="n">
        <v>125</v>
      </c>
      <c r="CH121" s="2" t="n">
        <v>22.5</v>
      </c>
      <c r="CN121" s="2" t="n">
        <v>57.1</v>
      </c>
      <c r="CO121" s="2" t="n">
        <v>149.8</v>
      </c>
      <c r="CP121" s="2" t="n">
        <v>128</v>
      </c>
      <c r="CQ121" s="2" t="n">
        <v>21.8</v>
      </c>
      <c r="CR121" s="2" t="inlineStr">
        <is>
          <t>NA</t>
        </is>
      </c>
      <c r="CS121" s="2" t="n">
        <v>23.2</v>
      </c>
      <c r="CT121" s="2" t="n">
        <v>13.8</v>
      </c>
      <c r="CU121" s="2" t="n">
        <v>9.4</v>
      </c>
      <c r="CV121" s="2" t="n">
        <v>48.8</v>
      </c>
      <c r="CW121" s="2" t="n">
        <v>22.8</v>
      </c>
      <c r="CX121" s="2" t="n">
        <v>26</v>
      </c>
      <c r="CY121" s="2" t="n">
        <v>8.699999999999999</v>
      </c>
      <c r="CZ121" s="2" t="n">
        <v>108.2</v>
      </c>
      <c r="DA121" s="2" t="n">
        <v>40.8</v>
      </c>
      <c r="DB121" s="2" t="n">
        <v>37.4</v>
      </c>
      <c r="DC121" s="2" t="n">
        <v>3.4</v>
      </c>
      <c r="DG121" s="2" t="n">
        <v>85.7</v>
      </c>
      <c r="DI121" s="2" t="n">
        <v>445.9</v>
      </c>
      <c r="DK121" s="2" t="n">
        <v>375.8</v>
      </c>
      <c r="DL121" s="2" t="n">
        <v>111.6</v>
      </c>
      <c r="DM121" s="2" t="n">
        <v>211.3</v>
      </c>
      <c r="DO121" s="2" t="n">
        <v>157.5</v>
      </c>
      <c r="DP121" s="2" t="n">
        <v>186</v>
      </c>
      <c r="DS121" s="2" t="n">
        <v>430</v>
      </c>
      <c r="DT121" s="2" t="n">
        <v>2275.9</v>
      </c>
      <c r="DU121" s="2" t="n">
        <v>-357.8</v>
      </c>
      <c r="DV121" s="2" t="n">
        <v>0</v>
      </c>
      <c r="GZ121" s="2" t="n">
        <v>866.6</v>
      </c>
      <c r="IN121" s="2" t="n">
        <v>86.59999999999999</v>
      </c>
      <c r="IY121" s="2" t="n">
        <v>47.56975262533503</v>
      </c>
      <c r="IZ121" s="2" t="n">
        <v>0.2297526253350242</v>
      </c>
      <c r="JB121" s="2" t="n">
        <v>11.27026670767608</v>
      </c>
      <c r="JC121" s="2" t="n">
        <v>-0.04973329232391599</v>
      </c>
      <c r="JE121" s="2" t="n">
        <v>2069.6</v>
      </c>
      <c r="JF121" s="2" t="n">
        <v>0.2836301700811751</v>
      </c>
    </row>
    <row r="122">
      <c r="A122" s="1" t="n">
        <v>32752</v>
      </c>
      <c r="B122" s="2" t="n">
        <v>2224</v>
      </c>
      <c r="C122" s="2" t="n">
        <v>734.1</v>
      </c>
      <c r="D122" s="2" t="n">
        <v>150.6</v>
      </c>
      <c r="E122" s="2" t="n">
        <v>449.3</v>
      </c>
      <c r="F122" s="2" t="n">
        <v>8.6</v>
      </c>
      <c r="G122" s="2" t="n">
        <v>23</v>
      </c>
      <c r="H122" s="2" t="inlineStr">
        <is>
          <t>NA</t>
        </is>
      </c>
      <c r="I122" s="2" t="inlineStr">
        <is>
          <t>NA</t>
        </is>
      </c>
      <c r="J122" s="2" t="inlineStr">
        <is>
          <t>NA</t>
        </is>
      </c>
      <c r="K122" s="2" t="n">
        <v>843</v>
      </c>
      <c r="L122" s="2" t="n">
        <v>1715.4</v>
      </c>
      <c r="M122" s="2" t="n">
        <v>1455.4</v>
      </c>
      <c r="N122" s="2" t="n">
        <v>260</v>
      </c>
      <c r="O122" s="2" t="n">
        <v>56.8</v>
      </c>
      <c r="P122" s="2" t="n">
        <v>147.3</v>
      </c>
      <c r="Q122" s="2" t="n">
        <v>49.6</v>
      </c>
      <c r="R122" s="2" t="n">
        <v>97.7</v>
      </c>
      <c r="T122" s="2" t="inlineStr">
        <is>
          <t>NA</t>
        </is>
      </c>
      <c r="U122" s="2" t="n">
        <v>23</v>
      </c>
      <c r="V122" s="2" t="n">
        <v>18.6</v>
      </c>
      <c r="W122" s="2" t="n">
        <v>4.4</v>
      </c>
      <c r="X122" s="2" t="n">
        <v>18.4</v>
      </c>
      <c r="Y122" s="2" t="n">
        <v>5.5</v>
      </c>
      <c r="Z122" s="2" t="n">
        <v>82</v>
      </c>
      <c r="AA122" s="2" t="n">
        <v>71</v>
      </c>
      <c r="AB122" s="2" t="n">
        <v>11</v>
      </c>
      <c r="AC122" s="2" t="inlineStr">
        <is>
          <t>NA</t>
        </is>
      </c>
      <c r="AD122" s="2" t="inlineStr">
        <is>
          <t>NA</t>
        </is>
      </c>
      <c r="AG122" s="2" t="inlineStr">
        <is>
          <t>NA</t>
        </is>
      </c>
      <c r="AH122" s="2" t="n">
        <v>16.9</v>
      </c>
      <c r="AI122" s="2" t="n">
        <v>108.5</v>
      </c>
      <c r="AL122" s="2" t="n">
        <v>98.5</v>
      </c>
      <c r="AM122" s="2" t="n">
        <v>64.8</v>
      </c>
      <c r="AN122" s="2" t="n">
        <v>33.7</v>
      </c>
      <c r="AO122" s="2" t="n">
        <v>1658.8</v>
      </c>
      <c r="AP122" s="2" t="n">
        <v>146.8</v>
      </c>
      <c r="AQ122" s="2" t="n">
        <v>99.8</v>
      </c>
      <c r="AR122" s="2" t="n">
        <v>26.1</v>
      </c>
      <c r="AS122" s="2" t="n">
        <v>69.3</v>
      </c>
      <c r="AT122" s="2" t="n">
        <v>80.90000000000001</v>
      </c>
      <c r="AU122" s="2" t="n">
        <v>40.3</v>
      </c>
      <c r="AV122" s="2" t="n">
        <v>24.4</v>
      </c>
      <c r="AW122" s="2" t="inlineStr">
        <is>
          <t>NA</t>
        </is>
      </c>
      <c r="AX122" s="2" t="n">
        <v>4.7</v>
      </c>
      <c r="AY122" s="2" t="n">
        <v>13</v>
      </c>
      <c r="AZ122" s="2" t="n">
        <v>3.4</v>
      </c>
      <c r="BA122" s="2" t="inlineStr">
        <is>
          <t>NA</t>
        </is>
      </c>
      <c r="BB122" s="2" t="inlineStr">
        <is>
          <t>NA</t>
        </is>
      </c>
      <c r="BD122" s="2" t="n">
        <v>91.7</v>
      </c>
      <c r="BE122" s="2" t="n">
        <v>36.2</v>
      </c>
      <c r="BH122" s="2" t="n">
        <v>311.4</v>
      </c>
      <c r="BK122" s="2" t="n">
        <v>151.6</v>
      </c>
      <c r="BL122" s="2" t="n">
        <v>3.9</v>
      </c>
      <c r="BM122" s="2" t="n">
        <v>466.9</v>
      </c>
      <c r="BN122" s="2" t="n">
        <v>308.3</v>
      </c>
      <c r="BQ122" s="2" t="n">
        <v>76</v>
      </c>
      <c r="BR122" s="2" t="n">
        <v>4.9</v>
      </c>
      <c r="BS122" s="2" t="n">
        <v>389.2</v>
      </c>
      <c r="BT122" s="2" t="inlineStr">
        <is>
          <t>NA</t>
        </is>
      </c>
      <c r="BU122" s="2" t="n">
        <v>41.6</v>
      </c>
      <c r="BV122" s="2" t="n">
        <v>287.1</v>
      </c>
      <c r="BW122" s="2" t="n">
        <v>107.7</v>
      </c>
      <c r="BX122" s="2" t="n">
        <v>401</v>
      </c>
      <c r="BY122" s="2" t="n">
        <v>34.7</v>
      </c>
      <c r="BZ122" s="2" t="n">
        <v>7.5</v>
      </c>
      <c r="CA122" s="2" t="n">
        <v>42.2</v>
      </c>
      <c r="CF122" s="2" t="n">
        <v>112.6</v>
      </c>
      <c r="CG122" s="2" t="n">
        <v>112.7</v>
      </c>
      <c r="CH122" s="2" t="n">
        <v>23.4</v>
      </c>
      <c r="CN122" s="2" t="n">
        <v>42.2</v>
      </c>
      <c r="CO122" s="2" t="n">
        <v>150.8</v>
      </c>
      <c r="CP122" s="2" t="n">
        <v>130.5</v>
      </c>
      <c r="CQ122" s="2" t="n">
        <v>20.3</v>
      </c>
      <c r="CR122" s="2" t="inlineStr">
        <is>
          <t>NA</t>
        </is>
      </c>
      <c r="CS122" s="2" t="n">
        <v>21.5</v>
      </c>
      <c r="CT122" s="2" t="n">
        <v>15.7</v>
      </c>
      <c r="CU122" s="2" t="n">
        <v>5.8</v>
      </c>
      <c r="CV122" s="2" t="n">
        <v>37.2</v>
      </c>
      <c r="CW122" s="2" t="n">
        <v>15.8</v>
      </c>
      <c r="CX122" s="2" t="n">
        <v>21.4</v>
      </c>
      <c r="CY122" s="2" t="n">
        <v>4</v>
      </c>
      <c r="CZ122" s="2" t="n">
        <v>86.7</v>
      </c>
      <c r="DA122" s="2" t="n">
        <v>62.4</v>
      </c>
      <c r="DB122" s="2" t="n">
        <v>58.9</v>
      </c>
      <c r="DC122" s="2" t="n">
        <v>3.5</v>
      </c>
      <c r="DI122" s="2" t="n">
        <v>397.8</v>
      </c>
      <c r="DK122" s="2" t="n">
        <v>469.4</v>
      </c>
      <c r="DL122" s="2" t="n">
        <v>92.90000000000001</v>
      </c>
      <c r="DM122" s="2" t="n">
        <v>196.2</v>
      </c>
      <c r="DO122" s="2" t="n">
        <v>95.09999999999999</v>
      </c>
      <c r="DP122" s="2" t="n">
        <v>153.4</v>
      </c>
      <c r="DS122" s="2" t="n">
        <v>559</v>
      </c>
      <c r="DT122" s="2" t="n">
        <v>2224</v>
      </c>
      <c r="DU122" s="2" t="n">
        <v>-260.2</v>
      </c>
      <c r="DV122" s="2" t="n">
        <v>0</v>
      </c>
      <c r="GZ122" s="2" t="n">
        <v>866.6</v>
      </c>
      <c r="IN122" s="2" t="n">
        <v>69.09999999999999</v>
      </c>
      <c r="IY122" s="2" t="n">
        <v>47.44424460431654</v>
      </c>
      <c r="IZ122" s="2" t="n">
        <v>0.1042446043165342</v>
      </c>
      <c r="JB122" s="2" t="n">
        <v>11.37140287769784</v>
      </c>
      <c r="JC122" s="2" t="n">
        <v>-0.05859712230215841</v>
      </c>
      <c r="JE122" s="2" t="n">
        <v>1715.4</v>
      </c>
      <c r="JF122" s="2" t="n">
        <v>0.2672653608487816</v>
      </c>
    </row>
    <row r="123">
      <c r="A123" s="1" t="n">
        <v>32782</v>
      </c>
      <c r="B123" s="2" t="n">
        <v>2843.2</v>
      </c>
      <c r="C123" s="2" t="n">
        <v>2887.8</v>
      </c>
      <c r="D123" s="2" t="n">
        <v>275.4</v>
      </c>
      <c r="E123" s="2" t="n">
        <v>1201.1</v>
      </c>
      <c r="F123" s="2" t="n">
        <v>9.6</v>
      </c>
      <c r="G123" s="2" t="n">
        <v>56.6</v>
      </c>
      <c r="H123" s="2" t="n">
        <v>91.09999999999999</v>
      </c>
      <c r="I123" s="2" t="inlineStr">
        <is>
          <t>NA</t>
        </is>
      </c>
      <c r="J123" s="2" t="inlineStr">
        <is>
          <t>NA</t>
        </is>
      </c>
      <c r="K123" s="2" t="n">
        <v>1057.3</v>
      </c>
      <c r="L123" s="2" t="n">
        <v>1514.6</v>
      </c>
      <c r="M123" s="2" t="n">
        <v>1282.6</v>
      </c>
      <c r="N123" s="2" t="n">
        <v>232</v>
      </c>
      <c r="O123" s="2" t="n">
        <v>90.7</v>
      </c>
      <c r="P123" s="2" t="n">
        <v>138.3</v>
      </c>
      <c r="Q123" s="2" t="n">
        <v>43.7</v>
      </c>
      <c r="R123" s="2" t="n">
        <v>94.59999999999999</v>
      </c>
      <c r="T123" s="2" t="n">
        <v>7.4</v>
      </c>
      <c r="U123" s="2" t="n">
        <v>10.8</v>
      </c>
      <c r="V123" s="2" t="n">
        <v>7.2</v>
      </c>
      <c r="W123" s="2" t="n">
        <v>3.6</v>
      </c>
      <c r="X123" s="2" t="n">
        <v>45.2</v>
      </c>
      <c r="Y123" s="2" t="n">
        <v>5.6</v>
      </c>
      <c r="Z123" s="2" t="n">
        <v>71.2</v>
      </c>
      <c r="AA123" s="2" t="n">
        <v>59</v>
      </c>
      <c r="AB123" s="2" t="n">
        <v>12.2</v>
      </c>
      <c r="AC123" s="2" t="inlineStr">
        <is>
          <t>NA</t>
        </is>
      </c>
      <c r="AD123" s="2" t="n">
        <v>7.9</v>
      </c>
      <c r="AG123" s="2" t="inlineStr">
        <is>
          <t>NA</t>
        </is>
      </c>
      <c r="AH123" s="2" t="n">
        <v>15.4</v>
      </c>
      <c r="AI123" s="2" t="n">
        <v>130.2</v>
      </c>
      <c r="AL123" s="2" t="n">
        <v>85.7</v>
      </c>
      <c r="AM123" s="2" t="n">
        <v>45.5</v>
      </c>
      <c r="AN123" s="2" t="n">
        <v>40.2</v>
      </c>
      <c r="AO123" s="2" t="n">
        <v>2133.3</v>
      </c>
      <c r="AP123" s="2" t="n">
        <v>188.8</v>
      </c>
      <c r="AQ123" s="2" t="n">
        <v>112.9</v>
      </c>
      <c r="AR123" s="2" t="n">
        <v>31.7</v>
      </c>
      <c r="AS123" s="2" t="n">
        <v>126.1</v>
      </c>
      <c r="AT123" s="2" t="n">
        <v>49.4</v>
      </c>
      <c r="AU123" s="2" t="n">
        <v>67.3</v>
      </c>
      <c r="AV123" s="2" t="n">
        <v>22.5</v>
      </c>
      <c r="AW123" s="2" t="n">
        <v>5.3</v>
      </c>
      <c r="AX123" s="2" t="n">
        <v>3.3</v>
      </c>
      <c r="AY123" s="2" t="n">
        <v>30</v>
      </c>
      <c r="AZ123" s="2" t="n">
        <v>3.9</v>
      </c>
      <c r="BA123" s="2" t="inlineStr">
        <is>
          <t>NA</t>
        </is>
      </c>
      <c r="BB123" s="2" t="inlineStr">
        <is>
          <t>NA</t>
        </is>
      </c>
      <c r="BD123" s="2" t="n">
        <v>100</v>
      </c>
      <c r="BE123" s="2" t="n">
        <v>36.5</v>
      </c>
      <c r="BH123" s="2" t="n">
        <v>342.4</v>
      </c>
      <c r="BK123" s="2" t="n">
        <v>161.6</v>
      </c>
      <c r="BL123" s="2" t="n">
        <v>5</v>
      </c>
      <c r="BM123" s="2" t="n">
        <v>509</v>
      </c>
      <c r="BN123" s="2" t="n">
        <v>274.3</v>
      </c>
      <c r="BQ123" s="2" t="n">
        <v>85.3</v>
      </c>
      <c r="BR123" s="2" t="n">
        <v>5.4</v>
      </c>
      <c r="BS123" s="2" t="n">
        <v>365</v>
      </c>
      <c r="BT123" s="2" t="inlineStr">
        <is>
          <t>NA</t>
        </is>
      </c>
      <c r="BU123" s="2" t="n">
        <v>29</v>
      </c>
      <c r="BV123" s="2" t="n">
        <v>302.5</v>
      </c>
      <c r="BW123" s="2" t="n">
        <v>113.2</v>
      </c>
      <c r="BX123" s="2" t="n">
        <v>422.2</v>
      </c>
      <c r="BY123" s="2" t="n">
        <v>46.5</v>
      </c>
      <c r="BZ123" s="2" t="n">
        <v>8.300000000000001</v>
      </c>
      <c r="CA123" s="2" t="n">
        <v>54.8</v>
      </c>
      <c r="CF123" s="2" t="n">
        <v>123.2</v>
      </c>
      <c r="CG123" s="2" t="n">
        <v>130.4</v>
      </c>
      <c r="CH123" s="2" t="n">
        <v>25.8</v>
      </c>
      <c r="CN123" s="2" t="n">
        <v>42</v>
      </c>
      <c r="CO123" s="2" t="n">
        <v>218.6</v>
      </c>
      <c r="CP123" s="2" t="n">
        <v>198.3</v>
      </c>
      <c r="CQ123" s="2" t="n">
        <v>20.3</v>
      </c>
      <c r="CR123" s="2" t="inlineStr">
        <is>
          <t>NA</t>
        </is>
      </c>
      <c r="CS123" s="2" t="n">
        <v>24</v>
      </c>
      <c r="CT123" s="2" t="n">
        <v>14</v>
      </c>
      <c r="CU123" s="2" t="n">
        <v>10</v>
      </c>
      <c r="CV123" s="2" t="n">
        <v>31.8</v>
      </c>
      <c r="CW123" s="2" t="n">
        <v>14.5</v>
      </c>
      <c r="CX123" s="2" t="n">
        <v>17.3</v>
      </c>
      <c r="CY123" s="2" t="inlineStr">
        <is>
          <t>NA</t>
        </is>
      </c>
      <c r="CZ123" s="2" t="n">
        <v>90.2</v>
      </c>
      <c r="DA123" s="2" t="n">
        <v>60.9</v>
      </c>
      <c r="DB123" s="2" t="n">
        <v>54.1</v>
      </c>
      <c r="DC123" s="2" t="n">
        <v>6.8</v>
      </c>
      <c r="DI123" s="2" t="n">
        <v>574.3</v>
      </c>
      <c r="DJ123" s="2" t="n">
        <v>182.2</v>
      </c>
      <c r="DK123" s="2" t="n">
        <v>497.2</v>
      </c>
      <c r="DL123" s="2" t="n">
        <v>136.8</v>
      </c>
      <c r="DM123" s="2" t="n">
        <v>214.2</v>
      </c>
      <c r="DO123" s="2" t="n">
        <v>164.3</v>
      </c>
      <c r="DP123" s="2" t="n">
        <v>196.7</v>
      </c>
      <c r="DS123" s="2" t="n">
        <v>684.6</v>
      </c>
      <c r="DT123" s="2" t="n">
        <v>2843.2</v>
      </c>
      <c r="DU123" s="2" t="n">
        <v>-192.8999999999996</v>
      </c>
      <c r="DV123" s="2" t="n">
        <v>0</v>
      </c>
      <c r="GZ123" s="2" t="n">
        <v>936.8</v>
      </c>
      <c r="IN123" s="2" t="n">
        <v>79.8</v>
      </c>
      <c r="IY123" s="2" t="n">
        <v>47.40151941474396</v>
      </c>
      <c r="IZ123" s="2" t="n">
        <v>-0.278480585256041</v>
      </c>
      <c r="JB123" s="2" t="n">
        <v>11.15609172763084</v>
      </c>
      <c r="JC123" s="2" t="n">
        <v>-0.05390827236916174</v>
      </c>
      <c r="JE123" s="2" t="n">
        <v>1514.6</v>
      </c>
      <c r="JF123" s="2" t="n">
        <v>0.2919945860293147</v>
      </c>
    </row>
    <row r="124">
      <c r="A124" s="1" t="n">
        <v>32813</v>
      </c>
      <c r="B124" s="2" t="n">
        <v>3122.3</v>
      </c>
      <c r="C124" s="2" t="n">
        <v>3254.1</v>
      </c>
      <c r="D124" s="2" t="n">
        <v>335.9</v>
      </c>
      <c r="E124" s="2" t="n">
        <v>2050.1</v>
      </c>
      <c r="F124" s="2" t="n">
        <v>14.1</v>
      </c>
      <c r="G124" s="2" t="n">
        <v>78</v>
      </c>
      <c r="H124" s="2" t="n">
        <v>106.8</v>
      </c>
      <c r="I124" s="2" t="inlineStr">
        <is>
          <t>NA</t>
        </is>
      </c>
      <c r="J124" s="2" t="inlineStr">
        <is>
          <t>NA</t>
        </is>
      </c>
      <c r="K124" s="2" t="n">
        <v>1145.7</v>
      </c>
      <c r="L124" s="2" t="n">
        <v>1532.5</v>
      </c>
      <c r="M124" s="2" t="n">
        <v>1296.6</v>
      </c>
      <c r="N124" s="2" t="n">
        <v>235.9</v>
      </c>
      <c r="O124" s="2" t="n">
        <v>110.8</v>
      </c>
      <c r="P124" s="2" t="n">
        <v>163.2</v>
      </c>
      <c r="Q124" s="2" t="n">
        <v>50.6</v>
      </c>
      <c r="R124" s="2" t="n">
        <v>112.6</v>
      </c>
      <c r="T124" s="2" t="n">
        <v>11.6</v>
      </c>
      <c r="U124" s="2" t="n">
        <v>10.9</v>
      </c>
      <c r="V124" s="2" t="n">
        <v>7.4</v>
      </c>
      <c r="W124" s="2" t="n">
        <v>3.5</v>
      </c>
      <c r="X124" s="2" t="n">
        <v>62.4</v>
      </c>
      <c r="Y124" s="2" t="n">
        <v>5.8</v>
      </c>
      <c r="Z124" s="2" t="n">
        <v>121.3</v>
      </c>
      <c r="AA124" s="2" t="n">
        <v>109.1</v>
      </c>
      <c r="AB124" s="2" t="n">
        <v>12.2</v>
      </c>
      <c r="AC124" s="2" t="inlineStr">
        <is>
          <t>NA</t>
        </is>
      </c>
      <c r="AD124" s="2" t="n">
        <v>5.7</v>
      </c>
      <c r="AG124" s="2" t="inlineStr">
        <is>
          <t>NA</t>
        </is>
      </c>
      <c r="AH124" s="2" t="n">
        <v>13.4</v>
      </c>
      <c r="AI124" s="2" t="n">
        <v>106.1</v>
      </c>
      <c r="AL124" s="2" t="n">
        <v>99.40000000000001</v>
      </c>
      <c r="AM124" s="2" t="n">
        <v>46.4</v>
      </c>
      <c r="AN124" s="2" t="n">
        <v>53</v>
      </c>
      <c r="AO124" s="2" t="n">
        <v>2374.7</v>
      </c>
      <c r="AP124" s="2" t="n">
        <v>164.9</v>
      </c>
      <c r="AQ124" s="2" t="n">
        <v>117.8</v>
      </c>
      <c r="AR124" s="2" t="n">
        <v>29.4</v>
      </c>
      <c r="AS124" s="2" t="n">
        <v>154.9</v>
      </c>
      <c r="AT124" s="2" t="n">
        <v>61.8</v>
      </c>
      <c r="AU124" s="2" t="n">
        <v>84.90000000000001</v>
      </c>
      <c r="AV124" s="2" t="n">
        <v>34.2</v>
      </c>
      <c r="AW124" s="2" t="n">
        <v>7.2</v>
      </c>
      <c r="AX124" s="2" t="n">
        <v>2.7</v>
      </c>
      <c r="AY124" s="2" t="n">
        <v>39.1</v>
      </c>
      <c r="AZ124" s="2" t="n">
        <v>3.2</v>
      </c>
      <c r="BA124" s="2" t="inlineStr">
        <is>
          <t>NA</t>
        </is>
      </c>
      <c r="BB124" s="2" t="inlineStr">
        <is>
          <t>NA</t>
        </is>
      </c>
      <c r="BD124" s="2" t="n">
        <v>80.59999999999999</v>
      </c>
      <c r="BE124" s="2" t="n">
        <v>39.4</v>
      </c>
      <c r="BH124" s="2" t="n">
        <v>323.4</v>
      </c>
      <c r="BK124" s="2" t="n">
        <v>152.9</v>
      </c>
      <c r="BL124" s="2" t="n">
        <v>4.5</v>
      </c>
      <c r="BM124" s="2" t="n">
        <v>480.8</v>
      </c>
      <c r="BN124" s="2" t="n">
        <v>275.2</v>
      </c>
      <c r="BQ124" s="2" t="n">
        <v>84.59999999999999</v>
      </c>
      <c r="BR124" s="2" t="n">
        <v>6.1</v>
      </c>
      <c r="BS124" s="2" t="n">
        <v>365.9</v>
      </c>
      <c r="BT124" s="2" t="inlineStr">
        <is>
          <t>NA</t>
        </is>
      </c>
      <c r="BU124" s="2" t="n">
        <v>36.6</v>
      </c>
      <c r="BV124" s="2" t="n">
        <v>299.2</v>
      </c>
      <c r="BW124" s="2" t="n">
        <v>110.5</v>
      </c>
      <c r="BX124" s="2" t="n">
        <v>416.1</v>
      </c>
      <c r="BY124" s="2" t="n">
        <v>49.2</v>
      </c>
      <c r="BZ124" s="2" t="n">
        <v>9</v>
      </c>
      <c r="CA124" s="2" t="n">
        <v>58.2</v>
      </c>
      <c r="CF124" s="2" t="n">
        <v>121.2</v>
      </c>
      <c r="CG124" s="2" t="n">
        <v>145.2</v>
      </c>
      <c r="CH124" s="2" t="n">
        <v>28.5</v>
      </c>
      <c r="CN124" s="2" t="n">
        <v>46.7</v>
      </c>
      <c r="CO124" s="2" t="n">
        <v>238.5</v>
      </c>
      <c r="CP124" s="2" t="n">
        <v>211.9</v>
      </c>
      <c r="CQ124" s="2" t="n">
        <v>26.6</v>
      </c>
      <c r="CR124" s="2" t="inlineStr">
        <is>
          <t>NA</t>
        </is>
      </c>
      <c r="CS124" s="2" t="n">
        <v>30.3</v>
      </c>
      <c r="CT124" s="2" t="n">
        <v>18.3</v>
      </c>
      <c r="CU124" s="2" t="n">
        <v>12</v>
      </c>
      <c r="CV124" s="2" t="n">
        <v>22.1</v>
      </c>
      <c r="CW124" s="2" t="n">
        <v>8</v>
      </c>
      <c r="CX124" s="2" t="n">
        <v>14.1</v>
      </c>
      <c r="CY124" s="2" t="inlineStr">
        <is>
          <t>NA</t>
        </is>
      </c>
      <c r="CZ124" s="2" t="n">
        <v>84.09999999999999</v>
      </c>
      <c r="DA124" s="2" t="n">
        <v>68.7</v>
      </c>
      <c r="DB124" s="2" t="n">
        <v>58.2</v>
      </c>
      <c r="DC124" s="2" t="n">
        <v>10.5</v>
      </c>
      <c r="DG124" s="2" t="n">
        <v>116.6</v>
      </c>
      <c r="DI124" s="2" t="n">
        <v>588</v>
      </c>
      <c r="DJ124" s="2" t="n">
        <v>200.6</v>
      </c>
      <c r="DK124" s="2" t="n">
        <v>530.3</v>
      </c>
      <c r="DL124" s="2" t="n">
        <v>141.1</v>
      </c>
      <c r="DM124" s="2" t="n">
        <v>204.8</v>
      </c>
      <c r="DO124" s="2" t="n">
        <v>173</v>
      </c>
      <c r="DP124" s="2" t="n">
        <v>200.6</v>
      </c>
      <c r="DS124" s="2" t="n">
        <v>799.4</v>
      </c>
      <c r="DT124" s="2" t="n">
        <v>3122.3</v>
      </c>
      <c r="DU124" s="2" t="n">
        <v>-284.5000000000005</v>
      </c>
      <c r="DV124" s="2" t="n">
        <v>0</v>
      </c>
      <c r="GZ124" s="2" t="n">
        <v>912</v>
      </c>
      <c r="IN124" s="2" t="n">
        <v>111.8</v>
      </c>
      <c r="IY124" s="2" t="n">
        <v>47.89738333920507</v>
      </c>
      <c r="IZ124" s="2" t="n">
        <v>0.1973833392050679</v>
      </c>
      <c r="JB124" s="2" t="n">
        <v>11.00823111168049</v>
      </c>
      <c r="JC124" s="2" t="n">
        <v>-0.04176888831950798</v>
      </c>
      <c r="JE124" s="2" t="n">
        <v>1532.5</v>
      </c>
      <c r="JF124" s="2" t="n">
        <v>0.233136704730832</v>
      </c>
    </row>
    <row r="125">
      <c r="A125" s="1" t="n">
        <v>32843</v>
      </c>
      <c r="B125" s="2" t="n">
        <v>3161</v>
      </c>
      <c r="C125" s="2" t="n">
        <v>2692.3</v>
      </c>
      <c r="D125" s="2" t="n">
        <v>332.4</v>
      </c>
      <c r="E125" s="2" t="n">
        <v>2062.5</v>
      </c>
      <c r="F125" s="2" t="n">
        <v>12.6</v>
      </c>
      <c r="G125" s="2" t="n">
        <v>78.40000000000001</v>
      </c>
      <c r="H125" s="2" t="inlineStr">
        <is>
          <t>NA</t>
        </is>
      </c>
      <c r="I125" s="2" t="inlineStr">
        <is>
          <t>NA</t>
        </is>
      </c>
      <c r="J125" s="2" t="inlineStr">
        <is>
          <t>NA</t>
        </is>
      </c>
      <c r="K125" s="2" t="n">
        <v>1161.2</v>
      </c>
      <c r="L125" s="2" t="n">
        <v>1604.92</v>
      </c>
      <c r="M125" s="2" t="n">
        <v>1362.505</v>
      </c>
      <c r="N125" s="2" t="n">
        <v>242.415</v>
      </c>
      <c r="O125" s="2" t="n">
        <v>110.4</v>
      </c>
      <c r="P125" s="2" t="n">
        <v>189.6</v>
      </c>
      <c r="Q125" s="2" t="n">
        <v>57.4</v>
      </c>
      <c r="R125" s="2" t="n">
        <v>132.2</v>
      </c>
      <c r="T125" s="2" t="n">
        <v>9.800000000000001</v>
      </c>
      <c r="U125" s="2" t="n">
        <v>10.9</v>
      </c>
      <c r="V125" s="2" t="n">
        <v>8.1</v>
      </c>
      <c r="W125" s="2" t="n">
        <v>2.8</v>
      </c>
      <c r="X125" s="2" t="n">
        <v>65.90000000000001</v>
      </c>
      <c r="Y125" s="2" t="n">
        <v>8.199999999999999</v>
      </c>
      <c r="AA125" s="2" t="inlineStr">
        <is>
          <t>NA</t>
        </is>
      </c>
      <c r="AB125" s="2" t="inlineStr">
        <is>
          <t>NA</t>
        </is>
      </c>
      <c r="AC125" s="2" t="inlineStr">
        <is>
          <t>NA</t>
        </is>
      </c>
      <c r="AD125" s="2" t="n">
        <v>6.2</v>
      </c>
      <c r="AG125" s="2" t="inlineStr">
        <is>
          <t>NA</t>
        </is>
      </c>
      <c r="AH125" s="2" t="n">
        <v>17.3</v>
      </c>
      <c r="AI125" s="2" t="n">
        <v>128.6</v>
      </c>
      <c r="AL125" s="2" t="n">
        <v>81.19999999999999</v>
      </c>
      <c r="AM125" s="2" t="n">
        <v>51.3</v>
      </c>
      <c r="AN125" s="2" t="n">
        <v>29.9</v>
      </c>
      <c r="AO125" s="2" t="n">
        <v>2408</v>
      </c>
      <c r="AP125" s="2" t="n">
        <v>292.7</v>
      </c>
      <c r="AQ125" s="2" t="n">
        <v>111.6</v>
      </c>
      <c r="AR125" s="2" t="n">
        <v>35.4</v>
      </c>
      <c r="AS125" s="2" t="n">
        <v>152.6</v>
      </c>
      <c r="AT125" s="2" t="n">
        <v>60.7</v>
      </c>
      <c r="AU125" s="2" t="n">
        <v>86.3</v>
      </c>
      <c r="AV125" s="2" t="n">
        <v>49.1</v>
      </c>
      <c r="AW125" s="2" t="n">
        <v>7.3</v>
      </c>
      <c r="AX125" s="2" t="n">
        <v>2</v>
      </c>
      <c r="AY125" s="2" t="n">
        <v>39.7</v>
      </c>
      <c r="AZ125" s="2" t="inlineStr">
        <is>
          <t>NA</t>
        </is>
      </c>
      <c r="BA125" s="2" t="inlineStr">
        <is>
          <t>NA</t>
        </is>
      </c>
      <c r="BB125" s="2" t="inlineStr">
        <is>
          <t>NA</t>
        </is>
      </c>
      <c r="BD125" s="2" t="n">
        <v>91.90000000000001</v>
      </c>
      <c r="BE125" s="2" t="n">
        <v>38.4</v>
      </c>
      <c r="BH125" s="2" t="n">
        <v>320.5</v>
      </c>
      <c r="BK125" s="2" t="n">
        <v>143.6</v>
      </c>
      <c r="BL125" s="2" t="n">
        <v>4.4</v>
      </c>
      <c r="BM125" s="2" t="n">
        <v>468.5</v>
      </c>
      <c r="BN125" s="2" t="n">
        <v>281.9</v>
      </c>
      <c r="BQ125" s="2" t="n">
        <v>73.90000000000001</v>
      </c>
      <c r="BR125" s="2" t="n">
        <v>4.8</v>
      </c>
      <c r="BS125" s="2" t="n">
        <v>360.6</v>
      </c>
      <c r="BT125" s="2" t="inlineStr">
        <is>
          <t>NA</t>
        </is>
      </c>
      <c r="BU125" s="2" t="n">
        <v>32</v>
      </c>
      <c r="BV125" s="2" t="n">
        <v>292.6</v>
      </c>
      <c r="BW125" s="2" t="n">
        <v>106.3</v>
      </c>
      <c r="BX125" s="2" t="n">
        <v>404.7</v>
      </c>
      <c r="BY125" s="2" t="n">
        <v>38.9</v>
      </c>
      <c r="BZ125" s="2" t="n">
        <v>13.7</v>
      </c>
      <c r="CA125" s="2" t="n">
        <v>52.59999999999999</v>
      </c>
      <c r="CF125" s="2" t="n">
        <v>107</v>
      </c>
      <c r="CG125" s="2" t="n">
        <v>133.9</v>
      </c>
      <c r="CH125" s="2" t="n">
        <v>23.3</v>
      </c>
      <c r="CN125" s="2" t="n">
        <v>51.4</v>
      </c>
      <c r="CO125" s="2" t="n">
        <v>297.3</v>
      </c>
      <c r="CP125" s="2" t="n">
        <v>263.7</v>
      </c>
      <c r="CQ125" s="2" t="n">
        <v>33.6</v>
      </c>
      <c r="CR125" s="2" t="inlineStr">
        <is>
          <t>NA</t>
        </is>
      </c>
      <c r="CS125" s="2" t="n">
        <v>29.9</v>
      </c>
      <c r="CT125" s="2" t="n">
        <v>20.1</v>
      </c>
      <c r="CU125" s="2" t="n">
        <v>9.800000000000001</v>
      </c>
      <c r="CV125" s="2" t="n">
        <v>34</v>
      </c>
      <c r="CW125" s="2" t="n">
        <v>11.5</v>
      </c>
      <c r="CX125" s="2" t="n">
        <v>22.5</v>
      </c>
      <c r="CY125" s="2" t="inlineStr">
        <is>
          <t>NA</t>
        </is>
      </c>
      <c r="CZ125" s="2" t="n">
        <v>84.59999999999999</v>
      </c>
      <c r="DA125" s="2" t="n">
        <v>75.09999999999999</v>
      </c>
      <c r="DB125" s="2" t="n">
        <v>65.59999999999999</v>
      </c>
      <c r="DC125" s="2" t="n">
        <v>9.5</v>
      </c>
      <c r="DG125" s="2" t="n">
        <v>125.2</v>
      </c>
      <c r="DI125" s="2" t="n">
        <v>611.1</v>
      </c>
      <c r="DJ125" s="2" t="n">
        <v>211.6</v>
      </c>
      <c r="DK125" s="2" t="n">
        <v>542.4</v>
      </c>
      <c r="DL125" s="2" t="n">
        <v>136.9</v>
      </c>
      <c r="DM125" s="2" t="n">
        <v>215.2</v>
      </c>
      <c r="DO125" s="2" t="n">
        <v>171.2</v>
      </c>
      <c r="DP125" s="2" t="n">
        <v>201.7</v>
      </c>
      <c r="DS125" s="2" t="n">
        <v>786.9</v>
      </c>
      <c r="DT125" s="2" t="n">
        <v>3161</v>
      </c>
      <c r="DU125" s="2" t="n">
        <v>-284</v>
      </c>
      <c r="DV125" s="2" t="n">
        <v>0</v>
      </c>
      <c r="GZ125" s="2" t="n">
        <v>873.9</v>
      </c>
      <c r="IN125" s="2" t="n">
        <v>111.6</v>
      </c>
      <c r="IY125" s="2" t="n">
        <v>47.82537171781082</v>
      </c>
      <c r="IZ125" s="2" t="n">
        <v>0.1653717178108209</v>
      </c>
      <c r="JB125" s="2" t="n">
        <v>11.02056311293894</v>
      </c>
      <c r="JC125" s="2" t="n">
        <v>-0.0894368870610549</v>
      </c>
      <c r="JE125" s="2" t="n">
        <v>1604.92</v>
      </c>
      <c r="JF125" s="2" t="n">
        <v>0.2640829449442963</v>
      </c>
    </row>
    <row r="126">
      <c r="A126" s="1" t="n">
        <v>32874</v>
      </c>
      <c r="B126" s="2" t="n">
        <v>3217</v>
      </c>
      <c r="C126" s="2" t="n">
        <v>2808.6</v>
      </c>
      <c r="D126" s="2" t="n">
        <v>344.7</v>
      </c>
      <c r="E126" s="2" t="n">
        <v>1876.9</v>
      </c>
      <c r="F126" s="2" t="n">
        <v>13.7</v>
      </c>
      <c r="G126" s="2" t="n">
        <v>65.3</v>
      </c>
      <c r="H126" s="2" t="inlineStr">
        <is>
          <t>NA</t>
        </is>
      </c>
      <c r="I126" s="2" t="inlineStr">
        <is>
          <t>NA</t>
        </is>
      </c>
      <c r="J126" s="2" t="inlineStr">
        <is>
          <t>NA</t>
        </is>
      </c>
      <c r="K126" s="2" t="n">
        <v>1187.4</v>
      </c>
      <c r="L126" s="2" t="n">
        <v>1717.528</v>
      </c>
      <c r="M126" s="2" t="n">
        <v>1479.816</v>
      </c>
      <c r="N126" s="2" t="n">
        <v>237.712</v>
      </c>
      <c r="O126" s="2" t="n">
        <v>111.9</v>
      </c>
      <c r="P126" s="2" t="n">
        <v>186.8</v>
      </c>
      <c r="Q126" s="2" t="n">
        <v>51.4</v>
      </c>
      <c r="R126" s="2" t="n">
        <v>135.4</v>
      </c>
      <c r="T126" s="2" t="n">
        <v>11.1</v>
      </c>
      <c r="U126" s="2" t="n">
        <v>8.5</v>
      </c>
      <c r="V126" s="2" t="n">
        <v>5.7</v>
      </c>
      <c r="W126" s="2" t="n">
        <v>2.8</v>
      </c>
      <c r="X126" s="2" t="n">
        <v>51.5</v>
      </c>
      <c r="Y126" s="2" t="n">
        <v>5.6</v>
      </c>
      <c r="AA126" s="2" t="inlineStr">
        <is>
          <t>NA</t>
        </is>
      </c>
      <c r="AB126" s="2" t="inlineStr">
        <is>
          <t>NA</t>
        </is>
      </c>
      <c r="AC126" s="2" t="inlineStr">
        <is>
          <t>NA</t>
        </is>
      </c>
      <c r="AD126" s="2" t="n">
        <v>6.9</v>
      </c>
      <c r="AG126" s="2" t="inlineStr">
        <is>
          <t>NA</t>
        </is>
      </c>
      <c r="AH126" s="2" t="n">
        <v>14.2</v>
      </c>
      <c r="AI126" s="2" t="n">
        <v>127.7</v>
      </c>
      <c r="AL126" s="2" t="n">
        <v>77.8</v>
      </c>
      <c r="AM126" s="2" t="n">
        <v>40.9</v>
      </c>
      <c r="AN126" s="2" t="n">
        <v>36.9</v>
      </c>
      <c r="AO126" s="2" t="n">
        <v>2437.3</v>
      </c>
      <c r="AP126" s="2" t="n">
        <v>230.5</v>
      </c>
      <c r="AQ126" s="2" t="n">
        <v>111.4</v>
      </c>
      <c r="AR126" s="2" t="n">
        <v>23.5</v>
      </c>
      <c r="AS126" s="2" t="n">
        <v>157.1</v>
      </c>
      <c r="AT126" s="2" t="n">
        <v>61.5</v>
      </c>
      <c r="AU126" s="2" t="n">
        <v>91.3</v>
      </c>
      <c r="AV126" s="2" t="n">
        <v>57</v>
      </c>
      <c r="AW126" s="2" t="n">
        <v>7.5</v>
      </c>
      <c r="AX126" s="2" t="n">
        <v>3.7</v>
      </c>
      <c r="AY126" s="2" t="n">
        <v>32.2</v>
      </c>
      <c r="AZ126" s="2" t="n">
        <v>1.2</v>
      </c>
      <c r="BA126" s="2" t="inlineStr">
        <is>
          <t>NA</t>
        </is>
      </c>
      <c r="BB126" s="2" t="inlineStr">
        <is>
          <t>NA</t>
        </is>
      </c>
      <c r="BD126" s="2" t="n">
        <v>90.2</v>
      </c>
      <c r="BE126" s="2" t="n">
        <v>37.8</v>
      </c>
      <c r="BH126" s="2" t="n">
        <v>339.1</v>
      </c>
      <c r="BK126" s="2" t="n">
        <v>163.5</v>
      </c>
      <c r="BL126" s="2" t="n">
        <v>4.5</v>
      </c>
      <c r="BM126" s="2" t="n">
        <v>507.1</v>
      </c>
      <c r="BN126" s="2" t="n">
        <v>307.1</v>
      </c>
      <c r="BQ126" s="2" t="n">
        <v>78</v>
      </c>
      <c r="BR126" s="2" t="n">
        <v>4.8</v>
      </c>
      <c r="BS126" s="2" t="n">
        <v>389.9</v>
      </c>
      <c r="BT126" s="2" t="inlineStr">
        <is>
          <t>NA</t>
        </is>
      </c>
      <c r="BU126" s="2" t="n">
        <v>33.7</v>
      </c>
      <c r="BV126" s="2" t="n">
        <v>339.3</v>
      </c>
      <c r="BW126" s="2" t="n">
        <v>110.4</v>
      </c>
      <c r="BX126" s="2" t="n">
        <v>454.5</v>
      </c>
      <c r="BY126" s="2" t="n">
        <v>47.4</v>
      </c>
      <c r="BZ126" s="2" t="n">
        <v>16</v>
      </c>
      <c r="CA126" s="2" t="n">
        <v>63.4</v>
      </c>
      <c r="CF126" s="2" t="n">
        <v>119.6</v>
      </c>
      <c r="CG126" s="2" t="n">
        <v>114</v>
      </c>
      <c r="CH126" s="2" t="n">
        <v>22.2</v>
      </c>
      <c r="CN126" s="2" t="n">
        <v>47.2</v>
      </c>
      <c r="CO126" s="2" t="n">
        <v>304.4</v>
      </c>
      <c r="CP126" s="2" t="n">
        <v>263.7</v>
      </c>
      <c r="CQ126" s="2" t="n">
        <v>40.7</v>
      </c>
      <c r="CR126" s="2" t="inlineStr">
        <is>
          <t>NA</t>
        </is>
      </c>
      <c r="CS126" s="2" t="n">
        <v>39.5</v>
      </c>
      <c r="CT126" s="2" t="n">
        <v>25.5</v>
      </c>
      <c r="CU126" s="2" t="n">
        <v>14</v>
      </c>
      <c r="CV126" s="2" t="n">
        <v>39</v>
      </c>
      <c r="CW126" s="2" t="n">
        <v>14.8</v>
      </c>
      <c r="CX126" s="2" t="n">
        <v>24.2</v>
      </c>
      <c r="CY126" s="2" t="inlineStr">
        <is>
          <t>NA</t>
        </is>
      </c>
      <c r="CZ126" s="2" t="n">
        <v>76.2</v>
      </c>
      <c r="DA126" s="2" t="n">
        <v>66.8</v>
      </c>
      <c r="DB126" s="2" t="n">
        <v>58.1</v>
      </c>
      <c r="DC126" s="2" t="n">
        <v>8.699999999999999</v>
      </c>
      <c r="DG126" s="2" t="n">
        <v>110.9</v>
      </c>
      <c r="DI126" s="2" t="n">
        <v>587.7</v>
      </c>
      <c r="DJ126" s="2" t="n">
        <v>205.9</v>
      </c>
      <c r="DK126" s="2" t="n">
        <v>555.8</v>
      </c>
      <c r="DL126" s="2" t="n">
        <v>146.6</v>
      </c>
      <c r="DM126" s="2" t="n">
        <v>215.1</v>
      </c>
      <c r="DO126" s="2" t="n">
        <v>165.3</v>
      </c>
      <c r="DP126" s="2" t="n">
        <v>204.8</v>
      </c>
      <c r="DS126" s="2" t="n">
        <v>851.3</v>
      </c>
      <c r="DT126" s="2" t="n">
        <v>3217</v>
      </c>
      <c r="DU126" s="2" t="n">
        <v>-284.5</v>
      </c>
      <c r="DV126" s="2" t="n">
        <v>0</v>
      </c>
      <c r="GZ126" s="2" t="n">
        <v>887.8</v>
      </c>
      <c r="IN126" s="2" t="n">
        <v>122.3</v>
      </c>
      <c r="IY126" s="2" t="n">
        <v>47.53559216661486</v>
      </c>
      <c r="IZ126" s="2" t="n">
        <v>0.0755921666148609</v>
      </c>
      <c r="JB126" s="2" t="n">
        <v>11.07304942493006</v>
      </c>
      <c r="JC126" s="2" t="n">
        <v>-0.09695057506993976</v>
      </c>
      <c r="JE126" s="2" t="n">
        <v>1717.528</v>
      </c>
      <c r="JF126" s="2" t="n">
        <v>0.2679409011090358</v>
      </c>
    </row>
    <row r="127">
      <c r="A127" s="1" t="n">
        <v>32905</v>
      </c>
      <c r="B127" s="2" t="n">
        <v>2752.8</v>
      </c>
      <c r="C127" s="2" t="n">
        <v>2740.9</v>
      </c>
      <c r="D127" s="2" t="n">
        <v>280.3</v>
      </c>
      <c r="E127" s="2" t="n">
        <v>1592.8</v>
      </c>
      <c r="F127" s="2" t="n">
        <v>19.7</v>
      </c>
      <c r="G127" s="2" t="n">
        <v>78.5</v>
      </c>
      <c r="H127" s="2" t="inlineStr">
        <is>
          <t>NA</t>
        </is>
      </c>
      <c r="I127" s="2" t="inlineStr">
        <is>
          <t>NA</t>
        </is>
      </c>
      <c r="J127" s="2" t="inlineStr">
        <is>
          <t>NA</t>
        </is>
      </c>
      <c r="K127" s="2" t="n">
        <v>1021.7</v>
      </c>
      <c r="L127" s="2" t="n">
        <v>1702.938</v>
      </c>
      <c r="M127" s="2" t="n">
        <v>1475.069</v>
      </c>
      <c r="N127" s="2" t="n">
        <v>227.869</v>
      </c>
      <c r="O127" s="2" t="n">
        <v>92.59999999999999</v>
      </c>
      <c r="P127" s="2" t="n">
        <v>180.9</v>
      </c>
      <c r="Q127" s="2" t="n">
        <v>49.7</v>
      </c>
      <c r="R127" s="2" t="n">
        <v>131.2</v>
      </c>
      <c r="T127" s="2" t="n">
        <v>15.8</v>
      </c>
      <c r="U127" s="2" t="n">
        <v>14.6</v>
      </c>
      <c r="V127" s="2" t="n">
        <v>11.5</v>
      </c>
      <c r="W127" s="2" t="n">
        <v>3.1</v>
      </c>
      <c r="X127" s="2" t="n">
        <v>66</v>
      </c>
      <c r="Y127" s="2" t="n">
        <v>7.9</v>
      </c>
      <c r="AA127" s="2" t="inlineStr">
        <is>
          <t>NA</t>
        </is>
      </c>
      <c r="AB127" s="2" t="inlineStr">
        <is>
          <t>NA</t>
        </is>
      </c>
      <c r="AC127" s="2" t="inlineStr">
        <is>
          <t>NA</t>
        </is>
      </c>
      <c r="AD127" s="2" t="n">
        <v>6.6</v>
      </c>
      <c r="AG127" s="2" t="inlineStr">
        <is>
          <t>NA</t>
        </is>
      </c>
      <c r="AH127" s="2" t="n">
        <v>16.3</v>
      </c>
      <c r="AI127" s="2" t="n">
        <v>122</v>
      </c>
      <c r="AL127" s="2" t="n">
        <v>84.40000000000001</v>
      </c>
      <c r="AM127" s="2" t="n">
        <v>48.9</v>
      </c>
      <c r="AN127" s="2" t="n">
        <v>35.5</v>
      </c>
      <c r="AO127" s="2" t="n">
        <v>2093.4</v>
      </c>
      <c r="AP127" s="2" t="n">
        <v>240.6</v>
      </c>
      <c r="AQ127" s="2" t="n">
        <v>93.8</v>
      </c>
      <c r="AR127" s="2" t="n">
        <v>21.4</v>
      </c>
      <c r="AS127" s="2" t="n">
        <v>130.6</v>
      </c>
      <c r="AT127" s="2" t="n">
        <v>75.5</v>
      </c>
      <c r="AU127" s="2" t="n">
        <v>71.8</v>
      </c>
      <c r="AV127" s="2" t="n">
        <v>57.9</v>
      </c>
      <c r="AW127" s="2" t="n">
        <v>11</v>
      </c>
      <c r="AX127" s="2" t="n">
        <v>5.7</v>
      </c>
      <c r="AY127" s="2" t="inlineStr">
        <is>
          <t>NA</t>
        </is>
      </c>
      <c r="AZ127" s="2" t="inlineStr">
        <is>
          <t>NA</t>
        </is>
      </c>
      <c r="BA127" s="2" t="inlineStr">
        <is>
          <t>NA</t>
        </is>
      </c>
      <c r="BB127" s="2" t="inlineStr">
        <is>
          <t>NA</t>
        </is>
      </c>
      <c r="BD127" s="2" t="n">
        <v>90.7</v>
      </c>
      <c r="BE127" s="2" t="n">
        <v>40</v>
      </c>
      <c r="BH127" s="2" t="n">
        <v>291.9</v>
      </c>
      <c r="BK127" s="2" t="n">
        <v>153.2</v>
      </c>
      <c r="BL127" s="2" t="n">
        <v>3.9</v>
      </c>
      <c r="BM127" s="2" t="n">
        <v>449</v>
      </c>
      <c r="BN127" s="2" t="n">
        <v>325.7</v>
      </c>
      <c r="BQ127" s="2" t="n">
        <v>70.09999999999999</v>
      </c>
      <c r="BR127" s="2" t="n">
        <v>4.6</v>
      </c>
      <c r="BS127" s="2" t="n">
        <v>400.4</v>
      </c>
      <c r="BT127" s="2" t="inlineStr">
        <is>
          <t>NA</t>
        </is>
      </c>
      <c r="BU127" s="2" t="n">
        <v>37.6</v>
      </c>
      <c r="BV127" s="2" t="n">
        <v>325.4</v>
      </c>
      <c r="BW127" s="2" t="n">
        <v>99.59999999999999</v>
      </c>
      <c r="BX127" s="2" t="n">
        <v>429.9</v>
      </c>
      <c r="BY127" s="2" t="n">
        <v>41.3</v>
      </c>
      <c r="BZ127" s="2" t="n">
        <v>16.6</v>
      </c>
      <c r="CA127" s="2" t="n">
        <v>57.9</v>
      </c>
      <c r="CF127" s="2" t="n">
        <v>120</v>
      </c>
      <c r="CG127" s="2" t="n">
        <v>112.6</v>
      </c>
      <c r="CH127" s="2" t="n">
        <v>21.4</v>
      </c>
      <c r="CN127" s="2" t="n">
        <v>44.3</v>
      </c>
      <c r="CO127" s="2" t="n">
        <v>307</v>
      </c>
      <c r="CP127" s="2" t="n">
        <v>261.7</v>
      </c>
      <c r="CQ127" s="2" t="n">
        <v>45.3</v>
      </c>
      <c r="CR127" s="2" t="inlineStr">
        <is>
          <t>NA</t>
        </is>
      </c>
      <c r="CS127" s="2" t="n">
        <v>36.7</v>
      </c>
      <c r="CT127" s="2" t="n">
        <v>23.1</v>
      </c>
      <c r="CU127" s="2" t="n">
        <v>13.6</v>
      </c>
      <c r="CV127" s="2" t="n">
        <v>55.40000000000001</v>
      </c>
      <c r="CW127" s="2" t="n">
        <v>28.3</v>
      </c>
      <c r="CX127" s="2" t="n">
        <v>27.1</v>
      </c>
      <c r="CY127" s="2" t="inlineStr">
        <is>
          <t>NA</t>
        </is>
      </c>
      <c r="CZ127" s="2" t="n">
        <v>61.9</v>
      </c>
      <c r="DA127" s="2" t="n">
        <v>65.09999999999999</v>
      </c>
      <c r="DB127" s="2" t="n">
        <v>57.6</v>
      </c>
      <c r="DC127" s="2" t="n">
        <v>7.5</v>
      </c>
      <c r="DG127" s="2" t="n">
        <v>104</v>
      </c>
      <c r="DI127" s="2" t="n">
        <v>504.9</v>
      </c>
      <c r="DJ127" s="2" t="n">
        <v>168.4</v>
      </c>
      <c r="DK127" s="2" t="n">
        <v>477.6</v>
      </c>
      <c r="DL127" s="2" t="n">
        <v>121.7</v>
      </c>
      <c r="DM127" s="2" t="n">
        <v>187.4</v>
      </c>
      <c r="DO127" s="2" t="n">
        <v>148.3</v>
      </c>
      <c r="DP127" s="2" t="n">
        <v>170.6</v>
      </c>
      <c r="DS127" s="2" t="n">
        <v>720.5</v>
      </c>
      <c r="DT127" s="2" t="n">
        <v>2752.8</v>
      </c>
      <c r="DU127" s="2" t="n">
        <v>-253.4000000000001</v>
      </c>
      <c r="DV127" s="2" t="n">
        <v>0</v>
      </c>
      <c r="GZ127" s="2" t="n">
        <v>800.6</v>
      </c>
      <c r="IN127" s="2" t="n">
        <v>94.40000000000001</v>
      </c>
      <c r="IY127" s="2" t="n">
        <v>47.67218831734961</v>
      </c>
      <c r="IZ127" s="2" t="n">
        <v>0.132188317349609</v>
      </c>
      <c r="JB127" s="2" t="n">
        <v>11.134481255449</v>
      </c>
      <c r="JC127" s="2" t="n">
        <v>-0.2355187445510012</v>
      </c>
      <c r="JE127" s="2" t="n">
        <v>1702.938</v>
      </c>
      <c r="JF127" s="2" t="n">
        <v>0.2641799055514646</v>
      </c>
    </row>
    <row r="128">
      <c r="A128" s="1" t="n">
        <v>32933</v>
      </c>
      <c r="B128" s="2" t="n">
        <v>3064.2</v>
      </c>
      <c r="C128" s="2" t="n">
        <v>2503.4</v>
      </c>
      <c r="D128" s="2" t="n">
        <v>254.6</v>
      </c>
      <c r="E128" s="2" t="n">
        <v>1289.4</v>
      </c>
      <c r="F128" s="2" t="n">
        <v>17.6</v>
      </c>
      <c r="G128" s="2" t="inlineStr">
        <is>
          <t>NA</t>
        </is>
      </c>
      <c r="H128" s="2" t="inlineStr">
        <is>
          <t>NA</t>
        </is>
      </c>
      <c r="I128" s="2" t="inlineStr">
        <is>
          <t>NA</t>
        </is>
      </c>
      <c r="J128" s="2" t="inlineStr">
        <is>
          <t>NA</t>
        </is>
      </c>
      <c r="K128" s="2" t="n">
        <v>1142.4</v>
      </c>
      <c r="L128" s="2" t="n">
        <v>1694.921</v>
      </c>
      <c r="M128" s="2" t="n">
        <v>1477.289</v>
      </c>
      <c r="N128" s="2" t="n">
        <v>217.632</v>
      </c>
      <c r="O128" s="2" t="n">
        <v>83.90000000000001</v>
      </c>
      <c r="P128" s="2" t="n">
        <v>174.8</v>
      </c>
      <c r="Q128" s="2" t="n">
        <v>43.4</v>
      </c>
      <c r="R128" s="2" t="n">
        <v>131.4</v>
      </c>
      <c r="T128" s="2" t="n">
        <v>14.2</v>
      </c>
      <c r="U128" s="2" t="n">
        <v>8.699999999999999</v>
      </c>
      <c r="V128" s="2" t="n">
        <v>6.1</v>
      </c>
      <c r="W128" s="2" t="n">
        <v>2.6</v>
      </c>
      <c r="X128" s="2" t="n">
        <v>37.9</v>
      </c>
      <c r="Y128" s="2" t="n">
        <v>11.3</v>
      </c>
      <c r="AA128" s="2" t="inlineStr">
        <is>
          <t>NA</t>
        </is>
      </c>
      <c r="AB128" s="2" t="inlineStr">
        <is>
          <t>NA</t>
        </is>
      </c>
      <c r="AC128" s="2" t="inlineStr">
        <is>
          <t>NA</t>
        </is>
      </c>
      <c r="AD128" s="2" t="n">
        <v>3</v>
      </c>
      <c r="AG128" s="2" t="inlineStr">
        <is>
          <t>NA</t>
        </is>
      </c>
      <c r="AH128" s="2" t="n">
        <v>14.8</v>
      </c>
      <c r="AI128" s="2" t="n">
        <v>131.4</v>
      </c>
      <c r="AL128" s="2" t="n">
        <v>87.2</v>
      </c>
      <c r="AM128" s="2" t="n">
        <v>56.6</v>
      </c>
      <c r="AN128" s="2" t="n">
        <v>30.6</v>
      </c>
      <c r="AO128" s="2" t="n">
        <v>2324.7</v>
      </c>
      <c r="AP128" s="2" t="n">
        <v>283.9</v>
      </c>
      <c r="AQ128" s="2" t="n">
        <v>107.6</v>
      </c>
      <c r="AR128" s="2" t="n">
        <v>27.9</v>
      </c>
      <c r="AS128" s="2" t="n">
        <v>116.6</v>
      </c>
      <c r="AT128" s="2" t="n">
        <v>69</v>
      </c>
      <c r="AU128" s="2" t="n">
        <v>65</v>
      </c>
      <c r="AV128" s="2" t="n">
        <v>41.9</v>
      </c>
      <c r="AW128" s="2" t="n">
        <v>9.800000000000001</v>
      </c>
      <c r="AX128" s="2" t="n">
        <v>4.6</v>
      </c>
      <c r="AY128" s="2" t="n">
        <v>22.6</v>
      </c>
      <c r="AZ128" s="2" t="n">
        <v>2.4</v>
      </c>
      <c r="BA128" s="2" t="inlineStr">
        <is>
          <t>NA</t>
        </is>
      </c>
      <c r="BB128" s="2" t="inlineStr">
        <is>
          <t>NA</t>
        </is>
      </c>
      <c r="BD128" s="2" t="n">
        <v>101.2</v>
      </c>
      <c r="BE128" s="2" t="n">
        <v>43.4</v>
      </c>
      <c r="BH128" s="2" t="n">
        <v>336.2</v>
      </c>
      <c r="BK128" s="2" t="n">
        <v>163.6</v>
      </c>
      <c r="BL128" s="2" t="n">
        <v>4.5</v>
      </c>
      <c r="BM128" s="2" t="n">
        <v>504.3</v>
      </c>
      <c r="BN128" s="2" t="n">
        <v>297.9</v>
      </c>
      <c r="BQ128" s="2" t="n">
        <v>70.09999999999999</v>
      </c>
      <c r="BR128" s="2" t="n">
        <v>4.8</v>
      </c>
      <c r="BS128" s="2" t="n">
        <v>372.8</v>
      </c>
      <c r="BT128" s="2" t="inlineStr">
        <is>
          <t>NA</t>
        </is>
      </c>
      <c r="BU128" s="2" t="n">
        <v>28.5</v>
      </c>
      <c r="BV128" s="2" t="n">
        <v>360.5</v>
      </c>
      <c r="BW128" s="2" t="n">
        <v>114.2</v>
      </c>
      <c r="BX128" s="2" t="n">
        <v>479.9</v>
      </c>
      <c r="BY128" s="2" t="n">
        <v>43.9</v>
      </c>
      <c r="BZ128" s="2" t="n">
        <v>18.6</v>
      </c>
      <c r="CA128" s="2" t="n">
        <v>62.5</v>
      </c>
      <c r="CF128" s="2" t="n">
        <v>136.7</v>
      </c>
      <c r="CG128" s="2" t="n">
        <v>106.6</v>
      </c>
      <c r="CH128" s="2" t="n">
        <v>20.3</v>
      </c>
      <c r="CN128" s="2" t="n">
        <v>51.3</v>
      </c>
      <c r="CO128" s="2" t="n">
        <v>348</v>
      </c>
      <c r="CP128" s="2" t="n">
        <v>310.9</v>
      </c>
      <c r="CQ128" s="2" t="n">
        <v>37.1</v>
      </c>
      <c r="CR128" s="2" t="inlineStr">
        <is>
          <t>NA</t>
        </is>
      </c>
      <c r="CS128" s="2" t="n">
        <v>37.5</v>
      </c>
      <c r="CT128" s="2" t="n">
        <v>24.1</v>
      </c>
      <c r="CU128" s="2" t="n">
        <v>13.4</v>
      </c>
      <c r="CV128" s="2" t="n">
        <v>58.7</v>
      </c>
      <c r="CW128" s="2" t="n">
        <v>34.2</v>
      </c>
      <c r="CX128" s="2" t="n">
        <v>24.5</v>
      </c>
      <c r="CY128" s="2" t="inlineStr">
        <is>
          <t>NA</t>
        </is>
      </c>
      <c r="CZ128" s="2" t="n">
        <v>56.2</v>
      </c>
      <c r="DA128" s="2" t="n">
        <v>65.5</v>
      </c>
      <c r="DB128" s="2" t="n">
        <v>57.2</v>
      </c>
      <c r="DC128" s="2" t="n">
        <v>8.300000000000001</v>
      </c>
      <c r="DG128" s="2" t="n">
        <v>111</v>
      </c>
      <c r="DI128" s="2" t="n">
        <v>558.2</v>
      </c>
      <c r="DJ128" s="2" t="n">
        <v>181.8</v>
      </c>
      <c r="DK128" s="2" t="n">
        <v>519.6</v>
      </c>
      <c r="DL128" s="2" t="n">
        <v>118.6</v>
      </c>
      <c r="DM128" s="2" t="n">
        <v>224.4</v>
      </c>
      <c r="DO128" s="2" t="n">
        <v>166.4</v>
      </c>
      <c r="DP128" s="2" t="n">
        <v>195.2</v>
      </c>
      <c r="DS128" s="2" t="n">
        <v>835.3</v>
      </c>
      <c r="DT128" s="2" t="n">
        <v>3064.2</v>
      </c>
      <c r="DU128" s="2" t="n">
        <v>-264.6999999999998</v>
      </c>
      <c r="DV128" s="2" t="n">
        <v>0</v>
      </c>
      <c r="GZ128" s="2" t="n">
        <v>908.2</v>
      </c>
      <c r="IN128" s="2" t="n">
        <v>109.7</v>
      </c>
      <c r="IY128" s="2" t="n">
        <v>47.6267867632661</v>
      </c>
      <c r="IZ128" s="2" t="n">
        <v>-0.01321323673390395</v>
      </c>
      <c r="JB128" s="2" t="n">
        <v>11.18464852163697</v>
      </c>
      <c r="JC128" s="2" t="n">
        <v>-0.07535147836303047</v>
      </c>
      <c r="JE128" s="2" t="n">
        <v>1694.921</v>
      </c>
      <c r="JF128" s="2" t="n">
        <v>0.2466309639210323</v>
      </c>
    </row>
    <row r="129">
      <c r="A129" s="1" t="n">
        <v>32964</v>
      </c>
      <c r="B129" s="2" t="n">
        <v>2854.3</v>
      </c>
      <c r="C129" s="2" t="n">
        <v>2190.5</v>
      </c>
      <c r="D129" s="2" t="n">
        <v>245.5</v>
      </c>
      <c r="E129" s="2" t="n">
        <v>1073.7</v>
      </c>
      <c r="F129" s="2" t="n">
        <v>27.2</v>
      </c>
      <c r="G129" s="2" t="n">
        <v>62.6</v>
      </c>
      <c r="H129" s="2" t="n">
        <v>29.7</v>
      </c>
      <c r="I129" s="2" t="inlineStr">
        <is>
          <t>NA</t>
        </is>
      </c>
      <c r="J129" s="2" t="inlineStr">
        <is>
          <t>NA</t>
        </is>
      </c>
      <c r="K129" s="2" t="n">
        <v>1066.6</v>
      </c>
      <c r="L129" s="2" t="n">
        <v>1715.923</v>
      </c>
      <c r="M129" s="2" t="n">
        <v>1516.698</v>
      </c>
      <c r="N129" s="2" t="n">
        <v>199.225</v>
      </c>
      <c r="O129" s="2" t="n">
        <v>83.3</v>
      </c>
      <c r="P129" s="2" t="n">
        <v>168.8</v>
      </c>
      <c r="Q129" s="2" t="n">
        <v>40.6</v>
      </c>
      <c r="R129" s="2" t="n">
        <v>128.2</v>
      </c>
      <c r="T129" s="2" t="n">
        <v>22.2</v>
      </c>
      <c r="U129" s="2" t="n">
        <v>13.9</v>
      </c>
      <c r="V129" s="2" t="n">
        <v>11.7</v>
      </c>
      <c r="W129" s="2" t="n">
        <v>2.2</v>
      </c>
      <c r="X129" s="2" t="n">
        <v>51.5</v>
      </c>
      <c r="Y129" s="2" t="n">
        <v>7.2</v>
      </c>
      <c r="AA129" s="2" t="inlineStr">
        <is>
          <t>NA</t>
        </is>
      </c>
      <c r="AB129" s="2" t="inlineStr">
        <is>
          <t>NA</t>
        </is>
      </c>
      <c r="AC129" s="2" t="inlineStr">
        <is>
          <t>NA</t>
        </is>
      </c>
      <c r="AD129" s="2" t="n">
        <v>6.6</v>
      </c>
      <c r="AG129" s="2" t="inlineStr">
        <is>
          <t>NA</t>
        </is>
      </c>
      <c r="AH129" s="2" t="n">
        <v>18.2</v>
      </c>
      <c r="AI129" s="2" t="n">
        <v>135.6</v>
      </c>
      <c r="AL129" s="2" t="n">
        <v>88.5</v>
      </c>
      <c r="AM129" s="2" t="n">
        <v>61.1</v>
      </c>
      <c r="AN129" s="2" t="n">
        <v>27.4</v>
      </c>
      <c r="AO129" s="2" t="n">
        <v>2154.2</v>
      </c>
      <c r="AP129" s="2" t="n">
        <v>280.1</v>
      </c>
      <c r="AQ129" s="2" t="n">
        <v>109.5</v>
      </c>
      <c r="AR129" s="2" t="n">
        <v>27.5</v>
      </c>
      <c r="AS129" s="2" t="n">
        <v>111.9</v>
      </c>
      <c r="AT129" s="2" t="n">
        <v>85.5</v>
      </c>
      <c r="AU129" s="2" t="n">
        <v>62.3</v>
      </c>
      <c r="AV129" s="2" t="n">
        <v>53.8</v>
      </c>
      <c r="AW129" s="2" t="n">
        <v>15.2</v>
      </c>
      <c r="AX129" s="2" t="n">
        <v>6.2</v>
      </c>
      <c r="AY129" s="2" t="n">
        <v>30.4</v>
      </c>
      <c r="AZ129" s="2" t="inlineStr">
        <is>
          <t>NA</t>
        </is>
      </c>
      <c r="BA129" s="2" t="inlineStr">
        <is>
          <t>NA</t>
        </is>
      </c>
      <c r="BB129" s="2" t="inlineStr">
        <is>
          <t>NA</t>
        </is>
      </c>
      <c r="BD129" s="2" t="n">
        <v>97.8</v>
      </c>
      <c r="BE129" s="2" t="n">
        <v>36</v>
      </c>
      <c r="BH129" s="2" t="n">
        <v>300.4</v>
      </c>
      <c r="BK129" s="2" t="n">
        <v>150.8</v>
      </c>
      <c r="BL129" s="2" t="n">
        <v>4.1</v>
      </c>
      <c r="BM129" s="2" t="n">
        <v>455.3</v>
      </c>
      <c r="BN129" s="2" t="n">
        <v>299.6</v>
      </c>
      <c r="BQ129" s="2" t="n">
        <v>69.90000000000001</v>
      </c>
      <c r="BR129" s="2" t="n">
        <v>5.2</v>
      </c>
      <c r="BS129" s="2" t="n">
        <v>374.7</v>
      </c>
      <c r="BT129" s="2" t="inlineStr">
        <is>
          <t>NA</t>
        </is>
      </c>
      <c r="BU129" s="2" t="n">
        <v>31.6</v>
      </c>
      <c r="BV129" s="2" t="n">
        <v>306.5</v>
      </c>
      <c r="BW129" s="2" t="n">
        <v>108.4</v>
      </c>
      <c r="BX129" s="2" t="n">
        <v>419.4</v>
      </c>
      <c r="BY129" s="2" t="n">
        <v>45.1</v>
      </c>
      <c r="BZ129" s="2" t="n">
        <v>18.3</v>
      </c>
      <c r="CA129" s="2" t="n">
        <v>63.40000000000001</v>
      </c>
      <c r="CF129" s="2" t="n">
        <v>134.6</v>
      </c>
      <c r="CG129" s="2" t="n">
        <v>114.1</v>
      </c>
      <c r="CH129" s="2" t="n">
        <v>16.6</v>
      </c>
      <c r="CN129" s="2" t="n">
        <v>43.6</v>
      </c>
      <c r="CO129" s="2" t="n">
        <v>305.6</v>
      </c>
      <c r="CP129" s="2" t="n">
        <v>271.1</v>
      </c>
      <c r="CQ129" s="2" t="n">
        <v>34.5</v>
      </c>
      <c r="CR129" s="2" t="inlineStr">
        <is>
          <t>NA</t>
        </is>
      </c>
      <c r="CS129" s="2" t="n">
        <v>38.4</v>
      </c>
      <c r="CT129" s="2" t="n">
        <v>20.9</v>
      </c>
      <c r="CU129" s="2" t="n">
        <v>17.5</v>
      </c>
      <c r="CV129" s="2" t="n">
        <v>51.6</v>
      </c>
      <c r="CW129" s="2" t="n">
        <v>30.3</v>
      </c>
      <c r="CX129" s="2" t="n">
        <v>21.3</v>
      </c>
      <c r="CY129" s="2" t="inlineStr">
        <is>
          <t>NA</t>
        </is>
      </c>
      <c r="CZ129" s="2" t="n">
        <v>68</v>
      </c>
      <c r="DA129" s="2" t="n">
        <v>53</v>
      </c>
      <c r="DB129" s="2" t="n">
        <v>46.1</v>
      </c>
      <c r="DC129" s="2" t="n">
        <v>6.9</v>
      </c>
      <c r="DG129" s="2" t="n">
        <v>107.4</v>
      </c>
      <c r="DI129" s="2" t="n">
        <v>512.2</v>
      </c>
      <c r="DJ129" s="2" t="n">
        <v>173.5</v>
      </c>
      <c r="DK129" s="2" t="n">
        <v>500</v>
      </c>
      <c r="DL129" s="2" t="n">
        <v>134.5</v>
      </c>
      <c r="DM129" s="2" t="n">
        <v>204.8</v>
      </c>
      <c r="DO129" s="2" t="n">
        <v>150.6</v>
      </c>
      <c r="DP129" s="2" t="n">
        <v>183</v>
      </c>
      <c r="DS129" s="2" t="n">
        <v>733</v>
      </c>
      <c r="DT129" s="2" t="n">
        <v>2854.3</v>
      </c>
      <c r="DU129" s="2" t="n">
        <v>-262.7000000000003</v>
      </c>
      <c r="DV129" s="2" t="n">
        <v>0</v>
      </c>
      <c r="GZ129" s="2" t="n">
        <v>812.7</v>
      </c>
      <c r="IN129" s="2" t="n">
        <v>80.40000000000001</v>
      </c>
      <c r="IY129" s="2" t="n">
        <v>47.58504712188627</v>
      </c>
      <c r="IZ129" s="2" t="n">
        <v>0.02504712188626712</v>
      </c>
      <c r="JB129" s="2" t="n">
        <v>11.21045440213012</v>
      </c>
      <c r="JC129" s="2" t="n">
        <v>-0.009545597869882627</v>
      </c>
      <c r="JE129" s="2" t="n">
        <v>1715.923</v>
      </c>
      <c r="JF129" s="2" t="n">
        <v>0.2529688103720272</v>
      </c>
    </row>
    <row r="130">
      <c r="A130" s="1" t="n">
        <v>32994</v>
      </c>
      <c r="B130" s="2" t="n">
        <v>2801.9</v>
      </c>
      <c r="C130" s="2" t="n">
        <v>2026.3</v>
      </c>
      <c r="D130" s="2" t="n">
        <v>201.5</v>
      </c>
      <c r="E130" s="2" t="n">
        <v>783.9</v>
      </c>
      <c r="F130" s="2" t="n">
        <v>29.8</v>
      </c>
      <c r="G130" s="2" t="n">
        <v>33</v>
      </c>
      <c r="H130" s="2" t="inlineStr">
        <is>
          <t>NA</t>
        </is>
      </c>
      <c r="I130" s="2" t="inlineStr">
        <is>
          <t>NA</t>
        </is>
      </c>
      <c r="J130" s="2" t="inlineStr">
        <is>
          <t>NA</t>
        </is>
      </c>
      <c r="K130" s="2" t="n">
        <v>1050.1</v>
      </c>
      <c r="L130" s="2" t="n">
        <v>1550.881</v>
      </c>
      <c r="M130" s="2" t="n">
        <v>1352.171</v>
      </c>
      <c r="N130" s="2" t="n">
        <v>198.71</v>
      </c>
      <c r="O130" s="2" t="n">
        <v>68.8</v>
      </c>
      <c r="P130" s="2" t="n">
        <v>156.1</v>
      </c>
      <c r="Q130" s="2" t="n">
        <v>43.6</v>
      </c>
      <c r="R130" s="2" t="n">
        <v>112.5</v>
      </c>
      <c r="T130" s="2" t="n">
        <v>24.9</v>
      </c>
      <c r="U130" s="2" t="n">
        <v>21.2</v>
      </c>
      <c r="V130" s="2" t="n">
        <v>18.3</v>
      </c>
      <c r="W130" s="2" t="n">
        <v>2.9</v>
      </c>
      <c r="X130" s="2" t="n">
        <v>27.2</v>
      </c>
      <c r="Y130" s="2" t="n">
        <v>9.6</v>
      </c>
      <c r="AA130" s="2" t="inlineStr">
        <is>
          <t>NA</t>
        </is>
      </c>
      <c r="AB130" s="2" t="inlineStr">
        <is>
          <t>NA</t>
        </is>
      </c>
      <c r="AC130" s="2" t="inlineStr">
        <is>
          <t>NA</t>
        </is>
      </c>
      <c r="AD130" s="2" t="n">
        <v>7</v>
      </c>
      <c r="AG130" s="2" t="inlineStr">
        <is>
          <t>NA</t>
        </is>
      </c>
      <c r="AH130" s="2" t="n">
        <v>17.6</v>
      </c>
      <c r="AI130" s="2" t="n">
        <v>115.5</v>
      </c>
      <c r="AL130" s="2" t="n">
        <v>88.2</v>
      </c>
      <c r="AM130" s="2" t="n">
        <v>59.4</v>
      </c>
      <c r="AN130" s="2" t="n">
        <v>28.8</v>
      </c>
      <c r="AO130" s="2" t="n">
        <v>2107.3</v>
      </c>
      <c r="AP130" s="2" t="n">
        <v>221.2</v>
      </c>
      <c r="AQ130" s="2" t="n">
        <v>117</v>
      </c>
      <c r="AR130" s="2" t="n">
        <v>31.3</v>
      </c>
      <c r="AS130" s="2" t="n">
        <v>90.7</v>
      </c>
      <c r="AT130" s="2" t="n">
        <v>93.7</v>
      </c>
      <c r="AU130" s="2" t="n">
        <v>51.9</v>
      </c>
      <c r="AV130" s="2" t="n">
        <v>42.9</v>
      </c>
      <c r="AW130" s="2" t="n">
        <v>15.9</v>
      </c>
      <c r="AX130" s="2" t="n">
        <v>8.6</v>
      </c>
      <c r="AY130" s="2" t="n">
        <v>17.4</v>
      </c>
      <c r="AZ130" s="2" t="inlineStr">
        <is>
          <t>NA</t>
        </is>
      </c>
      <c r="BA130" s="2" t="inlineStr">
        <is>
          <t>NA</t>
        </is>
      </c>
      <c r="BB130" s="2" t="inlineStr">
        <is>
          <t>NA</t>
        </is>
      </c>
      <c r="BD130" s="2" t="n">
        <v>115.9</v>
      </c>
      <c r="BE130" s="2" t="n">
        <v>38.1</v>
      </c>
      <c r="BH130" s="2" t="n">
        <v>338.2</v>
      </c>
      <c r="BK130" s="2" t="n">
        <v>177.3</v>
      </c>
      <c r="BL130" s="2" t="n">
        <v>4.5</v>
      </c>
      <c r="BM130" s="2" t="n">
        <v>520</v>
      </c>
      <c r="BN130" s="2" t="n">
        <v>245.1</v>
      </c>
      <c r="BQ130" s="2" t="n">
        <v>67.2</v>
      </c>
      <c r="BR130" s="2" t="n">
        <v>4.4</v>
      </c>
      <c r="BS130" s="2" t="n">
        <v>316.7</v>
      </c>
      <c r="BT130" s="2" t="inlineStr">
        <is>
          <t>NA</t>
        </is>
      </c>
      <c r="BU130" s="2" t="n">
        <v>27.4</v>
      </c>
      <c r="BV130" s="2" t="n">
        <v>349.1</v>
      </c>
      <c r="BW130" s="2" t="n">
        <v>123.7</v>
      </c>
      <c r="BX130" s="2" t="n">
        <v>477.7</v>
      </c>
      <c r="BY130" s="2" t="n">
        <v>42</v>
      </c>
      <c r="BZ130" s="2" t="n">
        <v>19.6</v>
      </c>
      <c r="CA130" s="2" t="n">
        <v>61.6</v>
      </c>
      <c r="CF130" s="2" t="n">
        <v>126.7</v>
      </c>
      <c r="CG130" s="2" t="n">
        <v>106.9</v>
      </c>
      <c r="CH130" s="2" t="n">
        <v>17.2</v>
      </c>
      <c r="CN130" s="2" t="n">
        <v>43.9</v>
      </c>
      <c r="CO130" s="2" t="n">
        <v>306.6</v>
      </c>
      <c r="CP130" s="2" t="n">
        <v>270.8</v>
      </c>
      <c r="CQ130" s="2" t="n">
        <v>35.8</v>
      </c>
      <c r="CR130" s="2" t="inlineStr">
        <is>
          <t>NA</t>
        </is>
      </c>
      <c r="CS130" s="2" t="n">
        <v>36.8</v>
      </c>
      <c r="CT130" s="2" t="n">
        <v>16.5</v>
      </c>
      <c r="CU130" s="2" t="n">
        <v>20.3</v>
      </c>
      <c r="CV130" s="2" t="n">
        <v>44.09999999999999</v>
      </c>
      <c r="CW130" s="2" t="n">
        <v>22.7</v>
      </c>
      <c r="CX130" s="2" t="n">
        <v>21.4</v>
      </c>
      <c r="CY130" s="2" t="inlineStr">
        <is>
          <t>NA</t>
        </is>
      </c>
      <c r="CZ130" s="2" t="n">
        <v>80.3</v>
      </c>
      <c r="DA130" s="2" t="n">
        <v>53.2</v>
      </c>
      <c r="DB130" s="2" t="n">
        <v>46.7</v>
      </c>
      <c r="DC130" s="2" t="n">
        <v>6.5</v>
      </c>
      <c r="DI130" s="2" t="n">
        <v>543.8</v>
      </c>
      <c r="DJ130" s="2" t="n">
        <v>197.2</v>
      </c>
      <c r="DK130" s="2" t="n">
        <v>492.9</v>
      </c>
      <c r="DL130" s="2" t="n">
        <v>142.3</v>
      </c>
      <c r="DM130" s="2" t="n">
        <v>206.2</v>
      </c>
      <c r="DO130" s="2" t="n">
        <v>169.9</v>
      </c>
      <c r="DP130" s="2" t="n">
        <v>147.9</v>
      </c>
      <c r="DS130" s="2" t="n">
        <v>698.2</v>
      </c>
      <c r="DT130" s="2" t="n">
        <v>2801.9</v>
      </c>
      <c r="DU130" s="2" t="n">
        <v>-203.4999999999995</v>
      </c>
      <c r="DV130" s="2" t="n">
        <v>0</v>
      </c>
      <c r="GZ130" s="2" t="n">
        <v>952.8</v>
      </c>
      <c r="IN130" s="2" t="n">
        <v>74.8</v>
      </c>
      <c r="IY130" s="2" t="n">
        <v>47.63125022306292</v>
      </c>
      <c r="IZ130" s="2" t="n">
        <v>0.1212502230629227</v>
      </c>
      <c r="JB130" s="2" t="n">
        <v>11.24344195010528</v>
      </c>
      <c r="JC130" s="2" t="n">
        <v>-0.05655804989471669</v>
      </c>
      <c r="JE130" s="2" t="n">
        <v>1550.881</v>
      </c>
      <c r="JF130" s="2" t="n">
        <v>0.2821886398763025</v>
      </c>
    </row>
    <row r="131">
      <c r="A131" s="1" t="n">
        <v>33025</v>
      </c>
      <c r="B131" s="2" t="n">
        <v>2759.8</v>
      </c>
      <c r="C131" s="2" t="n">
        <v>1863.2</v>
      </c>
      <c r="D131" s="2" t="n">
        <v>191.9</v>
      </c>
      <c r="E131" s="2" t="n">
        <v>515.8</v>
      </c>
      <c r="F131" s="2" t="n">
        <v>28.2</v>
      </c>
      <c r="G131" s="2" t="n">
        <v>41.1</v>
      </c>
      <c r="H131" s="2" t="n">
        <v>22.3</v>
      </c>
      <c r="I131" s="2" t="inlineStr">
        <is>
          <t>NA</t>
        </is>
      </c>
      <c r="J131" s="2" t="inlineStr">
        <is>
          <t>NA</t>
        </is>
      </c>
      <c r="K131" s="2" t="n">
        <v>1035.8</v>
      </c>
      <c r="L131" s="2" t="n">
        <v>1421.747</v>
      </c>
      <c r="M131" s="2" t="n">
        <v>1216.951</v>
      </c>
      <c r="N131" s="2" t="n">
        <v>204.796</v>
      </c>
      <c r="O131" s="2" t="n">
        <v>66.09999999999999</v>
      </c>
      <c r="P131" s="2" t="n">
        <v>135.6</v>
      </c>
      <c r="Q131" s="2" t="n">
        <v>39</v>
      </c>
      <c r="R131" s="2" t="n">
        <v>96.59999999999999</v>
      </c>
      <c r="T131" s="2" t="n">
        <v>24.1</v>
      </c>
      <c r="U131" s="2" t="n">
        <v>23.9</v>
      </c>
      <c r="V131" s="2" t="n">
        <v>20.5</v>
      </c>
      <c r="W131" s="2" t="n">
        <v>3.4</v>
      </c>
      <c r="X131" s="2" t="n">
        <v>33.9</v>
      </c>
      <c r="Y131" s="2" t="n">
        <v>7.6</v>
      </c>
      <c r="AA131" s="2" t="inlineStr">
        <is>
          <t>NA</t>
        </is>
      </c>
      <c r="AB131" s="2" t="inlineStr">
        <is>
          <t>NA</t>
        </is>
      </c>
      <c r="AC131" s="2" t="inlineStr">
        <is>
          <t>NA</t>
        </is>
      </c>
      <c r="AD131" s="2" t="n">
        <v>5</v>
      </c>
      <c r="AG131" s="2" t="inlineStr">
        <is>
          <t>NA</t>
        </is>
      </c>
      <c r="AH131" s="2" t="n">
        <v>20</v>
      </c>
      <c r="AI131" s="2" t="n">
        <v>140.7</v>
      </c>
      <c r="AL131" s="2" t="n">
        <v>92</v>
      </c>
      <c r="AM131" s="2" t="n">
        <v>52.9</v>
      </c>
      <c r="AN131" s="2" t="n">
        <v>39.1</v>
      </c>
      <c r="AO131" s="2" t="n">
        <v>2061.3</v>
      </c>
      <c r="AP131" s="2" t="n">
        <v>219.6</v>
      </c>
      <c r="AQ131" s="2" t="n">
        <v>122.2</v>
      </c>
      <c r="AR131" s="2" t="n">
        <v>42.9</v>
      </c>
      <c r="AS131" s="2" t="n">
        <v>86.59999999999999</v>
      </c>
      <c r="AT131" s="2" t="n">
        <v>85.40000000000001</v>
      </c>
      <c r="AU131" s="2" t="n">
        <v>49.1</v>
      </c>
      <c r="AV131" s="2" t="n">
        <v>34.2</v>
      </c>
      <c r="AW131" s="2" t="n">
        <v>15.4</v>
      </c>
      <c r="AX131" s="2" t="n">
        <v>11.3</v>
      </c>
      <c r="AY131" s="2" t="n">
        <v>20.5</v>
      </c>
      <c r="AZ131" s="2" t="n">
        <v>7.1</v>
      </c>
      <c r="BA131" s="2" t="inlineStr">
        <is>
          <t>NA</t>
        </is>
      </c>
      <c r="BB131" s="2" t="inlineStr">
        <is>
          <t>NA</t>
        </is>
      </c>
      <c r="BD131" s="2" t="n">
        <v>101.1</v>
      </c>
      <c r="BE131" s="2" t="n">
        <v>40.2</v>
      </c>
      <c r="BH131" s="2" t="n">
        <v>294.7</v>
      </c>
      <c r="BK131" s="2" t="n">
        <v>171.3</v>
      </c>
      <c r="BL131" s="2" t="n">
        <v>4.5</v>
      </c>
      <c r="BM131" s="2" t="n">
        <v>470.5</v>
      </c>
      <c r="BN131" s="2" t="n">
        <v>254.9</v>
      </c>
      <c r="BQ131" s="2" t="n">
        <v>69.5</v>
      </c>
      <c r="BR131" s="2" t="n">
        <v>4.6</v>
      </c>
      <c r="BS131" s="2" t="n">
        <v>329</v>
      </c>
      <c r="BT131" s="2" t="inlineStr">
        <is>
          <t>NA</t>
        </is>
      </c>
      <c r="BU131" s="2" t="n">
        <v>25.2</v>
      </c>
      <c r="BV131" s="2" t="n">
        <v>319.5</v>
      </c>
      <c r="BW131" s="2" t="n">
        <v>108.7</v>
      </c>
      <c r="BX131" s="2" t="n">
        <v>432.9</v>
      </c>
      <c r="BY131" s="2" t="n">
        <v>44.6</v>
      </c>
      <c r="BZ131" s="2" t="n">
        <v>23.3</v>
      </c>
      <c r="CA131" s="2" t="n">
        <v>67.90000000000001</v>
      </c>
      <c r="CF131" s="2" t="n">
        <v>122.1</v>
      </c>
      <c r="CG131" s="2" t="n">
        <v>102.5</v>
      </c>
      <c r="CH131" s="2" t="n">
        <v>17.2</v>
      </c>
      <c r="CN131" s="2" t="n">
        <v>54.3</v>
      </c>
      <c r="CO131" s="2" t="n">
        <v>292.2</v>
      </c>
      <c r="CP131" s="2" t="n">
        <v>253</v>
      </c>
      <c r="CQ131" s="2" t="n">
        <v>39.2</v>
      </c>
      <c r="CR131" s="2" t="inlineStr">
        <is>
          <t>NA</t>
        </is>
      </c>
      <c r="CS131" s="2" t="n">
        <v>28.2</v>
      </c>
      <c r="CT131" s="2" t="n">
        <v>16.5</v>
      </c>
      <c r="CU131" s="2" t="n">
        <v>11.7</v>
      </c>
      <c r="CV131" s="2" t="n">
        <v>44.09999999999999</v>
      </c>
      <c r="CW131" s="2" t="n">
        <v>17.2</v>
      </c>
      <c r="CX131" s="2" t="n">
        <v>26.9</v>
      </c>
      <c r="CY131" s="2" t="inlineStr">
        <is>
          <t>NA</t>
        </is>
      </c>
      <c r="CZ131" s="2" t="n">
        <v>107.6</v>
      </c>
      <c r="DA131" s="2" t="n">
        <v>57.8</v>
      </c>
      <c r="DB131" s="2" t="n">
        <v>53.9</v>
      </c>
      <c r="DC131" s="2" t="n">
        <v>3.9</v>
      </c>
      <c r="DI131" s="2" t="n">
        <v>516.1</v>
      </c>
      <c r="DJ131" s="2" t="n">
        <v>182.7</v>
      </c>
      <c r="DK131" s="2" t="n">
        <v>500.3</v>
      </c>
      <c r="DL131" s="2" t="n">
        <v>134.7</v>
      </c>
      <c r="DM131" s="2" t="n">
        <v>218.3</v>
      </c>
      <c r="DO131" s="2" t="n">
        <v>156.1</v>
      </c>
      <c r="DP131" s="2" t="n">
        <v>189.1</v>
      </c>
      <c r="DS131" s="2" t="n">
        <v>660.1</v>
      </c>
      <c r="DT131" s="2" t="n">
        <v>2758.8</v>
      </c>
      <c r="DU131" s="2" t="n">
        <v>-201.4000000000005</v>
      </c>
      <c r="DV131" s="2" t="n">
        <v>-1</v>
      </c>
      <c r="GZ131" s="2" t="n">
        <v>915.1</v>
      </c>
      <c r="IN131" s="2" t="n">
        <v>65</v>
      </c>
      <c r="IY131" s="2" t="n">
        <v>47.4708312196536</v>
      </c>
      <c r="IZ131" s="2" t="n">
        <v>0.07083121965359851</v>
      </c>
      <c r="JB131" s="2" t="n">
        <v>11.25951155880861</v>
      </c>
      <c r="JC131" s="2" t="n">
        <v>-0.0504884411913924</v>
      </c>
      <c r="JE131" s="2" t="n">
        <v>1421.747</v>
      </c>
      <c r="JF131" s="2" t="n">
        <v>0.2924556900770671</v>
      </c>
    </row>
    <row r="132">
      <c r="A132" s="1" t="n">
        <v>33055</v>
      </c>
      <c r="B132" s="2" t="n">
        <v>2766</v>
      </c>
      <c r="C132" s="2" t="n">
        <v>1413.5</v>
      </c>
      <c r="D132" s="2" t="n">
        <v>130.9</v>
      </c>
      <c r="E132" s="2" t="n">
        <v>366.4</v>
      </c>
      <c r="F132" s="2" t="n">
        <v>16.9</v>
      </c>
      <c r="G132" s="2" t="n">
        <v>30.2</v>
      </c>
      <c r="H132" s="2" t="n">
        <v>10.7</v>
      </c>
      <c r="I132" s="2" t="inlineStr">
        <is>
          <t>NA</t>
        </is>
      </c>
      <c r="J132" s="2" t="inlineStr">
        <is>
          <t>NA</t>
        </is>
      </c>
      <c r="K132" s="2" t="n">
        <v>1038</v>
      </c>
      <c r="L132" s="2" t="n">
        <v>1433.241</v>
      </c>
      <c r="M132" s="2" t="n">
        <v>1197.024</v>
      </c>
      <c r="N132" s="2" t="n">
        <v>236.217</v>
      </c>
      <c r="O132" s="2" t="n">
        <v>40.6</v>
      </c>
      <c r="P132" s="2" t="n">
        <v>111.8</v>
      </c>
      <c r="Q132" s="2" t="n">
        <v>24.9</v>
      </c>
      <c r="R132" s="2" t="n">
        <v>86.90000000000001</v>
      </c>
      <c r="T132" s="2" t="n">
        <v>14</v>
      </c>
      <c r="U132" s="2" t="n">
        <v>24.2</v>
      </c>
      <c r="V132" s="2" t="n">
        <v>20.5</v>
      </c>
      <c r="W132" s="2" t="n">
        <v>3.7</v>
      </c>
      <c r="X132" s="2" t="n">
        <v>25</v>
      </c>
      <c r="Y132" s="2" t="n">
        <v>7.1</v>
      </c>
      <c r="AA132" s="2" t="inlineStr">
        <is>
          <t>NA</t>
        </is>
      </c>
      <c r="AB132" s="2" t="inlineStr">
        <is>
          <t>NA</t>
        </is>
      </c>
      <c r="AC132" s="2" t="inlineStr">
        <is>
          <t>NA</t>
        </is>
      </c>
      <c r="AD132" s="2" t="n">
        <v>7</v>
      </c>
      <c r="AG132" s="2" t="inlineStr">
        <is>
          <t>NA</t>
        </is>
      </c>
      <c r="AH132" s="2" t="n">
        <v>17.7</v>
      </c>
      <c r="AI132" s="2" t="n">
        <v>150.4</v>
      </c>
      <c r="AL132" s="2" t="n">
        <v>101.1</v>
      </c>
      <c r="AM132" s="2" t="n">
        <v>61.9</v>
      </c>
      <c r="AN132" s="2" t="n">
        <v>39.2</v>
      </c>
      <c r="AO132" s="2" t="n">
        <v>2072.5</v>
      </c>
      <c r="AP132" s="2" t="n">
        <v>216.1</v>
      </c>
      <c r="AQ132" s="2" t="n">
        <v>124.1</v>
      </c>
      <c r="AR132" s="2" t="n">
        <v>51.6</v>
      </c>
      <c r="AS132" s="2" t="n">
        <v>56.6</v>
      </c>
      <c r="AT132" s="2" t="n">
        <v>56.4</v>
      </c>
      <c r="AU132" s="2" t="n">
        <v>33.5</v>
      </c>
      <c r="AV132" s="2" t="n">
        <v>23.8</v>
      </c>
      <c r="AW132" s="2" t="n">
        <v>9.699999999999999</v>
      </c>
      <c r="AX132" s="2" t="n">
        <v>6.8</v>
      </c>
      <c r="AY132" s="2" t="n">
        <v>15.1</v>
      </c>
      <c r="AZ132" s="2" t="inlineStr">
        <is>
          <t>NA</t>
        </is>
      </c>
      <c r="BA132" s="2" t="inlineStr">
        <is>
          <t>NA</t>
        </is>
      </c>
      <c r="BB132" s="2" t="inlineStr">
        <is>
          <t>NA</t>
        </is>
      </c>
      <c r="BD132" s="2" t="n">
        <v>101.4</v>
      </c>
      <c r="BE132" s="2" t="n">
        <v>39.8</v>
      </c>
      <c r="BH132" s="2" t="n">
        <v>278.4</v>
      </c>
      <c r="BK132" s="2" t="n">
        <v>161.6</v>
      </c>
      <c r="BL132" s="2" t="n">
        <v>4.4</v>
      </c>
      <c r="BM132" s="2" t="n">
        <v>444.4</v>
      </c>
      <c r="BN132" s="2" t="n">
        <v>265.6</v>
      </c>
      <c r="BQ132" s="2" t="n">
        <v>68.3</v>
      </c>
      <c r="BR132" s="2" t="n">
        <v>5.1</v>
      </c>
      <c r="BS132" s="2" t="n">
        <v>339.0000000000001</v>
      </c>
      <c r="BT132" s="2" t="inlineStr">
        <is>
          <t>NA</t>
        </is>
      </c>
      <c r="BU132" s="2" t="n">
        <v>25.9</v>
      </c>
      <c r="BV132" s="2" t="n">
        <v>319.8</v>
      </c>
      <c r="BW132" s="2" t="n">
        <v>105</v>
      </c>
      <c r="BX132" s="2" t="n">
        <v>429.6</v>
      </c>
      <c r="BY132" s="2" t="n">
        <v>44.7</v>
      </c>
      <c r="BZ132" s="2" t="n">
        <v>21.1</v>
      </c>
      <c r="CA132" s="2" t="n">
        <v>65.80000000000001</v>
      </c>
      <c r="CF132" s="2" t="n">
        <v>118</v>
      </c>
      <c r="CG132" s="2" t="n">
        <v>108.3</v>
      </c>
      <c r="CH132" s="2" t="n">
        <v>18</v>
      </c>
      <c r="CN132" s="2" t="n">
        <v>43.5</v>
      </c>
      <c r="CO132" s="2" t="n">
        <v>264.3</v>
      </c>
      <c r="CP132" s="2" t="n">
        <v>228.4</v>
      </c>
      <c r="CQ132" s="2" t="n">
        <v>35.9</v>
      </c>
      <c r="CR132" s="2" t="inlineStr">
        <is>
          <t>NA</t>
        </is>
      </c>
      <c r="CS132" s="2" t="n">
        <v>21.9</v>
      </c>
      <c r="CT132" s="2" t="n">
        <v>11.8</v>
      </c>
      <c r="CU132" s="2" t="n">
        <v>10.1</v>
      </c>
      <c r="CV132" s="2" t="n">
        <v>33.3</v>
      </c>
      <c r="CW132" s="2" t="n">
        <v>8.9</v>
      </c>
      <c r="CX132" s="2" t="n">
        <v>24.4</v>
      </c>
      <c r="CY132" s="2" t="inlineStr">
        <is>
          <t>NA</t>
        </is>
      </c>
      <c r="CZ132" s="2" t="n">
        <v>81.3</v>
      </c>
      <c r="DA132" s="2" t="n">
        <v>55.5</v>
      </c>
      <c r="DB132" s="2" t="n">
        <v>51.8</v>
      </c>
      <c r="DC132" s="2" t="n">
        <v>3.7</v>
      </c>
      <c r="DI132" s="2" t="n">
        <v>565.1</v>
      </c>
      <c r="DJ132" s="2" t="n">
        <v>193.9</v>
      </c>
      <c r="DK132" s="2" t="n">
        <v>489</v>
      </c>
      <c r="DL132" s="2" t="n">
        <v>136.3</v>
      </c>
      <c r="DM132" s="2" t="n">
        <v>188.4</v>
      </c>
      <c r="DO132" s="2" t="n">
        <v>140</v>
      </c>
      <c r="DP132" s="2" t="n">
        <v>194.9</v>
      </c>
      <c r="DS132" s="2" t="n">
        <v>613.8</v>
      </c>
      <c r="DT132" s="2" t="n">
        <v>2766</v>
      </c>
      <c r="DU132" s="2" t="n">
        <v>-244.5999999999999</v>
      </c>
      <c r="DV132" s="2" t="n">
        <v>0</v>
      </c>
      <c r="GZ132" s="2" t="n">
        <v>903.7</v>
      </c>
      <c r="IN132" s="2" t="n">
        <v>50.8</v>
      </c>
      <c r="IY132" s="2" t="n">
        <v>47.64859002169197</v>
      </c>
      <c r="IZ132" s="2" t="n">
        <v>-0.09140997830802888</v>
      </c>
      <c r="JB132" s="2" t="n">
        <v>11.25813449023861</v>
      </c>
      <c r="JC132" s="2" t="n">
        <v>-0.05186550976138982</v>
      </c>
      <c r="JE132" s="2" t="n">
        <v>1433.241</v>
      </c>
      <c r="JF132" s="2" t="n">
        <v>0.2871233798084202</v>
      </c>
    </row>
    <row r="133">
      <c r="A133" s="1" t="n">
        <v>33086</v>
      </c>
      <c r="B133" s="2" t="n">
        <v>2826.9</v>
      </c>
      <c r="C133" s="2" t="n">
        <v>1312.8</v>
      </c>
      <c r="D133" s="2" t="n">
        <v>157.3</v>
      </c>
      <c r="E133" s="2" t="n">
        <v>308.2</v>
      </c>
      <c r="F133" s="2" t="n">
        <v>10.5</v>
      </c>
      <c r="G133" s="2" t="n">
        <v>8.199999999999999</v>
      </c>
      <c r="H133" s="2" t="n">
        <v>5.1</v>
      </c>
      <c r="I133" s="2" t="inlineStr">
        <is>
          <t>NA</t>
        </is>
      </c>
      <c r="J133" s="2" t="inlineStr">
        <is>
          <t>NA</t>
        </is>
      </c>
      <c r="K133" s="2" t="n">
        <v>1059.2</v>
      </c>
      <c r="L133" s="2" t="n">
        <v>1380.18</v>
      </c>
      <c r="M133" s="2" t="n">
        <v>1153.365</v>
      </c>
      <c r="N133" s="2" t="n">
        <v>226.815</v>
      </c>
      <c r="O133" s="2" t="n">
        <v>48.2</v>
      </c>
      <c r="P133" s="2" t="n">
        <v>75.90000000000001</v>
      </c>
      <c r="Q133" s="2" t="n">
        <v>18.2</v>
      </c>
      <c r="R133" s="2" t="n">
        <v>57.7</v>
      </c>
      <c r="T133" s="2" t="n">
        <v>8.5</v>
      </c>
      <c r="U133" s="2" t="n">
        <v>17</v>
      </c>
      <c r="V133" s="2" t="n">
        <v>12.8</v>
      </c>
      <c r="W133" s="2" t="n">
        <v>4.2</v>
      </c>
      <c r="X133" s="2" t="n">
        <v>6.6</v>
      </c>
      <c r="Y133" s="2" t="n">
        <v>9.5</v>
      </c>
      <c r="AA133" s="2" t="inlineStr">
        <is>
          <t>NA</t>
        </is>
      </c>
      <c r="AB133" s="2" t="inlineStr">
        <is>
          <t>NA</t>
        </is>
      </c>
      <c r="AC133" s="2" t="inlineStr">
        <is>
          <t>NA</t>
        </is>
      </c>
      <c r="AD133" s="2" t="n">
        <v>9.4</v>
      </c>
      <c r="AG133" s="2" t="inlineStr">
        <is>
          <t>NA</t>
        </is>
      </c>
      <c r="AH133" s="2" t="n">
        <v>30.4</v>
      </c>
      <c r="AI133" s="2" t="n">
        <v>145.2</v>
      </c>
      <c r="AL133" s="2" t="n">
        <v>131.2</v>
      </c>
      <c r="AM133" s="2" t="n">
        <v>90.7</v>
      </c>
      <c r="AN133" s="2" t="n">
        <v>40.5</v>
      </c>
      <c r="AO133" s="2" t="n">
        <v>2110.8</v>
      </c>
      <c r="AP133" s="2" t="n">
        <v>194.2</v>
      </c>
      <c r="AQ133" s="2" t="n">
        <v>126.3</v>
      </c>
      <c r="AR133" s="2" t="n">
        <v>37.8</v>
      </c>
      <c r="AS133" s="2" t="n">
        <v>68.7</v>
      </c>
      <c r="AT133" s="2" t="n">
        <v>42.8</v>
      </c>
      <c r="AU133" s="2" t="n">
        <v>41.3</v>
      </c>
      <c r="AV133" s="2" t="n">
        <v>20.5</v>
      </c>
      <c r="AW133" s="2" t="n">
        <v>5.6</v>
      </c>
      <c r="AX133" s="2" t="n">
        <v>4.8</v>
      </c>
      <c r="AY133" s="2" t="n">
        <v>4.5</v>
      </c>
      <c r="AZ133" s="2" t="inlineStr">
        <is>
          <t>NA</t>
        </is>
      </c>
      <c r="BA133" s="2" t="inlineStr">
        <is>
          <t>NA</t>
        </is>
      </c>
      <c r="BB133" s="2" t="inlineStr">
        <is>
          <t>NA</t>
        </is>
      </c>
      <c r="BD133" s="2" t="n">
        <v>109.6</v>
      </c>
      <c r="BE133" s="2" t="n">
        <v>35.8</v>
      </c>
      <c r="BH133" s="2" t="n">
        <v>317.7</v>
      </c>
      <c r="BK133" s="2" t="n">
        <v>174.7</v>
      </c>
      <c r="BL133" s="2" t="n">
        <v>4.6</v>
      </c>
      <c r="BM133" s="2" t="n">
        <v>497</v>
      </c>
      <c r="BN133" s="2" t="n">
        <v>258.9</v>
      </c>
      <c r="BQ133" s="2" t="n">
        <v>80</v>
      </c>
      <c r="BR133" s="2" t="n">
        <v>4.6</v>
      </c>
      <c r="BS133" s="2" t="n">
        <v>343.5</v>
      </c>
      <c r="BT133" s="2" t="inlineStr">
        <is>
          <t>NA</t>
        </is>
      </c>
      <c r="BU133" s="2" t="n">
        <v>22.8</v>
      </c>
      <c r="BV133" s="2" t="n">
        <v>341.2</v>
      </c>
      <c r="BW133" s="2" t="n">
        <v>111.5</v>
      </c>
      <c r="BX133" s="2" t="n">
        <v>456.9</v>
      </c>
      <c r="BY133" s="2" t="n">
        <v>41.2</v>
      </c>
      <c r="BZ133" s="2" t="n">
        <v>16.7</v>
      </c>
      <c r="CA133" s="2" t="n">
        <v>57.90000000000001</v>
      </c>
      <c r="CF133" s="2" t="n">
        <v>120.6</v>
      </c>
      <c r="CG133" s="2" t="n">
        <v>104.8</v>
      </c>
      <c r="CH133" s="2" t="n">
        <v>15.7</v>
      </c>
      <c r="CN133" s="2" t="n">
        <v>43</v>
      </c>
      <c r="CO133" s="2" t="n">
        <v>315.4</v>
      </c>
      <c r="CP133" s="2" t="n">
        <v>270.4</v>
      </c>
      <c r="CQ133" s="2" t="n">
        <v>45</v>
      </c>
      <c r="CR133" s="2" t="inlineStr">
        <is>
          <t>NA</t>
        </is>
      </c>
      <c r="CS133" s="2" t="n">
        <v>17.2</v>
      </c>
      <c r="CT133" s="2" t="n">
        <v>8.5</v>
      </c>
      <c r="CU133" s="2" t="n">
        <v>8.699999999999999</v>
      </c>
      <c r="CV133" s="2" t="n">
        <v>32.4</v>
      </c>
      <c r="CW133" s="2" t="n">
        <v>10.2</v>
      </c>
      <c r="CX133" s="2" t="n">
        <v>22.2</v>
      </c>
      <c r="CY133" s="2" t="inlineStr">
        <is>
          <t>NA</t>
        </is>
      </c>
      <c r="CZ133" s="2" t="n">
        <v>98.7</v>
      </c>
      <c r="DA133" s="2" t="n">
        <v>41.7</v>
      </c>
      <c r="DB133" s="2" t="n">
        <v>39.1</v>
      </c>
      <c r="DC133" s="2" t="n">
        <v>2.6</v>
      </c>
      <c r="DI133" s="2" t="n">
        <v>483</v>
      </c>
      <c r="DJ133" s="2" t="n">
        <v>191.5</v>
      </c>
      <c r="DK133" s="2" t="n">
        <v>541.7</v>
      </c>
      <c r="DL133" s="2" t="n">
        <v>103.6</v>
      </c>
      <c r="DM133" s="2" t="n">
        <v>235.9</v>
      </c>
      <c r="DO133" s="2" t="n">
        <v>176.5</v>
      </c>
      <c r="DP133" s="2" t="n">
        <v>197.8</v>
      </c>
      <c r="DS133" s="2" t="n">
        <v>636.5</v>
      </c>
      <c r="DT133" s="2" t="n">
        <v>2826.9</v>
      </c>
      <c r="DU133" s="2" t="n">
        <v>-260.4000000000001</v>
      </c>
      <c r="DV133" s="2" t="n">
        <v>0</v>
      </c>
      <c r="GZ133" s="2" t="n">
        <v>931.1</v>
      </c>
      <c r="IN133" s="2" t="n">
        <v>57.8</v>
      </c>
      <c r="IY133" s="2" t="n">
        <v>47.48169372811207</v>
      </c>
      <c r="IZ133" s="2" t="n">
        <v>0.001693728112073245</v>
      </c>
      <c r="JB133" s="2" t="n">
        <v>11.2405815557678</v>
      </c>
      <c r="JC133" s="2" t="n">
        <v>-0.1894184442321976</v>
      </c>
      <c r="JE133" s="2" t="n">
        <v>1380.18</v>
      </c>
      <c r="JF133" s="2" t="n">
        <v>0.3223709950875973</v>
      </c>
    </row>
    <row r="134">
      <c r="A134" s="1" t="n">
        <v>33117</v>
      </c>
      <c r="B134" s="2" t="n">
        <v>2762</v>
      </c>
      <c r="C134" s="2" t="n">
        <v>1035.7</v>
      </c>
      <c r="D134" s="2" t="n">
        <v>176.1</v>
      </c>
      <c r="E134" s="2" t="n">
        <v>566.9</v>
      </c>
      <c r="F134" s="2" t="n">
        <v>2.5</v>
      </c>
      <c r="G134" s="2" t="inlineStr">
        <is>
          <t>NA</t>
        </is>
      </c>
      <c r="H134" s="2" t="n">
        <v>3.8</v>
      </c>
      <c r="I134" s="2" t="inlineStr">
        <is>
          <t>NA</t>
        </is>
      </c>
      <c r="J134" s="2" t="inlineStr">
        <is>
          <t>NA</t>
        </is>
      </c>
      <c r="K134" s="2" t="n">
        <v>1038.1</v>
      </c>
      <c r="L134" s="2" t="n">
        <v>1305.024</v>
      </c>
      <c r="M134" s="2" t="n">
        <v>1096.35</v>
      </c>
      <c r="N134" s="2" t="n">
        <v>208.674</v>
      </c>
      <c r="O134" s="2" t="n">
        <v>57.6</v>
      </c>
      <c r="P134" s="2" t="n">
        <v>80.40000000000001</v>
      </c>
      <c r="Q134" s="2" t="n">
        <v>22.6</v>
      </c>
      <c r="R134" s="2" t="n">
        <v>57.8</v>
      </c>
      <c r="T134" s="2" t="n">
        <v>2.1</v>
      </c>
      <c r="U134" s="2" t="n">
        <v>18</v>
      </c>
      <c r="V134" s="2" t="n">
        <v>14.4</v>
      </c>
      <c r="W134" s="2" t="n">
        <v>3.6</v>
      </c>
      <c r="X134" s="2" t="inlineStr">
        <is>
          <t>NA</t>
        </is>
      </c>
      <c r="Y134" s="2" t="n">
        <v>7.4</v>
      </c>
      <c r="AA134" s="2" t="inlineStr">
        <is>
          <t>NA</t>
        </is>
      </c>
      <c r="AB134" s="2" t="inlineStr">
        <is>
          <t>NA</t>
        </is>
      </c>
      <c r="AC134" s="2" t="inlineStr">
        <is>
          <t>NA</t>
        </is>
      </c>
      <c r="AD134" s="2" t="n">
        <v>9.300000000000001</v>
      </c>
      <c r="AG134" s="2" t="inlineStr">
        <is>
          <t>NA</t>
        </is>
      </c>
      <c r="AH134" s="2" t="n">
        <v>21</v>
      </c>
      <c r="AI134" s="2" t="n">
        <v>132.2</v>
      </c>
      <c r="AL134" s="2" t="n">
        <v>127.5</v>
      </c>
      <c r="AM134" s="2" t="n">
        <v>95.3</v>
      </c>
      <c r="AN134" s="2" t="n">
        <v>32.2</v>
      </c>
      <c r="AO134" s="2" t="n">
        <v>2060.3</v>
      </c>
      <c r="AP134" s="2" t="n">
        <v>274.2</v>
      </c>
      <c r="AQ134" s="2" t="n">
        <v>126.9</v>
      </c>
      <c r="AR134" s="2" t="n">
        <v>44.1</v>
      </c>
      <c r="AS134" s="2" t="n">
        <v>77.40000000000001</v>
      </c>
      <c r="AT134" s="2" t="n">
        <v>47.7</v>
      </c>
      <c r="AU134" s="2" t="n">
        <v>46.3</v>
      </c>
      <c r="AV134" s="2" t="n">
        <v>19.1</v>
      </c>
      <c r="AW134" s="2" t="n">
        <v>1.4</v>
      </c>
      <c r="AX134" s="2" t="n">
        <v>3.3</v>
      </c>
      <c r="AY134" s="2" t="inlineStr">
        <is>
          <t>NA</t>
        </is>
      </c>
      <c r="AZ134" s="2" t="inlineStr">
        <is>
          <t>NA</t>
        </is>
      </c>
      <c r="BA134" s="2" t="inlineStr">
        <is>
          <t>NA</t>
        </is>
      </c>
      <c r="BB134" s="2" t="inlineStr">
        <is>
          <t>NA</t>
        </is>
      </c>
      <c r="BD134" s="2" t="n">
        <v>102.4</v>
      </c>
      <c r="BE134" s="2" t="n">
        <v>33.5</v>
      </c>
      <c r="BH134" s="2" t="n">
        <v>283.6</v>
      </c>
      <c r="BK134" s="2" t="n">
        <v>153.6</v>
      </c>
      <c r="BL134" s="2" t="n">
        <v>4.1</v>
      </c>
      <c r="BM134" s="2" t="n">
        <v>441.3</v>
      </c>
      <c r="BN134" s="2" t="n">
        <v>234.1</v>
      </c>
      <c r="BQ134" s="2" t="n">
        <v>101.9</v>
      </c>
      <c r="BR134" s="2" t="n">
        <v>4.6</v>
      </c>
      <c r="BS134" s="2" t="n">
        <v>340.6</v>
      </c>
      <c r="BT134" s="2" t="inlineStr">
        <is>
          <t>NA</t>
        </is>
      </c>
      <c r="BU134" s="2" t="n">
        <v>22.9</v>
      </c>
      <c r="BV134" s="2" t="n">
        <v>307.4</v>
      </c>
      <c r="BW134" s="2" t="n">
        <v>97.09999999999999</v>
      </c>
      <c r="BX134" s="2" t="n">
        <v>408.1</v>
      </c>
      <c r="BY134" s="2" t="n">
        <v>42.4</v>
      </c>
      <c r="BZ134" s="2" t="n">
        <v>18</v>
      </c>
      <c r="CA134" s="2" t="n">
        <v>60.4</v>
      </c>
      <c r="CF134" s="2" t="n">
        <v>115.4</v>
      </c>
      <c r="CG134" s="2" t="n">
        <v>101.5</v>
      </c>
      <c r="CH134" s="2" t="n">
        <v>15.3</v>
      </c>
      <c r="CN134" s="2" t="n">
        <v>36.9</v>
      </c>
      <c r="CO134" s="2" t="n">
        <v>281.1</v>
      </c>
      <c r="CP134" s="2" t="n">
        <v>232.2</v>
      </c>
      <c r="CQ134" s="2" t="n">
        <v>48.9</v>
      </c>
      <c r="CR134" s="2" t="inlineStr">
        <is>
          <t>NA</t>
        </is>
      </c>
      <c r="CS134" s="2" t="n">
        <v>41.8</v>
      </c>
      <c r="CT134" s="2" t="n">
        <v>29</v>
      </c>
      <c r="CU134" s="2" t="n">
        <v>12.8</v>
      </c>
      <c r="CV134" s="2" t="n">
        <v>28.2</v>
      </c>
      <c r="CW134" s="2" t="n">
        <v>6.8</v>
      </c>
      <c r="CX134" s="2" t="n">
        <v>21.4</v>
      </c>
      <c r="CY134" s="2" t="inlineStr">
        <is>
          <t>NA</t>
        </is>
      </c>
      <c r="CZ134" s="2" t="n">
        <v>110</v>
      </c>
      <c r="DA134" s="2" t="n">
        <v>42.2</v>
      </c>
      <c r="DB134" s="2" t="n">
        <v>37.6</v>
      </c>
      <c r="DC134" s="2" t="n">
        <v>4.6</v>
      </c>
      <c r="DI134" s="2" t="n">
        <v>549</v>
      </c>
      <c r="DJ134" s="2" t="n">
        <v>171.1</v>
      </c>
      <c r="DK134" s="2" t="n">
        <v>543.6</v>
      </c>
      <c r="DL134" s="2" t="n">
        <v>119.4</v>
      </c>
      <c r="DM134" s="2" t="n">
        <v>212.5</v>
      </c>
      <c r="DO134" s="2" t="n">
        <v>136.1</v>
      </c>
      <c r="DP134" s="2" t="n">
        <v>170.2</v>
      </c>
      <c r="DS134" s="2" t="n">
        <v>638</v>
      </c>
      <c r="DT134" s="2" t="n">
        <v>2762</v>
      </c>
      <c r="DU134" s="2" t="n">
        <v>-222.0999999999999</v>
      </c>
      <c r="DV134" s="2" t="n">
        <v>0</v>
      </c>
      <c r="GZ134" s="2" t="n">
        <v>935.7</v>
      </c>
      <c r="IN134" s="2" t="n">
        <v>53.7</v>
      </c>
      <c r="IY134" s="2" t="n">
        <v>47.51339608979001</v>
      </c>
      <c r="IZ134" s="2" t="n">
        <v>-0.03660391020998333</v>
      </c>
      <c r="JB134" s="2" t="n">
        <v>11.27552498189718</v>
      </c>
      <c r="JC134" s="2" t="n">
        <v>-0.06447501810282397</v>
      </c>
      <c r="JE134" s="2" t="n">
        <v>1305.024</v>
      </c>
      <c r="JF134" s="2" t="n">
        <v>0.3492541133343142</v>
      </c>
    </row>
    <row r="135">
      <c r="A135" s="1" t="n">
        <v>33147</v>
      </c>
      <c r="B135" s="2" t="n">
        <v>3182.164</v>
      </c>
      <c r="C135" s="2" t="n">
        <v>3568.151</v>
      </c>
      <c r="D135" s="2" t="n">
        <v>274.873</v>
      </c>
      <c r="E135" s="2" t="n">
        <v>1660.633</v>
      </c>
      <c r="F135" s="2" t="n">
        <v>17.471</v>
      </c>
      <c r="G135" s="2" t="n">
        <v>63.628</v>
      </c>
      <c r="H135" s="2" t="n">
        <v>107.692</v>
      </c>
      <c r="I135" s="2" t="inlineStr">
        <is>
          <t>NA</t>
        </is>
      </c>
      <c r="J135" s="2" t="inlineStr">
        <is>
          <t>NA</t>
        </is>
      </c>
      <c r="K135" s="2" t="n">
        <v>1188.1</v>
      </c>
      <c r="L135" s="2" t="n">
        <v>1215.937</v>
      </c>
      <c r="M135" s="2" t="n">
        <v>1019.052</v>
      </c>
      <c r="N135" s="2" t="n">
        <v>196.885</v>
      </c>
      <c r="O135" s="2" t="n">
        <v>86.2</v>
      </c>
      <c r="P135" s="2" t="n">
        <v>82.958</v>
      </c>
      <c r="Q135" s="2" t="n">
        <v>27.404</v>
      </c>
      <c r="R135" s="2" t="n">
        <v>55.554</v>
      </c>
      <c r="T135" s="2" t="n">
        <v>14.413</v>
      </c>
      <c r="U135" s="2" t="n">
        <v>18.375</v>
      </c>
      <c r="V135" s="2" t="n">
        <v>14.886</v>
      </c>
      <c r="W135" s="2" t="n">
        <v>3.489</v>
      </c>
      <c r="X135" s="2" t="n">
        <v>51.68</v>
      </c>
      <c r="Y135" s="2" t="n">
        <v>6.252</v>
      </c>
      <c r="AA135" s="2" t="inlineStr">
        <is>
          <t>NA</t>
        </is>
      </c>
      <c r="AB135" s="2" t="inlineStr">
        <is>
          <t>NA</t>
        </is>
      </c>
      <c r="AC135" s="2" t="inlineStr">
        <is>
          <t>NA</t>
        </is>
      </c>
      <c r="AD135" s="2" t="n">
        <v>10.088</v>
      </c>
      <c r="AG135" s="2" t="inlineStr">
        <is>
          <t>NA</t>
        </is>
      </c>
      <c r="AH135" s="2" t="n">
        <v>24.892</v>
      </c>
      <c r="AI135" s="2" t="n">
        <v>142</v>
      </c>
      <c r="AL135" s="2" t="n">
        <v>107.452</v>
      </c>
      <c r="AM135" s="2" t="n">
        <v>75.557</v>
      </c>
      <c r="AN135" s="2" t="n">
        <v>31.895</v>
      </c>
      <c r="AO135" s="2" t="n">
        <v>2385.513</v>
      </c>
      <c r="AP135" s="2" t="n">
        <v>266.191</v>
      </c>
      <c r="AQ135" s="2" t="n">
        <v>123.249</v>
      </c>
      <c r="AR135" s="2" t="n">
        <v>24.747</v>
      </c>
      <c r="AS135" s="2" t="n">
        <v>128.226</v>
      </c>
      <c r="AT135" s="2" t="n">
        <v>67.435</v>
      </c>
      <c r="AU135" s="2" t="n">
        <v>69.23699999999999</v>
      </c>
      <c r="AV135" s="2" t="n">
        <v>23.507</v>
      </c>
      <c r="AW135" s="2" t="n">
        <v>14.413</v>
      </c>
      <c r="AX135" s="2" t="n">
        <v>11.322</v>
      </c>
      <c r="AY135" s="2" t="n">
        <v>33.307</v>
      </c>
      <c r="AZ135" s="2" t="inlineStr">
        <is>
          <t>NA</t>
        </is>
      </c>
      <c r="BA135" s="2" t="inlineStr">
        <is>
          <t>NA</t>
        </is>
      </c>
      <c r="BB135" s="2" t="inlineStr">
        <is>
          <t>NA</t>
        </is>
      </c>
      <c r="BD135" s="2" t="n">
        <v>109.172</v>
      </c>
      <c r="BE135" s="2" t="n">
        <v>37.397</v>
      </c>
      <c r="BH135" s="2" t="n">
        <v>330.697</v>
      </c>
      <c r="BK135" s="2" t="n">
        <v>181.226</v>
      </c>
      <c r="BL135" s="2" t="n">
        <v>4.761</v>
      </c>
      <c r="BM135" s="2" t="n">
        <v>516.684</v>
      </c>
      <c r="BN135" s="2" t="n">
        <v>227.195</v>
      </c>
      <c r="BQ135" s="2" t="n">
        <v>113.608</v>
      </c>
      <c r="BR135" s="2" t="n">
        <v>5.814</v>
      </c>
      <c r="BS135" s="2" t="n">
        <v>346.617</v>
      </c>
      <c r="BT135" s="2" t="inlineStr">
        <is>
          <t>NA</t>
        </is>
      </c>
      <c r="BU135" s="2" t="n">
        <v>22.167</v>
      </c>
      <c r="BV135" s="2" t="n">
        <v>362.872</v>
      </c>
      <c r="BW135" s="2" t="n">
        <v>106.457</v>
      </c>
      <c r="BX135" s="2" t="n">
        <v>473.14</v>
      </c>
      <c r="BY135" s="2" t="n">
        <v>44.694</v>
      </c>
      <c r="BZ135" s="2" t="n">
        <v>18.324</v>
      </c>
      <c r="CA135" s="2" t="n">
        <v>63.018</v>
      </c>
      <c r="CF135" s="2" t="n">
        <v>120.757</v>
      </c>
      <c r="CG135" s="2" t="n">
        <v>83.095</v>
      </c>
      <c r="CH135" s="2" t="n">
        <v>34.014</v>
      </c>
      <c r="CN135" s="2" t="n">
        <v>53.841</v>
      </c>
      <c r="CO135" s="2" t="n">
        <v>309.341</v>
      </c>
      <c r="CP135" s="2" t="n">
        <v>270.301</v>
      </c>
      <c r="CQ135" s="2" t="n">
        <v>39.04</v>
      </c>
      <c r="CR135" s="2" t="inlineStr">
        <is>
          <t>NA</t>
        </is>
      </c>
      <c r="CS135" s="2" t="n">
        <v>41.372</v>
      </c>
      <c r="CT135" s="2" t="n">
        <v>23.327</v>
      </c>
      <c r="CU135" s="2" t="n">
        <v>18.045</v>
      </c>
      <c r="CV135" s="2" t="n">
        <v>37.335</v>
      </c>
      <c r="CW135" s="2" t="n">
        <v>12.77</v>
      </c>
      <c r="CX135" s="2" t="n">
        <v>24.565</v>
      </c>
      <c r="CY135" s="2" t="inlineStr">
        <is>
          <t>NA</t>
        </is>
      </c>
      <c r="CZ135" s="2" t="n">
        <v>117.023</v>
      </c>
      <c r="DA135" s="2" t="n">
        <v>41.656</v>
      </c>
      <c r="DB135" s="2" t="n">
        <v>37.134</v>
      </c>
      <c r="DC135" s="2" t="n">
        <v>4.522</v>
      </c>
      <c r="DI135" s="2" t="n">
        <v>626.2</v>
      </c>
      <c r="DJ135" s="2" t="n">
        <v>227.4</v>
      </c>
      <c r="DK135" s="2" t="n">
        <v>580.8</v>
      </c>
      <c r="DL135" s="2" t="n">
        <v>133.6</v>
      </c>
      <c r="DM135" s="2" t="n">
        <v>228.4</v>
      </c>
      <c r="DO135" s="2" t="n">
        <v>185.9</v>
      </c>
      <c r="DP135" s="2" t="n">
        <v>212.8</v>
      </c>
      <c r="DS135" s="2" t="n">
        <v>746.6</v>
      </c>
      <c r="DT135" s="2" t="n">
        <v>3182.2</v>
      </c>
      <c r="DU135" s="2" t="n">
        <v>-240.4999999999995</v>
      </c>
      <c r="DV135" s="2" t="n">
        <v>0.03599999999960346</v>
      </c>
      <c r="GZ135" s="2" t="n">
        <v>1027.541</v>
      </c>
      <c r="IN135" s="2" t="n">
        <v>75.366</v>
      </c>
      <c r="IY135" s="2" t="n">
        <v>47.3029422745025</v>
      </c>
      <c r="IZ135" s="2" t="n">
        <v>0.1429422745025022</v>
      </c>
      <c r="JB135" s="2" t="n">
        <v>11.20086833990957</v>
      </c>
      <c r="JC135" s="2" t="n">
        <v>0.1208683399095687</v>
      </c>
      <c r="JE135" s="2" t="n">
        <v>1215.937</v>
      </c>
      <c r="JF135" s="2" t="n">
        <v>0.3603977837667577</v>
      </c>
    </row>
    <row r="136">
      <c r="A136" s="1" t="n">
        <v>33178</v>
      </c>
      <c r="B136" s="2" t="n">
        <v>3179.658</v>
      </c>
      <c r="C136" s="2" t="n">
        <v>3919.751</v>
      </c>
      <c r="D136" s="2" t="n">
        <v>339.423</v>
      </c>
      <c r="E136" s="2" t="n">
        <v>2459.783</v>
      </c>
      <c r="F136" s="2" t="n">
        <v>15.21</v>
      </c>
      <c r="G136" s="2" t="n">
        <v>95.01000000000001</v>
      </c>
      <c r="H136" s="2" t="n">
        <v>159.957</v>
      </c>
      <c r="I136" s="2" t="inlineStr">
        <is>
          <t>NA</t>
        </is>
      </c>
      <c r="J136" s="2" t="inlineStr">
        <is>
          <t>NA</t>
        </is>
      </c>
      <c r="K136" s="2" t="n">
        <v>1167.9</v>
      </c>
      <c r="L136" s="2" t="n">
        <v>1320.902</v>
      </c>
      <c r="M136" s="2" t="n">
        <v>1107.256</v>
      </c>
      <c r="N136" s="2" t="n">
        <v>213.646</v>
      </c>
      <c r="O136" s="2" t="n">
        <v>108.8</v>
      </c>
      <c r="P136" s="2" t="n">
        <v>93.52600000000001</v>
      </c>
      <c r="Q136" s="2" t="n">
        <v>31.89</v>
      </c>
      <c r="R136" s="2" t="n">
        <v>61.636</v>
      </c>
      <c r="T136" s="2" t="n">
        <v>12.468</v>
      </c>
      <c r="U136" s="2" t="n">
        <v>14.041</v>
      </c>
      <c r="V136" s="2" t="n">
        <v>10.507</v>
      </c>
      <c r="W136" s="2" t="n">
        <v>3.534</v>
      </c>
      <c r="X136" s="2" t="n">
        <v>76.973</v>
      </c>
      <c r="Y136" s="2" t="n">
        <v>9.451000000000001</v>
      </c>
      <c r="Z136" s="2" t="n">
        <v>89.60899999999999</v>
      </c>
      <c r="AA136" s="2" t="n">
        <v>83.134</v>
      </c>
      <c r="AB136" s="2" t="n">
        <v>6.475</v>
      </c>
      <c r="AC136" s="2" t="inlineStr">
        <is>
          <t>NA</t>
        </is>
      </c>
      <c r="AD136" s="2" t="n">
        <v>10.727</v>
      </c>
      <c r="AG136" s="2" t="inlineStr">
        <is>
          <t>NA</t>
        </is>
      </c>
      <c r="AH136" s="2" t="n">
        <v>25.007</v>
      </c>
      <c r="AI136" s="2" t="n">
        <v>129.4</v>
      </c>
      <c r="AL136" s="2" t="n">
        <v>110.816</v>
      </c>
      <c r="AM136" s="2" t="n">
        <v>71.001</v>
      </c>
      <c r="AN136" s="2" t="n">
        <v>39.815</v>
      </c>
      <c r="AO136" s="2" t="n">
        <v>2391.943</v>
      </c>
      <c r="AP136" s="2" t="n">
        <v>286.704</v>
      </c>
      <c r="AQ136" s="2" t="n">
        <v>121.223</v>
      </c>
      <c r="AR136" s="2" t="n">
        <v>26.871</v>
      </c>
      <c r="AS136" s="2" t="n">
        <v>160.075</v>
      </c>
      <c r="AT136" s="2" t="n">
        <v>106.028</v>
      </c>
      <c r="AU136" s="2" t="n">
        <v>84.554</v>
      </c>
      <c r="AV136" s="2" t="n">
        <v>35.995</v>
      </c>
      <c r="AW136" s="2" t="n">
        <v>12.468</v>
      </c>
      <c r="AX136" s="2" t="n">
        <v>7.326</v>
      </c>
      <c r="AY136" s="2" t="n">
        <v>46.921</v>
      </c>
      <c r="AZ136" s="2" t="n">
        <v>6.512</v>
      </c>
      <c r="BA136" s="2" t="inlineStr">
        <is>
          <t>NA</t>
        </is>
      </c>
      <c r="BB136" s="2" t="inlineStr">
        <is>
          <t>NA</t>
        </is>
      </c>
      <c r="BD136" s="2" t="n">
        <v>97.163</v>
      </c>
      <c r="BE136" s="2" t="n">
        <v>33.216</v>
      </c>
      <c r="BH136" s="2" t="n">
        <v>300.475</v>
      </c>
      <c r="BK136" s="2" t="n">
        <v>167.507</v>
      </c>
      <c r="BL136" s="2" t="n">
        <v>4.273</v>
      </c>
      <c r="BM136" s="2" t="n">
        <v>472.255</v>
      </c>
      <c r="BN136" s="2" t="n">
        <v>241.411</v>
      </c>
      <c r="BQ136" s="2" t="n">
        <v>119.426</v>
      </c>
      <c r="BR136" s="2" t="n">
        <v>5.144</v>
      </c>
      <c r="BS136" s="2" t="n">
        <v>365.981</v>
      </c>
      <c r="BT136" s="2" t="inlineStr">
        <is>
          <t>NA</t>
        </is>
      </c>
      <c r="BU136" s="2" t="n">
        <v>30.341</v>
      </c>
      <c r="BV136" s="2" t="n">
        <v>332.216</v>
      </c>
      <c r="BW136" s="2" t="n">
        <v>99.57599999999999</v>
      </c>
      <c r="BX136" s="2" t="n">
        <v>435.526</v>
      </c>
      <c r="BY136" s="2" t="n">
        <v>53.618</v>
      </c>
      <c r="BZ136" s="2" t="n">
        <v>9.483000000000001</v>
      </c>
      <c r="CA136" s="2" t="n">
        <v>63.101</v>
      </c>
      <c r="CF136" s="2" t="n">
        <v>119.116</v>
      </c>
      <c r="CG136" s="2" t="n">
        <v>76.583</v>
      </c>
      <c r="CH136" s="2" t="n">
        <v>35.775</v>
      </c>
      <c r="CN136" s="2" t="n">
        <v>47.186</v>
      </c>
      <c r="CO136" s="2" t="n">
        <v>304.593</v>
      </c>
      <c r="CP136" s="2" t="n">
        <v>267.632</v>
      </c>
      <c r="CQ136" s="2" t="n">
        <v>36.961</v>
      </c>
      <c r="CR136" s="2" t="inlineStr">
        <is>
          <t>NA</t>
        </is>
      </c>
      <c r="CS136" s="2" t="n">
        <v>47.51</v>
      </c>
      <c r="CT136" s="2" t="n">
        <v>22.011</v>
      </c>
      <c r="CU136" s="2" t="n">
        <v>25.499</v>
      </c>
      <c r="CV136" s="2" t="n">
        <v>38.614</v>
      </c>
      <c r="CW136" s="2" t="n">
        <v>14.138</v>
      </c>
      <c r="CX136" s="2" t="n">
        <v>24.476</v>
      </c>
      <c r="CY136" s="2" t="inlineStr">
        <is>
          <t>NA</t>
        </is>
      </c>
      <c r="CZ136" s="2" t="n">
        <v>97.729</v>
      </c>
      <c r="DA136" s="2" t="n">
        <v>36.85</v>
      </c>
      <c r="DB136" s="2" t="n">
        <v>32.339</v>
      </c>
      <c r="DC136" s="2" t="n">
        <v>4.511</v>
      </c>
      <c r="DG136" s="2" t="n">
        <v>112.6</v>
      </c>
      <c r="DI136" s="2" t="n">
        <v>592.8</v>
      </c>
      <c r="DJ136" s="2" t="n">
        <v>217</v>
      </c>
      <c r="DK136" s="2" t="n">
        <v>569.2</v>
      </c>
      <c r="DL136" s="2" t="n">
        <v>144.4</v>
      </c>
      <c r="DM136" s="2" t="n">
        <v>227.4</v>
      </c>
      <c r="DO136" s="2" t="n">
        <v>180.3</v>
      </c>
      <c r="DP136" s="2" t="n">
        <v>205.2</v>
      </c>
      <c r="DS136" s="2" t="n">
        <v>768.2</v>
      </c>
      <c r="DT136" s="2" t="n">
        <v>3179.7</v>
      </c>
      <c r="DU136" s="2" t="n">
        <v>-275.1999999999998</v>
      </c>
      <c r="DV136" s="2" t="n">
        <v>0.04199999999991633</v>
      </c>
      <c r="GZ136" s="2" t="n">
        <v>980.574</v>
      </c>
      <c r="IN136" s="2" t="n">
        <v>96.027</v>
      </c>
      <c r="IY136" s="2" t="n">
        <v>47.42332665965963</v>
      </c>
      <c r="IZ136" s="2" t="n">
        <v>0.08332665965962605</v>
      </c>
      <c r="JB136" s="2" t="n">
        <v>11.01910960235346</v>
      </c>
      <c r="JC136" s="2" t="n">
        <v>-0.1108903976465392</v>
      </c>
      <c r="JE136" s="2" t="n">
        <v>1320.902</v>
      </c>
      <c r="JF136" s="2" t="n">
        <v>0.3474459119601606</v>
      </c>
    </row>
    <row r="137">
      <c r="A137" s="1" t="n">
        <v>33208</v>
      </c>
      <c r="B137" s="2" t="n">
        <v>3080.854</v>
      </c>
      <c r="C137" s="2" t="n">
        <v>3195.1</v>
      </c>
      <c r="D137" s="2" t="n">
        <v>320.791</v>
      </c>
      <c r="E137" s="2" t="n">
        <v>2476.659</v>
      </c>
      <c r="F137" s="2" t="n">
        <v>19.041</v>
      </c>
      <c r="G137" s="2" t="n">
        <v>78.61499999999999</v>
      </c>
      <c r="H137" s="2" t="inlineStr">
        <is>
          <t>NA</t>
        </is>
      </c>
      <c r="I137" s="2" t="inlineStr">
        <is>
          <t>NA</t>
        </is>
      </c>
      <c r="J137" s="2" t="inlineStr">
        <is>
          <t>NA</t>
        </is>
      </c>
      <c r="K137" s="2" t="n">
        <v>1138</v>
      </c>
      <c r="L137" s="2" t="n">
        <v>1473.038</v>
      </c>
      <c r="M137" s="2" t="n">
        <v>1233.504</v>
      </c>
      <c r="N137" s="2" t="n">
        <v>239.534</v>
      </c>
      <c r="O137" s="2" t="n">
        <v>102.3</v>
      </c>
      <c r="P137" s="2" t="n">
        <v>102.741</v>
      </c>
      <c r="Q137" s="2" t="n">
        <v>38.861</v>
      </c>
      <c r="R137" s="2" t="n">
        <v>63.88</v>
      </c>
      <c r="T137" s="2" t="n">
        <v>15.889</v>
      </c>
      <c r="U137" s="2" t="n">
        <v>13.851</v>
      </c>
      <c r="V137" s="2" t="n">
        <v>10.701</v>
      </c>
      <c r="W137" s="2" t="n">
        <v>3.15</v>
      </c>
      <c r="X137" s="2" t="n">
        <v>65.083</v>
      </c>
      <c r="Y137" s="2" t="n">
        <v>19.863</v>
      </c>
      <c r="Z137" s="2" t="n">
        <v>167.344</v>
      </c>
      <c r="AA137" s="2" t="n">
        <v>159.874</v>
      </c>
      <c r="AB137" s="2" t="n">
        <v>7.47</v>
      </c>
      <c r="AC137" s="2" t="inlineStr">
        <is>
          <t>NA</t>
        </is>
      </c>
      <c r="AD137" s="2" t="n">
        <v>8.9</v>
      </c>
      <c r="AG137" s="2" t="inlineStr">
        <is>
          <t>NA</t>
        </is>
      </c>
      <c r="AH137" s="2" t="n">
        <v>25.001</v>
      </c>
      <c r="AI137" s="2" t="n">
        <v>129.3</v>
      </c>
      <c r="AL137" s="2" t="n">
        <v>105.946</v>
      </c>
      <c r="AM137" s="2" t="n">
        <v>72.246</v>
      </c>
      <c r="AN137" s="2" t="n">
        <v>33.7</v>
      </c>
      <c r="AO137" s="2" t="n">
        <v>2310.746</v>
      </c>
      <c r="AP137" s="2" t="n">
        <v>419.333</v>
      </c>
      <c r="AQ137" s="2" t="n">
        <v>120.788</v>
      </c>
      <c r="AR137" s="2" t="n">
        <v>36.477</v>
      </c>
      <c r="AS137" s="2" t="n">
        <v>148.76</v>
      </c>
      <c r="AT137" s="2" t="n">
        <v>124.614</v>
      </c>
      <c r="AU137" s="2" t="n">
        <v>78.39</v>
      </c>
      <c r="AV137" s="2" t="n">
        <v>44.01</v>
      </c>
      <c r="AW137" s="2" t="n">
        <v>15.889</v>
      </c>
      <c r="AX137" s="2" t="n">
        <v>5.693</v>
      </c>
      <c r="AY137" s="2" t="n">
        <v>39.719</v>
      </c>
      <c r="AZ137" s="2" t="n">
        <v>8.109999999999999</v>
      </c>
      <c r="BA137" s="2" t="inlineStr">
        <is>
          <t>NA</t>
        </is>
      </c>
      <c r="BB137" s="2" t="inlineStr">
        <is>
          <t>NA</t>
        </is>
      </c>
      <c r="BD137" s="2" t="n">
        <v>90.158</v>
      </c>
      <c r="BE137" s="2" t="n">
        <v>37.242</v>
      </c>
      <c r="BH137" s="2" t="n">
        <v>296.893</v>
      </c>
      <c r="BK137" s="2" t="n">
        <v>148.976</v>
      </c>
      <c r="BL137" s="2" t="n">
        <v>3.854</v>
      </c>
      <c r="BM137" s="2" t="n">
        <v>449.723</v>
      </c>
      <c r="BN137" s="2" t="n">
        <v>231.763</v>
      </c>
      <c r="BQ137" s="2" t="n">
        <v>119.872</v>
      </c>
      <c r="BR137" s="2" t="n">
        <v>5.565</v>
      </c>
      <c r="BS137" s="2" t="n">
        <v>357.2</v>
      </c>
      <c r="BT137" s="2" t="inlineStr">
        <is>
          <t>NA</t>
        </is>
      </c>
      <c r="BU137" s="2" t="n">
        <v>25.26</v>
      </c>
      <c r="BV137" s="2" t="n">
        <v>316.603</v>
      </c>
      <c r="BW137" s="2" t="n">
        <v>94.866</v>
      </c>
      <c r="BX137" s="2" t="n">
        <v>415.029</v>
      </c>
      <c r="BY137" s="2" t="n">
        <v>44.086</v>
      </c>
      <c r="BZ137" s="2" t="n">
        <v>8.782</v>
      </c>
      <c r="CA137" s="2" t="n">
        <v>52.86799999999999</v>
      </c>
      <c r="CF137" s="2" t="n">
        <v>126.515</v>
      </c>
      <c r="CG137" s="2" t="n">
        <v>81.955</v>
      </c>
      <c r="CH137" s="2" t="n">
        <v>35.147</v>
      </c>
      <c r="CN137" s="2" t="n">
        <v>46.673</v>
      </c>
      <c r="CO137" s="2" t="n">
        <v>361.908</v>
      </c>
      <c r="CP137" s="2" t="n">
        <v>328.125</v>
      </c>
      <c r="CQ137" s="2" t="n">
        <v>33.783</v>
      </c>
      <c r="CR137" s="2" t="inlineStr">
        <is>
          <t>NA</t>
        </is>
      </c>
      <c r="CS137" s="2" t="n">
        <v>61.664</v>
      </c>
      <c r="CT137" s="2" t="n">
        <v>35.874</v>
      </c>
      <c r="CU137" s="2" t="n">
        <v>25.79</v>
      </c>
      <c r="CV137" s="2" t="n">
        <v>27.901</v>
      </c>
      <c r="CW137" s="2" t="n">
        <v>9.337999999999999</v>
      </c>
      <c r="CX137" s="2" t="n">
        <v>18.563</v>
      </c>
      <c r="CY137" s="2" t="inlineStr">
        <is>
          <t>NA</t>
        </is>
      </c>
      <c r="CZ137" s="2" t="n">
        <v>92.407</v>
      </c>
      <c r="DA137" s="2" t="n">
        <v>44.806</v>
      </c>
      <c r="DB137" s="2" t="n">
        <v>41.045</v>
      </c>
      <c r="DC137" s="2" t="n">
        <v>3.761</v>
      </c>
      <c r="DI137" s="2" t="n">
        <v>567.3</v>
      </c>
      <c r="DJ137" s="2" t="n">
        <v>199</v>
      </c>
      <c r="DK137" s="2" t="n">
        <v>560.2</v>
      </c>
      <c r="DL137" s="2" t="n">
        <v>143.5</v>
      </c>
      <c r="DM137" s="2" t="n">
        <v>199.7</v>
      </c>
      <c r="DO137" s="2" t="n">
        <v>164.5</v>
      </c>
      <c r="DP137" s="2" t="n">
        <v>200.2</v>
      </c>
      <c r="DS137" s="2" t="n">
        <v>819</v>
      </c>
      <c r="DT137" s="2" t="n">
        <v>3080.8</v>
      </c>
      <c r="DU137" s="2" t="n">
        <v>-227.4000000000001</v>
      </c>
      <c r="DV137" s="2" t="n">
        <v>-0.05399999999963256</v>
      </c>
      <c r="GZ137" s="2" t="n">
        <v>934.739</v>
      </c>
      <c r="IN137" s="2" t="n">
        <v>90.01300000000001</v>
      </c>
      <c r="IY137" s="2" t="n">
        <v>47.35441536664834</v>
      </c>
      <c r="IZ137" s="2" t="n">
        <v>0.1244153666483427</v>
      </c>
      <c r="JB137" s="2" t="n">
        <v>11.08134303021175</v>
      </c>
      <c r="JC137" s="2" t="n">
        <v>-0.06865696978824687</v>
      </c>
      <c r="JE137" s="2" t="n">
        <v>1473.038</v>
      </c>
      <c r="JF137" s="2" t="n">
        <v>0.3598542603788904</v>
      </c>
    </row>
    <row r="138">
      <c r="A138" s="1" t="n">
        <v>33239</v>
      </c>
      <c r="B138" s="2" t="n">
        <v>3149.82</v>
      </c>
      <c r="C138" s="2" t="n">
        <v>2800</v>
      </c>
      <c r="D138" s="2" t="n">
        <v>350</v>
      </c>
      <c r="E138" s="2" t="n">
        <v>2000</v>
      </c>
      <c r="F138" s="2" t="n">
        <v>20</v>
      </c>
      <c r="G138" s="2" t="n">
        <v>60</v>
      </c>
      <c r="H138" s="2" t="inlineStr">
        <is>
          <t>NA</t>
        </is>
      </c>
      <c r="I138" s="2" t="inlineStr">
        <is>
          <t>NA</t>
        </is>
      </c>
      <c r="J138" s="2" t="inlineStr">
        <is>
          <t>NA</t>
        </is>
      </c>
      <c r="K138" s="2" t="n">
        <v>1173.937914</v>
      </c>
      <c r="L138" s="2" t="n">
        <v>1640</v>
      </c>
      <c r="M138" s="2" t="n">
        <v>1400</v>
      </c>
      <c r="N138" s="2" t="n">
        <v>240</v>
      </c>
      <c r="O138" s="2" t="n">
        <v>110</v>
      </c>
      <c r="P138" s="2" t="n">
        <v>115</v>
      </c>
      <c r="Q138" s="2" t="n">
        <v>40</v>
      </c>
      <c r="R138" s="2" t="n">
        <v>75</v>
      </c>
      <c r="T138" s="2" t="n">
        <v>16.8</v>
      </c>
      <c r="U138" s="2" t="n">
        <v>18.2</v>
      </c>
      <c r="V138" s="2" t="n">
        <v>15</v>
      </c>
      <c r="W138" s="2" t="n">
        <v>3.2</v>
      </c>
      <c r="X138" s="2" t="n">
        <v>45</v>
      </c>
      <c r="Y138" s="2" t="n">
        <v>11.3</v>
      </c>
      <c r="Z138" s="2" t="n">
        <v>158</v>
      </c>
      <c r="AA138" s="2" t="n">
        <v>150</v>
      </c>
      <c r="AB138" s="2" t="n">
        <v>8</v>
      </c>
      <c r="AC138" s="2" t="inlineStr">
        <is>
          <t>NA</t>
        </is>
      </c>
      <c r="AD138" s="2" t="n">
        <v>10</v>
      </c>
      <c r="AG138" s="2" t="inlineStr">
        <is>
          <t>NA</t>
        </is>
      </c>
      <c r="AH138" s="2" t="n">
        <v>30</v>
      </c>
      <c r="AI138" s="2" t="n">
        <v>125</v>
      </c>
      <c r="AL138" s="2" t="n">
        <v>104</v>
      </c>
      <c r="AM138" s="2" t="n">
        <v>70</v>
      </c>
      <c r="AN138" s="2" t="n">
        <v>34</v>
      </c>
      <c r="AO138" s="2" t="n">
        <v>2383.468794</v>
      </c>
      <c r="AP138" s="2" t="n">
        <v>430</v>
      </c>
      <c r="AQ138" s="2" t="n">
        <v>112.448574</v>
      </c>
      <c r="AR138" s="2" t="n">
        <v>37</v>
      </c>
      <c r="AS138" s="2" t="n">
        <v>160</v>
      </c>
      <c r="AT138" s="2" t="n">
        <v>120</v>
      </c>
      <c r="AU138" s="2" t="n">
        <v>90</v>
      </c>
      <c r="AV138" s="2" t="n">
        <v>50</v>
      </c>
      <c r="AY138" s="2" t="n">
        <v>35</v>
      </c>
      <c r="AZ138" s="2" t="n">
        <v>7</v>
      </c>
      <c r="BA138" s="2" t="inlineStr">
        <is>
          <t>NA</t>
        </is>
      </c>
      <c r="BB138" s="2" t="inlineStr">
        <is>
          <t>NA</t>
        </is>
      </c>
      <c r="BD138" s="2" t="n">
        <v>93.73</v>
      </c>
      <c r="BE138" s="2" t="n">
        <v>38</v>
      </c>
      <c r="BH138" s="2" t="n">
        <v>306.26</v>
      </c>
      <c r="BK138" s="2" t="n">
        <v>164.73</v>
      </c>
      <c r="BL138" s="2" t="n">
        <v>4.26</v>
      </c>
      <c r="BM138" s="2" t="n">
        <v>475.267</v>
      </c>
      <c r="BN138" s="2" t="n">
        <v>245</v>
      </c>
      <c r="BQ138" s="2" t="n">
        <v>110</v>
      </c>
      <c r="BR138" s="2" t="n">
        <v>6</v>
      </c>
      <c r="BS138" s="2" t="n">
        <v>361</v>
      </c>
      <c r="BT138" s="2" t="inlineStr">
        <is>
          <t>NA</t>
        </is>
      </c>
      <c r="BU138" s="2" t="n">
        <v>25</v>
      </c>
      <c r="BV138" s="2" t="n">
        <v>319.3</v>
      </c>
      <c r="BW138" s="2" t="n">
        <v>90</v>
      </c>
      <c r="BX138" s="2" t="n">
        <v>413</v>
      </c>
      <c r="BY138" s="2" t="n">
        <v>46</v>
      </c>
      <c r="BZ138" s="2" t="n">
        <v>10</v>
      </c>
      <c r="CA138" s="2" t="n">
        <v>56</v>
      </c>
      <c r="CF138" s="2" t="n">
        <v>129.83</v>
      </c>
      <c r="CG138" s="2" t="n">
        <v>100</v>
      </c>
      <c r="CH138" s="2" t="n">
        <v>33</v>
      </c>
      <c r="CN138" s="2" t="n">
        <v>52</v>
      </c>
      <c r="CO138" s="2" t="n">
        <v>413</v>
      </c>
      <c r="CP138" s="2" t="n">
        <v>375</v>
      </c>
      <c r="CQ138" s="2" t="n">
        <v>38</v>
      </c>
      <c r="CR138" s="2" t="inlineStr">
        <is>
          <t>NA</t>
        </is>
      </c>
      <c r="CS138" s="2" t="n">
        <v>66</v>
      </c>
      <c r="CT138" s="2" t="n">
        <v>38</v>
      </c>
      <c r="CU138" s="2" t="n">
        <v>28</v>
      </c>
      <c r="CV138" s="2" t="n">
        <v>30</v>
      </c>
      <c r="CW138" s="2" t="n">
        <v>10</v>
      </c>
      <c r="CX138" s="2" t="n">
        <v>20</v>
      </c>
      <c r="CY138" s="2" t="inlineStr">
        <is>
          <t>NA</t>
        </is>
      </c>
      <c r="CZ138" s="2" t="n">
        <v>100</v>
      </c>
      <c r="DA138" s="2" t="n">
        <v>42.5</v>
      </c>
      <c r="DB138" s="2" t="n">
        <v>39</v>
      </c>
      <c r="DC138" s="2" t="n">
        <v>3.5</v>
      </c>
      <c r="DG138" s="2" t="n">
        <v>115.1346812808768</v>
      </c>
      <c r="DI138" s="2" t="n">
        <v>600.6245402724163</v>
      </c>
      <c r="DJ138" s="2" t="n">
        <v>186.1114942896574</v>
      </c>
      <c r="DK138" s="2" t="n">
        <v>554.281685701142</v>
      </c>
      <c r="DL138" s="2" t="n">
        <v>139.4867060023601</v>
      </c>
      <c r="DM138" s="2" t="n">
        <v>219.9082984979099</v>
      </c>
      <c r="DO138" s="2" t="n">
        <v>168.5611204672281</v>
      </c>
      <c r="DP138" s="2" t="n">
        <v>190.5167086025162</v>
      </c>
      <c r="DS138" s="2" t="n">
        <v>821.4843650619038</v>
      </c>
      <c r="DT138" s="2" t="n">
        <v>3149.869200552033</v>
      </c>
      <c r="DU138" s="2" t="n">
        <v>-268.8942816568997</v>
      </c>
      <c r="DV138" s="2" t="n">
        <v>0.04920055203274387</v>
      </c>
      <c r="GZ138" s="2" t="n">
        <v>940</v>
      </c>
      <c r="IN138" s="2" t="n">
        <v>92.2</v>
      </c>
      <c r="IY138" s="2" t="n">
        <v>47.544</v>
      </c>
      <c r="IZ138" s="2" t="n">
        <v>0.1240000000000023</v>
      </c>
      <c r="JB138" s="2" t="n">
        <v>11.181</v>
      </c>
      <c r="JC138" s="2" t="n">
        <v>-0.02899999999999991</v>
      </c>
      <c r="JE138" s="2" t="n">
        <v>1640</v>
      </c>
      <c r="JF138" s="2" t="n">
        <v>0.3246573170731707</v>
      </c>
    </row>
    <row r="139">
      <c r="A139" s="1" t="n">
        <v>33270</v>
      </c>
      <c r="B139" s="2" t="n">
        <v>2748.03</v>
      </c>
      <c r="C139" s="2" t="n">
        <v>2400</v>
      </c>
      <c r="D139" s="2" t="n">
        <v>328</v>
      </c>
      <c r="E139" s="2" t="n">
        <v>1700</v>
      </c>
      <c r="F139" s="2" t="n">
        <v>35</v>
      </c>
      <c r="G139" s="2" t="n">
        <v>70</v>
      </c>
      <c r="H139" s="2" t="inlineStr">
        <is>
          <t>NA</t>
        </is>
      </c>
      <c r="I139" s="2" t="inlineStr">
        <is>
          <t>NA</t>
        </is>
      </c>
      <c r="J139" s="2" t="inlineStr">
        <is>
          <t>NA</t>
        </is>
      </c>
      <c r="K139" s="2" t="n">
        <v>1024.190781</v>
      </c>
      <c r="L139" s="2" t="n">
        <v>1742</v>
      </c>
      <c r="M139" s="2" t="n">
        <v>1500</v>
      </c>
      <c r="N139" s="2" t="n">
        <v>242</v>
      </c>
      <c r="O139" s="2" t="n">
        <v>105</v>
      </c>
      <c r="P139" s="2" t="n">
        <v>136</v>
      </c>
      <c r="Q139" s="2" t="n">
        <v>41</v>
      </c>
      <c r="R139" s="2" t="n">
        <v>95</v>
      </c>
      <c r="T139" s="2" t="n">
        <v>32</v>
      </c>
      <c r="U139" s="2" t="n">
        <v>21.2</v>
      </c>
      <c r="V139" s="2" t="n">
        <v>18</v>
      </c>
      <c r="W139" s="2" t="n">
        <v>3.2</v>
      </c>
      <c r="X139" s="2" t="n">
        <v>58</v>
      </c>
      <c r="Y139" s="2" t="n">
        <v>13</v>
      </c>
      <c r="Z139" s="2" t="n">
        <v>149</v>
      </c>
      <c r="AA139" s="2" t="n">
        <v>140</v>
      </c>
      <c r="AB139" s="2" t="n">
        <v>9</v>
      </c>
      <c r="AC139" s="2" t="inlineStr">
        <is>
          <t>NA</t>
        </is>
      </c>
      <c r="AD139" s="2" t="n">
        <v>10</v>
      </c>
      <c r="AG139" s="2" t="inlineStr">
        <is>
          <t>NA</t>
        </is>
      </c>
      <c r="AH139" s="2" t="n">
        <v>30</v>
      </c>
      <c r="AI139" s="2" t="n">
        <v>135</v>
      </c>
      <c r="AL139" s="2" t="n">
        <v>100</v>
      </c>
      <c r="AM139" s="2" t="n">
        <v>65</v>
      </c>
      <c r="AN139" s="2" t="n">
        <v>35</v>
      </c>
      <c r="AO139" s="2" t="n">
        <v>2079.434301</v>
      </c>
      <c r="AP139" s="2" t="n">
        <v>450</v>
      </c>
      <c r="AQ139" s="2" t="n">
        <v>98.104671</v>
      </c>
      <c r="AR139" s="2" t="n">
        <v>37</v>
      </c>
      <c r="AS139" s="2" t="n">
        <v>150</v>
      </c>
      <c r="AT139" s="2" t="n">
        <v>118</v>
      </c>
      <c r="AU139" s="2" t="n">
        <v>80</v>
      </c>
      <c r="AV139" s="2" t="n">
        <v>55</v>
      </c>
      <c r="AY139" s="2" t="n">
        <v>35</v>
      </c>
      <c r="AZ139" s="2" t="n">
        <v>6</v>
      </c>
      <c r="BA139" s="2" t="inlineStr">
        <is>
          <t>NA</t>
        </is>
      </c>
      <c r="BB139" s="2" t="inlineStr">
        <is>
          <t>NA</t>
        </is>
      </c>
      <c r="BD139" s="2" t="n">
        <v>93.73</v>
      </c>
      <c r="BE139" s="2" t="n">
        <v>38</v>
      </c>
      <c r="BH139" s="2" t="n">
        <v>306.26</v>
      </c>
      <c r="BK139" s="2" t="n">
        <v>164.73</v>
      </c>
      <c r="BL139" s="2" t="n">
        <v>4.26</v>
      </c>
      <c r="BM139" s="2" t="n">
        <v>475.267</v>
      </c>
      <c r="BN139" s="2" t="n">
        <v>260</v>
      </c>
      <c r="BQ139" s="2" t="n">
        <v>100</v>
      </c>
      <c r="BR139" s="2" t="n">
        <v>6</v>
      </c>
      <c r="BS139" s="2" t="n">
        <v>366</v>
      </c>
      <c r="BT139" s="2" t="inlineStr">
        <is>
          <t>NA</t>
        </is>
      </c>
      <c r="BU139" s="2" t="n">
        <v>24.5</v>
      </c>
      <c r="BV139" s="2" t="n">
        <v>330</v>
      </c>
      <c r="BW139" s="2" t="n">
        <v>95</v>
      </c>
      <c r="BX139" s="2" t="n">
        <v>429.5</v>
      </c>
      <c r="BY139" s="2" t="n">
        <v>47</v>
      </c>
      <c r="BZ139" s="2" t="n">
        <v>11</v>
      </c>
      <c r="CA139" s="2" t="n">
        <v>58</v>
      </c>
      <c r="CF139" s="2" t="n">
        <v>129.83</v>
      </c>
      <c r="CG139" s="2" t="n">
        <v>120</v>
      </c>
      <c r="CH139" s="2" t="n">
        <v>31</v>
      </c>
      <c r="CN139" s="2" t="n">
        <v>52</v>
      </c>
      <c r="CO139" s="2" t="n">
        <v>464</v>
      </c>
      <c r="CP139" s="2" t="n">
        <v>425</v>
      </c>
      <c r="CQ139" s="2" t="n">
        <v>39</v>
      </c>
      <c r="CR139" s="2" t="inlineStr">
        <is>
          <t>NA</t>
        </is>
      </c>
      <c r="CS139" s="2" t="n">
        <v>71</v>
      </c>
      <c r="CT139" s="2" t="n">
        <v>39</v>
      </c>
      <c r="CU139" s="2" t="n">
        <v>32</v>
      </c>
      <c r="CV139" s="2" t="n">
        <v>31</v>
      </c>
      <c r="CW139" s="2" t="n">
        <v>10</v>
      </c>
      <c r="CX139" s="2" t="n">
        <v>21</v>
      </c>
      <c r="CY139" s="2" t="inlineStr">
        <is>
          <t>NA</t>
        </is>
      </c>
      <c r="CZ139" s="2" t="n">
        <v>110</v>
      </c>
      <c r="DA139" s="2" t="n">
        <v>39</v>
      </c>
      <c r="DB139" s="2" t="n">
        <v>36</v>
      </c>
      <c r="DC139" s="2" t="n">
        <v>3</v>
      </c>
      <c r="DG139" s="2" t="n">
        <v>100.4479816789007</v>
      </c>
      <c r="DI139" s="2" t="n">
        <v>524.0082496949817</v>
      </c>
      <c r="DJ139" s="2" t="n">
        <v>162.3709186551193</v>
      </c>
      <c r="DK139" s="2" t="n">
        <v>483.576937816269</v>
      </c>
      <c r="DL139" s="2" t="n">
        <v>121.6936368182091</v>
      </c>
      <c r="DM139" s="2" t="n">
        <v>191.8565673940437</v>
      </c>
      <c r="DO139" s="2" t="n">
        <v>147.0592887573254</v>
      </c>
      <c r="DP139" s="2" t="n">
        <v>166.2141992519551</v>
      </c>
      <c r="DS139" s="2" t="n">
        <v>716.6949656979418</v>
      </c>
      <c r="DT139" s="2" t="n">
        <v>2748.068611716703</v>
      </c>
      <c r="DU139" s="2" t="n">
        <v>-234.5938476308579</v>
      </c>
      <c r="DV139" s="2" t="n">
        <v>0.03861171670314434</v>
      </c>
      <c r="GZ139" s="2" t="n">
        <v>870</v>
      </c>
      <c r="IN139" s="2" t="n">
        <v>80</v>
      </c>
      <c r="IY139" s="2" t="n">
        <v>47.544</v>
      </c>
      <c r="IZ139" s="2" t="n">
        <v>0.2040000000000006</v>
      </c>
      <c r="JB139" s="2" t="n">
        <v>11.181</v>
      </c>
      <c r="JC139" s="2" t="n">
        <v>-0.03900000000000148</v>
      </c>
      <c r="JE139" s="2" t="n">
        <v>1742</v>
      </c>
      <c r="JF139" s="2" t="n">
        <v>0.3228955223880597</v>
      </c>
    </row>
    <row r="140">
      <c r="A140" s="1" t="n">
        <v>33298</v>
      </c>
      <c r="B140" s="2" t="n">
        <v>3040.05</v>
      </c>
      <c r="C140" s="2" t="n">
        <v>2355.3</v>
      </c>
      <c r="D140" s="2" t="n">
        <v>295</v>
      </c>
      <c r="E140" s="2" t="n">
        <v>1563</v>
      </c>
      <c r="F140" s="2" t="n">
        <v>29.4</v>
      </c>
      <c r="G140" s="2" t="n">
        <v>90.90000000000001</v>
      </c>
      <c r="H140" s="2" t="n">
        <v>91</v>
      </c>
      <c r="I140" s="2" t="inlineStr">
        <is>
          <t>NA</t>
        </is>
      </c>
      <c r="J140" s="2" t="inlineStr">
        <is>
          <t>NA</t>
        </is>
      </c>
      <c r="K140" s="2" t="n">
        <v>1132.971305</v>
      </c>
      <c r="L140" s="2" t="n">
        <v>1874.6</v>
      </c>
      <c r="M140" s="2" t="n">
        <v>1629</v>
      </c>
      <c r="N140" s="2" t="n">
        <v>245.6</v>
      </c>
      <c r="O140" s="2" t="n">
        <v>95</v>
      </c>
      <c r="P140" s="2" t="n">
        <v>146.8</v>
      </c>
      <c r="Q140" s="2" t="n">
        <v>43.5</v>
      </c>
      <c r="R140" s="2" t="n">
        <v>103.3</v>
      </c>
      <c r="T140" s="2" t="n">
        <v>22</v>
      </c>
      <c r="U140" s="2" t="n">
        <v>24.6</v>
      </c>
      <c r="V140" s="2" t="n">
        <v>21.2</v>
      </c>
      <c r="W140" s="2" t="n">
        <v>3.4</v>
      </c>
      <c r="X140" s="2" t="n">
        <v>79.09999999999999</v>
      </c>
      <c r="Y140" s="2" t="n">
        <v>15</v>
      </c>
      <c r="Z140" s="2" t="n">
        <v>150.2</v>
      </c>
      <c r="AA140" s="2" t="n">
        <v>139.5</v>
      </c>
      <c r="AB140" s="2" t="n">
        <v>10.7</v>
      </c>
      <c r="AC140" s="2" t="inlineStr">
        <is>
          <t>NA</t>
        </is>
      </c>
      <c r="AD140" s="2" t="n">
        <v>10.1</v>
      </c>
      <c r="AF140" s="2" t="n">
        <v>74</v>
      </c>
      <c r="AG140" s="2" t="n">
        <v>44.2</v>
      </c>
      <c r="AH140" s="2" t="n">
        <v>29.8</v>
      </c>
      <c r="AI140" s="2" t="n">
        <v>145</v>
      </c>
      <c r="AL140" s="2" t="n">
        <v>98.09999999999999</v>
      </c>
      <c r="AM140" s="2" t="n">
        <v>62</v>
      </c>
      <c r="AN140" s="2" t="n">
        <v>36.1</v>
      </c>
      <c r="AO140" s="2" t="n">
        <v>2300.096905</v>
      </c>
      <c r="AP140" s="2" t="n">
        <v>490.2</v>
      </c>
      <c r="AQ140" s="2" t="n">
        <v>108.546755</v>
      </c>
      <c r="AR140" s="2" t="n">
        <v>37.6</v>
      </c>
      <c r="AS140" s="2" t="n">
        <v>146.2</v>
      </c>
      <c r="AT140" s="2" t="n">
        <v>116.9</v>
      </c>
      <c r="AU140" s="2" t="n">
        <v>71.40000000000001</v>
      </c>
      <c r="AV140" s="2" t="n">
        <v>57.8</v>
      </c>
      <c r="AY140" s="2" t="n">
        <v>35.6</v>
      </c>
      <c r="AZ140" s="2" t="n">
        <v>5.1</v>
      </c>
      <c r="BA140" s="2" t="inlineStr">
        <is>
          <t>NA</t>
        </is>
      </c>
      <c r="BB140" s="2" t="inlineStr">
        <is>
          <t>NA</t>
        </is>
      </c>
      <c r="BD140" s="2" t="n">
        <v>93.73</v>
      </c>
      <c r="BE140" s="2" t="n">
        <v>38.4</v>
      </c>
      <c r="BH140" s="2" t="n">
        <v>306.26</v>
      </c>
      <c r="BK140" s="2" t="n">
        <v>164.73</v>
      </c>
      <c r="BL140" s="2" t="n">
        <v>4.26</v>
      </c>
      <c r="BM140" s="2" t="n">
        <v>475.267</v>
      </c>
      <c r="BN140" s="2" t="n">
        <v>280.1</v>
      </c>
      <c r="BQ140" s="2" t="n">
        <v>90.2</v>
      </c>
      <c r="BR140" s="2" t="n">
        <v>6.3</v>
      </c>
      <c r="BS140" s="2" t="n">
        <v>376.6</v>
      </c>
      <c r="BT140" s="2" t="inlineStr">
        <is>
          <t>NA</t>
        </is>
      </c>
      <c r="BU140" s="2" t="n">
        <v>24.4</v>
      </c>
      <c r="BV140" s="2" t="n">
        <v>340</v>
      </c>
      <c r="BW140" s="2" t="n">
        <v>101.4</v>
      </c>
      <c r="BX140" s="2" t="n">
        <v>444</v>
      </c>
      <c r="BY140" s="2" t="n">
        <v>48.8</v>
      </c>
      <c r="BZ140" s="2" t="n">
        <v>13.1</v>
      </c>
      <c r="CA140" s="2" t="n">
        <v>61.9</v>
      </c>
      <c r="CF140" s="2" t="n">
        <v>129.83</v>
      </c>
      <c r="CG140" s="2" t="n">
        <v>144.5</v>
      </c>
      <c r="CH140" s="2" t="n">
        <v>29.7</v>
      </c>
      <c r="CN140" s="2" t="n">
        <v>50.4</v>
      </c>
      <c r="CO140" s="2" t="n">
        <v>486</v>
      </c>
      <c r="CP140" s="2" t="n">
        <v>445.4</v>
      </c>
      <c r="CQ140" s="2" t="n">
        <v>40.6</v>
      </c>
      <c r="CR140" s="2" t="inlineStr">
        <is>
          <t>NA</t>
        </is>
      </c>
      <c r="CS140" s="2" t="n">
        <v>74.59999999999999</v>
      </c>
      <c r="CT140" s="2" t="n">
        <v>40.4</v>
      </c>
      <c r="CU140" s="2" t="n">
        <v>34.2</v>
      </c>
      <c r="CV140" s="2" t="n">
        <v>33.4</v>
      </c>
      <c r="CW140" s="2" t="n">
        <v>10.7</v>
      </c>
      <c r="CX140" s="2" t="n">
        <v>22.7</v>
      </c>
      <c r="CY140" s="2" t="inlineStr">
        <is>
          <t>NA</t>
        </is>
      </c>
      <c r="CZ140" s="2" t="n">
        <v>115.5</v>
      </c>
      <c r="DA140" s="2" t="n">
        <v>35.9</v>
      </c>
      <c r="DB140" s="2" t="n">
        <v>33</v>
      </c>
      <c r="DC140" s="2" t="n">
        <v>2.9</v>
      </c>
      <c r="DG140" s="2" t="n">
        <v>111.1173370402224</v>
      </c>
      <c r="DI140" s="2" t="n">
        <v>579.6672100326018</v>
      </c>
      <c r="DJ140" s="2" t="n">
        <v>179.6175870552233</v>
      </c>
      <c r="DK140" s="2" t="n">
        <v>534.941376482589</v>
      </c>
      <c r="DL140" s="2" t="n">
        <v>134.6196571794308</v>
      </c>
      <c r="DM140" s="2" t="n">
        <v>212.2351341080465</v>
      </c>
      <c r="DO140" s="2" t="n">
        <v>162.6795907754465</v>
      </c>
      <c r="DP140" s="2" t="n">
        <v>183.8690921455288</v>
      </c>
      <c r="DS140" s="2" t="n">
        <v>792.8206692401545</v>
      </c>
      <c r="DT140" s="2" t="n">
        <v>3039.962187731263</v>
      </c>
      <c r="DU140" s="2" t="n">
        <v>-259.5118707122424</v>
      </c>
      <c r="DV140" s="2" t="n">
        <v>-0.08781226873679771</v>
      </c>
      <c r="GZ140" s="2" t="n">
        <v>907.1</v>
      </c>
      <c r="IN140" s="2" t="n">
        <v>70</v>
      </c>
      <c r="IY140" s="2" t="n">
        <v>47.53823772635319</v>
      </c>
      <c r="IZ140" s="2" t="n">
        <v>0.2682377263531848</v>
      </c>
      <c r="JB140" s="2" t="n">
        <v>11.1804539892436</v>
      </c>
      <c r="JC140" s="2" t="n">
        <v>-0.139546010756403</v>
      </c>
      <c r="JE140" s="2" t="n">
        <v>1874.6</v>
      </c>
      <c r="JF140" s="2" t="n">
        <v>0.342957430918596</v>
      </c>
    </row>
    <row r="141">
      <c r="A141" s="1" t="n">
        <v>33329</v>
      </c>
      <c r="B141" s="2" t="n">
        <v>2929.29</v>
      </c>
      <c r="C141" s="2" t="n">
        <v>2100</v>
      </c>
      <c r="D141" s="2" t="n">
        <v>295</v>
      </c>
      <c r="E141" s="2" t="n">
        <v>1300</v>
      </c>
      <c r="F141" s="2" t="n">
        <v>30</v>
      </c>
      <c r="G141" s="2" t="n">
        <v>60</v>
      </c>
      <c r="H141" s="2" t="inlineStr">
        <is>
          <t>NA</t>
        </is>
      </c>
      <c r="I141" s="2" t="inlineStr">
        <is>
          <t>NA</t>
        </is>
      </c>
      <c r="J141" s="2" t="inlineStr">
        <is>
          <t>NA</t>
        </is>
      </c>
      <c r="K141" s="2" t="n">
        <v>1105.514046</v>
      </c>
      <c r="L141" s="2" t="n">
        <v>1840</v>
      </c>
      <c r="M141" s="2" t="n">
        <v>1600</v>
      </c>
      <c r="N141" s="2" t="n">
        <v>240</v>
      </c>
      <c r="O141" s="2" t="n">
        <v>97</v>
      </c>
      <c r="P141" s="2" t="n">
        <v>137</v>
      </c>
      <c r="Q141" s="2" t="n">
        <v>42</v>
      </c>
      <c r="R141" s="2" t="n">
        <v>95</v>
      </c>
      <c r="T141" s="2" t="n">
        <v>25</v>
      </c>
      <c r="U141" s="2" t="n">
        <v>24</v>
      </c>
      <c r="V141" s="2" t="n">
        <v>20</v>
      </c>
      <c r="W141" s="2" t="n">
        <v>4</v>
      </c>
      <c r="X141" s="2" t="n">
        <v>57</v>
      </c>
      <c r="Y141" s="2" t="n">
        <v>14</v>
      </c>
      <c r="Z141" s="2" t="n">
        <v>154</v>
      </c>
      <c r="AA141" s="2" t="n">
        <v>145</v>
      </c>
      <c r="AB141" s="2" t="n">
        <v>9</v>
      </c>
      <c r="AC141" s="2" t="inlineStr">
        <is>
          <t>NA</t>
        </is>
      </c>
      <c r="AD141" s="2" t="n">
        <v>10</v>
      </c>
      <c r="AF141" s="2" t="n">
        <v>75</v>
      </c>
      <c r="AG141" s="2" t="n">
        <v>40</v>
      </c>
      <c r="AH141" s="2" t="n">
        <v>35</v>
      </c>
      <c r="AI141" s="2" t="n">
        <v>145</v>
      </c>
      <c r="AL141" s="2" t="n">
        <v>107</v>
      </c>
      <c r="AM141" s="2" t="n">
        <v>70</v>
      </c>
      <c r="AN141" s="2" t="n">
        <v>37</v>
      </c>
      <c r="AO141" s="2" t="n">
        <v>2196.674571</v>
      </c>
      <c r="AP141" s="2" t="n">
        <v>450</v>
      </c>
      <c r="AQ141" s="2" t="n">
        <v>118.636245</v>
      </c>
      <c r="AR141" s="2" t="n">
        <v>40</v>
      </c>
      <c r="AS141" s="2" t="n">
        <v>140</v>
      </c>
      <c r="AT141" s="2" t="n">
        <v>130</v>
      </c>
      <c r="AU141" s="2" t="n">
        <v>70</v>
      </c>
      <c r="AV141" s="2" t="n">
        <v>65</v>
      </c>
      <c r="AY141" s="2" t="n">
        <v>25.2</v>
      </c>
      <c r="AZ141" s="2" t="n">
        <v>6</v>
      </c>
      <c r="BA141" s="2" t="inlineStr">
        <is>
          <t>NA</t>
        </is>
      </c>
      <c r="BB141" s="2" t="inlineStr">
        <is>
          <t>NA</t>
        </is>
      </c>
      <c r="BD141" s="2" t="n">
        <v>96.033</v>
      </c>
      <c r="BE141" s="2" t="n">
        <v>40</v>
      </c>
      <c r="BH141" s="2" t="n">
        <v>302.5</v>
      </c>
      <c r="BK141" s="2" t="n">
        <v>165.5</v>
      </c>
      <c r="BL141" s="2" t="n">
        <v>4.167</v>
      </c>
      <c r="BM141" s="2" t="n">
        <v>472.167</v>
      </c>
      <c r="BN141" s="2" t="n">
        <v>275</v>
      </c>
      <c r="BQ141" s="2" t="n">
        <v>95</v>
      </c>
      <c r="BR141" s="2" t="n">
        <v>7</v>
      </c>
      <c r="BS141" s="2" t="n">
        <v>377</v>
      </c>
      <c r="BT141" s="2" t="inlineStr">
        <is>
          <t>NA</t>
        </is>
      </c>
      <c r="BU141" s="2" t="n">
        <v>25</v>
      </c>
      <c r="BV141" s="2" t="n">
        <v>337.2</v>
      </c>
      <c r="BW141" s="2" t="n">
        <v>100</v>
      </c>
      <c r="BX141" s="2" t="n">
        <v>440</v>
      </c>
      <c r="BY141" s="2" t="n">
        <v>49</v>
      </c>
      <c r="BZ141" s="2" t="n">
        <v>12</v>
      </c>
      <c r="CA141" s="2" t="n">
        <v>61</v>
      </c>
      <c r="CF141" s="2" t="n">
        <v>120.8</v>
      </c>
      <c r="CG141" s="2" t="n">
        <v>135</v>
      </c>
      <c r="CH141" s="2" t="n">
        <v>30</v>
      </c>
      <c r="CN141" s="2" t="n">
        <v>53</v>
      </c>
      <c r="CO141" s="2" t="n">
        <v>440</v>
      </c>
      <c r="CP141" s="2" t="n">
        <v>400</v>
      </c>
      <c r="CQ141" s="2" t="n">
        <v>40</v>
      </c>
      <c r="CR141" s="2" t="inlineStr">
        <is>
          <t>NA</t>
        </is>
      </c>
      <c r="CS141" s="2" t="n">
        <v>74</v>
      </c>
      <c r="CT141" s="2" t="n">
        <v>42</v>
      </c>
      <c r="CU141" s="2" t="n">
        <v>32</v>
      </c>
      <c r="CV141" s="2" t="n">
        <v>36</v>
      </c>
      <c r="CW141" s="2" t="n">
        <v>11</v>
      </c>
      <c r="CX141" s="2" t="n">
        <v>25</v>
      </c>
      <c r="CY141" s="2" t="inlineStr">
        <is>
          <t>NA</t>
        </is>
      </c>
      <c r="CZ141" s="2" t="n">
        <v>118</v>
      </c>
      <c r="DA141" s="2" t="n">
        <v>36.7</v>
      </c>
      <c r="DB141" s="2" t="n">
        <v>34</v>
      </c>
      <c r="DC141" s="2" t="n">
        <v>2.7</v>
      </c>
      <c r="DG141" s="2" t="n">
        <v>89.77488483664848</v>
      </c>
      <c r="DI141" s="2" t="n">
        <v>525.8193448956631</v>
      </c>
      <c r="DJ141" s="2" t="n">
        <v>201.9324788248031</v>
      </c>
      <c r="DK141" s="2" t="n">
        <v>517.3822489226654</v>
      </c>
      <c r="DL141" s="2" t="n">
        <v>138.1312985331267</v>
      </c>
      <c r="DM141" s="2" t="n">
        <v>216.8194208928609</v>
      </c>
      <c r="DO141" s="2" t="n">
        <v>174.7733971596578</v>
      </c>
      <c r="DP141" s="2" t="n">
        <v>178.9570811132103</v>
      </c>
      <c r="DS141" s="2" t="n">
        <v>744.8003358311929</v>
      </c>
      <c r="DT141" s="2" t="n">
        <v>2929.310912178657</v>
      </c>
      <c r="DU141" s="2" t="n">
        <v>-230.6953060054771</v>
      </c>
      <c r="DV141" s="2" t="n">
        <v>0.02091217865745421</v>
      </c>
      <c r="GZ141" s="2" t="n">
        <v>975</v>
      </c>
      <c r="IN141" s="2" t="n">
        <v>78.5</v>
      </c>
      <c r="IY141" s="2" t="n">
        <v>47.424</v>
      </c>
      <c r="IZ141" s="2" t="n">
        <v>0.1640000000000015</v>
      </c>
      <c r="JB141" s="2" t="n">
        <v>11.322</v>
      </c>
      <c r="JC141" s="2" t="n">
        <v>0.01199999999999868</v>
      </c>
      <c r="JE141" s="2" t="n">
        <v>1840</v>
      </c>
      <c r="JF141" s="2" t="n">
        <v>0.3621641304347826</v>
      </c>
    </row>
    <row r="142">
      <c r="A142" s="1" t="n">
        <v>33359</v>
      </c>
      <c r="B142" s="2" t="n">
        <v>2780.19</v>
      </c>
      <c r="C142" s="2" t="n">
        <v>1900</v>
      </c>
      <c r="D142" s="2" t="n">
        <v>289</v>
      </c>
      <c r="E142" s="2" t="n">
        <v>1000</v>
      </c>
      <c r="F142" s="2" t="n">
        <v>25</v>
      </c>
      <c r="G142" s="2" t="n">
        <v>35</v>
      </c>
      <c r="H142" s="2" t="inlineStr">
        <is>
          <t>NA</t>
        </is>
      </c>
      <c r="I142" s="2" t="inlineStr">
        <is>
          <t>NA</t>
        </is>
      </c>
      <c r="J142" s="2" t="inlineStr">
        <is>
          <t>NA</t>
        </is>
      </c>
      <c r="K142" s="2" t="n">
        <v>1049.243706</v>
      </c>
      <c r="L142" s="2" t="n">
        <v>1835</v>
      </c>
      <c r="M142" s="2" t="n">
        <v>1600</v>
      </c>
      <c r="N142" s="2" t="n">
        <v>235</v>
      </c>
      <c r="O142" s="2" t="n">
        <v>95</v>
      </c>
      <c r="P142" s="2" t="n">
        <v>131</v>
      </c>
      <c r="Q142" s="2" t="n">
        <v>41</v>
      </c>
      <c r="R142" s="2" t="n">
        <v>90</v>
      </c>
      <c r="T142" s="2" t="n">
        <v>21</v>
      </c>
      <c r="U142" s="2" t="n">
        <v>23</v>
      </c>
      <c r="V142" s="2" t="n">
        <v>18</v>
      </c>
      <c r="W142" s="2" t="n">
        <v>5</v>
      </c>
      <c r="X142" s="2" t="n">
        <v>27</v>
      </c>
      <c r="Y142" s="2" t="n">
        <v>13.8</v>
      </c>
      <c r="Z142" s="2" t="n">
        <v>159</v>
      </c>
      <c r="AA142" s="2" t="n">
        <v>150</v>
      </c>
      <c r="AB142" s="2" t="n">
        <v>9</v>
      </c>
      <c r="AC142" s="2" t="inlineStr">
        <is>
          <t>NA</t>
        </is>
      </c>
      <c r="AD142" s="2" t="n">
        <v>9.199999999999999</v>
      </c>
      <c r="AF142" s="2" t="n">
        <v>58</v>
      </c>
      <c r="AG142" s="2" t="n">
        <v>38</v>
      </c>
      <c r="AH142" s="2" t="n">
        <v>20</v>
      </c>
      <c r="AI142" s="2" t="n">
        <v>140</v>
      </c>
      <c r="AL142" s="2" t="n">
        <v>113</v>
      </c>
      <c r="AM142" s="2" t="n">
        <v>75</v>
      </c>
      <c r="AN142" s="2" t="n">
        <v>38</v>
      </c>
      <c r="AO142" s="2" t="n">
        <v>2084.864481</v>
      </c>
      <c r="AP142" s="2" t="n">
        <v>400</v>
      </c>
      <c r="AQ142" s="2" t="n">
        <v>112.597695</v>
      </c>
      <c r="AR142" s="2" t="n">
        <v>41</v>
      </c>
      <c r="AS142" s="2" t="n">
        <v>138</v>
      </c>
      <c r="AT142" s="2" t="n">
        <v>145</v>
      </c>
      <c r="AU142" s="2" t="n">
        <v>72</v>
      </c>
      <c r="AV142" s="2" t="n">
        <v>70</v>
      </c>
      <c r="AY142" s="2" t="n">
        <v>20</v>
      </c>
      <c r="AZ142" s="2" t="n">
        <v>7</v>
      </c>
      <c r="BA142" s="2" t="inlineStr">
        <is>
          <t>NA</t>
        </is>
      </c>
      <c r="BB142" s="2" t="inlineStr">
        <is>
          <t>NA</t>
        </is>
      </c>
      <c r="BD142" s="2" t="n">
        <v>96.033</v>
      </c>
      <c r="BE142" s="2" t="n">
        <v>42</v>
      </c>
      <c r="BH142" s="2" t="n">
        <v>302.5</v>
      </c>
      <c r="BK142" s="2" t="n">
        <v>165.5</v>
      </c>
      <c r="BL142" s="2" t="n">
        <v>4.167</v>
      </c>
      <c r="BM142" s="2" t="n">
        <v>472.167</v>
      </c>
      <c r="BN142" s="2" t="n">
        <v>270</v>
      </c>
      <c r="BQ142" s="2" t="n">
        <v>100</v>
      </c>
      <c r="BR142" s="2" t="n">
        <v>7.5</v>
      </c>
      <c r="BS142" s="2" t="n">
        <v>377.5</v>
      </c>
      <c r="BT142" s="2" t="inlineStr">
        <is>
          <t>NA</t>
        </is>
      </c>
      <c r="BU142" s="2" t="n">
        <v>26</v>
      </c>
      <c r="BV142" s="2" t="n">
        <v>325</v>
      </c>
      <c r="BW142" s="2" t="n">
        <v>96.7</v>
      </c>
      <c r="BX142" s="2" t="n">
        <v>425.5</v>
      </c>
      <c r="BY142" s="2" t="n">
        <v>50</v>
      </c>
      <c r="BZ142" s="2" t="n">
        <v>12</v>
      </c>
      <c r="CA142" s="2" t="n">
        <v>62</v>
      </c>
      <c r="CF142" s="2" t="n">
        <v>120.8</v>
      </c>
      <c r="CG142" s="2" t="n">
        <v>125</v>
      </c>
      <c r="CH142" s="2" t="n">
        <v>30</v>
      </c>
      <c r="CN142" s="2" t="n">
        <v>53</v>
      </c>
      <c r="CO142" s="2" t="n">
        <v>389</v>
      </c>
      <c r="CP142" s="2" t="n">
        <v>350</v>
      </c>
      <c r="CQ142" s="2" t="n">
        <v>39</v>
      </c>
      <c r="CR142" s="2" t="inlineStr">
        <is>
          <t>NA</t>
        </is>
      </c>
      <c r="CS142" s="2" t="n">
        <v>75</v>
      </c>
      <c r="CT142" s="2" t="n">
        <v>44</v>
      </c>
      <c r="CU142" s="2" t="n">
        <v>31</v>
      </c>
      <c r="CV142" s="2" t="n">
        <v>40</v>
      </c>
      <c r="CW142" s="2" t="n">
        <v>12</v>
      </c>
      <c r="CX142" s="2" t="n">
        <v>28</v>
      </c>
      <c r="CY142" s="2" t="inlineStr">
        <is>
          <t>NA</t>
        </is>
      </c>
      <c r="CZ142" s="2" t="n">
        <v>120</v>
      </c>
      <c r="DA142" s="2" t="n">
        <v>39.3</v>
      </c>
      <c r="DB142" s="2" t="n">
        <v>37</v>
      </c>
      <c r="DC142" s="2" t="n">
        <v>2.3</v>
      </c>
      <c r="DG142" s="2" t="n">
        <v>85.20507567877385</v>
      </c>
      <c r="DI142" s="2" t="n">
        <v>499.0535733542786</v>
      </c>
      <c r="DJ142" s="2" t="n">
        <v>191.6535139151294</v>
      </c>
      <c r="DK142" s="2" t="n">
        <v>491.0459507079627</v>
      </c>
      <c r="DL142" s="2" t="n">
        <v>131.1000038210882</v>
      </c>
      <c r="DM142" s="2" t="n">
        <v>205.7826662704057</v>
      </c>
      <c r="DO142" s="2" t="n">
        <v>165.8769104379392</v>
      </c>
      <c r="DP142" s="2" t="n">
        <v>169.8476324113189</v>
      </c>
      <c r="DS142" s="2" t="n">
        <v>706.8877793109305</v>
      </c>
      <c r="DT142" s="2" t="n">
        <v>2780.200257711168</v>
      </c>
      <c r="DU142" s="2" t="n">
        <v>-218.9522274821152</v>
      </c>
      <c r="DV142" s="2" t="n">
        <v>0.01025771116837859</v>
      </c>
      <c r="GZ142" s="2" t="n">
        <v>910</v>
      </c>
      <c r="IN142" s="2" t="n">
        <v>90</v>
      </c>
      <c r="IY142" s="2" t="n">
        <v>47.424</v>
      </c>
      <c r="IZ142" s="2" t="n">
        <v>0.1539999999999964</v>
      </c>
      <c r="JB142" s="2" t="n">
        <v>11.322</v>
      </c>
      <c r="JC142" s="2" t="n">
        <v>-0.01800000000000068</v>
      </c>
      <c r="JE142" s="2" t="n">
        <v>1835</v>
      </c>
      <c r="JF142" s="2" t="n">
        <v>0.3502904632152589</v>
      </c>
    </row>
    <row r="143">
      <c r="A143" s="1" t="n">
        <v>33390</v>
      </c>
      <c r="B143" s="2" t="n">
        <v>2692.62</v>
      </c>
      <c r="C143" s="2" t="n">
        <v>1834.8</v>
      </c>
      <c r="D143" s="2" t="n">
        <v>280.5</v>
      </c>
      <c r="E143" s="2" t="n">
        <v>879.8</v>
      </c>
      <c r="F143" s="2" t="n">
        <v>29.2</v>
      </c>
      <c r="G143" s="2" t="n">
        <v>30.9</v>
      </c>
      <c r="H143" s="2" t="n">
        <v>47.6</v>
      </c>
      <c r="I143" s="2" t="inlineStr">
        <is>
          <t>NA</t>
        </is>
      </c>
      <c r="J143" s="2" t="inlineStr">
        <is>
          <t>NA</t>
        </is>
      </c>
      <c r="K143" s="2" t="n">
        <v>1016.042248</v>
      </c>
      <c r="L143" s="2" t="n">
        <v>1828.1</v>
      </c>
      <c r="M143" s="2" t="n">
        <v>1596.6</v>
      </c>
      <c r="N143" s="2" t="n">
        <v>231.5</v>
      </c>
      <c r="O143" s="2" t="n">
        <v>91</v>
      </c>
      <c r="P143" s="2" t="n">
        <v>124.6</v>
      </c>
      <c r="Q143" s="2" t="n">
        <v>42.8</v>
      </c>
      <c r="R143" s="2" t="n">
        <v>81.8</v>
      </c>
      <c r="T143" s="2" t="n">
        <v>25.1</v>
      </c>
      <c r="U143" s="2" t="n">
        <v>23.8</v>
      </c>
      <c r="V143" s="2" t="n">
        <v>16.6</v>
      </c>
      <c r="W143" s="2" t="n">
        <v>7.2</v>
      </c>
      <c r="X143" s="2" t="n">
        <v>21.4</v>
      </c>
      <c r="Y143" s="2" t="n">
        <v>15</v>
      </c>
      <c r="Z143" s="2" t="n">
        <v>165.1</v>
      </c>
      <c r="AA143" s="2" t="n">
        <v>156.8</v>
      </c>
      <c r="AB143" s="2" t="n">
        <v>8.300000000000001</v>
      </c>
      <c r="AC143" s="2" t="inlineStr">
        <is>
          <t>NA</t>
        </is>
      </c>
      <c r="AD143" s="2" t="n">
        <v>10</v>
      </c>
      <c r="AF143" s="2" t="n">
        <v>58.5</v>
      </c>
      <c r="AG143" s="2" t="n">
        <v>37.8</v>
      </c>
      <c r="AH143" s="2" t="n">
        <v>20.7</v>
      </c>
      <c r="AI143" s="2" t="n">
        <v>137.3</v>
      </c>
      <c r="AL143" s="2" t="n">
        <v>126.9</v>
      </c>
      <c r="AM143" s="2" t="n">
        <v>87.3</v>
      </c>
      <c r="AN143" s="2" t="n">
        <v>39.6</v>
      </c>
      <c r="AO143" s="2" t="n">
        <v>2019.260948</v>
      </c>
      <c r="AP143" s="2" t="n">
        <v>382.7</v>
      </c>
      <c r="AQ143" s="2" t="n">
        <v>108.66606</v>
      </c>
      <c r="AR143" s="2" t="n">
        <v>42.2</v>
      </c>
      <c r="AS143" s="2" t="n">
        <v>131.1</v>
      </c>
      <c r="AT143" s="2" t="n">
        <v>161.9</v>
      </c>
      <c r="AU143" s="2" t="n">
        <v>75.7</v>
      </c>
      <c r="AV143" s="2" t="n">
        <v>73.09999999999999</v>
      </c>
      <c r="AY143" s="2" t="n">
        <v>15</v>
      </c>
      <c r="AZ143" s="2" t="n">
        <v>7.9</v>
      </c>
      <c r="BA143" s="2" t="inlineStr">
        <is>
          <t>NA</t>
        </is>
      </c>
      <c r="BB143" s="2" t="inlineStr">
        <is>
          <t>NA</t>
        </is>
      </c>
      <c r="BD143" s="2" t="n">
        <v>96.033</v>
      </c>
      <c r="BE143" s="2" t="n">
        <v>45.8</v>
      </c>
      <c r="BH143" s="2" t="n">
        <v>302.5</v>
      </c>
      <c r="BK143" s="2" t="n">
        <v>165.5</v>
      </c>
      <c r="BL143" s="2" t="n">
        <v>4.167</v>
      </c>
      <c r="BM143" s="2" t="n">
        <v>472.167</v>
      </c>
      <c r="BN143" s="2" t="n">
        <v>263.8</v>
      </c>
      <c r="BQ143" s="2" t="n">
        <v>109.1</v>
      </c>
      <c r="BR143" s="2" t="n">
        <v>8.300000000000001</v>
      </c>
      <c r="BS143" s="2" t="n">
        <v>381.2</v>
      </c>
      <c r="BT143" s="2" t="inlineStr">
        <is>
          <t>NA</t>
        </is>
      </c>
      <c r="BU143" s="2" t="n">
        <v>28.3</v>
      </c>
      <c r="BV143" s="2" t="n">
        <v>320</v>
      </c>
      <c r="BW143" s="2" t="n">
        <v>95</v>
      </c>
      <c r="BX143" s="2" t="n">
        <v>419</v>
      </c>
      <c r="BY143" s="2" t="n">
        <v>50.6</v>
      </c>
      <c r="BZ143" s="2" t="n">
        <v>11.6</v>
      </c>
      <c r="CA143" s="2" t="n">
        <v>62.2</v>
      </c>
      <c r="CF143" s="2" t="n">
        <v>120.8</v>
      </c>
      <c r="CG143" s="2" t="n">
        <v>119.8</v>
      </c>
      <c r="CH143" s="2" t="n">
        <v>30.2</v>
      </c>
      <c r="CN143" s="2" t="n">
        <v>53.3</v>
      </c>
      <c r="CO143" s="2" t="n">
        <v>364.3</v>
      </c>
      <c r="CP143" s="2" t="n">
        <v>325.4</v>
      </c>
      <c r="CQ143" s="2" t="n">
        <v>38.9</v>
      </c>
      <c r="CR143" s="2" t="inlineStr">
        <is>
          <t>NA</t>
        </is>
      </c>
      <c r="CS143" s="2" t="n">
        <v>76.40000000000001</v>
      </c>
      <c r="CT143" s="2" t="n">
        <v>47</v>
      </c>
      <c r="CU143" s="2" t="n">
        <v>29.4</v>
      </c>
      <c r="CV143" s="2" t="n">
        <v>47.5</v>
      </c>
      <c r="CW143" s="2" t="n">
        <v>13.6</v>
      </c>
      <c r="CX143" s="2" t="n">
        <v>33.9</v>
      </c>
      <c r="CY143" s="2" t="inlineStr">
        <is>
          <t>NA</t>
        </is>
      </c>
      <c r="CZ143" s="2" t="n">
        <v>121.5</v>
      </c>
      <c r="DA143" s="2" t="n">
        <v>42.6</v>
      </c>
      <c r="DB143" s="2" t="n">
        <v>40.5</v>
      </c>
      <c r="DC143" s="2" t="n">
        <v>2.1</v>
      </c>
      <c r="DG143" s="2" t="n">
        <v>82.52003948457767</v>
      </c>
      <c r="DI143" s="2" t="n">
        <v>483.3270817500584</v>
      </c>
      <c r="DJ143" s="2" t="n">
        <v>185.6140072600675</v>
      </c>
      <c r="DK143" s="2" t="n">
        <v>475.5718003693718</v>
      </c>
      <c r="DL143" s="2" t="n">
        <v>126.9686976457851</v>
      </c>
      <c r="DM143" s="2" t="n">
        <v>199.2979128367334</v>
      </c>
      <c r="DO143" s="2" t="n">
        <v>160.649692402403</v>
      </c>
      <c r="DP143" s="2" t="n">
        <v>164.4952864754707</v>
      </c>
      <c r="DS143" s="2" t="n">
        <v>684.6118848578767</v>
      </c>
      <c r="DT143" s="2" t="n">
        <v>2692.588830110175</v>
      </c>
      <c r="DU143" s="2" t="n">
        <v>-212.052466512408</v>
      </c>
      <c r="DV143" s="2" t="n">
        <v>-0.0311698898258328</v>
      </c>
      <c r="GZ143" s="2" t="n">
        <v>980.5</v>
      </c>
      <c r="IN143" s="2" t="n">
        <v>85</v>
      </c>
      <c r="IY143" s="2" t="n">
        <v>47.41687296387904</v>
      </c>
      <c r="IZ143" s="2" t="n">
        <v>-0.1731270361209667</v>
      </c>
      <c r="JB143" s="2" t="n">
        <v>11.3203004657174</v>
      </c>
      <c r="JC143" s="2" t="n">
        <v>-0.2196995342825954</v>
      </c>
      <c r="JE143" s="2" t="n">
        <v>1828.1</v>
      </c>
      <c r="JF143" s="2" t="n">
        <v>0.3110754335102019</v>
      </c>
    </row>
    <row r="144">
      <c r="A144" s="1" t="n">
        <v>33420</v>
      </c>
      <c r="B144" s="2" t="n">
        <v>2954.79</v>
      </c>
      <c r="C144" s="2" t="n">
        <v>1900</v>
      </c>
      <c r="D144" s="2" t="n">
        <v>280</v>
      </c>
      <c r="E144" s="2" t="n">
        <v>800</v>
      </c>
      <c r="F144" s="2" t="n">
        <v>30</v>
      </c>
      <c r="G144" s="2" t="inlineStr">
        <is>
          <t>NA</t>
        </is>
      </c>
      <c r="H144" s="2" t="inlineStr">
        <is>
          <t>NA</t>
        </is>
      </c>
      <c r="I144" s="2" t="inlineStr">
        <is>
          <t>NA</t>
        </is>
      </c>
      <c r="J144" s="2" t="inlineStr">
        <is>
          <t>NA</t>
        </is>
      </c>
      <c r="K144" s="2" t="n">
        <v>1115.433225</v>
      </c>
      <c r="L144" s="2" t="n">
        <v>1795</v>
      </c>
      <c r="M144" s="2" t="n">
        <v>1550</v>
      </c>
      <c r="N144" s="2" t="n">
        <v>245</v>
      </c>
      <c r="O144" s="2" t="n">
        <v>92.7</v>
      </c>
      <c r="P144" s="2" t="n">
        <v>126</v>
      </c>
      <c r="Q144" s="2" t="n">
        <v>41</v>
      </c>
      <c r="R144" s="2" t="n">
        <v>85</v>
      </c>
      <c r="T144" s="2" t="n">
        <v>27</v>
      </c>
      <c r="U144" s="2" t="n">
        <v>21</v>
      </c>
      <c r="V144" s="2" t="n">
        <v>16</v>
      </c>
      <c r="W144" s="2" t="n">
        <v>5</v>
      </c>
      <c r="X144" s="2" t="n">
        <v>18</v>
      </c>
      <c r="Y144" s="2" t="n">
        <v>16</v>
      </c>
      <c r="Z144" s="2" t="n">
        <v>128.2</v>
      </c>
      <c r="AA144" s="2" t="n">
        <v>120</v>
      </c>
      <c r="AB144" s="2" t="n">
        <v>8.199999999999999</v>
      </c>
      <c r="AC144" s="2" t="inlineStr">
        <is>
          <t>NA</t>
        </is>
      </c>
      <c r="AD144" s="2" t="n">
        <v>10</v>
      </c>
      <c r="AF144" s="2" t="n">
        <v>53</v>
      </c>
      <c r="AG144" s="2" t="n">
        <v>35</v>
      </c>
      <c r="AH144" s="2" t="n">
        <v>18</v>
      </c>
      <c r="AI144" s="2" t="n">
        <v>140</v>
      </c>
      <c r="AL144" s="2" t="n">
        <v>130</v>
      </c>
      <c r="AM144" s="2" t="n">
        <v>85</v>
      </c>
      <c r="AN144" s="2" t="n">
        <v>45</v>
      </c>
      <c r="AO144" s="2" t="n">
        <v>2223.479475</v>
      </c>
      <c r="AP144" s="2" t="n">
        <v>350</v>
      </c>
      <c r="AQ144" s="2" t="n">
        <v>113.168457</v>
      </c>
      <c r="AR144" s="2" t="n">
        <v>40</v>
      </c>
      <c r="AS144" s="2" t="n">
        <v>125</v>
      </c>
      <c r="AT144" s="2" t="n">
        <v>140</v>
      </c>
      <c r="AU144" s="2" t="n">
        <v>75</v>
      </c>
      <c r="AV144" s="2" t="n">
        <v>65</v>
      </c>
      <c r="AY144" s="2" t="n">
        <v>10</v>
      </c>
      <c r="AZ144" s="2" t="inlineStr">
        <is>
          <t>NA</t>
        </is>
      </c>
      <c r="BA144" s="2" t="inlineStr">
        <is>
          <t>NA</t>
        </is>
      </c>
      <c r="BB144" s="2" t="inlineStr">
        <is>
          <t>NA</t>
        </is>
      </c>
      <c r="BD144" s="2" t="n">
        <v>111.967</v>
      </c>
      <c r="BE144" s="2" t="n">
        <v>43</v>
      </c>
      <c r="BH144" s="2" t="n">
        <v>302.13</v>
      </c>
      <c r="BK144" s="2" t="n">
        <v>172.7</v>
      </c>
      <c r="BL144" s="2" t="n">
        <v>4.2</v>
      </c>
      <c r="BM144" s="2" t="n">
        <v>479.033</v>
      </c>
      <c r="BN144" s="2" t="n">
        <v>270</v>
      </c>
      <c r="BQ144" s="2" t="n">
        <v>109</v>
      </c>
      <c r="BR144" s="2" t="n">
        <v>9</v>
      </c>
      <c r="BS144" s="2" t="n">
        <v>388</v>
      </c>
      <c r="BT144" s="2" t="inlineStr">
        <is>
          <t>NA</t>
        </is>
      </c>
      <c r="BU144" s="2" t="n">
        <v>27</v>
      </c>
      <c r="BV144" s="2" t="n">
        <v>330</v>
      </c>
      <c r="BW144" s="2" t="n">
        <v>96.90000000000001</v>
      </c>
      <c r="BX144" s="2" t="n">
        <v>430</v>
      </c>
      <c r="BY144" s="2" t="n">
        <v>51</v>
      </c>
      <c r="BZ144" s="2" t="n">
        <v>11</v>
      </c>
      <c r="CA144" s="2" t="n">
        <v>62</v>
      </c>
      <c r="CF144" s="2" t="n">
        <v>125</v>
      </c>
      <c r="CG144" s="2" t="n">
        <v>125</v>
      </c>
      <c r="CH144" s="2" t="n">
        <v>31</v>
      </c>
      <c r="CN144" s="2" t="n">
        <v>53</v>
      </c>
      <c r="CO144" s="2" t="n">
        <v>335</v>
      </c>
      <c r="CP144" s="2" t="n">
        <v>300</v>
      </c>
      <c r="CQ144" s="2" t="n">
        <v>35</v>
      </c>
      <c r="CR144" s="2" t="inlineStr">
        <is>
          <t>NA</t>
        </is>
      </c>
      <c r="CS144" s="2" t="n">
        <v>70</v>
      </c>
      <c r="CT144" s="2" t="n">
        <v>45</v>
      </c>
      <c r="CU144" s="2" t="n">
        <v>25</v>
      </c>
      <c r="CV144" s="2" t="n">
        <v>49</v>
      </c>
      <c r="CW144" s="2" t="n">
        <v>14</v>
      </c>
      <c r="CX144" s="2" t="n">
        <v>35</v>
      </c>
      <c r="CY144" s="2" t="inlineStr">
        <is>
          <t>NA</t>
        </is>
      </c>
      <c r="CZ144" s="2" t="n">
        <v>100</v>
      </c>
      <c r="DA144" s="2" t="n">
        <v>37.2</v>
      </c>
      <c r="DB144" s="2" t="n">
        <v>35</v>
      </c>
      <c r="DC144" s="2" t="n">
        <v>2.2</v>
      </c>
      <c r="DG144" s="2" t="n">
        <v>110.1522694910956</v>
      </c>
      <c r="DI144" s="2" t="n">
        <v>562.495669338951</v>
      </c>
      <c r="DJ144" s="2" t="n">
        <v>185.8860405328964</v>
      </c>
      <c r="DK144" s="2" t="n">
        <v>538.7982226383443</v>
      </c>
      <c r="DL144" s="2" t="n">
        <v>114.7283281643162</v>
      </c>
      <c r="DM144" s="2" t="n">
        <v>218.7356045799442</v>
      </c>
      <c r="DO144" s="2" t="n">
        <v>160.8811484970839</v>
      </c>
      <c r="DP144" s="2" t="n">
        <v>190.9197050734391</v>
      </c>
      <c r="DS144" s="2" t="n">
        <v>711.2829484853804</v>
      </c>
      <c r="DT144" s="2" t="n">
        <v>2954.826457565296</v>
      </c>
      <c r="DU144" s="2" t="n">
        <v>-271.09879025494</v>
      </c>
      <c r="DV144" s="2" t="n">
        <v>0.03645756529567734</v>
      </c>
      <c r="GZ144" s="2" t="n">
        <v>960</v>
      </c>
      <c r="IN144" s="2" t="n">
        <v>75</v>
      </c>
      <c r="IY144" s="2" t="n">
        <v>47.448</v>
      </c>
      <c r="IZ144" s="2" t="n">
        <v>0.2680000000000007</v>
      </c>
      <c r="JB144" s="2" t="n">
        <v>11.325</v>
      </c>
      <c r="JC144" s="2" t="n">
        <v>-0.03499999999999837</v>
      </c>
      <c r="JE144" s="2" t="n">
        <v>1795</v>
      </c>
      <c r="JF144" s="2" t="n">
        <v>0.307383844011142</v>
      </c>
    </row>
    <row r="145">
      <c r="A145" s="1" t="n">
        <v>33451</v>
      </c>
      <c r="B145" s="2" t="n">
        <v>3119.1</v>
      </c>
      <c r="C145" s="2" t="n">
        <v>2000</v>
      </c>
      <c r="D145" s="2" t="n">
        <v>270</v>
      </c>
      <c r="E145" s="2" t="n">
        <v>700</v>
      </c>
      <c r="F145" s="2" t="n">
        <v>23.7</v>
      </c>
      <c r="G145" s="2" t="inlineStr">
        <is>
          <t>NA</t>
        </is>
      </c>
      <c r="H145" s="2" t="inlineStr">
        <is>
          <t>NA</t>
        </is>
      </c>
      <c r="I145" s="2" t="inlineStr">
        <is>
          <t>NA</t>
        </is>
      </c>
      <c r="J145" s="2" t="inlineStr">
        <is>
          <t>NA</t>
        </is>
      </c>
      <c r="K145" s="2" t="n">
        <v>1177.46025</v>
      </c>
      <c r="L145" s="2" t="n">
        <v>1775</v>
      </c>
      <c r="M145" s="2" t="n">
        <v>1525</v>
      </c>
      <c r="N145" s="2" t="n">
        <v>250</v>
      </c>
      <c r="O145" s="2" t="n">
        <v>88</v>
      </c>
      <c r="P145" s="2" t="n">
        <v>131</v>
      </c>
      <c r="Q145" s="2" t="n">
        <v>41</v>
      </c>
      <c r="R145" s="2" t="n">
        <v>90</v>
      </c>
      <c r="T145" s="2" t="n">
        <v>17.5</v>
      </c>
      <c r="U145" s="2" t="n">
        <v>21</v>
      </c>
      <c r="V145" s="2" t="n">
        <v>17</v>
      </c>
      <c r="W145" s="2" t="n">
        <v>4</v>
      </c>
      <c r="X145" s="2" t="n">
        <v>17.1</v>
      </c>
      <c r="Y145" s="2" t="n">
        <v>14</v>
      </c>
      <c r="Z145" s="2" t="n">
        <v>88.2</v>
      </c>
      <c r="AA145" s="2" t="n">
        <v>80</v>
      </c>
      <c r="AB145" s="2" t="n">
        <v>8.199999999999999</v>
      </c>
      <c r="AC145" s="2" t="inlineStr">
        <is>
          <t>NA</t>
        </is>
      </c>
      <c r="AD145" s="2" t="n">
        <v>10</v>
      </c>
      <c r="AF145" s="2" t="n">
        <v>46</v>
      </c>
      <c r="AG145" s="2" t="n">
        <v>30</v>
      </c>
      <c r="AH145" s="2" t="n">
        <v>16</v>
      </c>
      <c r="AI145" s="2" t="n">
        <v>142.6</v>
      </c>
      <c r="AL145" s="2" t="n">
        <v>133</v>
      </c>
      <c r="AM145" s="2" t="n">
        <v>85</v>
      </c>
      <c r="AN145" s="2" t="n">
        <v>48</v>
      </c>
      <c r="AO145" s="2" t="n">
        <v>2347.12275</v>
      </c>
      <c r="AP145" s="2" t="n">
        <v>300</v>
      </c>
      <c r="AQ145" s="2" t="n">
        <v>119.46153</v>
      </c>
      <c r="AR145" s="2" t="n">
        <v>41</v>
      </c>
      <c r="AS145" s="2" t="n">
        <v>125</v>
      </c>
      <c r="AT145" s="2" t="n">
        <v>120</v>
      </c>
      <c r="AU145" s="2" t="n">
        <v>65</v>
      </c>
      <c r="AV145" s="2" t="n">
        <v>60</v>
      </c>
      <c r="AY145" s="2" t="n">
        <v>12.1</v>
      </c>
      <c r="AZ145" s="2" t="inlineStr">
        <is>
          <t>NA</t>
        </is>
      </c>
      <c r="BA145" s="2" t="inlineStr">
        <is>
          <t>NA</t>
        </is>
      </c>
      <c r="BB145" s="2" t="inlineStr">
        <is>
          <t>NA</t>
        </is>
      </c>
      <c r="BD145" s="2" t="n">
        <v>111.967</v>
      </c>
      <c r="BE145" s="2" t="n">
        <v>42</v>
      </c>
      <c r="BH145" s="2" t="n">
        <v>302.13</v>
      </c>
      <c r="BK145" s="2" t="n">
        <v>172.7</v>
      </c>
      <c r="BL145" s="2" t="n">
        <v>4.2</v>
      </c>
      <c r="BM145" s="2" t="n">
        <v>479.033</v>
      </c>
      <c r="BN145" s="2" t="n">
        <v>275</v>
      </c>
      <c r="BQ145" s="2" t="n">
        <v>109</v>
      </c>
      <c r="BR145" s="2" t="n">
        <v>10</v>
      </c>
      <c r="BS145" s="2" t="n">
        <v>394</v>
      </c>
      <c r="BT145" s="2" t="inlineStr">
        <is>
          <t>NA</t>
        </is>
      </c>
      <c r="BU145" s="2" t="n">
        <v>26</v>
      </c>
      <c r="BV145" s="2" t="n">
        <v>340</v>
      </c>
      <c r="BW145" s="2" t="n">
        <v>96</v>
      </c>
      <c r="BX145" s="2" t="n">
        <v>439</v>
      </c>
      <c r="BY145" s="2" t="n">
        <v>52</v>
      </c>
      <c r="BZ145" s="2" t="n">
        <v>11</v>
      </c>
      <c r="CA145" s="2" t="n">
        <v>63</v>
      </c>
      <c r="CF145" s="2" t="n">
        <v>125</v>
      </c>
      <c r="CG145" s="2" t="n">
        <v>135</v>
      </c>
      <c r="CH145" s="2" t="n">
        <v>32</v>
      </c>
      <c r="CN145" s="2" t="n">
        <v>53</v>
      </c>
      <c r="CO145" s="2" t="n">
        <v>308</v>
      </c>
      <c r="CP145" s="2" t="n">
        <v>275</v>
      </c>
      <c r="CQ145" s="2" t="n">
        <v>33</v>
      </c>
      <c r="CR145" s="2" t="inlineStr">
        <is>
          <t>NA</t>
        </is>
      </c>
      <c r="CS145" s="2" t="n">
        <v>65</v>
      </c>
      <c r="CT145" s="2" t="n">
        <v>44</v>
      </c>
      <c r="CU145" s="2" t="n">
        <v>21</v>
      </c>
      <c r="CV145" s="2" t="n">
        <v>50</v>
      </c>
      <c r="CW145" s="2" t="n">
        <v>14</v>
      </c>
      <c r="CX145" s="2" t="n">
        <v>36</v>
      </c>
      <c r="CY145" s="2" t="inlineStr">
        <is>
          <t>NA</t>
        </is>
      </c>
      <c r="CZ145" s="2" t="n">
        <v>75</v>
      </c>
      <c r="DA145" s="2" t="n">
        <v>32.4</v>
      </c>
      <c r="DB145" s="2" t="n">
        <v>30</v>
      </c>
      <c r="DC145" s="2" t="n">
        <v>2.4</v>
      </c>
      <c r="DG145" s="2" t="n">
        <v>116.2773909142333</v>
      </c>
      <c r="DI145" s="2" t="n">
        <v>593.7737745528312</v>
      </c>
      <c r="DJ145" s="2" t="n">
        <v>196.2224101273724</v>
      </c>
      <c r="DK145" s="2" t="n">
        <v>568.758608851698</v>
      </c>
      <c r="DL145" s="2" t="n">
        <v>121.1079056703142</v>
      </c>
      <c r="DM145" s="2" t="n">
        <v>230.8986053406675</v>
      </c>
      <c r="DO145" s="2" t="n">
        <v>169.8270973530731</v>
      </c>
      <c r="DP145" s="2" t="n">
        <v>201.5359763590614</v>
      </c>
      <c r="DS145" s="2" t="n">
        <v>750.8345114791191</v>
      </c>
      <c r="DT145" s="2" t="n">
        <v>3119.132385355102</v>
      </c>
      <c r="DU145" s="2" t="n">
        <v>-286.1734956209643</v>
      </c>
      <c r="DV145" s="2" t="n">
        <v>0.03238535510172369</v>
      </c>
      <c r="GZ145" s="2" t="n">
        <v>982.8</v>
      </c>
      <c r="IN145" s="2" t="n">
        <v>60</v>
      </c>
      <c r="IY145" s="2" t="n">
        <v>47.44799999999999</v>
      </c>
      <c r="IZ145" s="2" t="n">
        <v>0.127999999999993</v>
      </c>
      <c r="JB145" s="2" t="n">
        <v>11.325</v>
      </c>
      <c r="JC145" s="2" t="n">
        <v>-0.08500000000000085</v>
      </c>
      <c r="JE145" s="2" t="n">
        <v>1775</v>
      </c>
      <c r="JF145" s="2" t="n">
        <v>0.3002918309859155</v>
      </c>
    </row>
    <row r="146">
      <c r="A146" s="1" t="n">
        <v>33482</v>
      </c>
      <c r="B146" s="2" t="n">
        <v>2966.11</v>
      </c>
      <c r="C146" s="2" t="n">
        <v>2009.3</v>
      </c>
      <c r="D146" s="2" t="n">
        <v>263</v>
      </c>
      <c r="E146" s="2" t="n">
        <v>686.6</v>
      </c>
      <c r="F146" s="2" t="n">
        <v>20</v>
      </c>
      <c r="G146" s="2" t="inlineStr">
        <is>
          <t>NA</t>
        </is>
      </c>
      <c r="H146" s="2" t="inlineStr">
        <is>
          <t>NA</t>
        </is>
      </c>
      <c r="I146" s="2" t="inlineStr">
        <is>
          <t>NA</t>
        </is>
      </c>
      <c r="J146" s="2" t="inlineStr">
        <is>
          <t>NA</t>
        </is>
      </c>
      <c r="K146" s="2" t="n">
        <v>1119.306525</v>
      </c>
      <c r="L146" s="2" t="n">
        <v>1786.3</v>
      </c>
      <c r="M146" s="2" t="n">
        <v>1518.4</v>
      </c>
      <c r="N146" s="2" t="n">
        <v>267.9</v>
      </c>
      <c r="O146" s="2" t="n">
        <v>83</v>
      </c>
      <c r="P146" s="2" t="n">
        <v>136.9</v>
      </c>
      <c r="Q146" s="2" t="n">
        <v>40.6</v>
      </c>
      <c r="R146" s="2" t="n">
        <v>96.3</v>
      </c>
      <c r="T146" s="2" t="n">
        <v>15</v>
      </c>
      <c r="U146" s="2" t="n">
        <v>21.2</v>
      </c>
      <c r="V146" s="2" t="n">
        <v>17.3</v>
      </c>
      <c r="W146" s="2" t="n">
        <v>3.9</v>
      </c>
      <c r="X146" s="2" t="n">
        <v>20</v>
      </c>
      <c r="Y146" s="2" t="n">
        <v>13.1</v>
      </c>
      <c r="Z146" s="2" t="n">
        <v>47.5</v>
      </c>
      <c r="AA146" s="2" t="n">
        <v>39.1</v>
      </c>
      <c r="AB146" s="2" t="n">
        <v>8.4</v>
      </c>
      <c r="AC146" s="2" t="inlineStr">
        <is>
          <t>NA</t>
        </is>
      </c>
      <c r="AD146" s="2" t="n">
        <v>10.5</v>
      </c>
      <c r="AF146" s="2" t="n">
        <v>40.8</v>
      </c>
      <c r="AG146" s="2" t="n">
        <v>25.3</v>
      </c>
      <c r="AH146" s="2" t="n">
        <v>15.5</v>
      </c>
      <c r="AI146" s="2" t="n">
        <v>145</v>
      </c>
      <c r="AL146" s="2" t="n">
        <v>138.2</v>
      </c>
      <c r="AM146" s="2" t="n">
        <v>86.59999999999999</v>
      </c>
      <c r="AN146" s="2" t="n">
        <v>51.6</v>
      </c>
      <c r="AO146" s="2" t="n">
        <v>2232.097775000001</v>
      </c>
      <c r="AP146" s="2" t="n">
        <v>247.4</v>
      </c>
      <c r="AQ146" s="2" t="n">
        <v>113.670013</v>
      </c>
      <c r="AR146" s="2" t="n">
        <v>37.6</v>
      </c>
      <c r="AS146" s="2" t="n">
        <v>138.6</v>
      </c>
      <c r="AT146" s="2" t="n">
        <v>93.7</v>
      </c>
      <c r="AU146" s="2" t="n">
        <v>60.2</v>
      </c>
      <c r="AV146" s="2" t="n">
        <v>51.1</v>
      </c>
      <c r="AY146" s="2" t="n">
        <v>15</v>
      </c>
      <c r="AZ146" s="2" t="inlineStr">
        <is>
          <t>NA</t>
        </is>
      </c>
      <c r="BA146" s="2" t="inlineStr">
        <is>
          <t>NA</t>
        </is>
      </c>
      <c r="BB146" s="2" t="inlineStr">
        <is>
          <t>NA</t>
        </is>
      </c>
      <c r="BD146" s="2" t="n">
        <v>111.967</v>
      </c>
      <c r="BE146" s="2" t="n">
        <v>41.2</v>
      </c>
      <c r="BH146" s="2" t="n">
        <v>302.13</v>
      </c>
      <c r="BK146" s="2" t="n">
        <v>172.7</v>
      </c>
      <c r="BL146" s="2" t="n">
        <v>4.2</v>
      </c>
      <c r="BM146" s="2" t="n">
        <v>479.033</v>
      </c>
      <c r="BN146" s="2" t="n">
        <v>281.3</v>
      </c>
      <c r="BQ146" s="2" t="n">
        <v>108.5</v>
      </c>
      <c r="BR146" s="2" t="n">
        <v>10.4</v>
      </c>
      <c r="BS146" s="2" t="n">
        <v>400.2</v>
      </c>
      <c r="BT146" s="2" t="inlineStr">
        <is>
          <t>NA</t>
        </is>
      </c>
      <c r="BU146" s="2" t="n">
        <v>24.1</v>
      </c>
      <c r="BV146" s="2" t="n">
        <v>358.7</v>
      </c>
      <c r="BW146" s="2" t="n">
        <v>96</v>
      </c>
      <c r="BX146" s="2" t="n">
        <v>459.7</v>
      </c>
      <c r="BY146" s="2" t="n">
        <v>55.9</v>
      </c>
      <c r="BZ146" s="2" t="n">
        <v>11.6</v>
      </c>
      <c r="CA146" s="2" t="n">
        <v>67.5</v>
      </c>
      <c r="CF146" s="2" t="n">
        <v>125</v>
      </c>
      <c r="CG146" s="2" t="n">
        <v>140.4</v>
      </c>
      <c r="CH146" s="2" t="n">
        <v>33.9</v>
      </c>
      <c r="CN146" s="2" t="n">
        <v>53.6</v>
      </c>
      <c r="CO146" s="2" t="n">
        <v>279.3</v>
      </c>
      <c r="CP146" s="2" t="n">
        <v>247.6</v>
      </c>
      <c r="CQ146" s="2" t="n">
        <v>31.7</v>
      </c>
      <c r="CR146" s="2" t="inlineStr">
        <is>
          <t>NA</t>
        </is>
      </c>
      <c r="CS146" s="2" t="n">
        <v>60.59999999999999</v>
      </c>
      <c r="CT146" s="2" t="n">
        <v>42.8</v>
      </c>
      <c r="CU146" s="2" t="n">
        <v>17.8</v>
      </c>
      <c r="CV146" s="2" t="n">
        <v>52.2</v>
      </c>
      <c r="CW146" s="2" t="n">
        <v>14.6</v>
      </c>
      <c r="CX146" s="2" t="n">
        <v>37.6</v>
      </c>
      <c r="CY146" s="2" t="inlineStr">
        <is>
          <t>NA</t>
        </is>
      </c>
      <c r="CZ146" s="2" t="n">
        <v>54.2</v>
      </c>
      <c r="DA146" s="2" t="n">
        <v>28</v>
      </c>
      <c r="DB146" s="2" t="n">
        <v>25.5</v>
      </c>
      <c r="DC146" s="2" t="n">
        <v>2.5</v>
      </c>
      <c r="DG146" s="2" t="n">
        <v>110.570339594671</v>
      </c>
      <c r="DI146" s="2" t="n">
        <v>564.630556108218</v>
      </c>
      <c r="DJ146" s="2" t="n">
        <v>186.5915493397312</v>
      </c>
      <c r="DK146" s="2" t="n">
        <v>540.8431685099579</v>
      </c>
      <c r="DL146" s="2" t="n">
        <v>115.1637661653695</v>
      </c>
      <c r="DM146" s="2" t="n">
        <v>219.5657900793883</v>
      </c>
      <c r="DO146" s="2" t="n">
        <v>161.491754149843</v>
      </c>
      <c r="DP146" s="2" t="n">
        <v>191.6443185674995</v>
      </c>
      <c r="DS146" s="2" t="n">
        <v>713.9825400355003</v>
      </c>
      <c r="DT146" s="2" t="n">
        <v>2966.041157079603</v>
      </c>
      <c r="DU146" s="2" t="n">
        <v>-272.1277141240948</v>
      </c>
      <c r="DV146" s="2" t="n">
        <v>-0.06884292039740103</v>
      </c>
      <c r="GZ146" s="2" t="n">
        <v>1010</v>
      </c>
      <c r="IN146" s="2" t="n">
        <v>68.90000000000001</v>
      </c>
      <c r="IY146" s="2" t="n">
        <v>47.45139839048452</v>
      </c>
      <c r="IZ146" s="2" t="n">
        <v>0.04139839048452387</v>
      </c>
      <c r="JB146" s="2" t="n">
        <v>11.32095429704226</v>
      </c>
      <c r="JC146" s="2" t="n">
        <v>-0.1090457029577436</v>
      </c>
      <c r="JE146" s="2" t="n">
        <v>1786.3</v>
      </c>
      <c r="JF146" s="2" t="n">
        <v>0.2861568605497397</v>
      </c>
    </row>
    <row r="147">
      <c r="A147" s="1" t="n">
        <v>33512</v>
      </c>
      <c r="B147" s="2" t="n">
        <v>3333.15</v>
      </c>
      <c r="C147" s="2" t="n">
        <v>2800</v>
      </c>
      <c r="D147" s="2" t="n">
        <v>350</v>
      </c>
      <c r="E147" s="2" t="n">
        <v>1400</v>
      </c>
      <c r="F147" s="2" t="n">
        <v>22</v>
      </c>
      <c r="G147" s="2" t="inlineStr">
        <is>
          <t>NA</t>
        </is>
      </c>
      <c r="H147" s="2" t="inlineStr">
        <is>
          <t>NA</t>
        </is>
      </c>
      <c r="I147" s="2" t="inlineStr">
        <is>
          <t>NA</t>
        </is>
      </c>
      <c r="J147" s="2" t="inlineStr">
        <is>
          <t>NA</t>
        </is>
      </c>
      <c r="K147" s="2" t="n">
        <v>1257.26418</v>
      </c>
      <c r="L147" s="2" t="n">
        <v>1965</v>
      </c>
      <c r="M147" s="2" t="n">
        <v>1700</v>
      </c>
      <c r="N147" s="2" t="n">
        <v>265</v>
      </c>
      <c r="O147" s="2" t="n">
        <v>122</v>
      </c>
      <c r="P147" s="2" t="n">
        <v>140</v>
      </c>
      <c r="Q147" s="2" t="n">
        <v>45</v>
      </c>
      <c r="R147" s="2" t="n">
        <v>95</v>
      </c>
      <c r="T147" s="2" t="n">
        <v>19</v>
      </c>
      <c r="U147" s="2" t="n">
        <v>23.5</v>
      </c>
      <c r="V147" s="2" t="n">
        <v>20</v>
      </c>
      <c r="W147" s="2" t="n">
        <v>3.5</v>
      </c>
      <c r="X147" s="2" t="n">
        <v>60</v>
      </c>
      <c r="Y147" s="2" t="n">
        <v>11</v>
      </c>
      <c r="Z147" s="2" t="n">
        <v>85</v>
      </c>
      <c r="AA147" s="2" t="n">
        <v>75</v>
      </c>
      <c r="AB147" s="2" t="n">
        <v>10</v>
      </c>
      <c r="AC147" s="2" t="inlineStr">
        <is>
          <t>NA</t>
        </is>
      </c>
      <c r="AD147" s="2" t="n">
        <v>17</v>
      </c>
      <c r="AF147" s="2" t="n">
        <v>55</v>
      </c>
      <c r="AG147" s="2" t="n">
        <v>35</v>
      </c>
      <c r="AH147" s="2" t="n">
        <v>20</v>
      </c>
      <c r="AI147" s="2" t="n">
        <v>145</v>
      </c>
      <c r="AL147" s="2" t="n">
        <v>130</v>
      </c>
      <c r="AM147" s="2" t="n">
        <v>80</v>
      </c>
      <c r="AN147" s="2" t="n">
        <v>50</v>
      </c>
      <c r="AO147" s="2" t="n">
        <v>2514.195045</v>
      </c>
      <c r="AP147" s="2" t="n">
        <v>240</v>
      </c>
      <c r="AQ147" s="2" t="n">
        <v>125.659755</v>
      </c>
      <c r="AR147" s="2" t="n">
        <v>36</v>
      </c>
      <c r="AS147" s="2" t="n">
        <v>153.9</v>
      </c>
      <c r="AT147" s="2" t="n">
        <v>60</v>
      </c>
      <c r="AU147" s="2" t="n">
        <v>90</v>
      </c>
      <c r="AV147" s="2" t="n">
        <v>50</v>
      </c>
      <c r="AY147" s="2" t="n">
        <v>25</v>
      </c>
      <c r="AZ147" s="2" t="inlineStr">
        <is>
          <t>NA</t>
        </is>
      </c>
      <c r="BA147" s="2" t="inlineStr">
        <is>
          <t>NA</t>
        </is>
      </c>
      <c r="BB147" s="2" t="inlineStr">
        <is>
          <t>NA</t>
        </is>
      </c>
      <c r="BD147" s="2" t="n">
        <v>115.367</v>
      </c>
      <c r="BE147" s="2" t="n">
        <v>40</v>
      </c>
      <c r="BH147" s="2" t="n">
        <v>315.9</v>
      </c>
      <c r="BK147" s="2" t="n">
        <v>173.03</v>
      </c>
      <c r="BL147" s="2" t="n">
        <v>4.267</v>
      </c>
      <c r="BM147" s="2" t="n">
        <v>493.2</v>
      </c>
      <c r="BN147" s="2" t="n">
        <v>300</v>
      </c>
      <c r="BQ147" s="2" t="n">
        <v>115</v>
      </c>
      <c r="BR147" s="2" t="n">
        <v>10.5</v>
      </c>
      <c r="BS147" s="2" t="n">
        <v>425.5</v>
      </c>
      <c r="BT147" s="2" t="inlineStr">
        <is>
          <t>NA</t>
        </is>
      </c>
      <c r="BU147" s="2" t="n">
        <v>29</v>
      </c>
      <c r="BV147" s="2" t="n">
        <v>357.5</v>
      </c>
      <c r="BW147" s="2" t="n">
        <v>100</v>
      </c>
      <c r="BX147" s="2" t="n">
        <v>461.3</v>
      </c>
      <c r="BY147" s="2" t="n">
        <v>58</v>
      </c>
      <c r="BZ147" s="2" t="n">
        <v>12</v>
      </c>
      <c r="CA147" s="2" t="n">
        <v>70</v>
      </c>
      <c r="CF147" s="2" t="n">
        <v>114.23</v>
      </c>
      <c r="CG147" s="2" t="n">
        <v>137</v>
      </c>
      <c r="CH147" s="2" t="n">
        <v>35</v>
      </c>
      <c r="CN147" s="2" t="n">
        <v>48</v>
      </c>
      <c r="CO147" s="2" t="n">
        <v>280</v>
      </c>
      <c r="CP147" s="2" t="n">
        <v>240</v>
      </c>
      <c r="CQ147" s="2" t="n">
        <v>40</v>
      </c>
      <c r="CR147" s="2" t="inlineStr">
        <is>
          <t>NA</t>
        </is>
      </c>
      <c r="CS147" s="2" t="n">
        <v>61.8</v>
      </c>
      <c r="CT147" s="2" t="n">
        <v>42.8</v>
      </c>
      <c r="CU147" s="2" t="n">
        <v>19</v>
      </c>
      <c r="CV147" s="2" t="n">
        <v>43</v>
      </c>
      <c r="CW147" s="2" t="n">
        <v>13</v>
      </c>
      <c r="CX147" s="2" t="n">
        <v>30</v>
      </c>
      <c r="CY147" s="2" t="inlineStr">
        <is>
          <t>NA</t>
        </is>
      </c>
      <c r="CZ147" s="2" t="n">
        <v>65</v>
      </c>
      <c r="DA147" s="2" t="n">
        <v>27</v>
      </c>
      <c r="DB147" s="2" t="n">
        <v>24</v>
      </c>
      <c r="DC147" s="2" t="n">
        <v>3</v>
      </c>
      <c r="DG147" s="2" t="n">
        <v>107.9248175470433</v>
      </c>
      <c r="DI147" s="2" t="n">
        <v>660.5145488973924</v>
      </c>
      <c r="DJ147" s="2" t="n">
        <v>220.8159098978263</v>
      </c>
      <c r="DK147" s="2" t="n">
        <v>589.7201349165647</v>
      </c>
      <c r="DL147" s="2" t="n">
        <v>144.0553000118348</v>
      </c>
      <c r="DM147" s="2" t="n">
        <v>222.0091490788591</v>
      </c>
      <c r="DO147" s="2" t="n">
        <v>193.4514024221863</v>
      </c>
      <c r="DP147" s="2" t="n">
        <v>222.8490828040554</v>
      </c>
      <c r="DS147" s="2" t="n">
        <v>805.4697779005089</v>
      </c>
      <c r="DT147" s="2" t="n">
        <v>3333.17033019054</v>
      </c>
      <c r="DU147" s="2" t="n">
        <v>-274.2850242613122</v>
      </c>
      <c r="DV147" s="2" t="n">
        <v>0.02033019053988028</v>
      </c>
      <c r="GZ147" s="2" t="n">
        <v>980</v>
      </c>
      <c r="IN147" s="2" t="n">
        <v>80</v>
      </c>
      <c r="IY147" s="2" t="n">
        <v>47.52</v>
      </c>
      <c r="IZ147" s="2" t="n">
        <v>0.09999999999999432</v>
      </c>
      <c r="JB147" s="2" t="n">
        <v>11.316</v>
      </c>
      <c r="JC147" s="2" t="n">
        <v>-0.1140000000000008</v>
      </c>
      <c r="JE147" s="2" t="n">
        <v>1965</v>
      </c>
      <c r="JF147" s="2" t="n">
        <v>0.284634096692112</v>
      </c>
    </row>
    <row r="148">
      <c r="A148" s="1" t="n">
        <v>33543</v>
      </c>
      <c r="B148" s="2" t="n">
        <v>3312.6</v>
      </c>
      <c r="C148" s="2" t="n">
        <v>3300</v>
      </c>
      <c r="D148" s="2" t="n">
        <v>385</v>
      </c>
      <c r="E148" s="2" t="n">
        <v>2000</v>
      </c>
      <c r="F148" s="2" t="n">
        <v>22.7</v>
      </c>
      <c r="G148" s="2" t="inlineStr">
        <is>
          <t>NA</t>
        </is>
      </c>
      <c r="H148" s="2" t="inlineStr">
        <is>
          <t>NA</t>
        </is>
      </c>
      <c r="I148" s="2" t="inlineStr">
        <is>
          <t>NA</t>
        </is>
      </c>
      <c r="J148" s="2" t="inlineStr">
        <is>
          <t>NA</t>
        </is>
      </c>
      <c r="K148" s="2" t="n">
        <v>1249.51272</v>
      </c>
      <c r="L148" s="2" t="n">
        <v>2112</v>
      </c>
      <c r="M148" s="2" t="n">
        <v>1850</v>
      </c>
      <c r="N148" s="2" t="n">
        <v>262</v>
      </c>
      <c r="O148" s="2" t="n">
        <v>134.9</v>
      </c>
      <c r="P148" s="2" t="n">
        <v>150</v>
      </c>
      <c r="Q148" s="2" t="n">
        <v>55</v>
      </c>
      <c r="R148" s="2" t="n">
        <v>95</v>
      </c>
      <c r="T148" s="2" t="n">
        <v>20</v>
      </c>
      <c r="U148" s="2" t="n">
        <v>28.5</v>
      </c>
      <c r="V148" s="2" t="n">
        <v>25</v>
      </c>
      <c r="W148" s="2" t="n">
        <v>3.5</v>
      </c>
      <c r="X148" s="2" t="n">
        <v>90</v>
      </c>
      <c r="Y148" s="2" t="n">
        <v>10.4</v>
      </c>
      <c r="Z148" s="2" t="n">
        <v>147</v>
      </c>
      <c r="AA148" s="2" t="n">
        <v>135</v>
      </c>
      <c r="AB148" s="2" t="n">
        <v>12</v>
      </c>
      <c r="AC148" s="2" t="inlineStr">
        <is>
          <t>NA</t>
        </is>
      </c>
      <c r="AD148" s="2" t="n">
        <v>17</v>
      </c>
      <c r="AF148" s="2" t="n">
        <v>70</v>
      </c>
      <c r="AG148" s="2" t="n">
        <v>45</v>
      </c>
      <c r="AH148" s="2" t="n">
        <v>25</v>
      </c>
      <c r="AI148" s="2" t="n">
        <v>141.7</v>
      </c>
      <c r="AL148" s="2" t="n">
        <v>128</v>
      </c>
      <c r="AM148" s="2" t="n">
        <v>80</v>
      </c>
      <c r="AN148" s="2" t="n">
        <v>48</v>
      </c>
      <c r="AO148" s="2" t="n">
        <v>2498.69418</v>
      </c>
      <c r="AP148" s="2" t="n">
        <v>240</v>
      </c>
      <c r="AQ148" s="2" t="n">
        <v>124.88502</v>
      </c>
      <c r="AR148" s="2" t="n">
        <v>36</v>
      </c>
      <c r="AS148" s="2" t="n">
        <v>180</v>
      </c>
      <c r="AT148" s="2" t="n">
        <v>40</v>
      </c>
      <c r="AU148" s="2" t="n">
        <v>100</v>
      </c>
      <c r="AV148" s="2" t="n">
        <v>49</v>
      </c>
      <c r="AY148" s="2" t="n">
        <v>55</v>
      </c>
      <c r="AZ148" s="2" t="inlineStr">
        <is>
          <t>NA</t>
        </is>
      </c>
      <c r="BA148" s="2" t="inlineStr">
        <is>
          <t>NA</t>
        </is>
      </c>
      <c r="BB148" s="2" t="inlineStr">
        <is>
          <t>NA</t>
        </is>
      </c>
      <c r="BD148" s="2" t="n">
        <v>115.367</v>
      </c>
      <c r="BE148" s="2" t="n">
        <v>39</v>
      </c>
      <c r="BH148" s="2" t="n">
        <v>315.9</v>
      </c>
      <c r="BK148" s="2" t="n">
        <v>173.03</v>
      </c>
      <c r="BL148" s="2" t="n">
        <v>4.267</v>
      </c>
      <c r="BM148" s="2" t="n">
        <v>493.2</v>
      </c>
      <c r="BN148" s="2" t="n">
        <v>320</v>
      </c>
      <c r="BQ148" s="2" t="n">
        <v>125</v>
      </c>
      <c r="BR148" s="2" t="n">
        <v>11</v>
      </c>
      <c r="BS148" s="2" t="n">
        <v>456</v>
      </c>
      <c r="BT148" s="2" t="inlineStr">
        <is>
          <t>NA</t>
        </is>
      </c>
      <c r="BU148" s="2" t="n">
        <v>33</v>
      </c>
      <c r="BV148" s="2" t="n">
        <v>360</v>
      </c>
      <c r="BW148" s="2" t="n">
        <v>105</v>
      </c>
      <c r="BX148" s="2" t="n">
        <v>469</v>
      </c>
      <c r="BY148" s="2" t="n">
        <v>60</v>
      </c>
      <c r="BZ148" s="2" t="n">
        <v>12</v>
      </c>
      <c r="CA148" s="2" t="n">
        <v>72</v>
      </c>
      <c r="CF148" s="2" t="n">
        <v>114.23</v>
      </c>
      <c r="CG148" s="2" t="n">
        <v>135</v>
      </c>
      <c r="CH148" s="2" t="n">
        <v>35</v>
      </c>
      <c r="CN148" s="2" t="n">
        <v>48</v>
      </c>
      <c r="CO148" s="2" t="n">
        <v>285</v>
      </c>
      <c r="CP148" s="2" t="n">
        <v>230</v>
      </c>
      <c r="CQ148" s="2" t="n">
        <v>55</v>
      </c>
      <c r="CR148" s="2" t="inlineStr">
        <is>
          <t>NA</t>
        </is>
      </c>
      <c r="CS148" s="2" t="n">
        <v>62.8</v>
      </c>
      <c r="CT148" s="2" t="n">
        <v>42.8</v>
      </c>
      <c r="CU148" s="2" t="n">
        <v>20</v>
      </c>
      <c r="CV148" s="2" t="n">
        <v>37</v>
      </c>
      <c r="CW148" s="2" t="n">
        <v>12</v>
      </c>
      <c r="CX148" s="2" t="n">
        <v>25</v>
      </c>
      <c r="CY148" s="2" t="inlineStr">
        <is>
          <t>NA</t>
        </is>
      </c>
      <c r="CZ148" s="2" t="n">
        <v>75</v>
      </c>
      <c r="DA148" s="2" t="n">
        <v>27</v>
      </c>
      <c r="DB148" s="2" t="n">
        <v>23</v>
      </c>
      <c r="DC148" s="2" t="n">
        <v>4</v>
      </c>
      <c r="DG148" s="2" t="n">
        <v>107.2594249728338</v>
      </c>
      <c r="DI148" s="2" t="n">
        <v>656.4422559254624</v>
      </c>
      <c r="DJ148" s="2" t="n">
        <v>219.4545060052575</v>
      </c>
      <c r="DK148" s="2" t="n">
        <v>586.0843131699654</v>
      </c>
      <c r="DL148" s="2" t="n">
        <v>143.167150936562</v>
      </c>
      <c r="DM148" s="2" t="n">
        <v>220.6403884678973</v>
      </c>
      <c r="DO148" s="2" t="n">
        <v>192.2587098648324</v>
      </c>
      <c r="DP148" s="2" t="n">
        <v>221.4751437209286</v>
      </c>
      <c r="DS148" s="2" t="n">
        <v>800.5037874902721</v>
      </c>
      <c r="DT148" s="2" t="n">
        <v>3312.620220987738</v>
      </c>
      <c r="DU148" s="2" t="n">
        <v>-272.5939654065605</v>
      </c>
      <c r="DV148" s="2" t="n">
        <v>0.02022098773841208</v>
      </c>
      <c r="GZ148" s="2" t="n">
        <v>975</v>
      </c>
      <c r="IN148" s="2" t="n">
        <v>95</v>
      </c>
      <c r="IY148" s="2" t="n">
        <v>47.52</v>
      </c>
      <c r="IZ148" s="2" t="n">
        <v>-0.05999999999999517</v>
      </c>
      <c r="JB148" s="2" t="n">
        <v>11.316</v>
      </c>
      <c r="JC148" s="2" t="n">
        <v>-0.02400000000000091</v>
      </c>
      <c r="JE148" s="2" t="n">
        <v>2112</v>
      </c>
      <c r="JF148" s="2" t="n">
        <v>0.2971316287878788</v>
      </c>
    </row>
    <row r="149">
      <c r="A149" s="1" t="n">
        <v>33573</v>
      </c>
      <c r="B149" s="2" t="n">
        <v>3354.55</v>
      </c>
      <c r="C149" s="2" t="n">
        <v>3806.5</v>
      </c>
      <c r="D149" s="2" t="n">
        <v>410.2</v>
      </c>
      <c r="E149" s="2" t="n">
        <v>2380.5</v>
      </c>
      <c r="F149" s="2" t="n">
        <v>24</v>
      </c>
      <c r="G149" s="2" t="inlineStr">
        <is>
          <t>NA</t>
        </is>
      </c>
      <c r="H149" s="2" t="inlineStr">
        <is>
          <t>NA</t>
        </is>
      </c>
      <c r="I149" s="2" t="inlineStr">
        <is>
          <t>NA</t>
        </is>
      </c>
      <c r="J149" s="2" t="inlineStr">
        <is>
          <t>NA</t>
        </is>
      </c>
      <c r="K149" s="2" t="n">
        <v>1265.2231</v>
      </c>
      <c r="L149" s="2" t="n">
        <v>2215.7</v>
      </c>
      <c r="M149" s="2" t="n">
        <v>1955.9</v>
      </c>
      <c r="N149" s="2" t="n">
        <v>259.8</v>
      </c>
      <c r="O149" s="2" t="n">
        <v>142</v>
      </c>
      <c r="P149" s="2" t="n">
        <v>163.3</v>
      </c>
      <c r="Q149" s="2" t="n">
        <v>68.8</v>
      </c>
      <c r="R149" s="2" t="n">
        <v>94.5</v>
      </c>
      <c r="T149" s="2" t="n">
        <v>21.1</v>
      </c>
      <c r="U149" s="2" t="n">
        <v>30.6</v>
      </c>
      <c r="V149" s="2" t="n">
        <v>27.5</v>
      </c>
      <c r="W149" s="2" t="n">
        <v>3.1</v>
      </c>
      <c r="X149" s="2" t="n">
        <v>85.8</v>
      </c>
      <c r="Y149" s="2" t="n">
        <v>10</v>
      </c>
      <c r="Z149" s="2" t="n">
        <v>199.2</v>
      </c>
      <c r="AA149" s="2" t="n">
        <v>185.7</v>
      </c>
      <c r="AB149" s="2" t="n">
        <v>13.5</v>
      </c>
      <c r="AC149" s="2" t="inlineStr">
        <is>
          <t>NA</t>
        </is>
      </c>
      <c r="AD149" s="2" t="n">
        <v>17.6</v>
      </c>
      <c r="AF149" s="2" t="n">
        <v>82.7</v>
      </c>
      <c r="AG149" s="2" t="n">
        <v>56.7</v>
      </c>
      <c r="AH149" s="2" t="n">
        <v>26</v>
      </c>
      <c r="AI149" s="2" t="n">
        <v>150</v>
      </c>
      <c r="AL149" s="2" t="n">
        <v>123.6</v>
      </c>
      <c r="AM149" s="2" t="n">
        <v>75.90000000000001</v>
      </c>
      <c r="AN149" s="2" t="n">
        <v>47.7</v>
      </c>
      <c r="AO149" s="2" t="n">
        <v>2530.510774999999</v>
      </c>
      <c r="AP149" s="2" t="n">
        <v>244.6</v>
      </c>
      <c r="AQ149" s="2" t="n">
        <v>126.455225</v>
      </c>
      <c r="AR149" s="2" t="n">
        <v>36.4</v>
      </c>
      <c r="AS149" s="2" t="n">
        <v>200</v>
      </c>
      <c r="AT149" s="2" t="n">
        <v>35.5</v>
      </c>
      <c r="AU149" s="2" t="n">
        <v>111</v>
      </c>
      <c r="AV149" s="2" t="n">
        <v>47.1</v>
      </c>
      <c r="AY149" s="2" t="n">
        <v>67.59999999999999</v>
      </c>
      <c r="AZ149" s="2" t="inlineStr">
        <is>
          <t>NA</t>
        </is>
      </c>
      <c r="BA149" s="2" t="inlineStr">
        <is>
          <t>NA</t>
        </is>
      </c>
      <c r="BB149" s="2" t="inlineStr">
        <is>
          <t>NA</t>
        </is>
      </c>
      <c r="BD149" s="2" t="n">
        <v>115.367</v>
      </c>
      <c r="BE149" s="2" t="n">
        <v>38.7</v>
      </c>
      <c r="BH149" s="2" t="n">
        <v>315.9</v>
      </c>
      <c r="BK149" s="2" t="n">
        <v>173.03</v>
      </c>
      <c r="BL149" s="2" t="n">
        <v>4.267</v>
      </c>
      <c r="BM149" s="2" t="n">
        <v>493.2</v>
      </c>
      <c r="BN149" s="2" t="n">
        <v>348.7</v>
      </c>
      <c r="BQ149" s="2" t="n">
        <v>136.3</v>
      </c>
      <c r="BR149" s="2" t="n">
        <v>11.3</v>
      </c>
      <c r="BS149" s="2" t="n">
        <v>496.3</v>
      </c>
      <c r="BT149" s="2" t="inlineStr">
        <is>
          <t>NA</t>
        </is>
      </c>
      <c r="BU149" s="2" t="n">
        <v>37.4</v>
      </c>
      <c r="BV149" s="2" t="n">
        <v>360</v>
      </c>
      <c r="BW149" s="2" t="n">
        <v>103.2</v>
      </c>
      <c r="BX149" s="2" t="n">
        <v>467</v>
      </c>
      <c r="BY149" s="2" t="n">
        <v>65.3</v>
      </c>
      <c r="BZ149" s="2" t="n">
        <v>12.9</v>
      </c>
      <c r="CA149" s="2" t="n">
        <v>78.2</v>
      </c>
      <c r="CF149" s="2" t="n">
        <v>114.23</v>
      </c>
      <c r="CG149" s="2" t="n">
        <v>134.6</v>
      </c>
      <c r="CH149" s="2" t="n">
        <v>36</v>
      </c>
      <c r="CN149" s="2" t="n">
        <v>47.4</v>
      </c>
      <c r="CO149" s="2" t="n">
        <v>298</v>
      </c>
      <c r="CP149" s="2" t="n">
        <v>230.5</v>
      </c>
      <c r="CQ149" s="2" t="n">
        <v>67.5</v>
      </c>
      <c r="CR149" s="2" t="inlineStr">
        <is>
          <t>NA</t>
        </is>
      </c>
      <c r="CS149" s="2" t="n">
        <v>64.19999999999999</v>
      </c>
      <c r="CT149" s="2" t="n">
        <v>42.8</v>
      </c>
      <c r="CU149" s="2" t="n">
        <v>21.4</v>
      </c>
      <c r="CV149" s="2" t="n">
        <v>33</v>
      </c>
      <c r="CW149" s="2" t="n">
        <v>11.4</v>
      </c>
      <c r="CX149" s="2" t="n">
        <v>21.6</v>
      </c>
      <c r="CY149" s="2" t="inlineStr">
        <is>
          <t>NA</t>
        </is>
      </c>
      <c r="CZ149" s="2" t="n">
        <v>86.40000000000001</v>
      </c>
      <c r="DA149" s="2" t="n">
        <v>26.4</v>
      </c>
      <c r="DB149" s="2" t="n">
        <v>22</v>
      </c>
      <c r="DC149" s="2" t="n">
        <v>4.4</v>
      </c>
      <c r="DG149" s="2" t="n">
        <v>108.6157574801229</v>
      </c>
      <c r="DI149" s="2" t="n">
        <v>664.7431951771453</v>
      </c>
      <c r="DJ149" s="2" t="n">
        <v>222.2295840969161</v>
      </c>
      <c r="DK149" s="2" t="n">
        <v>593.49555191347</v>
      </c>
      <c r="DL149" s="2" t="n">
        <v>144.9775490516032</v>
      </c>
      <c r="DM149" s="2" t="n">
        <v>223.4304624532436</v>
      </c>
      <c r="DO149" s="2" t="n">
        <v>194.6898877129813</v>
      </c>
      <c r="DP149" s="2" t="n">
        <v>224.2757734750161</v>
      </c>
      <c r="DS149" s="2" t="n">
        <v>810.6264346092189</v>
      </c>
      <c r="DT149" s="2" t="n">
        <v>3354.509448821721</v>
      </c>
      <c r="DU149" s="2" t="n">
        <v>-276.0410103321265</v>
      </c>
      <c r="DV149" s="2" t="n">
        <v>-0.0405511782787471</v>
      </c>
      <c r="GZ149" s="2" t="n">
        <v>963.1</v>
      </c>
      <c r="IN149" s="2" t="n">
        <v>100</v>
      </c>
      <c r="IY149" s="2" t="n">
        <v>47.52290471151122</v>
      </c>
      <c r="IZ149" s="2" t="n">
        <v>-0.03709528848877852</v>
      </c>
      <c r="JB149" s="2" t="n">
        <v>11.31498800137127</v>
      </c>
      <c r="JC149" s="2" t="n">
        <v>-0.07501199862872809</v>
      </c>
      <c r="JE149" s="2" t="n">
        <v>2215.7</v>
      </c>
      <c r="JF149" s="2" t="n">
        <v>0.3446897143115042</v>
      </c>
    </row>
    <row r="150">
      <c r="A150" s="1" t="n">
        <v>33604</v>
      </c>
      <c r="B150" s="2" t="n">
        <v>3361.2</v>
      </c>
      <c r="C150" s="2" t="n">
        <v>3641</v>
      </c>
      <c r="D150" s="2" t="n">
        <v>420.6</v>
      </c>
      <c r="E150" s="2" t="n">
        <v>2291.6</v>
      </c>
      <c r="F150" s="2" t="n">
        <v>34.6</v>
      </c>
      <c r="G150" s="2" t="n">
        <v>111.5</v>
      </c>
      <c r="H150" s="2" t="n">
        <v>124.4</v>
      </c>
      <c r="I150" s="2" t="inlineStr">
        <is>
          <t>NA</t>
        </is>
      </c>
      <c r="J150" s="2" t="inlineStr">
        <is>
          <t>NA</t>
        </is>
      </c>
      <c r="K150" s="2" t="n">
        <v>1270</v>
      </c>
      <c r="L150" s="2" t="n">
        <v>2159.5</v>
      </c>
      <c r="M150" s="2" t="n">
        <v>1915.8</v>
      </c>
      <c r="N150" s="2" t="n">
        <v>243.7</v>
      </c>
      <c r="O150" s="2" t="n">
        <v>137.4</v>
      </c>
      <c r="P150" s="2" t="n">
        <v>193.1</v>
      </c>
      <c r="Q150" s="2" t="n">
        <v>88.09999999999999</v>
      </c>
      <c r="R150" s="2" t="n">
        <v>105</v>
      </c>
      <c r="T150" s="2" t="n">
        <v>28</v>
      </c>
      <c r="U150" s="2" t="n">
        <v>38.09999999999999</v>
      </c>
      <c r="V150" s="2" t="n">
        <v>33.3</v>
      </c>
      <c r="W150" s="2" t="n">
        <v>4.8</v>
      </c>
      <c r="X150" s="2" t="n">
        <v>96.2</v>
      </c>
      <c r="Y150" s="2" t="n">
        <v>6.7</v>
      </c>
      <c r="Z150" s="2" t="n">
        <v>209.9</v>
      </c>
      <c r="AA150" s="2" t="n">
        <v>195.1</v>
      </c>
      <c r="AB150" s="2" t="n">
        <v>14.8</v>
      </c>
      <c r="AC150" s="2" t="inlineStr">
        <is>
          <t>NA</t>
        </is>
      </c>
      <c r="AD150" s="2" t="n">
        <v>14.3</v>
      </c>
      <c r="AF150" s="2" t="n">
        <v>101.4</v>
      </c>
      <c r="AG150" s="2" t="n">
        <v>68.90000000000001</v>
      </c>
      <c r="AH150" s="2" t="n">
        <v>32.5</v>
      </c>
      <c r="AI150" s="2" t="n">
        <v>138.1</v>
      </c>
      <c r="AL150" s="2" t="n">
        <v>116.3</v>
      </c>
      <c r="AM150" s="2" t="n">
        <v>70.09999999999999</v>
      </c>
      <c r="AN150" s="2" t="n">
        <v>46.2</v>
      </c>
      <c r="AO150" s="2" t="n">
        <v>2525.3</v>
      </c>
      <c r="AP150" s="2" t="n">
        <v>224.3</v>
      </c>
      <c r="AQ150" s="2" t="n">
        <v>140.2</v>
      </c>
      <c r="AR150" s="2" t="n">
        <v>34</v>
      </c>
      <c r="AS150" s="2" t="n">
        <v>192.6</v>
      </c>
      <c r="AT150" s="2" t="n">
        <v>43.7</v>
      </c>
      <c r="AU150" s="2" t="n">
        <v>110.5</v>
      </c>
      <c r="AV150" s="2" t="n">
        <v>46.5</v>
      </c>
      <c r="AW150" s="2" t="n">
        <v>19</v>
      </c>
      <c r="AX150" s="2" t="n">
        <v>5</v>
      </c>
      <c r="AY150" s="2" t="n">
        <v>53.1</v>
      </c>
      <c r="AZ150" s="2" t="n">
        <v>9.6</v>
      </c>
      <c r="BA150" s="2" t="n">
        <v>0.2</v>
      </c>
      <c r="BB150" s="2" t="n">
        <v>0.1</v>
      </c>
      <c r="BD150" s="2" t="n">
        <v>121.8</v>
      </c>
      <c r="BE150" s="2" t="n">
        <v>53.1</v>
      </c>
      <c r="BH150" s="2" t="n">
        <v>316.2</v>
      </c>
      <c r="BK150" s="2" t="n">
        <v>179.7</v>
      </c>
      <c r="BL150" s="2" t="n">
        <v>4</v>
      </c>
      <c r="BM150" s="2" t="n">
        <v>499.9</v>
      </c>
      <c r="BN150" s="2" t="n">
        <v>319.3</v>
      </c>
      <c r="BQ150" s="2" t="n">
        <v>82.59999999999999</v>
      </c>
      <c r="BR150" s="2" t="n">
        <v>8.6</v>
      </c>
      <c r="BS150" s="2" t="n">
        <v>410.5</v>
      </c>
      <c r="BT150" s="2" t="inlineStr">
        <is>
          <t>NA</t>
        </is>
      </c>
      <c r="BU150" s="2" t="n">
        <v>27.2</v>
      </c>
      <c r="BV150" s="2" t="n">
        <v>356.5</v>
      </c>
      <c r="BW150" s="2" t="n">
        <v>107.8</v>
      </c>
      <c r="BX150" s="2" t="n">
        <v>464.7</v>
      </c>
      <c r="BY150" s="2" t="n">
        <v>50.5</v>
      </c>
      <c r="BZ150" s="2" t="n">
        <v>16.7</v>
      </c>
      <c r="CA150" s="2" t="n">
        <v>67.2</v>
      </c>
      <c r="CF150" s="2" t="n">
        <v>131.4</v>
      </c>
      <c r="CG150" s="2" t="n">
        <v>153.9</v>
      </c>
      <c r="CH150" s="2" t="n">
        <v>35</v>
      </c>
      <c r="CN150" s="2" t="n">
        <v>58</v>
      </c>
      <c r="CO150" s="2" t="n">
        <v>266.3</v>
      </c>
      <c r="CP150" s="2" t="n">
        <v>220.2</v>
      </c>
      <c r="CQ150" s="2" t="n">
        <v>46.1</v>
      </c>
      <c r="CR150" s="2" t="inlineStr">
        <is>
          <t>NA</t>
        </is>
      </c>
      <c r="CS150" s="2" t="n">
        <v>73.09999999999999</v>
      </c>
      <c r="CT150" s="2" t="n">
        <v>51.2</v>
      </c>
      <c r="CU150" s="2" t="n">
        <v>21.9</v>
      </c>
      <c r="CV150" s="2" t="n">
        <v>34.90000000000001</v>
      </c>
      <c r="CW150" s="2" t="n">
        <v>12.8</v>
      </c>
      <c r="CX150" s="2" t="n">
        <v>22.1</v>
      </c>
      <c r="CY150" s="2" t="inlineStr">
        <is>
          <t>NA</t>
        </is>
      </c>
      <c r="CZ150" s="2" t="n">
        <v>64.2</v>
      </c>
      <c r="DA150" s="2" t="n">
        <v>23.8</v>
      </c>
      <c r="DB150" s="2" t="n">
        <v>21.5</v>
      </c>
      <c r="DC150" s="2" t="n">
        <v>2.3</v>
      </c>
      <c r="DG150" s="2" t="n">
        <v>115.8</v>
      </c>
      <c r="DI150" s="2" t="n">
        <v>644.6</v>
      </c>
      <c r="DJ150" s="2" t="n">
        <v>221.7</v>
      </c>
      <c r="DK150" s="2" t="n">
        <v>612.5</v>
      </c>
      <c r="DL150" s="2" t="n">
        <v>142.3</v>
      </c>
      <c r="DM150" s="2" t="n">
        <v>218.8</v>
      </c>
      <c r="DO150" s="2" t="n">
        <v>203.2</v>
      </c>
      <c r="DP150" s="2" t="n">
        <v>214.3</v>
      </c>
      <c r="DS150" s="2" t="n">
        <v>817.3</v>
      </c>
      <c r="DT150" s="2" t="n">
        <v>3361.2</v>
      </c>
      <c r="DU150" s="2" t="n">
        <v>-286.5</v>
      </c>
      <c r="DV150" s="2" t="n">
        <v>0</v>
      </c>
      <c r="GZ150" s="2" t="n">
        <v>933.8</v>
      </c>
      <c r="IN150" s="2" t="n">
        <v>103.2</v>
      </c>
      <c r="IY150" s="2" t="n">
        <v>47.58122099250268</v>
      </c>
      <c r="IZ150" s="2" t="n">
        <v>0.01122099250267894</v>
      </c>
      <c r="JB150" s="2" t="n">
        <v>11.33523741520886</v>
      </c>
      <c r="JC150" s="2" t="n">
        <v>-0.08476258479114485</v>
      </c>
      <c r="JE150" s="2" t="n">
        <v>2159.5</v>
      </c>
      <c r="JF150" s="2" t="n">
        <v>0.3625362352396388</v>
      </c>
    </row>
    <row r="151">
      <c r="A151" s="1" t="n">
        <v>33635</v>
      </c>
      <c r="B151" s="2" t="n">
        <v>3022.6</v>
      </c>
      <c r="C151" s="2" t="n">
        <v>3288.9</v>
      </c>
      <c r="D151" s="2" t="n">
        <v>378.3</v>
      </c>
      <c r="E151" s="2" t="n">
        <v>2037.5</v>
      </c>
      <c r="F151" s="2" t="n">
        <v>32</v>
      </c>
      <c r="G151" s="2" t="n">
        <v>103.9</v>
      </c>
      <c r="H151" s="2" t="n">
        <v>103.4</v>
      </c>
      <c r="I151" s="2" t="inlineStr">
        <is>
          <t>NA</t>
        </is>
      </c>
      <c r="J151" s="2" t="inlineStr">
        <is>
          <t>NA</t>
        </is>
      </c>
      <c r="K151" s="2" t="n">
        <v>1147</v>
      </c>
      <c r="L151" s="2" t="n">
        <v>2402.5</v>
      </c>
      <c r="M151" s="2" t="n">
        <v>2156.8</v>
      </c>
      <c r="N151" s="2" t="n">
        <v>245.7</v>
      </c>
      <c r="O151" s="2" t="n">
        <v>127.2</v>
      </c>
      <c r="P151" s="2" t="n">
        <v>183.7</v>
      </c>
      <c r="Q151" s="2" t="n">
        <v>65.2</v>
      </c>
      <c r="R151" s="2" t="n">
        <v>118.5</v>
      </c>
      <c r="T151" s="2" t="n">
        <v>26.8</v>
      </c>
      <c r="U151" s="2" t="n">
        <v>43</v>
      </c>
      <c r="V151" s="2" t="n">
        <v>39</v>
      </c>
      <c r="W151" s="2" t="n">
        <v>4</v>
      </c>
      <c r="X151" s="2" t="n">
        <v>88</v>
      </c>
      <c r="Y151" s="2" t="n">
        <v>6.8</v>
      </c>
      <c r="Z151" s="2" t="n">
        <v>265.5</v>
      </c>
      <c r="AA151" s="2" t="n">
        <v>255.7</v>
      </c>
      <c r="AB151" s="2" t="n">
        <v>9.800000000000001</v>
      </c>
      <c r="AC151" s="2" t="inlineStr">
        <is>
          <t>NA</t>
        </is>
      </c>
      <c r="AD151" s="2" t="n">
        <v>18.6</v>
      </c>
      <c r="AF151" s="2" t="n">
        <v>72.3</v>
      </c>
      <c r="AG151" s="2" t="n">
        <v>51.3</v>
      </c>
      <c r="AH151" s="2" t="n">
        <v>21</v>
      </c>
      <c r="AI151" s="2" t="n">
        <v>137.5</v>
      </c>
      <c r="AL151" s="2" t="n">
        <v>110</v>
      </c>
      <c r="AM151" s="2" t="n">
        <v>68.8</v>
      </c>
      <c r="AN151" s="2" t="n">
        <v>41.2</v>
      </c>
      <c r="AO151" s="2" t="n">
        <v>2259.4</v>
      </c>
      <c r="AP151" s="2" t="n">
        <v>250</v>
      </c>
      <c r="AQ151" s="2" t="n">
        <v>134.4</v>
      </c>
      <c r="AR151" s="2" t="n">
        <v>41.3</v>
      </c>
      <c r="AS151" s="2" t="n">
        <v>170.5</v>
      </c>
      <c r="AT151" s="2" t="n">
        <v>59.9</v>
      </c>
      <c r="AU151" s="2" t="n">
        <v>102</v>
      </c>
      <c r="AV151" s="2" t="n">
        <v>49.8</v>
      </c>
      <c r="AW151" s="2" t="n">
        <v>17</v>
      </c>
      <c r="AX151" s="2" t="n">
        <v>5</v>
      </c>
      <c r="AY151" s="2" t="n">
        <v>50</v>
      </c>
      <c r="AZ151" s="2" t="n">
        <v>13.7</v>
      </c>
      <c r="BA151" s="2" t="n">
        <v>0.1</v>
      </c>
      <c r="BB151" s="2" t="n">
        <v>0.1</v>
      </c>
      <c r="BD151" s="2" t="n">
        <v>116.9</v>
      </c>
      <c r="BE151" s="2" t="n">
        <v>40</v>
      </c>
      <c r="BH151" s="2" t="n">
        <v>281.4</v>
      </c>
      <c r="BK151" s="2" t="n">
        <v>154.1</v>
      </c>
      <c r="BL151" s="2" t="n">
        <v>1.6</v>
      </c>
      <c r="BM151" s="2" t="n">
        <v>437.1</v>
      </c>
      <c r="BN151" s="2" t="n">
        <v>383.2</v>
      </c>
      <c r="BQ151" s="2" t="n">
        <v>84.59999999999999</v>
      </c>
      <c r="BR151" s="2" t="n">
        <v>8.199999999999999</v>
      </c>
      <c r="BS151" s="2" t="n">
        <v>475.9999999999999</v>
      </c>
      <c r="BT151" s="2" t="inlineStr">
        <is>
          <t>NA</t>
        </is>
      </c>
      <c r="BU151" s="2" t="n">
        <v>28.9</v>
      </c>
      <c r="BV151" s="2" t="n">
        <v>308.6</v>
      </c>
      <c r="BW151" s="2" t="n">
        <v>100.8</v>
      </c>
      <c r="BX151" s="2" t="n">
        <v>409.5</v>
      </c>
      <c r="BY151" s="2" t="n">
        <v>45.9</v>
      </c>
      <c r="BZ151" s="2" t="n">
        <v>15.9</v>
      </c>
      <c r="CA151" s="2" t="n">
        <v>61.8</v>
      </c>
      <c r="CF151" s="2" t="n">
        <v>121.5</v>
      </c>
      <c r="CG151" s="2" t="n">
        <v>163.1</v>
      </c>
      <c r="CH151" s="2" t="n">
        <v>35.7</v>
      </c>
      <c r="CN151" s="2" t="n">
        <v>49.5</v>
      </c>
      <c r="CO151" s="2" t="n">
        <v>274.1</v>
      </c>
      <c r="CP151" s="2" t="n">
        <v>218.2</v>
      </c>
      <c r="CQ151" s="2" t="n">
        <v>55.9</v>
      </c>
      <c r="CR151" s="2" t="inlineStr">
        <is>
          <t>NA</t>
        </is>
      </c>
      <c r="CS151" s="2" t="n">
        <v>84.09999999999999</v>
      </c>
      <c r="CT151" s="2" t="n">
        <v>62.3</v>
      </c>
      <c r="CU151" s="2" t="n">
        <v>21.8</v>
      </c>
      <c r="CV151" s="2" t="n">
        <v>43.7</v>
      </c>
      <c r="CW151" s="2" t="n">
        <v>9.5</v>
      </c>
      <c r="CX151" s="2" t="n">
        <v>34.2</v>
      </c>
      <c r="CY151" s="2" t="inlineStr">
        <is>
          <t>NA</t>
        </is>
      </c>
      <c r="CZ151" s="2" t="n">
        <v>84.5</v>
      </c>
      <c r="DA151" s="2" t="n">
        <v>21.8</v>
      </c>
      <c r="DB151" s="2" t="n">
        <v>20.2</v>
      </c>
      <c r="DC151" s="2" t="n">
        <v>1.6</v>
      </c>
      <c r="DG151" s="2" t="n">
        <v>108</v>
      </c>
      <c r="DI151" s="2" t="n">
        <v>589.3</v>
      </c>
      <c r="DJ151" s="2" t="n">
        <v>198.4</v>
      </c>
      <c r="DK151" s="2" t="n">
        <v>545.2</v>
      </c>
      <c r="DL151" s="2" t="n">
        <v>131.2</v>
      </c>
      <c r="DM151" s="2" t="n">
        <v>193.3</v>
      </c>
      <c r="DO151" s="2" t="n">
        <v>180.7</v>
      </c>
      <c r="DP151" s="2" t="n">
        <v>202.6</v>
      </c>
      <c r="DS151" s="2" t="n">
        <v>721.7</v>
      </c>
      <c r="DT151" s="2" t="n">
        <v>3022.6</v>
      </c>
      <c r="DU151" s="2" t="n">
        <v>-260.1999999999998</v>
      </c>
      <c r="DV151" s="2" t="n">
        <v>0</v>
      </c>
      <c r="GZ151" s="2" t="n">
        <v>876.7</v>
      </c>
      <c r="IN151" s="2" t="n">
        <v>105.6</v>
      </c>
      <c r="IY151" s="2" t="n">
        <v>47.518030834381</v>
      </c>
      <c r="IZ151" s="2" t="n">
        <v>0.0380308343810043</v>
      </c>
      <c r="JB151" s="2" t="n">
        <v>11.38423873486403</v>
      </c>
      <c r="JC151" s="2" t="n">
        <v>-0.07576126513597536</v>
      </c>
      <c r="JE151" s="2" t="n">
        <v>2402.5</v>
      </c>
      <c r="JF151" s="2" t="n">
        <v>0.3588437044745057</v>
      </c>
    </row>
    <row r="152">
      <c r="A152" s="1" t="n">
        <v>33664</v>
      </c>
      <c r="B152" s="2" t="n">
        <v>3214.9</v>
      </c>
      <c r="C152" s="2" t="n">
        <v>2841</v>
      </c>
      <c r="D152" s="2" t="n">
        <v>381.3</v>
      </c>
      <c r="E152" s="2" t="n">
        <v>1675.3</v>
      </c>
      <c r="F152" s="2" t="n">
        <v>48.8</v>
      </c>
      <c r="G152" s="2" t="n">
        <v>107.5</v>
      </c>
      <c r="H152" s="2" t="n">
        <v>93.59999999999999</v>
      </c>
      <c r="I152" s="2" t="inlineStr">
        <is>
          <t>NA</t>
        </is>
      </c>
      <c r="J152" s="2" t="inlineStr">
        <is>
          <t>NA</t>
        </is>
      </c>
      <c r="K152" s="2" t="n">
        <v>1228.4</v>
      </c>
      <c r="L152" s="2" t="n">
        <v>2400.1</v>
      </c>
      <c r="M152" s="2" t="n">
        <v>2175.8</v>
      </c>
      <c r="N152" s="2" t="n">
        <v>224.3</v>
      </c>
      <c r="O152" s="2" t="n">
        <v>121.5</v>
      </c>
      <c r="P152" s="2" t="n">
        <v>180.3</v>
      </c>
      <c r="Q152" s="2" t="n">
        <v>76.3</v>
      </c>
      <c r="R152" s="2" t="n">
        <v>104</v>
      </c>
      <c r="T152" s="2" t="n">
        <v>42.5</v>
      </c>
      <c r="U152" s="2" t="n">
        <v>32.1</v>
      </c>
      <c r="V152" s="2" t="n">
        <v>26.6</v>
      </c>
      <c r="W152" s="2" t="n">
        <v>5.5</v>
      </c>
      <c r="X152" s="2" t="n">
        <v>85</v>
      </c>
      <c r="Y152" s="2" t="n">
        <v>7.5</v>
      </c>
      <c r="Z152" s="2" t="n">
        <v>265.8</v>
      </c>
      <c r="AA152" s="2" t="n">
        <v>256.6</v>
      </c>
      <c r="AB152" s="2" t="n">
        <v>9.199999999999999</v>
      </c>
      <c r="AC152" s="2" t="inlineStr">
        <is>
          <t>NA</t>
        </is>
      </c>
      <c r="AD152" s="2" t="n">
        <v>25.1</v>
      </c>
      <c r="AF152" s="2" t="n">
        <v>68</v>
      </c>
      <c r="AG152" s="2" t="n">
        <v>44.2</v>
      </c>
      <c r="AH152" s="2" t="n">
        <v>23.8</v>
      </c>
      <c r="AI152" s="2" t="n">
        <v>164.5</v>
      </c>
      <c r="AL152" s="2" t="n">
        <v>107.1</v>
      </c>
      <c r="AM152" s="2" t="n">
        <v>71</v>
      </c>
      <c r="AN152" s="2" t="n">
        <v>36.1</v>
      </c>
      <c r="AO152" s="2" t="n">
        <v>2405.7</v>
      </c>
      <c r="AP152" s="2" t="n">
        <v>280.6</v>
      </c>
      <c r="AQ152" s="2" t="n">
        <v>138.7</v>
      </c>
      <c r="AR152" s="2" t="n">
        <v>35</v>
      </c>
      <c r="AS152" s="2" t="n">
        <v>173.5</v>
      </c>
      <c r="AT152" s="2" t="n">
        <v>76.09999999999999</v>
      </c>
      <c r="AU152" s="2" t="n">
        <v>104.8</v>
      </c>
      <c r="AV152" s="2" t="n">
        <v>47</v>
      </c>
      <c r="AW152" s="2" t="n">
        <v>28.4</v>
      </c>
      <c r="AX152" s="2" t="n">
        <v>7.7</v>
      </c>
      <c r="AY152" s="2" t="n">
        <v>50.8</v>
      </c>
      <c r="AZ152" s="2" t="n">
        <v>11.8</v>
      </c>
      <c r="BA152" s="2" t="n">
        <v>0.6</v>
      </c>
      <c r="BB152" s="2" t="n">
        <v>0.1</v>
      </c>
      <c r="BD152" s="2" t="n">
        <v>132.7</v>
      </c>
      <c r="BE152" s="2" t="n">
        <v>44.1</v>
      </c>
      <c r="BH152" s="2" t="n">
        <v>303</v>
      </c>
      <c r="BK152" s="2" t="n">
        <v>183.9</v>
      </c>
      <c r="BL152" s="2" t="n">
        <v>0.8</v>
      </c>
      <c r="BM152" s="2" t="n">
        <v>487.7</v>
      </c>
      <c r="BN152" s="2" t="n">
        <v>302.9</v>
      </c>
      <c r="BQ152" s="2" t="n">
        <v>92.59999999999999</v>
      </c>
      <c r="BR152" s="2" t="n">
        <v>6.9</v>
      </c>
      <c r="BS152" s="2" t="n">
        <v>402.4</v>
      </c>
      <c r="BT152" s="2" t="inlineStr">
        <is>
          <t>NA</t>
        </is>
      </c>
      <c r="BU152" s="2" t="n">
        <v>28.3</v>
      </c>
      <c r="BV152" s="2" t="n">
        <v>339</v>
      </c>
      <c r="BW152" s="2" t="n">
        <v>109</v>
      </c>
      <c r="BX152" s="2" t="n">
        <v>448.1</v>
      </c>
      <c r="BY152" s="2" t="n">
        <v>47.4</v>
      </c>
      <c r="BZ152" s="2" t="n">
        <v>17.7</v>
      </c>
      <c r="CA152" s="2" t="n">
        <v>65.09999999999999</v>
      </c>
      <c r="CF152" s="2" t="n">
        <v>131.2</v>
      </c>
      <c r="CG152" s="2" t="n">
        <v>163.2</v>
      </c>
      <c r="CH152" s="2" t="n">
        <v>36.2</v>
      </c>
      <c r="CN152" s="2" t="n">
        <v>51.3</v>
      </c>
      <c r="CO152" s="2" t="n">
        <v>239.7</v>
      </c>
      <c r="CP152" s="2" t="n">
        <v>196.7</v>
      </c>
      <c r="CQ152" s="2" t="n">
        <v>43</v>
      </c>
      <c r="CR152" s="2" t="inlineStr">
        <is>
          <t>NA</t>
        </is>
      </c>
      <c r="CS152" s="2" t="n">
        <v>69.90000000000001</v>
      </c>
      <c r="CT152" s="2" t="n">
        <v>45.6</v>
      </c>
      <c r="CU152" s="2" t="n">
        <v>24.3</v>
      </c>
      <c r="CV152" s="2" t="n">
        <v>38.6</v>
      </c>
      <c r="CW152" s="2" t="n">
        <v>9.4</v>
      </c>
      <c r="CX152" s="2" t="n">
        <v>29.2</v>
      </c>
      <c r="CY152" s="2" t="inlineStr">
        <is>
          <t>NA</t>
        </is>
      </c>
      <c r="CZ152" s="2" t="n">
        <v>91.90000000000001</v>
      </c>
      <c r="DA152" s="2" t="n">
        <v>19.8</v>
      </c>
      <c r="DB152" s="2" t="n">
        <v>18.9</v>
      </c>
      <c r="DC152" s="2" t="n">
        <v>0.9</v>
      </c>
      <c r="DG152" s="2" t="n">
        <v>117.5</v>
      </c>
      <c r="DI152" s="2" t="n">
        <v>609.3</v>
      </c>
      <c r="DJ152" s="2" t="n">
        <v>216</v>
      </c>
      <c r="DK152" s="2" t="n">
        <v>568.4</v>
      </c>
      <c r="DL152" s="2" t="n">
        <v>138.6</v>
      </c>
      <c r="DM152" s="2" t="n">
        <v>213.2</v>
      </c>
      <c r="DO152" s="2" t="n">
        <v>191.8</v>
      </c>
      <c r="DP152" s="2" t="n">
        <v>210.6</v>
      </c>
      <c r="DS152" s="2" t="n">
        <v>788.8</v>
      </c>
      <c r="DT152" s="2" t="n">
        <v>3214.7</v>
      </c>
      <c r="DU152" s="2" t="n">
        <v>-278</v>
      </c>
      <c r="DV152" s="2" t="n">
        <v>-0.2000000000002728</v>
      </c>
      <c r="GZ152" s="2" t="n">
        <v>1041.3</v>
      </c>
      <c r="IN152" s="2" t="n">
        <v>97.90000000000001</v>
      </c>
      <c r="IY152" s="2" t="n">
        <v>47.48639148962641</v>
      </c>
      <c r="IZ152" s="2" t="n">
        <v>0.03639148962641059</v>
      </c>
      <c r="JB152" s="2" t="n">
        <v>11.46287598370089</v>
      </c>
      <c r="JC152" s="2" t="n">
        <v>-0.0671240162991058</v>
      </c>
      <c r="JE152" s="2" t="n">
        <v>2400.1</v>
      </c>
      <c r="JF152" s="2" t="n">
        <v>0.380918711720345</v>
      </c>
    </row>
    <row r="153">
      <c r="A153" s="1" t="n">
        <v>33695</v>
      </c>
      <c r="B153" s="2" t="n">
        <v>3046.8</v>
      </c>
      <c r="C153" s="2" t="n">
        <v>2393.6</v>
      </c>
      <c r="D153" s="2" t="n">
        <v>297.8</v>
      </c>
      <c r="E153" s="2" t="n">
        <v>1345.5</v>
      </c>
      <c r="F153" s="2" t="n">
        <v>47.6</v>
      </c>
      <c r="G153" s="2" t="n">
        <v>102</v>
      </c>
      <c r="H153" s="2" t="n">
        <v>79.3</v>
      </c>
      <c r="I153" s="2" t="inlineStr">
        <is>
          <t>NA</t>
        </is>
      </c>
      <c r="J153" s="2" t="inlineStr">
        <is>
          <t>NA</t>
        </is>
      </c>
      <c r="K153" s="2" t="n">
        <v>1167.3</v>
      </c>
      <c r="L153" s="2" t="n">
        <v>2422.5</v>
      </c>
      <c r="M153" s="2" t="n">
        <v>2211.3</v>
      </c>
      <c r="N153" s="2" t="n">
        <v>211.2</v>
      </c>
      <c r="O153" s="2" t="n">
        <v>97.5</v>
      </c>
      <c r="P153" s="2" t="n">
        <v>171.5</v>
      </c>
      <c r="Q153" s="2" t="n">
        <v>72.90000000000001</v>
      </c>
      <c r="R153" s="2" t="n">
        <v>98.59999999999999</v>
      </c>
      <c r="T153" s="2" t="n">
        <v>40.9</v>
      </c>
      <c r="U153" s="2" t="n">
        <v>35.2</v>
      </c>
      <c r="V153" s="2" t="n">
        <v>31</v>
      </c>
      <c r="W153" s="2" t="n">
        <v>4.2</v>
      </c>
      <c r="X153" s="2" t="n">
        <v>82.59999999999999</v>
      </c>
      <c r="Y153" s="2" t="n">
        <v>8.9</v>
      </c>
      <c r="Z153" s="2" t="n">
        <v>260.1</v>
      </c>
      <c r="AA153" s="2" t="n">
        <v>246.4</v>
      </c>
      <c r="AB153" s="2" t="n">
        <v>13.7</v>
      </c>
      <c r="AC153" s="2" t="inlineStr">
        <is>
          <t>NA</t>
        </is>
      </c>
      <c r="AD153" s="2" t="n">
        <v>17.9</v>
      </c>
      <c r="AF153" s="2" t="n">
        <v>98.8</v>
      </c>
      <c r="AG153" s="2" t="n">
        <v>77.09999999999999</v>
      </c>
      <c r="AH153" s="2" t="n">
        <v>21.7</v>
      </c>
      <c r="AI153" s="2" t="n">
        <v>153.3</v>
      </c>
      <c r="AL153" s="2" t="n">
        <v>107.8</v>
      </c>
      <c r="AM153" s="2" t="n">
        <v>70.40000000000001</v>
      </c>
      <c r="AN153" s="2" t="n">
        <v>37.4</v>
      </c>
      <c r="AO153" s="2" t="n">
        <v>2283.7</v>
      </c>
      <c r="AP153" s="2" t="n">
        <v>277.3</v>
      </c>
      <c r="AQ153" s="2" t="n">
        <v>127.6</v>
      </c>
      <c r="AR153" s="2" t="n">
        <v>33.1</v>
      </c>
      <c r="AS153" s="2" t="n">
        <v>138.2</v>
      </c>
      <c r="AT153" s="2" t="n">
        <v>73.09999999999999</v>
      </c>
      <c r="AU153" s="2" t="n">
        <v>76.8</v>
      </c>
      <c r="AV153" s="2" t="n">
        <v>38.1</v>
      </c>
      <c r="AW153" s="2" t="n">
        <v>27.1</v>
      </c>
      <c r="AX153" s="2" t="n">
        <v>10.1</v>
      </c>
      <c r="AY153" s="2" t="n">
        <v>50.3</v>
      </c>
      <c r="AZ153" s="2" t="n">
        <v>10.1</v>
      </c>
      <c r="BA153" s="2" t="n">
        <v>0.1</v>
      </c>
      <c r="BB153" s="2" t="n">
        <v>0.1</v>
      </c>
      <c r="BD153" s="2" t="n">
        <v>112.8</v>
      </c>
      <c r="BE153" s="2" t="n">
        <v>41.3</v>
      </c>
      <c r="BH153" s="2" t="n">
        <v>273.9</v>
      </c>
      <c r="BK153" s="2" t="n">
        <v>183.3</v>
      </c>
      <c r="BL153" s="2" t="n">
        <v>1.2</v>
      </c>
      <c r="BM153" s="2" t="n">
        <v>458.3</v>
      </c>
      <c r="BN153" s="2" t="n">
        <v>289</v>
      </c>
      <c r="BQ153" s="2" t="n">
        <v>88.09999999999999</v>
      </c>
      <c r="BR153" s="2" t="n">
        <v>7.5</v>
      </c>
      <c r="BS153" s="2" t="n">
        <v>384.6</v>
      </c>
      <c r="BT153" s="2" t="inlineStr">
        <is>
          <t>NA</t>
        </is>
      </c>
      <c r="BU153" s="2" t="n">
        <v>26.7</v>
      </c>
      <c r="BV153" s="2" t="n">
        <v>323.2</v>
      </c>
      <c r="BW153" s="2" t="n">
        <v>92.59999999999999</v>
      </c>
      <c r="BX153" s="2" t="n">
        <v>416.1</v>
      </c>
      <c r="BY153" s="2" t="n">
        <v>45.7</v>
      </c>
      <c r="BZ153" s="2" t="n">
        <v>17.2</v>
      </c>
      <c r="CA153" s="2" t="n">
        <v>62.90000000000001</v>
      </c>
      <c r="CF153" s="2" t="n">
        <v>133.2</v>
      </c>
      <c r="CG153" s="2" t="n">
        <v>156.9</v>
      </c>
      <c r="CH153" s="2" t="n">
        <v>13.5</v>
      </c>
      <c r="CN153" s="2" t="n">
        <v>54.7</v>
      </c>
      <c r="CO153" s="2" t="n">
        <v>211.2</v>
      </c>
      <c r="CP153" s="2" t="n">
        <v>157.3</v>
      </c>
      <c r="CQ153" s="2" t="n">
        <v>53.9</v>
      </c>
      <c r="CR153" s="2" t="inlineStr">
        <is>
          <t>NA</t>
        </is>
      </c>
      <c r="CS153" s="2" t="n">
        <v>70.5</v>
      </c>
      <c r="CT153" s="2" t="n">
        <v>45.7</v>
      </c>
      <c r="CU153" s="2" t="n">
        <v>24.8</v>
      </c>
      <c r="CV153" s="2" t="n">
        <v>43.8</v>
      </c>
      <c r="CW153" s="2" t="n">
        <v>11.3</v>
      </c>
      <c r="CX153" s="2" t="n">
        <v>32.5</v>
      </c>
      <c r="CY153" s="2" t="inlineStr">
        <is>
          <t>NA</t>
        </is>
      </c>
      <c r="CZ153" s="2" t="n">
        <v>90.59999999999999</v>
      </c>
      <c r="DA153" s="2" t="n">
        <v>18</v>
      </c>
      <c r="DB153" s="2" t="n">
        <v>17.2</v>
      </c>
      <c r="DC153" s="2" t="n">
        <v>0.8</v>
      </c>
      <c r="DI153" s="2" t="n">
        <v>560.9</v>
      </c>
      <c r="DJ153" s="2" t="n">
        <v>171.7</v>
      </c>
      <c r="DK153" s="2" t="n">
        <v>564</v>
      </c>
      <c r="DL153" s="2" t="n">
        <v>133.9</v>
      </c>
      <c r="DM153" s="2" t="n">
        <v>210</v>
      </c>
      <c r="DO153" s="2" t="n">
        <v>196.9</v>
      </c>
      <c r="DP153" s="2" t="n">
        <v>203.2</v>
      </c>
      <c r="DS153" s="2" t="n">
        <v>770.227</v>
      </c>
      <c r="DT153" s="2" t="n">
        <v>3046.8</v>
      </c>
      <c r="DU153" s="2" t="n">
        <v>-235.973</v>
      </c>
      <c r="DV153" s="2" t="n">
        <v>0</v>
      </c>
      <c r="GZ153" s="2" t="n">
        <v>973.1</v>
      </c>
      <c r="IN153" s="2" t="n">
        <v>85.59999999999999</v>
      </c>
      <c r="IY153" s="2" t="n">
        <v>47.48523040567152</v>
      </c>
      <c r="IZ153" s="2" t="n">
        <v>0.02523040567151469</v>
      </c>
      <c r="JB153" s="2" t="n">
        <v>11.49369830641985</v>
      </c>
      <c r="JC153" s="2" t="n">
        <v>-0.05630169358015102</v>
      </c>
      <c r="JE153" s="2" t="n">
        <v>2422.5</v>
      </c>
      <c r="JF153" s="2" t="n">
        <v>0.3930262125902993</v>
      </c>
    </row>
    <row r="154">
      <c r="A154" s="1" t="n">
        <v>33725</v>
      </c>
      <c r="B154" s="2" t="n">
        <v>2857.1</v>
      </c>
      <c r="C154" s="2" t="n">
        <v>2205.9</v>
      </c>
      <c r="D154" s="2" t="n">
        <v>245.4</v>
      </c>
      <c r="E154" s="2" t="n">
        <v>1066.6</v>
      </c>
      <c r="F154" s="2" t="n">
        <v>46</v>
      </c>
      <c r="G154" s="2" t="n">
        <v>103.7</v>
      </c>
      <c r="H154" s="2" t="n">
        <v>47</v>
      </c>
      <c r="I154" s="2" t="inlineStr">
        <is>
          <t>NA</t>
        </is>
      </c>
      <c r="J154" s="2" t="inlineStr">
        <is>
          <t>NA</t>
        </is>
      </c>
      <c r="K154" s="2" t="n">
        <v>1095.6</v>
      </c>
      <c r="L154" s="2" t="n">
        <v>2433.5</v>
      </c>
      <c r="M154" s="2" t="n">
        <v>2213.9</v>
      </c>
      <c r="N154" s="2" t="n">
        <v>219.6</v>
      </c>
      <c r="O154" s="2" t="n">
        <v>79.3</v>
      </c>
      <c r="P154" s="2" t="n">
        <v>154</v>
      </c>
      <c r="Q154" s="2" t="n">
        <v>70.7</v>
      </c>
      <c r="R154" s="2" t="n">
        <v>83.3</v>
      </c>
      <c r="T154" s="2" t="n">
        <v>39.8</v>
      </c>
      <c r="U154" s="2" t="n">
        <v>34.4</v>
      </c>
      <c r="V154" s="2" t="n">
        <v>28.6</v>
      </c>
      <c r="W154" s="2" t="n">
        <v>5.8</v>
      </c>
      <c r="X154" s="2" t="n">
        <v>85</v>
      </c>
      <c r="Y154" s="2" t="n">
        <v>6.5</v>
      </c>
      <c r="Z154" s="2" t="n">
        <v>244.1</v>
      </c>
      <c r="AA154" s="2" t="n">
        <v>230.3</v>
      </c>
      <c r="AB154" s="2" t="n">
        <v>13.8</v>
      </c>
      <c r="AC154" s="2" t="inlineStr">
        <is>
          <t>NA</t>
        </is>
      </c>
      <c r="AD154" s="2" t="n">
        <v>19.3</v>
      </c>
      <c r="AF154" s="2" t="n">
        <v>98.8</v>
      </c>
      <c r="AG154" s="2" t="n">
        <v>77.3</v>
      </c>
      <c r="AH154" s="2" t="n">
        <v>21.5</v>
      </c>
      <c r="AI154" s="2" t="n">
        <v>150.2</v>
      </c>
      <c r="AL154" s="2" t="n">
        <v>119.2</v>
      </c>
      <c r="AM154" s="2" t="n">
        <v>79.90000000000001</v>
      </c>
      <c r="AN154" s="2" t="n">
        <v>39.3</v>
      </c>
      <c r="AO154" s="2" t="n">
        <v>2131.2</v>
      </c>
      <c r="AP154" s="2" t="n">
        <v>268.5</v>
      </c>
      <c r="AQ154" s="2" t="n">
        <v>131.3</v>
      </c>
      <c r="AR154" s="2" t="n">
        <v>41.7</v>
      </c>
      <c r="AS154" s="2" t="n">
        <v>111.7</v>
      </c>
      <c r="AT154" s="2" t="n">
        <v>68</v>
      </c>
      <c r="AU154" s="2" t="n">
        <v>61</v>
      </c>
      <c r="AV154" s="2" t="n">
        <v>23.1</v>
      </c>
      <c r="AW154" s="2" t="n">
        <v>26.2</v>
      </c>
      <c r="AX154" s="2" t="n">
        <v>7.1</v>
      </c>
      <c r="AY154" s="2" t="n">
        <v>51.4</v>
      </c>
      <c r="AZ154" s="2" t="n">
        <v>14.9</v>
      </c>
      <c r="BA154" s="2" t="n">
        <v>0.3</v>
      </c>
      <c r="BB154" s="2" t="n">
        <v>0.1</v>
      </c>
      <c r="BD154" s="2" t="n">
        <v>141.3</v>
      </c>
      <c r="BE154" s="2" t="n">
        <v>49</v>
      </c>
      <c r="BH154" s="2" t="n">
        <v>299.6</v>
      </c>
      <c r="BK154" s="2" t="n">
        <v>170.6</v>
      </c>
      <c r="BL154" s="2" t="n">
        <v>1</v>
      </c>
      <c r="BM154" s="2" t="n">
        <v>471.2</v>
      </c>
      <c r="BN154" s="2" t="n">
        <v>255.1</v>
      </c>
      <c r="BQ154" s="2" t="n">
        <v>78.09999999999999</v>
      </c>
      <c r="BR154" s="2" t="n">
        <v>6.3</v>
      </c>
      <c r="BS154" s="2" t="n">
        <v>339.5</v>
      </c>
      <c r="BT154" s="2" t="inlineStr">
        <is>
          <t>NA</t>
        </is>
      </c>
      <c r="BU154" s="2" t="n">
        <v>23.2</v>
      </c>
      <c r="BV154" s="2" t="n">
        <v>331</v>
      </c>
      <c r="BW154" s="2" t="n">
        <v>105.6</v>
      </c>
      <c r="BX154" s="2" t="n">
        <v>436.9</v>
      </c>
      <c r="BY154" s="2" t="n">
        <v>46.6</v>
      </c>
      <c r="BZ154" s="2" t="n">
        <v>15.6</v>
      </c>
      <c r="CA154" s="2" t="n">
        <v>62.2</v>
      </c>
      <c r="CF154" s="2" t="n">
        <v>121.9</v>
      </c>
      <c r="CG154" s="2" t="n">
        <v>158.4</v>
      </c>
      <c r="CH154" s="2" t="n">
        <v>16.1</v>
      </c>
      <c r="CN154" s="2" t="n">
        <v>56.5</v>
      </c>
      <c r="CO154" s="2" t="n">
        <v>173.7</v>
      </c>
      <c r="CP154" s="2" t="n">
        <v>129.5</v>
      </c>
      <c r="CQ154" s="2" t="n">
        <v>44.2</v>
      </c>
      <c r="CR154" s="2" t="inlineStr">
        <is>
          <t>NA</t>
        </is>
      </c>
      <c r="CS154" s="2" t="n">
        <v>58.3</v>
      </c>
      <c r="CT154" s="2" t="n">
        <v>41.4</v>
      </c>
      <c r="CU154" s="2" t="n">
        <v>16.9</v>
      </c>
      <c r="CV154" s="2" t="n">
        <v>37.9</v>
      </c>
      <c r="CW154" s="2" t="n">
        <v>7.5</v>
      </c>
      <c r="CX154" s="2" t="n">
        <v>30.4</v>
      </c>
      <c r="CY154" s="2" t="inlineStr">
        <is>
          <t>NA</t>
        </is>
      </c>
      <c r="CZ154" s="2" t="n">
        <v>67.8</v>
      </c>
      <c r="DA154" s="2" t="n">
        <v>16.9</v>
      </c>
      <c r="DB154" s="2" t="n">
        <v>16.4</v>
      </c>
      <c r="DC154" s="2" t="n">
        <v>0.5</v>
      </c>
      <c r="DI154" s="2" t="n">
        <v>573.4</v>
      </c>
      <c r="DJ154" s="2" t="n">
        <v>226.6</v>
      </c>
      <c r="DK154" s="2" t="n">
        <v>474</v>
      </c>
      <c r="DL154" s="2" t="n">
        <v>112.5</v>
      </c>
      <c r="DM154" s="2" t="n">
        <v>216.2</v>
      </c>
      <c r="DO154" s="2" t="n">
        <v>172.5</v>
      </c>
      <c r="DP154" s="2" t="n">
        <v>165.5</v>
      </c>
      <c r="DS154" s="2" t="n">
        <v>666.634</v>
      </c>
      <c r="DT154" s="2" t="n">
        <v>2857.1</v>
      </c>
      <c r="DU154" s="2" t="n">
        <v>-249.7660000000001</v>
      </c>
      <c r="DV154" s="2" t="n">
        <v>0</v>
      </c>
      <c r="GZ154" s="2" t="n">
        <v>993.3</v>
      </c>
      <c r="IN154" s="2" t="n">
        <v>73.40000000000001</v>
      </c>
      <c r="IY154" s="2" t="n">
        <v>47.51321269819047</v>
      </c>
      <c r="IZ154" s="2" t="n">
        <v>0.01321269819047188</v>
      </c>
      <c r="JB154" s="2" t="n">
        <v>11.50397255958839</v>
      </c>
      <c r="JC154" s="2" t="n">
        <v>-0.04602744041160811</v>
      </c>
      <c r="JE154" s="2" t="n">
        <v>2433.5</v>
      </c>
      <c r="JF154" s="2" t="n">
        <v>0.3841331415656462</v>
      </c>
    </row>
    <row r="155">
      <c r="A155" s="1" t="n">
        <v>33756</v>
      </c>
      <c r="B155" s="2" t="n">
        <v>2998.8</v>
      </c>
      <c r="C155" s="2" t="n">
        <v>1970.4</v>
      </c>
      <c r="D155" s="2" t="n">
        <v>292.1</v>
      </c>
      <c r="E155" s="2" t="n">
        <v>759.8</v>
      </c>
      <c r="F155" s="2" t="n">
        <v>46</v>
      </c>
      <c r="G155" s="2" t="n">
        <v>109.9</v>
      </c>
      <c r="H155" s="2" t="n">
        <v>47.7</v>
      </c>
      <c r="I155" s="2" t="inlineStr">
        <is>
          <t>NA</t>
        </is>
      </c>
      <c r="J155" s="2" t="inlineStr">
        <is>
          <t>NA</t>
        </is>
      </c>
      <c r="K155" s="2" t="n">
        <v>1151.6</v>
      </c>
      <c r="L155" s="2" t="n">
        <v>2426.5</v>
      </c>
      <c r="M155" s="2" t="n">
        <v>2216.8</v>
      </c>
      <c r="N155" s="2" t="n">
        <v>209.7</v>
      </c>
      <c r="O155" s="2" t="n">
        <v>91.8</v>
      </c>
      <c r="P155" s="2" t="n">
        <v>139.8</v>
      </c>
      <c r="Q155" s="2" t="n">
        <v>60</v>
      </c>
      <c r="R155" s="2" t="n">
        <v>79.8</v>
      </c>
      <c r="T155" s="2" t="n">
        <v>40.6</v>
      </c>
      <c r="U155" s="2" t="n">
        <v>61</v>
      </c>
      <c r="V155" s="2" t="n">
        <v>56.1</v>
      </c>
      <c r="W155" s="2" t="n">
        <v>4.9</v>
      </c>
      <c r="X155" s="2" t="n">
        <v>88.90000000000001</v>
      </c>
      <c r="Y155" s="2" t="n">
        <v>10.5</v>
      </c>
      <c r="Z155" s="2" t="n">
        <v>250</v>
      </c>
      <c r="AA155" s="2" t="n">
        <v>234.8</v>
      </c>
      <c r="AB155" s="2" t="n">
        <v>15.2</v>
      </c>
      <c r="AC155" s="2" t="inlineStr">
        <is>
          <t>NA</t>
        </is>
      </c>
      <c r="AD155" s="2" t="n">
        <v>20.5</v>
      </c>
      <c r="AF155" s="2" t="n">
        <v>116.8</v>
      </c>
      <c r="AG155" s="2" t="n">
        <v>93.40000000000001</v>
      </c>
      <c r="AH155" s="2" t="n">
        <v>23.4</v>
      </c>
      <c r="AI155" s="2" t="n">
        <v>160</v>
      </c>
      <c r="AL155" s="2" t="n">
        <v>111.5</v>
      </c>
      <c r="AM155" s="2" t="n">
        <v>69.40000000000001</v>
      </c>
      <c r="AN155" s="2" t="n">
        <v>42.1</v>
      </c>
      <c r="AO155" s="2" t="n">
        <v>2238.2</v>
      </c>
      <c r="AP155" s="2" t="n">
        <v>240.7</v>
      </c>
      <c r="AQ155" s="2" t="n">
        <v>134.2</v>
      </c>
      <c r="AR155" s="2" t="n">
        <v>34</v>
      </c>
      <c r="AS155" s="2" t="n">
        <v>129.9</v>
      </c>
      <c r="AT155" s="2" t="n">
        <v>70.09999999999999</v>
      </c>
      <c r="AU155" s="2" t="n">
        <v>76.7</v>
      </c>
      <c r="AV155" s="2" t="n">
        <v>29.3</v>
      </c>
      <c r="AW155" s="2" t="n">
        <v>25.6</v>
      </c>
      <c r="AX155" s="2" t="n">
        <v>7.4</v>
      </c>
      <c r="AY155" s="2" t="n">
        <v>54.8</v>
      </c>
      <c r="AZ155" s="2" t="n">
        <v>14</v>
      </c>
      <c r="BA155" s="2" t="n">
        <v>0</v>
      </c>
      <c r="BB155" s="2" t="n">
        <v>0.1</v>
      </c>
      <c r="BD155" s="2" t="n">
        <v>142.3</v>
      </c>
      <c r="BE155" s="2" t="n">
        <v>41.7</v>
      </c>
      <c r="BH155" s="2" t="n">
        <v>308.6</v>
      </c>
      <c r="BK155" s="2" t="n">
        <v>182.6</v>
      </c>
      <c r="BL155" s="2" t="n">
        <v>1.3</v>
      </c>
      <c r="BM155" s="2" t="n">
        <v>492.4</v>
      </c>
      <c r="BN155" s="2" t="n">
        <v>304.5</v>
      </c>
      <c r="BQ155" s="2" t="n">
        <v>94.7</v>
      </c>
      <c r="BR155" s="2" t="n">
        <v>4.7</v>
      </c>
      <c r="BS155" s="2" t="n">
        <v>403.9</v>
      </c>
      <c r="BT155" s="2" t="inlineStr">
        <is>
          <t>NA</t>
        </is>
      </c>
      <c r="BU155" s="2" t="n">
        <v>24.8</v>
      </c>
      <c r="BV155" s="2" t="n">
        <v>344.3</v>
      </c>
      <c r="BW155" s="2" t="n">
        <v>106.5</v>
      </c>
      <c r="BX155" s="2" t="n">
        <v>451</v>
      </c>
      <c r="BY155" s="2" t="n">
        <v>45</v>
      </c>
      <c r="BZ155" s="2" t="n">
        <v>15.4</v>
      </c>
      <c r="CA155" s="2" t="n">
        <v>60.4</v>
      </c>
      <c r="CF155" s="2" t="n">
        <v>129.8</v>
      </c>
      <c r="CG155" s="2" t="n">
        <v>161</v>
      </c>
      <c r="CH155" s="2" t="n">
        <v>15.2</v>
      </c>
      <c r="CN155" s="2" t="n">
        <v>55.4</v>
      </c>
      <c r="CO155" s="2" t="n">
        <v>178.3</v>
      </c>
      <c r="CP155" s="2" t="n">
        <v>140.1</v>
      </c>
      <c r="CQ155" s="2" t="n">
        <v>38.2</v>
      </c>
      <c r="CR155" s="2" t="inlineStr">
        <is>
          <t>NA</t>
        </is>
      </c>
      <c r="CS155" s="2" t="n">
        <v>63.5</v>
      </c>
      <c r="CT155" s="2" t="n">
        <v>34.6</v>
      </c>
      <c r="CU155" s="2" t="n">
        <v>28.9</v>
      </c>
      <c r="CV155" s="2" t="n">
        <v>38.7</v>
      </c>
      <c r="CW155" s="2" t="n">
        <v>15</v>
      </c>
      <c r="CX155" s="2" t="n">
        <v>23.7</v>
      </c>
      <c r="CY155" s="2" t="inlineStr">
        <is>
          <t>NA</t>
        </is>
      </c>
      <c r="CZ155" s="2" t="n">
        <v>62.1</v>
      </c>
      <c r="DA155" s="2" t="n">
        <v>8.1</v>
      </c>
      <c r="DB155" s="2" t="n">
        <v>7.5</v>
      </c>
      <c r="DC155" s="2" t="n">
        <v>0.6</v>
      </c>
      <c r="DI155" s="2" t="n">
        <v>610.9</v>
      </c>
      <c r="DJ155" s="2" t="n">
        <v>216.9</v>
      </c>
      <c r="DK155" s="2" t="n">
        <v>509.9</v>
      </c>
      <c r="DL155" s="2" t="n">
        <v>104.5</v>
      </c>
      <c r="DM155" s="2" t="n">
        <v>220.6</v>
      </c>
      <c r="DO155" s="2" t="n">
        <v>187.1</v>
      </c>
      <c r="DP155" s="2" t="n">
        <v>194.8</v>
      </c>
      <c r="DS155" s="2" t="n">
        <v>680.325</v>
      </c>
      <c r="DT155" s="2" t="n">
        <v>2998.8</v>
      </c>
      <c r="DU155" s="2" t="n">
        <v>-273.7750000000005</v>
      </c>
      <c r="DV155" s="2" t="n">
        <v>0</v>
      </c>
      <c r="GZ155" s="2" t="n">
        <v>977.9</v>
      </c>
      <c r="IN155" s="2" t="n">
        <v>82.09999999999999</v>
      </c>
      <c r="IY155" s="2" t="n">
        <v>47.46698679471788</v>
      </c>
      <c r="IZ155" s="2" t="n">
        <v>0.02698679471787813</v>
      </c>
      <c r="JB155" s="2" t="n">
        <v>11.52060824329732</v>
      </c>
      <c r="JC155" s="2" t="n">
        <v>-0.06939175670268227</v>
      </c>
      <c r="JE155" s="2" t="n">
        <v>2426.5</v>
      </c>
      <c r="JF155" s="2" t="n">
        <v>0.3720815990109211</v>
      </c>
    </row>
    <row r="156">
      <c r="A156" s="1" t="n">
        <v>33786</v>
      </c>
      <c r="B156" s="2" t="n">
        <v>3068.7</v>
      </c>
      <c r="C156" s="2" t="n">
        <v>1684.8</v>
      </c>
      <c r="D156" s="2" t="n">
        <v>270.2</v>
      </c>
      <c r="E156" s="2" t="n">
        <v>459.9</v>
      </c>
      <c r="F156" s="2" t="n">
        <v>42.8</v>
      </c>
      <c r="G156" s="2" t="n">
        <v>68.7</v>
      </c>
      <c r="H156" s="2" t="n">
        <v>66.2</v>
      </c>
      <c r="I156" s="2" t="inlineStr">
        <is>
          <t>NA</t>
        </is>
      </c>
      <c r="J156" s="2" t="inlineStr">
        <is>
          <t>NA</t>
        </is>
      </c>
      <c r="K156" s="2" t="n">
        <v>1176.6</v>
      </c>
      <c r="L156" s="2" t="n">
        <v>2420.9</v>
      </c>
      <c r="M156" s="2" t="n">
        <v>2205</v>
      </c>
      <c r="N156" s="2" t="n">
        <v>215.9</v>
      </c>
      <c r="O156" s="2" t="n">
        <v>91.3</v>
      </c>
      <c r="P156" s="2" t="n">
        <v>119.8</v>
      </c>
      <c r="Q156" s="2" t="n">
        <v>41.6</v>
      </c>
      <c r="R156" s="2" t="n">
        <v>78.2</v>
      </c>
      <c r="T156" s="2" t="n">
        <v>37.3</v>
      </c>
      <c r="U156" s="2" t="n">
        <v>51.5</v>
      </c>
      <c r="V156" s="2" t="n">
        <v>46.2</v>
      </c>
      <c r="W156" s="2" t="n">
        <v>5.3</v>
      </c>
      <c r="X156" s="2" t="n">
        <v>55.2</v>
      </c>
      <c r="Y156" s="2" t="n">
        <v>10.4</v>
      </c>
      <c r="Z156" s="2" t="n">
        <v>240.1</v>
      </c>
      <c r="AA156" s="2" t="n">
        <v>226</v>
      </c>
      <c r="AB156" s="2" t="n">
        <v>14.1</v>
      </c>
      <c r="AC156" s="2" t="inlineStr">
        <is>
          <t>NA</t>
        </is>
      </c>
      <c r="AD156" s="2" t="n">
        <v>16.2</v>
      </c>
      <c r="AF156" s="2" t="n">
        <v>58.59999999999999</v>
      </c>
      <c r="AG156" s="2" t="n">
        <v>42.4</v>
      </c>
      <c r="AH156" s="2" t="n">
        <v>16.2</v>
      </c>
      <c r="AI156" s="2" t="n">
        <v>165</v>
      </c>
      <c r="AL156" s="2" t="n">
        <v>137.8</v>
      </c>
      <c r="AM156" s="2" t="n">
        <v>97.90000000000001</v>
      </c>
      <c r="AN156" s="2" t="n">
        <v>39.9</v>
      </c>
      <c r="AO156" s="2" t="n">
        <v>2299.8</v>
      </c>
      <c r="AP156" s="2" t="n">
        <v>231.8</v>
      </c>
      <c r="AQ156" s="2" t="n">
        <v>134.4</v>
      </c>
      <c r="AR156" s="2" t="n">
        <v>28.7</v>
      </c>
      <c r="AS156" s="2" t="n">
        <v>127.8</v>
      </c>
      <c r="AT156" s="2" t="n">
        <v>58.8</v>
      </c>
      <c r="AU156" s="2" t="n">
        <v>73.2</v>
      </c>
      <c r="AV156" s="2" t="n">
        <v>35.5</v>
      </c>
      <c r="AW156" s="2" t="n">
        <v>24.4</v>
      </c>
      <c r="AX156" s="2" t="n">
        <v>5.2</v>
      </c>
      <c r="AY156" s="2" t="n">
        <v>34.9</v>
      </c>
      <c r="AZ156" s="2" t="n">
        <v>7.1</v>
      </c>
      <c r="BA156" s="2" t="n">
        <v>0.1</v>
      </c>
      <c r="BB156" s="2" t="n">
        <v>0.2</v>
      </c>
      <c r="BD156" s="2" t="n">
        <v>126.8</v>
      </c>
      <c r="BE156" s="2" t="n">
        <v>37.9</v>
      </c>
      <c r="BH156" s="2" t="n">
        <v>293.2</v>
      </c>
      <c r="BK156" s="2" t="n">
        <v>203.5</v>
      </c>
      <c r="BL156" s="2" t="n">
        <v>1.3</v>
      </c>
      <c r="BM156" s="2" t="n">
        <v>497.9</v>
      </c>
      <c r="BN156" s="2" t="n">
        <v>275.7</v>
      </c>
      <c r="BQ156" s="2" t="n">
        <v>83.7</v>
      </c>
      <c r="BR156" s="2" t="n">
        <v>3.7</v>
      </c>
      <c r="BS156" s="2" t="n">
        <v>363.1</v>
      </c>
      <c r="BT156" s="2" t="inlineStr">
        <is>
          <t>NA</t>
        </is>
      </c>
      <c r="BU156" s="2" t="n">
        <v>29.2</v>
      </c>
      <c r="BV156" s="2" t="n">
        <v>347.3</v>
      </c>
      <c r="BW156" s="2" t="n">
        <v>97.90000000000001</v>
      </c>
      <c r="BX156" s="2" t="n">
        <v>445.3</v>
      </c>
      <c r="BY156" s="2" t="n">
        <v>53.3</v>
      </c>
      <c r="BZ156" s="2" t="n">
        <v>11.7</v>
      </c>
      <c r="CA156" s="2" t="n">
        <v>65</v>
      </c>
      <c r="CF156" s="2" t="n">
        <v>130.6</v>
      </c>
      <c r="CG156" s="2" t="n">
        <v>190.7</v>
      </c>
      <c r="CH156" s="2" t="n">
        <v>15.9</v>
      </c>
      <c r="CN156" s="2" t="n">
        <v>49.3</v>
      </c>
      <c r="CO156" s="2" t="n">
        <v>141.1</v>
      </c>
      <c r="CP156" s="2" t="n">
        <v>107.1</v>
      </c>
      <c r="CQ156" s="2" t="n">
        <v>34</v>
      </c>
      <c r="CR156" s="2" t="inlineStr">
        <is>
          <t>NA</t>
        </is>
      </c>
      <c r="CS156" s="2" t="n">
        <v>60.8</v>
      </c>
      <c r="CT156" s="2" t="n">
        <v>35.5</v>
      </c>
      <c r="CU156" s="2" t="n">
        <v>25.3</v>
      </c>
      <c r="CV156" s="2" t="n">
        <v>32.3</v>
      </c>
      <c r="CW156" s="2" t="n">
        <v>12.2</v>
      </c>
      <c r="CX156" s="2" t="n">
        <v>20.1</v>
      </c>
      <c r="CY156" s="2" t="inlineStr">
        <is>
          <t>NA</t>
        </is>
      </c>
      <c r="CZ156" s="2" t="n">
        <v>46</v>
      </c>
      <c r="DA156" s="2" t="n">
        <v>12.5</v>
      </c>
      <c r="DB156" s="2" t="n">
        <v>11.8</v>
      </c>
      <c r="DC156" s="2" t="n">
        <v>0.7</v>
      </c>
      <c r="DI156" s="2" t="n">
        <v>591.9</v>
      </c>
      <c r="DJ156" s="2" t="n">
        <v>200.4</v>
      </c>
      <c r="DK156" s="2" t="n">
        <v>571.6</v>
      </c>
      <c r="DL156" s="2" t="n">
        <v>84.5</v>
      </c>
      <c r="DM156" s="2" t="n">
        <v>233.9</v>
      </c>
      <c r="DO156" s="2" t="n">
        <v>187.2</v>
      </c>
      <c r="DP156" s="2" t="n">
        <v>204.4</v>
      </c>
      <c r="DS156" s="2" t="n">
        <v>716.186</v>
      </c>
      <c r="DT156" s="2" t="n">
        <v>3068.7</v>
      </c>
      <c r="DU156" s="2" t="n">
        <v>-278.6139999999996</v>
      </c>
      <c r="DV156" s="2" t="n">
        <v>0</v>
      </c>
      <c r="GZ156" s="2" t="n">
        <v>979.2</v>
      </c>
      <c r="IN156" s="2" t="n">
        <v>81.09999999999999</v>
      </c>
      <c r="IY156" s="2" t="n">
        <v>47.59409521947406</v>
      </c>
      <c r="IZ156" s="2" t="n">
        <v>0.1040952194740541</v>
      </c>
      <c r="JB156" s="2" t="n">
        <v>11.50259067357513</v>
      </c>
      <c r="JC156" s="2" t="n">
        <v>-0.08740932642487032</v>
      </c>
      <c r="JE156" s="2" t="n">
        <v>2420.9</v>
      </c>
      <c r="JF156" s="2" t="n">
        <v>0.3736110537403445</v>
      </c>
    </row>
    <row r="157">
      <c r="A157" s="1" t="n">
        <v>33817</v>
      </c>
      <c r="B157" s="2" t="n">
        <v>3070.2</v>
      </c>
      <c r="C157" s="2" t="n">
        <v>1313.6</v>
      </c>
      <c r="D157" s="2" t="n">
        <v>245.7</v>
      </c>
      <c r="E157" s="2" t="n">
        <v>289.4</v>
      </c>
      <c r="F157" s="2" t="n">
        <v>35.5</v>
      </c>
      <c r="G157" s="2" t="n">
        <v>45</v>
      </c>
      <c r="H157" s="2" t="n">
        <v>53.8</v>
      </c>
      <c r="I157" s="2" t="inlineStr">
        <is>
          <t>NA</t>
        </is>
      </c>
      <c r="J157" s="2" t="inlineStr">
        <is>
          <t>NA</t>
        </is>
      </c>
      <c r="K157" s="2" t="n">
        <v>1178.6</v>
      </c>
      <c r="L157" s="2" t="n">
        <v>2362.8</v>
      </c>
      <c r="M157" s="2" t="n">
        <v>2126.8</v>
      </c>
      <c r="N157" s="2" t="n">
        <v>236</v>
      </c>
      <c r="O157" s="2" t="n">
        <v>77.8</v>
      </c>
      <c r="P157" s="2" t="n">
        <v>94.40000000000001</v>
      </c>
      <c r="Q157" s="2" t="n">
        <v>29.1</v>
      </c>
      <c r="R157" s="2" t="n">
        <v>65.3</v>
      </c>
      <c r="T157" s="2" t="n">
        <v>31.3</v>
      </c>
      <c r="U157" s="2" t="n">
        <v>59.2</v>
      </c>
      <c r="V157" s="2" t="n">
        <v>53.5</v>
      </c>
      <c r="W157" s="2" t="n">
        <v>5.7</v>
      </c>
      <c r="X157" s="2" t="n">
        <v>35.8</v>
      </c>
      <c r="Y157" s="2" t="n">
        <v>9.4</v>
      </c>
      <c r="Z157" s="2" t="n">
        <v>148.5</v>
      </c>
      <c r="AA157" s="2" t="n">
        <v>136</v>
      </c>
      <c r="AB157" s="2" t="n">
        <v>12.5</v>
      </c>
      <c r="AC157" s="2" t="inlineStr">
        <is>
          <t>NA</t>
        </is>
      </c>
      <c r="AD157" s="2" t="n">
        <v>30.2</v>
      </c>
      <c r="AF157" s="2" t="n">
        <v>92.5</v>
      </c>
      <c r="AG157" s="2" t="n">
        <v>69</v>
      </c>
      <c r="AH157" s="2" t="n">
        <v>23.5</v>
      </c>
      <c r="AI157" s="2" t="n">
        <v>162.4</v>
      </c>
      <c r="AL157" s="2" t="n">
        <v>185.8</v>
      </c>
      <c r="AM157" s="2" t="n">
        <v>144.9</v>
      </c>
      <c r="AN157" s="2" t="n">
        <v>40.9</v>
      </c>
      <c r="AO157" s="2" t="n">
        <v>2290.6</v>
      </c>
      <c r="AP157" s="2" t="n">
        <v>257.1</v>
      </c>
      <c r="AQ157" s="2" t="n">
        <v>138.4</v>
      </c>
      <c r="AR157" s="2" t="n">
        <v>33.8</v>
      </c>
      <c r="AS157" s="2" t="n">
        <v>111.2</v>
      </c>
      <c r="AT157" s="2" t="n">
        <v>58.4</v>
      </c>
      <c r="AU157" s="2" t="n">
        <v>68.59999999999999</v>
      </c>
      <c r="AV157" s="2" t="n">
        <v>36.5</v>
      </c>
      <c r="AW157" s="2" t="n">
        <v>19.6</v>
      </c>
      <c r="AX157" s="2" t="n">
        <v>3.8</v>
      </c>
      <c r="AY157" s="2" t="n">
        <v>22.3</v>
      </c>
      <c r="AZ157" s="2" t="n">
        <v>5.6</v>
      </c>
      <c r="BA157" s="2" t="n">
        <v>0.7</v>
      </c>
      <c r="BB157" s="2" t="n">
        <v>0.3</v>
      </c>
      <c r="BD157" s="2" t="n">
        <v>133</v>
      </c>
      <c r="BE157" s="2" t="n">
        <v>35.1</v>
      </c>
      <c r="BH157" s="2" t="n">
        <v>284.1</v>
      </c>
      <c r="BK157" s="2" t="n">
        <v>191</v>
      </c>
      <c r="BL157" s="2" t="n">
        <v>2.4</v>
      </c>
      <c r="BM157" s="2" t="n">
        <v>477.5</v>
      </c>
      <c r="BN157" s="2" t="n">
        <v>304.4</v>
      </c>
      <c r="BQ157" s="2" t="n">
        <v>91.59999999999999</v>
      </c>
      <c r="BR157" s="2" t="n">
        <v>3.7</v>
      </c>
      <c r="BS157" s="2" t="n">
        <v>399.7</v>
      </c>
      <c r="BT157" s="2" t="inlineStr">
        <is>
          <t>NA</t>
        </is>
      </c>
      <c r="BU157" s="2" t="n">
        <v>26.9</v>
      </c>
      <c r="BV157" s="2" t="n">
        <v>322.5</v>
      </c>
      <c r="BW157" s="2" t="n">
        <v>96.90000000000001</v>
      </c>
      <c r="BX157" s="2" t="n">
        <v>419.5</v>
      </c>
      <c r="BY157" s="2" t="n">
        <v>43.3</v>
      </c>
      <c r="BZ157" s="2" t="n">
        <v>8.800000000000001</v>
      </c>
      <c r="CA157" s="2" t="n">
        <v>52.09999999999999</v>
      </c>
      <c r="CF157" s="2" t="n">
        <v>129.9</v>
      </c>
      <c r="CG157" s="2" t="n">
        <v>186.1</v>
      </c>
      <c r="CH157" s="2" t="n">
        <v>28.4</v>
      </c>
      <c r="CN157" s="2" t="n">
        <v>62.6</v>
      </c>
      <c r="CO157" s="2" t="n">
        <v>187.1</v>
      </c>
      <c r="CP157" s="2" t="n">
        <v>150</v>
      </c>
      <c r="CQ157" s="2" t="n">
        <v>37.1</v>
      </c>
      <c r="CR157" s="2" t="inlineStr">
        <is>
          <t>NA</t>
        </is>
      </c>
      <c r="CS157" s="2" t="n">
        <v>47.3</v>
      </c>
      <c r="CT157" s="2" t="n">
        <v>29.7</v>
      </c>
      <c r="CU157" s="2" t="n">
        <v>17.6</v>
      </c>
      <c r="CV157" s="2" t="n">
        <v>38.1</v>
      </c>
      <c r="CW157" s="2" t="n">
        <v>16</v>
      </c>
      <c r="CX157" s="2" t="n">
        <v>22.1</v>
      </c>
      <c r="CY157" s="2" t="inlineStr">
        <is>
          <t>NA</t>
        </is>
      </c>
      <c r="CZ157" s="2" t="n">
        <v>46.1</v>
      </c>
      <c r="DA157" s="2" t="n">
        <v>24</v>
      </c>
      <c r="DB157" s="2" t="n">
        <v>23.2</v>
      </c>
      <c r="DC157" s="2" t="n">
        <v>0.8</v>
      </c>
      <c r="DI157" s="2" t="n">
        <v>603.1</v>
      </c>
      <c r="DJ157" s="2" t="n">
        <v>203.3</v>
      </c>
      <c r="DK157" s="2" t="n">
        <v>600.3</v>
      </c>
      <c r="DL157" s="2" t="n">
        <v>125.7</v>
      </c>
      <c r="DM157" s="2" t="n">
        <v>232.1</v>
      </c>
      <c r="DO157" s="2" t="n">
        <v>182</v>
      </c>
      <c r="DP157" s="2" t="n">
        <v>228</v>
      </c>
      <c r="DS157" s="2" t="n">
        <v>603.735</v>
      </c>
      <c r="DT157" s="2" t="n">
        <v>3070.2</v>
      </c>
      <c r="DU157" s="2" t="n">
        <v>-291.9649999999997</v>
      </c>
      <c r="DV157" s="2" t="n">
        <v>0</v>
      </c>
      <c r="GZ157" s="2" t="n">
        <v>997.6</v>
      </c>
      <c r="IN157" s="2" t="n">
        <v>69.3</v>
      </c>
      <c r="IY157" s="2" t="n">
        <v>47.46922024623804</v>
      </c>
      <c r="IZ157" s="2" t="n">
        <v>0.04922024623803622</v>
      </c>
      <c r="JB157" s="2" t="n">
        <v>11.51651358217706</v>
      </c>
      <c r="JC157" s="2" t="n">
        <v>-0.06348641782294351</v>
      </c>
      <c r="JE157" s="2" t="n">
        <v>2362.8</v>
      </c>
      <c r="JF157" s="2" t="n">
        <v>0.3793389199255121</v>
      </c>
    </row>
    <row r="158">
      <c r="A158" s="1" t="n">
        <v>33848</v>
      </c>
      <c r="B158" s="2" t="n">
        <v>3037</v>
      </c>
      <c r="C158" s="2" t="n">
        <v>1390</v>
      </c>
      <c r="D158" s="2" t="n">
        <v>162.9</v>
      </c>
      <c r="E158" s="2" t="n">
        <v>353.1</v>
      </c>
      <c r="F158" s="2" t="n">
        <v>41.1</v>
      </c>
      <c r="G158" s="2" t="n">
        <v>72.40000000000001</v>
      </c>
      <c r="H158" s="2" t="n">
        <v>16.5</v>
      </c>
      <c r="I158" s="2" t="inlineStr">
        <is>
          <t>NA</t>
        </is>
      </c>
      <c r="J158" s="2" t="inlineStr">
        <is>
          <t>NA</t>
        </is>
      </c>
      <c r="K158" s="2" t="n">
        <v>1157.7</v>
      </c>
      <c r="L158" s="2" t="n">
        <v>2239.4</v>
      </c>
      <c r="M158" s="2" t="n">
        <v>2026.2</v>
      </c>
      <c r="N158" s="2" t="n">
        <v>213.2</v>
      </c>
      <c r="O158" s="2" t="n">
        <v>56.8</v>
      </c>
      <c r="P158" s="2" t="n">
        <v>77.59999999999999</v>
      </c>
      <c r="Q158" s="2" t="n">
        <v>24</v>
      </c>
      <c r="R158" s="2" t="n">
        <v>53.6</v>
      </c>
      <c r="T158" s="2" t="n">
        <v>35.1</v>
      </c>
      <c r="U158" s="2" t="n">
        <v>55.8</v>
      </c>
      <c r="V158" s="2" t="n">
        <v>50.2</v>
      </c>
      <c r="W158" s="2" t="n">
        <v>5.6</v>
      </c>
      <c r="X158" s="2" t="n">
        <v>58.4</v>
      </c>
      <c r="Y158" s="2" t="n">
        <v>8.4</v>
      </c>
      <c r="Z158" s="2" t="n">
        <v>99.8</v>
      </c>
      <c r="AA158" s="2" t="n">
        <v>87.09999999999999</v>
      </c>
      <c r="AB158" s="2" t="n">
        <v>12.7</v>
      </c>
      <c r="AC158" s="2" t="inlineStr">
        <is>
          <t>NA</t>
        </is>
      </c>
      <c r="AD158" s="2" t="n">
        <v>28.8</v>
      </c>
      <c r="AF158" s="2" t="n">
        <v>71.40000000000001</v>
      </c>
      <c r="AG158" s="2" t="n">
        <v>49.6</v>
      </c>
      <c r="AH158" s="2" t="n">
        <v>21.8</v>
      </c>
      <c r="AI158" s="2" t="n">
        <v>153.6</v>
      </c>
      <c r="AL158" s="2" t="n">
        <v>196.5</v>
      </c>
      <c r="AM158" s="2" t="n">
        <v>156.3</v>
      </c>
      <c r="AN158" s="2" t="n">
        <v>40.2</v>
      </c>
      <c r="AO158" s="2" t="n">
        <v>2259.9</v>
      </c>
      <c r="AP158" s="2" t="n">
        <v>199.8</v>
      </c>
      <c r="AQ158" s="2" t="n">
        <v>137.4</v>
      </c>
      <c r="AR158" s="2" t="n">
        <v>30.2</v>
      </c>
      <c r="AS158" s="2" t="n">
        <v>76</v>
      </c>
      <c r="AT158" s="2" t="n">
        <v>42.7</v>
      </c>
      <c r="AU158" s="2" t="n">
        <v>43.4</v>
      </c>
      <c r="AV158" s="2" t="n">
        <v>13.8</v>
      </c>
      <c r="AW158" s="2" t="n">
        <v>23.5</v>
      </c>
      <c r="AX158" s="2" t="n">
        <v>5.3</v>
      </c>
      <c r="AY158" s="2" t="n">
        <v>33.3</v>
      </c>
      <c r="AZ158" s="2" t="n">
        <v>7.3</v>
      </c>
      <c r="BA158" s="2" t="n">
        <v>0.3</v>
      </c>
      <c r="BB158" s="2" t="n">
        <v>0.4</v>
      </c>
      <c r="BD158" s="2" t="n">
        <v>141.3</v>
      </c>
      <c r="BE158" s="2" t="n">
        <v>32.6</v>
      </c>
      <c r="BH158" s="2" t="n">
        <v>304.7</v>
      </c>
      <c r="BK158" s="2" t="n">
        <v>199.2</v>
      </c>
      <c r="BL158" s="2" t="n">
        <v>1.5</v>
      </c>
      <c r="BM158" s="2" t="n">
        <v>505.4</v>
      </c>
      <c r="BN158" s="2" t="n">
        <v>248.2</v>
      </c>
      <c r="BQ158" s="2" t="n">
        <v>96.2</v>
      </c>
      <c r="BR158" s="2" t="n">
        <v>3.6</v>
      </c>
      <c r="BS158" s="2" t="n">
        <v>348</v>
      </c>
      <c r="BT158" s="2" t="inlineStr">
        <is>
          <t>NA</t>
        </is>
      </c>
      <c r="BU158" s="2" t="n">
        <v>27.2</v>
      </c>
      <c r="BV158" s="2" t="n">
        <v>338.7</v>
      </c>
      <c r="BW158" s="2" t="n">
        <v>109.2</v>
      </c>
      <c r="BX158" s="2" t="n">
        <v>448.3</v>
      </c>
      <c r="BY158" s="2" t="n">
        <v>46.5</v>
      </c>
      <c r="BZ158" s="2" t="n">
        <v>7.9</v>
      </c>
      <c r="CA158" s="2" t="n">
        <v>54.4</v>
      </c>
      <c r="CF158" s="2" t="n">
        <v>119.7</v>
      </c>
      <c r="CG158" s="2" t="n">
        <v>173.3</v>
      </c>
      <c r="CH158" s="2" t="n">
        <v>17.4</v>
      </c>
      <c r="CN158" s="2" t="n">
        <v>57.2</v>
      </c>
      <c r="CO158" s="2" t="n">
        <v>187.7</v>
      </c>
      <c r="CP158" s="2" t="n">
        <v>157.6</v>
      </c>
      <c r="CQ158" s="2" t="n">
        <v>30.1</v>
      </c>
      <c r="CR158" s="2" t="inlineStr">
        <is>
          <t>NA</t>
        </is>
      </c>
      <c r="CS158" s="2" t="n">
        <v>64.8</v>
      </c>
      <c r="CT158" s="2" t="n">
        <v>41.3</v>
      </c>
      <c r="CU158" s="2" t="n">
        <v>23.5</v>
      </c>
      <c r="CV158" s="2" t="n">
        <v>44.3</v>
      </c>
      <c r="CW158" s="2" t="n">
        <v>19.1</v>
      </c>
      <c r="CX158" s="2" t="n">
        <v>25.2</v>
      </c>
      <c r="CY158" s="2" t="inlineStr">
        <is>
          <t>NA</t>
        </is>
      </c>
      <c r="CZ158" s="2" t="n">
        <v>48</v>
      </c>
      <c r="DA158" s="2" t="n">
        <v>28.5</v>
      </c>
      <c r="DB158" s="2" t="n">
        <v>27.8</v>
      </c>
      <c r="DC158" s="2" t="n">
        <v>0.7</v>
      </c>
      <c r="DG158" s="2" t="n">
        <v>121.3</v>
      </c>
      <c r="DI158" s="2" t="n">
        <v>652.6</v>
      </c>
      <c r="DJ158" s="2" t="n">
        <v>199.9</v>
      </c>
      <c r="DK158" s="2" t="n">
        <v>558.6</v>
      </c>
      <c r="DL158" s="2" t="n">
        <v>123.8</v>
      </c>
      <c r="DM158" s="2" t="n">
        <v>220.7</v>
      </c>
      <c r="DO158" s="2" t="n">
        <v>150.6</v>
      </c>
      <c r="DP158" s="2" t="n">
        <v>221.8</v>
      </c>
      <c r="DS158" s="2" t="n">
        <v>687.832</v>
      </c>
      <c r="DT158" s="2" t="n">
        <v>3037</v>
      </c>
      <c r="DU158" s="2" t="n">
        <v>-221.1680000000001</v>
      </c>
      <c r="DV158" s="2" t="n">
        <v>0</v>
      </c>
      <c r="GZ158" s="2" t="n">
        <v>1040.7</v>
      </c>
      <c r="IN158" s="2" t="n">
        <v>46.3</v>
      </c>
      <c r="IY158" s="2" t="n">
        <v>47.36187026671058</v>
      </c>
      <c r="IZ158" s="2" t="n">
        <v>-0.01812973328942746</v>
      </c>
      <c r="JB158" s="2" t="n">
        <v>11.43595653605532</v>
      </c>
      <c r="JC158" s="2" t="n">
        <v>-0.07404346394468142</v>
      </c>
      <c r="JE158" s="2" t="n">
        <v>2239.4</v>
      </c>
      <c r="JF158" s="2" t="n">
        <v>0.3765325533625078</v>
      </c>
    </row>
    <row r="159">
      <c r="A159" s="1" t="n">
        <v>33878</v>
      </c>
      <c r="B159" s="2" t="n">
        <v>3416.1</v>
      </c>
      <c r="C159" s="2" t="n">
        <v>3969.4</v>
      </c>
      <c r="D159" s="2" t="n">
        <v>323.2</v>
      </c>
      <c r="E159" s="2" t="n">
        <v>1333.5</v>
      </c>
      <c r="F159" s="2" t="n">
        <v>27.6</v>
      </c>
      <c r="G159" s="2" t="n">
        <v>74.5</v>
      </c>
      <c r="H159" s="2" t="n">
        <v>69.8</v>
      </c>
      <c r="I159" s="2" t="inlineStr">
        <is>
          <t>NA</t>
        </is>
      </c>
      <c r="J159" s="2" t="inlineStr">
        <is>
          <t>NA</t>
        </is>
      </c>
      <c r="K159" s="2" t="n">
        <v>1238</v>
      </c>
      <c r="L159" s="2" t="n">
        <v>2076.3</v>
      </c>
      <c r="M159" s="2" t="n">
        <v>1856.1</v>
      </c>
      <c r="N159" s="2" t="n">
        <v>220.2</v>
      </c>
      <c r="O159" s="2" t="n">
        <v>99.5</v>
      </c>
      <c r="P159" s="2" t="n">
        <v>81.80000000000001</v>
      </c>
      <c r="Q159" s="2" t="n">
        <v>32.6</v>
      </c>
      <c r="R159" s="2" t="n">
        <v>49.2</v>
      </c>
      <c r="T159" s="2" t="n">
        <v>24.2</v>
      </c>
      <c r="U159" s="2" t="n">
        <v>60.3</v>
      </c>
      <c r="V159" s="2" t="n">
        <v>54.5</v>
      </c>
      <c r="W159" s="2" t="n">
        <v>5.8</v>
      </c>
      <c r="X159" s="2" t="n">
        <v>58.8</v>
      </c>
      <c r="Y159" s="2" t="n">
        <v>7.5</v>
      </c>
      <c r="Z159" s="2" t="n">
        <v>99.2</v>
      </c>
      <c r="AA159" s="2" t="n">
        <v>89.7</v>
      </c>
      <c r="AB159" s="2" t="n">
        <v>9.5</v>
      </c>
      <c r="AC159" s="2" t="inlineStr">
        <is>
          <t>NA</t>
        </is>
      </c>
      <c r="AD159" s="2" t="n">
        <v>16.2</v>
      </c>
      <c r="AF159" s="2" t="n">
        <v>84.3</v>
      </c>
      <c r="AG159" s="2" t="n">
        <v>63.6</v>
      </c>
      <c r="AH159" s="2" t="n">
        <v>20.7</v>
      </c>
      <c r="AI159" s="2" t="n">
        <v>168.1</v>
      </c>
      <c r="AL159" s="2" t="n">
        <v>186.1</v>
      </c>
      <c r="AM159" s="2" t="n">
        <v>152.2</v>
      </c>
      <c r="AN159" s="2" t="n">
        <v>33.9</v>
      </c>
      <c r="AO159" s="2" t="n">
        <v>2550.1</v>
      </c>
      <c r="AP159" s="2" t="n">
        <v>271.9</v>
      </c>
      <c r="AQ159" s="2" t="n">
        <v>148</v>
      </c>
      <c r="AR159" s="2" t="n">
        <v>36</v>
      </c>
      <c r="AS159" s="2" t="n">
        <v>143.7</v>
      </c>
      <c r="AT159" s="2" t="n">
        <v>61.5</v>
      </c>
      <c r="AU159" s="2" t="n">
        <v>87.5</v>
      </c>
      <c r="AV159" s="2" t="n">
        <v>17</v>
      </c>
      <c r="AW159" s="2" t="n">
        <v>15.5</v>
      </c>
      <c r="AX159" s="2" t="n">
        <v>3.2</v>
      </c>
      <c r="AY159" s="2" t="n">
        <v>36.7</v>
      </c>
      <c r="AZ159" s="2" t="n">
        <v>3.7</v>
      </c>
      <c r="BA159" s="2" t="n">
        <v>0</v>
      </c>
      <c r="BB159" s="2" t="n">
        <v>0.2</v>
      </c>
      <c r="BD159" s="2" t="n">
        <v>126.2</v>
      </c>
      <c r="BE159" s="2" t="n">
        <v>30.7</v>
      </c>
      <c r="BH159" s="2" t="n">
        <v>295</v>
      </c>
      <c r="BK159" s="2" t="n">
        <v>190.9</v>
      </c>
      <c r="BL159" s="2" t="n">
        <v>1.8</v>
      </c>
      <c r="BM159" s="2" t="n">
        <v>487.7</v>
      </c>
      <c r="BN159" s="2" t="n">
        <v>233.4</v>
      </c>
      <c r="BQ159" s="2" t="n">
        <v>109.8</v>
      </c>
      <c r="BR159" s="2" t="n">
        <v>3.9</v>
      </c>
      <c r="BS159" s="2" t="n">
        <v>347.1</v>
      </c>
      <c r="BT159" s="2" t="inlineStr">
        <is>
          <t>NA</t>
        </is>
      </c>
      <c r="BU159" s="2" t="n">
        <v>22.2</v>
      </c>
      <c r="BV159" s="2" t="n">
        <v>327.9</v>
      </c>
      <c r="BW159" s="2" t="n">
        <v>102.6</v>
      </c>
      <c r="BX159" s="2" t="n">
        <v>431.5</v>
      </c>
      <c r="BY159" s="2" t="n">
        <v>57.8</v>
      </c>
      <c r="BZ159" s="2" t="n">
        <v>9.699999999999999</v>
      </c>
      <c r="CA159" s="2" t="n">
        <v>67.5</v>
      </c>
      <c r="CF159" s="2" t="n">
        <v>120.2</v>
      </c>
      <c r="CG159" s="2" t="n">
        <v>167.5</v>
      </c>
      <c r="CH159" s="2" t="n">
        <v>18.1</v>
      </c>
      <c r="CN159" s="2" t="n">
        <v>52</v>
      </c>
      <c r="CO159" s="2" t="n">
        <v>225.1</v>
      </c>
      <c r="CP159" s="2" t="n">
        <v>184.7</v>
      </c>
      <c r="CQ159" s="2" t="n">
        <v>40.4</v>
      </c>
      <c r="CR159" s="2" t="inlineStr">
        <is>
          <t>NA</t>
        </is>
      </c>
      <c r="CS159" s="2" t="n">
        <v>72.7</v>
      </c>
      <c r="CT159" s="2" t="n">
        <v>49.1</v>
      </c>
      <c r="CU159" s="2" t="n">
        <v>23.6</v>
      </c>
      <c r="CV159" s="2" t="n">
        <v>39.3</v>
      </c>
      <c r="CW159" s="2" t="n">
        <v>12.8</v>
      </c>
      <c r="CX159" s="2" t="n">
        <v>26.5</v>
      </c>
      <c r="CY159" s="2" t="inlineStr">
        <is>
          <t>NA</t>
        </is>
      </c>
      <c r="CZ159" s="2" t="n">
        <v>59.6</v>
      </c>
      <c r="DA159" s="2" t="n">
        <v>31.9</v>
      </c>
      <c r="DB159" s="2" t="n">
        <v>30.5</v>
      </c>
      <c r="DC159" s="2" t="n">
        <v>1.4</v>
      </c>
      <c r="DG159" s="2" t="n">
        <v>100.4</v>
      </c>
      <c r="DI159" s="2" t="n">
        <v>669.3</v>
      </c>
      <c r="DJ159" s="2" t="n">
        <v>236.5</v>
      </c>
      <c r="DK159" s="2" t="n">
        <v>618.4</v>
      </c>
      <c r="DL159" s="2" t="n">
        <v>155.8</v>
      </c>
      <c r="DM159" s="2" t="n">
        <v>223.5</v>
      </c>
      <c r="DO159" s="2" t="n">
        <v>212.2</v>
      </c>
      <c r="DP159" s="2" t="n">
        <v>236.4</v>
      </c>
      <c r="DS159" s="2" t="n">
        <v>791.1660000000001</v>
      </c>
      <c r="DT159" s="2" t="n">
        <v>3416.1</v>
      </c>
      <c r="DU159" s="2" t="n">
        <v>-272.8339999999998</v>
      </c>
      <c r="DV159" s="2" t="n">
        <v>0</v>
      </c>
      <c r="GZ159" s="2" t="n">
        <v>1095.6</v>
      </c>
      <c r="IN159" s="2" t="n">
        <v>72.59999999999999</v>
      </c>
      <c r="IY159" s="2" t="n">
        <v>47.38912795292878</v>
      </c>
      <c r="IZ159" s="2" t="n">
        <v>0.3691279529287783</v>
      </c>
      <c r="JB159" s="2" t="n">
        <v>10.87204707122157</v>
      </c>
      <c r="JC159" s="2" t="n">
        <v>-0.02795292877843103</v>
      </c>
      <c r="JE159" s="2" t="n">
        <v>2076.3</v>
      </c>
      <c r="JF159" s="2" t="n">
        <v>0.3833588595097048</v>
      </c>
    </row>
    <row r="160">
      <c r="A160" s="1" t="n">
        <v>33909</v>
      </c>
      <c r="B160" s="2" t="n">
        <v>3393.7</v>
      </c>
      <c r="C160" s="2" t="n">
        <v>4121.9</v>
      </c>
      <c r="D160" s="2" t="n">
        <v>353.3</v>
      </c>
      <c r="E160" s="2" t="n">
        <v>2000.4</v>
      </c>
      <c r="F160" s="2" t="n">
        <v>24</v>
      </c>
      <c r="G160" s="2" t="n">
        <v>79.3</v>
      </c>
      <c r="H160" s="2" t="n">
        <v>126.2</v>
      </c>
      <c r="I160" s="2" t="inlineStr">
        <is>
          <t>NA</t>
        </is>
      </c>
      <c r="J160" s="2" t="inlineStr">
        <is>
          <t>NA</t>
        </is>
      </c>
      <c r="K160" s="2" t="n">
        <v>1200.3</v>
      </c>
      <c r="L160" s="2" t="n">
        <v>2105.2</v>
      </c>
      <c r="M160" s="2" t="n">
        <v>1885</v>
      </c>
      <c r="N160" s="2" t="n">
        <v>220.2</v>
      </c>
      <c r="O160" s="2" t="n">
        <v>110.2</v>
      </c>
      <c r="P160" s="2" t="n">
        <v>100.1</v>
      </c>
      <c r="Q160" s="2" t="n">
        <v>43.7</v>
      </c>
      <c r="R160" s="2" t="n">
        <v>56.4</v>
      </c>
      <c r="T160" s="2" t="n">
        <v>19.2</v>
      </c>
      <c r="U160" s="2" t="n">
        <v>62.5</v>
      </c>
      <c r="V160" s="2" t="n">
        <v>56.6</v>
      </c>
      <c r="W160" s="2" t="n">
        <v>5.9</v>
      </c>
      <c r="X160" s="2" t="n">
        <v>59.9</v>
      </c>
      <c r="Y160" s="2" t="n">
        <v>7.8</v>
      </c>
      <c r="Z160" s="2" t="n">
        <v>90.7</v>
      </c>
      <c r="AA160" s="2" t="n">
        <v>81.8</v>
      </c>
      <c r="AB160" s="2" t="n">
        <v>8.9</v>
      </c>
      <c r="AC160" s="2" t="inlineStr">
        <is>
          <t>NA</t>
        </is>
      </c>
      <c r="AD160" s="2" t="n">
        <v>19.9</v>
      </c>
      <c r="AF160" s="2" t="n">
        <v>73.8</v>
      </c>
      <c r="AG160" s="2" t="n">
        <v>50.5</v>
      </c>
      <c r="AH160" s="2" t="n">
        <v>23.3</v>
      </c>
      <c r="AI160" s="2" t="n">
        <v>151.8</v>
      </c>
      <c r="AL160" s="2" t="n">
        <v>201.1</v>
      </c>
      <c r="AM160" s="2" t="n">
        <v>158.7</v>
      </c>
      <c r="AN160" s="2" t="n">
        <v>42.4</v>
      </c>
      <c r="AO160" s="2" t="n">
        <v>2543.9</v>
      </c>
      <c r="AP160" s="2" t="n">
        <v>368.9</v>
      </c>
      <c r="AQ160" s="2" t="n">
        <v>153.4</v>
      </c>
      <c r="AR160" s="2" t="n">
        <v>42.4</v>
      </c>
      <c r="AS160" s="2" t="n">
        <v>150.2</v>
      </c>
      <c r="AT160" s="2" t="n">
        <v>66.09999999999999</v>
      </c>
      <c r="AU160" s="2" t="n">
        <v>100.1</v>
      </c>
      <c r="AV160" s="2" t="n">
        <v>27.9</v>
      </c>
      <c r="AW160" s="2" t="n">
        <v>13.7</v>
      </c>
      <c r="AX160" s="2" t="n">
        <v>6.9</v>
      </c>
      <c r="AY160" s="2" t="n">
        <v>42.8</v>
      </c>
      <c r="AZ160" s="2" t="n">
        <v>1.8</v>
      </c>
      <c r="BA160" s="2" t="n">
        <v>0.8</v>
      </c>
      <c r="BB160" s="2" t="n">
        <v>0.3</v>
      </c>
      <c r="BD160" s="2" t="n">
        <v>119.2</v>
      </c>
      <c r="BE160" s="2" t="n">
        <v>42.2</v>
      </c>
      <c r="BH160" s="2" t="n">
        <v>287.5</v>
      </c>
      <c r="BK160" s="2" t="n">
        <v>182.3</v>
      </c>
      <c r="BL160" s="2" t="n">
        <v>1.8</v>
      </c>
      <c r="BM160" s="2" t="n">
        <v>471.5</v>
      </c>
      <c r="BN160" s="2" t="n">
        <v>234.1</v>
      </c>
      <c r="BQ160" s="2" t="n">
        <v>110.4</v>
      </c>
      <c r="BR160" s="2" t="n">
        <v>5.1</v>
      </c>
      <c r="BS160" s="2" t="n">
        <v>349.6</v>
      </c>
      <c r="BT160" s="2" t="inlineStr">
        <is>
          <t>NA</t>
        </is>
      </c>
      <c r="BU160" s="2" t="n">
        <v>24.8</v>
      </c>
      <c r="BV160" s="2" t="n">
        <v>318.6</v>
      </c>
      <c r="BW160" s="2" t="n">
        <v>100.9</v>
      </c>
      <c r="BX160" s="2" t="n">
        <v>420.5</v>
      </c>
      <c r="BY160" s="2" t="n">
        <v>64.09999999999999</v>
      </c>
      <c r="BZ160" s="2" t="n">
        <v>9.300000000000001</v>
      </c>
      <c r="CA160" s="2" t="n">
        <v>73.39999999999999</v>
      </c>
      <c r="CF160" s="2" t="n">
        <v>114.7</v>
      </c>
      <c r="CG160" s="2" t="n">
        <v>143.7</v>
      </c>
      <c r="CH160" s="2" t="n">
        <v>13.8</v>
      </c>
      <c r="CN160" s="2" t="n">
        <v>52.9</v>
      </c>
      <c r="CO160" s="2" t="n">
        <v>278.8</v>
      </c>
      <c r="CP160" s="2" t="n">
        <v>227.9</v>
      </c>
      <c r="CQ160" s="2" t="n">
        <v>50.9</v>
      </c>
      <c r="CR160" s="2" t="inlineStr">
        <is>
          <t>NA</t>
        </is>
      </c>
      <c r="CS160" s="2" t="n">
        <v>67.90000000000001</v>
      </c>
      <c r="CT160" s="2" t="n">
        <v>47.7</v>
      </c>
      <c r="CU160" s="2" t="n">
        <v>20.2</v>
      </c>
      <c r="CV160" s="2" t="n">
        <v>43.4</v>
      </c>
      <c r="CW160" s="2" t="n">
        <v>14.7</v>
      </c>
      <c r="CX160" s="2" t="n">
        <v>28.7</v>
      </c>
      <c r="CY160" s="2" t="inlineStr">
        <is>
          <t>NA</t>
        </is>
      </c>
      <c r="CZ160" s="2" t="n">
        <v>87.3</v>
      </c>
      <c r="DA160" s="2" t="n">
        <v>30.7</v>
      </c>
      <c r="DB160" s="2" t="n">
        <v>28.7</v>
      </c>
      <c r="DC160" s="2" t="n">
        <v>2</v>
      </c>
      <c r="DG160" s="2" t="n">
        <v>118.4</v>
      </c>
      <c r="DI160" s="2" t="n">
        <v>645.4</v>
      </c>
      <c r="DJ160" s="2" t="n">
        <v>216</v>
      </c>
      <c r="DK160" s="2" t="n">
        <v>612.5</v>
      </c>
      <c r="DL160" s="2" t="n">
        <v>148.2</v>
      </c>
      <c r="DM160" s="2" t="n">
        <v>218.8</v>
      </c>
      <c r="DO160" s="2" t="n">
        <v>208.7</v>
      </c>
      <c r="DP160" s="2" t="n">
        <v>225.4</v>
      </c>
      <c r="DS160" s="2" t="n">
        <v>823.331</v>
      </c>
      <c r="DT160" s="2" t="n">
        <v>3393.7</v>
      </c>
      <c r="DU160" s="2" t="n">
        <v>-295.3689999999997</v>
      </c>
      <c r="DV160" s="2" t="n">
        <v>0</v>
      </c>
      <c r="GZ160" s="2" t="n">
        <v>999.4</v>
      </c>
      <c r="IN160" s="2" t="n">
        <v>90.2</v>
      </c>
      <c r="IY160" s="2" t="n">
        <v>47.68777440551611</v>
      </c>
      <c r="IZ160" s="2" t="n">
        <v>0.07777440551610937</v>
      </c>
      <c r="JB160" s="2" t="n">
        <v>10.6105430650912</v>
      </c>
      <c r="JC160" s="2" t="n">
        <v>-0.1094569349088008</v>
      </c>
      <c r="JE160" s="2" t="n">
        <v>2105.2</v>
      </c>
      <c r="JF160" s="2" t="n">
        <v>0.37474444233327</v>
      </c>
    </row>
    <row r="161">
      <c r="A161" s="1" t="n">
        <v>33939</v>
      </c>
      <c r="B161" s="2" t="n">
        <v>3486</v>
      </c>
      <c r="C161" s="2" t="n">
        <v>3573.8</v>
      </c>
      <c r="D161" s="2" t="n">
        <v>372.1</v>
      </c>
      <c r="E161" s="2" t="n">
        <v>2245.3</v>
      </c>
      <c r="F161" s="2" t="n">
        <v>19.8</v>
      </c>
      <c r="G161" s="2" t="n">
        <v>123.4</v>
      </c>
      <c r="H161" s="2" t="n">
        <v>89</v>
      </c>
      <c r="I161" s="2" t="inlineStr">
        <is>
          <t>NA</t>
        </is>
      </c>
      <c r="J161" s="2" t="inlineStr">
        <is>
          <t>NA</t>
        </is>
      </c>
      <c r="K161" s="2" t="n">
        <v>1238.6</v>
      </c>
      <c r="L161" s="2" t="n">
        <v>2280.1</v>
      </c>
      <c r="M161" s="2" t="n">
        <v>2041.5</v>
      </c>
      <c r="N161" s="2" t="n">
        <v>238.6</v>
      </c>
      <c r="O161" s="2" t="n">
        <v>117.6</v>
      </c>
      <c r="P161" s="2" t="n">
        <v>110.4</v>
      </c>
      <c r="Q161" s="2" t="n">
        <v>38.9</v>
      </c>
      <c r="R161" s="2" t="n">
        <v>71.5</v>
      </c>
      <c r="T161" s="2" t="n">
        <v>15.6</v>
      </c>
      <c r="U161" s="2" t="n">
        <v>58.1</v>
      </c>
      <c r="V161" s="2" t="n">
        <v>50.2</v>
      </c>
      <c r="W161" s="2" t="n">
        <v>7.9</v>
      </c>
      <c r="X161" s="2" t="n">
        <v>96.5</v>
      </c>
      <c r="Y161" s="2" t="n">
        <v>6.6</v>
      </c>
      <c r="Z161" s="2" t="n">
        <v>110.9</v>
      </c>
      <c r="AA161" s="2" t="n">
        <v>101.6</v>
      </c>
      <c r="AB161" s="2" t="n">
        <v>9.300000000000001</v>
      </c>
      <c r="AC161" s="2" t="inlineStr">
        <is>
          <t>NA</t>
        </is>
      </c>
      <c r="AD161" s="2" t="n">
        <v>15.8</v>
      </c>
      <c r="AF161" s="2" t="n">
        <v>67.59999999999999</v>
      </c>
      <c r="AG161" s="2" t="n">
        <v>51.2</v>
      </c>
      <c r="AH161" s="2" t="n">
        <v>16.4</v>
      </c>
      <c r="AI161" s="2" t="n">
        <v>151.6</v>
      </c>
      <c r="AL161" s="2" t="n">
        <v>225.3</v>
      </c>
      <c r="AM161" s="2" t="n">
        <v>185.8</v>
      </c>
      <c r="AN161" s="2" t="n">
        <v>39.5</v>
      </c>
      <c r="AO161" s="2" t="n">
        <v>2595.2</v>
      </c>
      <c r="AP161" s="2" t="n">
        <v>321.3</v>
      </c>
      <c r="AQ161" s="2" t="n">
        <v>168.3</v>
      </c>
      <c r="AR161" s="2" t="n">
        <v>39.5</v>
      </c>
      <c r="AS161" s="2" t="n">
        <v>160.5</v>
      </c>
      <c r="AT161" s="2" t="n">
        <v>49.6</v>
      </c>
      <c r="AU161" s="2" t="n">
        <v>111.9</v>
      </c>
      <c r="AV161" s="2" t="n">
        <v>37</v>
      </c>
      <c r="AW161" s="2" t="n">
        <v>11.3</v>
      </c>
      <c r="AX161" s="2" t="n">
        <v>2.4</v>
      </c>
      <c r="AY161" s="2" t="n">
        <v>60.3</v>
      </c>
      <c r="AZ161" s="2" t="n">
        <v>4.9</v>
      </c>
      <c r="BA161" s="2" t="n">
        <v>0</v>
      </c>
      <c r="BB161" s="2" t="n">
        <v>0.3</v>
      </c>
      <c r="BD161" s="2" t="n">
        <v>112.4</v>
      </c>
      <c r="BE161" s="2" t="n">
        <v>33.3</v>
      </c>
      <c r="BH161" s="2" t="n">
        <v>288.7</v>
      </c>
      <c r="BK161" s="2" t="n">
        <v>190.7</v>
      </c>
      <c r="BL161" s="2" t="n">
        <v>1.9</v>
      </c>
      <c r="BM161" s="2" t="n">
        <v>481.2</v>
      </c>
      <c r="BN161" s="2" t="n">
        <v>219.2</v>
      </c>
      <c r="BQ161" s="2" t="n">
        <v>85.5</v>
      </c>
      <c r="BR161" s="2" t="n">
        <v>3.8</v>
      </c>
      <c r="BS161" s="2" t="n">
        <v>308.5</v>
      </c>
      <c r="BT161" s="2" t="inlineStr">
        <is>
          <t>NA</t>
        </is>
      </c>
      <c r="BU161" s="2" t="n">
        <v>22.7</v>
      </c>
      <c r="BV161" s="2" t="n">
        <v>322.7</v>
      </c>
      <c r="BW161" s="2" t="n">
        <v>111.4</v>
      </c>
      <c r="BX161" s="2" t="n">
        <v>434.9</v>
      </c>
      <c r="BY161" s="2" t="n">
        <v>51.8</v>
      </c>
      <c r="BZ161" s="2" t="n">
        <v>10.1</v>
      </c>
      <c r="CA161" s="2" t="n">
        <v>61.9</v>
      </c>
      <c r="CF161" s="2" t="n">
        <v>122.7</v>
      </c>
      <c r="CG161" s="2" t="n">
        <v>137.8</v>
      </c>
      <c r="CH161" s="2" t="n">
        <v>14.1</v>
      </c>
      <c r="CN161" s="2" t="n">
        <v>50.7</v>
      </c>
      <c r="CO161" s="2" t="n">
        <v>355.7</v>
      </c>
      <c r="CP161" s="2" t="n">
        <v>301.8</v>
      </c>
      <c r="CQ161" s="2" t="n">
        <v>53.9</v>
      </c>
      <c r="CR161" s="2" t="inlineStr">
        <is>
          <t>NA</t>
        </is>
      </c>
      <c r="CS161" s="2" t="n">
        <v>61.5</v>
      </c>
      <c r="CT161" s="2" t="n">
        <v>39.9</v>
      </c>
      <c r="CU161" s="2" t="n">
        <v>21.6</v>
      </c>
      <c r="CV161" s="2" t="n">
        <v>37.2</v>
      </c>
      <c r="CW161" s="2" t="n">
        <v>14.4</v>
      </c>
      <c r="CX161" s="2" t="n">
        <v>22.8</v>
      </c>
      <c r="CY161" s="2" t="inlineStr">
        <is>
          <t>NA</t>
        </is>
      </c>
      <c r="CZ161" s="2" t="n">
        <v>76.09999999999999</v>
      </c>
      <c r="DA161" s="2" t="n">
        <v>24.3</v>
      </c>
      <c r="DB161" s="2" t="n">
        <v>22.9</v>
      </c>
      <c r="DC161" s="2" t="n">
        <v>1.4</v>
      </c>
      <c r="DG161" s="2" t="n">
        <v>123.2</v>
      </c>
      <c r="DI161" s="2" t="n">
        <v>635</v>
      </c>
      <c r="DJ161" s="2" t="n">
        <v>229.7</v>
      </c>
      <c r="DK161" s="2" t="n">
        <v>643.4</v>
      </c>
      <c r="DL161" s="2" t="n">
        <v>165.3</v>
      </c>
      <c r="DM161" s="2" t="n">
        <v>221</v>
      </c>
      <c r="DO161" s="2" t="n">
        <v>210.7</v>
      </c>
      <c r="DP161" s="2" t="n">
        <v>235.1</v>
      </c>
      <c r="DS161" s="2" t="n">
        <v>845.825</v>
      </c>
      <c r="DT161" s="2" t="n">
        <v>3486</v>
      </c>
      <c r="DU161" s="2" t="n">
        <v>-299.9750000000004</v>
      </c>
      <c r="DV161" s="2" t="n">
        <v>0</v>
      </c>
      <c r="GZ161" s="2" t="n">
        <v>951</v>
      </c>
      <c r="IN161" s="2" t="n">
        <v>91.90000000000001</v>
      </c>
      <c r="IY161" s="2" t="n">
        <v>47.56454388984509</v>
      </c>
      <c r="IZ161" s="2" t="n">
        <v>-0.32545611015491</v>
      </c>
      <c r="JB161" s="2" t="n">
        <v>10.6592082616179</v>
      </c>
      <c r="JC161" s="2" t="n">
        <v>-0.1107917383821011</v>
      </c>
      <c r="JE161" s="2" t="n">
        <v>2280.1</v>
      </c>
      <c r="JF161" s="2" t="n">
        <v>0.3644186658479891</v>
      </c>
    </row>
    <row r="162">
      <c r="A162" s="1" t="n">
        <v>33970</v>
      </c>
      <c r="B162" s="2" t="n">
        <v>3505.29</v>
      </c>
      <c r="C162" s="2" t="n">
        <v>3335.5</v>
      </c>
      <c r="D162" s="2" t="n">
        <v>413.3</v>
      </c>
      <c r="E162" s="2" t="n">
        <v>2040.1</v>
      </c>
      <c r="F162" s="2" t="n">
        <v>21.1</v>
      </c>
      <c r="G162" s="2" t="n">
        <v>127.8</v>
      </c>
      <c r="H162" s="2" t="n">
        <v>82.40000000000001</v>
      </c>
      <c r="I162" s="2" t="inlineStr">
        <is>
          <t>NA</t>
        </is>
      </c>
      <c r="J162" s="2" t="inlineStr">
        <is>
          <t>NA</t>
        </is>
      </c>
      <c r="K162" s="2" t="n">
        <v>1246.6</v>
      </c>
      <c r="L162" s="2" t="n">
        <v>2410.1</v>
      </c>
      <c r="M162" s="2" t="n">
        <v>2177.8</v>
      </c>
      <c r="N162" s="2" t="n">
        <v>232.3</v>
      </c>
      <c r="O162" s="2" t="n">
        <v>134.7</v>
      </c>
      <c r="P162" s="2" t="n">
        <v>125.3</v>
      </c>
      <c r="Q162" s="2" t="n">
        <v>42.6</v>
      </c>
      <c r="R162" s="2" t="n">
        <v>82.7</v>
      </c>
      <c r="T162" s="2" t="n">
        <v>16.9</v>
      </c>
      <c r="U162" s="2" t="n">
        <v>58.7</v>
      </c>
      <c r="V162" s="2" t="n">
        <v>51.5</v>
      </c>
      <c r="W162" s="2" t="n">
        <v>7.2</v>
      </c>
      <c r="X162" s="2" t="n">
        <v>98.3</v>
      </c>
      <c r="Y162" s="2" t="n">
        <v>2.5</v>
      </c>
      <c r="Z162" s="2" t="n">
        <v>109.3</v>
      </c>
      <c r="AA162" s="2" t="n">
        <v>96.90000000000001</v>
      </c>
      <c r="AB162" s="2" t="n">
        <v>12.4</v>
      </c>
      <c r="AC162" s="2" t="inlineStr">
        <is>
          <t>NA</t>
        </is>
      </c>
      <c r="AD162" s="2" t="n">
        <v>17.1</v>
      </c>
      <c r="AF162" s="2" t="n">
        <v>82.59999999999999</v>
      </c>
      <c r="AG162" s="2" t="n">
        <v>61.1</v>
      </c>
      <c r="AH162" s="2" t="n">
        <v>21.5</v>
      </c>
      <c r="AI162" s="2" t="n">
        <v>135.5</v>
      </c>
      <c r="AL162" s="2" t="n">
        <v>206.8</v>
      </c>
      <c r="AM162" s="2" t="n">
        <v>175.4</v>
      </c>
      <c r="AN162" s="2" t="n">
        <v>31.4</v>
      </c>
      <c r="AO162" s="2" t="n">
        <v>2614.6</v>
      </c>
      <c r="AP162" s="2" t="n">
        <v>395.2</v>
      </c>
      <c r="AQ162" s="2" t="n">
        <v>166.5</v>
      </c>
      <c r="AR162" s="2" t="n">
        <v>44.8</v>
      </c>
      <c r="AS162" s="2" t="n">
        <v>176.2</v>
      </c>
      <c r="AT162" s="2" t="n">
        <v>64.40000000000001</v>
      </c>
      <c r="AU162" s="2" t="n">
        <v>118.5</v>
      </c>
      <c r="AV162" s="2" t="n">
        <v>51.2</v>
      </c>
      <c r="AW162" s="2" t="n">
        <v>11.8</v>
      </c>
      <c r="AX162" s="2" t="n">
        <v>3.1</v>
      </c>
      <c r="AY162" s="2" t="n">
        <v>64.3</v>
      </c>
      <c r="AZ162" s="2" t="n">
        <v>8.6</v>
      </c>
      <c r="BA162" s="2" t="inlineStr">
        <is>
          <t>NA</t>
        </is>
      </c>
      <c r="BB162" s="2" t="inlineStr">
        <is>
          <t>NA</t>
        </is>
      </c>
      <c r="BD162" s="2" t="n">
        <v>117.7</v>
      </c>
      <c r="BE162" s="2" t="n">
        <v>41.3</v>
      </c>
      <c r="BH162" s="2" t="n">
        <v>323.6</v>
      </c>
      <c r="BK162" s="2" t="n">
        <v>211.5</v>
      </c>
      <c r="BL162" s="2" t="n">
        <v>2.1</v>
      </c>
      <c r="BM162" s="2" t="n">
        <v>537.2</v>
      </c>
      <c r="BN162" s="2" t="n">
        <v>265.9</v>
      </c>
      <c r="BQ162" s="2" t="n">
        <v>86.90000000000001</v>
      </c>
      <c r="BR162" s="2" t="n">
        <v>4.6</v>
      </c>
      <c r="BS162" s="2" t="n">
        <v>357.4</v>
      </c>
      <c r="BT162" s="2" t="inlineStr">
        <is>
          <t>NA</t>
        </is>
      </c>
      <c r="BU162" s="2" t="n">
        <v>25.9</v>
      </c>
      <c r="BV162" s="2" t="n">
        <v>367.5</v>
      </c>
      <c r="BW162" s="2" t="n">
        <v>112.4</v>
      </c>
      <c r="BX162" s="2" t="n">
        <v>420.9</v>
      </c>
      <c r="BY162" s="2" t="n">
        <v>44.6</v>
      </c>
      <c r="BZ162" s="2" t="n">
        <v>10.8</v>
      </c>
      <c r="CA162" s="2" t="n">
        <v>55.40000000000001</v>
      </c>
      <c r="CF162" s="2" t="n">
        <v>119.4</v>
      </c>
      <c r="CG162" s="2" t="n">
        <v>162.5</v>
      </c>
      <c r="CH162" s="2" t="n">
        <v>14</v>
      </c>
      <c r="CN162" s="2" t="n">
        <v>56.3</v>
      </c>
      <c r="CO162" s="2" t="n">
        <v>406.7</v>
      </c>
      <c r="CP162" s="2" t="n">
        <v>363.4</v>
      </c>
      <c r="CQ162" s="2" t="n">
        <v>43.3</v>
      </c>
      <c r="CR162" s="2" t="inlineStr">
        <is>
          <t>NA</t>
        </is>
      </c>
      <c r="CS162" s="2" t="n">
        <v>64.40000000000001</v>
      </c>
      <c r="CT162" s="2" t="n">
        <v>44.4</v>
      </c>
      <c r="CU162" s="2" t="n">
        <v>20</v>
      </c>
      <c r="CV162" s="2" t="n">
        <v>45.4</v>
      </c>
      <c r="CW162" s="2" t="n">
        <v>13</v>
      </c>
      <c r="CX162" s="2" t="n">
        <v>32.4</v>
      </c>
      <c r="CY162" s="2" t="inlineStr">
        <is>
          <t>NA</t>
        </is>
      </c>
      <c r="CZ162" s="2" t="n">
        <v>73.40000000000001</v>
      </c>
      <c r="DA162" s="2" t="n">
        <v>17.8</v>
      </c>
      <c r="DB162" s="2" t="n">
        <v>16.6</v>
      </c>
      <c r="DC162" s="2" t="n">
        <v>1.2</v>
      </c>
      <c r="DG162" s="2" t="n">
        <v>125.115</v>
      </c>
      <c r="DI162" s="2" t="n">
        <v>662.603</v>
      </c>
      <c r="DJ162" s="2" t="n">
        <v>224.783</v>
      </c>
      <c r="DK162" s="2" t="n">
        <v>639.367</v>
      </c>
      <c r="DL162" s="2" t="n">
        <v>153.415</v>
      </c>
      <c r="DM162" s="2" t="n">
        <v>225.406</v>
      </c>
      <c r="DO162" s="2" t="n">
        <v>202.728</v>
      </c>
      <c r="DP162" s="2" t="n">
        <v>229.812</v>
      </c>
      <c r="DS162" s="2" t="n">
        <v>863.372</v>
      </c>
      <c r="DT162" s="2" t="n">
        <v>3505.289</v>
      </c>
      <c r="DU162" s="2" t="n">
        <v>-303.8030000000008</v>
      </c>
      <c r="DV162" s="2" t="n">
        <v>-0.0009999999997489795</v>
      </c>
      <c r="GZ162" s="2" t="n">
        <v>960.1</v>
      </c>
      <c r="IN162" s="2" t="n">
        <v>103.1</v>
      </c>
      <c r="IY162" s="2" t="n">
        <v>47.60404987889732</v>
      </c>
      <c r="IZ162" s="2" t="n">
        <v>-0.03595012110267959</v>
      </c>
      <c r="JB162" s="2" t="n">
        <v>10.66901739941631</v>
      </c>
      <c r="JC162" s="2" t="n">
        <v>-0.03098260058368929</v>
      </c>
      <c r="JE162" s="2" t="n">
        <v>2410.1</v>
      </c>
      <c r="JF162" s="2" t="n">
        <v>0.3712596987676859</v>
      </c>
    </row>
    <row r="163">
      <c r="A163" s="1" t="n">
        <v>34001</v>
      </c>
      <c r="B163" s="2" t="n">
        <v>3064.71</v>
      </c>
      <c r="C163" s="2" t="n">
        <v>2915.9</v>
      </c>
      <c r="D163" s="2" t="n">
        <v>334.6</v>
      </c>
      <c r="E163" s="2" t="n">
        <v>1797.6</v>
      </c>
      <c r="F163" s="2" t="n">
        <v>21.8</v>
      </c>
      <c r="G163" s="2" t="n">
        <v>114.9</v>
      </c>
      <c r="H163" s="2" t="n">
        <v>70.7</v>
      </c>
      <c r="I163" s="2" t="inlineStr">
        <is>
          <t>NA</t>
        </is>
      </c>
      <c r="J163" s="2" t="inlineStr">
        <is>
          <t>NA</t>
        </is>
      </c>
      <c r="K163" s="2" t="n">
        <v>1101.9</v>
      </c>
      <c r="L163" s="2" t="n">
        <v>2336.8</v>
      </c>
      <c r="M163" s="2" t="n">
        <v>2110.4</v>
      </c>
      <c r="N163" s="2" t="n">
        <v>226.4</v>
      </c>
      <c r="O163" s="2" t="n">
        <v>107.2</v>
      </c>
      <c r="P163" s="2" t="n">
        <v>133.7</v>
      </c>
      <c r="Q163" s="2" t="n">
        <v>48.7</v>
      </c>
      <c r="R163" s="2" t="n">
        <v>85</v>
      </c>
      <c r="T163" s="2" t="n">
        <v>17</v>
      </c>
      <c r="U163" s="2" t="n">
        <v>61.4</v>
      </c>
      <c r="V163" s="2" t="n">
        <v>55.9</v>
      </c>
      <c r="W163" s="2" t="n">
        <v>5.5</v>
      </c>
      <c r="X163" s="2" t="n">
        <v>90</v>
      </c>
      <c r="Y163" s="2" t="n">
        <v>2.9</v>
      </c>
      <c r="Z163" s="2" t="n">
        <v>133.4</v>
      </c>
      <c r="AA163" s="2" t="n">
        <v>117.3</v>
      </c>
      <c r="AB163" s="2" t="n">
        <v>16.1</v>
      </c>
      <c r="AC163" s="2" t="inlineStr">
        <is>
          <t>NA</t>
        </is>
      </c>
      <c r="AD163" s="2" t="n">
        <v>19.2</v>
      </c>
      <c r="AF163" s="2" t="n">
        <v>67.5</v>
      </c>
      <c r="AG163" s="2" t="n">
        <v>49.9</v>
      </c>
      <c r="AH163" s="2" t="n">
        <v>17.6</v>
      </c>
      <c r="AI163" s="2" t="n">
        <v>139</v>
      </c>
      <c r="AL163" s="2" t="n">
        <v>166.3</v>
      </c>
      <c r="AM163" s="2" t="n">
        <v>131.4</v>
      </c>
      <c r="AN163" s="2" t="n">
        <v>34.9</v>
      </c>
      <c r="AO163" s="2" t="n">
        <v>2286.4</v>
      </c>
      <c r="AP163" s="2" t="n">
        <v>371.8</v>
      </c>
      <c r="AQ163" s="2" t="n">
        <v>144</v>
      </c>
      <c r="AR163" s="2" t="n">
        <v>48.7</v>
      </c>
      <c r="AS163" s="2" t="n">
        <v>146.6</v>
      </c>
      <c r="AT163" s="2" t="n">
        <v>65.59999999999999</v>
      </c>
      <c r="AU163" s="2" t="n">
        <v>98.90000000000001</v>
      </c>
      <c r="AV163" s="2" t="n">
        <v>55</v>
      </c>
      <c r="AW163" s="2" t="n">
        <v>12.3</v>
      </c>
      <c r="AX163" s="2" t="n">
        <v>6.7</v>
      </c>
      <c r="AY163" s="2" t="n">
        <v>57.6</v>
      </c>
      <c r="AZ163" s="2" t="n">
        <v>6.2</v>
      </c>
      <c r="BA163" s="2" t="inlineStr">
        <is>
          <t>NA</t>
        </is>
      </c>
      <c r="BB163" s="2" t="inlineStr">
        <is>
          <t>NA</t>
        </is>
      </c>
      <c r="BD163" s="2" t="n">
        <v>106.8</v>
      </c>
      <c r="BE163" s="2" t="n">
        <v>37.2</v>
      </c>
      <c r="BH163" s="2" t="n">
        <v>292</v>
      </c>
      <c r="BK163" s="2" t="n">
        <v>189.2</v>
      </c>
      <c r="BL163" s="2" t="n">
        <v>1.7</v>
      </c>
      <c r="BM163" s="2" t="n">
        <v>482.9</v>
      </c>
      <c r="BN163" s="2" t="n">
        <v>274.1</v>
      </c>
      <c r="BQ163" s="2" t="n">
        <v>90.7</v>
      </c>
      <c r="BR163" s="2" t="n">
        <v>4.7</v>
      </c>
      <c r="BS163" s="2" t="n">
        <v>369.5</v>
      </c>
      <c r="BT163" s="2" t="inlineStr">
        <is>
          <t>NA</t>
        </is>
      </c>
      <c r="BU163" s="2" t="n">
        <v>27.2</v>
      </c>
      <c r="BV163" s="2" t="n">
        <v>335.9</v>
      </c>
      <c r="BW163" s="2" t="n">
        <v>105.2</v>
      </c>
      <c r="BX163" s="2" t="n">
        <v>386.7</v>
      </c>
      <c r="BY163" s="2" t="n">
        <v>43.3</v>
      </c>
      <c r="BZ163" s="2" t="n">
        <v>9.199999999999999</v>
      </c>
      <c r="CA163" s="2" t="n">
        <v>52.5</v>
      </c>
      <c r="CF163" s="2" t="n">
        <v>128.4</v>
      </c>
      <c r="CG163" s="2" t="n">
        <v>170.8</v>
      </c>
      <c r="CH163" s="2" t="n">
        <v>12.6</v>
      </c>
      <c r="CN163" s="2" t="n">
        <v>50.2</v>
      </c>
      <c r="CO163" s="2" t="n">
        <v>418.9</v>
      </c>
      <c r="CP163" s="2" t="n">
        <v>359.3</v>
      </c>
      <c r="CQ163" s="2" t="n">
        <v>59.6</v>
      </c>
      <c r="CR163" s="2" t="inlineStr">
        <is>
          <t>NA</t>
        </is>
      </c>
      <c r="CS163" s="2" t="n">
        <v>67.5</v>
      </c>
      <c r="CT163" s="2" t="n">
        <v>45.1</v>
      </c>
      <c r="CU163" s="2" t="n">
        <v>22.4</v>
      </c>
      <c r="CV163" s="2" t="n">
        <v>53.8</v>
      </c>
      <c r="CW163" s="2" t="n">
        <v>15.6</v>
      </c>
      <c r="CX163" s="2" t="n">
        <v>38.2</v>
      </c>
      <c r="CY163" s="2" t="inlineStr">
        <is>
          <t>NA</t>
        </is>
      </c>
      <c r="CZ163" s="2" t="n">
        <v>91.40000000000001</v>
      </c>
      <c r="DA163" s="2" t="n">
        <v>21.6</v>
      </c>
      <c r="DB163" s="2" t="n">
        <v>20.9</v>
      </c>
      <c r="DC163" s="2" t="n">
        <v>0.7</v>
      </c>
      <c r="DG163" s="2" t="n">
        <v>106.317</v>
      </c>
      <c r="DI163" s="2" t="n">
        <v>576.59</v>
      </c>
      <c r="DJ163" s="2" t="n">
        <v>198.739</v>
      </c>
      <c r="DK163" s="2" t="n">
        <v>532.35</v>
      </c>
      <c r="DL163" s="2" t="n">
        <v>135.771</v>
      </c>
      <c r="DM163" s="2" t="n">
        <v>197.196</v>
      </c>
      <c r="DO163" s="2" t="n">
        <v>188.62</v>
      </c>
      <c r="DP163" s="2" t="n">
        <v>198.231</v>
      </c>
      <c r="DS163" s="2" t="n">
        <v>771.256</v>
      </c>
      <c r="DT163" s="2" t="n">
        <v>3064.739</v>
      </c>
      <c r="DU163" s="2" t="n">
        <v>-265.9859999999999</v>
      </c>
      <c r="DV163" s="2" t="n">
        <v>0.02899999999999636</v>
      </c>
      <c r="GZ163" s="2" t="n">
        <v>935.4</v>
      </c>
      <c r="IN163" s="2" t="n">
        <v>82</v>
      </c>
      <c r="IY163" s="2" t="n">
        <v>47.5816635179185</v>
      </c>
      <c r="IZ163" s="2" t="n">
        <v>0.03166351791850275</v>
      </c>
      <c r="JB163" s="2" t="n">
        <v>10.78633867478489</v>
      </c>
      <c r="JC163" s="2" t="n">
        <v>-0.003661325215107425</v>
      </c>
      <c r="JE163" s="2" t="n">
        <v>2336.8</v>
      </c>
      <c r="JF163" s="2" t="n">
        <v>0.3735826771653543</v>
      </c>
    </row>
    <row r="164">
      <c r="A164" s="1" t="n">
        <v>34029</v>
      </c>
      <c r="B164" s="2" t="n">
        <v>3389.6</v>
      </c>
      <c r="C164" s="2" t="n">
        <v>2703</v>
      </c>
      <c r="D164" s="2" t="n">
        <v>324.1</v>
      </c>
      <c r="E164" s="2" t="n">
        <v>1491.2</v>
      </c>
      <c r="F164" s="2" t="n">
        <v>29.2</v>
      </c>
      <c r="G164" s="2" t="n">
        <v>115.6</v>
      </c>
      <c r="H164" s="2" t="n">
        <v>84.2</v>
      </c>
      <c r="I164" s="2" t="inlineStr">
        <is>
          <t>NA</t>
        </is>
      </c>
      <c r="J164" s="2" t="inlineStr">
        <is>
          <t>NA</t>
        </is>
      </c>
      <c r="K164" s="2" t="n">
        <v>1216.1</v>
      </c>
      <c r="L164" s="2" t="n">
        <v>2246.1</v>
      </c>
      <c r="M164" s="2" t="n">
        <v>2029</v>
      </c>
      <c r="N164" s="2" t="n">
        <v>217.1</v>
      </c>
      <c r="O164" s="2" t="n">
        <v>104.9</v>
      </c>
      <c r="P164" s="2" t="n">
        <v>135.6</v>
      </c>
      <c r="Q164" s="2" t="n">
        <v>47.7</v>
      </c>
      <c r="R164" s="2" t="n">
        <v>87.90000000000001</v>
      </c>
      <c r="T164" s="2" t="n">
        <v>24.1</v>
      </c>
      <c r="U164" s="2" t="n">
        <v>67.40000000000001</v>
      </c>
      <c r="V164" s="2" t="n">
        <v>60.6</v>
      </c>
      <c r="W164" s="2" t="n">
        <v>6.8</v>
      </c>
      <c r="X164" s="2" t="n">
        <v>80.3</v>
      </c>
      <c r="Y164" s="2" t="n">
        <v>3.3</v>
      </c>
      <c r="Z164" s="2" t="n">
        <v>118.6</v>
      </c>
      <c r="AA164" s="2" t="n">
        <v>108.1</v>
      </c>
      <c r="AB164" s="2" t="n">
        <v>10.5</v>
      </c>
      <c r="AC164" s="2" t="inlineStr">
        <is>
          <t>NA</t>
        </is>
      </c>
      <c r="AD164" s="2" t="n">
        <v>19.6</v>
      </c>
      <c r="AF164" s="2" t="n">
        <v>82.09999999999999</v>
      </c>
      <c r="AG164" s="2" t="n">
        <v>61.8</v>
      </c>
      <c r="AH164" s="2" t="n">
        <v>20.3</v>
      </c>
      <c r="AI164" s="2" t="n">
        <v>165.6</v>
      </c>
      <c r="AL164" s="2" t="n">
        <v>174.7</v>
      </c>
      <c r="AM164" s="2" t="n">
        <v>127.7</v>
      </c>
      <c r="AN164" s="2" t="n">
        <v>47</v>
      </c>
      <c r="AO164" s="2" t="n">
        <v>2528.5</v>
      </c>
      <c r="AP164" s="2" t="n">
        <v>290.1</v>
      </c>
      <c r="AQ164" s="2" t="n">
        <v>162.8</v>
      </c>
      <c r="AR164" s="2" t="n">
        <v>46.8</v>
      </c>
      <c r="AS164" s="2" t="n">
        <v>136.4</v>
      </c>
      <c r="AT164" s="2" t="n">
        <v>36.1</v>
      </c>
      <c r="AU164" s="2" t="n">
        <v>99.90000000000001</v>
      </c>
      <c r="AV164" s="2" t="n">
        <v>43.8</v>
      </c>
      <c r="AW164" s="2" t="n">
        <v>17.3</v>
      </c>
      <c r="AX164" s="2" t="n">
        <v>12.9</v>
      </c>
      <c r="AY164" s="2" t="n">
        <v>58.6</v>
      </c>
      <c r="AZ164" s="2" t="n">
        <v>5.9</v>
      </c>
      <c r="BA164" s="2" t="inlineStr">
        <is>
          <t>NA</t>
        </is>
      </c>
      <c r="BB164" s="2" t="inlineStr">
        <is>
          <t>NA</t>
        </is>
      </c>
      <c r="BD164" s="2" t="n">
        <v>120.6</v>
      </c>
      <c r="BE164" s="2" t="n">
        <v>34.3</v>
      </c>
      <c r="BH164" s="2" t="n">
        <v>326.3</v>
      </c>
      <c r="BK164" s="2" t="n">
        <v>221.5</v>
      </c>
      <c r="BL164" s="2" t="n">
        <v>2</v>
      </c>
      <c r="BM164" s="2" t="n">
        <v>549.8</v>
      </c>
      <c r="BN164" s="2" t="n">
        <v>258.2</v>
      </c>
      <c r="BQ164" s="2" t="n">
        <v>79.5</v>
      </c>
      <c r="BR164" s="2" t="n">
        <v>4.6</v>
      </c>
      <c r="BS164" s="2" t="n">
        <v>342.3</v>
      </c>
      <c r="BT164" s="2" t="inlineStr">
        <is>
          <t>NA</t>
        </is>
      </c>
      <c r="BU164" s="2" t="n">
        <v>24.6</v>
      </c>
      <c r="BV164" s="2" t="n">
        <v>379.9</v>
      </c>
      <c r="BW164" s="2" t="n">
        <v>120.4</v>
      </c>
      <c r="BX164" s="2" t="n">
        <v>438.7</v>
      </c>
      <c r="BY164" s="2" t="n">
        <v>42.5</v>
      </c>
      <c r="BZ164" s="2" t="n">
        <v>8.300000000000001</v>
      </c>
      <c r="CA164" s="2" t="n">
        <v>50.8</v>
      </c>
      <c r="CF164" s="2" t="n">
        <v>142.1</v>
      </c>
      <c r="CG164" s="2" t="n">
        <v>184.7</v>
      </c>
      <c r="CH164" s="2" t="n">
        <v>13.7</v>
      </c>
      <c r="CN164" s="2" t="n">
        <v>64.3</v>
      </c>
      <c r="CO164" s="2" t="n">
        <v>348.7</v>
      </c>
      <c r="CP164" s="2" t="n">
        <v>298.4</v>
      </c>
      <c r="CQ164" s="2" t="n">
        <v>50.3</v>
      </c>
      <c r="CR164" s="2" t="inlineStr">
        <is>
          <t>NA</t>
        </is>
      </c>
      <c r="CS164" s="2" t="n">
        <v>71</v>
      </c>
      <c r="CT164" s="2" t="n">
        <v>49.1</v>
      </c>
      <c r="CU164" s="2" t="n">
        <v>21.9</v>
      </c>
      <c r="CV164" s="2" t="n">
        <v>47.9</v>
      </c>
      <c r="CW164" s="2" t="n">
        <v>9.4</v>
      </c>
      <c r="CX164" s="2" t="n">
        <v>38.5</v>
      </c>
      <c r="CY164" s="2" t="inlineStr">
        <is>
          <t>NA</t>
        </is>
      </c>
      <c r="CZ164" s="2" t="n">
        <v>80.09999999999999</v>
      </c>
      <c r="DA164" s="2" t="n">
        <v>26.9</v>
      </c>
      <c r="DB164" s="2" t="n">
        <v>25.6</v>
      </c>
      <c r="DC164" s="2" t="n">
        <v>1.3</v>
      </c>
      <c r="DG164" s="2" t="n">
        <v>114.575</v>
      </c>
      <c r="DI164" s="2" t="n">
        <v>646.707</v>
      </c>
      <c r="DJ164" s="2" t="n">
        <v>213.641</v>
      </c>
      <c r="DK164" s="2" t="n">
        <v>575.2910000000001</v>
      </c>
      <c r="DL164" s="2" t="n">
        <v>144.003</v>
      </c>
      <c r="DM164" s="2" t="n">
        <v>225.25</v>
      </c>
      <c r="DO164" s="2" t="n">
        <v>204.251</v>
      </c>
      <c r="DP164" s="2" t="n">
        <v>231.354</v>
      </c>
      <c r="DS164" s="2" t="n">
        <v>849.545</v>
      </c>
      <c r="DT164" s="2" t="n">
        <v>3389.56</v>
      </c>
      <c r="DU164" s="2" t="n">
        <v>-299.518</v>
      </c>
      <c r="DV164" s="2" t="n">
        <v>-0.03999999999996362</v>
      </c>
      <c r="GZ164" s="2" t="n">
        <v>1054.9</v>
      </c>
      <c r="IN164" s="2" t="n">
        <v>74.5</v>
      </c>
      <c r="IY164" s="2" t="n">
        <v>47.6392494689639</v>
      </c>
      <c r="IZ164" s="2" t="n">
        <v>0.01924946896389912</v>
      </c>
      <c r="JB164" s="2" t="n">
        <v>10.76321689874911</v>
      </c>
      <c r="JC164" s="2" t="n">
        <v>-0.05678310125088615</v>
      </c>
      <c r="JE164" s="2" t="n">
        <v>2246.1</v>
      </c>
      <c r="JF164" s="2" t="n">
        <v>0.3773313743822626</v>
      </c>
    </row>
    <row r="165">
      <c r="A165" s="1" t="n">
        <v>34060</v>
      </c>
      <c r="B165" s="2" t="n">
        <v>3178.3</v>
      </c>
      <c r="C165" s="2" t="n">
        <v>2507.2</v>
      </c>
      <c r="D165" s="2" t="n">
        <v>323.8</v>
      </c>
      <c r="E165" s="2" t="n">
        <v>1181.5</v>
      </c>
      <c r="F165" s="2" t="n">
        <v>34.3</v>
      </c>
      <c r="G165" s="2" t="n">
        <v>109</v>
      </c>
      <c r="H165" s="2" t="n">
        <v>77</v>
      </c>
      <c r="I165" s="2" t="inlineStr">
        <is>
          <t>NA</t>
        </is>
      </c>
      <c r="J165" s="2" t="inlineStr">
        <is>
          <t>NA</t>
        </is>
      </c>
      <c r="K165" s="2" t="n">
        <v>1147.5</v>
      </c>
      <c r="L165" s="2" t="n">
        <v>2297.9</v>
      </c>
      <c r="M165" s="2" t="n">
        <v>2068.9</v>
      </c>
      <c r="N165" s="2" t="n">
        <v>229</v>
      </c>
      <c r="O165" s="2" t="n">
        <v>101.7</v>
      </c>
      <c r="P165" s="2" t="n">
        <v>126.7</v>
      </c>
      <c r="Q165" s="2" t="n">
        <v>40</v>
      </c>
      <c r="R165" s="2" t="n">
        <v>86.7</v>
      </c>
      <c r="T165" s="2" t="n">
        <v>28.8</v>
      </c>
      <c r="U165" s="2" t="n">
        <v>67.59999999999999</v>
      </c>
      <c r="V165" s="2" t="n">
        <v>61.5</v>
      </c>
      <c r="W165" s="2" t="n">
        <v>6.1</v>
      </c>
      <c r="X165" s="2" t="n">
        <v>85.7</v>
      </c>
      <c r="Y165" s="2" t="n">
        <v>2.5</v>
      </c>
      <c r="Z165" s="2" t="n">
        <v>128</v>
      </c>
      <c r="AA165" s="2" t="n">
        <v>117.4</v>
      </c>
      <c r="AB165" s="2" t="n">
        <v>10.6</v>
      </c>
      <c r="AC165" s="2" t="inlineStr">
        <is>
          <t>NA</t>
        </is>
      </c>
      <c r="AD165" s="2" t="n">
        <v>20.4</v>
      </c>
      <c r="AF165" s="2" t="n">
        <v>100</v>
      </c>
      <c r="AG165" s="2" t="n">
        <v>78.59999999999999</v>
      </c>
      <c r="AH165" s="2" t="n">
        <v>21.4</v>
      </c>
      <c r="AI165" s="2" t="n">
        <v>153.5</v>
      </c>
      <c r="AL165" s="2" t="n">
        <v>148.8</v>
      </c>
      <c r="AM165" s="2" t="n">
        <v>113.8</v>
      </c>
      <c r="AN165" s="2" t="n">
        <v>35</v>
      </c>
      <c r="AO165" s="2" t="n">
        <v>2366.4</v>
      </c>
      <c r="AP165" s="2" t="n">
        <v>226.1</v>
      </c>
      <c r="AQ165" s="2" t="n">
        <v>152.6</v>
      </c>
      <c r="AR165" s="2" t="n">
        <v>42.4</v>
      </c>
      <c r="AS165" s="2" t="n">
        <v>140.9</v>
      </c>
      <c r="AT165" s="2" t="n">
        <v>54</v>
      </c>
      <c r="AU165" s="2" t="n">
        <v>99.7</v>
      </c>
      <c r="AV165" s="2" t="n">
        <v>51.2</v>
      </c>
      <c r="AW165" s="2" t="n">
        <v>20</v>
      </c>
      <c r="AX165" s="2" t="n">
        <v>11.6</v>
      </c>
      <c r="AY165" s="2" t="n">
        <v>55.2</v>
      </c>
      <c r="AZ165" s="2" t="n">
        <v>14.1</v>
      </c>
      <c r="BA165" s="2" t="inlineStr">
        <is>
          <t>NA</t>
        </is>
      </c>
      <c r="BB165" s="2" t="inlineStr">
        <is>
          <t>NA</t>
        </is>
      </c>
      <c r="BD165" s="2" t="n">
        <v>111.8</v>
      </c>
      <c r="BE165" s="2" t="n">
        <v>34.7</v>
      </c>
      <c r="BH165" s="2" t="n">
        <v>309.9</v>
      </c>
      <c r="BK165" s="2" t="n">
        <v>211.6</v>
      </c>
      <c r="BL165" s="2" t="n">
        <v>2</v>
      </c>
      <c r="BM165" s="2" t="n">
        <v>523.4</v>
      </c>
      <c r="BN165" s="2" t="n">
        <v>225.1</v>
      </c>
      <c r="BQ165" s="2" t="n">
        <v>93.90000000000001</v>
      </c>
      <c r="BR165" s="2" t="n">
        <v>4.6</v>
      </c>
      <c r="BS165" s="2" t="n">
        <v>323.6</v>
      </c>
      <c r="BT165" s="2" t="inlineStr">
        <is>
          <t>NA</t>
        </is>
      </c>
      <c r="BU165" s="2" t="n">
        <v>22.8</v>
      </c>
      <c r="BV165" s="2" t="n">
        <v>368.6</v>
      </c>
      <c r="BW165" s="2" t="n">
        <v>104.9</v>
      </c>
      <c r="BX165" s="2" t="n">
        <v>414.6</v>
      </c>
      <c r="BY165" s="2" t="n">
        <v>50.4</v>
      </c>
      <c r="BZ165" s="2" t="n">
        <v>9.4</v>
      </c>
      <c r="CA165" s="2" t="n">
        <v>59.8</v>
      </c>
      <c r="CF165" s="2" t="n">
        <v>131.8</v>
      </c>
      <c r="CG165" s="2" t="n">
        <v>187.3</v>
      </c>
      <c r="CH165" s="2" t="n">
        <v>9.4</v>
      </c>
      <c r="CN165" s="2" t="n">
        <v>70.2</v>
      </c>
      <c r="CO165" s="2" t="n">
        <v>338.3</v>
      </c>
      <c r="CP165" s="2" t="n">
        <v>286.3</v>
      </c>
      <c r="CQ165" s="2" t="n">
        <v>52</v>
      </c>
      <c r="CR165" s="2" t="inlineStr">
        <is>
          <t>NA</t>
        </is>
      </c>
      <c r="CS165" s="2" t="n">
        <v>61.59999999999999</v>
      </c>
      <c r="CT165" s="2" t="n">
        <v>42.8</v>
      </c>
      <c r="CU165" s="2" t="n">
        <v>18.8</v>
      </c>
      <c r="CV165" s="2" t="n">
        <v>49.3</v>
      </c>
      <c r="CW165" s="2" t="n">
        <v>11</v>
      </c>
      <c r="CX165" s="2" t="n">
        <v>38.3</v>
      </c>
      <c r="CY165" s="2" t="inlineStr">
        <is>
          <t>NA</t>
        </is>
      </c>
      <c r="CZ165" s="2" t="n">
        <v>73.7</v>
      </c>
      <c r="DA165" s="2" t="n">
        <v>19.3</v>
      </c>
      <c r="DB165" s="2" t="n">
        <v>18.2</v>
      </c>
      <c r="DC165" s="2" t="n">
        <v>1.1</v>
      </c>
      <c r="DG165" s="2" t="n">
        <v>101.294</v>
      </c>
      <c r="DI165" s="2" t="n">
        <v>548.38</v>
      </c>
      <c r="DJ165" s="2" t="n">
        <v>207.518</v>
      </c>
      <c r="DK165" s="2" t="n">
        <v>559.7329999999999</v>
      </c>
      <c r="DL165" s="2" t="n">
        <v>139.993</v>
      </c>
      <c r="DM165" s="2" t="n">
        <v>216.737</v>
      </c>
      <c r="DO165" s="2" t="n">
        <v>191.305</v>
      </c>
      <c r="DP165" s="2" t="n">
        <v>224.091</v>
      </c>
      <c r="DS165" s="2" t="n">
        <v>836.899</v>
      </c>
      <c r="DT165" s="2" t="n">
        <v>3178.344</v>
      </c>
      <c r="DU165" s="2" t="n">
        <v>-253.6880000000001</v>
      </c>
      <c r="DV165" s="2" t="n">
        <v>0.04399999999986903</v>
      </c>
      <c r="GZ165" s="2" t="n">
        <v>1039.7</v>
      </c>
      <c r="IN165" s="2" t="n">
        <v>88.8</v>
      </c>
      <c r="IY165" s="2" t="n">
        <v>47.55372368876443</v>
      </c>
      <c r="IZ165" s="2" t="n">
        <v>-0.07627631123557421</v>
      </c>
      <c r="JB165" s="2" t="n">
        <v>10.83126199540635</v>
      </c>
      <c r="JC165" s="2" t="n">
        <v>-0.05873800459365164</v>
      </c>
      <c r="JE165" s="2" t="n">
        <v>2297.9</v>
      </c>
      <c r="JF165" s="2" t="n">
        <v>0.366199573523652</v>
      </c>
    </row>
    <row r="166">
      <c r="A166" s="1" t="n">
        <v>34090</v>
      </c>
      <c r="B166" s="2" t="n">
        <v>3195.1</v>
      </c>
      <c r="C166" s="2" t="n">
        <v>2029.8</v>
      </c>
      <c r="D166" s="2" t="n">
        <v>296.4</v>
      </c>
      <c r="E166" s="2" t="n">
        <v>914</v>
      </c>
      <c r="F166" s="2" t="n">
        <v>29.1</v>
      </c>
      <c r="G166" s="2" t="n">
        <v>95.2</v>
      </c>
      <c r="H166" s="2" t="n">
        <v>20.6</v>
      </c>
      <c r="I166" s="2" t="inlineStr">
        <is>
          <t>NA</t>
        </is>
      </c>
      <c r="J166" s="2" t="inlineStr">
        <is>
          <t>NA</t>
        </is>
      </c>
      <c r="K166" s="2" t="n">
        <v>1152.4</v>
      </c>
      <c r="L166" s="2" t="n">
        <v>2240.7</v>
      </c>
      <c r="M166" s="2" t="n">
        <v>2006.4</v>
      </c>
      <c r="N166" s="2" t="n">
        <v>234.3</v>
      </c>
      <c r="O166" s="2" t="n">
        <v>96.09999999999999</v>
      </c>
      <c r="P166" s="2" t="n">
        <v>131.5</v>
      </c>
      <c r="Q166" s="2" t="n">
        <v>43.2</v>
      </c>
      <c r="R166" s="2" t="n">
        <v>88.3</v>
      </c>
      <c r="T166" s="2" t="n">
        <v>23.3</v>
      </c>
      <c r="U166" s="2" t="n">
        <v>58.9</v>
      </c>
      <c r="V166" s="2" t="n">
        <v>53.4</v>
      </c>
      <c r="W166" s="2" t="n">
        <v>5.5</v>
      </c>
      <c r="X166" s="2" t="n">
        <v>75.3</v>
      </c>
      <c r="Y166" s="2" t="n">
        <v>4.8</v>
      </c>
      <c r="Z166" s="2" t="n">
        <v>147</v>
      </c>
      <c r="AA166" s="2" t="n">
        <v>134.1</v>
      </c>
      <c r="AB166" s="2" t="n">
        <v>12.9</v>
      </c>
      <c r="AC166" s="2" t="inlineStr">
        <is>
          <t>NA</t>
        </is>
      </c>
      <c r="AD166" s="2" t="n">
        <v>19.1</v>
      </c>
      <c r="AF166" s="2" t="n">
        <v>97.8</v>
      </c>
      <c r="AG166" s="2" t="n">
        <v>76.8</v>
      </c>
      <c r="AH166" s="2" t="n">
        <v>21</v>
      </c>
      <c r="AI166" s="2" t="n">
        <v>161.6</v>
      </c>
      <c r="AL166" s="2" t="n">
        <v>156.8</v>
      </c>
      <c r="AM166" s="2" t="n">
        <v>112.2</v>
      </c>
      <c r="AN166" s="2" t="n">
        <v>44.6</v>
      </c>
      <c r="AO166" s="2" t="n">
        <v>2381.6</v>
      </c>
      <c r="AP166" s="2" t="n">
        <v>269.7</v>
      </c>
      <c r="AQ166" s="2" t="n">
        <v>154.7</v>
      </c>
      <c r="AR166" s="2" t="n">
        <v>58.7</v>
      </c>
      <c r="AS166" s="2" t="n">
        <v>126.1</v>
      </c>
      <c r="AT166" s="2" t="n">
        <v>83.59999999999999</v>
      </c>
      <c r="AU166" s="2" t="n">
        <v>83.2</v>
      </c>
      <c r="AV166" s="2" t="n">
        <v>47.4</v>
      </c>
      <c r="AW166" s="2" t="n">
        <v>16.9</v>
      </c>
      <c r="AX166" s="2" t="n">
        <v>9</v>
      </c>
      <c r="AY166" s="2" t="n">
        <v>47.4</v>
      </c>
      <c r="AZ166" s="2" t="n">
        <v>15.9</v>
      </c>
      <c r="BA166" s="2" t="inlineStr">
        <is>
          <t>NA</t>
        </is>
      </c>
      <c r="BB166" s="2" t="inlineStr">
        <is>
          <t>NA</t>
        </is>
      </c>
      <c r="BD166" s="2" t="n">
        <v>119.5</v>
      </c>
      <c r="BE166" s="2" t="n">
        <v>34.1</v>
      </c>
      <c r="BH166" s="2" t="n">
        <v>317.9</v>
      </c>
      <c r="BK166" s="2" t="n">
        <v>207.5</v>
      </c>
      <c r="BL166" s="2" t="n">
        <v>0.9</v>
      </c>
      <c r="BM166" s="2" t="n">
        <v>526.3</v>
      </c>
      <c r="BN166" s="2" t="n">
        <v>237.5</v>
      </c>
      <c r="BQ166" s="2" t="n">
        <v>100.8</v>
      </c>
      <c r="BR166" s="2" t="n">
        <v>5.5</v>
      </c>
      <c r="BS166" s="2" t="n">
        <v>343.8</v>
      </c>
      <c r="BT166" s="2" t="inlineStr">
        <is>
          <t>NA</t>
        </is>
      </c>
      <c r="BU166" s="2" t="n">
        <v>25.8</v>
      </c>
      <c r="BV166" s="2" t="n">
        <v>356.8</v>
      </c>
      <c r="BW166" s="2" t="n">
        <v>110.1</v>
      </c>
      <c r="BX166" s="2" t="n">
        <v>409.4</v>
      </c>
      <c r="BY166" s="2" t="n">
        <v>57</v>
      </c>
      <c r="BZ166" s="2" t="n">
        <v>8.5</v>
      </c>
      <c r="CA166" s="2" t="n">
        <v>65.5</v>
      </c>
      <c r="CF166" s="2" t="n">
        <v>120</v>
      </c>
      <c r="CG166" s="2" t="n">
        <v>165.3</v>
      </c>
      <c r="CH166" s="2" t="n">
        <v>7.7</v>
      </c>
      <c r="CN166" s="2" t="n">
        <v>56</v>
      </c>
      <c r="CO166" s="2" t="n">
        <v>305.3</v>
      </c>
      <c r="CP166" s="2" t="n">
        <v>234.7</v>
      </c>
      <c r="CQ166" s="2" t="n">
        <v>70.59999999999999</v>
      </c>
      <c r="CR166" s="2" t="inlineStr">
        <is>
          <t>NA</t>
        </is>
      </c>
      <c r="CS166" s="2" t="n">
        <v>54.2</v>
      </c>
      <c r="CT166" s="2" t="n">
        <v>43.1</v>
      </c>
      <c r="CU166" s="2" t="n">
        <v>11.1</v>
      </c>
      <c r="CV166" s="2" t="n">
        <v>52.2</v>
      </c>
      <c r="CW166" s="2" t="n">
        <v>13.5</v>
      </c>
      <c r="CX166" s="2" t="n">
        <v>38.7</v>
      </c>
      <c r="CY166" s="2" t="inlineStr">
        <is>
          <t>NA</t>
        </is>
      </c>
      <c r="CZ166" s="2" t="n">
        <v>87.09999999999999</v>
      </c>
      <c r="DA166" s="2" t="n">
        <v>20.3</v>
      </c>
      <c r="DB166" s="2" t="n">
        <v>19</v>
      </c>
      <c r="DC166" s="2" t="n">
        <v>1.3</v>
      </c>
      <c r="DG166" s="2" t="n">
        <v>61.236</v>
      </c>
      <c r="DI166" s="2" t="n">
        <v>613.569</v>
      </c>
      <c r="DJ166" s="2" t="n">
        <v>230.668</v>
      </c>
      <c r="DK166" s="2" t="n">
        <v>503.091</v>
      </c>
      <c r="DL166" s="2" t="n">
        <v>147.863</v>
      </c>
      <c r="DM166" s="2" t="n">
        <v>204.975</v>
      </c>
      <c r="DO166" s="2" t="n">
        <v>188.979</v>
      </c>
      <c r="DP166" s="2" t="n">
        <v>219.866</v>
      </c>
      <c r="DS166" s="2" t="n">
        <v>837.6130000000001</v>
      </c>
      <c r="DT166" s="2" t="n">
        <v>3195.434</v>
      </c>
      <c r="DU166" s="2" t="n">
        <v>-248.8100000000004</v>
      </c>
      <c r="DV166" s="2" t="n">
        <v>0.3340000000002874</v>
      </c>
      <c r="GZ166" s="2" t="n">
        <v>950.6</v>
      </c>
      <c r="IN166" s="2" t="n">
        <v>75.59999999999999</v>
      </c>
      <c r="IY166" s="2" t="n">
        <v>47.62855622672217</v>
      </c>
      <c r="IZ166" s="2" t="n">
        <v>0.04855622672216953</v>
      </c>
      <c r="JB166" s="2" t="n">
        <v>10.82031861287597</v>
      </c>
      <c r="JC166" s="2" t="n">
        <v>-0.01968138712403267</v>
      </c>
      <c r="JE166" s="2" t="n">
        <v>2240.7</v>
      </c>
      <c r="JF166" s="2" t="n">
        <v>0.3584669969206051</v>
      </c>
    </row>
    <row r="167">
      <c r="A167" s="1" t="n">
        <v>34121</v>
      </c>
      <c r="B167" s="2" t="n">
        <v>2996.8</v>
      </c>
      <c r="C167" s="2" t="n">
        <v>2014.2</v>
      </c>
      <c r="D167" s="2" t="n">
        <v>242.7</v>
      </c>
      <c r="E167" s="2" t="n">
        <v>623.1</v>
      </c>
      <c r="F167" s="2" t="n">
        <v>34.9</v>
      </c>
      <c r="G167" s="2" t="n">
        <v>60.5</v>
      </c>
      <c r="H167" s="2" t="n">
        <v>25.3</v>
      </c>
      <c r="I167" s="2" t="inlineStr">
        <is>
          <t>NA</t>
        </is>
      </c>
      <c r="J167" s="2" t="inlineStr">
        <is>
          <t>NA</t>
        </is>
      </c>
      <c r="K167" s="2" t="n">
        <v>1083.1</v>
      </c>
      <c r="L167" s="2" t="n">
        <v>2174</v>
      </c>
      <c r="M167" s="2" t="n">
        <v>1967</v>
      </c>
      <c r="N167" s="2" t="n">
        <v>207</v>
      </c>
      <c r="O167" s="2" t="n">
        <v>77.7</v>
      </c>
      <c r="P167" s="2" t="n">
        <v>115.2</v>
      </c>
      <c r="Q167" s="2" t="n">
        <v>38.2</v>
      </c>
      <c r="R167" s="2" t="n">
        <v>77</v>
      </c>
      <c r="T167" s="2" t="n">
        <v>29</v>
      </c>
      <c r="U167" s="2" t="n">
        <v>67.90000000000001</v>
      </c>
      <c r="V167" s="2" t="n">
        <v>62</v>
      </c>
      <c r="W167" s="2" t="n">
        <v>5.9</v>
      </c>
      <c r="X167" s="2" t="n">
        <v>46.8</v>
      </c>
      <c r="Y167" s="2" t="n">
        <v>3.5</v>
      </c>
      <c r="Z167" s="2" t="n">
        <v>131.1</v>
      </c>
      <c r="AA167" s="2" t="n">
        <v>120.7</v>
      </c>
      <c r="AB167" s="2" t="n">
        <v>10.4</v>
      </c>
      <c r="AC167" s="2" t="inlineStr">
        <is>
          <t>NA</t>
        </is>
      </c>
      <c r="AD167" s="2" t="n">
        <v>21.1</v>
      </c>
      <c r="AF167" s="2" t="n">
        <v>81.5</v>
      </c>
      <c r="AG167" s="2" t="n">
        <v>62.9</v>
      </c>
      <c r="AH167" s="2" t="n">
        <v>18.6</v>
      </c>
      <c r="AI167" s="2" t="n">
        <v>164.5</v>
      </c>
      <c r="AL167" s="2" t="n">
        <v>193.8</v>
      </c>
      <c r="AM167" s="2" t="n">
        <v>149.2</v>
      </c>
      <c r="AN167" s="2" t="n">
        <v>44.6</v>
      </c>
      <c r="AO167" s="2" t="n">
        <v>2221.4</v>
      </c>
      <c r="AP167" s="2" t="n">
        <v>203</v>
      </c>
      <c r="AQ167" s="2" t="n">
        <v>151.6</v>
      </c>
      <c r="AR167" s="2" t="n">
        <v>54.4</v>
      </c>
      <c r="AS167" s="2" t="n">
        <v>103</v>
      </c>
      <c r="AT167" s="2" t="n">
        <v>70.40000000000001</v>
      </c>
      <c r="AU167" s="2" t="n">
        <v>73.09999999999999</v>
      </c>
      <c r="AV167" s="2" t="n">
        <v>33.3</v>
      </c>
      <c r="AW167" s="2" t="n">
        <v>19.9</v>
      </c>
      <c r="AX167" s="2" t="n">
        <v>10.4</v>
      </c>
      <c r="AY167" s="2" t="n">
        <v>33.2</v>
      </c>
      <c r="AZ167" s="2" t="n">
        <v>10.2</v>
      </c>
      <c r="BA167" s="2" t="inlineStr">
        <is>
          <t>NA</t>
        </is>
      </c>
      <c r="BB167" s="2" t="inlineStr">
        <is>
          <t>NA</t>
        </is>
      </c>
      <c r="BD167" s="2" t="n">
        <v>126.5</v>
      </c>
      <c r="BE167" s="2" t="n">
        <v>42.4</v>
      </c>
      <c r="BH167" s="2" t="n">
        <v>338.4</v>
      </c>
      <c r="BK167" s="2" t="n">
        <v>241.2</v>
      </c>
      <c r="BL167" s="2" t="n">
        <v>1.2</v>
      </c>
      <c r="BM167" s="2" t="n">
        <v>580.8</v>
      </c>
      <c r="BN167" s="2" t="n">
        <v>237.5</v>
      </c>
      <c r="BQ167" s="2" t="n">
        <v>90.59999999999999</v>
      </c>
      <c r="BR167" s="2" t="n">
        <v>5.6</v>
      </c>
      <c r="BS167" s="2" t="n">
        <v>333.7</v>
      </c>
      <c r="BT167" s="2" t="inlineStr">
        <is>
          <t>NA</t>
        </is>
      </c>
      <c r="BU167" s="2" t="n">
        <v>31.1</v>
      </c>
      <c r="BV167" s="2" t="n">
        <v>377.3</v>
      </c>
      <c r="BW167" s="2" t="n">
        <v>117.8</v>
      </c>
      <c r="BX167" s="2" t="n">
        <v>434.1</v>
      </c>
      <c r="BY167" s="2" t="n">
        <v>42.1</v>
      </c>
      <c r="BZ167" s="2" t="n">
        <v>9.699999999999999</v>
      </c>
      <c r="CA167" s="2" t="n">
        <v>51.8</v>
      </c>
      <c r="CF167" s="2" t="n">
        <v>126.6</v>
      </c>
      <c r="CG167" s="2" t="n">
        <v>179.2</v>
      </c>
      <c r="CH167" s="2" t="n">
        <v>7.3</v>
      </c>
      <c r="CN167" s="2" t="n">
        <v>55.2</v>
      </c>
      <c r="CO167" s="2" t="n">
        <v>257.2</v>
      </c>
      <c r="CP167" s="2" t="n">
        <v>196</v>
      </c>
      <c r="CQ167" s="2" t="n">
        <v>61.2</v>
      </c>
      <c r="CR167" s="2" t="inlineStr">
        <is>
          <t>NA</t>
        </is>
      </c>
      <c r="CS167" s="2" t="n">
        <v>58.5</v>
      </c>
      <c r="CT167" s="2" t="n">
        <v>45.2</v>
      </c>
      <c r="CU167" s="2" t="n">
        <v>13.3</v>
      </c>
      <c r="CV167" s="2" t="n">
        <v>32.6</v>
      </c>
      <c r="CW167" s="2" t="n">
        <v>12.4</v>
      </c>
      <c r="CX167" s="2" t="n">
        <v>20.2</v>
      </c>
      <c r="CY167" s="2" t="inlineStr">
        <is>
          <t>NA</t>
        </is>
      </c>
      <c r="CZ167" s="2" t="n">
        <v>70.2</v>
      </c>
      <c r="DA167" s="2" t="n">
        <v>14.7</v>
      </c>
      <c r="DB167" s="2" t="n">
        <v>13.6</v>
      </c>
      <c r="DC167" s="2" t="n">
        <v>1.1</v>
      </c>
      <c r="DG167" s="2" t="n">
        <v>105.552</v>
      </c>
      <c r="DI167" s="2" t="n">
        <v>535.965</v>
      </c>
      <c r="DJ167" s="2" t="n">
        <v>205.445</v>
      </c>
      <c r="DK167" s="2" t="n">
        <v>537.896</v>
      </c>
      <c r="DL167" s="2" t="n">
        <v>138.916</v>
      </c>
      <c r="DM167" s="2" t="n">
        <v>216.838</v>
      </c>
      <c r="DO167" s="2" t="n">
        <v>153.838</v>
      </c>
      <c r="DP167" s="2" t="n">
        <v>207.817</v>
      </c>
      <c r="DS167" s="2" t="n">
        <v>723.306</v>
      </c>
      <c r="DT167" s="2" t="n">
        <v>2996.818</v>
      </c>
      <c r="DU167" s="2" t="n">
        <v>-276.7970000000005</v>
      </c>
      <c r="DV167" s="2" t="n">
        <v>0.0180000000000291</v>
      </c>
      <c r="GZ167" s="2" t="n">
        <v>1042.8</v>
      </c>
      <c r="IN167" s="2" t="n">
        <v>70.8</v>
      </c>
      <c r="IY167" s="2" t="n">
        <v>47.5106780565937</v>
      </c>
      <c r="IZ167" s="2" t="n">
        <v>-0.04932194340630502</v>
      </c>
      <c r="JB167" s="2" t="n">
        <v>10.84256540309663</v>
      </c>
      <c r="JC167" s="2" t="n">
        <v>-0.03743459690336692</v>
      </c>
      <c r="JE167" s="2" t="n">
        <v>2174</v>
      </c>
      <c r="JF167" s="2" t="n">
        <v>0.3570496780128795</v>
      </c>
    </row>
    <row r="168">
      <c r="A168" s="1" t="n">
        <v>34151</v>
      </c>
      <c r="B168" s="2" t="n">
        <v>2939.5</v>
      </c>
      <c r="C168" s="2" t="n">
        <v>1659.6</v>
      </c>
      <c r="D168" s="2" t="n">
        <v>237.2</v>
      </c>
      <c r="E168" s="2" t="n">
        <v>365.3</v>
      </c>
      <c r="F168" s="2" t="n">
        <v>32.1</v>
      </c>
      <c r="G168" s="2" t="n">
        <v>41.6</v>
      </c>
      <c r="H168" s="2" t="n">
        <v>6.4</v>
      </c>
      <c r="I168" s="2" t="inlineStr">
        <is>
          <t>NA</t>
        </is>
      </c>
      <c r="J168" s="2" t="inlineStr">
        <is>
          <t>NA</t>
        </is>
      </c>
      <c r="K168" s="2" t="n">
        <v>1069.9</v>
      </c>
      <c r="L168" s="2" t="n">
        <v>2060.6</v>
      </c>
      <c r="M168" s="2" t="n">
        <v>1848.8</v>
      </c>
      <c r="N168" s="2" t="n">
        <v>211.8</v>
      </c>
      <c r="O168" s="2" t="n">
        <v>76.5</v>
      </c>
      <c r="P168" s="2" t="n">
        <v>95.3</v>
      </c>
      <c r="Q168" s="2" t="n">
        <v>37.9</v>
      </c>
      <c r="R168" s="2" t="n">
        <v>57.4</v>
      </c>
      <c r="T168" s="2" t="n">
        <v>26.5</v>
      </c>
      <c r="U168" s="2" t="n">
        <v>50.1</v>
      </c>
      <c r="V168" s="2" t="n">
        <v>46.7</v>
      </c>
      <c r="W168" s="2" t="n">
        <v>3.4</v>
      </c>
      <c r="X168" s="2" t="n">
        <v>30.6</v>
      </c>
      <c r="Y168" s="2" t="n">
        <v>0.6</v>
      </c>
      <c r="Z168" s="2" t="n">
        <v>101.8</v>
      </c>
      <c r="AA168" s="2" t="n">
        <v>87.59999999999999</v>
      </c>
      <c r="AB168" s="2" t="n">
        <v>14.2</v>
      </c>
      <c r="AC168" s="2" t="inlineStr">
        <is>
          <t>NA</t>
        </is>
      </c>
      <c r="AD168" s="2" t="n">
        <v>19.3</v>
      </c>
      <c r="AF168" s="2" t="n">
        <v>75.90000000000001</v>
      </c>
      <c r="AG168" s="2" t="n">
        <v>58.1</v>
      </c>
      <c r="AH168" s="2" t="n">
        <v>17.8</v>
      </c>
      <c r="AI168" s="2" t="n">
        <v>163</v>
      </c>
      <c r="AL168" s="2" t="n">
        <v>143.7</v>
      </c>
      <c r="AM168" s="2" t="n">
        <v>108.3</v>
      </c>
      <c r="AN168" s="2" t="n">
        <v>35.4</v>
      </c>
      <c r="AO168" s="2" t="n">
        <v>2183.1</v>
      </c>
      <c r="AP168" s="2" t="n">
        <v>329.6</v>
      </c>
      <c r="AQ168" s="2" t="n">
        <v>141</v>
      </c>
      <c r="AR168" s="2" t="n">
        <v>56.5</v>
      </c>
      <c r="AS168" s="2" t="n">
        <v>101</v>
      </c>
      <c r="AT168" s="2" t="n">
        <v>70.59999999999999</v>
      </c>
      <c r="AU168" s="2" t="n">
        <v>70.3</v>
      </c>
      <c r="AV168" s="2" t="n">
        <v>30.9</v>
      </c>
      <c r="AW168" s="2" t="n">
        <v>18.6</v>
      </c>
      <c r="AX168" s="2" t="n">
        <v>6.1</v>
      </c>
      <c r="AY168" s="2" t="n">
        <v>22.8</v>
      </c>
      <c r="AZ168" s="2" t="n">
        <v>9</v>
      </c>
      <c r="BA168" s="2" t="inlineStr">
        <is>
          <t>NA</t>
        </is>
      </c>
      <c r="BB168" s="2" t="inlineStr">
        <is>
          <t>NA</t>
        </is>
      </c>
      <c r="BD168" s="2" t="n">
        <v>112.3</v>
      </c>
      <c r="BE168" s="2" t="n">
        <v>40.3</v>
      </c>
      <c r="BH168" s="2" t="n">
        <v>316.1</v>
      </c>
      <c r="BK168" s="2" t="n">
        <v>218.6</v>
      </c>
      <c r="BL168" s="2" t="n">
        <v>0.6</v>
      </c>
      <c r="BM168" s="2" t="n">
        <v>535.3</v>
      </c>
      <c r="BN168" s="2" t="n">
        <v>236</v>
      </c>
      <c r="BQ168" s="2" t="n">
        <v>106.2</v>
      </c>
      <c r="BR168" s="2" t="n">
        <v>6.6</v>
      </c>
      <c r="BS168" s="2" t="n">
        <v>348.8</v>
      </c>
      <c r="BT168" s="2" t="inlineStr">
        <is>
          <t>NA</t>
        </is>
      </c>
      <c r="BU168" s="2" t="n">
        <v>27.4</v>
      </c>
      <c r="BV168" s="2" t="n">
        <v>353.6</v>
      </c>
      <c r="BW168" s="2" t="n">
        <v>103.8</v>
      </c>
      <c r="BX168" s="2" t="n">
        <v>401</v>
      </c>
      <c r="BY168" s="2" t="n">
        <v>39.2</v>
      </c>
      <c r="BZ168" s="2" t="n">
        <v>8.5</v>
      </c>
      <c r="CA168" s="2" t="n">
        <v>47.7</v>
      </c>
      <c r="CF168" s="2" t="n">
        <v>117</v>
      </c>
      <c r="CG168" s="2" t="n">
        <v>173.1</v>
      </c>
      <c r="CH168" s="2" t="n">
        <v>7.5</v>
      </c>
      <c r="CN168" s="2" t="n">
        <v>58.2</v>
      </c>
      <c r="CO168" s="2" t="n">
        <v>233.8</v>
      </c>
      <c r="CP168" s="2" t="n">
        <v>161.6</v>
      </c>
      <c r="CQ168" s="2" t="n">
        <v>72.2</v>
      </c>
      <c r="CR168" s="2" t="inlineStr">
        <is>
          <t>NA</t>
        </is>
      </c>
      <c r="CS168" s="2" t="n">
        <v>62.5</v>
      </c>
      <c r="CT168" s="2" t="n">
        <v>39</v>
      </c>
      <c r="CU168" s="2" t="n">
        <v>23.5</v>
      </c>
      <c r="CV168" s="2" t="n">
        <v>28.3</v>
      </c>
      <c r="CW168" s="2" t="n">
        <v>10.9</v>
      </c>
      <c r="CX168" s="2" t="n">
        <v>17.4</v>
      </c>
      <c r="CY168" s="2" t="inlineStr">
        <is>
          <t>NA</t>
        </is>
      </c>
      <c r="CZ168" s="2" t="n">
        <v>93.7</v>
      </c>
      <c r="DA168" s="2" t="n">
        <v>12.6</v>
      </c>
      <c r="DB168" s="2" t="n">
        <v>11.8</v>
      </c>
      <c r="DC168" s="2" t="n">
        <v>0.8</v>
      </c>
      <c r="DG168" s="2" t="n">
        <v>125.153</v>
      </c>
      <c r="DI168" s="2" t="n">
        <v>515.231</v>
      </c>
      <c r="DJ168" s="2" t="n">
        <v>210.776</v>
      </c>
      <c r="DK168" s="2" t="n">
        <v>491.157</v>
      </c>
      <c r="DL168" s="2" t="n">
        <v>142.417</v>
      </c>
      <c r="DM168" s="2" t="n">
        <v>183.12</v>
      </c>
      <c r="DO168" s="2" t="n">
        <v>188.384</v>
      </c>
      <c r="DP168" s="2" t="n">
        <v>179.437</v>
      </c>
      <c r="DS168" s="2" t="n">
        <v>732.707</v>
      </c>
      <c r="DT168" s="2" t="n">
        <v>2939.538</v>
      </c>
      <c r="DU168" s="2" t="n">
        <v>-296.3090000000002</v>
      </c>
      <c r="DV168" s="2" t="n">
        <v>0.03800000000001091</v>
      </c>
      <c r="GZ168" s="2" t="n">
        <v>978.2</v>
      </c>
      <c r="IN168" s="2" t="n">
        <v>62.4</v>
      </c>
      <c r="IY168" s="2" t="n">
        <v>47.43868004762714</v>
      </c>
      <c r="IZ168" s="2" t="n">
        <v>-0.1413199523728537</v>
      </c>
      <c r="JB168" s="2" t="n">
        <v>10.91920394624936</v>
      </c>
      <c r="JC168" s="2" t="n">
        <v>-0.0007960537506370713</v>
      </c>
      <c r="JE168" s="2" t="n">
        <v>2060.6</v>
      </c>
      <c r="JF168" s="2" t="n">
        <v>0.3484038629525381</v>
      </c>
    </row>
    <row r="169">
      <c r="A169" s="1" t="n">
        <v>34182</v>
      </c>
      <c r="B169" s="2" t="n">
        <v>2766.4</v>
      </c>
      <c r="C169" s="2" t="n">
        <v>1259.1</v>
      </c>
      <c r="D169" s="2" t="n">
        <v>182.9</v>
      </c>
      <c r="E169" s="2" t="n">
        <v>243</v>
      </c>
      <c r="F169" s="2" t="n">
        <v>27.1</v>
      </c>
      <c r="G169" s="2" t="inlineStr">
        <is>
          <t>NA</t>
        </is>
      </c>
      <c r="H169" s="2" t="inlineStr">
        <is>
          <t>NA</t>
        </is>
      </c>
      <c r="I169" s="2" t="inlineStr">
        <is>
          <t>NA</t>
        </is>
      </c>
      <c r="J169" s="2" t="inlineStr">
        <is>
          <t>NA</t>
        </is>
      </c>
      <c r="K169" s="2" t="n">
        <v>1006.2</v>
      </c>
      <c r="L169" s="2" t="n">
        <v>1719.8</v>
      </c>
      <c r="M169" s="2" t="n">
        <v>1518.6</v>
      </c>
      <c r="N169" s="2" t="n">
        <v>201.2</v>
      </c>
      <c r="O169" s="2" t="n">
        <v>59.1</v>
      </c>
      <c r="P169" s="2" t="n">
        <v>85.90000000000001</v>
      </c>
      <c r="Q169" s="2" t="n">
        <v>28</v>
      </c>
      <c r="R169" s="2" t="n">
        <v>57.9</v>
      </c>
      <c r="T169" s="2" t="n">
        <v>23</v>
      </c>
      <c r="U169" s="2" t="n">
        <v>50.7</v>
      </c>
      <c r="V169" s="2" t="n">
        <v>45.8</v>
      </c>
      <c r="W169" s="2" t="n">
        <v>4.9</v>
      </c>
      <c r="X169" s="2" t="inlineStr">
        <is>
          <t>NA</t>
        </is>
      </c>
      <c r="Y169" s="2" t="n">
        <v>2.9</v>
      </c>
      <c r="Z169" s="2" t="n">
        <v>77.7</v>
      </c>
      <c r="AA169" s="2" t="n">
        <v>67.40000000000001</v>
      </c>
      <c r="AB169" s="2" t="n">
        <v>10.3</v>
      </c>
      <c r="AC169" s="2" t="inlineStr">
        <is>
          <t>NA</t>
        </is>
      </c>
      <c r="AD169" s="2" t="n">
        <v>21.8</v>
      </c>
      <c r="AF169" s="2" t="n">
        <v>70.8</v>
      </c>
      <c r="AG169" s="2" t="n">
        <v>53.6</v>
      </c>
      <c r="AH169" s="2" t="n">
        <v>17.2</v>
      </c>
      <c r="AI169" s="2" t="n">
        <v>158.5</v>
      </c>
      <c r="AL169" s="2" t="n">
        <v>124.3</v>
      </c>
      <c r="AM169" s="2" t="n">
        <v>94.40000000000001</v>
      </c>
      <c r="AN169" s="2" t="n">
        <v>29.9</v>
      </c>
      <c r="AO169" s="2" t="n">
        <v>2051.8</v>
      </c>
      <c r="AP169" s="2" t="n">
        <v>289.6</v>
      </c>
      <c r="AQ169" s="2" t="n">
        <v>136.5</v>
      </c>
      <c r="AR169" s="2" t="n">
        <v>64.2</v>
      </c>
      <c r="AS169" s="2" t="n">
        <v>76.7</v>
      </c>
      <c r="AT169" s="2" t="n">
        <v>48.4</v>
      </c>
      <c r="AU169" s="2" t="n">
        <v>53.3</v>
      </c>
      <c r="AV169" s="2" t="n">
        <v>23.5</v>
      </c>
      <c r="AW169" s="2" t="n">
        <v>15.8</v>
      </c>
      <c r="AX169" s="2" t="n">
        <v>10.2</v>
      </c>
      <c r="AY169" s="2" t="inlineStr">
        <is>
          <t>NA</t>
        </is>
      </c>
      <c r="AZ169" s="2" t="inlineStr">
        <is>
          <t>NA</t>
        </is>
      </c>
      <c r="BA169" s="2" t="inlineStr">
        <is>
          <t>NA</t>
        </is>
      </c>
      <c r="BB169" s="2" t="inlineStr">
        <is>
          <t>NA</t>
        </is>
      </c>
      <c r="BD169" s="2" t="n">
        <v>133.5</v>
      </c>
      <c r="BE169" s="2" t="n">
        <v>43.5</v>
      </c>
      <c r="BH169" s="2" t="n">
        <v>339.5</v>
      </c>
      <c r="BK169" s="2" t="n">
        <v>231.2</v>
      </c>
      <c r="BL169" s="2" t="n">
        <v>1</v>
      </c>
      <c r="BM169" s="2" t="n">
        <v>571.7</v>
      </c>
      <c r="BN169" s="2" t="n">
        <v>258.4</v>
      </c>
      <c r="BQ169" s="2" t="n">
        <v>113.1</v>
      </c>
      <c r="BR169" s="2" t="n">
        <v>7.2</v>
      </c>
      <c r="BS169" s="2" t="n">
        <v>378.7</v>
      </c>
      <c r="BT169" s="2" t="inlineStr">
        <is>
          <t>NA</t>
        </is>
      </c>
      <c r="BU169" s="2" t="n">
        <v>23.6</v>
      </c>
      <c r="BV169" s="2" t="n">
        <v>388.6</v>
      </c>
      <c r="BW169" s="2" t="n">
        <v>113</v>
      </c>
      <c r="BX169" s="2" t="n">
        <v>439.5</v>
      </c>
      <c r="BY169" s="2" t="n">
        <v>45.5</v>
      </c>
      <c r="BZ169" s="2" t="n">
        <v>10.5</v>
      </c>
      <c r="CA169" s="2" t="n">
        <v>56</v>
      </c>
      <c r="CF169" s="2" t="n">
        <v>104.3</v>
      </c>
      <c r="CG169" s="2" t="n">
        <v>149.9</v>
      </c>
      <c r="CH169" s="2" t="n">
        <v>7.2</v>
      </c>
      <c r="CN169" s="2" t="n">
        <v>49.9</v>
      </c>
      <c r="CO169" s="2" t="n">
        <v>231.4</v>
      </c>
      <c r="CP169" s="2" t="n">
        <v>179.4</v>
      </c>
      <c r="CQ169" s="2" t="n">
        <v>52</v>
      </c>
      <c r="CR169" s="2" t="inlineStr">
        <is>
          <t>NA</t>
        </is>
      </c>
      <c r="CS169" s="2" t="n">
        <v>62.6</v>
      </c>
      <c r="CT169" s="2" t="n">
        <v>42.1</v>
      </c>
      <c r="CU169" s="2" t="n">
        <v>20.5</v>
      </c>
      <c r="CV169" s="2" t="n">
        <v>27.4</v>
      </c>
      <c r="CW169" s="2" t="n">
        <v>9.800000000000001</v>
      </c>
      <c r="CX169" s="2" t="n">
        <v>17.6</v>
      </c>
      <c r="CY169" s="2" t="inlineStr">
        <is>
          <t>NA</t>
        </is>
      </c>
      <c r="CZ169" s="2" t="n">
        <v>74.90000000000001</v>
      </c>
      <c r="DA169" s="2" t="n">
        <v>19.1</v>
      </c>
      <c r="DB169" s="2" t="n">
        <v>18</v>
      </c>
      <c r="DC169" s="2" t="n">
        <v>1.1</v>
      </c>
      <c r="DG169" s="2" t="n">
        <v>112.595</v>
      </c>
      <c r="DI169" s="2" t="n">
        <v>501.583</v>
      </c>
      <c r="DJ169" s="2" t="n">
        <v>170.755</v>
      </c>
      <c r="DK169" s="2" t="n">
        <v>557.502</v>
      </c>
      <c r="DL169" s="2" t="n">
        <v>87.855</v>
      </c>
      <c r="DM169" s="2" t="n">
        <v>158.403</v>
      </c>
      <c r="DO169" s="2" t="n">
        <v>194.194</v>
      </c>
      <c r="DP169" s="2" t="n">
        <v>204.469</v>
      </c>
      <c r="DS169" s="2" t="n">
        <v>618.778</v>
      </c>
      <c r="DT169" s="2" t="n">
        <v>2766.401</v>
      </c>
      <c r="DU169" s="2" t="n">
        <v>-272.8620000000001</v>
      </c>
      <c r="DV169" s="2" t="n">
        <v>0.0009999999997489795</v>
      </c>
      <c r="GZ169" s="2" t="n">
        <v>1066.7</v>
      </c>
      <c r="IN169" s="2" t="n">
        <v>65.09999999999999</v>
      </c>
      <c r="IY169" s="2" t="n">
        <v>47.46168305378832</v>
      </c>
      <c r="IZ169" s="2" t="n">
        <v>-0.08831694621167685</v>
      </c>
      <c r="JB169" s="2" t="n">
        <v>10.91165413533835</v>
      </c>
      <c r="JC169" s="2" t="n">
        <v>-0.03834586466165391</v>
      </c>
      <c r="JE169" s="2" t="n">
        <v>1719.8</v>
      </c>
      <c r="JF169" s="2" t="n">
        <v>0.3358239330154669</v>
      </c>
    </row>
    <row r="170">
      <c r="A170" s="1" t="n">
        <v>34213</v>
      </c>
      <c r="B170" s="2" t="n">
        <v>2953.2</v>
      </c>
      <c r="C170" s="2" t="n">
        <v>840.1</v>
      </c>
      <c r="D170" s="2" t="n">
        <v>162.6</v>
      </c>
      <c r="E170" s="2" t="n">
        <v>391.2</v>
      </c>
      <c r="F170" s="2" t="n">
        <v>5.2</v>
      </c>
      <c r="G170" s="2" t="inlineStr">
        <is>
          <t>NA</t>
        </is>
      </c>
      <c r="H170" s="2" t="inlineStr">
        <is>
          <t>NA</t>
        </is>
      </c>
      <c r="I170" s="2" t="inlineStr">
        <is>
          <t>NA</t>
        </is>
      </c>
      <c r="J170" s="2" t="inlineStr">
        <is>
          <t>NA</t>
        </is>
      </c>
      <c r="K170" s="2" t="n">
        <v>1077.8</v>
      </c>
      <c r="L170" s="2" t="n">
        <v>1554.8</v>
      </c>
      <c r="M170" s="2" t="n">
        <v>1352.9</v>
      </c>
      <c r="N170" s="2" t="n">
        <v>201.9</v>
      </c>
      <c r="O170" s="2" t="n">
        <v>51.7</v>
      </c>
      <c r="P170" s="2" t="n">
        <v>81</v>
      </c>
      <c r="Q170" s="2" t="n">
        <v>27.7</v>
      </c>
      <c r="R170" s="2" t="n">
        <v>53.3</v>
      </c>
      <c r="T170" s="2" t="n">
        <v>3.9</v>
      </c>
      <c r="U170" s="2" t="n">
        <v>37</v>
      </c>
      <c r="V170" s="2" t="n">
        <v>30.8</v>
      </c>
      <c r="W170" s="2" t="n">
        <v>6.2</v>
      </c>
      <c r="X170" s="2" t="inlineStr">
        <is>
          <t>NA</t>
        </is>
      </c>
      <c r="Y170" s="2" t="n">
        <v>0.5</v>
      </c>
      <c r="Z170" s="2" t="n">
        <v>55.9</v>
      </c>
      <c r="AA170" s="2" t="n">
        <v>48.1</v>
      </c>
      <c r="AB170" s="2" t="n">
        <v>7.8</v>
      </c>
      <c r="AC170" s="2" t="inlineStr">
        <is>
          <t>NA</t>
        </is>
      </c>
      <c r="AD170" s="2" t="n">
        <v>21</v>
      </c>
      <c r="AF170" s="2" t="n">
        <v>66.7</v>
      </c>
      <c r="AG170" s="2" t="n">
        <v>52.9</v>
      </c>
      <c r="AH170" s="2" t="n">
        <v>13.8</v>
      </c>
      <c r="AI170" s="2" t="n">
        <v>165.1</v>
      </c>
      <c r="AL170" s="2" t="n">
        <v>149.7</v>
      </c>
      <c r="AM170" s="2" t="n">
        <v>117.2</v>
      </c>
      <c r="AN170" s="2" t="n">
        <v>32.5</v>
      </c>
      <c r="AO170" s="2" t="n">
        <v>2214.8</v>
      </c>
      <c r="AP170" s="2" t="n">
        <v>161.8</v>
      </c>
      <c r="AQ170" s="2" t="n">
        <v>147</v>
      </c>
      <c r="AR170" s="2" t="n">
        <v>42.6</v>
      </c>
      <c r="AS170" s="2" t="n">
        <v>71.5</v>
      </c>
      <c r="AT170" s="2" t="n">
        <v>29.2</v>
      </c>
      <c r="AU170" s="2" t="n">
        <v>47.1</v>
      </c>
      <c r="AV170" s="2" t="n">
        <v>13.7</v>
      </c>
      <c r="AW170" s="2" t="n">
        <v>2.8</v>
      </c>
      <c r="AX170" s="2" t="n">
        <v>0.8</v>
      </c>
      <c r="AY170" s="2" t="inlineStr">
        <is>
          <t>NA</t>
        </is>
      </c>
      <c r="AZ170" s="2" t="n">
        <v>1.8</v>
      </c>
      <c r="BA170" s="2" t="inlineStr">
        <is>
          <t>NA</t>
        </is>
      </c>
      <c r="BB170" s="2" t="inlineStr">
        <is>
          <t>NA</t>
        </is>
      </c>
      <c r="BD170" s="2" t="n">
        <v>107.4</v>
      </c>
      <c r="BE170" s="2" t="n">
        <v>41.1</v>
      </c>
      <c r="BH170" s="2" t="n">
        <v>320.2</v>
      </c>
      <c r="BK170" s="2" t="n">
        <v>255.8</v>
      </c>
      <c r="BL170" s="2" t="n">
        <v>2.6</v>
      </c>
      <c r="BM170" s="2" t="n">
        <v>578.6</v>
      </c>
      <c r="BN170" s="2" t="n">
        <v>282.8</v>
      </c>
      <c r="BQ170" s="2" t="n">
        <v>119.7</v>
      </c>
      <c r="BR170" s="2" t="n">
        <v>7.2</v>
      </c>
      <c r="BS170" s="2" t="n">
        <v>409.7</v>
      </c>
      <c r="BT170" s="2" t="inlineStr">
        <is>
          <t>NA</t>
        </is>
      </c>
      <c r="BU170" s="2" t="n">
        <v>26.2</v>
      </c>
      <c r="BV170" s="2" t="n">
        <v>367.1</v>
      </c>
      <c r="BW170" s="2" t="n">
        <v>108.8</v>
      </c>
      <c r="BX170" s="2" t="n">
        <v>417.1</v>
      </c>
      <c r="BY170" s="2" t="n">
        <v>43.7</v>
      </c>
      <c r="BZ170" s="2" t="n">
        <v>11.3</v>
      </c>
      <c r="CA170" s="2" t="n">
        <v>55</v>
      </c>
      <c r="CF170" s="2" t="n">
        <v>117.3</v>
      </c>
      <c r="CG170" s="2" t="n">
        <v>132.8</v>
      </c>
      <c r="CH170" s="2" t="n">
        <v>7</v>
      </c>
      <c r="CN170" s="2" t="n">
        <v>49.1</v>
      </c>
      <c r="CO170" s="2" t="n">
        <v>250.9</v>
      </c>
      <c r="CP170" s="2" t="n">
        <v>196.1</v>
      </c>
      <c r="CQ170" s="2" t="n">
        <v>54.8</v>
      </c>
      <c r="CR170" s="2" t="inlineStr">
        <is>
          <t>NA</t>
        </is>
      </c>
      <c r="CS170" s="2" t="n">
        <v>65.90000000000001</v>
      </c>
      <c r="CT170" s="2" t="n">
        <v>47</v>
      </c>
      <c r="CU170" s="2" t="n">
        <v>18.9</v>
      </c>
      <c r="CV170" s="2" t="n">
        <v>32.9</v>
      </c>
      <c r="CW170" s="2" t="n">
        <v>14</v>
      </c>
      <c r="CX170" s="2" t="n">
        <v>18.9</v>
      </c>
      <c r="CY170" s="2" t="inlineStr">
        <is>
          <t>NA</t>
        </is>
      </c>
      <c r="CZ170" s="2" t="n">
        <v>88.5</v>
      </c>
      <c r="DA170" s="2" t="n">
        <v>17.9</v>
      </c>
      <c r="DB170" s="2" t="n">
        <v>17</v>
      </c>
      <c r="DC170" s="2" t="n">
        <v>0.9</v>
      </c>
      <c r="DG170" s="2" t="n">
        <v>112.519</v>
      </c>
      <c r="DI170" s="2" t="n">
        <v>593.432</v>
      </c>
      <c r="DJ170" s="2" t="n">
        <v>187.023</v>
      </c>
      <c r="DK170" s="2" t="n">
        <v>529.603</v>
      </c>
      <c r="DM170" s="2" t="n">
        <v>188.982</v>
      </c>
      <c r="DO170" s="2" t="n">
        <v>183.096</v>
      </c>
      <c r="DP170" s="2" t="n">
        <v>189.771</v>
      </c>
      <c r="DS170" s="2" t="n">
        <v>727.015</v>
      </c>
      <c r="DT170" s="2" t="n">
        <v>2953.228</v>
      </c>
      <c r="DU170" s="2" t="n">
        <v>-354.306</v>
      </c>
      <c r="DV170" s="2" t="n">
        <v>0.02800000000024738</v>
      </c>
      <c r="GZ170" s="2" t="n">
        <v>1109.7</v>
      </c>
      <c r="IN170" s="2" t="n">
        <v>54.7</v>
      </c>
      <c r="IY170" s="2" t="n">
        <v>47.98455912230801</v>
      </c>
      <c r="IZ170" s="2" t="n">
        <v>-0.09544087769199194</v>
      </c>
      <c r="JB170" s="2" t="n">
        <v>10.94880130028444</v>
      </c>
      <c r="JC170" s="2" t="n">
        <v>-0.06119869971556291</v>
      </c>
      <c r="JE170" s="2" t="n">
        <v>1554.8</v>
      </c>
      <c r="JF170" s="2" t="n">
        <v>0.299075765371752</v>
      </c>
    </row>
    <row r="171">
      <c r="A171" s="1" t="n">
        <v>34243</v>
      </c>
      <c r="B171" s="2" t="n">
        <v>3412.2</v>
      </c>
      <c r="C171" s="2" t="n">
        <v>3258.4</v>
      </c>
      <c r="D171" s="2" t="n">
        <v>300.4</v>
      </c>
      <c r="E171" s="2" t="n">
        <v>1350.7</v>
      </c>
      <c r="F171" s="2" t="n">
        <v>11.7</v>
      </c>
      <c r="G171" s="2" t="n">
        <v>83.8</v>
      </c>
      <c r="H171" s="2" t="inlineStr">
        <is>
          <t>NA</t>
        </is>
      </c>
      <c r="I171" s="2" t="inlineStr">
        <is>
          <t>NA</t>
        </is>
      </c>
      <c r="J171" s="2" t="inlineStr">
        <is>
          <t>NA</t>
        </is>
      </c>
      <c r="K171" s="2" t="n">
        <v>1240.9</v>
      </c>
      <c r="L171" s="2" t="n">
        <v>1452.7</v>
      </c>
      <c r="M171" s="2" t="n">
        <v>1239.6</v>
      </c>
      <c r="N171" s="2" t="n">
        <v>213.1</v>
      </c>
      <c r="O171" s="2" t="n">
        <v>93.5</v>
      </c>
      <c r="P171" s="2" t="n">
        <v>93.2</v>
      </c>
      <c r="Q171" s="2" t="n">
        <v>37.6</v>
      </c>
      <c r="R171" s="2" t="n">
        <v>55.6</v>
      </c>
      <c r="T171" s="2" t="n">
        <v>9.300000000000001</v>
      </c>
      <c r="U171" s="2" t="n">
        <v>25.9</v>
      </c>
      <c r="V171" s="2" t="n">
        <v>21.7</v>
      </c>
      <c r="W171" s="2" t="n">
        <v>4.2</v>
      </c>
      <c r="X171" s="2" t="n">
        <v>67.40000000000001</v>
      </c>
      <c r="Y171" s="2" t="n">
        <v>3.6</v>
      </c>
      <c r="Z171" s="2" t="n">
        <v>67.5</v>
      </c>
      <c r="AA171" s="2" t="n">
        <v>61.5</v>
      </c>
      <c r="AB171" s="2" t="n">
        <v>6</v>
      </c>
      <c r="AC171" s="2" t="inlineStr">
        <is>
          <t>NA</t>
        </is>
      </c>
      <c r="AD171" s="2" t="n">
        <v>23.7</v>
      </c>
      <c r="AF171" s="2" t="n">
        <v>51.40000000000001</v>
      </c>
      <c r="AG171" s="2" t="n">
        <v>34.1</v>
      </c>
      <c r="AH171" s="2" t="n">
        <v>17.3</v>
      </c>
      <c r="AI171" s="2" t="n">
        <v>160.8</v>
      </c>
      <c r="AL171" s="2" t="n">
        <v>73.69999999999999</v>
      </c>
      <c r="AM171" s="2" t="n">
        <v>50.8</v>
      </c>
      <c r="AN171" s="2" t="n">
        <v>22.9</v>
      </c>
      <c r="AO171" s="2" t="n">
        <v>2547.3</v>
      </c>
      <c r="AP171" s="2" t="n">
        <v>324.5</v>
      </c>
      <c r="AQ171" s="2" t="n">
        <v>159.8</v>
      </c>
      <c r="AR171" s="2" t="n">
        <v>50.6</v>
      </c>
      <c r="AS171" s="2" t="n">
        <v>130.1</v>
      </c>
      <c r="AT171" s="2" t="n">
        <v>36.9</v>
      </c>
      <c r="AU171" s="2" t="n">
        <v>82.7</v>
      </c>
      <c r="AV171" s="2" t="n">
        <v>15.7</v>
      </c>
      <c r="AW171" s="2" t="n">
        <v>6.5</v>
      </c>
      <c r="AX171" s="2" t="n">
        <v>3.3</v>
      </c>
      <c r="AY171" s="2" t="n">
        <v>41.6</v>
      </c>
      <c r="AZ171" s="2" t="n">
        <v>9.5</v>
      </c>
      <c r="BA171" s="2" t="inlineStr">
        <is>
          <t>NA</t>
        </is>
      </c>
      <c r="BB171" s="2" t="inlineStr">
        <is>
          <t>NA</t>
        </is>
      </c>
      <c r="BD171" s="2" t="n">
        <v>122.8</v>
      </c>
      <c r="BE171" s="2" t="n">
        <v>45.5</v>
      </c>
      <c r="BH171" s="2" t="n">
        <v>327.5</v>
      </c>
      <c r="BK171" s="2" t="n">
        <v>242</v>
      </c>
      <c r="BL171" s="2" t="n">
        <v>2.1</v>
      </c>
      <c r="BM171" s="2" t="n">
        <v>571.6</v>
      </c>
      <c r="BN171" s="2" t="n">
        <v>267.7</v>
      </c>
      <c r="BQ171" s="2" t="n">
        <v>104.5</v>
      </c>
      <c r="BR171" s="2" t="n">
        <v>7</v>
      </c>
      <c r="BS171" s="2" t="n">
        <v>379.2</v>
      </c>
      <c r="BT171" s="2" t="inlineStr">
        <is>
          <t>NA</t>
        </is>
      </c>
      <c r="BU171" s="2" t="n">
        <v>24.6</v>
      </c>
      <c r="BV171" s="2" t="n">
        <v>370.4</v>
      </c>
      <c r="BW171" s="2" t="n">
        <v>116.8</v>
      </c>
      <c r="BX171" s="2" t="n">
        <v>427.1</v>
      </c>
      <c r="BY171" s="2" t="n">
        <v>46</v>
      </c>
      <c r="BZ171" s="2" t="n">
        <v>10.6</v>
      </c>
      <c r="CA171" s="2" t="n">
        <v>56.6</v>
      </c>
      <c r="CF171" s="2" t="n">
        <v>107.5</v>
      </c>
      <c r="CG171" s="2" t="n">
        <v>124</v>
      </c>
      <c r="CH171" s="2" t="n">
        <v>7.5</v>
      </c>
      <c r="CN171" s="2" t="n">
        <v>49.6</v>
      </c>
      <c r="CO171" s="2" t="n">
        <v>335</v>
      </c>
      <c r="CP171" s="2" t="n">
        <v>279.5</v>
      </c>
      <c r="CQ171" s="2" t="n">
        <v>55.5</v>
      </c>
      <c r="CR171" s="2" t="inlineStr">
        <is>
          <t>NA</t>
        </is>
      </c>
      <c r="CS171" s="2" t="n">
        <v>48</v>
      </c>
      <c r="CT171" s="2" t="n">
        <v>27.9</v>
      </c>
      <c r="CU171" s="2" t="n">
        <v>20.1</v>
      </c>
      <c r="CV171" s="2" t="n">
        <v>32.5</v>
      </c>
      <c r="CW171" s="2" t="n">
        <v>14.1</v>
      </c>
      <c r="CX171" s="2" t="n">
        <v>18.4</v>
      </c>
      <c r="CY171" s="2" t="inlineStr">
        <is>
          <t>NA</t>
        </is>
      </c>
      <c r="CZ171" s="2" t="n">
        <v>78.40000000000001</v>
      </c>
      <c r="DA171" s="2" t="n">
        <v>22.9</v>
      </c>
      <c r="DB171" s="2" t="n">
        <v>21.5</v>
      </c>
      <c r="DC171" s="2" t="n">
        <v>1.4</v>
      </c>
      <c r="DG171" s="2" t="n">
        <v>124.875</v>
      </c>
      <c r="DI171" s="2" t="n">
        <v>681.973</v>
      </c>
      <c r="DJ171" s="2" t="n">
        <v>216.015</v>
      </c>
      <c r="DK171" s="2" t="n">
        <v>586.307</v>
      </c>
      <c r="DM171" s="2" t="n">
        <v>210.762</v>
      </c>
      <c r="DO171" s="2" t="n">
        <v>210.829</v>
      </c>
      <c r="DP171" s="2" t="n">
        <v>189.771</v>
      </c>
      <c r="DS171" s="2" t="n">
        <v>880.146</v>
      </c>
      <c r="DT171" s="2" t="n">
        <v>3398.376</v>
      </c>
      <c r="DU171" s="2" t="n">
        <v>-422.5730000000003</v>
      </c>
      <c r="DV171" s="2" t="n">
        <v>-13.82399999999961</v>
      </c>
      <c r="GZ171" s="2" t="n">
        <v>1094.3</v>
      </c>
      <c r="IN171" s="2" t="n">
        <v>79.40000000000001</v>
      </c>
      <c r="IY171" s="2" t="n">
        <v>47.60154738878144</v>
      </c>
      <c r="IZ171" s="2" t="n">
        <v>0.2815473887814406</v>
      </c>
      <c r="JB171" s="2" t="n">
        <v>10.90997010726218</v>
      </c>
      <c r="JC171" s="2" t="n">
        <v>-0.05002989273782354</v>
      </c>
      <c r="JE171" s="2" t="n">
        <v>1452.7</v>
      </c>
      <c r="JF171" s="2" t="n">
        <v>0.3578006470709714</v>
      </c>
    </row>
    <row r="172">
      <c r="A172" s="1" t="n">
        <v>34274</v>
      </c>
      <c r="B172" s="2" t="n">
        <v>3431.2</v>
      </c>
      <c r="C172" s="2" t="n">
        <v>3446.7</v>
      </c>
      <c r="D172" s="2" t="n">
        <v>391.4</v>
      </c>
      <c r="E172" s="2" t="n">
        <v>2203.9</v>
      </c>
      <c r="F172" s="2" t="n">
        <v>22.2</v>
      </c>
      <c r="G172" s="2" t="n">
        <v>130.5</v>
      </c>
      <c r="H172" s="2" t="inlineStr">
        <is>
          <t>NA</t>
        </is>
      </c>
      <c r="I172" s="2" t="inlineStr">
        <is>
          <t>NA</t>
        </is>
      </c>
      <c r="J172" s="2" t="inlineStr">
        <is>
          <t>NA</t>
        </is>
      </c>
      <c r="K172" s="2" t="n">
        <v>1228.1</v>
      </c>
      <c r="L172" s="2" t="n">
        <v>1399.6</v>
      </c>
      <c r="M172" s="2" t="n">
        <v>1209.9</v>
      </c>
      <c r="N172" s="2" t="n">
        <v>189.7</v>
      </c>
      <c r="O172" s="2" t="n">
        <v>122.2</v>
      </c>
      <c r="P172" s="2" t="n">
        <v>101.8</v>
      </c>
      <c r="Q172" s="2" t="n">
        <v>31.9</v>
      </c>
      <c r="R172" s="2" t="n">
        <v>69.90000000000001</v>
      </c>
      <c r="T172" s="2" t="n">
        <v>16.9</v>
      </c>
      <c r="U172" s="2" t="n">
        <v>24.7</v>
      </c>
      <c r="V172" s="2" t="n">
        <v>22.2</v>
      </c>
      <c r="W172" s="2" t="n">
        <v>2.5</v>
      </c>
      <c r="X172" s="2" t="n">
        <v>104</v>
      </c>
      <c r="Y172" s="2" t="n">
        <v>3.6</v>
      </c>
      <c r="Z172" s="2" t="n">
        <v>113.9</v>
      </c>
      <c r="AA172" s="2" t="n">
        <v>105.9</v>
      </c>
      <c r="AB172" s="2" t="n">
        <v>8</v>
      </c>
      <c r="AC172" s="2" t="inlineStr">
        <is>
          <t>NA</t>
        </is>
      </c>
      <c r="AD172" s="2" t="n">
        <v>21.3</v>
      </c>
      <c r="AF172" s="2" t="n">
        <v>55.3</v>
      </c>
      <c r="AG172" s="2" t="n">
        <v>34.9</v>
      </c>
      <c r="AH172" s="2" t="n">
        <v>20.4</v>
      </c>
      <c r="AI172" s="2" t="n">
        <v>153.4</v>
      </c>
      <c r="AL172" s="2" t="n">
        <v>76.7</v>
      </c>
      <c r="AM172" s="2" t="n">
        <v>50.9</v>
      </c>
      <c r="AN172" s="2" t="n">
        <v>25.8</v>
      </c>
      <c r="AO172" s="2" t="n">
        <v>2537.6</v>
      </c>
      <c r="AP172" s="2" t="n">
        <v>232.8</v>
      </c>
      <c r="AQ172" s="2" t="n">
        <v>177.2</v>
      </c>
      <c r="AR172" s="2" t="n">
        <v>49.5</v>
      </c>
      <c r="AS172" s="2" t="n">
        <v>172.2</v>
      </c>
      <c r="AT172" s="2" t="n">
        <v>38.4</v>
      </c>
      <c r="AU172" s="2" t="n">
        <v>103.9</v>
      </c>
      <c r="AV172" s="2" t="n">
        <v>19.1</v>
      </c>
      <c r="AW172" s="2" t="n">
        <v>12.4</v>
      </c>
      <c r="AX172" s="2" t="n">
        <v>2.1</v>
      </c>
      <c r="AY172" s="2" t="n">
        <v>61.5</v>
      </c>
      <c r="AZ172" s="2" t="n">
        <v>6.4</v>
      </c>
      <c r="BA172" s="2" t="inlineStr">
        <is>
          <t>NA</t>
        </is>
      </c>
      <c r="BB172" s="2" t="inlineStr">
        <is>
          <t>NA</t>
        </is>
      </c>
      <c r="BD172" s="2" t="n">
        <v>124.8</v>
      </c>
      <c r="BE172" s="2" t="n">
        <v>38.7</v>
      </c>
      <c r="BH172" s="2" t="n">
        <v>332.5</v>
      </c>
      <c r="BK172" s="2" t="n">
        <v>232.8</v>
      </c>
      <c r="BL172" s="2" t="n">
        <v>2.6</v>
      </c>
      <c r="BM172" s="2" t="n">
        <v>567.9</v>
      </c>
      <c r="BN172" s="2" t="n">
        <v>243.5</v>
      </c>
      <c r="BQ172" s="2" t="n">
        <v>95.5</v>
      </c>
      <c r="BR172" s="2" t="n">
        <v>6.5</v>
      </c>
      <c r="BS172" s="2" t="n">
        <v>345.5</v>
      </c>
      <c r="BT172" s="2" t="inlineStr">
        <is>
          <t>NA</t>
        </is>
      </c>
      <c r="BU172" s="2" t="n">
        <v>30.1</v>
      </c>
      <c r="BV172" s="2" t="n">
        <v>375.8</v>
      </c>
      <c r="BW172" s="2" t="n">
        <v>117.8</v>
      </c>
      <c r="BX172" s="2" t="n">
        <v>432.6</v>
      </c>
      <c r="BY172" s="2" t="n">
        <v>40.9</v>
      </c>
      <c r="BZ172" s="2" t="n">
        <v>8.4</v>
      </c>
      <c r="CA172" s="2" t="n">
        <v>49.3</v>
      </c>
      <c r="CF172" s="2" t="n">
        <v>120.7</v>
      </c>
      <c r="CG172" s="2" t="n">
        <v>113</v>
      </c>
      <c r="CH172" s="2" t="n">
        <v>8.5</v>
      </c>
      <c r="CN172" s="2" t="n">
        <v>60.7</v>
      </c>
      <c r="CO172" s="2" t="n">
        <v>299.2</v>
      </c>
      <c r="CP172" s="2" t="n">
        <v>241.1</v>
      </c>
      <c r="CQ172" s="2" t="n">
        <v>58.1</v>
      </c>
      <c r="CR172" s="2" t="inlineStr">
        <is>
          <t>NA</t>
        </is>
      </c>
      <c r="CS172" s="2" t="n">
        <v>39.1</v>
      </c>
      <c r="CT172" s="2" t="n">
        <v>19.3</v>
      </c>
      <c r="CU172" s="2" t="n">
        <v>19.8</v>
      </c>
      <c r="CV172" s="2" t="n">
        <v>35.3</v>
      </c>
      <c r="CW172" s="2" t="n">
        <v>15.3</v>
      </c>
      <c r="CX172" s="2" t="n">
        <v>20</v>
      </c>
      <c r="CY172" s="2" t="n">
        <v>15.8</v>
      </c>
      <c r="CZ172" s="2" t="n">
        <v>83.5</v>
      </c>
      <c r="DA172" s="2" t="n">
        <v>36.40000000000001</v>
      </c>
      <c r="DB172" s="2" t="n">
        <v>34.2</v>
      </c>
      <c r="DC172" s="2" t="n">
        <v>2.2</v>
      </c>
      <c r="DG172" s="2" t="n">
        <v>122.56</v>
      </c>
      <c r="DI172" s="2" t="n">
        <v>664.479</v>
      </c>
      <c r="DJ172" s="2" t="n">
        <v>229.167</v>
      </c>
      <c r="DK172" s="2" t="n">
        <v>572.86</v>
      </c>
      <c r="DM172" s="2" t="n">
        <v>206.212</v>
      </c>
      <c r="DO172" s="2" t="n">
        <v>204.628</v>
      </c>
      <c r="DP172" s="2" t="n">
        <v>252.969</v>
      </c>
      <c r="DS172" s="2" t="n">
        <v>843.073</v>
      </c>
      <c r="DT172" s="2" t="n">
        <v>3431.175</v>
      </c>
      <c r="DU172" s="2" t="n">
        <v>-457.7870000000003</v>
      </c>
      <c r="DV172" s="2" t="n">
        <v>-0.0249999999996362</v>
      </c>
      <c r="GZ172" s="2" t="n">
        <v>1053.5</v>
      </c>
      <c r="IN172" s="2" t="n">
        <v>109.1</v>
      </c>
      <c r="IY172" s="2" t="n">
        <v>47.47260433667522</v>
      </c>
      <c r="IZ172" s="2" t="n">
        <v>-0.007395663324778923</v>
      </c>
      <c r="JB172" s="2" t="n">
        <v>10.73764280718116</v>
      </c>
      <c r="JC172" s="2" t="n">
        <v>-0.07235719281883846</v>
      </c>
      <c r="JE172" s="2" t="n">
        <v>1399.6</v>
      </c>
      <c r="JF172" s="2" t="n">
        <v>0.3601336096027436</v>
      </c>
    </row>
    <row r="173">
      <c r="A173" s="1" t="n">
        <v>34304</v>
      </c>
      <c r="B173" s="2" t="n">
        <v>3424.4</v>
      </c>
      <c r="C173" s="2" t="n">
        <v>3626.6</v>
      </c>
      <c r="D173" s="2" t="n">
        <v>375</v>
      </c>
      <c r="E173" s="2" t="n">
        <v>2365.2</v>
      </c>
      <c r="F173" s="2" t="n">
        <v>19.8</v>
      </c>
      <c r="G173" s="2" t="n">
        <v>100.1</v>
      </c>
      <c r="H173" s="2" t="inlineStr">
        <is>
          <t>NA</t>
        </is>
      </c>
      <c r="I173" s="2" t="inlineStr">
        <is>
          <t>NA</t>
        </is>
      </c>
      <c r="J173" s="2" t="n">
        <v>85.5</v>
      </c>
      <c r="K173" s="2" t="n">
        <v>1218.2</v>
      </c>
      <c r="L173" s="2" t="n">
        <v>1406.8</v>
      </c>
      <c r="M173" s="2" t="n">
        <v>1189.3</v>
      </c>
      <c r="N173" s="2" t="n">
        <v>217.5</v>
      </c>
      <c r="O173" s="2" t="n">
        <v>117.5</v>
      </c>
      <c r="P173" s="2" t="n">
        <v>123.3</v>
      </c>
      <c r="Q173" s="2" t="n">
        <v>32.8</v>
      </c>
      <c r="R173" s="2" t="n">
        <v>90.5</v>
      </c>
      <c r="T173" s="2" t="n">
        <v>15.1</v>
      </c>
      <c r="U173" s="2" t="n">
        <v>19.4</v>
      </c>
      <c r="V173" s="2" t="n">
        <v>15.5</v>
      </c>
      <c r="W173" s="2" t="n">
        <v>3.9</v>
      </c>
      <c r="X173" s="2" t="n">
        <v>80.40000000000001</v>
      </c>
      <c r="Y173" s="2" t="n">
        <v>3.7</v>
      </c>
      <c r="Z173" s="2" t="n">
        <v>123</v>
      </c>
      <c r="AA173" s="2" t="n">
        <v>112.7</v>
      </c>
      <c r="AB173" s="2" t="n">
        <v>10.3</v>
      </c>
      <c r="AC173" s="2" t="inlineStr">
        <is>
          <t>NA</t>
        </is>
      </c>
      <c r="AD173" s="2" t="n">
        <v>15.7</v>
      </c>
      <c r="AF173" s="2" t="n">
        <v>52.4</v>
      </c>
      <c r="AG173" s="2" t="n">
        <v>34.5</v>
      </c>
      <c r="AH173" s="2" t="n">
        <v>17.9</v>
      </c>
      <c r="AI173" s="2" t="n">
        <v>162.5</v>
      </c>
      <c r="AL173" s="2" t="n">
        <v>65</v>
      </c>
      <c r="AM173" s="2" t="n">
        <v>33.3</v>
      </c>
      <c r="AN173" s="2" t="n">
        <v>31.7</v>
      </c>
      <c r="AO173" s="2" t="n">
        <v>2517.4</v>
      </c>
      <c r="AP173" s="2" t="n">
        <v>251.2</v>
      </c>
      <c r="AQ173" s="2" t="n">
        <v>179.4</v>
      </c>
      <c r="AR173" s="2" t="n">
        <v>38.9</v>
      </c>
      <c r="AS173" s="2" t="n">
        <v>166.6</v>
      </c>
      <c r="AT173" s="2" t="n">
        <v>31.6</v>
      </c>
      <c r="AU173" s="2" t="n">
        <v>93.5</v>
      </c>
      <c r="AV173" s="2" t="n">
        <v>15.7</v>
      </c>
      <c r="AW173" s="2" t="n">
        <v>11.4</v>
      </c>
      <c r="AX173" s="2" t="n">
        <v>1.6</v>
      </c>
      <c r="AY173" s="2" t="n">
        <v>50.9</v>
      </c>
      <c r="AZ173" s="2" t="n">
        <v>9.5</v>
      </c>
      <c r="BA173" s="2" t="inlineStr">
        <is>
          <t>NA</t>
        </is>
      </c>
      <c r="BB173" s="2" t="inlineStr">
        <is>
          <t>NA</t>
        </is>
      </c>
      <c r="BD173" s="2" t="n">
        <v>121.5</v>
      </c>
      <c r="BE173" s="2" t="n">
        <v>33.2</v>
      </c>
      <c r="BH173" s="2" t="n">
        <v>344.7</v>
      </c>
      <c r="BK173" s="2" t="n">
        <v>247.8</v>
      </c>
      <c r="BL173" s="2" t="n">
        <v>3</v>
      </c>
      <c r="BM173" s="2" t="n">
        <v>595.5</v>
      </c>
      <c r="BN173" s="2" t="n">
        <v>235.3</v>
      </c>
      <c r="BQ173" s="2" t="n">
        <v>78.3</v>
      </c>
      <c r="BR173" s="2" t="n">
        <v>6.8</v>
      </c>
      <c r="BS173" s="2" t="n">
        <v>320.4</v>
      </c>
      <c r="BT173" s="2" t="inlineStr">
        <is>
          <t>NA</t>
        </is>
      </c>
      <c r="BU173" s="2" t="n">
        <v>37.7</v>
      </c>
      <c r="BV173" s="2" t="n">
        <v>395.1</v>
      </c>
      <c r="BW173" s="2" t="n">
        <v>108.2</v>
      </c>
      <c r="BX173" s="2" t="n">
        <v>440.5</v>
      </c>
      <c r="BY173" s="2" t="n">
        <v>39.7</v>
      </c>
      <c r="BZ173" s="2" t="n">
        <v>8.1</v>
      </c>
      <c r="CA173" s="2" t="n">
        <v>47.8</v>
      </c>
      <c r="CF173" s="2" t="n">
        <v>124.6</v>
      </c>
      <c r="CG173" s="2" t="n">
        <v>103.7</v>
      </c>
      <c r="CH173" s="2" t="n">
        <v>10.7</v>
      </c>
      <c r="CN173" s="2" t="n">
        <v>60.2</v>
      </c>
      <c r="CO173" s="2" t="n">
        <v>291.8</v>
      </c>
      <c r="CP173" s="2" t="n">
        <v>241.4</v>
      </c>
      <c r="CQ173" s="2" t="n">
        <v>50.4</v>
      </c>
      <c r="CR173" s="2" t="inlineStr">
        <is>
          <t>NA</t>
        </is>
      </c>
      <c r="CS173" s="2" t="n">
        <v>41.5</v>
      </c>
      <c r="CT173" s="2" t="n">
        <v>22.5</v>
      </c>
      <c r="CU173" s="2" t="n">
        <v>19</v>
      </c>
      <c r="CV173" s="2" t="n">
        <v>31.5</v>
      </c>
      <c r="CW173" s="2" t="n">
        <v>13.4</v>
      </c>
      <c r="CX173" s="2" t="n">
        <v>18.1</v>
      </c>
      <c r="CY173" s="2" t="n">
        <v>12.5</v>
      </c>
      <c r="CZ173" s="2" t="n">
        <v>76</v>
      </c>
      <c r="DA173" s="2" t="n">
        <v>37.3</v>
      </c>
      <c r="DB173" s="2" t="n">
        <v>35.1</v>
      </c>
      <c r="DC173" s="2" t="n">
        <v>2.2</v>
      </c>
      <c r="DG173" s="2" t="n">
        <v>119.447</v>
      </c>
      <c r="DI173" s="2" t="n">
        <v>669.614</v>
      </c>
      <c r="DJ173" s="2" t="n">
        <v>238.326</v>
      </c>
      <c r="DK173" s="2" t="n">
        <v>586.023</v>
      </c>
      <c r="DL173" s="2" t="n">
        <v>152.88</v>
      </c>
      <c r="DM173" s="2" t="n">
        <v>220.271</v>
      </c>
      <c r="DO173" s="2" t="n">
        <v>202.207</v>
      </c>
      <c r="DP173" s="2" t="n">
        <v>253.425</v>
      </c>
      <c r="DS173" s="2" t="n">
        <v>802.764</v>
      </c>
      <c r="DT173" s="2" t="n">
        <v>3424.355</v>
      </c>
      <c r="DU173" s="2" t="n">
        <v>-298.8449999999993</v>
      </c>
      <c r="DV173" s="2" t="n">
        <v>-0.04500000000007276</v>
      </c>
      <c r="GZ173" s="2" t="n">
        <v>1030.8</v>
      </c>
      <c r="IN173" s="2" t="n">
        <v>100.6</v>
      </c>
      <c r="IY173" s="2" t="n">
        <v>47.25148931199626</v>
      </c>
      <c r="IZ173" s="2" t="n">
        <v>0.02148931199626247</v>
      </c>
      <c r="JB173" s="2" t="n">
        <v>10.67223455203831</v>
      </c>
      <c r="JC173" s="2" t="n">
        <v>-0.04776544796168736</v>
      </c>
      <c r="JE173" s="2" t="n">
        <v>1406.8</v>
      </c>
      <c r="JF173" s="2" t="n">
        <v>0.31515353994882</v>
      </c>
    </row>
    <row r="174">
      <c r="A174" s="1" t="n">
        <v>34335</v>
      </c>
      <c r="B174" s="2" t="n">
        <v>3321.7</v>
      </c>
      <c r="C174" s="2" t="n">
        <v>3782.5</v>
      </c>
      <c r="D174" s="2" t="n">
        <v>391</v>
      </c>
      <c r="E174" s="2" t="n">
        <v>2069.3</v>
      </c>
      <c r="F174" s="2" t="n">
        <v>24</v>
      </c>
      <c r="G174" s="2" t="n">
        <v>68.59999999999999</v>
      </c>
      <c r="H174" s="2" t="n">
        <v>63.1</v>
      </c>
      <c r="I174" s="2" t="inlineStr">
        <is>
          <t>NA</t>
        </is>
      </c>
      <c r="J174" s="2" t="n">
        <v>94.09999999999999</v>
      </c>
      <c r="K174" s="2" t="n">
        <v>1192.3</v>
      </c>
      <c r="L174" s="2" t="n">
        <v>1414.6</v>
      </c>
      <c r="M174" s="2" t="n">
        <v>1184.2</v>
      </c>
      <c r="N174" s="2" t="n">
        <v>230.4</v>
      </c>
      <c r="O174" s="2" t="n">
        <v>124.7</v>
      </c>
      <c r="P174" s="2" t="n">
        <v>148.4</v>
      </c>
      <c r="Q174" s="2" t="n">
        <v>36.1</v>
      </c>
      <c r="R174" s="2" t="n">
        <v>112.3</v>
      </c>
      <c r="T174" s="2" t="n">
        <v>18.8</v>
      </c>
      <c r="U174" s="2" t="n">
        <v>23.6</v>
      </c>
      <c r="V174" s="2" t="n">
        <v>20.2</v>
      </c>
      <c r="W174" s="2" t="n">
        <v>3.4</v>
      </c>
      <c r="X174" s="2" t="n">
        <v>55.5</v>
      </c>
      <c r="Y174" s="2" t="inlineStr">
        <is>
          <t>NA</t>
        </is>
      </c>
      <c r="Z174" s="2" t="n">
        <v>143.3</v>
      </c>
      <c r="AA174" s="2" t="n">
        <v>134.1</v>
      </c>
      <c r="AB174" s="2" t="n">
        <v>9.199999999999999</v>
      </c>
      <c r="AC174" s="2" t="inlineStr">
        <is>
          <t>NA</t>
        </is>
      </c>
      <c r="AD174" s="2" t="n">
        <v>20.9</v>
      </c>
      <c r="AF174" s="2" t="n">
        <v>53.7</v>
      </c>
      <c r="AG174" s="2" t="n">
        <v>33</v>
      </c>
      <c r="AH174" s="2" t="n">
        <v>20.7</v>
      </c>
      <c r="AI174" s="2" t="n">
        <v>140.6</v>
      </c>
      <c r="AL174" s="2" t="n">
        <v>79.5</v>
      </c>
      <c r="AM174" s="2" t="n">
        <v>48</v>
      </c>
      <c r="AN174" s="2" t="n">
        <v>31.5</v>
      </c>
      <c r="AO174" s="2" t="n">
        <v>2455.5</v>
      </c>
      <c r="AP174" s="2" t="n">
        <v>189.4</v>
      </c>
      <c r="AQ174" s="2" t="n">
        <v>176.8</v>
      </c>
      <c r="AR174" s="2" t="n">
        <v>40.6</v>
      </c>
      <c r="AS174" s="2" t="n">
        <v>161.8</v>
      </c>
      <c r="AT174" s="2" t="n">
        <v>42.5</v>
      </c>
      <c r="AU174" s="2" t="n">
        <v>106.4</v>
      </c>
      <c r="AV174" s="2" t="n">
        <v>25.6</v>
      </c>
      <c r="AW174" s="2" t="n">
        <v>13.4</v>
      </c>
      <c r="AX174" s="2" t="n">
        <v>3.3</v>
      </c>
      <c r="AY174" s="2" t="n">
        <v>34.4</v>
      </c>
      <c r="AZ174" s="2" t="n">
        <v>6.9</v>
      </c>
      <c r="BA174" s="2" t="inlineStr">
        <is>
          <t>NA</t>
        </is>
      </c>
      <c r="BB174" s="2" t="inlineStr">
        <is>
          <t>NA</t>
        </is>
      </c>
      <c r="BD174" s="2" t="n">
        <v>138.9</v>
      </c>
      <c r="BE174" s="2" t="n">
        <v>39.9</v>
      </c>
      <c r="BH174" s="2" t="n">
        <v>297.1</v>
      </c>
      <c r="BK174" s="2" t="n">
        <v>217.8</v>
      </c>
      <c r="BL174" s="2" t="n">
        <v>2.9</v>
      </c>
      <c r="BM174" s="2" t="n">
        <v>517.9</v>
      </c>
      <c r="BN174" s="2" t="n">
        <v>231.7</v>
      </c>
      <c r="BQ174" s="2" t="n">
        <v>82.7</v>
      </c>
      <c r="BR174" s="2" t="n">
        <v>7.5</v>
      </c>
      <c r="BS174" s="2" t="n">
        <v>321.9</v>
      </c>
      <c r="BT174" s="2" t="inlineStr">
        <is>
          <t>NA</t>
        </is>
      </c>
      <c r="BU174" s="2" t="n">
        <v>38</v>
      </c>
      <c r="BV174" s="2" t="n">
        <v>345.6</v>
      </c>
      <c r="BW174" s="2" t="n">
        <v>111</v>
      </c>
      <c r="BX174" s="2" t="n">
        <v>457</v>
      </c>
      <c r="BY174" s="2" t="n">
        <v>37.3</v>
      </c>
      <c r="BZ174" s="2" t="n">
        <v>9.199999999999999</v>
      </c>
      <c r="CA174" s="2" t="n">
        <v>46.5</v>
      </c>
      <c r="CF174" s="2" t="n">
        <v>127</v>
      </c>
      <c r="CG174" s="2" t="n">
        <v>109.5</v>
      </c>
      <c r="CH174" s="2" t="n">
        <v>13.7</v>
      </c>
      <c r="CN174" s="2" t="n">
        <v>42.8</v>
      </c>
      <c r="CO174" s="2" t="n">
        <v>316.5</v>
      </c>
      <c r="CP174" s="2" t="n">
        <v>252.3</v>
      </c>
      <c r="CQ174" s="2" t="n">
        <v>64.2</v>
      </c>
      <c r="CR174" s="2" t="inlineStr">
        <is>
          <t>NA</t>
        </is>
      </c>
      <c r="CS174" s="2" t="n">
        <v>38</v>
      </c>
      <c r="CT174" s="2" t="n">
        <v>23</v>
      </c>
      <c r="CU174" s="2" t="n">
        <v>15</v>
      </c>
      <c r="CV174" s="2" t="n">
        <v>32.8</v>
      </c>
      <c r="CW174" s="2" t="n">
        <v>11.6</v>
      </c>
      <c r="CX174" s="2" t="n">
        <v>21.2</v>
      </c>
      <c r="CY174" s="2" t="n">
        <v>12.3</v>
      </c>
      <c r="CZ174" s="2" t="n">
        <v>109.4</v>
      </c>
      <c r="DA174" s="2" t="n">
        <v>24.8</v>
      </c>
      <c r="DB174" s="2" t="n">
        <v>22.6</v>
      </c>
      <c r="DC174" s="2" t="n">
        <v>2.2</v>
      </c>
      <c r="DG174" s="2" t="n">
        <v>121.8</v>
      </c>
      <c r="DI174" s="2" t="n">
        <v>624.3</v>
      </c>
      <c r="DJ174" s="2" t="n">
        <v>238</v>
      </c>
      <c r="DK174" s="2" t="n">
        <v>562.5</v>
      </c>
      <c r="DL174" s="2" t="n">
        <v>146</v>
      </c>
      <c r="DM174" s="2" t="n">
        <v>199.8</v>
      </c>
      <c r="DO174" s="2" t="n">
        <v>200.9</v>
      </c>
      <c r="DP174" s="2" t="n">
        <v>240.5</v>
      </c>
      <c r="DS174" s="2" t="n">
        <v>805.128</v>
      </c>
      <c r="DT174" s="2" t="n">
        <v>3321.7</v>
      </c>
      <c r="DU174" s="2" t="n">
        <v>-304.5719999999997</v>
      </c>
      <c r="DV174" s="2" t="n">
        <v>0</v>
      </c>
      <c r="GY174" s="2" t="n">
        <v>0.985728952772074</v>
      </c>
      <c r="GZ174" s="2" t="n">
        <v>960.1</v>
      </c>
      <c r="HA174" s="2" t="n">
        <v>974</v>
      </c>
      <c r="HF174" s="2" t="n">
        <v>924.5</v>
      </c>
      <c r="HG174" s="2" t="n">
        <v>897.5</v>
      </c>
      <c r="HH174" s="2" t="n">
        <v>379.2</v>
      </c>
      <c r="HI174" s="2" t="n">
        <v>159.4</v>
      </c>
      <c r="HJ174" s="2" t="n">
        <v>342.1</v>
      </c>
      <c r="HK174" s="2" t="n">
        <v>16.8</v>
      </c>
      <c r="HL174" s="2" t="n">
        <v>27.1</v>
      </c>
      <c r="HP174" s="2" t="e">
        <v>#VALUE!</v>
      </c>
      <c r="HQ174" s="2" t="n">
        <v>3.6</v>
      </c>
      <c r="HR174" s="2" t="n">
        <v>7.9</v>
      </c>
      <c r="HS174" s="2" t="e">
        <v>#VALUE!</v>
      </c>
      <c r="HT174" s="2" t="n">
        <v>9.4</v>
      </c>
      <c r="HW174" s="2" t="n">
        <v>241.9</v>
      </c>
      <c r="HX174" s="2" t="e">
        <v>#VALUE!</v>
      </c>
      <c r="HY174" s="2" t="n">
        <v>241.9</v>
      </c>
      <c r="HZ174" s="2" t="n">
        <v>38.6</v>
      </c>
      <c r="IA174" s="2" t="n">
        <v>160.3</v>
      </c>
      <c r="IB174" s="2" t="e">
        <v>#VALUE!</v>
      </c>
      <c r="IC174" s="2" t="e">
        <v>#VALUE!</v>
      </c>
      <c r="ID174" s="2" t="e">
        <v>#VALUE!</v>
      </c>
      <c r="IE174" s="2" t="e">
        <v>#VALUE!</v>
      </c>
      <c r="IF174" s="2" t="n">
        <v>13.7</v>
      </c>
      <c r="IG174" s="2" t="n">
        <v>23.4</v>
      </c>
      <c r="IN174" s="2" t="n">
        <v>107.2</v>
      </c>
      <c r="IO174" s="2" t="n">
        <v>110.8</v>
      </c>
      <c r="IP174" s="2" t="e">
        <v>#VALUE!</v>
      </c>
      <c r="IQ174" s="2" t="n">
        <v>38</v>
      </c>
      <c r="IR174" s="2" t="n">
        <v>16.8</v>
      </c>
      <c r="IS174" s="2" t="e">
        <v>#VALUE!</v>
      </c>
      <c r="IT174" s="2" t="n">
        <v>17.5</v>
      </c>
      <c r="IU174" s="2" t="e">
        <v>#VALUE!</v>
      </c>
      <c r="IV174" s="2" t="e">
        <v>#VALUE!</v>
      </c>
      <c r="IY174" s="2" t="n">
        <v>47.54734021735859</v>
      </c>
      <c r="IZ174" s="2" t="n">
        <v>-0.04265978264141523</v>
      </c>
      <c r="JB174" s="2" t="n">
        <v>10.76828130174308</v>
      </c>
      <c r="JC174" s="2" t="n">
        <v>-0.05171869825691644</v>
      </c>
      <c r="JE174" s="2" t="n">
        <v>1414.6</v>
      </c>
      <c r="JF174" s="2" t="n">
        <v>0.3401936943305528</v>
      </c>
    </row>
    <row r="175">
      <c r="A175" s="1" t="n">
        <v>34366</v>
      </c>
      <c r="B175" s="2" t="n">
        <v>3098.3</v>
      </c>
      <c r="C175" s="2" t="n">
        <v>3555.6</v>
      </c>
      <c r="D175" s="2" t="n">
        <v>335.2</v>
      </c>
      <c r="E175" s="2" t="n">
        <v>1769.8</v>
      </c>
      <c r="F175" s="2" t="n">
        <v>22.9</v>
      </c>
      <c r="G175" s="2" t="n">
        <v>75.59999999999999</v>
      </c>
      <c r="H175" s="2" t="n">
        <v>54.1</v>
      </c>
      <c r="I175" s="2" t="n">
        <v>37.3</v>
      </c>
      <c r="J175" s="2" t="n">
        <v>97.2</v>
      </c>
      <c r="K175" s="2" t="n">
        <v>1121.8</v>
      </c>
      <c r="L175" s="2" t="n">
        <v>1400.9</v>
      </c>
      <c r="M175" s="2" t="n">
        <v>1184</v>
      </c>
      <c r="N175" s="2" t="n">
        <v>216.9</v>
      </c>
      <c r="O175" s="2" t="n">
        <v>99.90000000000001</v>
      </c>
      <c r="P175" s="2" t="n">
        <v>152.6</v>
      </c>
      <c r="Q175" s="2" t="n">
        <v>35.6</v>
      </c>
      <c r="R175" s="2" t="n">
        <v>117</v>
      </c>
      <c r="T175" s="2" t="n">
        <v>18.3</v>
      </c>
      <c r="U175" s="2" t="n">
        <v>28.3</v>
      </c>
      <c r="V175" s="2" t="n">
        <v>24.4</v>
      </c>
      <c r="W175" s="2" t="n">
        <v>3.9</v>
      </c>
      <c r="X175" s="2" t="n">
        <v>60</v>
      </c>
      <c r="Y175" s="2" t="inlineStr">
        <is>
          <t>NA</t>
        </is>
      </c>
      <c r="Z175" s="2" t="n">
        <v>115.2</v>
      </c>
      <c r="AA175" s="2" t="n">
        <v>107.7</v>
      </c>
      <c r="AB175" s="2" t="n">
        <v>7.5</v>
      </c>
      <c r="AC175" s="2" t="n">
        <v>29.6</v>
      </c>
      <c r="AD175" s="2" t="n">
        <v>25.3</v>
      </c>
      <c r="AF175" s="2" t="n">
        <v>69.80000000000001</v>
      </c>
      <c r="AG175" s="2" t="n">
        <v>45.7</v>
      </c>
      <c r="AH175" s="2" t="n">
        <v>24.1</v>
      </c>
      <c r="AI175" s="2" t="n">
        <v>138.6</v>
      </c>
      <c r="AL175" s="2" t="n">
        <v>79</v>
      </c>
      <c r="AM175" s="2" t="n">
        <v>46.4</v>
      </c>
      <c r="AN175" s="2" t="n">
        <v>32.6</v>
      </c>
      <c r="AO175" s="2" t="n">
        <v>2303.8</v>
      </c>
      <c r="AP175" s="2" t="n">
        <v>246.7</v>
      </c>
      <c r="AQ175" s="2" t="n">
        <v>154.3</v>
      </c>
      <c r="AR175" s="2" t="n">
        <v>36.4</v>
      </c>
      <c r="AS175" s="2" t="n">
        <v>151.8</v>
      </c>
      <c r="AT175" s="2" t="n">
        <v>41.2</v>
      </c>
      <c r="AU175" s="2" t="n">
        <v>88.5</v>
      </c>
      <c r="AV175" s="2" t="n">
        <v>26.8</v>
      </c>
      <c r="AW175" s="2" t="n">
        <v>12.4</v>
      </c>
      <c r="AX175" s="2" t="n">
        <v>3.5</v>
      </c>
      <c r="AY175" s="2" t="n">
        <v>37.1</v>
      </c>
      <c r="AZ175" s="2" t="n">
        <v>4.6</v>
      </c>
      <c r="BA175" s="2" t="n">
        <v>21.7</v>
      </c>
      <c r="BB175" s="2" t="inlineStr">
        <is>
          <t>NA</t>
        </is>
      </c>
      <c r="BD175" s="2" t="n">
        <v>137.6</v>
      </c>
      <c r="BE175" s="2" t="n">
        <v>40</v>
      </c>
      <c r="BH175" s="2" t="n">
        <v>275.8</v>
      </c>
      <c r="BK175" s="2" t="n">
        <v>226.1</v>
      </c>
      <c r="BL175" s="2" t="n">
        <v>4.3</v>
      </c>
      <c r="BM175" s="2" t="n">
        <v>506.2</v>
      </c>
      <c r="BN175" s="2" t="n">
        <v>234.2</v>
      </c>
      <c r="BQ175" s="2" t="n">
        <v>86.09999999999999</v>
      </c>
      <c r="BR175" s="2" t="n">
        <v>6.6</v>
      </c>
      <c r="BS175" s="2" t="n">
        <v>326.9</v>
      </c>
      <c r="BT175" s="2" t="inlineStr">
        <is>
          <t>NA</t>
        </is>
      </c>
      <c r="BU175" s="2" t="n">
        <v>31.8</v>
      </c>
      <c r="BV175" s="2" t="n">
        <v>344.6</v>
      </c>
      <c r="BW175" s="2" t="n">
        <v>107.3</v>
      </c>
      <c r="BX175" s="2" t="n">
        <v>455</v>
      </c>
      <c r="BY175" s="2" t="n">
        <v>41.3</v>
      </c>
      <c r="BZ175" s="2" t="n">
        <v>8.199999999999999</v>
      </c>
      <c r="CA175" s="2" t="n">
        <v>49.5</v>
      </c>
      <c r="CF175" s="2" t="n">
        <v>115.4</v>
      </c>
      <c r="CG175" s="2" t="n">
        <v>109.7</v>
      </c>
      <c r="CH175" s="2" t="n">
        <v>13.5</v>
      </c>
      <c r="CN175" s="2" t="n">
        <v>43.9</v>
      </c>
      <c r="CO175" s="2" t="n">
        <v>284.5</v>
      </c>
      <c r="CP175" s="2" t="n">
        <v>229.8</v>
      </c>
      <c r="CQ175" s="2" t="n">
        <v>54.7</v>
      </c>
      <c r="CR175" s="2" t="inlineStr">
        <is>
          <t>NA</t>
        </is>
      </c>
      <c r="CS175" s="2" t="n">
        <v>42</v>
      </c>
      <c r="CT175" s="2" t="n">
        <v>28</v>
      </c>
      <c r="CU175" s="2" t="n">
        <v>14</v>
      </c>
      <c r="CV175" s="2" t="n">
        <v>25.6</v>
      </c>
      <c r="CW175" s="2" t="n">
        <v>11</v>
      </c>
      <c r="CX175" s="2" t="n">
        <v>14.6</v>
      </c>
      <c r="CY175" s="2" t="n">
        <v>9.9</v>
      </c>
      <c r="CZ175" s="2" t="n">
        <v>90</v>
      </c>
      <c r="DA175" s="2" t="n">
        <v>36.1</v>
      </c>
      <c r="DB175" s="2" t="n">
        <v>33.6</v>
      </c>
      <c r="DC175" s="2" t="n">
        <v>2.5</v>
      </c>
      <c r="DG175" s="2" t="n">
        <v>106.5</v>
      </c>
      <c r="DI175" s="2" t="n">
        <v>581.5</v>
      </c>
      <c r="DJ175" s="2" t="n">
        <v>227.4</v>
      </c>
      <c r="DK175" s="2" t="n">
        <v>517.6</v>
      </c>
      <c r="DL175" s="2" t="n">
        <v>136.1</v>
      </c>
      <c r="DM175" s="2" t="n">
        <v>181</v>
      </c>
      <c r="DO175" s="2" t="n">
        <v>184.3</v>
      </c>
      <c r="DP175" s="2" t="n">
        <v>223.7</v>
      </c>
      <c r="DS175" s="2" t="n">
        <v>774.919</v>
      </c>
      <c r="DT175" s="2" t="n">
        <v>3098.3</v>
      </c>
      <c r="DU175" s="2" t="n">
        <v>-271.7810000000004</v>
      </c>
      <c r="DV175" s="2" t="n">
        <v>0</v>
      </c>
      <c r="GY175" s="2" t="n">
        <v>0.9702411493073371</v>
      </c>
      <c r="GZ175" s="2" t="n">
        <v>945.5</v>
      </c>
      <c r="HA175" s="2" t="n">
        <v>974.5</v>
      </c>
      <c r="HF175" s="2" t="n">
        <v>939.1</v>
      </c>
      <c r="HG175" s="2" t="n">
        <v>915.9</v>
      </c>
      <c r="HH175" s="2" t="n">
        <v>373.9</v>
      </c>
      <c r="HI175" s="2" t="n">
        <v>151.2</v>
      </c>
      <c r="HJ175" s="2" t="n">
        <v>377.4</v>
      </c>
      <c r="HK175" s="2" t="n">
        <v>13.4</v>
      </c>
      <c r="HL175" s="2" t="n">
        <v>23.2</v>
      </c>
      <c r="HP175" s="2" t="e">
        <v>#VALUE!</v>
      </c>
      <c r="HQ175" s="2" t="n">
        <v>3.9</v>
      </c>
      <c r="HR175" s="2" t="n">
        <v>7.3</v>
      </c>
      <c r="HS175" s="2" t="e">
        <v>#VALUE!</v>
      </c>
      <c r="HT175" s="2" t="n">
        <v>7.6</v>
      </c>
      <c r="HW175" s="2" t="n">
        <v>254.4</v>
      </c>
      <c r="HX175" s="2" t="e">
        <v>#VALUE!</v>
      </c>
      <c r="HY175" s="2" t="n">
        <v>254.4</v>
      </c>
      <c r="HZ175" s="2" t="n">
        <v>47.2</v>
      </c>
      <c r="IA175" s="2" t="n">
        <v>163.4</v>
      </c>
      <c r="IB175" s="2" t="e">
        <v>#VALUE!</v>
      </c>
      <c r="IC175" s="2" t="e">
        <v>#VALUE!</v>
      </c>
      <c r="ID175" s="2" t="e">
        <v>#VALUE!</v>
      </c>
      <c r="IE175" s="2" t="e">
        <v>#VALUE!</v>
      </c>
      <c r="IF175" s="2" t="n">
        <v>13.7</v>
      </c>
      <c r="IG175" s="2" t="n">
        <v>24.2</v>
      </c>
      <c r="IN175" s="2" t="n">
        <v>93.40000000000001</v>
      </c>
      <c r="IO175" s="2" t="n">
        <v>96.7</v>
      </c>
      <c r="IP175" s="2" t="e">
        <v>#VALUE!</v>
      </c>
      <c r="IQ175" s="2" t="n">
        <v>36.9</v>
      </c>
      <c r="IR175" s="2" t="n">
        <v>13.9</v>
      </c>
      <c r="IS175" s="2" t="e">
        <v>#VALUE!</v>
      </c>
      <c r="IT175" s="2" t="n">
        <v>18.6</v>
      </c>
      <c r="IU175" s="2" t="e">
        <v>#VALUE!</v>
      </c>
      <c r="IV175" s="2" t="e">
        <v>#VALUE!</v>
      </c>
      <c r="IY175" s="2" t="n">
        <v>47.60223348287771</v>
      </c>
      <c r="IZ175" s="2" t="n">
        <v>-0.007766517122284711</v>
      </c>
      <c r="JB175" s="2" t="n">
        <v>10.862085659878</v>
      </c>
      <c r="JC175" s="2" t="n">
        <v>0.02208565987799638</v>
      </c>
      <c r="JE175" s="2" t="n">
        <v>1400.9</v>
      </c>
      <c r="JF175" s="2" t="n">
        <v>0.3470890142051538</v>
      </c>
    </row>
    <row r="176">
      <c r="A176" s="1" t="n">
        <v>34394</v>
      </c>
      <c r="B176" s="2" t="n">
        <v>3399.2</v>
      </c>
      <c r="C176" s="2" t="n">
        <v>3591.5</v>
      </c>
      <c r="D176" s="2" t="n">
        <v>358.6</v>
      </c>
      <c r="E176" s="2" t="n">
        <v>1440.1</v>
      </c>
      <c r="F176" s="2" t="n">
        <v>26.9</v>
      </c>
      <c r="G176" s="2" t="n">
        <v>61.9</v>
      </c>
      <c r="H176" s="2" t="n">
        <v>65.59999999999999</v>
      </c>
      <c r="I176" s="2" t="n">
        <v>51.8</v>
      </c>
      <c r="J176" s="2" t="n">
        <v>89.40000000000001</v>
      </c>
      <c r="K176" s="2" t="n">
        <v>1231.3</v>
      </c>
      <c r="L176" s="2" t="n">
        <v>1402.1</v>
      </c>
      <c r="M176" s="2" t="n">
        <v>1192.3</v>
      </c>
      <c r="N176" s="2" t="n">
        <v>209.8</v>
      </c>
      <c r="O176" s="2" t="n">
        <v>119.6</v>
      </c>
      <c r="P176" s="2" t="n">
        <v>167.1</v>
      </c>
      <c r="Q176" s="2" t="n">
        <v>38.2</v>
      </c>
      <c r="R176" s="2" t="n">
        <v>128.9</v>
      </c>
      <c r="T176" s="2" t="n">
        <v>21.2</v>
      </c>
      <c r="U176" s="2" t="n">
        <v>26.1</v>
      </c>
      <c r="V176" s="2" t="n">
        <v>23.3</v>
      </c>
      <c r="W176" s="2" t="n">
        <v>2.8</v>
      </c>
      <c r="X176" s="2" t="n">
        <v>50</v>
      </c>
      <c r="Y176" s="2" t="n">
        <v>3.9</v>
      </c>
      <c r="Z176" s="2" t="n">
        <v>142.1</v>
      </c>
      <c r="AA176" s="2" t="n">
        <v>132.8</v>
      </c>
      <c r="AB176" s="2" t="n">
        <v>9.300000000000001</v>
      </c>
      <c r="AC176" s="2" t="n">
        <v>42</v>
      </c>
      <c r="AD176" s="2" t="n">
        <v>22.4</v>
      </c>
      <c r="AF176" s="2" t="n">
        <v>81.59999999999999</v>
      </c>
      <c r="AG176" s="2" t="n">
        <v>55.6</v>
      </c>
      <c r="AH176" s="2" t="n">
        <v>26</v>
      </c>
      <c r="AI176" s="2" t="n">
        <v>166.9</v>
      </c>
      <c r="AL176" s="2" t="n">
        <v>65.40000000000001</v>
      </c>
      <c r="AM176" s="2" t="n">
        <v>39.5</v>
      </c>
      <c r="AN176" s="2" t="n">
        <v>25.9</v>
      </c>
      <c r="AO176" s="2" t="n">
        <v>2522.7</v>
      </c>
      <c r="AP176" s="2" t="n">
        <v>235</v>
      </c>
      <c r="AQ176" s="2" t="n">
        <v>173.6</v>
      </c>
      <c r="AR176" s="2" t="n">
        <v>42.3</v>
      </c>
      <c r="AS176" s="2" t="n">
        <v>164</v>
      </c>
      <c r="AT176" s="2" t="n">
        <v>52.1</v>
      </c>
      <c r="AU176" s="2" t="n">
        <v>97</v>
      </c>
      <c r="AV176" s="2" t="n">
        <v>30.7</v>
      </c>
      <c r="AW176" s="2" t="n">
        <v>15.1</v>
      </c>
      <c r="AX176" s="2" t="n">
        <v>4.4</v>
      </c>
      <c r="AY176" s="2" t="n">
        <v>30.8</v>
      </c>
      <c r="AZ176" s="2" t="n">
        <v>4.9</v>
      </c>
      <c r="BA176" s="2" t="n">
        <v>29.9</v>
      </c>
      <c r="BB176" s="2" t="inlineStr">
        <is>
          <t>NA</t>
        </is>
      </c>
      <c r="BD176" s="2" t="n">
        <v>145.8</v>
      </c>
      <c r="BE176" s="2" t="n">
        <v>41.1</v>
      </c>
      <c r="BH176" s="2" t="n">
        <v>321.1</v>
      </c>
      <c r="BK176" s="2" t="n">
        <v>258.6</v>
      </c>
      <c r="BL176" s="2" t="n">
        <v>4.5</v>
      </c>
      <c r="BM176" s="2" t="n">
        <v>584.2</v>
      </c>
      <c r="BN176" s="2" t="n">
        <v>261.1</v>
      </c>
      <c r="BQ176" s="2" t="n">
        <v>101.7</v>
      </c>
      <c r="BR176" s="2" t="n">
        <v>8</v>
      </c>
      <c r="BS176" s="2" t="n">
        <v>370.8</v>
      </c>
      <c r="BT176" s="2" t="inlineStr">
        <is>
          <t>NA</t>
        </is>
      </c>
      <c r="BU176" s="2" t="n">
        <v>28.8</v>
      </c>
      <c r="BV176" s="2" t="n">
        <v>390.2</v>
      </c>
      <c r="BW176" s="2" t="n">
        <v>114.8</v>
      </c>
      <c r="BX176" s="2" t="n">
        <v>507.8</v>
      </c>
      <c r="BY176" s="2" t="n">
        <v>40.8</v>
      </c>
      <c r="BZ176" s="2" t="n">
        <v>9.1</v>
      </c>
      <c r="CA176" s="2" t="n">
        <v>49.9</v>
      </c>
      <c r="CF176" s="2" t="n">
        <v>148.1</v>
      </c>
      <c r="CG176" s="2" t="n">
        <v>118.2</v>
      </c>
      <c r="CH176" s="2" t="n">
        <v>13.5</v>
      </c>
      <c r="CN176" s="2" t="n">
        <v>42.4</v>
      </c>
      <c r="CO176" s="2" t="n">
        <v>251.5</v>
      </c>
      <c r="CP176" s="2" t="n">
        <v>190.2</v>
      </c>
      <c r="CQ176" s="2" t="n">
        <v>61.3</v>
      </c>
      <c r="CR176" s="2" t="inlineStr">
        <is>
          <t>NA</t>
        </is>
      </c>
      <c r="CS176" s="2" t="n">
        <v>49.4</v>
      </c>
      <c r="CT176" s="2" t="n">
        <v>28</v>
      </c>
      <c r="CU176" s="2" t="n">
        <v>21.4</v>
      </c>
      <c r="CV176" s="2" t="n">
        <v>38.2</v>
      </c>
      <c r="CW176" s="2" t="n">
        <v>13.7</v>
      </c>
      <c r="CX176" s="2" t="n">
        <v>24.5</v>
      </c>
      <c r="CY176" s="2" t="n">
        <v>10.8</v>
      </c>
      <c r="CZ176" s="2" t="n">
        <v>112.7</v>
      </c>
      <c r="DA176" s="2" t="n">
        <v>30.1</v>
      </c>
      <c r="DB176" s="2" t="n">
        <v>28.2</v>
      </c>
      <c r="DC176" s="2" t="n">
        <v>1.9</v>
      </c>
      <c r="DG176" s="2" t="n">
        <v>120.7</v>
      </c>
      <c r="DI176" s="2" t="n">
        <v>641.4</v>
      </c>
      <c r="DJ176" s="2" t="n">
        <v>238.5</v>
      </c>
      <c r="DK176" s="2" t="n">
        <v>543.2</v>
      </c>
      <c r="DL176" s="2" t="n">
        <v>157.3</v>
      </c>
      <c r="DM176" s="2" t="n">
        <v>201.7</v>
      </c>
      <c r="DO176" s="2" t="n">
        <v>201.3</v>
      </c>
      <c r="DP176" s="2" t="n">
        <v>254.3</v>
      </c>
      <c r="DS176" s="2" t="n">
        <v>862.873</v>
      </c>
      <c r="DT176" s="2" t="n">
        <v>3399.2</v>
      </c>
      <c r="DU176" s="2" t="n">
        <v>-298.627</v>
      </c>
      <c r="DV176" s="2" t="n">
        <v>0</v>
      </c>
      <c r="GY176" s="2" t="n">
        <v>0.9688245002750779</v>
      </c>
      <c r="GZ176" s="2" t="n">
        <v>1056.6</v>
      </c>
      <c r="HA176" s="2" t="n">
        <v>1090.6</v>
      </c>
      <c r="HF176" s="2" t="n">
        <v>1084.7</v>
      </c>
      <c r="HG176" s="2" t="n">
        <v>1056.9</v>
      </c>
      <c r="HH176" s="2" t="n">
        <v>431.9</v>
      </c>
      <c r="HI176" s="2" t="n">
        <v>165.3</v>
      </c>
      <c r="HJ176" s="2" t="n">
        <v>441.3</v>
      </c>
      <c r="HK176" s="2" t="n">
        <v>18.4</v>
      </c>
      <c r="HL176" s="2" t="n">
        <v>27.8</v>
      </c>
      <c r="HP176" s="2" t="e">
        <v>#VALUE!</v>
      </c>
      <c r="HQ176" s="2" t="n">
        <v>4.1</v>
      </c>
      <c r="HR176" s="2" t="n">
        <v>10.8</v>
      </c>
      <c r="HS176" s="2" t="e">
        <v>#VALUE!</v>
      </c>
      <c r="HT176" s="2" t="n">
        <v>8.1</v>
      </c>
      <c r="HW176" s="2" t="n">
        <v>265.2</v>
      </c>
      <c r="HX176" s="2" t="e">
        <v>#VALUE!</v>
      </c>
      <c r="HY176" s="2" t="n">
        <v>265.2</v>
      </c>
      <c r="HZ176" s="2" t="n">
        <v>48.5</v>
      </c>
      <c r="IA176" s="2" t="n">
        <v>177.1</v>
      </c>
      <c r="IB176" s="2" t="e">
        <v>#VALUE!</v>
      </c>
      <c r="IC176" s="2" t="e">
        <v>#VALUE!</v>
      </c>
      <c r="ID176" s="2" t="e">
        <v>#VALUE!</v>
      </c>
      <c r="IE176" s="2" t="e">
        <v>#VALUE!</v>
      </c>
      <c r="IF176" s="2" t="n">
        <v>13.9</v>
      </c>
      <c r="IG176" s="2" t="n">
        <v>19.9</v>
      </c>
      <c r="IN176" s="2" t="n">
        <v>107.8</v>
      </c>
      <c r="IO176" s="2" t="n">
        <v>111.5</v>
      </c>
      <c r="IP176" s="2" t="n">
        <v>43.3</v>
      </c>
      <c r="IQ176" s="2" t="n">
        <v>42.4</v>
      </c>
      <c r="IR176" s="2" t="n">
        <v>19.1</v>
      </c>
      <c r="IS176" s="2" t="e">
        <v>#VALUE!</v>
      </c>
      <c r="IT176" s="2" t="n">
        <v>17.8</v>
      </c>
      <c r="IU176" s="2" t="e">
        <v>#VALUE!</v>
      </c>
      <c r="IV176" s="2" t="n">
        <v>0.9</v>
      </c>
      <c r="IY176" s="2" t="n">
        <v>47.59296305012944</v>
      </c>
      <c r="IZ176" s="2" t="n">
        <v>-0.05703694987055741</v>
      </c>
      <c r="JB176" s="2" t="n">
        <v>10.8669686985173</v>
      </c>
      <c r="JC176" s="2" t="n">
        <v>-0.003031301482700144</v>
      </c>
      <c r="JE176" s="2" t="n">
        <v>1402.1</v>
      </c>
      <c r="JF176" s="2" t="n">
        <v>0.3435710719634834</v>
      </c>
    </row>
    <row r="177">
      <c r="A177" s="1" t="n">
        <v>34425</v>
      </c>
      <c r="B177" s="2" t="n">
        <v>3166.7</v>
      </c>
      <c r="C177" s="2" t="n">
        <v>2959.7</v>
      </c>
      <c r="D177" s="2" t="n">
        <v>265.7</v>
      </c>
      <c r="E177" s="2" t="n">
        <v>1179.8</v>
      </c>
      <c r="F177" s="2" t="n">
        <v>24.3</v>
      </c>
      <c r="G177" s="2" t="n">
        <v>59.6</v>
      </c>
      <c r="H177" s="2" t="n">
        <v>37</v>
      </c>
      <c r="I177" s="2" t="n">
        <v>44.1</v>
      </c>
      <c r="J177" s="2" t="n">
        <v>62.1</v>
      </c>
      <c r="K177" s="2" t="n">
        <v>1155.3</v>
      </c>
      <c r="L177" s="2" t="n">
        <v>1553.3</v>
      </c>
      <c r="M177" s="2" t="n">
        <v>1329.8</v>
      </c>
      <c r="N177" s="2" t="n">
        <v>223.5</v>
      </c>
      <c r="O177" s="2" t="n">
        <v>85.3</v>
      </c>
      <c r="P177" s="2" t="n">
        <v>157</v>
      </c>
      <c r="Q177" s="2" t="n">
        <v>38.1</v>
      </c>
      <c r="R177" s="2" t="n">
        <v>118.9</v>
      </c>
      <c r="T177" s="2" t="n">
        <v>18.7</v>
      </c>
      <c r="U177" s="2" t="n">
        <v>34.5</v>
      </c>
      <c r="V177" s="2" t="n">
        <v>29.4</v>
      </c>
      <c r="W177" s="2" t="n">
        <v>5.1</v>
      </c>
      <c r="X177" s="2" t="n">
        <v>47.7</v>
      </c>
      <c r="Y177" s="2" t="inlineStr">
        <is>
          <t>NA</t>
        </is>
      </c>
      <c r="Z177" s="2" t="n">
        <v>140.6</v>
      </c>
      <c r="AA177" s="2" t="n">
        <v>133.6</v>
      </c>
      <c r="AB177" s="2" t="n">
        <v>7</v>
      </c>
      <c r="AC177" s="2" t="n">
        <v>34.2</v>
      </c>
      <c r="AD177" s="2" t="n">
        <v>23.6</v>
      </c>
      <c r="AF177" s="2" t="n">
        <v>109</v>
      </c>
      <c r="AG177" s="2" t="n">
        <v>72.3</v>
      </c>
      <c r="AH177" s="2" t="n">
        <v>36.7</v>
      </c>
      <c r="AI177" s="2" t="n">
        <v>155.3</v>
      </c>
      <c r="AL177" s="2" t="n">
        <v>96.40000000000001</v>
      </c>
      <c r="AM177" s="2" t="n">
        <v>52.2</v>
      </c>
      <c r="AN177" s="2" t="n">
        <v>44.2</v>
      </c>
      <c r="AO177" s="2" t="n">
        <v>2347.5</v>
      </c>
      <c r="AP177" s="2" t="n">
        <v>292.7</v>
      </c>
      <c r="AQ177" s="2" t="n">
        <v>162.5</v>
      </c>
      <c r="AR177" s="2" t="n">
        <v>40.3</v>
      </c>
      <c r="AS177" s="2" t="n">
        <v>119.6</v>
      </c>
      <c r="AT177" s="2" t="n">
        <v>66.40000000000001</v>
      </c>
      <c r="AU177" s="2" t="n">
        <v>65.90000000000001</v>
      </c>
      <c r="AV177" s="2" t="n">
        <v>22.7</v>
      </c>
      <c r="AW177" s="2" t="n">
        <v>13.4</v>
      </c>
      <c r="AX177" s="2" t="n">
        <v>4.5</v>
      </c>
      <c r="AY177" s="2" t="n">
        <v>28.3</v>
      </c>
      <c r="AZ177" s="2" t="inlineStr">
        <is>
          <t>NA</t>
        </is>
      </c>
      <c r="BA177" s="2" t="n">
        <v>25.9</v>
      </c>
      <c r="BB177" s="2" t="inlineStr">
        <is>
          <t>NA</t>
        </is>
      </c>
      <c r="BD177" s="2" t="n">
        <v>139.2</v>
      </c>
      <c r="BE177" s="2" t="n">
        <v>37</v>
      </c>
      <c r="BH177" s="2" t="n">
        <v>288</v>
      </c>
      <c r="BK177" s="2" t="n">
        <v>238.8</v>
      </c>
      <c r="BL177" s="2" t="n">
        <v>4.9</v>
      </c>
      <c r="BM177" s="2" t="n">
        <v>531.7</v>
      </c>
      <c r="BN177" s="2" t="n">
        <v>223.6</v>
      </c>
      <c r="BQ177" s="2" t="n">
        <v>92.2</v>
      </c>
      <c r="BR177" s="2" t="n">
        <v>7.2</v>
      </c>
      <c r="BS177" s="2" t="n">
        <v>323</v>
      </c>
      <c r="BT177" s="2" t="inlineStr">
        <is>
          <t>NA</t>
        </is>
      </c>
      <c r="BU177" s="2" t="n">
        <v>25.1</v>
      </c>
      <c r="BV177" s="2" t="n">
        <v>356.8</v>
      </c>
      <c r="BW177" s="2" t="n">
        <v>106.9</v>
      </c>
      <c r="BX177" s="2" t="n">
        <v>465.5</v>
      </c>
      <c r="BY177" s="2" t="n">
        <v>47.5</v>
      </c>
      <c r="BZ177" s="2" t="n">
        <v>9.300000000000001</v>
      </c>
      <c r="CA177" s="2" t="n">
        <v>56.8</v>
      </c>
      <c r="CF177" s="2" t="n">
        <v>131</v>
      </c>
      <c r="CG177" s="2" t="n">
        <v>124.4</v>
      </c>
      <c r="CH177" s="2" t="n">
        <v>12</v>
      </c>
      <c r="CN177" s="2" t="n">
        <v>41</v>
      </c>
      <c r="CO177" s="2" t="n">
        <v>237.6</v>
      </c>
      <c r="CP177" s="2" t="n">
        <v>167.5</v>
      </c>
      <c r="CQ177" s="2" t="n">
        <v>70.09999999999999</v>
      </c>
      <c r="CR177" s="2" t="inlineStr">
        <is>
          <t>NA</t>
        </is>
      </c>
      <c r="CS177" s="2" t="n">
        <v>52</v>
      </c>
      <c r="CT177" s="2" t="n">
        <v>32</v>
      </c>
      <c r="CU177" s="2" t="n">
        <v>20</v>
      </c>
      <c r="CV177" s="2" t="n">
        <v>41.4</v>
      </c>
      <c r="CW177" s="2" t="n">
        <v>17</v>
      </c>
      <c r="CX177" s="2" t="n">
        <v>24.4</v>
      </c>
      <c r="CY177" s="2" t="n">
        <v>10.4</v>
      </c>
      <c r="CZ177" s="2" t="n">
        <v>94.5</v>
      </c>
      <c r="DA177" s="2" t="n">
        <v>38.7</v>
      </c>
      <c r="DB177" s="2" t="n">
        <v>37</v>
      </c>
      <c r="DC177" s="2" t="n">
        <v>1.7</v>
      </c>
      <c r="DG177" s="2" t="n">
        <v>93.59999999999999</v>
      </c>
      <c r="DI177" s="2" t="n">
        <v>595.6</v>
      </c>
      <c r="DJ177" s="2" t="n">
        <v>232.1</v>
      </c>
      <c r="DK177" s="2" t="n">
        <v>516.5</v>
      </c>
      <c r="DL177" s="2" t="n">
        <v>143</v>
      </c>
      <c r="DM177" s="2" t="n">
        <v>194.7</v>
      </c>
      <c r="DO177" s="2" t="n">
        <v>185.8</v>
      </c>
      <c r="DP177" s="2" t="n">
        <v>246.9</v>
      </c>
      <c r="DS177" s="2" t="n">
        <v>785.385</v>
      </c>
      <c r="DT177" s="2" t="n">
        <v>3166.7</v>
      </c>
      <c r="DU177" s="2" t="n">
        <v>-266.7150000000001</v>
      </c>
      <c r="DV177" s="2" t="n">
        <v>0</v>
      </c>
      <c r="GY177" s="2" t="n">
        <v>0.9696306169078446</v>
      </c>
      <c r="GZ177" s="2" t="n">
        <v>1018.5</v>
      </c>
      <c r="HA177" s="2" t="n">
        <v>1050.4</v>
      </c>
      <c r="HF177" s="2" t="n">
        <v>1040.6</v>
      </c>
      <c r="HG177" s="2" t="n">
        <v>1009</v>
      </c>
      <c r="HH177" s="2" t="n">
        <v>412.4</v>
      </c>
      <c r="HI177" s="2" t="n">
        <v>136.2</v>
      </c>
      <c r="HJ177" s="2" t="n">
        <v>443.2</v>
      </c>
      <c r="HK177" s="2" t="n">
        <v>17.2</v>
      </c>
      <c r="HL177" s="2" t="n">
        <v>31.5</v>
      </c>
      <c r="HP177" s="2" t="e">
        <v>#VALUE!</v>
      </c>
      <c r="HQ177" s="2" t="n">
        <v>4.3</v>
      </c>
      <c r="HR177" s="2" t="n">
        <v>9.800000000000001</v>
      </c>
      <c r="HS177" s="2" t="e">
        <v>#VALUE!</v>
      </c>
      <c r="HT177" s="2" t="n">
        <v>8.800000000000001</v>
      </c>
      <c r="HW177" s="2" t="n">
        <v>284.7</v>
      </c>
      <c r="HX177" s="2" t="e">
        <v>#VALUE!</v>
      </c>
      <c r="HY177" s="2" t="n">
        <v>284.7</v>
      </c>
      <c r="HZ177" s="2" t="n">
        <v>53.2</v>
      </c>
      <c r="IA177" s="2" t="n">
        <v>183.3</v>
      </c>
      <c r="IB177" s="2" t="e">
        <v>#VALUE!</v>
      </c>
      <c r="IC177" s="2" t="e">
        <v>#VALUE!</v>
      </c>
      <c r="ID177" s="2" t="e">
        <v>#VALUE!</v>
      </c>
      <c r="IE177" s="2" t="e">
        <v>#VALUE!</v>
      </c>
      <c r="IF177" s="2" t="n">
        <v>15.9</v>
      </c>
      <c r="IG177" s="2" t="n">
        <v>24.4</v>
      </c>
      <c r="IN177" s="2" t="n">
        <v>66.90000000000001</v>
      </c>
      <c r="IO177" s="2" t="n">
        <v>69.59999999999999</v>
      </c>
      <c r="IP177" s="2" t="n">
        <v>51.9</v>
      </c>
      <c r="IQ177" s="2" t="n">
        <v>51.2</v>
      </c>
      <c r="IR177" s="2" t="n">
        <v>17</v>
      </c>
      <c r="IS177" s="2" t="e">
        <v>#VALUE!</v>
      </c>
      <c r="IT177" s="2" t="n">
        <v>30.8</v>
      </c>
      <c r="IU177" s="2" t="e">
        <v>#VALUE!</v>
      </c>
      <c r="IV177" s="2" t="n">
        <v>0.7</v>
      </c>
      <c r="IY177" s="2" t="n">
        <v>47.55739413269335</v>
      </c>
      <c r="IZ177" s="2" t="n">
        <v>-0.1526058673066544</v>
      </c>
      <c r="JB177" s="2" t="n">
        <v>10.94483215966148</v>
      </c>
      <c r="JC177" s="2" t="n">
        <v>0.01483215966147888</v>
      </c>
      <c r="JE177" s="2" t="n">
        <v>1553.3</v>
      </c>
      <c r="JF177" s="2" t="n">
        <v>0.3332781819352347</v>
      </c>
    </row>
    <row r="178">
      <c r="A178" s="1" t="n">
        <v>34455</v>
      </c>
      <c r="B178" s="2" t="n">
        <v>3089.3</v>
      </c>
      <c r="C178" s="2" t="n">
        <v>2934</v>
      </c>
      <c r="D178" s="2" t="n">
        <v>257.7</v>
      </c>
      <c r="E178" s="2" t="n">
        <v>899.1</v>
      </c>
      <c r="F178" s="2" t="n">
        <v>36.9</v>
      </c>
      <c r="G178" s="2" t="n">
        <v>37.4</v>
      </c>
      <c r="H178" s="2" t="n">
        <v>40.9</v>
      </c>
      <c r="I178" s="2" t="n">
        <v>54.7</v>
      </c>
      <c r="J178" s="2" t="n">
        <v>39.2</v>
      </c>
      <c r="K178" s="2" t="n">
        <v>1122.7</v>
      </c>
      <c r="L178" s="2" t="n">
        <v>1566.8</v>
      </c>
      <c r="M178" s="2" t="n">
        <v>1346.2</v>
      </c>
      <c r="N178" s="2" t="n">
        <v>220.6</v>
      </c>
      <c r="O178" s="2" t="n">
        <v>85.2</v>
      </c>
      <c r="P178" s="2" t="n">
        <v>159.2</v>
      </c>
      <c r="Q178" s="2" t="n">
        <v>52.8</v>
      </c>
      <c r="R178" s="2" t="n">
        <v>106.4</v>
      </c>
      <c r="T178" s="2" t="n">
        <v>25.6</v>
      </c>
      <c r="U178" s="2" t="n">
        <v>36.4</v>
      </c>
      <c r="V178" s="2" t="n">
        <v>32.1</v>
      </c>
      <c r="W178" s="2" t="n">
        <v>4.3</v>
      </c>
      <c r="X178" s="2" t="n">
        <v>29.5</v>
      </c>
      <c r="Y178" s="2" t="inlineStr">
        <is>
          <t>NA</t>
        </is>
      </c>
      <c r="Z178" s="2" t="n">
        <v>149.4</v>
      </c>
      <c r="AA178" s="2" t="n">
        <v>142.7</v>
      </c>
      <c r="AB178" s="2" t="n">
        <v>6.7</v>
      </c>
      <c r="AC178" s="2" t="n">
        <v>44.3</v>
      </c>
      <c r="AD178" s="2" t="n">
        <v>29.5</v>
      </c>
      <c r="AF178" s="2" t="n">
        <v>95.8</v>
      </c>
      <c r="AG178" s="2" t="n">
        <v>70.8</v>
      </c>
      <c r="AH178" s="2" t="n">
        <v>25</v>
      </c>
      <c r="AI178" s="2" t="n">
        <v>164.2</v>
      </c>
      <c r="AL178" s="2" t="n">
        <v>88.40000000000001</v>
      </c>
      <c r="AM178" s="2" t="n">
        <v>58.8</v>
      </c>
      <c r="AN178" s="2" t="n">
        <v>29.6</v>
      </c>
      <c r="AO178" s="2" t="n">
        <v>2285.4</v>
      </c>
      <c r="AP178" s="2" t="n">
        <v>281.3</v>
      </c>
      <c r="AQ178" s="2" t="n">
        <v>161</v>
      </c>
      <c r="AR178" s="2" t="n">
        <v>44</v>
      </c>
      <c r="AS178" s="2" t="n">
        <v>116.1</v>
      </c>
      <c r="AT178" s="2" t="n">
        <v>95.3</v>
      </c>
      <c r="AU178" s="2" t="n">
        <v>69.8</v>
      </c>
      <c r="AV178" s="2" t="n">
        <v>23.6</v>
      </c>
      <c r="AW178" s="2" t="n">
        <v>22.9</v>
      </c>
      <c r="AX178" s="2" t="n">
        <v>4.5</v>
      </c>
      <c r="AY178" s="2" t="n">
        <v>18</v>
      </c>
      <c r="AZ178" s="2" t="inlineStr">
        <is>
          <t>NA</t>
        </is>
      </c>
      <c r="BA178" s="2" t="n">
        <v>31.8</v>
      </c>
      <c r="BB178" s="2" t="inlineStr">
        <is>
          <t>NA</t>
        </is>
      </c>
      <c r="BD178" s="2" t="n">
        <v>160.2</v>
      </c>
      <c r="BE178" s="2" t="n">
        <v>41.5</v>
      </c>
      <c r="BH178" s="2" t="n">
        <v>305.4</v>
      </c>
      <c r="BK178" s="2" t="n">
        <v>252</v>
      </c>
      <c r="BL178" s="2" t="n">
        <v>4.4</v>
      </c>
      <c r="BM178" s="2" t="n">
        <v>561.8</v>
      </c>
      <c r="BN178" s="2" t="n">
        <v>213.6</v>
      </c>
      <c r="BQ178" s="2" t="n">
        <v>88.59999999999999</v>
      </c>
      <c r="BR178" s="2" t="n">
        <v>7.7</v>
      </c>
      <c r="BS178" s="2" t="n">
        <v>309.9</v>
      </c>
      <c r="BT178" s="2" t="inlineStr">
        <is>
          <t>NA</t>
        </is>
      </c>
      <c r="BU178" s="2" t="n">
        <v>27.4</v>
      </c>
      <c r="BV178" s="2" t="n">
        <v>380.7</v>
      </c>
      <c r="BW178" s="2" t="n">
        <v>114.1</v>
      </c>
      <c r="BX178" s="2" t="n">
        <v>497.5</v>
      </c>
      <c r="BY178" s="2" t="n">
        <v>43.7</v>
      </c>
      <c r="BZ178" s="2" t="n">
        <v>10.4</v>
      </c>
      <c r="CA178" s="2" t="n">
        <v>54.1</v>
      </c>
      <c r="CF178" s="2" t="n">
        <v>119.1</v>
      </c>
      <c r="CG178" s="2" t="n">
        <v>112.6</v>
      </c>
      <c r="CH178" s="2" t="n">
        <v>10.2</v>
      </c>
      <c r="CN178" s="2" t="n">
        <v>46.2</v>
      </c>
      <c r="CO178" s="2" t="n">
        <v>199.9</v>
      </c>
      <c r="CP178" s="2" t="n">
        <v>135.7</v>
      </c>
      <c r="CQ178" s="2" t="n">
        <v>64.2</v>
      </c>
      <c r="CR178" s="2" t="inlineStr">
        <is>
          <t>NA</t>
        </is>
      </c>
      <c r="CS178" s="2" t="n">
        <v>62.6</v>
      </c>
      <c r="CT178" s="2" t="n">
        <v>36.1</v>
      </c>
      <c r="CU178" s="2" t="n">
        <v>26.5</v>
      </c>
      <c r="CV178" s="2" t="n">
        <v>38.90000000000001</v>
      </c>
      <c r="CW178" s="2" t="n">
        <v>18.3</v>
      </c>
      <c r="CX178" s="2" t="n">
        <v>20.6</v>
      </c>
      <c r="CY178" s="2" t="n">
        <v>16.9</v>
      </c>
      <c r="CZ178" s="2" t="n">
        <v>97.3</v>
      </c>
      <c r="DA178" s="2" t="n">
        <v>45.1</v>
      </c>
      <c r="DB178" s="2" t="n">
        <v>43.6</v>
      </c>
      <c r="DC178" s="2" t="n">
        <v>1.5</v>
      </c>
      <c r="DG178" s="2" t="n">
        <v>82</v>
      </c>
      <c r="DI178" s="2" t="n">
        <v>553.4</v>
      </c>
      <c r="DJ178" s="2" t="n">
        <v>242.8</v>
      </c>
      <c r="DK178" s="2" t="n">
        <v>510</v>
      </c>
      <c r="DL178" s="2" t="n">
        <v>157.5</v>
      </c>
      <c r="DM178" s="2" t="n">
        <v>206</v>
      </c>
      <c r="DO178" s="2" t="n">
        <v>179.4</v>
      </c>
      <c r="DP178" s="2" t="n">
        <v>252.4</v>
      </c>
      <c r="DS178" s="2" t="n">
        <v>777.3150000000001</v>
      </c>
      <c r="DT178" s="2" t="n">
        <v>3089.3</v>
      </c>
      <c r="DU178" s="2" t="n">
        <v>-210.4850000000001</v>
      </c>
      <c r="DV178" s="2" t="n">
        <v>0</v>
      </c>
      <c r="GY178" s="2" t="n">
        <v>0.9705572072504075</v>
      </c>
      <c r="GZ178" s="2" t="n">
        <v>1012</v>
      </c>
      <c r="HA178" s="2" t="n">
        <v>1042.7</v>
      </c>
      <c r="HF178" s="2" t="n">
        <v>1001.4</v>
      </c>
      <c r="HG178" s="2" t="n">
        <v>971.8</v>
      </c>
      <c r="HH178" s="2" t="n">
        <v>389.8</v>
      </c>
      <c r="HI178" s="2" t="n">
        <v>126.3</v>
      </c>
      <c r="HJ178" s="2" t="n">
        <v>436.9</v>
      </c>
      <c r="HK178" s="2" t="n">
        <v>18.8</v>
      </c>
      <c r="HL178" s="2" t="n">
        <v>29.6</v>
      </c>
      <c r="HP178" s="2" t="e">
        <v>#VALUE!</v>
      </c>
      <c r="HQ178" s="2" t="n">
        <v>4.8</v>
      </c>
      <c r="HR178" s="2" t="n">
        <v>12.2</v>
      </c>
      <c r="HS178" s="2" t="e">
        <v>#VALUE!</v>
      </c>
      <c r="HT178" s="2" t="n">
        <v>7.1</v>
      </c>
      <c r="HW178" s="2" t="n">
        <v>286.2</v>
      </c>
      <c r="HX178" s="2" t="e">
        <v>#VALUE!</v>
      </c>
      <c r="HY178" s="2" t="n">
        <v>286.2</v>
      </c>
      <c r="HZ178" s="2" t="n">
        <v>54.6</v>
      </c>
      <c r="IA178" s="2" t="n">
        <v>183.2</v>
      </c>
      <c r="IB178" s="2" t="e">
        <v>#VALUE!</v>
      </c>
      <c r="IC178" s="2" t="e">
        <v>#VALUE!</v>
      </c>
      <c r="ID178" s="2" t="e">
        <v>#VALUE!</v>
      </c>
      <c r="IE178" s="2" t="e">
        <v>#VALUE!</v>
      </c>
      <c r="IF178" s="2" t="n">
        <v>14.1</v>
      </c>
      <c r="IG178" s="2" t="n">
        <v>27.7</v>
      </c>
      <c r="IN178" s="2" t="n">
        <v>71.59999999999999</v>
      </c>
      <c r="IO178" s="2" t="n">
        <v>74.8</v>
      </c>
      <c r="IP178" s="2" t="e">
        <v>#VALUE!</v>
      </c>
      <c r="IQ178" s="2" t="n">
        <v>50.1</v>
      </c>
      <c r="IR178" s="2" t="n">
        <v>16.8</v>
      </c>
      <c r="IS178" s="2" t="e">
        <v>#VALUE!</v>
      </c>
      <c r="IT178" s="2" t="n">
        <v>29</v>
      </c>
      <c r="IU178" s="2" t="e">
        <v>#VALUE!</v>
      </c>
      <c r="IV178" s="2" t="e">
        <v>#VALUE!</v>
      </c>
      <c r="IY178" s="2" t="n">
        <v>47.51367623733532</v>
      </c>
      <c r="IZ178" s="2" t="n">
        <v>-0.08632376266468356</v>
      </c>
      <c r="JB178" s="2" t="n">
        <v>10.90246981516848</v>
      </c>
      <c r="JC178" s="2" t="n">
        <v>-0.06753018483151685</v>
      </c>
      <c r="JE178" s="2" t="n">
        <v>1566.8</v>
      </c>
      <c r="JF178" s="2" t="n">
        <v>0.3140509318355885</v>
      </c>
    </row>
    <row r="179">
      <c r="A179" s="1" t="n">
        <v>34486</v>
      </c>
      <c r="B179" s="2" t="n">
        <v>2916</v>
      </c>
      <c r="C179" s="2" t="n">
        <v>2701</v>
      </c>
      <c r="D179" s="2" t="n">
        <v>239.4</v>
      </c>
      <c r="E179" s="2" t="n">
        <v>628.8</v>
      </c>
      <c r="F179" s="2" t="n">
        <v>19.8</v>
      </c>
      <c r="G179" s="2" t="n">
        <v>26.4</v>
      </c>
      <c r="H179" s="2" t="n">
        <v>41.6</v>
      </c>
      <c r="I179" s="2" t="n">
        <v>47.1</v>
      </c>
      <c r="J179" s="2" t="inlineStr">
        <is>
          <t>NA</t>
        </is>
      </c>
      <c r="K179" s="2" t="n">
        <v>1070.1</v>
      </c>
      <c r="L179" s="2" t="n">
        <v>1553.8</v>
      </c>
      <c r="M179" s="2" t="n">
        <v>1330</v>
      </c>
      <c r="N179" s="2" t="n">
        <v>223.8</v>
      </c>
      <c r="O179" s="2" t="n">
        <v>78.40000000000001</v>
      </c>
      <c r="P179" s="2" t="n">
        <v>144.8</v>
      </c>
      <c r="Q179" s="2" t="n">
        <v>53.5</v>
      </c>
      <c r="R179" s="2" t="n">
        <v>91.3</v>
      </c>
      <c r="T179" s="2" t="n">
        <v>15.4</v>
      </c>
      <c r="U179" s="2" t="n">
        <v>25.5</v>
      </c>
      <c r="V179" s="2" t="n">
        <v>19.9</v>
      </c>
      <c r="W179" s="2" t="n">
        <v>5.6</v>
      </c>
      <c r="X179" s="2" t="n">
        <v>20.6</v>
      </c>
      <c r="Y179" s="2" t="inlineStr">
        <is>
          <t>NA</t>
        </is>
      </c>
      <c r="Z179" s="2" t="n">
        <v>167.9</v>
      </c>
      <c r="AA179" s="2" t="n">
        <v>162.5</v>
      </c>
      <c r="AB179" s="2" t="n">
        <v>5.4</v>
      </c>
      <c r="AC179" s="2" t="n">
        <v>38.4</v>
      </c>
      <c r="AD179" s="2" t="n">
        <v>31.8</v>
      </c>
      <c r="AF179" s="2" t="n">
        <v>96.90000000000001</v>
      </c>
      <c r="AG179" s="2" t="n">
        <v>67.90000000000001</v>
      </c>
      <c r="AH179" s="2" t="n">
        <v>29</v>
      </c>
      <c r="AI179" s="2" t="n">
        <v>171.8</v>
      </c>
      <c r="AL179" s="2" t="n">
        <v>96.30000000000001</v>
      </c>
      <c r="AM179" s="2" t="n">
        <v>62.6</v>
      </c>
      <c r="AN179" s="2" t="n">
        <v>33.7</v>
      </c>
      <c r="AO179" s="2" t="n">
        <v>2177.7</v>
      </c>
      <c r="AP179" s="2" t="n">
        <v>214.1</v>
      </c>
      <c r="AQ179" s="2" t="n">
        <v>153</v>
      </c>
      <c r="AR179" s="2" t="n">
        <v>40.2</v>
      </c>
      <c r="AS179" s="2" t="n">
        <v>106.9</v>
      </c>
      <c r="AT179" s="2" t="n">
        <v>95.5</v>
      </c>
      <c r="AU179" s="2" t="n">
        <v>64.40000000000001</v>
      </c>
      <c r="AV179" s="2" t="n">
        <v>23.5</v>
      </c>
      <c r="AW179" s="2" t="n">
        <v>11</v>
      </c>
      <c r="AX179" s="2" t="n">
        <v>4.8</v>
      </c>
      <c r="AY179" s="2" t="n">
        <v>13.7</v>
      </c>
      <c r="AZ179" s="2" t="inlineStr">
        <is>
          <t>NA</t>
        </is>
      </c>
      <c r="BA179" s="2" t="n">
        <v>27.7</v>
      </c>
      <c r="BB179" s="2" t="inlineStr">
        <is>
          <t>NA</t>
        </is>
      </c>
      <c r="BD179" s="2" t="n">
        <v>160.7</v>
      </c>
      <c r="BE179" s="2" t="n">
        <v>41.1</v>
      </c>
      <c r="BH179" s="2" t="n">
        <v>308.6</v>
      </c>
      <c r="BK179" s="2" t="n">
        <v>255.6</v>
      </c>
      <c r="BL179" s="2" t="n">
        <v>2.8</v>
      </c>
      <c r="BM179" s="2" t="n">
        <v>567</v>
      </c>
      <c r="BN179" s="2" t="n">
        <v>206.5</v>
      </c>
      <c r="BQ179" s="2" t="n">
        <v>81.5</v>
      </c>
      <c r="BR179" s="2" t="n">
        <v>6.7</v>
      </c>
      <c r="BS179" s="2" t="n">
        <v>294.7</v>
      </c>
      <c r="BT179" s="2" t="inlineStr">
        <is>
          <t>NA</t>
        </is>
      </c>
      <c r="BU179" s="2" t="n">
        <v>27</v>
      </c>
      <c r="BV179" s="2" t="n">
        <v>394.9</v>
      </c>
      <c r="BW179" s="2" t="n">
        <v>108.3</v>
      </c>
      <c r="BX179" s="2" t="n">
        <v>505.6</v>
      </c>
      <c r="BY179" s="2" t="n">
        <v>44</v>
      </c>
      <c r="BZ179" s="2" t="n">
        <v>10.6</v>
      </c>
      <c r="CA179" s="2" t="n">
        <v>54.6</v>
      </c>
      <c r="CF179" s="2" t="n">
        <v>109.1</v>
      </c>
      <c r="CG179" s="2" t="n">
        <v>105.3</v>
      </c>
      <c r="CH179" s="2" t="n">
        <v>9.800000000000001</v>
      </c>
      <c r="CN179" s="2" t="n">
        <v>44.5</v>
      </c>
      <c r="CO179" s="2" t="n">
        <v>151.4</v>
      </c>
      <c r="CP179" s="2" t="n">
        <v>106.7</v>
      </c>
      <c r="CQ179" s="2" t="n">
        <v>44.7</v>
      </c>
      <c r="CR179" s="2" t="inlineStr">
        <is>
          <t>NA</t>
        </is>
      </c>
      <c r="CS179" s="2" t="n">
        <v>60.3</v>
      </c>
      <c r="CT179" s="2" t="n">
        <v>36.3</v>
      </c>
      <c r="CU179" s="2" t="n">
        <v>24</v>
      </c>
      <c r="CV179" s="2" t="n">
        <v>43.3</v>
      </c>
      <c r="CW179" s="2" t="n">
        <v>22.2</v>
      </c>
      <c r="CX179" s="2" t="n">
        <v>21.1</v>
      </c>
      <c r="CY179" s="2" t="n">
        <v>18.6</v>
      </c>
      <c r="CZ179" s="2" t="n">
        <v>81.8</v>
      </c>
      <c r="DA179" s="2" t="n">
        <v>34.6</v>
      </c>
      <c r="DB179" s="2" t="n">
        <v>32.9</v>
      </c>
      <c r="DC179" s="2" t="n">
        <v>1.7</v>
      </c>
      <c r="DG179" s="2" t="n">
        <v>57</v>
      </c>
      <c r="DI179" s="2" t="n">
        <v>597.9</v>
      </c>
      <c r="DJ179" s="2" t="n">
        <v>216.8</v>
      </c>
      <c r="DL179" s="2" t="n">
        <v>134.6</v>
      </c>
      <c r="DM179" s="2" t="n">
        <v>200.8</v>
      </c>
      <c r="DO179" s="2" t="n">
        <v>181.4</v>
      </c>
      <c r="DP179" s="2" t="n">
        <v>189.5</v>
      </c>
      <c r="DS179" s="2" t="n">
        <v>695.859</v>
      </c>
      <c r="DT179" s="2" t="n">
        <v>2916</v>
      </c>
      <c r="DU179" s="2" t="n">
        <v>-699.1409999999996</v>
      </c>
      <c r="DV179" s="2" t="n">
        <v>0</v>
      </c>
      <c r="GY179" s="2" t="n">
        <v>0.9730272596843615</v>
      </c>
      <c r="GZ179" s="2" t="n">
        <v>1017.3</v>
      </c>
      <c r="HA179" s="2" t="n">
        <v>1045.5</v>
      </c>
      <c r="HF179" s="2" t="n">
        <v>1023.8</v>
      </c>
      <c r="HG179" s="2" t="n">
        <v>996.8</v>
      </c>
      <c r="HH179" s="2" t="n">
        <v>399.6</v>
      </c>
      <c r="HI179" s="2" t="n">
        <v>145.8</v>
      </c>
      <c r="HJ179" s="2" t="n">
        <v>433.7</v>
      </c>
      <c r="HK179" s="2" t="n">
        <v>17.7</v>
      </c>
      <c r="HL179" s="2" t="n">
        <v>27</v>
      </c>
      <c r="HP179" s="2" t="e">
        <v>#VALUE!</v>
      </c>
      <c r="HQ179" s="2" t="n">
        <v>4.1</v>
      </c>
      <c r="HR179" s="2" t="n">
        <v>10.4</v>
      </c>
      <c r="HS179" s="2" t="e">
        <v>#VALUE!</v>
      </c>
      <c r="HT179" s="2" t="n">
        <v>7.6</v>
      </c>
      <c r="HW179" s="2" t="n">
        <v>285.8</v>
      </c>
      <c r="HX179" s="2" t="e">
        <v>#VALUE!</v>
      </c>
      <c r="HY179" s="2" t="n">
        <v>285.8</v>
      </c>
      <c r="HZ179" s="2" t="n">
        <v>54.2</v>
      </c>
      <c r="IA179" s="2" t="n">
        <v>185.9</v>
      </c>
      <c r="IB179" s="2" t="e">
        <v>#VALUE!</v>
      </c>
      <c r="IC179" s="2" t="e">
        <v>#VALUE!</v>
      </c>
      <c r="ID179" s="2" t="e">
        <v>#VALUE!</v>
      </c>
      <c r="IE179" s="2" t="e">
        <v>#VALUE!</v>
      </c>
      <c r="IF179" s="2" t="n">
        <v>14.4</v>
      </c>
      <c r="IG179" s="2" t="n">
        <v>24.8</v>
      </c>
      <c r="IN179" s="2" t="n">
        <v>70</v>
      </c>
      <c r="IO179" s="2" t="n">
        <v>73.2</v>
      </c>
      <c r="IP179" s="2" t="e">
        <v>#VALUE!</v>
      </c>
      <c r="IQ179" s="2" t="n">
        <v>49</v>
      </c>
      <c r="IR179" s="2" t="n">
        <v>18.8</v>
      </c>
      <c r="IS179" s="2" t="e">
        <v>#VALUE!</v>
      </c>
      <c r="IT179" s="2" t="n">
        <v>26.2</v>
      </c>
      <c r="IU179" s="2" t="e">
        <v>#VALUE!</v>
      </c>
      <c r="IV179" s="2" t="e">
        <v>#VALUE!</v>
      </c>
      <c r="IY179" s="2" t="n">
        <v>47.95679012345678</v>
      </c>
      <c r="IZ179" s="2" t="n">
        <v>-0.08320987654321499</v>
      </c>
      <c r="JB179" s="2" t="n">
        <v>11.00925925925926</v>
      </c>
      <c r="JC179" s="2" t="n">
        <v>-0.08074074074074211</v>
      </c>
      <c r="JE179" s="2" t="n">
        <v>1553.8</v>
      </c>
      <c r="JF179" s="2" t="n">
        <v>0.3062421161024585</v>
      </c>
    </row>
    <row r="180">
      <c r="A180" s="1" t="n">
        <v>34516</v>
      </c>
      <c r="B180" s="2" t="n">
        <v>3028.7</v>
      </c>
      <c r="C180" s="2" t="n">
        <v>1904.5</v>
      </c>
      <c r="D180" s="2" t="n">
        <v>210.2</v>
      </c>
      <c r="E180" s="2" t="n">
        <v>432.1</v>
      </c>
      <c r="F180" s="2" t="n">
        <v>27.7</v>
      </c>
      <c r="G180" s="2" t="inlineStr">
        <is>
          <t>NA</t>
        </is>
      </c>
      <c r="H180" s="2" t="inlineStr">
        <is>
          <t>NA</t>
        </is>
      </c>
      <c r="I180" s="2" t="inlineStr">
        <is>
          <t>NA</t>
        </is>
      </c>
      <c r="J180" s="2" t="inlineStr">
        <is>
          <t>NA</t>
        </is>
      </c>
      <c r="K180" s="2" t="n">
        <v>1098.9</v>
      </c>
      <c r="L180" s="2" t="n">
        <v>1570.8</v>
      </c>
      <c r="M180" s="2" t="n">
        <v>1352.6</v>
      </c>
      <c r="N180" s="2" t="n">
        <v>218.2</v>
      </c>
      <c r="O180" s="2" t="n">
        <v>69.8</v>
      </c>
      <c r="P180" s="2" t="n">
        <v>143.8</v>
      </c>
      <c r="Q180" s="2" t="n">
        <v>46.9</v>
      </c>
      <c r="R180" s="2" t="n">
        <v>96.90000000000001</v>
      </c>
      <c r="T180" s="2" t="n">
        <v>21.7</v>
      </c>
      <c r="U180" s="2" t="n">
        <v>25</v>
      </c>
      <c r="V180" s="2" t="n">
        <v>20.7</v>
      </c>
      <c r="W180" s="2" t="n">
        <v>4.3</v>
      </c>
      <c r="X180" s="2" t="inlineStr">
        <is>
          <t>NA</t>
        </is>
      </c>
      <c r="Y180" s="2" t="inlineStr">
        <is>
          <t>NA</t>
        </is>
      </c>
      <c r="Z180" s="2" t="n">
        <v>112.3</v>
      </c>
      <c r="AA180" s="2" t="n">
        <v>107.3</v>
      </c>
      <c r="AB180" s="2" t="n">
        <v>5</v>
      </c>
      <c r="AC180" s="2" t="inlineStr">
        <is>
          <t>NA</t>
        </is>
      </c>
      <c r="AD180" s="2" t="n">
        <v>34.3</v>
      </c>
      <c r="AF180" s="2" t="n">
        <v>115.1</v>
      </c>
      <c r="AG180" s="2" t="n">
        <v>86.8</v>
      </c>
      <c r="AH180" s="2" t="n">
        <v>28.3</v>
      </c>
      <c r="AI180" s="2" t="n">
        <v>164.8</v>
      </c>
      <c r="AL180" s="2" t="n">
        <v>107.4</v>
      </c>
      <c r="AM180" s="2" t="n">
        <v>81.2</v>
      </c>
      <c r="AN180" s="2" t="n">
        <v>26.2</v>
      </c>
      <c r="AO180" s="2" t="n">
        <v>2241.7</v>
      </c>
      <c r="AP180" s="2" t="n">
        <v>224.3</v>
      </c>
      <c r="AQ180" s="2" t="n">
        <v>156.3</v>
      </c>
      <c r="AR180" s="2" t="n">
        <v>43.2</v>
      </c>
      <c r="AS180" s="2" t="n">
        <v>93.40000000000001</v>
      </c>
      <c r="AT180" s="2" t="n">
        <v>103.7</v>
      </c>
      <c r="AU180" s="2" t="n">
        <v>56.6</v>
      </c>
      <c r="AV180" s="2" t="n">
        <v>26.3</v>
      </c>
      <c r="AW180" s="2" t="n">
        <v>15.2</v>
      </c>
      <c r="AX180" s="2" t="inlineStr">
        <is>
          <t>NA</t>
        </is>
      </c>
      <c r="AY180" s="2" t="inlineStr">
        <is>
          <t>NA</t>
        </is>
      </c>
      <c r="AZ180" s="2" t="inlineStr">
        <is>
          <t>NA</t>
        </is>
      </c>
      <c r="BA180" s="2" t="inlineStr">
        <is>
          <t>NA</t>
        </is>
      </c>
      <c r="BB180" s="2" t="inlineStr">
        <is>
          <t>NA</t>
        </is>
      </c>
      <c r="BD180" s="2" t="n">
        <v>136.9</v>
      </c>
      <c r="BE180" s="2" t="n">
        <v>43.8</v>
      </c>
      <c r="BH180" s="2" t="n">
        <v>279</v>
      </c>
      <c r="BK180" s="2" t="n">
        <v>237.3</v>
      </c>
      <c r="BL180" s="2" t="n">
        <v>1.8</v>
      </c>
      <c r="BM180" s="2" t="n">
        <v>518.1</v>
      </c>
      <c r="BN180" s="2" t="n">
        <v>204.7</v>
      </c>
      <c r="BQ180" s="2" t="n">
        <v>97.59999999999999</v>
      </c>
      <c r="BR180" s="2" t="n">
        <v>7.3</v>
      </c>
      <c r="BS180" s="2" t="n">
        <v>309.6</v>
      </c>
      <c r="BT180" s="2" t="inlineStr">
        <is>
          <t>NA</t>
        </is>
      </c>
      <c r="BU180" s="2" t="n">
        <v>25.5</v>
      </c>
      <c r="BV180" s="2" t="n">
        <v>353.9</v>
      </c>
      <c r="BW180" s="2" t="n">
        <v>95.3</v>
      </c>
      <c r="BX180" s="2" t="n">
        <v>451.5</v>
      </c>
      <c r="BY180" s="2" t="n">
        <v>50.3</v>
      </c>
      <c r="BZ180" s="2" t="n">
        <v>11</v>
      </c>
      <c r="CA180" s="2" t="n">
        <v>61.3</v>
      </c>
      <c r="CF180" s="2" t="n">
        <v>108.7</v>
      </c>
      <c r="CG180" s="2" t="n">
        <v>101.1</v>
      </c>
      <c r="CH180" s="2" t="n">
        <v>11.6</v>
      </c>
      <c r="CN180" s="2" t="n">
        <v>41.1</v>
      </c>
      <c r="CO180" s="2" t="n">
        <v>163.7</v>
      </c>
      <c r="CP180" s="2" t="n">
        <v>121.1</v>
      </c>
      <c r="CQ180" s="2" t="n">
        <v>42.6</v>
      </c>
      <c r="CR180" s="2" t="inlineStr">
        <is>
          <t>NA</t>
        </is>
      </c>
      <c r="CS180" s="2" t="n">
        <v>56.5</v>
      </c>
      <c r="CT180" s="2" t="n">
        <v>33.7</v>
      </c>
      <c r="CU180" s="2" t="n">
        <v>22.8</v>
      </c>
      <c r="CV180" s="2" t="n">
        <v>40.09999999999999</v>
      </c>
      <c r="CW180" s="2" t="n">
        <v>16.7</v>
      </c>
      <c r="CX180" s="2" t="n">
        <v>23.4</v>
      </c>
      <c r="CY180" s="2" t="n">
        <v>12.4</v>
      </c>
      <c r="CZ180" s="2" t="n">
        <v>58.6</v>
      </c>
      <c r="DA180" s="2" t="n">
        <v>34.3</v>
      </c>
      <c r="DB180" s="2" t="n">
        <v>32.8</v>
      </c>
      <c r="DC180" s="2" t="n">
        <v>1.5</v>
      </c>
      <c r="DG180" s="2" t="n">
        <v>104.183</v>
      </c>
      <c r="DI180" s="2" t="n">
        <v>541.384</v>
      </c>
      <c r="DJ180" s="2" t="n">
        <v>184.152</v>
      </c>
      <c r="DL180" s="2" t="n">
        <v>145.704</v>
      </c>
      <c r="DM180" s="2" t="n">
        <v>205.218</v>
      </c>
      <c r="DO180" s="2" t="n">
        <v>140.44</v>
      </c>
      <c r="DP180" s="2" t="n">
        <v>250.81</v>
      </c>
      <c r="DS180" s="2" t="n">
        <v>766.5119999999999</v>
      </c>
      <c r="DT180" s="2" t="n">
        <v>3015.259</v>
      </c>
      <c r="DU180" s="2" t="n">
        <v>-781.0389999999998</v>
      </c>
      <c r="DV180" s="2" t="n">
        <v>-13.4409999999998</v>
      </c>
      <c r="GY180" s="2" t="n">
        <v>0.969939879759519</v>
      </c>
      <c r="GZ180" s="2" t="n">
        <v>968</v>
      </c>
      <c r="HA180" s="2" t="n">
        <v>998</v>
      </c>
      <c r="HF180" s="2" t="n">
        <v>974.9</v>
      </c>
      <c r="HG180" s="2" t="n">
        <v>947.2</v>
      </c>
      <c r="HH180" s="2" t="n">
        <v>377.7</v>
      </c>
      <c r="HI180" s="2" t="n">
        <v>130.7</v>
      </c>
      <c r="HJ180" s="2" t="n">
        <v>420.8</v>
      </c>
      <c r="HK180" s="2" t="n">
        <v>18</v>
      </c>
      <c r="HL180" s="2" t="n">
        <v>27.6</v>
      </c>
      <c r="HP180" s="2" t="e">
        <v>#VALUE!</v>
      </c>
      <c r="HQ180" s="2" t="n">
        <v>4.2</v>
      </c>
      <c r="HR180" s="2" t="n">
        <v>12.2</v>
      </c>
      <c r="HS180" s="2" t="e">
        <v>#VALUE!</v>
      </c>
      <c r="HT180" s="2" t="n">
        <v>6.4</v>
      </c>
      <c r="HW180" s="2" t="n">
        <v>253.7</v>
      </c>
      <c r="HX180" s="2" t="e">
        <v>#VALUE!</v>
      </c>
      <c r="HY180" s="2" t="n">
        <v>253.7</v>
      </c>
      <c r="HZ180" s="2" t="n">
        <v>48</v>
      </c>
      <c r="IA180" s="2" t="n">
        <v>163.1</v>
      </c>
      <c r="IB180" s="2" t="e">
        <v>#VALUE!</v>
      </c>
      <c r="IC180" s="2" t="e">
        <v>#VALUE!</v>
      </c>
      <c r="ID180" s="2" t="e">
        <v>#VALUE!</v>
      </c>
      <c r="IE180" s="2" t="e">
        <v>#VALUE!</v>
      </c>
      <c r="IF180" s="2" t="n">
        <v>13.9</v>
      </c>
      <c r="IG180" s="2" t="n">
        <v>24.1</v>
      </c>
      <c r="IN180" s="2" t="n">
        <v>72.2</v>
      </c>
      <c r="IO180" s="2" t="n">
        <v>74.59999999999999</v>
      </c>
      <c r="IP180" s="2" t="e">
        <v>#VALUE!</v>
      </c>
      <c r="IQ180" s="2" t="n">
        <v>46.3</v>
      </c>
      <c r="IR180" s="2" t="n">
        <v>16.9</v>
      </c>
      <c r="IS180" s="2" t="e">
        <v>#VALUE!</v>
      </c>
      <c r="IT180" s="2" t="n">
        <v>26</v>
      </c>
      <c r="IU180" s="2" t="e">
        <v>#VALUE!</v>
      </c>
      <c r="IV180" s="2" t="e">
        <v>#VALUE!</v>
      </c>
      <c r="IY180" s="2" t="n">
        <v>47.50553042559514</v>
      </c>
      <c r="IZ180" s="2" t="n">
        <v>-0.1044695744048596</v>
      </c>
      <c r="JB180" s="2" t="n">
        <v>10.88486809522237</v>
      </c>
      <c r="JC180" s="2" t="n">
        <v>-0.05513190477762642</v>
      </c>
      <c r="JE180" s="2" t="n">
        <v>1570.8</v>
      </c>
      <c r="JF180" s="2" t="n">
        <v>0.3488776419658773</v>
      </c>
    </row>
    <row r="181">
      <c r="A181" s="1" t="n">
        <v>34547</v>
      </c>
      <c r="B181" s="2" t="n">
        <v>3028.6</v>
      </c>
      <c r="C181" s="2" t="n">
        <v>1438.3</v>
      </c>
      <c r="D181" s="2" t="n">
        <v>192.1</v>
      </c>
      <c r="E181" s="2" t="n">
        <v>370.9</v>
      </c>
      <c r="F181" s="2" t="n">
        <v>20.9</v>
      </c>
      <c r="G181" s="2" t="inlineStr">
        <is>
          <t>NA</t>
        </is>
      </c>
      <c r="H181" s="2" t="n">
        <v>11.4</v>
      </c>
      <c r="I181" s="2" t="inlineStr">
        <is>
          <t>NA</t>
        </is>
      </c>
      <c r="J181" s="2" t="inlineStr">
        <is>
          <t>NA</t>
        </is>
      </c>
      <c r="K181" s="2" t="n">
        <v>1103.7</v>
      </c>
      <c r="L181" s="2" t="n">
        <v>1339.4</v>
      </c>
      <c r="M181" s="2" t="n">
        <v>1124</v>
      </c>
      <c r="N181" s="2" t="n">
        <v>215.4</v>
      </c>
      <c r="O181" s="2" t="n">
        <v>61.7</v>
      </c>
      <c r="P181" s="2" t="n">
        <v>112.4</v>
      </c>
      <c r="Q181" s="2" t="n">
        <v>29.6</v>
      </c>
      <c r="R181" s="2" t="n">
        <v>82.8</v>
      </c>
      <c r="T181" s="2" t="n">
        <v>16.8</v>
      </c>
      <c r="U181" s="2" t="n">
        <v>31.2</v>
      </c>
      <c r="V181" s="2" t="n">
        <v>27.4</v>
      </c>
      <c r="W181" s="2" t="n">
        <v>3.8</v>
      </c>
      <c r="X181" s="2" t="inlineStr">
        <is>
          <t>NA</t>
        </is>
      </c>
      <c r="Y181" s="2" t="inlineStr">
        <is>
          <t>NA</t>
        </is>
      </c>
      <c r="Z181" s="2" t="n">
        <v>115.3</v>
      </c>
      <c r="AA181" s="2" t="n">
        <v>111.7</v>
      </c>
      <c r="AB181" s="2" t="n">
        <v>3.6</v>
      </c>
      <c r="AC181" s="2" t="inlineStr">
        <is>
          <t>NA</t>
        </is>
      </c>
      <c r="AD181" s="2" t="n">
        <v>38</v>
      </c>
      <c r="AF181" s="2" t="n">
        <v>136.3</v>
      </c>
      <c r="AG181" s="2" t="n">
        <v>111.3</v>
      </c>
      <c r="AH181" s="2" t="n">
        <v>25</v>
      </c>
      <c r="AI181" s="2" t="n">
        <v>162.3</v>
      </c>
      <c r="AL181" s="2" t="n">
        <v>122.7</v>
      </c>
      <c r="AM181" s="2" t="n">
        <v>83.40000000000001</v>
      </c>
      <c r="AN181" s="2" t="n">
        <v>39.3</v>
      </c>
      <c r="AO181" s="2" t="n">
        <v>2244.7</v>
      </c>
      <c r="AP181" s="2" t="n">
        <v>102</v>
      </c>
      <c r="AQ181" s="2" t="n">
        <v>161.9</v>
      </c>
      <c r="AR181" s="2" t="n">
        <v>42.9</v>
      </c>
      <c r="AS181" s="2" t="n">
        <v>90.59999999999999</v>
      </c>
      <c r="AT181" s="2" t="n">
        <v>76.59999999999999</v>
      </c>
      <c r="AU181" s="2" t="n">
        <v>48.5</v>
      </c>
      <c r="AV181" s="2" t="n">
        <v>17.6</v>
      </c>
      <c r="AW181" s="2" t="n">
        <v>11.4</v>
      </c>
      <c r="AX181" s="2" t="inlineStr">
        <is>
          <t>NA</t>
        </is>
      </c>
      <c r="AY181" s="2" t="inlineStr">
        <is>
          <t>NA</t>
        </is>
      </c>
      <c r="AZ181" s="2" t="inlineStr">
        <is>
          <t>NA</t>
        </is>
      </c>
      <c r="BA181" s="2" t="inlineStr">
        <is>
          <t>NA</t>
        </is>
      </c>
      <c r="BB181" s="2" t="inlineStr">
        <is>
          <t>NA</t>
        </is>
      </c>
      <c r="BD181" s="2" t="n">
        <v>153.5</v>
      </c>
      <c r="BE181" s="2" t="n">
        <v>44.5</v>
      </c>
      <c r="BH181" s="2" t="n">
        <v>320.6</v>
      </c>
      <c r="BK181" s="2" t="n">
        <v>261.1</v>
      </c>
      <c r="BL181" s="2" t="n">
        <v>2.9</v>
      </c>
      <c r="BM181" s="2" t="n">
        <v>584.6</v>
      </c>
      <c r="BN181" s="2" t="n">
        <v>233</v>
      </c>
      <c r="BQ181" s="2" t="n">
        <v>119.7</v>
      </c>
      <c r="BR181" s="2" t="n">
        <v>8.300000000000001</v>
      </c>
      <c r="BS181" s="2" t="n">
        <v>361</v>
      </c>
      <c r="BT181" s="2" t="inlineStr">
        <is>
          <t>NA</t>
        </is>
      </c>
      <c r="BU181" s="2" t="n">
        <v>29.7</v>
      </c>
      <c r="BV181" s="2" t="n">
        <v>423.8</v>
      </c>
      <c r="BW181" s="2" t="n">
        <v>116.2</v>
      </c>
      <c r="BX181" s="2" t="n">
        <v>542.4</v>
      </c>
      <c r="BY181" s="2" t="n">
        <v>51</v>
      </c>
      <c r="BZ181" s="2" t="n">
        <v>9.4</v>
      </c>
      <c r="CA181" s="2" t="n">
        <v>60.4</v>
      </c>
      <c r="CF181" s="2" t="n">
        <v>110.8</v>
      </c>
      <c r="CG181" s="2" t="n">
        <v>97.5</v>
      </c>
      <c r="CH181" s="2" t="n">
        <v>10.9</v>
      </c>
      <c r="CN181" s="2" t="n">
        <v>50.3</v>
      </c>
      <c r="CO181" s="2" t="n">
        <v>156</v>
      </c>
      <c r="CP181" s="2" t="n">
        <v>103.3</v>
      </c>
      <c r="CQ181" s="2" t="n">
        <v>52.7</v>
      </c>
      <c r="CR181" s="2" t="inlineStr">
        <is>
          <t>NA</t>
        </is>
      </c>
      <c r="CS181" s="2" t="n">
        <v>49.4</v>
      </c>
      <c r="CT181" s="2" t="n">
        <v>27</v>
      </c>
      <c r="CU181" s="2" t="n">
        <v>22.4</v>
      </c>
      <c r="CV181" s="2" t="n">
        <v>38.09999999999999</v>
      </c>
      <c r="CW181" s="2" t="n">
        <v>14.7</v>
      </c>
      <c r="CX181" s="2" t="n">
        <v>23.4</v>
      </c>
      <c r="CY181" s="2" t="n">
        <v>15.4</v>
      </c>
      <c r="CZ181" s="2" t="n">
        <v>54.4</v>
      </c>
      <c r="DA181" s="2" t="n">
        <v>36.3</v>
      </c>
      <c r="DB181" s="2" t="n">
        <v>35.1</v>
      </c>
      <c r="DC181" s="2" t="n">
        <v>1.2</v>
      </c>
      <c r="DG181" s="2" t="n">
        <v>111.6</v>
      </c>
      <c r="DI181" s="2" t="n">
        <v>467.6</v>
      </c>
      <c r="DJ181" s="2" t="n">
        <v>187.7</v>
      </c>
      <c r="DL181" s="2" t="n">
        <v>55.6</v>
      </c>
      <c r="DM181" s="2" t="n">
        <v>213.7</v>
      </c>
      <c r="DO181" s="2" t="n">
        <v>212</v>
      </c>
      <c r="DP181" s="2" t="n">
        <v>263.2</v>
      </c>
      <c r="DS181" s="2" t="n">
        <v>789.5359999999999</v>
      </c>
      <c r="DT181" s="2" t="n">
        <v>3028.6</v>
      </c>
      <c r="DU181" s="2" t="n">
        <v>-839.2640000000001</v>
      </c>
      <c r="DV181" s="2" t="n">
        <v>0</v>
      </c>
      <c r="GY181" s="2" t="n">
        <v>0.9677475745127175</v>
      </c>
      <c r="GZ181" s="2" t="n">
        <v>1107.2</v>
      </c>
      <c r="HA181" s="2" t="n">
        <v>1144.1</v>
      </c>
      <c r="HF181" s="2" t="n">
        <v>1119.2</v>
      </c>
      <c r="HG181" s="2" t="n">
        <v>1089.2</v>
      </c>
      <c r="HH181" s="2" t="n">
        <v>458.9</v>
      </c>
      <c r="HI181" s="2" t="n">
        <v>148.5</v>
      </c>
      <c r="HJ181" s="2" t="n">
        <v>462.3</v>
      </c>
      <c r="HK181" s="2" t="n">
        <v>19.5</v>
      </c>
      <c r="HL181" s="2" t="n">
        <v>30</v>
      </c>
      <c r="HP181" s="2" t="e">
        <v>#VALUE!</v>
      </c>
      <c r="HQ181" s="2" t="n">
        <v>4.5</v>
      </c>
      <c r="HR181" s="2" t="n">
        <v>11.6</v>
      </c>
      <c r="HS181" s="2" t="e">
        <v>#VALUE!</v>
      </c>
      <c r="HT181" s="2" t="n">
        <v>7.7</v>
      </c>
      <c r="HW181" s="2" t="n">
        <v>276.1</v>
      </c>
      <c r="HX181" s="2" t="e">
        <v>#VALUE!</v>
      </c>
      <c r="HY181" s="2" t="n">
        <v>276.1</v>
      </c>
      <c r="HZ181" s="2" t="n">
        <v>51.9</v>
      </c>
      <c r="IA181" s="2" t="n">
        <v>183.3</v>
      </c>
      <c r="IB181" s="2" t="e">
        <v>#VALUE!</v>
      </c>
      <c r="IC181" s="2" t="e">
        <v>#VALUE!</v>
      </c>
      <c r="ID181" s="2" t="e">
        <v>#VALUE!</v>
      </c>
      <c r="IE181" s="2" t="e">
        <v>#VALUE!</v>
      </c>
      <c r="IF181" s="2" t="n">
        <v>18.3</v>
      </c>
      <c r="IG181" s="2" t="n">
        <v>17.4</v>
      </c>
      <c r="IN181" s="2" t="n">
        <v>86.3</v>
      </c>
      <c r="IO181" s="2" t="n">
        <v>88.40000000000001</v>
      </c>
      <c r="IP181" s="2" t="e">
        <v>#VALUE!</v>
      </c>
      <c r="IQ181" s="2" t="n">
        <v>59.1</v>
      </c>
      <c r="IR181" s="2" t="n">
        <v>23.7</v>
      </c>
      <c r="IS181" s="2" t="e">
        <v>#VALUE!</v>
      </c>
      <c r="IT181" s="2" t="n">
        <v>30</v>
      </c>
      <c r="IU181" s="2" t="e">
        <v>#VALUE!</v>
      </c>
      <c r="IV181" s="2" t="e">
        <v>#VALUE!</v>
      </c>
      <c r="IY181" s="2" t="n">
        <v>47.67747474080433</v>
      </c>
      <c r="IZ181" s="2" t="n">
        <v>0.05747474080433079</v>
      </c>
      <c r="JB181" s="2" t="n">
        <v>10.93277421911114</v>
      </c>
      <c r="JC181" s="2" t="n">
        <v>-0.08722578088885946</v>
      </c>
      <c r="JE181" s="2" t="n">
        <v>1339.4</v>
      </c>
      <c r="JF181" s="2" t="n">
        <v>0.3566716440197103</v>
      </c>
    </row>
    <row r="182">
      <c r="A182" s="1" t="n">
        <v>34578</v>
      </c>
      <c r="B182" s="2" t="n">
        <v>3177.8</v>
      </c>
      <c r="C182" s="2" t="n">
        <v>1402.6</v>
      </c>
      <c r="D182" s="2" t="n">
        <v>195.5</v>
      </c>
      <c r="E182" s="2" t="n">
        <v>532.8</v>
      </c>
      <c r="F182" s="2" t="n">
        <v>22.4</v>
      </c>
      <c r="G182" s="2" t="inlineStr">
        <is>
          <t>NA</t>
        </is>
      </c>
      <c r="H182" s="2" t="n">
        <v>27.7</v>
      </c>
      <c r="I182" s="2" t="inlineStr">
        <is>
          <t>NA</t>
        </is>
      </c>
      <c r="J182" s="2" t="inlineStr">
        <is>
          <t>NA</t>
        </is>
      </c>
      <c r="K182" s="2" t="n">
        <v>1168</v>
      </c>
      <c r="L182" s="2" t="n">
        <v>1103.1</v>
      </c>
      <c r="M182" s="2" t="n">
        <v>904.7</v>
      </c>
      <c r="N182" s="2" t="n">
        <v>198.4</v>
      </c>
      <c r="O182" s="2" t="n">
        <v>61</v>
      </c>
      <c r="P182" s="2" t="n">
        <v>105.6</v>
      </c>
      <c r="Q182" s="2" t="n">
        <v>31.4</v>
      </c>
      <c r="R182" s="2" t="n">
        <v>74.2</v>
      </c>
      <c r="T182" s="2" t="n">
        <v>17.2</v>
      </c>
      <c r="U182" s="2" t="n">
        <v>26.8</v>
      </c>
      <c r="V182" s="2" t="n">
        <v>23.4</v>
      </c>
      <c r="W182" s="2" t="n">
        <v>3.4</v>
      </c>
      <c r="X182" s="2" t="inlineStr">
        <is>
          <t>NA</t>
        </is>
      </c>
      <c r="Y182" s="2" t="inlineStr">
        <is>
          <t>NA</t>
        </is>
      </c>
      <c r="Z182" s="2" t="n">
        <v>64.59999999999999</v>
      </c>
      <c r="AA182" s="2" t="n">
        <v>61.1</v>
      </c>
      <c r="AB182" s="2" t="n">
        <v>3.5</v>
      </c>
      <c r="AC182" s="2" t="inlineStr">
        <is>
          <t>NA</t>
        </is>
      </c>
      <c r="AD182" s="2" t="n">
        <v>27.3</v>
      </c>
      <c r="AF182" s="2" t="n">
        <v>136.6</v>
      </c>
      <c r="AG182" s="2" t="n">
        <v>115.1</v>
      </c>
      <c r="AH182" s="2" t="n">
        <v>21.5</v>
      </c>
      <c r="AI182" s="2" t="n">
        <v>165.1</v>
      </c>
      <c r="AL182" s="2" t="n">
        <v>118.3</v>
      </c>
      <c r="AM182" s="2" t="n">
        <v>93.5</v>
      </c>
      <c r="AN182" s="2" t="n">
        <v>24.8</v>
      </c>
      <c r="AO182" s="2" t="n">
        <v>2346.4</v>
      </c>
      <c r="AP182" s="2" t="n">
        <v>97.7</v>
      </c>
      <c r="AQ182" s="2" t="n">
        <v>170.7</v>
      </c>
      <c r="AR182" s="2" t="n">
        <v>51.9</v>
      </c>
      <c r="AS182" s="2" t="n">
        <v>89.40000000000001</v>
      </c>
      <c r="AT182" s="2" t="n">
        <v>53.2</v>
      </c>
      <c r="AU182" s="2" t="n">
        <v>49.3</v>
      </c>
      <c r="AV182" s="2" t="n">
        <v>12.7</v>
      </c>
      <c r="AW182" s="2" t="n">
        <v>12.2</v>
      </c>
      <c r="AX182" s="2" t="inlineStr">
        <is>
          <t>NA</t>
        </is>
      </c>
      <c r="AY182" s="2" t="inlineStr">
        <is>
          <t>NA</t>
        </is>
      </c>
      <c r="AZ182" s="2" t="inlineStr">
        <is>
          <t>NA</t>
        </is>
      </c>
      <c r="BA182" s="2" t="inlineStr">
        <is>
          <t>NA</t>
        </is>
      </c>
      <c r="BB182" s="2" t="inlineStr">
        <is>
          <t>NA</t>
        </is>
      </c>
      <c r="BD182" s="2" t="n">
        <v>158.7</v>
      </c>
      <c r="BE182" s="2" t="n">
        <v>36.3</v>
      </c>
      <c r="BH182" s="2" t="n">
        <v>322.7</v>
      </c>
      <c r="BK182" s="2" t="n">
        <v>256.2</v>
      </c>
      <c r="BL182" s="2" t="n">
        <v>3.4</v>
      </c>
      <c r="BM182" s="2" t="n">
        <v>582.3</v>
      </c>
      <c r="BN182" s="2" t="n">
        <v>260</v>
      </c>
      <c r="BQ182" s="2" t="n">
        <v>110</v>
      </c>
      <c r="BR182" s="2" t="n">
        <v>12</v>
      </c>
      <c r="BS182" s="2" t="n">
        <v>382</v>
      </c>
      <c r="BT182" s="2" t="inlineStr">
        <is>
          <t>NA</t>
        </is>
      </c>
      <c r="BU182" s="2" t="n">
        <v>34.4</v>
      </c>
      <c r="BV182" s="2" t="n">
        <v>395.8</v>
      </c>
      <c r="BW182" s="2" t="n">
        <v>115.5</v>
      </c>
      <c r="BX182" s="2" t="n">
        <v>514.8</v>
      </c>
      <c r="BY182" s="2" t="n">
        <v>40.8</v>
      </c>
      <c r="BZ182" s="2" t="n">
        <v>8.4</v>
      </c>
      <c r="CA182" s="2" t="n">
        <v>49.2</v>
      </c>
      <c r="CF182" s="2" t="n">
        <v>117.4</v>
      </c>
      <c r="CG182" s="2" t="n">
        <v>86.3</v>
      </c>
      <c r="CH182" s="2" t="n">
        <v>12</v>
      </c>
      <c r="CN182" s="2" t="n">
        <v>28.4</v>
      </c>
      <c r="CO182" s="2" t="n">
        <v>164.1</v>
      </c>
      <c r="CP182" s="2" t="n">
        <v>89.90000000000001</v>
      </c>
      <c r="CQ182" s="2" t="n">
        <v>74.2</v>
      </c>
      <c r="CR182" s="2" t="inlineStr">
        <is>
          <t>NA</t>
        </is>
      </c>
      <c r="CS182" s="2" t="n">
        <v>60.59999999999999</v>
      </c>
      <c r="CT182" s="2" t="n">
        <v>40.3</v>
      </c>
      <c r="CU182" s="2" t="n">
        <v>20.3</v>
      </c>
      <c r="CV182" s="2" t="n">
        <v>35.2</v>
      </c>
      <c r="CW182" s="2" t="n">
        <v>10.7</v>
      </c>
      <c r="CX182" s="2" t="n">
        <v>24.5</v>
      </c>
      <c r="CY182" s="2" t="inlineStr">
        <is>
          <t>NA</t>
        </is>
      </c>
      <c r="CZ182" s="2" t="n">
        <v>72.3</v>
      </c>
      <c r="DA182" s="2" t="n">
        <v>30.5</v>
      </c>
      <c r="DB182" s="2" t="n">
        <v>29.4</v>
      </c>
      <c r="DC182" s="2" t="n">
        <v>1.1</v>
      </c>
      <c r="DG182" s="2" t="n">
        <v>126.6</v>
      </c>
      <c r="DI182" s="2" t="n">
        <v>681.7</v>
      </c>
      <c r="DJ182" s="2" t="n">
        <v>191.6</v>
      </c>
      <c r="DL182" s="2" t="n">
        <v>115</v>
      </c>
      <c r="DM182" s="2" t="n">
        <v>210.5</v>
      </c>
      <c r="DO182" s="2" t="n">
        <v>221.8</v>
      </c>
      <c r="DP182" s="2" t="n">
        <v>256.7</v>
      </c>
      <c r="DS182" s="2" t="n">
        <v>717.303</v>
      </c>
      <c r="DT182" s="2" t="n">
        <v>3177.8</v>
      </c>
      <c r="DU182" s="2" t="n">
        <v>-783.1970000000001</v>
      </c>
      <c r="DV182" s="2" t="n">
        <v>0</v>
      </c>
      <c r="GY182" s="2" t="n">
        <v>0.9609935602575896</v>
      </c>
      <c r="GZ182" s="2" t="n">
        <v>1044.6</v>
      </c>
      <c r="HA182" s="2" t="n">
        <v>1087</v>
      </c>
      <c r="HF182" s="2" t="n">
        <v>1075.4</v>
      </c>
      <c r="HG182" s="2" t="n">
        <v>1050.4</v>
      </c>
      <c r="HH182" s="2" t="n">
        <v>425</v>
      </c>
      <c r="HI182" s="2" t="n">
        <v>145.3</v>
      </c>
      <c r="HJ182" s="2" t="n">
        <v>459.9</v>
      </c>
      <c r="HK182" s="2" t="n">
        <v>20.2</v>
      </c>
      <c r="HL182" s="2" t="n">
        <v>25</v>
      </c>
      <c r="HP182" s="2" t="e">
        <v>#VALUE!</v>
      </c>
      <c r="HQ182" s="2" t="n">
        <v>4</v>
      </c>
      <c r="HR182" s="2" t="n">
        <v>10.6</v>
      </c>
      <c r="HS182" s="2" t="e">
        <v>#VALUE!</v>
      </c>
      <c r="HT182" s="2" t="n">
        <v>6.8</v>
      </c>
      <c r="HW182" s="2" t="n">
        <v>283.6</v>
      </c>
      <c r="HX182" s="2" t="e">
        <v>#VALUE!</v>
      </c>
      <c r="HY182" s="2" t="n">
        <v>283.6</v>
      </c>
      <c r="HZ182" s="2" t="n">
        <v>52.5</v>
      </c>
      <c r="IA182" s="2" t="n">
        <v>178.7</v>
      </c>
      <c r="IB182" s="2" t="e">
        <v>#VALUE!</v>
      </c>
      <c r="IC182" s="2" t="e">
        <v>#VALUE!</v>
      </c>
      <c r="ID182" s="2" t="e">
        <v>#VALUE!</v>
      </c>
      <c r="IE182" s="2" t="e">
        <v>#VALUE!</v>
      </c>
      <c r="IF182" s="2" t="n">
        <v>17.9</v>
      </c>
      <c r="IG182" s="2" t="n">
        <v>27.6</v>
      </c>
      <c r="IN182" s="2" t="n">
        <v>62.9</v>
      </c>
      <c r="IO182" s="2" t="n">
        <v>64.2</v>
      </c>
      <c r="IP182" s="2" t="n">
        <v>45.1</v>
      </c>
      <c r="IQ182" s="2" t="n">
        <v>44.7</v>
      </c>
      <c r="IR182" s="2" t="n">
        <v>16.9</v>
      </c>
      <c r="IS182" s="2" t="e">
        <v>#VALUE!</v>
      </c>
      <c r="IT182" s="2" t="n">
        <v>22.7</v>
      </c>
      <c r="IU182" s="2" t="e">
        <v>#VALUE!</v>
      </c>
      <c r="IV182" s="2" t="n">
        <v>0.4</v>
      </c>
      <c r="IY182" s="2" t="n">
        <v>47.52533199068537</v>
      </c>
      <c r="IZ182" s="2" t="n">
        <v>-0.044668009314627</v>
      </c>
      <c r="JB182" s="2" t="n">
        <v>11.02649631820756</v>
      </c>
      <c r="JC182" s="2" t="n">
        <v>-0.08350368179243617</v>
      </c>
      <c r="JE182" s="2" t="n">
        <v>1103.1</v>
      </c>
      <c r="JF182" s="2" t="n">
        <v>0.351984407578642</v>
      </c>
    </row>
    <row r="183">
      <c r="A183" s="1" t="n">
        <v>34608</v>
      </c>
      <c r="B183" s="2" t="n">
        <v>3579.1</v>
      </c>
      <c r="C183" s="2" t="n">
        <v>3422.9</v>
      </c>
      <c r="D183" s="2" t="n">
        <v>343.9</v>
      </c>
      <c r="E183" s="2" t="n">
        <v>1560</v>
      </c>
      <c r="F183" s="2" t="n">
        <v>15.9</v>
      </c>
      <c r="G183" s="2" t="inlineStr">
        <is>
          <t>NA</t>
        </is>
      </c>
      <c r="H183" s="2" t="inlineStr">
        <is>
          <t>NA</t>
        </is>
      </c>
      <c r="I183" s="2" t="inlineStr">
        <is>
          <t>NA</t>
        </is>
      </c>
      <c r="J183" s="2" t="inlineStr">
        <is>
          <t>NA</t>
        </is>
      </c>
      <c r="K183" s="2" t="n">
        <v>1327.6</v>
      </c>
      <c r="L183" s="2" t="n">
        <v>1055.5</v>
      </c>
      <c r="M183" s="2" t="n">
        <v>850.8</v>
      </c>
      <c r="N183" s="2" t="n">
        <v>204.7</v>
      </c>
      <c r="O183" s="2" t="n">
        <v>109.8</v>
      </c>
      <c r="P183" s="2" t="n">
        <v>103.5</v>
      </c>
      <c r="Q183" s="2" t="n">
        <v>34.9</v>
      </c>
      <c r="R183" s="2" t="n">
        <v>68.59999999999999</v>
      </c>
      <c r="T183" s="2" t="n">
        <v>11.9</v>
      </c>
      <c r="U183" s="2" t="n">
        <v>17.9</v>
      </c>
      <c r="V183" s="2" t="n">
        <v>15.1</v>
      </c>
      <c r="W183" s="2" t="n">
        <v>2.8</v>
      </c>
      <c r="X183" s="2" t="inlineStr">
        <is>
          <t>NA</t>
        </is>
      </c>
      <c r="Y183" s="2" t="inlineStr">
        <is>
          <t>NA</t>
        </is>
      </c>
      <c r="Z183" s="2" t="n">
        <v>58.3</v>
      </c>
      <c r="AA183" s="2" t="n">
        <v>54.6</v>
      </c>
      <c r="AB183" s="2" t="n">
        <v>3.7</v>
      </c>
      <c r="AC183" s="2" t="inlineStr">
        <is>
          <t>NA</t>
        </is>
      </c>
      <c r="AD183" s="2" t="n">
        <v>22.8</v>
      </c>
      <c r="AF183" s="2" t="n">
        <v>99.90000000000001</v>
      </c>
      <c r="AG183" s="2" t="n">
        <v>83</v>
      </c>
      <c r="AH183" s="2" t="n">
        <v>16.9</v>
      </c>
      <c r="AI183" s="2" t="n">
        <v>175.5</v>
      </c>
      <c r="AL183" s="2" t="n">
        <v>133.7</v>
      </c>
      <c r="AM183" s="2" t="n">
        <v>90.59999999999999</v>
      </c>
      <c r="AN183" s="2" t="n">
        <v>43.1</v>
      </c>
      <c r="AO183" s="2" t="n">
        <v>2622.7</v>
      </c>
      <c r="AP183" s="2" t="n">
        <v>189.1</v>
      </c>
      <c r="AQ183" s="2" t="n">
        <v>189.8</v>
      </c>
      <c r="AR183" s="2" t="n">
        <v>51.8</v>
      </c>
      <c r="AS183" s="2" t="n">
        <v>154.2</v>
      </c>
      <c r="AT183" s="2" t="n">
        <v>66.8</v>
      </c>
      <c r="AU183" s="2" t="n">
        <v>89.5</v>
      </c>
      <c r="AV183" s="2" t="n">
        <v>17.7</v>
      </c>
      <c r="AW183" s="2" t="n">
        <v>8.5</v>
      </c>
      <c r="AX183" s="2" t="inlineStr">
        <is>
          <t>NA</t>
        </is>
      </c>
      <c r="AY183" s="2" t="inlineStr">
        <is>
          <t>NA</t>
        </is>
      </c>
      <c r="AZ183" s="2" t="inlineStr">
        <is>
          <t>NA</t>
        </is>
      </c>
      <c r="BA183" s="2" t="inlineStr">
        <is>
          <t>NA</t>
        </is>
      </c>
      <c r="BB183" s="2" t="inlineStr">
        <is>
          <t>NA</t>
        </is>
      </c>
      <c r="BD183" s="2" t="n">
        <v>157.8</v>
      </c>
      <c r="BE183" s="2" t="n">
        <v>42.1</v>
      </c>
      <c r="BH183" s="2" t="n">
        <v>329.2</v>
      </c>
      <c r="BK183" s="2" t="n">
        <v>249.1</v>
      </c>
      <c r="BL183" s="2" t="n">
        <v>3.1</v>
      </c>
      <c r="BM183" s="2" t="n">
        <v>581.5</v>
      </c>
      <c r="BN183" s="2" t="n">
        <v>263.4</v>
      </c>
      <c r="BQ183" s="2" t="n">
        <v>124.6</v>
      </c>
      <c r="BR183" s="2" t="n">
        <v>8.800000000000001</v>
      </c>
      <c r="BS183" s="2" t="n">
        <v>396.8</v>
      </c>
      <c r="BT183" s="2" t="inlineStr">
        <is>
          <t>NA</t>
        </is>
      </c>
      <c r="BU183" s="2" t="n">
        <v>34</v>
      </c>
      <c r="BV183" s="2" t="n">
        <v>402.9</v>
      </c>
      <c r="BW183" s="2" t="n">
        <v>113.6</v>
      </c>
      <c r="BX183" s="2" t="n">
        <v>520.1</v>
      </c>
      <c r="BY183" s="2" t="n">
        <v>48.1</v>
      </c>
      <c r="BZ183" s="2" t="n">
        <v>11.3</v>
      </c>
      <c r="CA183" s="2" t="n">
        <v>59.40000000000001</v>
      </c>
      <c r="CF183" s="2" t="n">
        <v>111.1</v>
      </c>
      <c r="CG183" s="2" t="n">
        <v>82.7</v>
      </c>
      <c r="CH183" s="2" t="n">
        <v>14.4</v>
      </c>
      <c r="CN183" s="2" t="n">
        <v>39.4</v>
      </c>
      <c r="CO183" s="2" t="n">
        <v>166.2</v>
      </c>
      <c r="CP183" s="2" t="n">
        <v>101.6</v>
      </c>
      <c r="CQ183" s="2" t="n">
        <v>64.59999999999999</v>
      </c>
      <c r="CR183" s="2" t="inlineStr">
        <is>
          <t>NA</t>
        </is>
      </c>
      <c r="CS183" s="2" t="n">
        <v>48.1</v>
      </c>
      <c r="CT183" s="2" t="n">
        <v>27.6</v>
      </c>
      <c r="CU183" s="2" t="n">
        <v>20.5</v>
      </c>
      <c r="CV183" s="2" t="n">
        <v>37.9</v>
      </c>
      <c r="CW183" s="2" t="n">
        <v>9.9</v>
      </c>
      <c r="CX183" s="2" t="n">
        <v>28</v>
      </c>
      <c r="CY183" s="2" t="n">
        <v>14.3</v>
      </c>
      <c r="CZ183" s="2" t="n">
        <v>50</v>
      </c>
      <c r="DA183" s="2" t="n">
        <v>31.5</v>
      </c>
      <c r="DB183" s="2" t="n">
        <v>30.9</v>
      </c>
      <c r="DC183" s="2" t="n">
        <v>0.6</v>
      </c>
      <c r="DG183" s="2" t="n">
        <v>131</v>
      </c>
      <c r="DI183" s="2" t="n">
        <v>704.5</v>
      </c>
      <c r="DJ183" s="2" t="n">
        <v>224.7</v>
      </c>
      <c r="DL183" s="2" t="n">
        <v>123</v>
      </c>
      <c r="DM183" s="2" t="n">
        <v>228.3</v>
      </c>
      <c r="DO183" s="2" t="n">
        <v>232</v>
      </c>
      <c r="DP183" s="2" t="n">
        <v>266.2</v>
      </c>
      <c r="DS183" s="2" t="n">
        <v>843.326</v>
      </c>
      <c r="DT183" s="2" t="n">
        <v>3579.1</v>
      </c>
      <c r="DU183" s="2" t="n">
        <v>-957.0740000000001</v>
      </c>
      <c r="DV183" s="2" t="n">
        <v>0</v>
      </c>
      <c r="GY183" s="2" t="n">
        <v>0.9673529158411577</v>
      </c>
      <c r="GZ183" s="2" t="n">
        <v>1123</v>
      </c>
      <c r="HA183" s="2" t="n">
        <v>1160.9</v>
      </c>
      <c r="HF183" s="2" t="n">
        <v>1123.3</v>
      </c>
      <c r="HG183" s="2" t="n">
        <v>1099.7</v>
      </c>
      <c r="HH183" s="2" t="n">
        <v>441.8</v>
      </c>
      <c r="HI183" s="2" t="n">
        <v>152.8</v>
      </c>
      <c r="HJ183" s="2" t="n">
        <v>485.9</v>
      </c>
      <c r="HK183" s="2" t="n">
        <v>19.2</v>
      </c>
      <c r="HL183" s="2" t="n">
        <v>23.7</v>
      </c>
      <c r="HP183" s="2" t="e">
        <v>#VALUE!</v>
      </c>
      <c r="HQ183" s="2" t="n">
        <v>4</v>
      </c>
      <c r="HR183" s="2" t="n">
        <v>9.699999999999999</v>
      </c>
      <c r="HS183" s="2" t="e">
        <v>#VALUE!</v>
      </c>
      <c r="HT183" s="2" t="n">
        <v>7</v>
      </c>
      <c r="HW183" s="2" t="n">
        <v>278.9</v>
      </c>
      <c r="HX183" s="2" t="e">
        <v>#VALUE!</v>
      </c>
      <c r="HY183" s="2" t="n">
        <v>278.9</v>
      </c>
      <c r="HZ183" s="2" t="n">
        <v>60</v>
      </c>
      <c r="IA183" s="2" t="n">
        <v>170.8</v>
      </c>
      <c r="IB183" s="2" t="e">
        <v>#VALUE!</v>
      </c>
      <c r="IC183" s="2" t="e">
        <v>#VALUE!</v>
      </c>
      <c r="ID183" s="2" t="e">
        <v>#VALUE!</v>
      </c>
      <c r="IE183" s="2" t="e">
        <v>#VALUE!</v>
      </c>
      <c r="IF183" s="2" t="n">
        <v>14.4</v>
      </c>
      <c r="IG183" s="2" t="n">
        <v>29.1</v>
      </c>
      <c r="IN183" s="2" t="n">
        <v>80</v>
      </c>
      <c r="IO183" s="2" t="n">
        <v>81.90000000000001</v>
      </c>
      <c r="IP183" s="2" t="n">
        <v>46.5</v>
      </c>
      <c r="IQ183" s="2" t="n">
        <v>45.8</v>
      </c>
      <c r="IR183" s="2" t="n">
        <v>19.3</v>
      </c>
      <c r="IS183" s="2" t="e">
        <v>#VALUE!</v>
      </c>
      <c r="IT183" s="2" t="n">
        <v>22.4</v>
      </c>
      <c r="IU183" s="2" t="e">
        <v>#VALUE!</v>
      </c>
      <c r="IV183" s="2" t="n">
        <v>0.7</v>
      </c>
      <c r="IY183" s="2" t="n">
        <v>47.14872453968875</v>
      </c>
      <c r="IZ183" s="2" t="n">
        <v>-0.02127546031125149</v>
      </c>
      <c r="JB183" s="2" t="n">
        <v>11.12793719091392</v>
      </c>
      <c r="JC183" s="2" t="n">
        <v>-0.04206280908608306</v>
      </c>
      <c r="JE183" s="2" t="n">
        <v>1055.5</v>
      </c>
      <c r="JF183" s="2" t="n">
        <v>0.3498294647086689</v>
      </c>
    </row>
    <row r="184">
      <c r="A184" s="1" t="n">
        <v>34639</v>
      </c>
      <c r="B184" s="2" t="n">
        <v>3674.5</v>
      </c>
      <c r="C184" s="2" t="n">
        <v>3727.6</v>
      </c>
      <c r="D184" s="2" t="n">
        <v>386.2</v>
      </c>
      <c r="E184" s="2" t="n">
        <v>2604.3</v>
      </c>
      <c r="F184" s="2" t="n">
        <v>23.1</v>
      </c>
      <c r="G184" s="2" t="inlineStr">
        <is>
          <t>NA</t>
        </is>
      </c>
      <c r="H184" s="2" t="inlineStr">
        <is>
          <t>NA</t>
        </is>
      </c>
      <c r="I184" s="2" t="inlineStr">
        <is>
          <t>NA</t>
        </is>
      </c>
      <c r="J184" s="2" t="inlineStr">
        <is>
          <t>NA</t>
        </is>
      </c>
      <c r="K184" s="2" t="n">
        <v>1341.5</v>
      </c>
      <c r="L184" s="2" t="n">
        <v>1026.9</v>
      </c>
      <c r="M184" s="2" t="n">
        <v>811.4</v>
      </c>
      <c r="N184" s="2" t="n">
        <v>215.5</v>
      </c>
      <c r="O184" s="2" t="n">
        <v>122.6</v>
      </c>
      <c r="P184" s="2" t="n">
        <v>117</v>
      </c>
      <c r="Q184" s="2" t="n">
        <v>43.3</v>
      </c>
      <c r="R184" s="2" t="n">
        <v>73.7</v>
      </c>
      <c r="T184" s="2" t="n">
        <v>18.4</v>
      </c>
      <c r="U184" s="2" t="n">
        <v>8.800000000000001</v>
      </c>
      <c r="V184" s="2" t="n">
        <v>7.2</v>
      </c>
      <c r="W184" s="2" t="n">
        <v>1.6</v>
      </c>
      <c r="X184" s="2" t="inlineStr">
        <is>
          <t>NA</t>
        </is>
      </c>
      <c r="Y184" s="2" t="inlineStr">
        <is>
          <t>NA</t>
        </is>
      </c>
      <c r="Z184" s="2" t="n">
        <v>154.7</v>
      </c>
      <c r="AA184" s="2" t="n">
        <v>150.8</v>
      </c>
      <c r="AB184" s="2" t="n">
        <v>3.9</v>
      </c>
      <c r="AC184" s="2" t="inlineStr">
        <is>
          <t>NA</t>
        </is>
      </c>
      <c r="AD184" s="2" t="n">
        <v>26.1</v>
      </c>
      <c r="AF184" s="2" t="n">
        <v>102.2</v>
      </c>
      <c r="AG184" s="2" t="n">
        <v>86.3</v>
      </c>
      <c r="AH184" s="2" t="n">
        <v>15.9</v>
      </c>
      <c r="AI184" s="2" t="n">
        <v>165.3</v>
      </c>
      <c r="AL184" s="2" t="n">
        <v>96.90000000000001</v>
      </c>
      <c r="AM184" s="2" t="n">
        <v>72.8</v>
      </c>
      <c r="AN184" s="2" t="n">
        <v>24.1</v>
      </c>
      <c r="AO184" s="2" t="n">
        <v>2702.3</v>
      </c>
      <c r="AP184" s="2" t="n">
        <v>181.2</v>
      </c>
      <c r="AQ184" s="2" t="n">
        <v>201.2</v>
      </c>
      <c r="AR184" s="2" t="n">
        <v>50.4</v>
      </c>
      <c r="AS184" s="2" t="n">
        <v>171.5</v>
      </c>
      <c r="AT184" s="2" t="n">
        <v>80</v>
      </c>
      <c r="AU184" s="2" t="n">
        <v>103.4</v>
      </c>
      <c r="AV184" s="2" t="n">
        <v>29.7</v>
      </c>
      <c r="AW184" s="2" t="n">
        <v>12.8</v>
      </c>
      <c r="AX184" s="2" t="n">
        <v>6.5</v>
      </c>
      <c r="AY184" s="2" t="inlineStr">
        <is>
          <t>NA</t>
        </is>
      </c>
      <c r="AZ184" s="2" t="inlineStr">
        <is>
          <t>NA</t>
        </is>
      </c>
      <c r="BA184" s="2" t="inlineStr">
        <is>
          <t>NA</t>
        </is>
      </c>
      <c r="BB184" s="2" t="inlineStr">
        <is>
          <t>NA</t>
        </is>
      </c>
      <c r="BD184" s="2" t="n">
        <v>147.8</v>
      </c>
      <c r="BE184" s="2" t="n">
        <v>38.9</v>
      </c>
      <c r="BH184" s="2" t="n">
        <v>325.9</v>
      </c>
      <c r="BK184" s="2" t="n">
        <v>253.2</v>
      </c>
      <c r="BL184" s="2" t="n">
        <v>3</v>
      </c>
      <c r="BM184" s="2" t="n">
        <v>582.1</v>
      </c>
      <c r="BN184" s="2" t="n">
        <v>281.9</v>
      </c>
      <c r="BQ184" s="2" t="n">
        <v>131.4</v>
      </c>
      <c r="BR184" s="2" t="n">
        <v>9.5</v>
      </c>
      <c r="BS184" s="2" t="n">
        <v>422.8</v>
      </c>
      <c r="BT184" s="2" t="inlineStr">
        <is>
          <t>NA</t>
        </is>
      </c>
      <c r="BU184" s="2" t="n">
        <v>35.8</v>
      </c>
      <c r="BV184" s="2" t="n">
        <v>390.9</v>
      </c>
      <c r="BW184" s="2" t="n">
        <v>111</v>
      </c>
      <c r="BX184" s="2" t="n">
        <v>505.7</v>
      </c>
      <c r="BY184" s="2" t="n">
        <v>51.1</v>
      </c>
      <c r="BZ184" s="2" t="n">
        <v>10.4</v>
      </c>
      <c r="CA184" s="2" t="n">
        <v>61.5</v>
      </c>
      <c r="CF184" s="2" t="n">
        <v>114.5</v>
      </c>
      <c r="CG184" s="2" t="n">
        <v>94.09999999999999</v>
      </c>
      <c r="CH184" s="2" t="n">
        <v>16.3</v>
      </c>
      <c r="CN184" s="2" t="n">
        <v>46.2</v>
      </c>
      <c r="CO184" s="2" t="n">
        <v>152.9</v>
      </c>
      <c r="CP184" s="2" t="n">
        <v>98.59999999999999</v>
      </c>
      <c r="CQ184" s="2" t="n">
        <v>54.3</v>
      </c>
      <c r="CR184" s="2" t="inlineStr">
        <is>
          <t>NA</t>
        </is>
      </c>
      <c r="CS184" s="2" t="n">
        <v>39.3</v>
      </c>
      <c r="CT184" s="2" t="n">
        <v>22.2</v>
      </c>
      <c r="CU184" s="2" t="n">
        <v>17.1</v>
      </c>
      <c r="CV184" s="2" t="n">
        <v>27.5</v>
      </c>
      <c r="CW184" s="2" t="n">
        <v>10.6</v>
      </c>
      <c r="CX184" s="2" t="n">
        <v>16.9</v>
      </c>
      <c r="CY184" s="2" t="inlineStr">
        <is>
          <t>NA</t>
        </is>
      </c>
      <c r="CZ184" s="2" t="n">
        <v>57.1</v>
      </c>
      <c r="DA184" s="2" t="n">
        <v>36.1</v>
      </c>
      <c r="DB184" s="2" t="n">
        <v>35.1</v>
      </c>
      <c r="DC184" s="2" t="n">
        <v>1</v>
      </c>
      <c r="DG184" s="2" t="n">
        <v>127</v>
      </c>
      <c r="DI184" s="2" t="n">
        <v>678.8</v>
      </c>
      <c r="DJ184" s="2" t="n">
        <v>218.5</v>
      </c>
      <c r="DL184" s="2" t="n">
        <v>162.9</v>
      </c>
      <c r="DM184" s="2" t="n">
        <v>242.3</v>
      </c>
      <c r="DO184" s="2" t="n">
        <v>227.3</v>
      </c>
      <c r="DP184" s="2" t="n">
        <v>273.4</v>
      </c>
      <c r="DS184" s="2" t="n">
        <v>890.803</v>
      </c>
      <c r="DT184" s="2" t="n">
        <v>3674.5</v>
      </c>
      <c r="DU184" s="2" t="n">
        <v>-980.4970000000003</v>
      </c>
      <c r="DV184" s="2" t="n">
        <v>0</v>
      </c>
      <c r="GY184" s="2" t="n">
        <v>0.9712023038156947</v>
      </c>
      <c r="GZ184" s="2" t="n">
        <v>1079.2</v>
      </c>
      <c r="HA184" s="2" t="n">
        <v>1111.2</v>
      </c>
      <c r="HF184" s="2" t="n">
        <v>1103.4</v>
      </c>
      <c r="HG184" s="2" t="n">
        <v>1080.5</v>
      </c>
      <c r="HH184" s="2" t="n">
        <v>443.1</v>
      </c>
      <c r="HI184" s="2" t="n">
        <v>170.7</v>
      </c>
      <c r="HJ184" s="2" t="n">
        <v>448.2</v>
      </c>
      <c r="HK184" s="2" t="n">
        <v>18.5</v>
      </c>
      <c r="HL184" s="2" t="n">
        <v>22.9</v>
      </c>
      <c r="HP184" s="2" t="e">
        <v>#VALUE!</v>
      </c>
      <c r="HQ184" s="2" t="n">
        <v>3.1</v>
      </c>
      <c r="HR184" s="2" t="n">
        <v>9.6</v>
      </c>
      <c r="HS184" s="2" t="e">
        <v>#VALUE!</v>
      </c>
      <c r="HT184" s="2" t="n">
        <v>7.7</v>
      </c>
      <c r="HW184" s="2" t="n">
        <v>286.7</v>
      </c>
      <c r="HX184" s="2" t="e">
        <v>#VALUE!</v>
      </c>
      <c r="HY184" s="2" t="n">
        <v>286.7</v>
      </c>
      <c r="HZ184" s="2" t="n">
        <v>63.2</v>
      </c>
      <c r="IA184" s="2" t="n">
        <v>176.7</v>
      </c>
      <c r="IB184" s="2" t="e">
        <v>#VALUE!</v>
      </c>
      <c r="IC184" s="2" t="e">
        <v>#VALUE!</v>
      </c>
      <c r="ID184" s="2" t="e">
        <v>#VALUE!</v>
      </c>
      <c r="IE184" s="2" t="e">
        <v>#VALUE!</v>
      </c>
      <c r="IF184" s="2" t="n">
        <v>14.4</v>
      </c>
      <c r="IG184" s="2" t="n">
        <v>26.7</v>
      </c>
      <c r="IN184" s="2" t="n">
        <v>94.40000000000001</v>
      </c>
      <c r="IO184" s="2" t="n">
        <v>97.2</v>
      </c>
      <c r="IP184" s="2" t="n">
        <v>47.6</v>
      </c>
      <c r="IQ184" s="2" t="n">
        <v>46.7</v>
      </c>
      <c r="IR184" s="2" t="n">
        <v>21</v>
      </c>
      <c r="IS184" s="2" t="e">
        <v>#VALUE!</v>
      </c>
      <c r="IT184" s="2" t="n">
        <v>20.9</v>
      </c>
      <c r="IU184" s="2" t="e">
        <v>#VALUE!</v>
      </c>
      <c r="IV184" s="2" t="n">
        <v>0.9</v>
      </c>
      <c r="IY184" s="2" t="n">
        <v>47.41053204517621</v>
      </c>
      <c r="IZ184" s="2" t="n">
        <v>0.05053204517621168</v>
      </c>
      <c r="JB184" s="2" t="n">
        <v>10.95251054565247</v>
      </c>
      <c r="JC184" s="2" t="n">
        <v>-0.05748945434753061</v>
      </c>
      <c r="JE184" s="2" t="n">
        <v>1026.9</v>
      </c>
      <c r="JF184" s="2" t="n">
        <v>0.3893056772811374</v>
      </c>
    </row>
    <row r="185">
      <c r="A185" s="1" t="n">
        <v>34669</v>
      </c>
      <c r="B185" s="2" t="n">
        <v>3854.6</v>
      </c>
      <c r="C185" s="2" t="n">
        <v>3253.1</v>
      </c>
      <c r="D185" s="2" t="n">
        <v>397.5</v>
      </c>
      <c r="E185" s="2" t="n">
        <v>2763.4</v>
      </c>
      <c r="F185" s="2" t="n">
        <v>29.3</v>
      </c>
      <c r="G185" s="2" t="inlineStr">
        <is>
          <t>NA</t>
        </is>
      </c>
      <c r="H185" s="2" t="inlineStr">
        <is>
          <t>NA</t>
        </is>
      </c>
      <c r="I185" s="2" t="inlineStr">
        <is>
          <t>NA</t>
        </is>
      </c>
      <c r="J185" s="2" t="inlineStr">
        <is>
          <t>NA</t>
        </is>
      </c>
      <c r="K185" s="2" t="n">
        <v>1403</v>
      </c>
      <c r="L185" s="2" t="n">
        <v>1058.3</v>
      </c>
      <c r="M185" s="2" t="n">
        <v>826.6</v>
      </c>
      <c r="N185" s="2" t="n">
        <v>231.7</v>
      </c>
      <c r="O185" s="2" t="n">
        <v>125.6</v>
      </c>
      <c r="P185" s="2" t="n">
        <v>114.7</v>
      </c>
      <c r="Q185" s="2" t="n">
        <v>33.7</v>
      </c>
      <c r="R185" s="2" t="n">
        <v>81</v>
      </c>
      <c r="T185" s="2" t="n">
        <v>24.2</v>
      </c>
      <c r="U185" s="2" t="n">
        <v>7.8</v>
      </c>
      <c r="V185" s="2" t="n">
        <v>5</v>
      </c>
      <c r="W185" s="2" t="n">
        <v>2.8</v>
      </c>
      <c r="X185" s="2" t="inlineStr">
        <is>
          <t>NA</t>
        </is>
      </c>
      <c r="Y185" s="2" t="n">
        <v>3</v>
      </c>
      <c r="Z185" s="2" t="n">
        <v>188.3</v>
      </c>
      <c r="AA185" s="2" t="n">
        <v>184</v>
      </c>
      <c r="AB185" s="2" t="n">
        <v>4.3</v>
      </c>
      <c r="AC185" s="2" t="inlineStr">
        <is>
          <t>NA</t>
        </is>
      </c>
      <c r="AD185" s="2" t="n">
        <v>14.1</v>
      </c>
      <c r="AF185" s="2" t="n">
        <v>78.2</v>
      </c>
      <c r="AG185" s="2" t="n">
        <v>65</v>
      </c>
      <c r="AH185" s="2" t="n">
        <v>13.2</v>
      </c>
      <c r="AI185" s="2" t="n">
        <v>180.9</v>
      </c>
      <c r="AL185" s="2" t="n">
        <v>90.2</v>
      </c>
      <c r="AM185" s="2" t="n">
        <v>58.7</v>
      </c>
      <c r="AN185" s="2" t="n">
        <v>31.5</v>
      </c>
      <c r="AO185" s="2" t="n">
        <v>2822.9</v>
      </c>
      <c r="AP185" s="2" t="n">
        <v>192.4</v>
      </c>
      <c r="AQ185" s="2" t="n">
        <v>204.9</v>
      </c>
      <c r="AR185" s="2" t="n">
        <v>48.7</v>
      </c>
      <c r="AS185" s="2" t="n">
        <v>176.9</v>
      </c>
      <c r="AT185" s="2" t="n">
        <v>94.90000000000001</v>
      </c>
      <c r="AU185" s="2" t="n">
        <v>109</v>
      </c>
      <c r="AV185" s="2" t="n">
        <v>40.6</v>
      </c>
      <c r="AW185" s="2" t="n">
        <v>16.1</v>
      </c>
      <c r="AX185" s="2" t="n">
        <v>9.5</v>
      </c>
      <c r="AY185" s="2" t="inlineStr">
        <is>
          <t>NA</t>
        </is>
      </c>
      <c r="AZ185" s="2" t="inlineStr">
        <is>
          <t>NA</t>
        </is>
      </c>
      <c r="BA185" s="2" t="inlineStr">
        <is>
          <t>NA</t>
        </is>
      </c>
      <c r="BB185" s="2" t="inlineStr">
        <is>
          <t>NA</t>
        </is>
      </c>
      <c r="BD185" s="2" t="n">
        <v>141.9</v>
      </c>
      <c r="BE185" s="2" t="n">
        <v>36.3</v>
      </c>
      <c r="BH185" s="2" t="n">
        <v>337.9</v>
      </c>
      <c r="BK185" s="2" t="n">
        <v>253.1</v>
      </c>
      <c r="BL185" s="2" t="n">
        <v>3.6</v>
      </c>
      <c r="BM185" s="2" t="n">
        <v>594.6</v>
      </c>
      <c r="BN185" s="2" t="n">
        <v>232.4</v>
      </c>
      <c r="BQ185" s="2" t="n">
        <v>107.1</v>
      </c>
      <c r="BR185" s="2" t="n">
        <v>8.800000000000001</v>
      </c>
      <c r="BS185" s="2" t="n">
        <v>348.3</v>
      </c>
      <c r="BT185" s="2" t="inlineStr">
        <is>
          <t>NA</t>
        </is>
      </c>
      <c r="BU185" s="2" t="n">
        <v>41.9</v>
      </c>
      <c r="BV185" s="2" t="n">
        <v>418.2</v>
      </c>
      <c r="BW185" s="2" t="n">
        <v>110.1</v>
      </c>
      <c r="BX185" s="2" t="n">
        <v>532</v>
      </c>
      <c r="BY185" s="2" t="n">
        <v>44.7</v>
      </c>
      <c r="BZ185" s="2" t="n">
        <v>8.9</v>
      </c>
      <c r="CA185" s="2" t="n">
        <v>53.6</v>
      </c>
      <c r="CF185" s="2" t="n">
        <v>115.1</v>
      </c>
      <c r="CG185" s="2" t="n">
        <v>104.1</v>
      </c>
      <c r="CH185" s="2" t="n">
        <v>15.9</v>
      </c>
      <c r="CN185" s="2" t="n">
        <v>51.9</v>
      </c>
      <c r="CO185" s="2" t="n">
        <v>155.6</v>
      </c>
      <c r="CP185" s="2" t="n">
        <v>86.59999999999999</v>
      </c>
      <c r="CQ185" s="2" t="n">
        <v>69</v>
      </c>
      <c r="CR185" s="2" t="inlineStr">
        <is>
          <t>NA</t>
        </is>
      </c>
      <c r="CS185" s="2" t="n">
        <v>38.6</v>
      </c>
      <c r="CT185" s="2" t="n">
        <v>22.6</v>
      </c>
      <c r="CU185" s="2" t="n">
        <v>16</v>
      </c>
      <c r="CV185" s="2" t="n">
        <v>34.90000000000001</v>
      </c>
      <c r="CW185" s="2" t="n">
        <v>12.3</v>
      </c>
      <c r="CX185" s="2" t="n">
        <v>22.6</v>
      </c>
      <c r="CY185" s="2" t="n">
        <v>14.4</v>
      </c>
      <c r="CZ185" s="2" t="n">
        <v>60.7</v>
      </c>
      <c r="DA185" s="2" t="n">
        <v>36.9</v>
      </c>
      <c r="DB185" s="2" t="n">
        <v>35.4</v>
      </c>
      <c r="DC185" s="2" t="n">
        <v>1.5</v>
      </c>
      <c r="DG185" s="2" t="n">
        <v>135.6</v>
      </c>
      <c r="DI185" s="2" t="n">
        <v>719.7</v>
      </c>
      <c r="DJ185" s="2" t="n">
        <v>236.7</v>
      </c>
      <c r="DL185" s="2" t="n">
        <v>165.6</v>
      </c>
      <c r="DM185" s="2" t="n">
        <v>254.1</v>
      </c>
      <c r="DO185" s="2" t="n">
        <v>234.8</v>
      </c>
      <c r="DP185" s="2" t="n">
        <v>281.6</v>
      </c>
      <c r="DS185" s="2" t="n">
        <v>929.693</v>
      </c>
      <c r="DT185" s="2" t="n">
        <v>3854.6</v>
      </c>
      <c r="DU185" s="2" t="n">
        <v>-1032.407</v>
      </c>
      <c r="DV185" s="2" t="n">
        <v>0</v>
      </c>
      <c r="GY185" s="2" t="n">
        <v>0.969469835466179</v>
      </c>
      <c r="GZ185" s="2" t="n">
        <v>1060.6</v>
      </c>
      <c r="HA185" s="2" t="n">
        <v>1094</v>
      </c>
      <c r="HF185" s="2" t="n">
        <v>1063.8</v>
      </c>
      <c r="HG185" s="2" t="n">
        <v>1042.8</v>
      </c>
      <c r="HH185" s="2" t="n">
        <v>395.5</v>
      </c>
      <c r="HI185" s="2" t="n">
        <v>161</v>
      </c>
      <c r="HJ185" s="2" t="n">
        <v>467</v>
      </c>
      <c r="HK185" s="2" t="n">
        <v>19.3</v>
      </c>
      <c r="HL185" s="2" t="n">
        <v>20.9</v>
      </c>
      <c r="HP185" s="2" t="e">
        <v>#VALUE!</v>
      </c>
      <c r="HQ185" s="2" t="n">
        <v>3</v>
      </c>
      <c r="HR185" s="2" t="n">
        <v>7.5</v>
      </c>
      <c r="HS185" s="2" t="e">
        <v>#VALUE!</v>
      </c>
      <c r="HT185" s="2" t="n">
        <v>7.7</v>
      </c>
      <c r="HW185" s="2" t="n">
        <v>291.4</v>
      </c>
      <c r="HX185" s="2" t="e">
        <v>#VALUE!</v>
      </c>
      <c r="HY185" s="2" t="n">
        <v>291.4</v>
      </c>
      <c r="HZ185" s="2" t="n">
        <v>62.1</v>
      </c>
      <c r="IA185" s="2" t="n">
        <v>176.2</v>
      </c>
      <c r="IB185" s="2" t="e">
        <v>#VALUE!</v>
      </c>
      <c r="IC185" s="2" t="e">
        <v>#VALUE!</v>
      </c>
      <c r="ID185" s="2" t="e">
        <v>#VALUE!</v>
      </c>
      <c r="IE185" s="2" t="e">
        <v>#VALUE!</v>
      </c>
      <c r="IF185" s="2" t="n">
        <v>16.1</v>
      </c>
      <c r="IG185" s="2" t="n">
        <v>31.5</v>
      </c>
      <c r="IN185" s="2" t="n">
        <v>106.2</v>
      </c>
      <c r="IO185" s="2" t="n">
        <v>109.8</v>
      </c>
      <c r="IP185" s="2" t="n">
        <v>44.9</v>
      </c>
      <c r="IQ185" s="2" t="n">
        <v>43.9</v>
      </c>
      <c r="IR185" s="2" t="n">
        <v>16</v>
      </c>
      <c r="IS185" s="2" t="e">
        <v>#VALUE!</v>
      </c>
      <c r="IT185" s="2" t="n">
        <v>23.1</v>
      </c>
      <c r="IU185" s="2" t="e">
        <v>#VALUE!</v>
      </c>
      <c r="IV185" s="2" t="n">
        <v>1</v>
      </c>
      <c r="IY185" s="2" t="n">
        <v>47.13018212006435</v>
      </c>
      <c r="IZ185" s="2" t="n">
        <v>0.0001821200643448151</v>
      </c>
      <c r="JB185" s="2" t="n">
        <v>10.91942095159031</v>
      </c>
      <c r="JC185" s="2" t="n">
        <v>-0.08057904840969066</v>
      </c>
      <c r="JE185" s="2" t="n">
        <v>1058.3</v>
      </c>
      <c r="JF185" s="2" t="n">
        <v>0.3615506000188983</v>
      </c>
    </row>
    <row r="186">
      <c r="A186" s="1" t="n">
        <v>34700</v>
      </c>
      <c r="B186" s="2" t="n">
        <v>3819.8</v>
      </c>
      <c r="C186" s="2" t="n">
        <v>3441.4</v>
      </c>
      <c r="D186" s="2" t="n">
        <v>404.6</v>
      </c>
      <c r="E186" s="2" t="n">
        <v>2529.4</v>
      </c>
      <c r="F186" s="2" t="n">
        <v>34</v>
      </c>
      <c r="G186" s="2" t="inlineStr">
        <is>
          <t>NA</t>
        </is>
      </c>
      <c r="H186" s="2" t="inlineStr">
        <is>
          <t>NA</t>
        </is>
      </c>
      <c r="I186" s="2" t="inlineStr">
        <is>
          <t>NA</t>
        </is>
      </c>
      <c r="J186" s="2" t="inlineStr">
        <is>
          <t>NA</t>
        </is>
      </c>
      <c r="K186" s="2" t="n">
        <v>1399.6</v>
      </c>
      <c r="L186" s="2" t="n">
        <v>1116.8</v>
      </c>
      <c r="M186" s="2" t="n">
        <v>880.6</v>
      </c>
      <c r="N186" s="2" t="n">
        <v>236.2</v>
      </c>
      <c r="O186" s="2" t="n">
        <v>133.4</v>
      </c>
      <c r="P186" s="2" t="n">
        <v>122.2</v>
      </c>
      <c r="Q186" s="2" t="n">
        <v>36.9</v>
      </c>
      <c r="R186" s="2" t="n">
        <v>85.3</v>
      </c>
      <c r="T186" s="2" t="n">
        <v>27.9</v>
      </c>
      <c r="U186" s="2" t="n">
        <v>10.9</v>
      </c>
      <c r="V186" s="2" t="n">
        <v>7.5</v>
      </c>
      <c r="W186" s="2" t="n">
        <v>3.4</v>
      </c>
      <c r="X186" s="2" t="inlineStr">
        <is>
          <t>NA</t>
        </is>
      </c>
      <c r="Y186" s="2" t="inlineStr">
        <is>
          <t>NA</t>
        </is>
      </c>
      <c r="Z186" s="2" t="n">
        <v>116.4</v>
      </c>
      <c r="AA186" s="2" t="n">
        <v>112.5</v>
      </c>
      <c r="AB186" s="2" t="n">
        <v>3.9</v>
      </c>
      <c r="AC186" s="2" t="inlineStr">
        <is>
          <t>NA</t>
        </is>
      </c>
      <c r="AD186" s="2" t="n">
        <v>12.1</v>
      </c>
      <c r="AF186" s="2" t="n">
        <v>58.1</v>
      </c>
      <c r="AG186" s="2" t="n">
        <v>42.7</v>
      </c>
      <c r="AH186" s="2" t="n">
        <v>15.4</v>
      </c>
      <c r="AI186" s="2" t="n">
        <v>163.2</v>
      </c>
      <c r="AL186" s="2" t="n">
        <v>95.09999999999999</v>
      </c>
      <c r="AM186" s="2" t="n">
        <v>59.4</v>
      </c>
      <c r="AN186" s="2" t="n">
        <v>35.7</v>
      </c>
      <c r="AO186" s="2" t="n">
        <v>2803.3</v>
      </c>
      <c r="AP186" s="2" t="n">
        <v>157.8</v>
      </c>
      <c r="AQ186" s="2" t="n">
        <v>204.2</v>
      </c>
      <c r="AR186" s="2" t="n">
        <v>39.9</v>
      </c>
      <c r="AS186" s="2" t="n">
        <v>184.1</v>
      </c>
      <c r="AT186" s="2" t="n">
        <v>97.3</v>
      </c>
      <c r="AU186" s="2" t="n">
        <v>109.2</v>
      </c>
      <c r="AV186" s="2" t="n">
        <v>45.8</v>
      </c>
      <c r="AW186" s="2" t="n">
        <v>18.3</v>
      </c>
      <c r="AX186" s="2" t="n">
        <v>11.7</v>
      </c>
      <c r="AY186" s="2" t="inlineStr">
        <is>
          <t>NA</t>
        </is>
      </c>
      <c r="AZ186" s="2" t="inlineStr">
        <is>
          <t>NA</t>
        </is>
      </c>
      <c r="BA186" s="2" t="inlineStr">
        <is>
          <t>NA</t>
        </is>
      </c>
      <c r="BB186" s="2" t="inlineStr">
        <is>
          <t>NA</t>
        </is>
      </c>
      <c r="BD186" s="2" t="n">
        <v>120.4</v>
      </c>
      <c r="BE186" s="2" t="n">
        <v>43</v>
      </c>
      <c r="BH186" s="2" t="n">
        <v>334.3</v>
      </c>
      <c r="BK186" s="2" t="n">
        <v>248.2</v>
      </c>
      <c r="BL186" s="2" t="n">
        <v>4</v>
      </c>
      <c r="BM186" s="2" t="n">
        <v>586.5</v>
      </c>
      <c r="BN186" s="2" t="n">
        <v>300.5</v>
      </c>
      <c r="BQ186" s="2" t="n">
        <v>100.7</v>
      </c>
      <c r="BR186" s="2" t="n">
        <v>9.300000000000001</v>
      </c>
      <c r="BS186" s="2" t="n">
        <v>410.5</v>
      </c>
      <c r="BT186" s="2" t="inlineStr">
        <is>
          <t>NA</t>
        </is>
      </c>
      <c r="BU186" s="2" t="n">
        <v>50.3</v>
      </c>
      <c r="BV186" s="2" t="n">
        <v>408.4</v>
      </c>
      <c r="BW186" s="2" t="n">
        <v>106.4</v>
      </c>
      <c r="BX186" s="2" t="n">
        <v>517.5</v>
      </c>
      <c r="BY186" s="2" t="n">
        <v>39.5</v>
      </c>
      <c r="BZ186" s="2" t="n">
        <v>10.7</v>
      </c>
      <c r="CA186" s="2" t="n">
        <v>50.2</v>
      </c>
      <c r="CF186" s="2" t="n">
        <v>108.3</v>
      </c>
      <c r="CG186" s="2" t="n">
        <v>107.6</v>
      </c>
      <c r="CH186" s="2" t="n">
        <v>15.4</v>
      </c>
      <c r="CN186" s="2" t="n">
        <v>50.6</v>
      </c>
      <c r="CO186" s="2" t="n">
        <v>173.6</v>
      </c>
      <c r="CP186" s="2" t="n">
        <v>112.6</v>
      </c>
      <c r="CQ186" s="2" t="n">
        <v>61</v>
      </c>
      <c r="CR186" s="2" t="inlineStr">
        <is>
          <t>NA</t>
        </is>
      </c>
      <c r="CS186" s="2" t="n">
        <v>39</v>
      </c>
      <c r="CT186" s="2" t="n">
        <v>22.7</v>
      </c>
      <c r="CU186" s="2" t="n">
        <v>16.3</v>
      </c>
      <c r="CV186" s="2" t="n">
        <v>33.9</v>
      </c>
      <c r="CW186" s="2" t="n">
        <v>12.9</v>
      </c>
      <c r="CX186" s="2" t="n">
        <v>21</v>
      </c>
      <c r="CY186" s="2" t="n">
        <v>14.2</v>
      </c>
      <c r="CZ186" s="2" t="n">
        <v>66.90000000000001</v>
      </c>
      <c r="DA186" s="2" t="n">
        <v>48.7</v>
      </c>
      <c r="DB186" s="2" t="n">
        <v>47.3</v>
      </c>
      <c r="DC186" s="2" t="n">
        <v>1.4</v>
      </c>
      <c r="DG186" s="2" t="n">
        <v>129.518</v>
      </c>
      <c r="DI186" s="2" t="n">
        <v>700.739</v>
      </c>
      <c r="DJ186" s="2" t="n">
        <v>217.678</v>
      </c>
      <c r="DL186" s="2" t="n">
        <v>151.473</v>
      </c>
      <c r="DM186" s="2" t="n">
        <v>238.157</v>
      </c>
      <c r="DO186" s="2" t="n">
        <v>235.029</v>
      </c>
      <c r="DP186" s="2" t="n">
        <v>278.944</v>
      </c>
      <c r="DS186" s="2" t="n">
        <v>944.894</v>
      </c>
      <c r="DT186" s="2" t="n">
        <v>3805.075</v>
      </c>
      <c r="DU186" s="2" t="n">
        <v>-1038.161</v>
      </c>
      <c r="DV186" s="2" t="n">
        <v>-14.72500000000036</v>
      </c>
      <c r="GY186" s="2" t="n">
        <v>0.9666377398515091</v>
      </c>
      <c r="GZ186" s="2" t="n">
        <v>1002.5</v>
      </c>
      <c r="HA186" s="2" t="n">
        <v>1037.1</v>
      </c>
      <c r="HF186" s="2" t="n">
        <v>993.4</v>
      </c>
      <c r="HG186" s="2" t="n">
        <v>966.9</v>
      </c>
      <c r="HH186" s="2" t="n">
        <v>356.8</v>
      </c>
      <c r="HI186" s="2" t="n">
        <v>131.6</v>
      </c>
      <c r="HJ186" s="2" t="n">
        <v>461.4</v>
      </c>
      <c r="HK186" s="2" t="n">
        <v>17.1</v>
      </c>
      <c r="HL186" s="2" t="n">
        <v>26.5</v>
      </c>
      <c r="HP186" s="2" t="e">
        <v>#VALUE!</v>
      </c>
      <c r="HQ186" s="2" t="n">
        <v>4.5</v>
      </c>
      <c r="HR186" s="2" t="n">
        <v>9.9</v>
      </c>
      <c r="HS186" s="2" t="e">
        <v>#VALUE!</v>
      </c>
      <c r="HT186" s="2" t="n">
        <v>10.3</v>
      </c>
      <c r="HW186" s="2" t="n">
        <v>255</v>
      </c>
      <c r="HX186" s="2" t="e">
        <v>#VALUE!</v>
      </c>
      <c r="HY186" s="2" t="n">
        <v>255</v>
      </c>
      <c r="HZ186" s="2" t="n">
        <v>51.7</v>
      </c>
      <c r="IA186" s="2" t="n">
        <v>169.4</v>
      </c>
      <c r="IB186" s="2" t="e">
        <v>#VALUE!</v>
      </c>
      <c r="IC186" s="2" t="e">
        <v>#VALUE!</v>
      </c>
      <c r="ID186" s="2" t="e">
        <v>#VALUE!</v>
      </c>
      <c r="IE186" s="2" t="e">
        <v>#VALUE!</v>
      </c>
      <c r="IF186" s="2" t="e">
        <v>#VALUE!</v>
      </c>
      <c r="IG186" s="2" t="n">
        <v>22.2</v>
      </c>
      <c r="IN186" s="2" t="n">
        <v>104.2</v>
      </c>
      <c r="IO186" s="2" t="n">
        <v>107.7</v>
      </c>
      <c r="IP186" s="2" t="e">
        <v>#VALUE!</v>
      </c>
      <c r="IQ186" s="2" t="n">
        <v>42.5</v>
      </c>
      <c r="IR186" s="2" t="n">
        <v>16.9</v>
      </c>
      <c r="IS186" s="2" t="e">
        <v>#VALUE!</v>
      </c>
      <c r="IT186" s="2" t="n">
        <v>20.6</v>
      </c>
      <c r="IU186" s="2" t="e">
        <v>#VALUE!</v>
      </c>
      <c r="IV186" s="2" t="e">
        <v>#VALUE!</v>
      </c>
      <c r="IY186" s="2" t="n">
        <v>47.24069323001204</v>
      </c>
      <c r="IZ186" s="2" t="n">
        <v>-0.03930676998795946</v>
      </c>
      <c r="JB186" s="2" t="n">
        <v>10.99219854442641</v>
      </c>
      <c r="JC186" s="2" t="n">
        <v>-0.04780145557359106</v>
      </c>
      <c r="JE186" s="2" t="n">
        <v>1116.8</v>
      </c>
      <c r="JF186" s="2" t="n">
        <v>0.4348352435530086</v>
      </c>
    </row>
    <row r="187">
      <c r="A187" s="1" t="n">
        <v>34731</v>
      </c>
      <c r="B187" s="2" t="n">
        <v>3495.3</v>
      </c>
      <c r="C187" s="2" t="n">
        <v>3429.6</v>
      </c>
      <c r="D187" s="2" t="n">
        <v>360.5</v>
      </c>
      <c r="E187" s="2" t="n">
        <v>2197.8</v>
      </c>
      <c r="F187" s="2" t="n">
        <v>33.9</v>
      </c>
      <c r="G187" s="2" t="inlineStr">
        <is>
          <t>NA</t>
        </is>
      </c>
      <c r="H187" s="2" t="inlineStr">
        <is>
          <t>NA</t>
        </is>
      </c>
      <c r="I187" s="2" t="inlineStr">
        <is>
          <t>NA</t>
        </is>
      </c>
      <c r="J187" s="2" t="inlineStr">
        <is>
          <t>NA</t>
        </is>
      </c>
      <c r="K187" s="2" t="n">
        <v>1288.6</v>
      </c>
      <c r="L187" s="2" t="n">
        <v>1128.8</v>
      </c>
      <c r="M187" s="2" t="n">
        <v>876.7</v>
      </c>
      <c r="N187" s="2" t="n">
        <v>252.1</v>
      </c>
      <c r="O187" s="2" t="n">
        <v>115.6</v>
      </c>
      <c r="P187" s="2" t="n">
        <v>150.5</v>
      </c>
      <c r="Q187" s="2" t="n">
        <v>46</v>
      </c>
      <c r="R187" s="2" t="n">
        <v>104.5</v>
      </c>
      <c r="T187" s="2" t="n">
        <v>28.6</v>
      </c>
      <c r="U187" s="2" t="n">
        <v>16.2</v>
      </c>
      <c r="V187" s="2" t="n">
        <v>12.8</v>
      </c>
      <c r="W187" s="2" t="n">
        <v>3.4</v>
      </c>
      <c r="X187" s="2" t="inlineStr">
        <is>
          <t>NA</t>
        </is>
      </c>
      <c r="Y187" s="2" t="inlineStr">
        <is>
          <t>NA</t>
        </is>
      </c>
      <c r="Z187" s="2" t="n">
        <v>148.1</v>
      </c>
      <c r="AA187" s="2" t="n">
        <v>143.4</v>
      </c>
      <c r="AB187" s="2" t="n">
        <v>4.7</v>
      </c>
      <c r="AC187" s="2" t="inlineStr">
        <is>
          <t>NA</t>
        </is>
      </c>
      <c r="AD187" s="2" t="n">
        <v>13.2</v>
      </c>
      <c r="AF187" s="2" t="n">
        <v>63.1</v>
      </c>
      <c r="AG187" s="2" t="n">
        <v>45.6</v>
      </c>
      <c r="AH187" s="2" t="n">
        <v>17.5</v>
      </c>
      <c r="AI187" s="2" t="n">
        <v>165.3</v>
      </c>
      <c r="AL187" s="2" t="n">
        <v>105.5</v>
      </c>
      <c r="AM187" s="2" t="n">
        <v>65.7</v>
      </c>
      <c r="AN187" s="2" t="n">
        <v>39.8</v>
      </c>
      <c r="AO187" s="2" t="n">
        <v>2572.7</v>
      </c>
      <c r="AP187" s="2" t="n">
        <v>182.9</v>
      </c>
      <c r="AQ187" s="2" t="n">
        <v>186.3</v>
      </c>
      <c r="AR187" s="2" t="n">
        <v>44.2</v>
      </c>
      <c r="AS187" s="2" t="n">
        <v>162.2</v>
      </c>
      <c r="AT187" s="2" t="n">
        <v>99.2</v>
      </c>
      <c r="AU187" s="2" t="n">
        <v>100.1</v>
      </c>
      <c r="AV187" s="2" t="n">
        <v>46.2</v>
      </c>
      <c r="AW187" s="2" t="n">
        <v>17.9</v>
      </c>
      <c r="AX187" s="2" t="inlineStr">
        <is>
          <t>NA</t>
        </is>
      </c>
      <c r="AY187" s="2" t="inlineStr">
        <is>
          <t>NA</t>
        </is>
      </c>
      <c r="AZ187" s="2" t="inlineStr">
        <is>
          <t>NA</t>
        </is>
      </c>
      <c r="BA187" s="2" t="inlineStr">
        <is>
          <t>NA</t>
        </is>
      </c>
      <c r="BB187" s="2" t="inlineStr">
        <is>
          <t>NA</t>
        </is>
      </c>
      <c r="BD187" s="2" t="n">
        <v>118.9</v>
      </c>
      <c r="BE187" s="2" t="n">
        <v>45.3</v>
      </c>
      <c r="BH187" s="2" t="n">
        <v>295.8</v>
      </c>
      <c r="BK187" s="2" t="n">
        <v>221.8</v>
      </c>
      <c r="BL187" s="2" t="n">
        <v>3</v>
      </c>
      <c r="BM187" s="2" t="n">
        <v>520.6</v>
      </c>
      <c r="BN187" s="2" t="n">
        <v>294.4</v>
      </c>
      <c r="BQ187" s="2" t="n">
        <v>114.5</v>
      </c>
      <c r="BR187" s="2" t="n">
        <v>9.800000000000001</v>
      </c>
      <c r="BS187" s="2" t="n">
        <v>418.7</v>
      </c>
      <c r="BT187" s="2" t="inlineStr">
        <is>
          <t>NA</t>
        </is>
      </c>
      <c r="BU187" s="2" t="n">
        <v>46.4</v>
      </c>
      <c r="BV187" s="2" t="n">
        <v>352.3</v>
      </c>
      <c r="BW187" s="2" t="n">
        <v>96</v>
      </c>
      <c r="BX187" s="2" t="n">
        <v>451.6</v>
      </c>
      <c r="BY187" s="2" t="n">
        <v>39.3</v>
      </c>
      <c r="BZ187" s="2" t="n">
        <v>11.2</v>
      </c>
      <c r="CA187" s="2" t="n">
        <v>50.5</v>
      </c>
      <c r="CF187" s="2" t="n">
        <v>108.1</v>
      </c>
      <c r="CG187" s="2" t="n">
        <v>117.2</v>
      </c>
      <c r="CH187" s="2" t="n">
        <v>14.1</v>
      </c>
      <c r="CN187" s="2" t="n">
        <v>40.4</v>
      </c>
      <c r="CO187" s="2" t="n">
        <v>168.1</v>
      </c>
      <c r="CP187" s="2" t="n">
        <v>113.1</v>
      </c>
      <c r="CQ187" s="2" t="n">
        <v>55</v>
      </c>
      <c r="CR187" s="2" t="inlineStr">
        <is>
          <t>NA</t>
        </is>
      </c>
      <c r="CS187" s="2" t="n">
        <v>31.1</v>
      </c>
      <c r="CT187" s="2" t="n">
        <v>20</v>
      </c>
      <c r="CU187" s="2" t="n">
        <v>11.1</v>
      </c>
      <c r="CV187" s="2" t="n">
        <v>31.2</v>
      </c>
      <c r="CW187" s="2" t="n">
        <v>9.5</v>
      </c>
      <c r="CX187" s="2" t="n">
        <v>21.7</v>
      </c>
      <c r="CY187" s="2" t="n">
        <v>10.2</v>
      </c>
      <c r="CZ187" s="2" t="n">
        <v>77</v>
      </c>
      <c r="DA187" s="2" t="n">
        <v>51.7</v>
      </c>
      <c r="DB187" s="2" t="n">
        <v>50.8</v>
      </c>
      <c r="DC187" s="2" t="n">
        <v>0.9</v>
      </c>
      <c r="DG187" s="2" t="n">
        <v>118.364</v>
      </c>
      <c r="DI187" s="2" t="n">
        <v>662.217</v>
      </c>
      <c r="DJ187" s="2" t="n">
        <v>200.404</v>
      </c>
      <c r="DL187" s="2" t="n">
        <v>154.488</v>
      </c>
      <c r="DM187" s="2" t="n">
        <v>229.806</v>
      </c>
      <c r="DO187" s="2" t="n">
        <v>209.307</v>
      </c>
      <c r="DP187" s="2" t="n">
        <v>252.564</v>
      </c>
      <c r="DS187" s="2" t="n">
        <v>855.7380000000001</v>
      </c>
      <c r="DT187" s="2" t="n">
        <v>3495.314</v>
      </c>
      <c r="DU187" s="2" t="n">
        <v>-930.7899999999995</v>
      </c>
      <c r="DV187" s="2" t="n">
        <v>0.01399999999966894</v>
      </c>
      <c r="GY187" s="2" t="n">
        <v>0.967329403536817</v>
      </c>
      <c r="GZ187" s="2" t="n">
        <v>968.2</v>
      </c>
      <c r="HA187" s="2" t="n">
        <v>1000.9</v>
      </c>
      <c r="HF187" s="2" t="n">
        <v>952.2</v>
      </c>
      <c r="HG187" s="2" t="n">
        <v>925.7</v>
      </c>
      <c r="HH187" s="2" t="n">
        <v>342.1</v>
      </c>
      <c r="HI187" s="2" t="n">
        <v>125.9</v>
      </c>
      <c r="HJ187" s="2" t="n">
        <v>439.6</v>
      </c>
      <c r="HK187" s="2" t="n">
        <v>18.1</v>
      </c>
      <c r="HL187" s="2" t="n">
        <v>26.5</v>
      </c>
      <c r="HP187" s="2" t="e">
        <v>#VALUE!</v>
      </c>
      <c r="HQ187" s="2" t="n">
        <v>4.6</v>
      </c>
      <c r="HR187" s="2" t="n">
        <v>9.1</v>
      </c>
      <c r="HS187" s="2" t="e">
        <v>#VALUE!</v>
      </c>
      <c r="HT187" s="2" t="n">
        <v>10.8</v>
      </c>
      <c r="HW187" s="2" t="n">
        <v>258.5</v>
      </c>
      <c r="HX187" s="2" t="e">
        <v>#VALUE!</v>
      </c>
      <c r="HY187" s="2" t="n">
        <v>258.5</v>
      </c>
      <c r="HZ187" s="2" t="n">
        <v>58.1</v>
      </c>
      <c r="IA187" s="2" t="n">
        <v>167.9</v>
      </c>
      <c r="IB187" s="2" t="e">
        <v>#VALUE!</v>
      </c>
      <c r="IC187" s="2" t="e">
        <v>#VALUE!</v>
      </c>
      <c r="ID187" s="2" t="e">
        <v>#VALUE!</v>
      </c>
      <c r="IE187" s="2" t="e">
        <v>#VALUE!</v>
      </c>
      <c r="IF187" s="2" t="e">
        <v>#VALUE!</v>
      </c>
      <c r="IG187" s="2" t="n">
        <v>20.5</v>
      </c>
      <c r="IN187" s="2" t="n">
        <v>84.40000000000001</v>
      </c>
      <c r="IO187" s="2" t="n">
        <v>87.09999999999999</v>
      </c>
      <c r="IP187" s="2" t="e">
        <v>#VALUE!</v>
      </c>
      <c r="IQ187" s="2" t="n">
        <v>38.9</v>
      </c>
      <c r="IR187" s="2" t="n">
        <v>15.3</v>
      </c>
      <c r="IS187" s="2" t="e">
        <v>#VALUE!</v>
      </c>
      <c r="IT187" s="2" t="n">
        <v>18.7</v>
      </c>
      <c r="IU187" s="2" t="e">
        <v>#VALUE!</v>
      </c>
      <c r="IV187" s="2" t="e">
        <v>#VALUE!</v>
      </c>
      <c r="IY187" s="2" t="n">
        <v>47.36074156724744</v>
      </c>
      <c r="IZ187" s="2" t="n">
        <v>0.0007415672474451185</v>
      </c>
      <c r="JB187" s="2" t="n">
        <v>11.05999485022745</v>
      </c>
      <c r="JC187" s="2" t="n">
        <v>-0.05000514977255222</v>
      </c>
      <c r="JE187" s="2" t="n">
        <v>1128.8</v>
      </c>
      <c r="JF187" s="2" t="n">
        <v>0.4213536498936925</v>
      </c>
    </row>
    <row r="188">
      <c r="A188" s="1" t="n">
        <v>34759</v>
      </c>
      <c r="B188" s="2" t="n">
        <v>3841.7</v>
      </c>
      <c r="C188" s="2" t="n">
        <v>3378.1</v>
      </c>
      <c r="D188" s="2" t="n">
        <v>391</v>
      </c>
      <c r="E188" s="2" t="n">
        <v>1865.9</v>
      </c>
      <c r="F188" s="2" t="n">
        <v>50.5</v>
      </c>
      <c r="G188" s="2" t="inlineStr">
        <is>
          <t>NA</t>
        </is>
      </c>
      <c r="H188" s="2" t="inlineStr">
        <is>
          <t>NA</t>
        </is>
      </c>
      <c r="I188" s="2" t="inlineStr">
        <is>
          <t>NA</t>
        </is>
      </c>
      <c r="J188" s="2" t="inlineStr">
        <is>
          <t>NA</t>
        </is>
      </c>
      <c r="K188" s="2" t="n">
        <v>1419.4</v>
      </c>
      <c r="L188" s="2" t="n">
        <v>1059.5</v>
      </c>
      <c r="M188" s="2" t="n">
        <v>838.3</v>
      </c>
      <c r="N188" s="2" t="n">
        <v>221.2</v>
      </c>
      <c r="O188" s="2" t="n">
        <v>125.2</v>
      </c>
      <c r="P188" s="2" t="n">
        <v>129.9</v>
      </c>
      <c r="Q188" s="2" t="n">
        <v>44.8</v>
      </c>
      <c r="R188" s="2" t="n">
        <v>85.09999999999999</v>
      </c>
      <c r="T188" s="2" t="n">
        <v>42.7</v>
      </c>
      <c r="U188" s="2" t="n">
        <v>18.5</v>
      </c>
      <c r="V188" s="2" t="n">
        <v>13.5</v>
      </c>
      <c r="W188" s="2" t="n">
        <v>5</v>
      </c>
      <c r="X188" s="2" t="inlineStr">
        <is>
          <t>NA</t>
        </is>
      </c>
      <c r="Y188" s="2" t="inlineStr">
        <is>
          <t>NA</t>
        </is>
      </c>
      <c r="Z188" s="2" t="n">
        <v>94</v>
      </c>
      <c r="AA188" s="2" t="n">
        <v>89.59999999999999</v>
      </c>
      <c r="AB188" s="2" t="n">
        <v>4.4</v>
      </c>
      <c r="AC188" s="2" t="inlineStr">
        <is>
          <t>NA</t>
        </is>
      </c>
      <c r="AD188" s="2" t="n">
        <v>11.8</v>
      </c>
      <c r="AF188" s="2" t="n">
        <v>59.5</v>
      </c>
      <c r="AG188" s="2" t="n">
        <v>39</v>
      </c>
      <c r="AH188" s="2" t="n">
        <v>20.5</v>
      </c>
      <c r="AI188" s="2" t="n">
        <v>231.7</v>
      </c>
      <c r="AL188" s="2" t="n">
        <v>154</v>
      </c>
      <c r="AM188" s="2" t="n">
        <v>106.9</v>
      </c>
      <c r="AN188" s="2" t="n">
        <v>47.1</v>
      </c>
      <c r="AO188" s="2" t="n">
        <v>2844.9</v>
      </c>
      <c r="AP188" s="2" t="n">
        <v>129.3</v>
      </c>
      <c r="AQ188" s="2" t="n">
        <v>203.6</v>
      </c>
      <c r="AR188" s="2" t="n">
        <v>43.8</v>
      </c>
      <c r="AS188" s="2" t="n">
        <v>174.3</v>
      </c>
      <c r="AT188" s="2" t="n">
        <v>82.8</v>
      </c>
      <c r="AU188" s="2" t="n">
        <v>110.7</v>
      </c>
      <c r="AV188" s="2" t="n">
        <v>42.7</v>
      </c>
      <c r="AW188" s="2" t="n">
        <v>27.5</v>
      </c>
      <c r="AX188" s="2" t="n">
        <v>10.4</v>
      </c>
      <c r="AY188" s="2" t="inlineStr">
        <is>
          <t>NA</t>
        </is>
      </c>
      <c r="AZ188" s="2" t="inlineStr">
        <is>
          <t>NA</t>
        </is>
      </c>
      <c r="BA188" s="2" t="inlineStr">
        <is>
          <t>NA</t>
        </is>
      </c>
      <c r="BB188" s="2" t="inlineStr">
        <is>
          <t>NA</t>
        </is>
      </c>
      <c r="BD188" s="2" t="n">
        <v>130</v>
      </c>
      <c r="BE188" s="2" t="n">
        <v>45.4</v>
      </c>
      <c r="BH188" s="2" t="n">
        <v>327.9</v>
      </c>
      <c r="BK188" s="2" t="n">
        <v>262.6</v>
      </c>
      <c r="BL188" s="2" t="n">
        <v>3.8</v>
      </c>
      <c r="BM188" s="2" t="n">
        <v>594.3</v>
      </c>
      <c r="BN188" s="2" t="n">
        <v>285.2</v>
      </c>
      <c r="BQ188" s="2" t="n">
        <v>129.1</v>
      </c>
      <c r="BR188" s="2" t="n">
        <v>10.3</v>
      </c>
      <c r="BS188" s="2" t="n">
        <v>424.6</v>
      </c>
      <c r="BT188" s="2" t="inlineStr">
        <is>
          <t>NA</t>
        </is>
      </c>
      <c r="BU188" s="2" t="n">
        <v>43</v>
      </c>
      <c r="BV188" s="2" t="n">
        <v>405.6</v>
      </c>
      <c r="BW188" s="2" t="n">
        <v>108.1</v>
      </c>
      <c r="BX188" s="2" t="n">
        <v>517.3</v>
      </c>
      <c r="BY188" s="2" t="n">
        <v>41.1</v>
      </c>
      <c r="BZ188" s="2" t="n">
        <v>12</v>
      </c>
      <c r="CA188" s="2" t="n">
        <v>53.1</v>
      </c>
      <c r="CF188" s="2" t="n">
        <v>123</v>
      </c>
      <c r="CG188" s="2" t="n">
        <v>123.4</v>
      </c>
      <c r="CH188" s="2" t="n">
        <v>11.7</v>
      </c>
      <c r="CN188" s="2" t="n">
        <v>51.7</v>
      </c>
      <c r="CO188" s="2" t="n">
        <v>163.7</v>
      </c>
      <c r="CP188" s="2" t="n">
        <v>108.7</v>
      </c>
      <c r="CQ188" s="2" t="n">
        <v>55</v>
      </c>
      <c r="CR188" s="2" t="inlineStr">
        <is>
          <t>NA</t>
        </is>
      </c>
      <c r="CS188" s="2" t="n">
        <v>35.59999999999999</v>
      </c>
      <c r="CT188" s="2" t="n">
        <v>21.9</v>
      </c>
      <c r="CU188" s="2" t="n">
        <v>13.7</v>
      </c>
      <c r="CV188" s="2" t="n">
        <v>37.8</v>
      </c>
      <c r="CW188" s="2" t="n">
        <v>17</v>
      </c>
      <c r="CX188" s="2" t="n">
        <v>20.8</v>
      </c>
      <c r="CY188" s="2" t="n">
        <v>10.6</v>
      </c>
      <c r="CZ188" s="2" t="n">
        <v>71.59999999999999</v>
      </c>
      <c r="DA188" s="2" t="n">
        <v>52.2</v>
      </c>
      <c r="DB188" s="2" t="n">
        <v>51.5</v>
      </c>
      <c r="DC188" s="2" t="n">
        <v>0.7</v>
      </c>
      <c r="DG188" s="2" t="n">
        <v>134.313</v>
      </c>
      <c r="DI188" s="2" t="n">
        <v>705.288</v>
      </c>
      <c r="DJ188" s="2" t="n">
        <v>228.554</v>
      </c>
      <c r="DL188" s="2" t="n">
        <v>169.925</v>
      </c>
      <c r="DM188" s="2" t="n">
        <v>260.634</v>
      </c>
      <c r="DO188" s="2" t="n">
        <v>218.309</v>
      </c>
      <c r="DP188" s="2" t="n">
        <v>279.146</v>
      </c>
      <c r="DS188" s="2" t="n">
        <v>968.247</v>
      </c>
      <c r="DT188" s="2" t="n">
        <v>3841.641</v>
      </c>
      <c r="DU188" s="2" t="n">
        <v>-1011.538</v>
      </c>
      <c r="DV188" s="2" t="n">
        <v>-0.0589999999997417</v>
      </c>
      <c r="GY188" s="2" t="n">
        <v>0.9685820963482379</v>
      </c>
      <c r="GZ188" s="2" t="n">
        <v>1063.6</v>
      </c>
      <c r="HA188" s="2" t="n">
        <v>1098.1</v>
      </c>
      <c r="HF188" s="2" t="n">
        <v>1094.7</v>
      </c>
      <c r="HG188" s="2" t="n">
        <v>1064.8</v>
      </c>
      <c r="HH188" s="2" t="n">
        <v>401.1</v>
      </c>
      <c r="HI188" s="2" t="n">
        <v>149.4</v>
      </c>
      <c r="HJ188" s="2" t="n">
        <v>496</v>
      </c>
      <c r="HK188" s="2" t="n">
        <v>18.3</v>
      </c>
      <c r="HL188" s="2" t="n">
        <v>29.9</v>
      </c>
      <c r="HP188" s="2" t="e">
        <v>#VALUE!</v>
      </c>
      <c r="HQ188" s="2" t="n">
        <v>5.2</v>
      </c>
      <c r="HR188" s="2" t="n">
        <v>12.1</v>
      </c>
      <c r="HS188" s="2" t="e">
        <v>#VALUE!</v>
      </c>
      <c r="HT188" s="2" t="n">
        <v>10.3</v>
      </c>
      <c r="HW188" s="2" t="n">
        <v>269.2</v>
      </c>
      <c r="HX188" s="2" t="e">
        <v>#VALUE!</v>
      </c>
      <c r="HY188" s="2" t="n">
        <v>269.2</v>
      </c>
      <c r="HZ188" s="2" t="n">
        <v>52.7</v>
      </c>
      <c r="IA188" s="2" t="n">
        <v>175.1</v>
      </c>
      <c r="IB188" s="2" t="e">
        <v>#VALUE!</v>
      </c>
      <c r="IC188" s="2" t="e">
        <v>#VALUE!</v>
      </c>
      <c r="ID188" s="2" t="e">
        <v>#VALUE!</v>
      </c>
      <c r="IE188" s="2" t="e">
        <v>#VALUE!</v>
      </c>
      <c r="IF188" s="2" t="n">
        <v>8.199999999999999</v>
      </c>
      <c r="IG188" s="2" t="n">
        <v>27.9</v>
      </c>
      <c r="IN188" s="2" t="n">
        <v>92.59999999999999</v>
      </c>
      <c r="IO188" s="2" t="n">
        <v>96.2</v>
      </c>
      <c r="IP188" s="2" t="e">
        <v>#VALUE!</v>
      </c>
      <c r="IQ188" s="2" t="n">
        <v>47.9</v>
      </c>
      <c r="IR188" s="2" t="n">
        <v>19.1</v>
      </c>
      <c r="IS188" s="2" t="e">
        <v>#VALUE!</v>
      </c>
      <c r="IT188" s="2" t="n">
        <v>25.3</v>
      </c>
      <c r="IU188" s="2" t="e">
        <v>#VALUE!</v>
      </c>
      <c r="IV188" s="2" t="e">
        <v>#VALUE!</v>
      </c>
      <c r="IY188" s="2" t="n">
        <v>47.61173438842179</v>
      </c>
      <c r="IZ188" s="2" t="n">
        <v>0.2117343884217888</v>
      </c>
      <c r="JB188" s="2" t="n">
        <v>11.08415545201343</v>
      </c>
      <c r="JC188" s="2" t="n">
        <v>-0.05584454798656857</v>
      </c>
      <c r="JE188" s="2" t="n">
        <v>1059.5</v>
      </c>
      <c r="JF188" s="2" t="n">
        <v>0.4018867390278433</v>
      </c>
    </row>
    <row r="189">
      <c r="A189" s="1" t="n">
        <v>34790</v>
      </c>
      <c r="B189" s="2" t="n">
        <v>3583</v>
      </c>
      <c r="C189" s="2" t="n">
        <v>2822.5</v>
      </c>
      <c r="D189" s="2" t="n">
        <v>345.4</v>
      </c>
      <c r="E189" s="2" t="n">
        <v>1523.8</v>
      </c>
      <c r="F189" s="2" t="n">
        <v>42.9</v>
      </c>
      <c r="G189" s="2" t="inlineStr">
        <is>
          <t>NA</t>
        </is>
      </c>
      <c r="H189" s="2" t="inlineStr">
        <is>
          <t>NA</t>
        </is>
      </c>
      <c r="I189" s="2" t="inlineStr">
        <is>
          <t>NA</t>
        </is>
      </c>
      <c r="J189" s="2" t="inlineStr">
        <is>
          <t>NA</t>
        </is>
      </c>
      <c r="K189" s="2" t="n">
        <v>1333.4</v>
      </c>
      <c r="L189" s="2" t="n">
        <v>1089.6</v>
      </c>
      <c r="M189" s="2" t="n">
        <v>860.5</v>
      </c>
      <c r="N189" s="2" t="n">
        <v>229.1</v>
      </c>
      <c r="O189" s="2" t="n">
        <v>110.4</v>
      </c>
      <c r="P189" s="2" t="n">
        <v>120.8</v>
      </c>
      <c r="Q189" s="2" t="n">
        <v>42.1</v>
      </c>
      <c r="R189" s="2" t="n">
        <v>78.7</v>
      </c>
      <c r="T189" s="2" t="n">
        <v>36.9</v>
      </c>
      <c r="U189" s="2" t="n">
        <v>29.8</v>
      </c>
      <c r="V189" s="2" t="n">
        <v>25.2</v>
      </c>
      <c r="W189" s="2" t="n">
        <v>4.6</v>
      </c>
      <c r="X189" s="2" t="inlineStr">
        <is>
          <t>NA</t>
        </is>
      </c>
      <c r="Y189" s="2" t="inlineStr">
        <is>
          <t>NA</t>
        </is>
      </c>
      <c r="Z189" s="2" t="n">
        <v>46.7</v>
      </c>
      <c r="AA189" s="2" t="n">
        <v>42.9</v>
      </c>
      <c r="AB189" s="2" t="n">
        <v>3.8</v>
      </c>
      <c r="AC189" s="2" t="inlineStr">
        <is>
          <t>NA</t>
        </is>
      </c>
      <c r="AD189" s="2" t="n">
        <v>8.4</v>
      </c>
      <c r="AF189" s="2" t="n">
        <v>63.2</v>
      </c>
      <c r="AG189" s="2" t="n">
        <v>42.9</v>
      </c>
      <c r="AH189" s="2" t="n">
        <v>20.3</v>
      </c>
      <c r="AI189" s="2" t="n">
        <v>190.7</v>
      </c>
      <c r="AL189" s="2" t="n">
        <v>145.3</v>
      </c>
      <c r="AM189" s="2" t="n">
        <v>106.2</v>
      </c>
      <c r="AN189" s="2" t="n">
        <v>39.1</v>
      </c>
      <c r="AO189" s="2" t="n">
        <v>2632.5</v>
      </c>
      <c r="AP189" s="2" t="n">
        <v>325.8</v>
      </c>
      <c r="AQ189" s="2" t="n">
        <v>197.3</v>
      </c>
      <c r="AR189" s="2" t="n">
        <v>56.9</v>
      </c>
      <c r="AS189" s="2" t="n">
        <v>154.2</v>
      </c>
      <c r="AT189" s="2" t="n">
        <v>108.9</v>
      </c>
      <c r="AU189" s="2" t="n">
        <v>94.59999999999999</v>
      </c>
      <c r="AV189" s="2" t="n">
        <v>55.6</v>
      </c>
      <c r="AW189" s="2" t="n">
        <v>23.6</v>
      </c>
      <c r="AX189" s="2" t="n">
        <v>10</v>
      </c>
      <c r="AY189" s="2" t="inlineStr">
        <is>
          <t>NA</t>
        </is>
      </c>
      <c r="AZ189" s="2" t="inlineStr">
        <is>
          <t>NA</t>
        </is>
      </c>
      <c r="BA189" s="2" t="inlineStr">
        <is>
          <t>NA</t>
        </is>
      </c>
      <c r="BB189" s="2" t="inlineStr">
        <is>
          <t>NA</t>
        </is>
      </c>
      <c r="BD189" s="2" t="n">
        <v>114.1</v>
      </c>
      <c r="BE189" s="2" t="n">
        <v>45.1</v>
      </c>
      <c r="BH189" s="2" t="n">
        <v>292.8</v>
      </c>
      <c r="BK189" s="2" t="n">
        <v>230.9</v>
      </c>
      <c r="BL189" s="2" t="n">
        <v>3.6</v>
      </c>
      <c r="BM189" s="2" t="n">
        <v>527.3</v>
      </c>
      <c r="BN189" s="2" t="n">
        <v>291.8</v>
      </c>
      <c r="BQ189" s="2" t="n">
        <v>138.7</v>
      </c>
      <c r="BR189" s="2" t="n">
        <v>9.300000000000001</v>
      </c>
      <c r="BS189" s="2" t="n">
        <v>439.8</v>
      </c>
      <c r="BT189" s="2" t="inlineStr">
        <is>
          <t>NA</t>
        </is>
      </c>
      <c r="BU189" s="2" t="n">
        <v>36.8</v>
      </c>
      <c r="BV189" s="2" t="n">
        <v>346.5</v>
      </c>
      <c r="BW189" s="2" t="n">
        <v>94.2</v>
      </c>
      <c r="BX189" s="2" t="n">
        <v>445.5</v>
      </c>
      <c r="BY189" s="2" t="n">
        <v>46.9</v>
      </c>
      <c r="BZ189" s="2" t="n">
        <v>13.3</v>
      </c>
      <c r="CA189" s="2" t="n">
        <v>60.2</v>
      </c>
      <c r="CF189" s="2" t="n">
        <v>111.1</v>
      </c>
      <c r="CG189" s="2" t="n">
        <v>132.1</v>
      </c>
      <c r="CH189" s="2" t="n">
        <v>10.8</v>
      </c>
      <c r="CN189" s="2" t="n">
        <v>48.3</v>
      </c>
      <c r="CO189" s="2" t="n">
        <v>148.5</v>
      </c>
      <c r="CP189" s="2" t="n">
        <v>104.9</v>
      </c>
      <c r="CQ189" s="2" t="n">
        <v>43.6</v>
      </c>
      <c r="CR189" s="2" t="inlineStr">
        <is>
          <t>NA</t>
        </is>
      </c>
      <c r="CS189" s="2" t="n">
        <v>37.9</v>
      </c>
      <c r="CT189" s="2" t="n">
        <v>23.9</v>
      </c>
      <c r="CU189" s="2" t="n">
        <v>14</v>
      </c>
      <c r="CV189" s="2" t="n">
        <v>38.3</v>
      </c>
      <c r="CW189" s="2" t="n">
        <v>14.1</v>
      </c>
      <c r="CX189" s="2" t="n">
        <v>24.2</v>
      </c>
      <c r="CY189" s="2" t="inlineStr">
        <is>
          <t>NA</t>
        </is>
      </c>
      <c r="CZ189" s="2" t="n">
        <v>51.3</v>
      </c>
      <c r="DA189" s="2" t="n">
        <v>50</v>
      </c>
      <c r="DB189" s="2" t="n">
        <v>48.9</v>
      </c>
      <c r="DC189" s="2" t="n">
        <v>1.1</v>
      </c>
      <c r="DG189" s="2" t="n">
        <v>127.848</v>
      </c>
      <c r="DI189" s="2" t="n">
        <v>646.8440000000001</v>
      </c>
      <c r="DJ189" s="2" t="n">
        <v>212.656</v>
      </c>
      <c r="DL189" s="2" t="n">
        <v>160.549</v>
      </c>
      <c r="DM189" s="2" t="n">
        <v>242.067</v>
      </c>
      <c r="DO189" s="2" t="n">
        <v>214.122</v>
      </c>
      <c r="DP189" s="2" t="n">
        <v>262.265</v>
      </c>
      <c r="DS189" s="2" t="n">
        <v>899.684</v>
      </c>
      <c r="DT189" s="2" t="n">
        <v>3583.018</v>
      </c>
      <c r="DU189" s="2" t="n">
        <v>-944.8310000000001</v>
      </c>
      <c r="DV189" s="2" t="n">
        <v>0.0180000000000291</v>
      </c>
      <c r="GY189" s="2" t="n">
        <v>0.9648586707410236</v>
      </c>
      <c r="GZ189" s="2" t="n">
        <v>1010.4</v>
      </c>
      <c r="HA189" s="2" t="n">
        <v>1047.2</v>
      </c>
      <c r="HF189" s="2" t="n">
        <v>1008.2</v>
      </c>
      <c r="HG189" s="2" t="n">
        <v>980.2</v>
      </c>
      <c r="HH189" s="2" t="n">
        <v>356.5</v>
      </c>
      <c r="HI189" s="2" t="n">
        <v>126.4</v>
      </c>
      <c r="HJ189" s="2" t="n">
        <v>480.4</v>
      </c>
      <c r="HK189" s="2" t="n">
        <v>16.9</v>
      </c>
      <c r="HL189" s="2" t="n">
        <v>28</v>
      </c>
      <c r="HP189" s="2" t="e">
        <v>#VALUE!</v>
      </c>
      <c r="HQ189" s="2" t="n">
        <v>5.1</v>
      </c>
      <c r="HR189" s="2" t="n">
        <v>13.6</v>
      </c>
      <c r="HS189" s="2" t="e">
        <v>#VALUE!</v>
      </c>
      <c r="HT189" s="2" t="n">
        <v>6.5</v>
      </c>
      <c r="HW189" s="2" t="n">
        <v>260</v>
      </c>
      <c r="HX189" s="2" t="e">
        <v>#VALUE!</v>
      </c>
      <c r="HY189" s="2" t="n">
        <v>260</v>
      </c>
      <c r="HZ189" s="2" t="n">
        <v>60.3</v>
      </c>
      <c r="IA189" s="2" t="n">
        <v>170</v>
      </c>
      <c r="IB189" s="2" t="e">
        <v>#VALUE!</v>
      </c>
      <c r="IC189" s="2" t="e">
        <v>#VALUE!</v>
      </c>
      <c r="ID189" s="2" t="e">
        <v>#VALUE!</v>
      </c>
      <c r="IE189" s="2" t="e">
        <v>#VALUE!</v>
      </c>
      <c r="IF189" s="2" t="n">
        <v>7.3</v>
      </c>
      <c r="IG189" s="2" t="n">
        <v>18.4</v>
      </c>
      <c r="IN189" s="2" t="n">
        <v>84.2</v>
      </c>
      <c r="IO189" s="2" t="n">
        <v>87.2</v>
      </c>
      <c r="IP189" s="2" t="e">
        <v>#VALUE!</v>
      </c>
      <c r="IQ189" s="2" t="n">
        <v>43.8</v>
      </c>
      <c r="IR189" s="2" t="n">
        <v>16</v>
      </c>
      <c r="IS189" s="2" t="e">
        <v>#VALUE!</v>
      </c>
      <c r="IT189" s="2" t="n">
        <v>24</v>
      </c>
      <c r="IU189" s="2" t="e">
        <v>#VALUE!</v>
      </c>
      <c r="IV189" s="2" t="e">
        <v>#VALUE!</v>
      </c>
      <c r="IY189" s="2" t="n">
        <v>47.38710577728161</v>
      </c>
      <c r="IZ189" s="2" t="n">
        <v>0.5871057772816144</v>
      </c>
      <c r="JB189" s="2" t="n">
        <v>11.16438738487301</v>
      </c>
      <c r="JC189" s="2" t="n">
        <v>-0.04561261512698955</v>
      </c>
      <c r="JE189" s="2" t="n">
        <v>1089.6</v>
      </c>
      <c r="JF189" s="2" t="n">
        <v>0.4217676211453745</v>
      </c>
    </row>
    <row r="190">
      <c r="A190" s="1" t="n">
        <v>34820</v>
      </c>
      <c r="B190" s="2" t="n">
        <v>3425.2</v>
      </c>
      <c r="C190" s="2" t="n">
        <v>2434.7</v>
      </c>
      <c r="D190" s="2" t="n">
        <v>304</v>
      </c>
      <c r="E190" s="2" t="n">
        <v>1220.4</v>
      </c>
      <c r="F190" s="2" t="n">
        <v>47.1</v>
      </c>
      <c r="G190" s="2" t="inlineStr">
        <is>
          <t>NA</t>
        </is>
      </c>
      <c r="H190" s="2" t="inlineStr">
        <is>
          <t>NA</t>
        </is>
      </c>
      <c r="I190" s="2" t="inlineStr">
        <is>
          <t>NA</t>
        </is>
      </c>
      <c r="J190" s="2" t="inlineStr">
        <is>
          <t>NA</t>
        </is>
      </c>
      <c r="K190" s="2" t="n">
        <v>1275.3</v>
      </c>
      <c r="L190" s="2" t="n">
        <v>1130.4</v>
      </c>
      <c r="M190" s="2" t="n">
        <v>893.9</v>
      </c>
      <c r="N190" s="2" t="n">
        <v>236.5</v>
      </c>
      <c r="O190" s="2" t="n">
        <v>97.7</v>
      </c>
      <c r="P190" s="2" t="n">
        <v>95.69999999999999</v>
      </c>
      <c r="Q190" s="2" t="n">
        <v>28.9</v>
      </c>
      <c r="R190" s="2" t="n">
        <v>66.8</v>
      </c>
      <c r="T190" s="2" t="n">
        <v>39.2</v>
      </c>
      <c r="U190" s="2" t="n">
        <v>44.6</v>
      </c>
      <c r="V190" s="2" t="n">
        <v>41.2</v>
      </c>
      <c r="W190" s="2" t="n">
        <v>3.4</v>
      </c>
      <c r="X190" s="2" t="inlineStr">
        <is>
          <t>NA</t>
        </is>
      </c>
      <c r="Y190" s="2" t="n">
        <v>3.4</v>
      </c>
      <c r="Z190" s="2" t="n">
        <v>78.59999999999999</v>
      </c>
      <c r="AA190" s="2" t="n">
        <v>74.3</v>
      </c>
      <c r="AB190" s="2" t="n">
        <v>4.3</v>
      </c>
      <c r="AC190" s="2" t="inlineStr">
        <is>
          <t>NA</t>
        </is>
      </c>
      <c r="AD190" s="2" t="n">
        <v>13.3</v>
      </c>
      <c r="AF190" s="2" t="n">
        <v>44.90000000000001</v>
      </c>
      <c r="AG190" s="2" t="n">
        <v>24.3</v>
      </c>
      <c r="AH190" s="2" t="n">
        <v>20.6</v>
      </c>
      <c r="AI190" s="2" t="n">
        <v>194.4</v>
      </c>
      <c r="AL190" s="2" t="n">
        <v>196.4</v>
      </c>
      <c r="AM190" s="2" t="n">
        <v>128</v>
      </c>
      <c r="AN190" s="2" t="n">
        <v>68.40000000000001</v>
      </c>
      <c r="AO190" s="2" t="n">
        <v>2519.8</v>
      </c>
      <c r="AP190" s="2" t="n">
        <v>284.8</v>
      </c>
      <c r="AQ190" s="2" t="n">
        <v>178.1</v>
      </c>
      <c r="AR190" s="2" t="n">
        <v>52.8</v>
      </c>
      <c r="AS190" s="2" t="n">
        <v>137.4</v>
      </c>
      <c r="AT190" s="2" t="n">
        <v>91</v>
      </c>
      <c r="AU190" s="2" t="n">
        <v>81.40000000000001</v>
      </c>
      <c r="AV190" s="2" t="n">
        <v>41.2</v>
      </c>
      <c r="AW190" s="2" t="n">
        <v>26.6</v>
      </c>
      <c r="AX190" s="2" t="n">
        <v>9.6</v>
      </c>
      <c r="AY190" s="2" t="inlineStr">
        <is>
          <t>NA</t>
        </is>
      </c>
      <c r="AZ190" s="2" t="inlineStr">
        <is>
          <t>NA</t>
        </is>
      </c>
      <c r="BA190" s="2" t="inlineStr">
        <is>
          <t>NA</t>
        </is>
      </c>
      <c r="BB190" s="2" t="inlineStr">
        <is>
          <t>NA</t>
        </is>
      </c>
      <c r="BD190" s="2" t="n">
        <v>151.3</v>
      </c>
      <c r="BE190" s="2" t="n">
        <v>52.9</v>
      </c>
      <c r="BH190" s="2" t="n">
        <v>335.9</v>
      </c>
      <c r="BK190" s="2" t="n">
        <v>262.8</v>
      </c>
      <c r="BL190" s="2" t="n">
        <v>3.8</v>
      </c>
      <c r="BM190" s="2" t="n">
        <v>602.5</v>
      </c>
      <c r="BN190" s="2" t="n">
        <v>241.2</v>
      </c>
      <c r="BQ190" s="2" t="n">
        <v>113.9</v>
      </c>
      <c r="BR190" s="2" t="n">
        <v>9</v>
      </c>
      <c r="BS190" s="2" t="n">
        <v>364.1</v>
      </c>
      <c r="BT190" s="2" t="inlineStr">
        <is>
          <t>NA</t>
        </is>
      </c>
      <c r="BU190" s="2" t="n">
        <v>27.1</v>
      </c>
      <c r="BV190" s="2" t="n">
        <v>423.8</v>
      </c>
      <c r="BW190" s="2" t="n">
        <v>119.2</v>
      </c>
      <c r="BX190" s="2" t="n">
        <v>547.5</v>
      </c>
      <c r="BY190" s="2" t="n">
        <v>54.1</v>
      </c>
      <c r="BZ190" s="2" t="n">
        <v>14.2</v>
      </c>
      <c r="CA190" s="2" t="n">
        <v>68.3</v>
      </c>
      <c r="CF190" s="2" t="n">
        <v>116.5</v>
      </c>
      <c r="CG190" s="2" t="n">
        <v>118.1</v>
      </c>
      <c r="CH190" s="2" t="n">
        <v>10.2</v>
      </c>
      <c r="CN190" s="2" t="n">
        <v>45.2</v>
      </c>
      <c r="CO190" s="2" t="n">
        <v>183.6</v>
      </c>
      <c r="CP190" s="2" t="n">
        <v>114.1</v>
      </c>
      <c r="CQ190" s="2" t="n">
        <v>69.5</v>
      </c>
      <c r="CR190" s="2" t="inlineStr">
        <is>
          <t>NA</t>
        </is>
      </c>
      <c r="CS190" s="2" t="n">
        <v>44.7</v>
      </c>
      <c r="CT190" s="2" t="n">
        <v>29.4</v>
      </c>
      <c r="CU190" s="2" t="n">
        <v>15.3</v>
      </c>
      <c r="CV190" s="2" t="n">
        <v>33</v>
      </c>
      <c r="CW190" s="2" t="n">
        <v>9.800000000000001</v>
      </c>
      <c r="CX190" s="2" t="n">
        <v>23.2</v>
      </c>
      <c r="CY190" s="2" t="inlineStr">
        <is>
          <t>NA</t>
        </is>
      </c>
      <c r="CZ190" s="2" t="n">
        <v>55.3</v>
      </c>
      <c r="DA190" s="2" t="n">
        <v>40.2</v>
      </c>
      <c r="DB190" s="2" t="n">
        <v>39.7</v>
      </c>
      <c r="DC190" s="2" t="n">
        <v>0.5</v>
      </c>
      <c r="DG190" s="2" t="n">
        <v>126.412</v>
      </c>
      <c r="DI190" s="2" t="n">
        <v>573.939</v>
      </c>
      <c r="DJ190" s="2" t="n">
        <v>213.713</v>
      </c>
      <c r="DL190" s="2" t="n">
        <v>165.965</v>
      </c>
      <c r="DM190" s="2" t="n">
        <v>238.557</v>
      </c>
      <c r="DO190" s="2" t="n">
        <v>201.132</v>
      </c>
      <c r="DP190" s="2" t="n">
        <v>218.122</v>
      </c>
      <c r="DS190" s="2" t="n">
        <v>889.92</v>
      </c>
      <c r="DT190" s="2" t="n">
        <v>3425.172</v>
      </c>
      <c r="DU190" s="2" t="n">
        <v>-923.8240000000001</v>
      </c>
      <c r="DV190" s="2" t="n">
        <v>-0.02799999999979264</v>
      </c>
      <c r="GY190" s="2" t="n">
        <v>0.9658295964125562</v>
      </c>
      <c r="GZ190" s="2" t="n">
        <v>1076.9</v>
      </c>
      <c r="HA190" s="2" t="n">
        <v>1115</v>
      </c>
      <c r="HF190" s="2" t="n">
        <v>1078.4</v>
      </c>
      <c r="HG190" s="2" t="n">
        <v>1052.8</v>
      </c>
      <c r="HH190" s="2" t="n">
        <v>406.2</v>
      </c>
      <c r="HI190" s="2" t="n">
        <v>144.5</v>
      </c>
      <c r="HJ190" s="2" t="n">
        <v>484.3</v>
      </c>
      <c r="HK190" s="2" t="n">
        <v>17.8</v>
      </c>
      <c r="HL190" s="2" t="n">
        <v>25.6</v>
      </c>
      <c r="HP190" s="2" t="e">
        <v>#VALUE!</v>
      </c>
      <c r="HQ190" s="2" t="n">
        <v>4.8</v>
      </c>
      <c r="HR190" s="2" t="n">
        <v>10.9</v>
      </c>
      <c r="HS190" s="2" t="e">
        <v>#VALUE!</v>
      </c>
      <c r="HT190" s="2" t="n">
        <v>6.9</v>
      </c>
      <c r="HW190" s="2" t="n">
        <v>289.3</v>
      </c>
      <c r="HX190" s="2" t="e">
        <v>#VALUE!</v>
      </c>
      <c r="HY190" s="2" t="n">
        <v>289.3</v>
      </c>
      <c r="HZ190" s="2" t="n">
        <v>61.7</v>
      </c>
      <c r="IA190" s="2" t="n">
        <v>192.3</v>
      </c>
      <c r="IB190" s="2" t="e">
        <v>#VALUE!</v>
      </c>
      <c r="IC190" s="2" t="e">
        <v>#VALUE!</v>
      </c>
      <c r="ID190" s="2" t="e">
        <v>#VALUE!</v>
      </c>
      <c r="IE190" s="2" t="e">
        <v>#VALUE!</v>
      </c>
      <c r="IF190" s="2" t="e">
        <v>#VALUE!</v>
      </c>
      <c r="IG190" s="2" t="n">
        <v>23.7</v>
      </c>
      <c r="IN190" s="2" t="n">
        <v>70.09999999999999</v>
      </c>
      <c r="IO190" s="2" t="n">
        <v>72.8</v>
      </c>
      <c r="IP190" s="2" t="e">
        <v>#VALUE!</v>
      </c>
      <c r="IQ190" s="2" t="n">
        <v>45.1</v>
      </c>
      <c r="IR190" s="2" t="n">
        <v>19</v>
      </c>
      <c r="IS190" s="2" t="e">
        <v>#VALUE!</v>
      </c>
      <c r="IT190" s="2" t="n">
        <v>21.5</v>
      </c>
      <c r="IU190" s="2" t="e">
        <v>#VALUE!</v>
      </c>
      <c r="IV190" s="2" t="e">
        <v>#VALUE!</v>
      </c>
      <c r="IY190" s="2" t="n">
        <v>47.25972206002569</v>
      </c>
      <c r="IZ190" s="2" t="n">
        <v>-0.09027793997430678</v>
      </c>
      <c r="JB190" s="2" t="n">
        <v>11.16985869438281</v>
      </c>
      <c r="JC190" s="2" t="n">
        <v>0.03985869438280787</v>
      </c>
      <c r="JE190" s="2" t="n">
        <v>1130.4</v>
      </c>
      <c r="JF190" s="2" t="n">
        <v>0.392700813871196</v>
      </c>
    </row>
    <row r="191">
      <c r="A191" s="1" t="n">
        <v>34851</v>
      </c>
      <c r="B191" s="2" t="n">
        <v>3167.5</v>
      </c>
      <c r="C191" s="2" t="n">
        <v>2074</v>
      </c>
      <c r="D191" s="2" t="n">
        <v>316.5</v>
      </c>
      <c r="E191" s="2" t="n">
        <v>876.2</v>
      </c>
      <c r="F191" s="2" t="n">
        <v>35.2</v>
      </c>
      <c r="G191" s="2" t="inlineStr">
        <is>
          <t>NA</t>
        </is>
      </c>
      <c r="H191" s="2" t="inlineStr">
        <is>
          <t>NA</t>
        </is>
      </c>
      <c r="I191" s="2" t="inlineStr">
        <is>
          <t>NA</t>
        </is>
      </c>
      <c r="J191" s="2" t="inlineStr">
        <is>
          <t>NA</t>
        </is>
      </c>
      <c r="K191" s="2" t="n">
        <v>1183.2</v>
      </c>
      <c r="L191" s="2" t="n">
        <v>1111.7</v>
      </c>
      <c r="M191" s="2" t="n">
        <v>885.9</v>
      </c>
      <c r="N191" s="2" t="n">
        <v>225.8</v>
      </c>
      <c r="O191" s="2" t="n">
        <v>102.4</v>
      </c>
      <c r="P191" s="2" t="n">
        <v>96.8</v>
      </c>
      <c r="Q191" s="2" t="n">
        <v>29.2</v>
      </c>
      <c r="R191" s="2" t="n">
        <v>67.59999999999999</v>
      </c>
      <c r="T191" s="2" t="n">
        <v>29.2</v>
      </c>
      <c r="U191" s="2" t="n">
        <v>42.7</v>
      </c>
      <c r="V191" s="2" t="n">
        <v>36.6</v>
      </c>
      <c r="W191" s="2" t="n">
        <v>6.1</v>
      </c>
      <c r="X191" s="2" t="inlineStr">
        <is>
          <t>NA</t>
        </is>
      </c>
      <c r="Y191" s="2" t="n">
        <v>4.9</v>
      </c>
      <c r="Z191" s="2" t="n">
        <v>113.1</v>
      </c>
      <c r="AA191" s="2" t="n">
        <v>110</v>
      </c>
      <c r="AB191" s="2" t="n">
        <v>3.1</v>
      </c>
      <c r="AC191" s="2" t="inlineStr">
        <is>
          <t>NA</t>
        </is>
      </c>
      <c r="AD191" s="2" t="n">
        <v>9.9</v>
      </c>
      <c r="AF191" s="2" t="n">
        <v>39.09999999999999</v>
      </c>
      <c r="AG191" s="2" t="n">
        <v>22.2</v>
      </c>
      <c r="AH191" s="2" t="n">
        <v>16.9</v>
      </c>
      <c r="AI191" s="2" t="n">
        <v>193.6</v>
      </c>
      <c r="AL191" s="2" t="n">
        <v>157.6</v>
      </c>
      <c r="AM191" s="2" t="n">
        <v>109.9</v>
      </c>
      <c r="AN191" s="2" t="n">
        <v>47.7</v>
      </c>
      <c r="AO191" s="2" t="n">
        <v>2322.8</v>
      </c>
      <c r="AP191" s="2" t="n">
        <v>183</v>
      </c>
      <c r="AQ191" s="2" t="n">
        <v>169.3</v>
      </c>
      <c r="AR191" s="2" t="n">
        <v>39.5</v>
      </c>
      <c r="AS191" s="2" t="n">
        <v>143.9</v>
      </c>
      <c r="AT191" s="2" t="n">
        <v>82.40000000000001</v>
      </c>
      <c r="AU191" s="2" t="n">
        <v>83.8</v>
      </c>
      <c r="AV191" s="2" t="n">
        <v>42.1</v>
      </c>
      <c r="AW191" s="2" t="n">
        <v>19.4</v>
      </c>
      <c r="AX191" s="2" t="n">
        <v>7.9</v>
      </c>
      <c r="AY191" s="2" t="inlineStr">
        <is>
          <t>NA</t>
        </is>
      </c>
      <c r="AZ191" s="2" t="inlineStr">
        <is>
          <t>NA</t>
        </is>
      </c>
      <c r="BA191" s="2" t="inlineStr">
        <is>
          <t>NA</t>
        </is>
      </c>
      <c r="BB191" s="2" t="inlineStr">
        <is>
          <t>NA</t>
        </is>
      </c>
      <c r="BD191" s="2" t="n">
        <v>140.2</v>
      </c>
      <c r="BE191" s="2" t="n">
        <v>48.4</v>
      </c>
      <c r="BH191" s="2" t="n">
        <v>328.1</v>
      </c>
      <c r="BK191" s="2" t="n">
        <v>254.8</v>
      </c>
      <c r="BL191" s="2" t="n">
        <v>3.5</v>
      </c>
      <c r="BM191" s="2" t="n">
        <v>586.4</v>
      </c>
      <c r="BN191" s="2" t="n">
        <v>213.5</v>
      </c>
      <c r="BQ191" s="2" t="n">
        <v>102.9</v>
      </c>
      <c r="BR191" s="2" t="n">
        <v>8.4</v>
      </c>
      <c r="BS191" s="2" t="n">
        <v>324.8</v>
      </c>
      <c r="BT191" s="2" t="inlineStr">
        <is>
          <t>NA</t>
        </is>
      </c>
      <c r="BU191" s="2" t="n">
        <v>25.8</v>
      </c>
      <c r="BV191" s="2" t="n">
        <v>418.4</v>
      </c>
      <c r="BW191" s="2" t="n">
        <v>114.5</v>
      </c>
      <c r="BX191" s="2" t="n">
        <v>538.1</v>
      </c>
      <c r="BY191" s="2" t="n">
        <v>55.6</v>
      </c>
      <c r="BZ191" s="2" t="n">
        <v>14.7</v>
      </c>
      <c r="CA191" s="2" t="n">
        <v>70.3</v>
      </c>
      <c r="CF191" s="2" t="n">
        <v>118.2</v>
      </c>
      <c r="CG191" s="2" t="n">
        <v>132.3</v>
      </c>
      <c r="CH191" s="2" t="n">
        <v>10</v>
      </c>
      <c r="CN191" s="2" t="n">
        <v>50.8</v>
      </c>
      <c r="CO191" s="2" t="n">
        <v>163.8</v>
      </c>
      <c r="CP191" s="2" t="n">
        <v>97</v>
      </c>
      <c r="CQ191" s="2" t="n">
        <v>66.8</v>
      </c>
      <c r="CR191" s="2" t="inlineStr">
        <is>
          <t>NA</t>
        </is>
      </c>
      <c r="CS191" s="2" t="n">
        <v>39.4</v>
      </c>
      <c r="CT191" s="2" t="n">
        <v>24.3</v>
      </c>
      <c r="CU191" s="2" t="n">
        <v>15.1</v>
      </c>
      <c r="CV191" s="2" t="n">
        <v>32.2</v>
      </c>
      <c r="CW191" s="2" t="n">
        <v>5.9</v>
      </c>
      <c r="CX191" s="2" t="n">
        <v>26.3</v>
      </c>
      <c r="CY191" s="2" t="inlineStr">
        <is>
          <t>NA</t>
        </is>
      </c>
      <c r="CZ191" s="2" t="n">
        <v>50.3</v>
      </c>
      <c r="DA191" s="2" t="n">
        <v>25.7</v>
      </c>
      <c r="DB191" s="2" t="n">
        <v>24.5</v>
      </c>
      <c r="DC191" s="2" t="n">
        <v>1.2</v>
      </c>
      <c r="DI191" s="2" t="n">
        <v>583.234</v>
      </c>
      <c r="DJ191" s="2" t="n">
        <v>186.865</v>
      </c>
      <c r="DL191" s="2" t="n">
        <v>130.125</v>
      </c>
      <c r="DM191" s="2" t="n">
        <v>235.271</v>
      </c>
      <c r="DO191" s="2" t="n">
        <v>201.084</v>
      </c>
      <c r="DP191" s="2" t="n">
        <v>257.62</v>
      </c>
      <c r="DS191" s="2" t="n">
        <v>740.888</v>
      </c>
      <c r="DT191" s="2" t="n">
        <v>3167.486</v>
      </c>
      <c r="DU191" s="2" t="n">
        <v>-832.3989999999999</v>
      </c>
      <c r="DV191" s="2" t="n">
        <v>-0.01400000000012369</v>
      </c>
      <c r="GY191" s="2" t="n">
        <v>0.9665337095048155</v>
      </c>
      <c r="GZ191" s="2" t="n">
        <v>993.5</v>
      </c>
      <c r="HA191" s="2" t="n">
        <v>1027.9</v>
      </c>
      <c r="HF191" s="2" t="n">
        <v>1021.8</v>
      </c>
      <c r="HG191" s="2" t="n">
        <v>994.6</v>
      </c>
      <c r="HH191" s="2" t="n">
        <v>386.4</v>
      </c>
      <c r="HI191" s="2" t="n">
        <v>141</v>
      </c>
      <c r="HJ191" s="2" t="n">
        <v>448.5</v>
      </c>
      <c r="HK191" s="2" t="n">
        <v>18.7</v>
      </c>
      <c r="HL191" s="2" t="n">
        <v>27.2</v>
      </c>
      <c r="HP191" s="2" t="e">
        <v>#VALUE!</v>
      </c>
      <c r="HQ191" s="2" t="n">
        <v>4.4</v>
      </c>
      <c r="HR191" s="2" t="n">
        <v>11.9</v>
      </c>
      <c r="HS191" s="2" t="e">
        <v>#VALUE!</v>
      </c>
      <c r="HT191" s="2" t="n">
        <v>7.9</v>
      </c>
      <c r="HW191" s="2" t="n">
        <v>267.9</v>
      </c>
      <c r="HX191" s="2" t="e">
        <v>#VALUE!</v>
      </c>
      <c r="HY191" s="2" t="n">
        <v>267.9</v>
      </c>
      <c r="HZ191" s="2" t="n">
        <v>58.3</v>
      </c>
      <c r="IA191" s="2" t="n">
        <v>176.2</v>
      </c>
      <c r="IB191" s="2" t="e">
        <v>#VALUE!</v>
      </c>
      <c r="IC191" s="2" t="e">
        <v>#VALUE!</v>
      </c>
      <c r="ID191" s="2" t="e">
        <v>#VALUE!</v>
      </c>
      <c r="IE191" s="2" t="e">
        <v>#VALUE!</v>
      </c>
      <c r="IF191" s="2" t="e">
        <v>#VALUE!</v>
      </c>
      <c r="IG191" s="2" t="n">
        <v>22.8</v>
      </c>
      <c r="IN191" s="2" t="n">
        <v>70.7</v>
      </c>
      <c r="IO191" s="2" t="n">
        <v>73.40000000000001</v>
      </c>
      <c r="IP191" s="2" t="n">
        <v>40.9</v>
      </c>
      <c r="IQ191" s="2" t="n">
        <v>40.8</v>
      </c>
      <c r="IR191" s="2" t="n">
        <v>17</v>
      </c>
      <c r="IS191" s="2" t="e">
        <v>#VALUE!</v>
      </c>
      <c r="IT191" s="2" t="n">
        <v>19.8</v>
      </c>
      <c r="IU191" s="2" t="e">
        <v>#VALUE!</v>
      </c>
      <c r="IV191" s="2" t="e">
        <v>#VALUE!</v>
      </c>
      <c r="IY191" s="2" t="n">
        <v>47.2063141278611</v>
      </c>
      <c r="IZ191" s="2" t="n">
        <v>0.03631412786109678</v>
      </c>
      <c r="JB191" s="2" t="n">
        <v>11.20631412786109</v>
      </c>
      <c r="JC191" s="2" t="n">
        <v>0.0163141278610901</v>
      </c>
      <c r="JE191" s="2" t="n">
        <v>1111.7</v>
      </c>
      <c r="JF191" s="2" t="n">
        <v>0.3769011423945309</v>
      </c>
    </row>
    <row r="192">
      <c r="A192" s="1" t="n">
        <v>34881</v>
      </c>
      <c r="B192" s="2" t="n">
        <v>3251.4</v>
      </c>
      <c r="C192" s="2" t="n">
        <v>1652.9</v>
      </c>
      <c r="D192" s="2" t="n">
        <v>310</v>
      </c>
      <c r="E192" s="2" t="n">
        <v>548.5</v>
      </c>
      <c r="F192" s="2" t="n">
        <v>32.5</v>
      </c>
      <c r="G192" s="2" t="inlineStr">
        <is>
          <t>NA</t>
        </is>
      </c>
      <c r="H192" s="2" t="inlineStr">
        <is>
          <t>NA</t>
        </is>
      </c>
      <c r="I192" s="2" t="inlineStr">
        <is>
          <t>NA</t>
        </is>
      </c>
      <c r="J192" s="2" t="inlineStr">
        <is>
          <t>NA</t>
        </is>
      </c>
      <c r="K192" s="2" t="n">
        <v>1204.7</v>
      </c>
      <c r="L192" s="2" t="n">
        <v>1142</v>
      </c>
      <c r="M192" s="2" t="n">
        <v>906.3</v>
      </c>
      <c r="N192" s="2" t="n">
        <v>235.7</v>
      </c>
      <c r="O192" s="2" t="n">
        <v>96.59999999999999</v>
      </c>
      <c r="P192" s="2" t="n">
        <v>92.2</v>
      </c>
      <c r="Q192" s="2" t="n">
        <v>29.7</v>
      </c>
      <c r="R192" s="2" t="n">
        <v>62.5</v>
      </c>
      <c r="T192" s="2" t="n">
        <v>26.9</v>
      </c>
      <c r="U192" s="2" t="n">
        <v>40.4</v>
      </c>
      <c r="V192" s="2" t="n">
        <v>37.5</v>
      </c>
      <c r="W192" s="2" t="n">
        <v>2.9</v>
      </c>
      <c r="X192" s="2" t="inlineStr">
        <is>
          <t>NA</t>
        </is>
      </c>
      <c r="Y192" s="2" t="n">
        <v>2.9</v>
      </c>
      <c r="Z192" s="2" t="n">
        <v>117.5</v>
      </c>
      <c r="AA192" s="2" t="n">
        <v>113.1</v>
      </c>
      <c r="AB192" s="2" t="n">
        <v>4.4</v>
      </c>
      <c r="AC192" s="2" t="inlineStr">
        <is>
          <t>NA</t>
        </is>
      </c>
      <c r="AD192" s="2" t="n">
        <v>11.3</v>
      </c>
      <c r="AF192" s="2" t="n">
        <v>59.4</v>
      </c>
      <c r="AG192" s="2" t="n">
        <v>37.9</v>
      </c>
      <c r="AH192" s="2" t="n">
        <v>21.5</v>
      </c>
      <c r="AI192" s="2" t="n">
        <v>193.5</v>
      </c>
      <c r="AL192" s="2" t="n">
        <v>164.6</v>
      </c>
      <c r="AM192" s="2" t="n">
        <v>114.4</v>
      </c>
      <c r="AN192" s="2" t="n">
        <v>50.2</v>
      </c>
      <c r="AO192" s="2" t="n">
        <v>2389.8</v>
      </c>
      <c r="AP192" s="2" t="n">
        <v>208.3</v>
      </c>
      <c r="AQ192" s="2" t="n">
        <v>175.6</v>
      </c>
      <c r="AR192" s="2" t="n">
        <v>43.7</v>
      </c>
      <c r="AS192" s="2" t="n">
        <v>137.2</v>
      </c>
      <c r="AT192" s="2" t="n">
        <v>87.8</v>
      </c>
      <c r="AU192" s="2" t="n">
        <v>91.09999999999999</v>
      </c>
      <c r="AV192" s="2" t="n">
        <v>50.4</v>
      </c>
      <c r="AW192" s="2" t="n">
        <v>17.7</v>
      </c>
      <c r="AX192" s="2" t="n">
        <v>6.7</v>
      </c>
      <c r="AY192" s="2" t="inlineStr">
        <is>
          <t>NA</t>
        </is>
      </c>
      <c r="AZ192" s="2" t="inlineStr">
        <is>
          <t>NA</t>
        </is>
      </c>
      <c r="BA192" s="2" t="inlineStr">
        <is>
          <t>NA</t>
        </is>
      </c>
      <c r="BB192" s="2" t="inlineStr">
        <is>
          <t>NA</t>
        </is>
      </c>
      <c r="BD192" s="2" t="n">
        <v>114</v>
      </c>
      <c r="BE192" s="2" t="n">
        <v>48</v>
      </c>
      <c r="BH192" s="2" t="n">
        <v>277.7</v>
      </c>
      <c r="BK192" s="2" t="n">
        <v>237.7</v>
      </c>
      <c r="BL192" s="2" t="n">
        <v>3.4</v>
      </c>
      <c r="BM192" s="2" t="n">
        <v>518.8</v>
      </c>
      <c r="BN192" s="2" t="n">
        <v>225.9</v>
      </c>
      <c r="BQ192" s="2" t="n">
        <v>119.7</v>
      </c>
      <c r="BR192" s="2" t="n">
        <v>9.1</v>
      </c>
      <c r="BS192" s="2" t="n">
        <v>354.7</v>
      </c>
      <c r="BT192" s="2" t="inlineStr">
        <is>
          <t>NA</t>
        </is>
      </c>
      <c r="BU192" s="2" t="n">
        <v>22.1</v>
      </c>
      <c r="BV192" s="2" t="n">
        <v>376.1</v>
      </c>
      <c r="BW192" s="2" t="n">
        <v>101.4</v>
      </c>
      <c r="BX192" s="2" t="n">
        <v>482</v>
      </c>
      <c r="BY192" s="2" t="n">
        <v>55.9</v>
      </c>
      <c r="BZ192" s="2" t="n">
        <v>14.7</v>
      </c>
      <c r="CA192" s="2" t="n">
        <v>70.59999999999999</v>
      </c>
      <c r="CF192" s="2" t="n">
        <v>116.4</v>
      </c>
      <c r="CG192" s="2" t="n">
        <v>134.7</v>
      </c>
      <c r="CH192" s="2" t="n">
        <v>9.9</v>
      </c>
      <c r="CN192" s="2" t="n">
        <v>49.1</v>
      </c>
      <c r="CO192" s="2" t="n">
        <v>136.9</v>
      </c>
      <c r="CP192" s="2" t="n">
        <v>74.09999999999999</v>
      </c>
      <c r="CQ192" s="2" t="n">
        <v>62.8</v>
      </c>
      <c r="CR192" s="2" t="inlineStr">
        <is>
          <t>NA</t>
        </is>
      </c>
      <c r="CS192" s="2" t="n">
        <v>44.6</v>
      </c>
      <c r="CT192" s="2" t="n">
        <v>25.1</v>
      </c>
      <c r="CU192" s="2" t="n">
        <v>19.5</v>
      </c>
      <c r="CV192" s="2" t="n">
        <v>27.4</v>
      </c>
      <c r="CW192" s="2" t="n">
        <v>6</v>
      </c>
      <c r="CX192" s="2" t="n">
        <v>21.4</v>
      </c>
      <c r="CY192" s="2" t="inlineStr">
        <is>
          <t>NA</t>
        </is>
      </c>
      <c r="CZ192" s="2" t="n">
        <v>60.4</v>
      </c>
      <c r="DA192" s="2" t="n">
        <v>27.4</v>
      </c>
      <c r="DB192" s="2" t="n">
        <v>26.6</v>
      </c>
      <c r="DC192" s="2" t="n">
        <v>0.8</v>
      </c>
      <c r="DI192" s="2" t="n">
        <v>631.5700000000001</v>
      </c>
      <c r="DJ192" s="2" t="n">
        <v>207.461</v>
      </c>
      <c r="DL192" s="2" t="n">
        <v>123.004</v>
      </c>
      <c r="DM192" s="2" t="n">
        <v>196.249</v>
      </c>
      <c r="DO192" s="2" t="n">
        <v>171.772</v>
      </c>
      <c r="DP192" s="2" t="n">
        <v>270.061</v>
      </c>
      <c r="DS192" s="2" t="n">
        <v>771.367</v>
      </c>
      <c r="DT192" s="2" t="n">
        <v>3256.901</v>
      </c>
      <c r="DU192" s="2" t="n">
        <v>-885.4169999999999</v>
      </c>
      <c r="DV192" s="2" t="n">
        <v>5.500999999999749</v>
      </c>
      <c r="GY192" s="2" t="n">
        <v>0.9720041322314049</v>
      </c>
      <c r="GZ192" s="2" t="n">
        <v>940.9</v>
      </c>
      <c r="HA192" s="2" t="n">
        <v>968</v>
      </c>
      <c r="HF192" s="2" t="n">
        <v>949.7</v>
      </c>
      <c r="HG192" s="2" t="n">
        <v>926</v>
      </c>
      <c r="HH192" s="2" t="n">
        <v>355</v>
      </c>
      <c r="HI192" s="2" t="n">
        <v>110.8</v>
      </c>
      <c r="HJ192" s="2" t="n">
        <v>441.7</v>
      </c>
      <c r="HK192" s="2" t="n">
        <v>18.5</v>
      </c>
      <c r="HL192" s="2" t="n">
        <v>23.7</v>
      </c>
      <c r="HP192" s="2" t="e">
        <v>#VALUE!</v>
      </c>
      <c r="HQ192" s="2" t="n">
        <v>3.1</v>
      </c>
      <c r="HR192" s="2" t="n">
        <v>10.2</v>
      </c>
      <c r="HS192" s="2" t="e">
        <v>#VALUE!</v>
      </c>
      <c r="HT192" s="2" t="n">
        <v>6.9</v>
      </c>
      <c r="HW192" s="2" t="n">
        <v>251</v>
      </c>
      <c r="HX192" s="2" t="e">
        <v>#VALUE!</v>
      </c>
      <c r="HY192" s="2" t="n">
        <v>251</v>
      </c>
      <c r="HZ192" s="2" t="n">
        <v>50.7</v>
      </c>
      <c r="IA192" s="2" t="n">
        <v>175.3</v>
      </c>
      <c r="IB192" s="2" t="e">
        <v>#VALUE!</v>
      </c>
      <c r="IC192" s="2" t="e">
        <v>#VALUE!</v>
      </c>
      <c r="ID192" s="2" t="e">
        <v>#VALUE!</v>
      </c>
      <c r="IE192" s="2" t="e">
        <v>#VALUE!</v>
      </c>
      <c r="IF192" s="2" t="e">
        <v>#VALUE!</v>
      </c>
      <c r="IG192" s="2" t="n">
        <v>15.1</v>
      </c>
      <c r="IN192" s="2" t="n">
        <v>72.59999999999999</v>
      </c>
      <c r="IO192" s="2" t="n">
        <v>76</v>
      </c>
      <c r="IP192" s="2" t="e">
        <v>#VALUE!</v>
      </c>
      <c r="IQ192" s="2" t="n">
        <v>42.3</v>
      </c>
      <c r="IR192" s="2" t="n">
        <v>16.6</v>
      </c>
      <c r="IS192" s="2" t="e">
        <v>#VALUE!</v>
      </c>
      <c r="IT192" s="2" t="n">
        <v>21.5</v>
      </c>
      <c r="IU192" s="2" t="e">
        <v>#VALUE!</v>
      </c>
      <c r="IV192" s="2" t="e">
        <v>#VALUE!</v>
      </c>
      <c r="IY192" s="2" t="n">
        <v>47.34083779295073</v>
      </c>
      <c r="IZ192" s="2" t="n">
        <v>-0.02916220704926786</v>
      </c>
      <c r="JB192" s="2" t="n">
        <v>11.11551946853663</v>
      </c>
      <c r="JC192" s="2" t="n">
        <v>-0.09448053146337188</v>
      </c>
      <c r="JE192" s="2" t="n">
        <v>1142</v>
      </c>
      <c r="JF192" s="2" t="n">
        <v>0.396314360770578</v>
      </c>
    </row>
    <row r="193">
      <c r="A193" s="1" t="n">
        <v>34912</v>
      </c>
      <c r="B193" s="2" t="n">
        <v>3284.9</v>
      </c>
      <c r="C193" s="2" t="n">
        <v>1584</v>
      </c>
      <c r="D193" s="2" t="n">
        <v>264.4</v>
      </c>
      <c r="E193" s="2" t="n">
        <v>292.7</v>
      </c>
      <c r="F193" s="2" t="n">
        <v>32.3</v>
      </c>
      <c r="G193" s="2" t="inlineStr">
        <is>
          <t>NA</t>
        </is>
      </c>
      <c r="H193" s="2" t="n">
        <v>14.5</v>
      </c>
      <c r="I193" s="2" t="inlineStr">
        <is>
          <t>NA</t>
        </is>
      </c>
      <c r="J193" s="2" t="inlineStr">
        <is>
          <t>NA</t>
        </is>
      </c>
      <c r="K193" s="2" t="n">
        <v>1228.1</v>
      </c>
      <c r="L193" s="2" t="n">
        <v>1100</v>
      </c>
      <c r="M193" s="2" t="n">
        <v>895.3</v>
      </c>
      <c r="N193" s="2" t="n">
        <v>204.7</v>
      </c>
      <c r="O193" s="2" t="n">
        <v>87.8</v>
      </c>
      <c r="P193" s="2" t="n">
        <v>87.90000000000001</v>
      </c>
      <c r="Q193" s="2" t="n">
        <v>30.7</v>
      </c>
      <c r="R193" s="2" t="n">
        <v>57.2</v>
      </c>
      <c r="T193" s="2" t="n">
        <v>26.3</v>
      </c>
      <c r="U193" s="2" t="n">
        <v>45.1</v>
      </c>
      <c r="V193" s="2" t="n">
        <v>41.9</v>
      </c>
      <c r="W193" s="2" t="n">
        <v>3.2</v>
      </c>
      <c r="X193" s="2" t="inlineStr">
        <is>
          <t>NA</t>
        </is>
      </c>
      <c r="Y193" s="2" t="n">
        <v>4</v>
      </c>
      <c r="Z193" s="2" t="n">
        <v>89.10000000000001</v>
      </c>
      <c r="AA193" s="2" t="n">
        <v>83.90000000000001</v>
      </c>
      <c r="AB193" s="2" t="n">
        <v>5.2</v>
      </c>
      <c r="AC193" s="2" t="inlineStr">
        <is>
          <t>NA</t>
        </is>
      </c>
      <c r="AD193" s="2" t="n">
        <v>15.2</v>
      </c>
      <c r="AF193" s="2" t="n">
        <v>54.8</v>
      </c>
      <c r="AG193" s="2" t="n">
        <v>25.3</v>
      </c>
      <c r="AH193" s="2" t="n">
        <v>29.5</v>
      </c>
      <c r="AI193" s="2" t="n">
        <v>182.6</v>
      </c>
      <c r="AL193" s="2" t="n">
        <v>190.3</v>
      </c>
      <c r="AM193" s="2" t="n">
        <v>130</v>
      </c>
      <c r="AN193" s="2" t="n">
        <v>60.3</v>
      </c>
      <c r="AO193" s="2" t="n">
        <v>2412.9</v>
      </c>
      <c r="AP193" s="2" t="n">
        <v>171.8</v>
      </c>
      <c r="AQ193" s="2" t="n">
        <v>176.9</v>
      </c>
      <c r="AR193" s="2" t="n">
        <v>32</v>
      </c>
      <c r="AS193" s="2" t="n">
        <v>120.1</v>
      </c>
      <c r="AT193" s="2" t="n">
        <v>75.2</v>
      </c>
      <c r="AU193" s="2" t="n">
        <v>71.40000000000001</v>
      </c>
      <c r="AV193" s="2" t="n">
        <v>43.2</v>
      </c>
      <c r="AW193" s="2" t="n">
        <v>17.3</v>
      </c>
      <c r="AX193" s="2" t="n">
        <v>6.5</v>
      </c>
      <c r="AY193" s="2" t="inlineStr">
        <is>
          <t>NA</t>
        </is>
      </c>
      <c r="AZ193" s="2" t="inlineStr">
        <is>
          <t>NA</t>
        </is>
      </c>
      <c r="BA193" s="2" t="inlineStr">
        <is>
          <t>NA</t>
        </is>
      </c>
      <c r="BB193" s="2" t="inlineStr">
        <is>
          <t>NA</t>
        </is>
      </c>
      <c r="BD193" s="2" t="n">
        <v>134.9</v>
      </c>
      <c r="BE193" s="2" t="n">
        <v>47.5</v>
      </c>
      <c r="BH193" s="2" t="n">
        <v>318.2</v>
      </c>
      <c r="BK193" s="2" t="n">
        <v>263.8</v>
      </c>
      <c r="BL193" s="2" t="n">
        <v>2.8</v>
      </c>
      <c r="BM193" s="2" t="n">
        <v>584.8</v>
      </c>
      <c r="BN193" s="2" t="n">
        <v>274.4</v>
      </c>
      <c r="BQ193" s="2" t="n">
        <v>127</v>
      </c>
      <c r="BR193" s="2" t="n">
        <v>10.2</v>
      </c>
      <c r="BS193" s="2" t="n">
        <v>411.6</v>
      </c>
      <c r="BT193" s="2" t="inlineStr">
        <is>
          <t>NA</t>
        </is>
      </c>
      <c r="BU193" s="2" t="n">
        <v>30.2</v>
      </c>
      <c r="BV193" s="2" t="n">
        <v>428.4</v>
      </c>
      <c r="BW193" s="2" t="n">
        <v>108.1</v>
      </c>
      <c r="BX193" s="2" t="n">
        <v>541.2</v>
      </c>
      <c r="BY193" s="2" t="n">
        <v>49.5</v>
      </c>
      <c r="BZ193" s="2" t="n">
        <v>11.3</v>
      </c>
      <c r="CA193" s="2" t="n">
        <v>60.8</v>
      </c>
      <c r="CF193" s="2" t="n">
        <v>119.2</v>
      </c>
      <c r="CG193" s="2" t="n">
        <v>135</v>
      </c>
      <c r="CH193" s="2" t="n">
        <v>8.9</v>
      </c>
      <c r="CN193" s="2" t="n">
        <v>42.7</v>
      </c>
      <c r="CO193" s="2" t="n">
        <v>124.1</v>
      </c>
      <c r="CP193" s="2" t="n">
        <v>53.8</v>
      </c>
      <c r="CQ193" s="2" t="n">
        <v>70.3</v>
      </c>
      <c r="CR193" s="2" t="inlineStr">
        <is>
          <t>NA</t>
        </is>
      </c>
      <c r="CS193" s="2" t="n">
        <v>37.5</v>
      </c>
      <c r="CT193" s="2" t="n">
        <v>22.5</v>
      </c>
      <c r="CU193" s="2" t="n">
        <v>15</v>
      </c>
      <c r="CV193" s="2" t="n">
        <v>18.2</v>
      </c>
      <c r="CW193" s="2" t="n">
        <v>4.1</v>
      </c>
      <c r="CX193" s="2" t="n">
        <v>14.1</v>
      </c>
      <c r="CY193" s="2" t="inlineStr">
        <is>
          <t>NA</t>
        </is>
      </c>
      <c r="CZ193" s="2" t="n">
        <v>50.1</v>
      </c>
      <c r="DA193" s="2" t="n">
        <v>27.4</v>
      </c>
      <c r="DB193" s="2" t="n">
        <v>26.6</v>
      </c>
      <c r="DC193" s="2" t="n">
        <v>0.8</v>
      </c>
      <c r="DG193" s="2" t="n">
        <v>108.45</v>
      </c>
      <c r="DI193" s="2" t="n">
        <v>571.473</v>
      </c>
      <c r="DJ193" s="2" t="n">
        <v>176.178</v>
      </c>
      <c r="DL193" s="2" t="n">
        <v>148.578</v>
      </c>
      <c r="DM193" s="2" t="n">
        <v>254.798</v>
      </c>
      <c r="DO193" s="2" t="n">
        <v>190.046</v>
      </c>
      <c r="DP193" s="2" t="n">
        <v>267.807</v>
      </c>
      <c r="DS193" s="2" t="n">
        <v>771.994</v>
      </c>
      <c r="DT193" s="2" t="n">
        <v>3284.92</v>
      </c>
      <c r="DU193" s="2" t="n">
        <v>-904.0459999999998</v>
      </c>
      <c r="DV193" s="2" t="n">
        <v>0.01999999999998181</v>
      </c>
      <c r="GY193" s="2" t="n">
        <v>0.9666068222621185</v>
      </c>
      <c r="GZ193" s="2" t="n">
        <v>1076.8</v>
      </c>
      <c r="HA193" s="2" t="n">
        <v>1114</v>
      </c>
      <c r="HF193" s="2" t="n">
        <v>1047.1</v>
      </c>
      <c r="HG193" s="2" t="n">
        <v>1021.2</v>
      </c>
      <c r="HH193" s="2" t="n">
        <v>421.9</v>
      </c>
      <c r="HI193" s="2" t="n">
        <v>137</v>
      </c>
      <c r="HJ193" s="2" t="n">
        <v>441.9</v>
      </c>
      <c r="HK193" s="2" t="n">
        <v>20.4</v>
      </c>
      <c r="HL193" s="2" t="n">
        <v>25.9</v>
      </c>
      <c r="HP193" s="2" t="e">
        <v>#VALUE!</v>
      </c>
      <c r="HQ193" s="2" t="n">
        <v>3.6</v>
      </c>
      <c r="HR193" s="2" t="n">
        <v>10.4</v>
      </c>
      <c r="HS193" s="2" t="e">
        <v>#VALUE!</v>
      </c>
      <c r="HT193" s="2" t="n">
        <v>8.199999999999999</v>
      </c>
      <c r="HW193" s="2" t="n">
        <v>277.7</v>
      </c>
      <c r="HX193" s="2" t="e">
        <v>#VALUE!</v>
      </c>
      <c r="HY193" s="2" t="n">
        <v>277.7</v>
      </c>
      <c r="HZ193" s="2" t="n">
        <v>56.1</v>
      </c>
      <c r="IA193" s="2" t="n">
        <v>187.2</v>
      </c>
      <c r="IB193" s="2" t="e">
        <v>#VALUE!</v>
      </c>
      <c r="IC193" s="2" t="e">
        <v>#VALUE!</v>
      </c>
      <c r="ID193" s="2" t="e">
        <v>#VALUE!</v>
      </c>
      <c r="IE193" s="2" t="e">
        <v>#VALUE!</v>
      </c>
      <c r="IF193" s="2" t="n">
        <v>7.5</v>
      </c>
      <c r="IG193" s="2" t="n">
        <v>22.4</v>
      </c>
      <c r="IN193" s="2" t="n">
        <v>80.5</v>
      </c>
      <c r="IO193" s="2" t="n">
        <v>83.3</v>
      </c>
      <c r="IP193" s="2" t="e">
        <v>#VALUE!</v>
      </c>
      <c r="IQ193" s="2" t="n">
        <v>44.8</v>
      </c>
      <c r="IR193" s="2" t="n">
        <v>20.2</v>
      </c>
      <c r="IS193" s="2" t="e">
        <v>#VALUE!</v>
      </c>
      <c r="IT193" s="2" t="n">
        <v>20.2</v>
      </c>
      <c r="IU193" s="2" t="e">
        <v>#VALUE!</v>
      </c>
      <c r="IV193" s="2" t="e">
        <v>#VALUE!</v>
      </c>
      <c r="IY193" s="2" t="n">
        <v>47.30372309659351</v>
      </c>
      <c r="IZ193" s="2" t="n">
        <v>0.06372309659350606</v>
      </c>
      <c r="JB193" s="2" t="n">
        <v>11.21586654083838</v>
      </c>
      <c r="JC193" s="2" t="n">
        <v>-0.07413345916161873</v>
      </c>
      <c r="JE193" s="2" t="n">
        <v>1100</v>
      </c>
      <c r="JF193" s="2" t="n">
        <v>0.3863763636363636</v>
      </c>
    </row>
    <row r="194">
      <c r="A194" s="1" t="n">
        <v>34943</v>
      </c>
      <c r="B194" s="2" t="n">
        <v>3222.7</v>
      </c>
      <c r="C194" s="2" t="n">
        <v>1625</v>
      </c>
      <c r="D194" s="2" t="n">
        <v>245.5</v>
      </c>
      <c r="E194" s="2" t="n">
        <v>565.7</v>
      </c>
      <c r="F194" s="2" t="n">
        <v>21.2</v>
      </c>
      <c r="G194" s="2" t="inlineStr">
        <is>
          <t>NA</t>
        </is>
      </c>
      <c r="H194" s="2" t="n">
        <v>18.4</v>
      </c>
      <c r="I194" s="2" t="inlineStr">
        <is>
          <t>NA</t>
        </is>
      </c>
      <c r="J194" s="2" t="inlineStr">
        <is>
          <t>NA</t>
        </is>
      </c>
      <c r="K194" s="2" t="n">
        <v>1208.4</v>
      </c>
      <c r="L194" s="2" t="n">
        <v>1136.7</v>
      </c>
      <c r="M194" s="2" t="n">
        <v>905.7</v>
      </c>
      <c r="N194" s="2" t="n">
        <v>231</v>
      </c>
      <c r="O194" s="2" t="n">
        <v>84.3</v>
      </c>
      <c r="P194" s="2" t="n">
        <v>82.09999999999999</v>
      </c>
      <c r="Q194" s="2" t="n">
        <v>27</v>
      </c>
      <c r="R194" s="2" t="n">
        <v>55.1</v>
      </c>
      <c r="T194" s="2" t="n">
        <v>17.4</v>
      </c>
      <c r="U194" s="2" t="n">
        <v>45.3</v>
      </c>
      <c r="V194" s="2" t="n">
        <v>42.4</v>
      </c>
      <c r="W194" s="2" t="n">
        <v>2.9</v>
      </c>
      <c r="X194" s="2" t="inlineStr">
        <is>
          <t>NA</t>
        </is>
      </c>
      <c r="Y194" s="2" t="inlineStr">
        <is>
          <t>NA</t>
        </is>
      </c>
      <c r="Z194" s="2" t="n">
        <v>81.59999999999999</v>
      </c>
      <c r="AA194" s="2" t="n">
        <v>76.59999999999999</v>
      </c>
      <c r="AB194" s="2" t="n">
        <v>5</v>
      </c>
      <c r="AC194" s="2" t="inlineStr">
        <is>
          <t>NA</t>
        </is>
      </c>
      <c r="AD194" s="2" t="n">
        <v>12.1</v>
      </c>
      <c r="AF194" s="2" t="n">
        <v>54.2</v>
      </c>
      <c r="AG194" s="2" t="n">
        <v>25.8</v>
      </c>
      <c r="AH194" s="2" t="n">
        <v>28.4</v>
      </c>
      <c r="AI194" s="2" t="n">
        <v>190.8</v>
      </c>
      <c r="AL194" s="2" t="n">
        <v>240.6</v>
      </c>
      <c r="AM194" s="2" t="n">
        <v>182.2</v>
      </c>
      <c r="AN194" s="2" t="n">
        <v>58.4</v>
      </c>
      <c r="AO194" s="2" t="n">
        <v>2362.9</v>
      </c>
      <c r="AP194" s="2" t="n">
        <v>195.9</v>
      </c>
      <c r="AQ194" s="2" t="n">
        <v>172.9</v>
      </c>
      <c r="AR194" s="2" t="n">
        <v>27.5</v>
      </c>
      <c r="AS194" s="2" t="n">
        <v>113.6</v>
      </c>
      <c r="AT194" s="2" t="n">
        <v>46.6</v>
      </c>
      <c r="AU194" s="2" t="n">
        <v>60.6</v>
      </c>
      <c r="AV194" s="2" t="n">
        <v>30.8</v>
      </c>
      <c r="AW194" s="2" t="n">
        <v>11</v>
      </c>
      <c r="AX194" s="2" t="n">
        <v>5.2</v>
      </c>
      <c r="AY194" s="2" t="inlineStr">
        <is>
          <t>NA</t>
        </is>
      </c>
      <c r="AZ194" s="2" t="inlineStr">
        <is>
          <t>NA</t>
        </is>
      </c>
      <c r="BA194" s="2" t="inlineStr">
        <is>
          <t>NA</t>
        </is>
      </c>
      <c r="BB194" s="2" t="inlineStr">
        <is>
          <t>NA</t>
        </is>
      </c>
      <c r="BD194" s="2" t="n">
        <v>134.1</v>
      </c>
      <c r="BE194" s="2" t="n">
        <v>51.8</v>
      </c>
      <c r="BH194" s="2" t="n">
        <v>298.9</v>
      </c>
      <c r="BK194" s="2" t="n">
        <v>247.2</v>
      </c>
      <c r="BL194" s="2" t="n">
        <v>3.3</v>
      </c>
      <c r="BM194" s="2" t="n">
        <v>549.4</v>
      </c>
      <c r="BN194" s="2" t="n">
        <v>287.7</v>
      </c>
      <c r="BQ194" s="2" t="n">
        <v>129.3</v>
      </c>
      <c r="BR194" s="2" t="n">
        <v>10.9</v>
      </c>
      <c r="BS194" s="2" t="n">
        <v>427.9</v>
      </c>
      <c r="BT194" s="2" t="inlineStr">
        <is>
          <t>NA</t>
        </is>
      </c>
      <c r="BU194" s="2" t="n">
        <v>24.3</v>
      </c>
      <c r="BV194" s="2" t="n">
        <v>394.9</v>
      </c>
      <c r="BW194" s="2" t="n">
        <v>108.3</v>
      </c>
      <c r="BX194" s="2" t="n">
        <v>509</v>
      </c>
      <c r="BY194" s="2" t="n">
        <v>46.9</v>
      </c>
      <c r="BZ194" s="2" t="n">
        <v>11.1</v>
      </c>
      <c r="CA194" s="2" t="n">
        <v>58</v>
      </c>
      <c r="CF194" s="2" t="n">
        <v>102.9</v>
      </c>
      <c r="CG194" s="2" t="n">
        <v>120.9</v>
      </c>
      <c r="CH194" s="2" t="n">
        <v>10.1</v>
      </c>
      <c r="CN194" s="2" t="n">
        <v>30.6</v>
      </c>
      <c r="CO194" s="2" t="n">
        <v>162.9</v>
      </c>
      <c r="CP194" s="2" t="n">
        <v>87</v>
      </c>
      <c r="CQ194" s="2" t="n">
        <v>75.90000000000001</v>
      </c>
      <c r="CR194" s="2" t="inlineStr">
        <is>
          <t>NA</t>
        </is>
      </c>
      <c r="CS194" s="2" t="n">
        <v>46</v>
      </c>
      <c r="CT194" s="2" t="n">
        <v>32.5</v>
      </c>
      <c r="CU194" s="2" t="n">
        <v>13.5</v>
      </c>
      <c r="CV194" s="2" t="n">
        <v>16.4</v>
      </c>
      <c r="CW194" s="2" t="n">
        <v>5.3</v>
      </c>
      <c r="CX194" s="2" t="n">
        <v>11.1</v>
      </c>
      <c r="CY194" s="2" t="inlineStr">
        <is>
          <t>NA</t>
        </is>
      </c>
      <c r="CZ194" s="2" t="n">
        <v>54.7</v>
      </c>
      <c r="DA194" s="2" t="n">
        <v>21.3</v>
      </c>
      <c r="DB194" s="2" t="n">
        <v>20.3</v>
      </c>
      <c r="DC194" s="2" t="n">
        <v>1</v>
      </c>
      <c r="DG194" s="2" t="n">
        <v>119.157</v>
      </c>
      <c r="DI194" s="2" t="n">
        <v>599.092</v>
      </c>
      <c r="DJ194" s="2" t="n">
        <v>201.075</v>
      </c>
      <c r="DL194" s="2" t="n">
        <v>123.367</v>
      </c>
      <c r="DM194" s="2" t="n">
        <v>250.779</v>
      </c>
      <c r="DO194" s="2" t="n">
        <v>190.453</v>
      </c>
      <c r="DP194" s="2" t="n">
        <v>240.754</v>
      </c>
      <c r="DS194" s="2" t="n">
        <v>729.622</v>
      </c>
      <c r="DT194" s="2" t="n">
        <v>3223.867</v>
      </c>
      <c r="DU194" s="2" t="n">
        <v>-888.7250000000004</v>
      </c>
      <c r="DV194" s="2" t="n">
        <v>1.167000000000371</v>
      </c>
      <c r="GY194" s="2" t="n">
        <v>0.9654596100278551</v>
      </c>
      <c r="GZ194" s="2" t="n">
        <v>1039.8</v>
      </c>
      <c r="HA194" s="2" t="n">
        <v>1077</v>
      </c>
      <c r="HF194" s="2" t="n">
        <v>1043.3</v>
      </c>
      <c r="HG194" s="2" t="n">
        <v>1020.3</v>
      </c>
      <c r="HH194" s="2" t="n">
        <v>407.4</v>
      </c>
      <c r="HI194" s="2" t="n">
        <v>141.9</v>
      </c>
      <c r="HJ194" s="2" t="n">
        <v>451.5</v>
      </c>
      <c r="HK194" s="2" t="n">
        <v>19.5</v>
      </c>
      <c r="HL194" s="2" t="n">
        <v>23</v>
      </c>
      <c r="HP194" s="2" t="e">
        <v>#VALUE!</v>
      </c>
      <c r="HQ194" s="2" t="n">
        <v>3.6</v>
      </c>
      <c r="HR194" s="2" t="n">
        <v>9.1</v>
      </c>
      <c r="HS194" s="2" t="e">
        <v>#VALUE!</v>
      </c>
      <c r="HT194" s="2" t="n">
        <v>7.1</v>
      </c>
      <c r="HW194" s="2" t="n">
        <v>272.2</v>
      </c>
      <c r="HX194" s="2" t="e">
        <v>#VALUE!</v>
      </c>
      <c r="HY194" s="2" t="n">
        <v>272.2</v>
      </c>
      <c r="HZ194" s="2" t="n">
        <v>53.2</v>
      </c>
      <c r="IA194" s="2" t="n">
        <v>183.7</v>
      </c>
      <c r="IB194" s="2" t="e">
        <v>#VALUE!</v>
      </c>
      <c r="IC194" s="2" t="e">
        <v>#VALUE!</v>
      </c>
      <c r="ID194" s="2" t="e">
        <v>#VALUE!</v>
      </c>
      <c r="IE194" s="2" t="e">
        <v>#VALUE!</v>
      </c>
      <c r="IF194" s="2" t="n">
        <v>7.2</v>
      </c>
      <c r="IG194" s="2" t="n">
        <v>24.7</v>
      </c>
      <c r="IN194" s="2" t="n">
        <v>69</v>
      </c>
      <c r="IO194" s="2" t="n">
        <v>71.59999999999999</v>
      </c>
      <c r="IP194" s="2" t="e">
        <v>#VALUE!</v>
      </c>
      <c r="IQ194" s="2" t="n">
        <v>49.1</v>
      </c>
      <c r="IR194" s="2" t="n">
        <v>20.2</v>
      </c>
      <c r="IS194" s="2" t="e">
        <v>#VALUE!</v>
      </c>
      <c r="IT194" s="2" t="n">
        <v>24</v>
      </c>
      <c r="IU194" s="2" t="e">
        <v>#VALUE!</v>
      </c>
      <c r="IV194" s="2" t="e">
        <v>#VALUE!</v>
      </c>
      <c r="IY194" s="2" t="n">
        <v>47.21134452477737</v>
      </c>
      <c r="IZ194" s="2" t="n">
        <v>-0.1086554752226334</v>
      </c>
      <c r="JB194" s="2" t="n">
        <v>11.24895274149006</v>
      </c>
      <c r="JC194" s="2" t="n">
        <v>-0.03104725850994328</v>
      </c>
      <c r="JE194" s="2" t="n">
        <v>1136.7</v>
      </c>
      <c r="JF194" s="2" t="n">
        <v>0.3791765637371338</v>
      </c>
    </row>
    <row r="195">
      <c r="A195" s="1" t="n">
        <v>34973</v>
      </c>
      <c r="B195" s="2" t="n">
        <v>3618.4</v>
      </c>
      <c r="C195" s="2" t="n">
        <v>3766.9</v>
      </c>
      <c r="D195" s="2" t="n">
        <v>337.1</v>
      </c>
      <c r="E195" s="2" t="n">
        <v>1421.9</v>
      </c>
      <c r="F195" s="2" t="n">
        <v>17.4</v>
      </c>
      <c r="G195" s="2" t="inlineStr">
        <is>
          <t>NA</t>
        </is>
      </c>
      <c r="H195" s="2" t="inlineStr">
        <is>
          <t>NA</t>
        </is>
      </c>
      <c r="I195" s="2" t="inlineStr">
        <is>
          <t>NA</t>
        </is>
      </c>
      <c r="J195" s="2" t="inlineStr">
        <is>
          <t>NA</t>
        </is>
      </c>
      <c r="K195" s="2" t="n">
        <v>1354.2</v>
      </c>
      <c r="L195" s="2" t="n">
        <v>1195.9</v>
      </c>
      <c r="M195" s="2" t="n">
        <v>990.4</v>
      </c>
      <c r="N195" s="2" t="n">
        <v>205.5</v>
      </c>
      <c r="O195" s="2" t="n">
        <v>105.2</v>
      </c>
      <c r="P195" s="2" t="n">
        <v>82.5</v>
      </c>
      <c r="Q195" s="2" t="n">
        <v>32</v>
      </c>
      <c r="R195" s="2" t="n">
        <v>50.5</v>
      </c>
      <c r="T195" s="2" t="n">
        <v>13.2</v>
      </c>
      <c r="U195" s="2" t="n">
        <v>23.1</v>
      </c>
      <c r="V195" s="2" t="n">
        <v>20.4</v>
      </c>
      <c r="W195" s="2" t="n">
        <v>2.7</v>
      </c>
      <c r="X195" s="2" t="inlineStr">
        <is>
          <t>NA</t>
        </is>
      </c>
      <c r="Y195" s="2" t="inlineStr">
        <is>
          <t>NA</t>
        </is>
      </c>
      <c r="Z195" s="2" t="n">
        <v>78.5</v>
      </c>
      <c r="AA195" s="2" t="n">
        <v>72.2</v>
      </c>
      <c r="AB195" s="2" t="n">
        <v>6.3</v>
      </c>
      <c r="AC195" s="2" t="inlineStr">
        <is>
          <t>NA</t>
        </is>
      </c>
      <c r="AD195" s="2" t="n">
        <v>12.1</v>
      </c>
      <c r="AF195" s="2" t="n">
        <v>63.3</v>
      </c>
      <c r="AG195" s="2" t="n">
        <v>37.2</v>
      </c>
      <c r="AH195" s="2" t="n">
        <v>26.1</v>
      </c>
      <c r="AI195" s="2" t="n">
        <v>179.4</v>
      </c>
      <c r="AL195" s="2" t="n">
        <v>225.4</v>
      </c>
      <c r="AM195" s="2" t="n">
        <v>184</v>
      </c>
      <c r="AN195" s="2" t="n">
        <v>41.4</v>
      </c>
      <c r="AO195" s="2" t="n">
        <v>2702.9</v>
      </c>
      <c r="AP195" s="2" t="n">
        <v>167.8</v>
      </c>
      <c r="AQ195" s="2" t="n">
        <v>190.3</v>
      </c>
      <c r="AR195" s="2" t="n">
        <v>29.3</v>
      </c>
      <c r="AS195" s="2" t="n">
        <v>159.9</v>
      </c>
      <c r="AT195" s="2" t="n">
        <v>34</v>
      </c>
      <c r="AU195" s="2" t="n">
        <v>82.2</v>
      </c>
      <c r="AV195" s="2" t="n">
        <v>24.3</v>
      </c>
      <c r="AW195" s="2" t="n">
        <v>9.199999999999999</v>
      </c>
      <c r="AX195" s="2" t="n">
        <v>3.2</v>
      </c>
      <c r="AY195" s="2" t="inlineStr">
        <is>
          <t>NA</t>
        </is>
      </c>
      <c r="AZ195" s="2" t="inlineStr">
        <is>
          <t>NA</t>
        </is>
      </c>
      <c r="BA195" s="2" t="inlineStr">
        <is>
          <t>NA</t>
        </is>
      </c>
      <c r="BB195" s="2" t="inlineStr">
        <is>
          <t>NA</t>
        </is>
      </c>
      <c r="BD195" s="2" t="n">
        <v>131.5</v>
      </c>
      <c r="BE195" s="2" t="n">
        <v>45.1</v>
      </c>
      <c r="BH195" s="2" t="n">
        <v>324.1</v>
      </c>
      <c r="BK195" s="2" t="n">
        <v>254.4</v>
      </c>
      <c r="BL195" s="2" t="n">
        <v>4.1</v>
      </c>
      <c r="BM195" s="2" t="n">
        <v>582.6</v>
      </c>
      <c r="BN195" s="2" t="n">
        <v>252.9</v>
      </c>
      <c r="BQ195" s="2" t="n">
        <v>121.9</v>
      </c>
      <c r="BR195" s="2" t="n">
        <v>10.6</v>
      </c>
      <c r="BS195" s="2" t="n">
        <v>385.4</v>
      </c>
      <c r="BT195" s="2" t="inlineStr">
        <is>
          <t>NA</t>
        </is>
      </c>
      <c r="BU195" s="2" t="n">
        <v>19.9</v>
      </c>
      <c r="BV195" s="2" t="n">
        <v>420.9</v>
      </c>
      <c r="BW195" s="2" t="n">
        <v>112.9</v>
      </c>
      <c r="BX195" s="2" t="n">
        <v>539.1</v>
      </c>
      <c r="BY195" s="2" t="n">
        <v>44.4</v>
      </c>
      <c r="BZ195" s="2" t="n">
        <v>10.2</v>
      </c>
      <c r="CA195" s="2" t="n">
        <v>54.59999999999999</v>
      </c>
      <c r="CF195" s="2" t="n">
        <v>109.8</v>
      </c>
      <c r="CG195" s="2" t="n">
        <v>117.5</v>
      </c>
      <c r="CH195" s="2" t="n">
        <v>10.6</v>
      </c>
      <c r="CN195" s="2" t="n">
        <v>46.4</v>
      </c>
      <c r="CO195" s="2" t="n">
        <v>199.8</v>
      </c>
      <c r="CP195" s="2" t="n">
        <v>128.6</v>
      </c>
      <c r="CQ195" s="2" t="n">
        <v>71.2</v>
      </c>
      <c r="CR195" s="2" t="inlineStr">
        <is>
          <t>NA</t>
        </is>
      </c>
      <c r="CS195" s="2" t="n">
        <v>48</v>
      </c>
      <c r="CT195" s="2" t="n">
        <v>28.8</v>
      </c>
      <c r="CU195" s="2" t="n">
        <v>19.2</v>
      </c>
      <c r="CV195" s="2" t="n">
        <v>34.5</v>
      </c>
      <c r="CW195" s="2" t="n">
        <v>5.2</v>
      </c>
      <c r="CX195" s="2" t="n">
        <v>29.3</v>
      </c>
      <c r="CY195" s="2" t="inlineStr">
        <is>
          <t>NA</t>
        </is>
      </c>
      <c r="CZ195" s="2" t="n">
        <v>53.5</v>
      </c>
      <c r="DA195" s="2" t="n">
        <v>29.8</v>
      </c>
      <c r="DB195" s="2" t="n">
        <v>29.2</v>
      </c>
      <c r="DC195" s="2" t="n">
        <v>0.6</v>
      </c>
      <c r="DG195" s="2" t="n">
        <v>135.626</v>
      </c>
      <c r="DI195" s="2" t="n">
        <v>676.923</v>
      </c>
      <c r="DJ195" s="2" t="n">
        <v>222.603</v>
      </c>
      <c r="DL195" s="2" t="n">
        <v>164.958</v>
      </c>
      <c r="DM195" s="2" t="n">
        <v>246.956</v>
      </c>
      <c r="DO195" s="2" t="n">
        <v>220.108</v>
      </c>
      <c r="DP195" s="2" t="n">
        <v>267.175</v>
      </c>
      <c r="DS195" s="2" t="n">
        <v>832.944</v>
      </c>
      <c r="DT195" s="2" t="n">
        <v>3616.119</v>
      </c>
      <c r="DU195" s="2" t="n">
        <v>-984.4520000000002</v>
      </c>
      <c r="DV195" s="2" t="n">
        <v>-2.280999999999949</v>
      </c>
      <c r="GY195" s="2" t="n">
        <v>0.9710220371334376</v>
      </c>
      <c r="GZ195" s="2" t="n">
        <v>1119.2</v>
      </c>
      <c r="HA195" s="2" t="n">
        <v>1152.6</v>
      </c>
      <c r="HF195" s="2" t="n">
        <v>1093</v>
      </c>
      <c r="HG195" s="2" t="n">
        <v>1066.8</v>
      </c>
      <c r="HH195" s="2" t="n">
        <v>437.7</v>
      </c>
      <c r="HI195" s="2" t="n">
        <v>150.8</v>
      </c>
      <c r="HJ195" s="2" t="n">
        <v>461.2</v>
      </c>
      <c r="HK195" s="2" t="n">
        <v>17.1</v>
      </c>
      <c r="HL195" s="2" t="n">
        <v>26.2</v>
      </c>
      <c r="HP195" s="2" t="e">
        <v>#VALUE!</v>
      </c>
      <c r="HQ195" s="2" t="n">
        <v>3</v>
      </c>
      <c r="HR195" s="2" t="n">
        <v>10.2</v>
      </c>
      <c r="HS195" s="2" t="e">
        <v>#VALUE!</v>
      </c>
      <c r="HT195" s="2" t="n">
        <v>8.199999999999999</v>
      </c>
      <c r="HW195" s="2" t="n">
        <v>289.8</v>
      </c>
      <c r="HX195" s="2" t="e">
        <v>#VALUE!</v>
      </c>
      <c r="HY195" s="2" t="n">
        <v>289.8</v>
      </c>
      <c r="HZ195" s="2" t="n">
        <v>52.1</v>
      </c>
      <c r="IA195" s="2" t="n">
        <v>201.7</v>
      </c>
      <c r="IB195" s="2" t="e">
        <v>#VALUE!</v>
      </c>
      <c r="IC195" s="2" t="e">
        <v>#VALUE!</v>
      </c>
      <c r="ID195" s="2" t="e">
        <v>#VALUE!</v>
      </c>
      <c r="IE195" s="2" t="e">
        <v>#VALUE!</v>
      </c>
      <c r="IF195" s="2" t="n">
        <v>7.2</v>
      </c>
      <c r="IG195" s="2" t="n">
        <v>25.3</v>
      </c>
      <c r="IN195" s="2" t="n">
        <v>74</v>
      </c>
      <c r="IO195" s="2" t="n">
        <v>76.09999999999999</v>
      </c>
      <c r="IP195" s="2" t="e">
        <v>#VALUE!</v>
      </c>
      <c r="IQ195" s="2" t="n">
        <v>46.7</v>
      </c>
      <c r="IR195" s="2" t="n">
        <v>19.9</v>
      </c>
      <c r="IS195" s="2" t="e">
        <v>#VALUE!</v>
      </c>
      <c r="IT195" s="2" t="n">
        <v>21.1</v>
      </c>
      <c r="IU195" s="2" t="e">
        <v>#VALUE!</v>
      </c>
      <c r="IV195" s="2" t="e">
        <v>#VALUE!</v>
      </c>
      <c r="IY195" s="2" t="n">
        <v>47.97479548971922</v>
      </c>
      <c r="IZ195" s="2" t="n">
        <v>0.04479548971922043</v>
      </c>
      <c r="JB195" s="2" t="n">
        <v>11.22761441521114</v>
      </c>
      <c r="JC195" s="2" t="n">
        <v>-0.0523855847888548</v>
      </c>
      <c r="JE195" s="2" t="n">
        <v>1195.9</v>
      </c>
      <c r="JF195" s="2" t="n">
        <v>0.4031867212977673</v>
      </c>
    </row>
    <row r="196">
      <c r="A196" s="1" t="n">
        <v>35004</v>
      </c>
      <c r="B196" s="2" t="n">
        <v>3702.3</v>
      </c>
      <c r="C196" s="2" t="n">
        <v>3873.2</v>
      </c>
      <c r="D196" s="2" t="n">
        <v>386.7</v>
      </c>
      <c r="E196" s="2" t="n">
        <v>2335.2</v>
      </c>
      <c r="F196" s="2" t="n">
        <v>24</v>
      </c>
      <c r="G196" s="2" t="inlineStr">
        <is>
          <t>NA</t>
        </is>
      </c>
      <c r="H196" s="2" t="inlineStr">
        <is>
          <t>NA</t>
        </is>
      </c>
      <c r="I196" s="2" t="inlineStr">
        <is>
          <t>NA</t>
        </is>
      </c>
      <c r="J196" s="2" t="inlineStr">
        <is>
          <t>NA</t>
        </is>
      </c>
      <c r="K196" s="2" t="n">
        <v>1359.7</v>
      </c>
      <c r="L196" s="2" t="n">
        <v>1132</v>
      </c>
      <c r="M196" s="2" t="n">
        <v>908.9</v>
      </c>
      <c r="N196" s="2" t="n">
        <v>223.1</v>
      </c>
      <c r="O196" s="2" t="n">
        <v>121.6</v>
      </c>
      <c r="P196" s="2" t="n">
        <v>89.2</v>
      </c>
      <c r="Q196" s="2" t="n">
        <v>30.7</v>
      </c>
      <c r="R196" s="2" t="n">
        <v>58.5</v>
      </c>
      <c r="T196" s="2" t="n">
        <v>19.5</v>
      </c>
      <c r="U196" s="2" t="n">
        <v>21.6</v>
      </c>
      <c r="V196" s="2" t="n">
        <v>18.6</v>
      </c>
      <c r="W196" s="2" t="n">
        <v>3</v>
      </c>
      <c r="X196" s="2" t="inlineStr">
        <is>
          <t>NA</t>
        </is>
      </c>
      <c r="Y196" s="2" t="inlineStr">
        <is>
          <t>NA</t>
        </is>
      </c>
      <c r="Z196" s="2" t="n">
        <v>127</v>
      </c>
      <c r="AA196" s="2" t="n">
        <v>119.5</v>
      </c>
      <c r="AB196" s="2" t="n">
        <v>7.5</v>
      </c>
      <c r="AC196" s="2" t="inlineStr">
        <is>
          <t>NA</t>
        </is>
      </c>
      <c r="AD196" s="2" t="n">
        <v>12.2</v>
      </c>
      <c r="AF196" s="2" t="n">
        <v>46.5</v>
      </c>
      <c r="AG196" s="2" t="n">
        <v>26.3</v>
      </c>
      <c r="AH196" s="2" t="n">
        <v>20.2</v>
      </c>
      <c r="AI196" s="2" t="n">
        <v>173.8</v>
      </c>
      <c r="AL196" s="2" t="n">
        <v>201.3</v>
      </c>
      <c r="AM196" s="2" t="n">
        <v>172.1</v>
      </c>
      <c r="AN196" s="2" t="n">
        <v>29.2</v>
      </c>
      <c r="AO196" s="2" t="n">
        <v>2738.4</v>
      </c>
      <c r="AP196" s="2" t="n">
        <v>206.8</v>
      </c>
      <c r="AQ196" s="2" t="n">
        <v>210.6</v>
      </c>
      <c r="AR196" s="2" t="n">
        <v>34.7</v>
      </c>
      <c r="AS196" s="2" t="n">
        <v>178.2</v>
      </c>
      <c r="AT196" s="2" t="n">
        <v>27</v>
      </c>
      <c r="AU196" s="2" t="n">
        <v>99.3</v>
      </c>
      <c r="AV196" s="2" t="n">
        <v>14.6</v>
      </c>
      <c r="AW196" s="2" t="n">
        <v>11.4</v>
      </c>
      <c r="AX196" s="2" t="n">
        <v>1.9</v>
      </c>
      <c r="AY196" s="2" t="inlineStr">
        <is>
          <t>NA</t>
        </is>
      </c>
      <c r="AZ196" s="2" t="inlineStr">
        <is>
          <t>NA</t>
        </is>
      </c>
      <c r="BA196" s="2" t="inlineStr">
        <is>
          <t>NA</t>
        </is>
      </c>
      <c r="BB196" s="2" t="inlineStr">
        <is>
          <t>NA</t>
        </is>
      </c>
      <c r="BD196" s="2" t="n">
        <v>128.6</v>
      </c>
      <c r="BE196" s="2" t="n">
        <v>50.6</v>
      </c>
      <c r="BH196" s="2" t="n">
        <v>318.6</v>
      </c>
      <c r="BK196" s="2" t="n">
        <v>238.9</v>
      </c>
      <c r="BL196" s="2" t="n">
        <v>4.1</v>
      </c>
      <c r="BM196" s="2" t="n">
        <v>561.6</v>
      </c>
      <c r="BN196" s="2" t="n">
        <v>266.1</v>
      </c>
      <c r="BQ196" s="2" t="n">
        <v>105.8</v>
      </c>
      <c r="BR196" s="2" t="n">
        <v>10.9</v>
      </c>
      <c r="BS196" s="2" t="n">
        <v>382.8</v>
      </c>
      <c r="BT196" s="2" t="inlineStr">
        <is>
          <t>NA</t>
        </is>
      </c>
      <c r="BU196" s="2" t="n">
        <v>21.6</v>
      </c>
      <c r="BV196" s="2" t="n">
        <v>407.4</v>
      </c>
      <c r="BW196" s="2" t="n">
        <v>110.5</v>
      </c>
      <c r="BX196" s="2" t="n">
        <v>523.9</v>
      </c>
      <c r="BY196" s="2" t="n">
        <v>51.1</v>
      </c>
      <c r="BZ196" s="2" t="n">
        <v>12.1</v>
      </c>
      <c r="CA196" s="2" t="n">
        <v>63.2</v>
      </c>
      <c r="CF196" s="2" t="n">
        <v>105.2</v>
      </c>
      <c r="CG196" s="2" t="n">
        <v>112.9</v>
      </c>
      <c r="CH196" s="2" t="n">
        <v>7.9</v>
      </c>
      <c r="CN196" s="2" t="n">
        <v>39</v>
      </c>
      <c r="CO196" s="2" t="n">
        <v>187.7</v>
      </c>
      <c r="CP196" s="2" t="n">
        <v>101.6</v>
      </c>
      <c r="CQ196" s="2" t="n">
        <v>86.09999999999999</v>
      </c>
      <c r="CR196" s="2" t="inlineStr">
        <is>
          <t>NA</t>
        </is>
      </c>
      <c r="CS196" s="2" t="n">
        <v>44.4</v>
      </c>
      <c r="CT196" s="2" t="n">
        <v>26</v>
      </c>
      <c r="CU196" s="2" t="n">
        <v>18.4</v>
      </c>
      <c r="CV196" s="2" t="n">
        <v>43.4</v>
      </c>
      <c r="CW196" s="2" t="n">
        <v>6.4</v>
      </c>
      <c r="CX196" s="2" t="n">
        <v>37</v>
      </c>
      <c r="CY196" s="2" t="inlineStr">
        <is>
          <t>NA</t>
        </is>
      </c>
      <c r="CZ196" s="2" t="n">
        <v>48.8</v>
      </c>
      <c r="DA196" s="2" t="n">
        <v>37.3</v>
      </c>
      <c r="DB196" s="2" t="n">
        <v>36.5</v>
      </c>
      <c r="DC196" s="2" t="n">
        <v>0.8</v>
      </c>
      <c r="DG196" s="2" t="n">
        <v>132.3</v>
      </c>
      <c r="DI196" s="2" t="n">
        <v>667.202</v>
      </c>
      <c r="DJ196" s="2" t="n">
        <v>229.458</v>
      </c>
      <c r="DL196" s="2" t="n">
        <v>159.695</v>
      </c>
      <c r="DM196" s="2" t="n">
        <v>253.413</v>
      </c>
      <c r="DO196" s="2" t="n">
        <v>207.161</v>
      </c>
      <c r="DP196" s="2" t="n">
        <v>277.445</v>
      </c>
      <c r="DS196" s="2" t="n">
        <v>919.572</v>
      </c>
      <c r="DT196" s="2" t="n">
        <v>3699.984</v>
      </c>
      <c r="DU196" s="2" t="n">
        <v>-986.038</v>
      </c>
      <c r="DV196" s="2" t="n">
        <v>-2.316000000000258</v>
      </c>
      <c r="GY196" s="2" t="n">
        <v>0.9695458593054318</v>
      </c>
      <c r="GZ196" s="2" t="n">
        <v>1088.8</v>
      </c>
      <c r="HA196" s="2" t="n">
        <v>1123</v>
      </c>
      <c r="HF196" s="2" t="n">
        <v>1068.6</v>
      </c>
      <c r="HG196" s="2" t="n">
        <v>1045.5</v>
      </c>
      <c r="HH196" s="2" t="n">
        <v>414.9</v>
      </c>
      <c r="HI196" s="2" t="n">
        <v>166.6</v>
      </c>
      <c r="HJ196" s="2" t="n">
        <v>445.2</v>
      </c>
      <c r="HK196" s="2" t="n">
        <v>18.8</v>
      </c>
      <c r="HL196" s="2" t="n">
        <v>23.1</v>
      </c>
      <c r="HP196" s="2" t="e">
        <v>#VALUE!</v>
      </c>
      <c r="HQ196" s="2" t="n">
        <v>2.7</v>
      </c>
      <c r="HR196" s="2" t="n">
        <v>9.1</v>
      </c>
      <c r="HS196" s="2" t="e">
        <v>#VALUE!</v>
      </c>
      <c r="HT196" s="2" t="n">
        <v>8.4</v>
      </c>
      <c r="HW196" s="2" t="n">
        <v>274.5</v>
      </c>
      <c r="HX196" s="2" t="e">
        <v>#VALUE!</v>
      </c>
      <c r="HY196" s="2" t="n">
        <v>274.5</v>
      </c>
      <c r="HZ196" s="2" t="n">
        <v>51.2</v>
      </c>
      <c r="IA196" s="2" t="n">
        <v>190.1</v>
      </c>
      <c r="IB196" s="2" t="e">
        <v>#VALUE!</v>
      </c>
      <c r="IC196" s="2" t="e">
        <v>#VALUE!</v>
      </c>
      <c r="ID196" s="2" t="e">
        <v>#VALUE!</v>
      </c>
      <c r="IE196" s="2" t="e">
        <v>#VALUE!</v>
      </c>
      <c r="IF196" s="2" t="n">
        <v>7.6</v>
      </c>
      <c r="IG196" s="2" t="n">
        <v>22.1</v>
      </c>
      <c r="IN196" s="2" t="n">
        <v>89.5</v>
      </c>
      <c r="IO196" s="2" t="n">
        <v>91.8</v>
      </c>
      <c r="IP196" s="2" t="e">
        <v>#VALUE!</v>
      </c>
      <c r="IQ196" s="2" t="n">
        <v>40.5</v>
      </c>
      <c r="IR196" s="2" t="n">
        <v>17.5</v>
      </c>
      <c r="IS196" s="2" t="e">
        <v>#VALUE!</v>
      </c>
      <c r="IT196" s="2" t="n">
        <v>18.3</v>
      </c>
      <c r="IU196" s="2" t="e">
        <v>#VALUE!</v>
      </c>
      <c r="IV196" s="2" t="e">
        <v>#VALUE!</v>
      </c>
      <c r="IY196" s="2" t="n">
        <v>47.79191313507819</v>
      </c>
      <c r="IZ196" s="2" t="n">
        <v>0.01191313507818847</v>
      </c>
      <c r="JB196" s="2" t="n">
        <v>11.01774572563001</v>
      </c>
      <c r="JC196" s="2" t="n">
        <v>-0.06225427436998743</v>
      </c>
      <c r="JE196" s="2" t="n">
        <v>1132</v>
      </c>
      <c r="JF196" s="2" t="n">
        <v>0.3807464664310954</v>
      </c>
    </row>
    <row r="197">
      <c r="A197" s="1" t="n">
        <v>35034</v>
      </c>
      <c r="B197" s="2" t="n">
        <v>3753</v>
      </c>
      <c r="C197" s="2" t="n">
        <v>3599.1</v>
      </c>
      <c r="D197" s="2" t="n">
        <v>362.4</v>
      </c>
      <c r="E197" s="2" t="n">
        <v>2569.3</v>
      </c>
      <c r="F197" s="2" t="n">
        <v>29.3</v>
      </c>
      <c r="G197" s="2" t="inlineStr">
        <is>
          <t>NA</t>
        </is>
      </c>
      <c r="H197" s="2" t="inlineStr">
        <is>
          <t>NA</t>
        </is>
      </c>
      <c r="I197" s="2" t="inlineStr">
        <is>
          <t>NA</t>
        </is>
      </c>
      <c r="J197" s="2" t="inlineStr">
        <is>
          <t>NA</t>
        </is>
      </c>
      <c r="K197" s="2" t="n">
        <v>1381.6</v>
      </c>
      <c r="L197" s="2" t="n">
        <v>1408.9</v>
      </c>
      <c r="M197" s="2" t="n">
        <v>1154.3</v>
      </c>
      <c r="N197" s="2" t="n">
        <v>254.6</v>
      </c>
      <c r="O197" s="2" t="n">
        <v>111.6</v>
      </c>
      <c r="P197" s="2" t="n">
        <v>94.90000000000001</v>
      </c>
      <c r="Q197" s="2" t="n">
        <v>29</v>
      </c>
      <c r="R197" s="2" t="n">
        <v>65.90000000000001</v>
      </c>
      <c r="T197" s="2" t="n">
        <v>24.3</v>
      </c>
      <c r="U197" s="2" t="n">
        <v>22.7</v>
      </c>
      <c r="V197" s="2" t="n">
        <v>19.9</v>
      </c>
      <c r="W197" s="2" t="n">
        <v>2.8</v>
      </c>
      <c r="X197" s="2" t="inlineStr">
        <is>
          <t>NA</t>
        </is>
      </c>
      <c r="Y197" s="2" t="inlineStr">
        <is>
          <t>NA</t>
        </is>
      </c>
      <c r="Z197" s="2" t="n">
        <v>143.9</v>
      </c>
      <c r="AA197" s="2" t="n">
        <v>137.2</v>
      </c>
      <c r="AB197" s="2" t="n">
        <v>6.7</v>
      </c>
      <c r="AC197" s="2" t="inlineStr">
        <is>
          <t>NA</t>
        </is>
      </c>
      <c r="AD197" s="2" t="n">
        <v>12.7</v>
      </c>
      <c r="AF197" s="2" t="n">
        <v>54.2</v>
      </c>
      <c r="AG197" s="2" t="n">
        <v>35.7</v>
      </c>
      <c r="AH197" s="2" t="n">
        <v>18.5</v>
      </c>
      <c r="AI197" s="2" t="n">
        <v>184.5</v>
      </c>
      <c r="AL197" s="2" t="n">
        <v>196.4</v>
      </c>
      <c r="AM197" s="2" t="n">
        <v>150.3</v>
      </c>
      <c r="AN197" s="2" t="n">
        <v>46.1</v>
      </c>
      <c r="AO197" s="2" t="n">
        <v>2763.9</v>
      </c>
      <c r="AP197" s="2" t="n">
        <v>347.5</v>
      </c>
      <c r="AQ197" s="2" t="n">
        <v>208.3</v>
      </c>
      <c r="AR197" s="2" t="n">
        <v>47.7</v>
      </c>
      <c r="AS197" s="2" t="n">
        <v>161</v>
      </c>
      <c r="AT197" s="2" t="n">
        <v>21.2</v>
      </c>
      <c r="AU197" s="2" t="n">
        <v>96.3</v>
      </c>
      <c r="AV197" s="2" t="n">
        <v>20.7</v>
      </c>
      <c r="AW197" s="2" t="n">
        <v>16.6</v>
      </c>
      <c r="AX197" s="2" t="n">
        <v>3.1</v>
      </c>
      <c r="AY197" s="2" t="inlineStr">
        <is>
          <t>NA</t>
        </is>
      </c>
      <c r="AZ197" s="2" t="inlineStr">
        <is>
          <t>NA</t>
        </is>
      </c>
      <c r="BA197" s="2" t="inlineStr">
        <is>
          <t>NA</t>
        </is>
      </c>
      <c r="BB197" s="2" t="inlineStr">
        <is>
          <t>NA</t>
        </is>
      </c>
      <c r="BD197" s="2" t="n">
        <v>118.3</v>
      </c>
      <c r="BE197" s="2" t="n">
        <v>43.1</v>
      </c>
      <c r="BH197" s="2" t="n">
        <v>302</v>
      </c>
      <c r="BK197" s="2" t="n">
        <v>224.3</v>
      </c>
      <c r="BL197" s="2" t="n">
        <v>4.2</v>
      </c>
      <c r="BM197" s="2" t="n">
        <v>530.5</v>
      </c>
      <c r="BN197" s="2" t="n">
        <v>270.7</v>
      </c>
      <c r="BQ197" s="2" t="n">
        <v>95.2</v>
      </c>
      <c r="BR197" s="2" t="n">
        <v>6.9</v>
      </c>
      <c r="BS197" s="2" t="n">
        <v>372.8</v>
      </c>
      <c r="BT197" s="2" t="inlineStr">
        <is>
          <t>NA</t>
        </is>
      </c>
      <c r="BU197" s="2" t="n">
        <v>38.4</v>
      </c>
      <c r="BV197" s="2" t="n">
        <v>382.7</v>
      </c>
      <c r="BW197" s="2" t="n">
        <v>101.4</v>
      </c>
      <c r="BX197" s="2" t="n">
        <v>489.1</v>
      </c>
      <c r="BY197" s="2" t="n">
        <v>50.8</v>
      </c>
      <c r="BZ197" s="2" t="n">
        <v>9.6</v>
      </c>
      <c r="CA197" s="2" t="n">
        <v>60.4</v>
      </c>
      <c r="CF197" s="2" t="n">
        <v>105.2</v>
      </c>
      <c r="CG197" s="2" t="n">
        <v>100.7</v>
      </c>
      <c r="CH197" s="2" t="n">
        <v>6</v>
      </c>
      <c r="CN197" s="2" t="n">
        <v>42.1</v>
      </c>
      <c r="CO197" s="2" t="n">
        <v>164.8</v>
      </c>
      <c r="CP197" s="2" t="n">
        <v>102.4</v>
      </c>
      <c r="CQ197" s="2" t="n">
        <v>62.4</v>
      </c>
      <c r="CR197" s="2" t="inlineStr">
        <is>
          <t>NA</t>
        </is>
      </c>
      <c r="CS197" s="2" t="n">
        <v>45.3</v>
      </c>
      <c r="CT197" s="2" t="n">
        <v>23.2</v>
      </c>
      <c r="CU197" s="2" t="n">
        <v>22.1</v>
      </c>
      <c r="CV197" s="2" t="n">
        <v>43</v>
      </c>
      <c r="CW197" s="2" t="n">
        <v>7.7</v>
      </c>
      <c r="CX197" s="2" t="n">
        <v>35.3</v>
      </c>
      <c r="CY197" s="2" t="n">
        <v>13.2</v>
      </c>
      <c r="CZ197" s="2" t="n">
        <v>48.7</v>
      </c>
      <c r="DA197" s="2" t="n">
        <v>41.9</v>
      </c>
      <c r="DB197" s="2" t="n">
        <v>41.5</v>
      </c>
      <c r="DC197" s="2" t="n">
        <v>0.4</v>
      </c>
      <c r="DG197" s="2" t="n">
        <v>128.101</v>
      </c>
      <c r="DI197" s="2" t="n">
        <v>676.052</v>
      </c>
      <c r="DJ197" s="2" t="n">
        <v>218.647</v>
      </c>
      <c r="DL197" s="2" t="n">
        <v>164.821</v>
      </c>
      <c r="DM197" s="2" t="n">
        <v>262.967</v>
      </c>
      <c r="DO197" s="2" t="n">
        <v>223.574</v>
      </c>
      <c r="DP197" s="2" t="n">
        <v>276.745</v>
      </c>
      <c r="DS197" s="2" t="n">
        <v>904.765</v>
      </c>
      <c r="DT197" s="2" t="n">
        <v>3750.593</v>
      </c>
      <c r="DU197" s="2" t="n">
        <v>-1023.022</v>
      </c>
      <c r="DV197" s="2" t="n">
        <v>-2.407000000000153</v>
      </c>
      <c r="GY197" s="2" t="n">
        <v>0.9696306169078446</v>
      </c>
      <c r="GZ197" s="2" t="n">
        <v>1018.5</v>
      </c>
      <c r="HA197" s="2" t="n">
        <v>1050.4</v>
      </c>
      <c r="HF197" s="2" t="n">
        <v>1003.6</v>
      </c>
      <c r="HG197" s="2" t="n">
        <v>984.5</v>
      </c>
      <c r="HH197" s="2" t="n">
        <v>387</v>
      </c>
      <c r="HI197" s="2" t="n">
        <v>158.1</v>
      </c>
      <c r="HJ197" s="2" t="n">
        <v>421</v>
      </c>
      <c r="HK197" s="2" t="n">
        <v>18.4</v>
      </c>
      <c r="HL197" s="2" t="n">
        <v>19.1</v>
      </c>
      <c r="HP197" s="2" t="e">
        <v>#VALUE!</v>
      </c>
      <c r="HQ197" s="2" t="n">
        <v>2.4</v>
      </c>
      <c r="HR197" s="2" t="n">
        <v>5.9</v>
      </c>
      <c r="HS197" s="2" t="e">
        <v>#VALUE!</v>
      </c>
      <c r="HT197" s="2" t="n">
        <v>8.1</v>
      </c>
      <c r="HW197" s="2" t="n">
        <v>257.7</v>
      </c>
      <c r="HX197" s="2" t="e">
        <v>#VALUE!</v>
      </c>
      <c r="HY197" s="2" t="n">
        <v>257.7</v>
      </c>
      <c r="HZ197" s="2" t="n">
        <v>50.8</v>
      </c>
      <c r="IA197" s="2" t="n">
        <v>177.6</v>
      </c>
      <c r="IB197" s="2" t="e">
        <v>#VALUE!</v>
      </c>
      <c r="IC197" s="2" t="e">
        <v>#VALUE!</v>
      </c>
      <c r="ID197" s="2" t="e">
        <v>#VALUE!</v>
      </c>
      <c r="IE197" s="2" t="e">
        <v>#VALUE!</v>
      </c>
      <c r="IF197" s="2" t="n">
        <v>7.2</v>
      </c>
      <c r="IG197" s="2" t="n">
        <v>18.8</v>
      </c>
      <c r="IN197" s="2" t="n">
        <v>86.90000000000001</v>
      </c>
      <c r="IO197" s="2" t="n">
        <v>89.7</v>
      </c>
      <c r="IP197" s="2" t="e">
        <v>#VALUE!</v>
      </c>
      <c r="IQ197" s="2" t="n">
        <v>35.7</v>
      </c>
      <c r="IR197" s="2" t="n">
        <v>14.6</v>
      </c>
      <c r="IS197" s="2" t="e">
        <v>#VALUE!</v>
      </c>
      <c r="IT197" s="2" t="n">
        <v>16.4</v>
      </c>
      <c r="IU197" s="2" t="e">
        <v>#VALUE!</v>
      </c>
      <c r="IV197" s="2" t="e">
        <v>#VALUE!</v>
      </c>
      <c r="IY197" s="2" t="n">
        <v>47.51718625099921</v>
      </c>
      <c r="IZ197" s="2" t="n">
        <v>-0.1028137490007879</v>
      </c>
      <c r="JB197" s="2" t="n">
        <v>11.04396482813749</v>
      </c>
      <c r="JC197" s="2" t="n">
        <v>-0.07603517186250919</v>
      </c>
      <c r="JE197" s="2" t="n">
        <v>1408.9</v>
      </c>
      <c r="JF197" s="2" t="n">
        <v>0.4177784086876287</v>
      </c>
    </row>
    <row r="198">
      <c r="A198" s="1" t="n">
        <v>35065</v>
      </c>
      <c r="B198" s="2" t="n">
        <v>3683.8</v>
      </c>
      <c r="C198" s="2" t="n">
        <v>3708.6</v>
      </c>
      <c r="D198" s="2" t="n">
        <v>402.3</v>
      </c>
      <c r="E198" s="2" t="n">
        <v>2262.7</v>
      </c>
      <c r="F198" s="2" t="n">
        <v>34.5</v>
      </c>
      <c r="G198" s="2" t="inlineStr">
        <is>
          <t>NA</t>
        </is>
      </c>
      <c r="H198" s="2" t="inlineStr">
        <is>
          <t>NA</t>
        </is>
      </c>
      <c r="I198" s="2" t="inlineStr">
        <is>
          <t>NA</t>
        </is>
      </c>
      <c r="J198" s="2" t="inlineStr">
        <is>
          <t>NA</t>
        </is>
      </c>
      <c r="K198" s="2" t="n">
        <v>1361.2</v>
      </c>
      <c r="L198" s="2" t="n">
        <v>1512.6</v>
      </c>
      <c r="M198" s="2" t="n">
        <v>1237.4</v>
      </c>
      <c r="N198" s="2" t="n">
        <v>275.2</v>
      </c>
      <c r="O198" s="2" t="n">
        <v>130.9</v>
      </c>
      <c r="P198" s="2" t="n">
        <v>118.2</v>
      </c>
      <c r="Q198" s="2" t="n">
        <v>30.7</v>
      </c>
      <c r="R198" s="2" t="n">
        <v>87.5</v>
      </c>
      <c r="T198" s="2" t="n">
        <v>29.2</v>
      </c>
      <c r="U198" s="2" t="n">
        <v>40.5</v>
      </c>
      <c r="V198" s="2" t="n">
        <v>36.9</v>
      </c>
      <c r="W198" s="2" t="n">
        <v>3.6</v>
      </c>
      <c r="X198" s="2" t="inlineStr">
        <is>
          <t>NA</t>
        </is>
      </c>
      <c r="Y198" s="2" t="inlineStr">
        <is>
          <t>NA</t>
        </is>
      </c>
      <c r="Z198" s="2" t="n">
        <v>109</v>
      </c>
      <c r="AA198" s="2" t="n">
        <v>104.7</v>
      </c>
      <c r="AB198" s="2" t="n">
        <v>4.3</v>
      </c>
      <c r="AC198" s="2" t="inlineStr">
        <is>
          <t>NA</t>
        </is>
      </c>
      <c r="AD198" s="2" t="n">
        <v>8.5</v>
      </c>
      <c r="AF198" s="2" t="n">
        <v>50</v>
      </c>
      <c r="AG198" s="2" t="n">
        <v>31.2</v>
      </c>
      <c r="AH198" s="2" t="n">
        <v>18.8</v>
      </c>
      <c r="AI198" s="2" t="n">
        <v>186.1</v>
      </c>
      <c r="AL198" s="2" t="n">
        <v>166.6</v>
      </c>
      <c r="AM198" s="2" t="n">
        <v>134.3</v>
      </c>
      <c r="AN198" s="2" t="n">
        <v>32.3</v>
      </c>
      <c r="AO198" s="2" t="n">
        <v>2730.4</v>
      </c>
      <c r="AP198" s="2" t="n">
        <v>261.7</v>
      </c>
      <c r="AQ198" s="2" t="n">
        <v>214.8</v>
      </c>
      <c r="AR198" s="2" t="n">
        <v>40.5</v>
      </c>
      <c r="AS198" s="2" t="n">
        <v>183.8</v>
      </c>
      <c r="AT198" s="2" t="n">
        <v>15.6</v>
      </c>
      <c r="AU198" s="2" t="n">
        <v>103.9</v>
      </c>
      <c r="AV198" s="2" t="n">
        <v>26.2</v>
      </c>
      <c r="AW198" s="2" t="n">
        <v>19.8</v>
      </c>
      <c r="AX198" s="2" t="n">
        <v>3.1</v>
      </c>
      <c r="AY198" s="2" t="inlineStr">
        <is>
          <t>NA</t>
        </is>
      </c>
      <c r="AZ198" s="2" t="inlineStr">
        <is>
          <t>NA</t>
        </is>
      </c>
      <c r="BA198" s="2" t="inlineStr">
        <is>
          <t>NA</t>
        </is>
      </c>
      <c r="BB198" s="2" t="inlineStr">
        <is>
          <t>NA</t>
        </is>
      </c>
      <c r="BD198" s="2" t="n">
        <v>140.3</v>
      </c>
      <c r="BE198" s="2" t="n">
        <v>35.9</v>
      </c>
      <c r="BH198" s="2" t="n">
        <v>323.5</v>
      </c>
      <c r="BK198" s="2" t="n">
        <v>229.6</v>
      </c>
      <c r="BL198" s="2" t="n">
        <v>4.3</v>
      </c>
      <c r="BM198" s="2" t="n">
        <v>557.4</v>
      </c>
      <c r="BN198" s="2" t="n">
        <v>306.4</v>
      </c>
      <c r="BQ198" s="2" t="n">
        <v>93.59999999999999</v>
      </c>
      <c r="BR198" s="2" t="n">
        <v>6.7</v>
      </c>
      <c r="BS198" s="2" t="n">
        <v>406.7</v>
      </c>
      <c r="BT198" s="2" t="inlineStr">
        <is>
          <t>NA</t>
        </is>
      </c>
      <c r="BU198" s="2" t="n">
        <v>38.6</v>
      </c>
      <c r="BV198" s="2" t="n">
        <v>370.8</v>
      </c>
      <c r="BW198" s="2" t="n">
        <v>109.7</v>
      </c>
      <c r="BX198" s="2" t="n">
        <v>487.6</v>
      </c>
      <c r="BY198" s="2" t="n">
        <v>55.9</v>
      </c>
      <c r="BZ198" s="2" t="n">
        <v>11.2</v>
      </c>
      <c r="CA198" s="2" t="n">
        <v>67.09999999999999</v>
      </c>
      <c r="CF198" s="2" t="n">
        <v>120.5</v>
      </c>
      <c r="CG198" s="2" t="n">
        <v>105.7</v>
      </c>
      <c r="CH198" s="2" t="n">
        <v>7.9</v>
      </c>
      <c r="CN198" s="2" t="n">
        <v>39.8</v>
      </c>
      <c r="CO198" s="2" t="n">
        <v>229.1</v>
      </c>
      <c r="CP198" s="2" t="n">
        <v>146.3</v>
      </c>
      <c r="CQ198" s="2" t="n">
        <v>82.8</v>
      </c>
      <c r="CR198" s="2" t="inlineStr">
        <is>
          <t>NA</t>
        </is>
      </c>
      <c r="CS198" s="2" t="n">
        <v>58.8</v>
      </c>
      <c r="CT198" s="2" t="n">
        <v>37.1</v>
      </c>
      <c r="CU198" s="2" t="n">
        <v>21.7</v>
      </c>
      <c r="CV198" s="2" t="n">
        <v>50.4</v>
      </c>
      <c r="CW198" s="2" t="n">
        <v>10.5</v>
      </c>
      <c r="CX198" s="2" t="n">
        <v>39.9</v>
      </c>
      <c r="CY198" s="2" t="inlineStr">
        <is>
          <t>NA</t>
        </is>
      </c>
      <c r="CZ198" s="2" t="n">
        <v>58.3</v>
      </c>
      <c r="DA198" s="2" t="n">
        <v>43.5</v>
      </c>
      <c r="DB198" s="2" t="n">
        <v>43.2</v>
      </c>
      <c r="DC198" s="2" t="n">
        <v>0.3</v>
      </c>
      <c r="DG198" s="2" t="n">
        <v>124.3</v>
      </c>
      <c r="DI198" s="2" t="n">
        <v>639.9</v>
      </c>
      <c r="DJ198" s="2" t="n">
        <v>217.4</v>
      </c>
      <c r="DL198" s="2" t="n">
        <v>154.8</v>
      </c>
      <c r="DM198" s="2" t="n">
        <v>251.6</v>
      </c>
      <c r="DO198" s="2" t="n">
        <v>208.5</v>
      </c>
      <c r="DP198" s="2" t="n">
        <v>272.6</v>
      </c>
      <c r="DS198" s="2" t="n">
        <v>946.186</v>
      </c>
      <c r="DT198" s="2" t="n">
        <v>3683.8</v>
      </c>
      <c r="DU198" s="2" t="n">
        <v>-992.8140000000003</v>
      </c>
      <c r="DV198" s="2" t="n">
        <v>0</v>
      </c>
      <c r="GY198" s="2" t="n">
        <v>0.9662755152351838</v>
      </c>
      <c r="GZ198" s="2" t="n">
        <v>979.9</v>
      </c>
      <c r="HA198" s="2" t="n">
        <v>1014.1</v>
      </c>
      <c r="HF198" s="2" t="n">
        <v>964.9</v>
      </c>
      <c r="HG198" s="2" t="n">
        <v>944.1</v>
      </c>
      <c r="HH198" s="2" t="n">
        <v>357.3</v>
      </c>
      <c r="HI198" s="2" t="n">
        <v>141</v>
      </c>
      <c r="HJ198" s="2" t="n">
        <v>357.3</v>
      </c>
      <c r="HK198" s="2" t="n">
        <v>15.3</v>
      </c>
      <c r="HL198" s="2" t="n">
        <v>20.8</v>
      </c>
      <c r="HP198" s="2" t="e">
        <v>#VALUE!</v>
      </c>
      <c r="HQ198" s="2" t="n">
        <v>3</v>
      </c>
      <c r="HR198" s="2" t="n">
        <v>8.1</v>
      </c>
      <c r="HS198" s="2" t="e">
        <v>#VALUE!</v>
      </c>
      <c r="HT198" s="2" t="n">
        <v>7.3</v>
      </c>
      <c r="HW198" s="2" t="n">
        <v>249</v>
      </c>
      <c r="HX198" s="2" t="e">
        <v>#VALUE!</v>
      </c>
      <c r="HY198" s="2" t="n">
        <v>249</v>
      </c>
      <c r="HZ198" s="2" t="n">
        <v>35.2</v>
      </c>
      <c r="IA198" s="2" t="n">
        <v>178.9</v>
      </c>
      <c r="IB198" s="2" t="e">
        <v>#VALUE!</v>
      </c>
      <c r="IC198" s="2" t="e">
        <v>#VALUE!</v>
      </c>
      <c r="ID198" s="2" t="e">
        <v>#VALUE!</v>
      </c>
      <c r="IE198" s="2" t="e">
        <v>#VALUE!</v>
      </c>
      <c r="IF198" s="2" t="n">
        <v>7.5</v>
      </c>
      <c r="IG198" s="2" t="n">
        <v>19.9</v>
      </c>
      <c r="IN198" s="2" t="n">
        <v>91.7</v>
      </c>
      <c r="IO198" s="2" t="n">
        <v>94.5</v>
      </c>
      <c r="IP198" s="2" t="e">
        <v>#VALUE!</v>
      </c>
      <c r="IQ198" s="2" t="n">
        <v>39.8</v>
      </c>
      <c r="IR198" s="2" t="n">
        <v>14.3</v>
      </c>
      <c r="IS198" s="2" t="e">
        <v>#VALUE!</v>
      </c>
      <c r="IT198" s="2" t="n">
        <v>19.8</v>
      </c>
      <c r="IU198" s="2" t="e">
        <v>#VALUE!</v>
      </c>
      <c r="IV198" s="2" t="e">
        <v>#VALUE!</v>
      </c>
      <c r="IY198" s="2" t="n">
        <v>47.97003094630545</v>
      </c>
      <c r="IZ198" s="2" t="n">
        <v>0.3100309463054529</v>
      </c>
      <c r="JB198" s="2" t="n">
        <v>11.08529236114881</v>
      </c>
      <c r="JC198" s="2" t="n">
        <v>0.04529236114881385</v>
      </c>
      <c r="JE198" s="2" t="n">
        <v>1512.6</v>
      </c>
      <c r="JF198" s="2" t="n">
        <v>0.4503067565780774</v>
      </c>
    </row>
    <row r="199">
      <c r="A199" s="1" t="n">
        <v>35096</v>
      </c>
      <c r="B199" s="2" t="n">
        <v>3335.9</v>
      </c>
      <c r="C199" s="2" t="n">
        <v>3674</v>
      </c>
      <c r="D199" s="2" t="n">
        <v>373.5</v>
      </c>
      <c r="E199" s="2" t="n">
        <v>1955.3</v>
      </c>
      <c r="F199" s="2" t="n">
        <v>34.4</v>
      </c>
      <c r="G199" s="2" t="inlineStr">
        <is>
          <t>NA</t>
        </is>
      </c>
      <c r="H199" s="2" t="n">
        <v>54.5</v>
      </c>
      <c r="I199" s="2" t="inlineStr">
        <is>
          <t>NA</t>
        </is>
      </c>
      <c r="J199" s="2" t="inlineStr">
        <is>
          <t>NA</t>
        </is>
      </c>
      <c r="K199" s="2" t="n">
        <v>1235.8</v>
      </c>
      <c r="L199" s="2" t="n">
        <v>1521.4</v>
      </c>
      <c r="M199" s="2" t="n">
        <v>1264.2</v>
      </c>
      <c r="N199" s="2" t="n">
        <v>257.2</v>
      </c>
      <c r="O199" s="2" t="n">
        <v>121.4</v>
      </c>
      <c r="P199" s="2" t="n">
        <v>147.2</v>
      </c>
      <c r="Q199" s="2" t="n">
        <v>50.3</v>
      </c>
      <c r="R199" s="2" t="n">
        <v>96.90000000000001</v>
      </c>
      <c r="T199" s="2" t="n">
        <v>29.1</v>
      </c>
      <c r="U199" s="2" t="n">
        <v>38.5</v>
      </c>
      <c r="V199" s="2" t="n">
        <v>35.5</v>
      </c>
      <c r="W199" s="2" t="n">
        <v>3</v>
      </c>
      <c r="X199" s="2" t="inlineStr">
        <is>
          <t>NA</t>
        </is>
      </c>
      <c r="Y199" s="2" t="n">
        <v>3.9</v>
      </c>
      <c r="Z199" s="2" t="n">
        <v>59.40000000000001</v>
      </c>
      <c r="AA199" s="2" t="n">
        <v>53.7</v>
      </c>
      <c r="AB199" s="2" t="n">
        <v>5.7</v>
      </c>
      <c r="AC199" s="2" t="inlineStr">
        <is>
          <t>NA</t>
        </is>
      </c>
      <c r="AD199" s="2" t="n">
        <v>10.2</v>
      </c>
      <c r="AF199" s="2" t="n">
        <v>45.8</v>
      </c>
      <c r="AG199" s="2" t="n">
        <v>27.6</v>
      </c>
      <c r="AH199" s="2" t="n">
        <v>18.2</v>
      </c>
      <c r="AI199" s="2" t="n">
        <v>165.2</v>
      </c>
      <c r="AL199" s="2" t="n">
        <v>146.5</v>
      </c>
      <c r="AM199" s="2" t="n">
        <v>94.8</v>
      </c>
      <c r="AN199" s="2" t="n">
        <v>51.7</v>
      </c>
      <c r="AO199" s="2" t="n">
        <v>2466.7</v>
      </c>
      <c r="AP199" s="2" t="n">
        <v>188.3</v>
      </c>
      <c r="AQ199" s="2" t="n">
        <v>185.4</v>
      </c>
      <c r="AR199" s="2" t="n">
        <v>41.5</v>
      </c>
      <c r="AS199" s="2" t="n">
        <v>169.8</v>
      </c>
      <c r="AT199" s="2" t="n">
        <v>20.7</v>
      </c>
      <c r="AU199" s="2" t="n">
        <v>97.40000000000001</v>
      </c>
      <c r="AV199" s="2" t="n">
        <v>28.8</v>
      </c>
      <c r="AW199" s="2" t="n">
        <v>19.1</v>
      </c>
      <c r="AX199" s="2" t="n">
        <v>3.9</v>
      </c>
      <c r="AY199" s="2" t="inlineStr">
        <is>
          <t>NA</t>
        </is>
      </c>
      <c r="AZ199" s="2" t="inlineStr">
        <is>
          <t>NA</t>
        </is>
      </c>
      <c r="BA199" s="2" t="inlineStr">
        <is>
          <t>NA</t>
        </is>
      </c>
      <c r="BB199" s="2" t="inlineStr">
        <is>
          <t>NA</t>
        </is>
      </c>
      <c r="BD199" s="2" t="n">
        <v>133.6</v>
      </c>
      <c r="BE199" s="2" t="n">
        <v>47.9</v>
      </c>
      <c r="BH199" s="2" t="n">
        <v>302.3</v>
      </c>
      <c r="BK199" s="2" t="n">
        <v>221.8</v>
      </c>
      <c r="BL199" s="2" t="n">
        <v>3.4</v>
      </c>
      <c r="BM199" s="2" t="n">
        <v>527.5</v>
      </c>
      <c r="BN199" s="2" t="n">
        <v>276.4</v>
      </c>
      <c r="BQ199" s="2" t="n">
        <v>114.7</v>
      </c>
      <c r="BR199" s="2" t="n">
        <v>7.6</v>
      </c>
      <c r="BS199" s="2" t="n">
        <v>398.7</v>
      </c>
      <c r="BT199" s="2" t="inlineStr">
        <is>
          <t>NA</t>
        </is>
      </c>
      <c r="BU199" s="2" t="n">
        <v>25.8</v>
      </c>
      <c r="BV199" s="2" t="n">
        <v>348.8</v>
      </c>
      <c r="BW199" s="2" t="n">
        <v>102</v>
      </c>
      <c r="BX199" s="2" t="n">
        <v>457.9</v>
      </c>
      <c r="BY199" s="2" t="n">
        <v>52.6</v>
      </c>
      <c r="BZ199" s="2" t="n">
        <v>10</v>
      </c>
      <c r="CA199" s="2" t="n">
        <v>62.6</v>
      </c>
      <c r="CF199" s="2" t="n">
        <v>128.3</v>
      </c>
      <c r="CG199" s="2" t="n">
        <v>120.3</v>
      </c>
      <c r="CH199" s="2" t="n">
        <v>9.699999999999999</v>
      </c>
      <c r="CN199" s="2" t="n">
        <v>38.6</v>
      </c>
      <c r="CO199" s="2" t="n">
        <v>200.4</v>
      </c>
      <c r="CP199" s="2" t="n">
        <v>120</v>
      </c>
      <c r="CQ199" s="2" t="n">
        <v>80.40000000000001</v>
      </c>
      <c r="CR199" s="2" t="inlineStr">
        <is>
          <t>NA</t>
        </is>
      </c>
      <c r="CS199" s="2" t="n">
        <v>64</v>
      </c>
      <c r="CT199" s="2" t="n">
        <v>44.1</v>
      </c>
      <c r="CU199" s="2" t="n">
        <v>19.9</v>
      </c>
      <c r="CV199" s="2" t="n">
        <v>46.8</v>
      </c>
      <c r="CW199" s="2" t="n">
        <v>10.4</v>
      </c>
      <c r="CX199" s="2" t="n">
        <v>36.4</v>
      </c>
      <c r="CY199" s="2" t="inlineStr">
        <is>
          <t>NA</t>
        </is>
      </c>
      <c r="CZ199" s="2" t="n">
        <v>71.8</v>
      </c>
      <c r="DA199" s="2" t="n">
        <v>45.5</v>
      </c>
      <c r="DB199" s="2" t="n">
        <v>45.1</v>
      </c>
      <c r="DC199" s="2" t="n">
        <v>0.4</v>
      </c>
      <c r="DG199" s="2" t="n">
        <v>111.8</v>
      </c>
      <c r="DI199" s="2" t="n">
        <v>553.9</v>
      </c>
      <c r="DJ199" s="2" t="n">
        <v>207.6</v>
      </c>
      <c r="DL199" s="2" t="n">
        <v>140.2</v>
      </c>
      <c r="DM199" s="2" t="n">
        <v>240.3</v>
      </c>
      <c r="DO199" s="2" t="n">
        <v>190.1</v>
      </c>
      <c r="DP199" s="2" t="n">
        <v>268.7</v>
      </c>
      <c r="DS199" s="2" t="n">
        <v>825.77</v>
      </c>
      <c r="DT199" s="2" t="n">
        <v>3335.9</v>
      </c>
      <c r="DU199" s="2" t="n">
        <v>-909.3300000000004</v>
      </c>
      <c r="DV199" s="2" t="n">
        <v>0</v>
      </c>
      <c r="GY199" s="2" t="n">
        <v>0.980583543240974</v>
      </c>
      <c r="GZ199" s="2" t="n">
        <v>934.3</v>
      </c>
      <c r="HA199" s="2" t="n">
        <v>952.8</v>
      </c>
      <c r="HF199" s="2" t="n">
        <v>927.4</v>
      </c>
      <c r="HG199" s="2" t="n">
        <v>906.6</v>
      </c>
      <c r="HH199" s="2" t="n">
        <v>358.3</v>
      </c>
      <c r="HI199" s="2" t="n">
        <v>137</v>
      </c>
      <c r="HJ199" s="2" t="n">
        <v>358.3</v>
      </c>
      <c r="HK199" s="2" t="n">
        <v>11.6</v>
      </c>
      <c r="HL199" s="2" t="n">
        <v>20.8</v>
      </c>
      <c r="HP199" s="2" t="e">
        <v>#VALUE!</v>
      </c>
      <c r="HQ199" s="2" t="n">
        <v>3.8</v>
      </c>
      <c r="HR199" s="2" t="n">
        <v>7.8</v>
      </c>
      <c r="HS199" s="2" t="e">
        <v>#VALUE!</v>
      </c>
      <c r="HT199" s="2" t="n">
        <v>6.7</v>
      </c>
      <c r="HW199" s="2" t="n">
        <v>256.7</v>
      </c>
      <c r="HX199" s="2" t="e">
        <v>#VALUE!</v>
      </c>
      <c r="HY199" s="2" t="n">
        <v>256.7</v>
      </c>
      <c r="HZ199" s="2" t="n">
        <v>46.8</v>
      </c>
      <c r="IA199" s="2" t="n">
        <v>175</v>
      </c>
      <c r="IB199" s="2" t="e">
        <v>#VALUE!</v>
      </c>
      <c r="IC199" s="2" t="e">
        <v>#VALUE!</v>
      </c>
      <c r="ID199" s="2" t="e">
        <v>#VALUE!</v>
      </c>
      <c r="IE199" s="2" t="e">
        <v>#VALUE!</v>
      </c>
      <c r="IF199" s="2" t="n">
        <v>7.1</v>
      </c>
      <c r="IG199" s="2" t="n">
        <v>21.1</v>
      </c>
      <c r="IN199" s="2" t="n">
        <v>84.59999999999999</v>
      </c>
      <c r="IO199" s="2" t="n">
        <v>87.2</v>
      </c>
      <c r="IP199" s="2" t="e">
        <v>#VALUE!</v>
      </c>
      <c r="IQ199" s="2" t="n">
        <v>39.2</v>
      </c>
      <c r="IR199" s="2" t="n">
        <v>15.7</v>
      </c>
      <c r="IS199" s="2" t="e">
        <v>#VALUE!</v>
      </c>
      <c r="IT199" s="2" t="n">
        <v>18.4</v>
      </c>
      <c r="IU199" s="2" t="e">
        <v>#VALUE!</v>
      </c>
      <c r="IV199" s="2" t="e">
        <v>#VALUE!</v>
      </c>
      <c r="IY199" s="2" t="n">
        <v>47.7010701759645</v>
      </c>
      <c r="IZ199" s="2" t="n">
        <v>0.02107017596450333</v>
      </c>
      <c r="JB199" s="2" t="n">
        <v>11.11364249527863</v>
      </c>
      <c r="JC199" s="2" t="n">
        <v>0.02364249527863471</v>
      </c>
      <c r="JE199" s="2" t="n">
        <v>1521.4</v>
      </c>
      <c r="JF199" s="2" t="n">
        <v>0.4379104771920599</v>
      </c>
    </row>
    <row r="200">
      <c r="A200" s="1" t="n">
        <v>35125</v>
      </c>
      <c r="B200" s="2" t="n">
        <v>3464.7</v>
      </c>
      <c r="C200" s="2" t="n">
        <v>3319</v>
      </c>
      <c r="D200" s="2" t="n">
        <v>381.4</v>
      </c>
      <c r="E200" s="2" t="n">
        <v>1608</v>
      </c>
      <c r="F200" s="2" t="n">
        <v>38.2</v>
      </c>
      <c r="G200" s="2" t="inlineStr">
        <is>
          <t>NA</t>
        </is>
      </c>
      <c r="H200" s="2" t="n">
        <v>32.5</v>
      </c>
      <c r="I200" s="2" t="inlineStr">
        <is>
          <t>NA</t>
        </is>
      </c>
      <c r="J200" s="2" t="inlineStr">
        <is>
          <t>NA</t>
        </is>
      </c>
      <c r="K200" s="2" t="n">
        <v>1291.9</v>
      </c>
      <c r="L200" s="2" t="n">
        <v>1653.6</v>
      </c>
      <c r="M200" s="2" t="n">
        <v>1366.6</v>
      </c>
      <c r="N200" s="2" t="n">
        <v>287</v>
      </c>
      <c r="O200" s="2" t="n">
        <v>125.6</v>
      </c>
      <c r="P200" s="2" t="n">
        <v>151.2</v>
      </c>
      <c r="Q200" s="2" t="n">
        <v>53.2</v>
      </c>
      <c r="R200" s="2" t="n">
        <v>98</v>
      </c>
      <c r="T200" s="2" t="n">
        <v>31.9</v>
      </c>
      <c r="U200" s="2" t="n">
        <v>32.1</v>
      </c>
      <c r="V200" s="2" t="n">
        <v>28.6</v>
      </c>
      <c r="W200" s="2" t="n">
        <v>3.5</v>
      </c>
      <c r="X200" s="2" t="inlineStr">
        <is>
          <t>NA</t>
        </is>
      </c>
      <c r="Y200" s="2" t="n">
        <v>3.4</v>
      </c>
      <c r="Z200" s="2" t="n">
        <v>113.9</v>
      </c>
      <c r="AA200" s="2" t="n">
        <v>102.8</v>
      </c>
      <c r="AB200" s="2" t="n">
        <v>11.1</v>
      </c>
      <c r="AC200" s="2" t="inlineStr">
        <is>
          <t>NA</t>
        </is>
      </c>
      <c r="AD200" s="2" t="n">
        <v>12.7</v>
      </c>
      <c r="AF200" s="2" t="n">
        <v>53.7</v>
      </c>
      <c r="AG200" s="2" t="n">
        <v>31.4</v>
      </c>
      <c r="AH200" s="2" t="n">
        <v>22.3</v>
      </c>
      <c r="AI200" s="2" t="n">
        <v>197.9</v>
      </c>
      <c r="AL200" s="2" t="n">
        <v>158.8</v>
      </c>
      <c r="AM200" s="2" t="n">
        <v>92.5</v>
      </c>
      <c r="AN200" s="2" t="n">
        <v>66.3</v>
      </c>
      <c r="AO200" s="2" t="n">
        <v>2562.2</v>
      </c>
      <c r="AP200" s="2" t="n">
        <v>315</v>
      </c>
      <c r="AQ200" s="2" t="n">
        <v>195.3</v>
      </c>
      <c r="AR200" s="2" t="n">
        <v>54.2</v>
      </c>
      <c r="AS200" s="2" t="n">
        <v>168.3</v>
      </c>
      <c r="AT200" s="2" t="n">
        <v>30.7</v>
      </c>
      <c r="AU200" s="2" t="n">
        <v>102.4</v>
      </c>
      <c r="AV200" s="2" t="n">
        <v>30.3</v>
      </c>
      <c r="AW200" s="2" t="n">
        <v>21.5</v>
      </c>
      <c r="AX200" s="2" t="n">
        <v>3.5</v>
      </c>
      <c r="AY200" s="2" t="inlineStr">
        <is>
          <t>NA</t>
        </is>
      </c>
      <c r="AZ200" s="2" t="inlineStr">
        <is>
          <t>NA</t>
        </is>
      </c>
      <c r="BA200" s="2" t="inlineStr">
        <is>
          <t>NA</t>
        </is>
      </c>
      <c r="BB200" s="2" t="inlineStr">
        <is>
          <t>NA</t>
        </is>
      </c>
      <c r="BD200" s="2" t="n">
        <v>131.7</v>
      </c>
      <c r="BE200" s="2" t="n">
        <v>44</v>
      </c>
      <c r="BH200" s="2" t="n">
        <v>307</v>
      </c>
      <c r="BK200" s="2" t="n">
        <v>222.9</v>
      </c>
      <c r="BL200" s="2" t="n">
        <v>4.2</v>
      </c>
      <c r="BM200" s="2" t="n">
        <v>534.1</v>
      </c>
      <c r="BN200" s="2" t="n">
        <v>274.1</v>
      </c>
      <c r="BQ200" s="2" t="n">
        <v>120.7</v>
      </c>
      <c r="BR200" s="2" t="n">
        <v>5.4</v>
      </c>
      <c r="BS200" s="2" t="n">
        <v>400.2</v>
      </c>
      <c r="BT200" s="2" t="inlineStr">
        <is>
          <t>NA</t>
        </is>
      </c>
      <c r="BU200" s="2" t="n">
        <v>28.8</v>
      </c>
      <c r="BV200" s="2" t="n">
        <v>358.7</v>
      </c>
      <c r="BW200" s="2" t="n">
        <v>103.8</v>
      </c>
      <c r="BX200" s="2" t="n">
        <v>469.7</v>
      </c>
      <c r="BY200" s="2" t="n">
        <v>47.3</v>
      </c>
      <c r="BZ200" s="2" t="n">
        <v>11.1</v>
      </c>
      <c r="CA200" s="2" t="n">
        <v>58.4</v>
      </c>
      <c r="CF200" s="2" t="n">
        <v>131.9</v>
      </c>
      <c r="CG200" s="2" t="n">
        <v>145.9</v>
      </c>
      <c r="CH200" s="2" t="n">
        <v>8.5</v>
      </c>
      <c r="CN200" s="2" t="n">
        <v>40</v>
      </c>
      <c r="CO200" s="2" t="n">
        <v>217.6</v>
      </c>
      <c r="CP200" s="2" t="n">
        <v>127.3</v>
      </c>
      <c r="CQ200" s="2" t="n">
        <v>90.3</v>
      </c>
      <c r="CR200" s="2" t="inlineStr">
        <is>
          <t>NA</t>
        </is>
      </c>
      <c r="CS200" s="2" t="n">
        <v>62</v>
      </c>
      <c r="CT200" s="2" t="n">
        <v>45.5</v>
      </c>
      <c r="CU200" s="2" t="n">
        <v>16.5</v>
      </c>
      <c r="CV200" s="2" t="n">
        <v>63.6</v>
      </c>
      <c r="CW200" s="2" t="n">
        <v>15</v>
      </c>
      <c r="CX200" s="2" t="n">
        <v>48.6</v>
      </c>
      <c r="CY200" s="2" t="inlineStr">
        <is>
          <t>NA</t>
        </is>
      </c>
      <c r="CZ200" s="2" t="n">
        <v>78.2</v>
      </c>
      <c r="DA200" s="2" t="n">
        <v>55.5</v>
      </c>
      <c r="DB200" s="2" t="n">
        <v>54.5</v>
      </c>
      <c r="DC200" s="2" t="n">
        <v>1</v>
      </c>
      <c r="DG200" s="2" t="n">
        <v>106.5</v>
      </c>
      <c r="DI200" s="2" t="n">
        <v>567.9</v>
      </c>
      <c r="DJ200" s="2" t="n">
        <v>210.9</v>
      </c>
      <c r="DM200" s="2" t="n">
        <v>253.2</v>
      </c>
      <c r="DO200" s="2" t="n">
        <v>195.2</v>
      </c>
      <c r="DP200" s="2" t="n">
        <v>282.4</v>
      </c>
      <c r="DS200" s="2" t="n">
        <v>892.299</v>
      </c>
      <c r="DT200" s="2" t="n">
        <v>3464.7</v>
      </c>
      <c r="DU200" s="2" t="n">
        <v>-1062.801</v>
      </c>
      <c r="DV200" s="2" t="n">
        <v>0</v>
      </c>
      <c r="GY200" s="2" t="n">
        <v>0.9651022864019253</v>
      </c>
      <c r="GZ200" s="2" t="n">
        <v>1042.6</v>
      </c>
      <c r="HA200" s="2" t="n">
        <v>1080.3</v>
      </c>
      <c r="HF200" s="2" t="n">
        <v>1026.4</v>
      </c>
      <c r="HG200" s="2" t="n">
        <v>999.4</v>
      </c>
      <c r="HH200" s="2" t="n">
        <v>402.9</v>
      </c>
      <c r="HI200" s="2" t="n">
        <v>149.2</v>
      </c>
      <c r="HJ200" s="2" t="n">
        <v>402.9</v>
      </c>
      <c r="HK200" s="2" t="n">
        <v>15.5</v>
      </c>
      <c r="HL200" s="2" t="n">
        <v>27</v>
      </c>
      <c r="HP200" s="2" t="e">
        <v>#VALUE!</v>
      </c>
      <c r="HQ200" s="2" t="n">
        <v>5.6</v>
      </c>
      <c r="HR200" s="2" t="n">
        <v>11.2</v>
      </c>
      <c r="HS200" s="2" t="e">
        <v>#VALUE!</v>
      </c>
      <c r="HT200" s="2" t="n">
        <v>7.4</v>
      </c>
      <c r="HW200" s="2" t="n">
        <v>268.3</v>
      </c>
      <c r="HX200" s="2" t="e">
        <v>#VALUE!</v>
      </c>
      <c r="HY200" s="2" t="n">
        <v>268.3</v>
      </c>
      <c r="HZ200" s="2" t="n">
        <v>49</v>
      </c>
      <c r="IA200" s="2" t="n">
        <v>184.2</v>
      </c>
      <c r="IB200" s="2" t="e">
        <v>#VALUE!</v>
      </c>
      <c r="IC200" s="2" t="e">
        <v>#VALUE!</v>
      </c>
      <c r="ID200" s="2" t="e">
        <v>#VALUE!</v>
      </c>
      <c r="IE200" s="2" t="e">
        <v>#VALUE!</v>
      </c>
      <c r="IF200" s="2" t="n">
        <v>7.4</v>
      </c>
      <c r="IG200" s="2" t="n">
        <v>21.3</v>
      </c>
      <c r="IN200" s="2" t="n">
        <v>89.8</v>
      </c>
      <c r="IO200" s="2" t="n">
        <v>92.09999999999999</v>
      </c>
      <c r="IP200" s="2" t="e">
        <v>#VALUE!</v>
      </c>
      <c r="IQ200" s="2" t="n">
        <v>39.5</v>
      </c>
      <c r="IR200" s="2" t="n">
        <v>18.3</v>
      </c>
      <c r="IS200" s="2" t="e">
        <v>#VALUE!</v>
      </c>
      <c r="IT200" s="2" t="n">
        <v>17.3</v>
      </c>
      <c r="IU200" s="2" t="e">
        <v>#VALUE!</v>
      </c>
      <c r="IV200" s="2" t="e">
        <v>#VALUE!</v>
      </c>
      <c r="IY200" s="2" t="n">
        <v>47.75305221231276</v>
      </c>
      <c r="IZ200" s="2" t="n">
        <v>0.1330522123127622</v>
      </c>
      <c r="JB200" s="2" t="n">
        <v>11.18624989176552</v>
      </c>
      <c r="JC200" s="2" t="n">
        <v>-0.04375010823447845</v>
      </c>
      <c r="JE200" s="2" t="n">
        <v>1653.6</v>
      </c>
      <c r="JF200" s="2" t="n">
        <v>0.417138969521045</v>
      </c>
    </row>
    <row r="201">
      <c r="A201" s="1" t="n">
        <v>35156</v>
      </c>
      <c r="B201" s="2" t="n">
        <v>3364.2</v>
      </c>
      <c r="C201" s="2" t="n">
        <v>3125.8</v>
      </c>
      <c r="D201" s="2" t="n">
        <v>354.4</v>
      </c>
      <c r="E201" s="2" t="n">
        <v>1336.3</v>
      </c>
      <c r="F201" s="2" t="n">
        <v>44.2</v>
      </c>
      <c r="G201" s="2" t="inlineStr">
        <is>
          <t>NA</t>
        </is>
      </c>
      <c r="H201" s="2" t="n">
        <v>33.4</v>
      </c>
      <c r="I201" s="2" t="inlineStr">
        <is>
          <t>NA</t>
        </is>
      </c>
      <c r="J201" s="2" t="inlineStr">
        <is>
          <t>NA</t>
        </is>
      </c>
      <c r="K201" s="2" t="n">
        <v>1259.3</v>
      </c>
      <c r="L201" s="2" t="n">
        <v>1747.4</v>
      </c>
      <c r="M201" s="2" t="n">
        <v>1490.1</v>
      </c>
      <c r="N201" s="2" t="n">
        <v>257.3</v>
      </c>
      <c r="O201" s="2" t="n">
        <v>111.6</v>
      </c>
      <c r="P201" s="2" t="n">
        <v>155.6</v>
      </c>
      <c r="Q201" s="2" t="n">
        <v>57.7</v>
      </c>
      <c r="R201" s="2" t="n">
        <v>97.90000000000001</v>
      </c>
      <c r="T201" s="2" t="n">
        <v>36.8</v>
      </c>
      <c r="U201" s="2" t="n">
        <v>41.5</v>
      </c>
      <c r="V201" s="2" t="n">
        <v>38.9</v>
      </c>
      <c r="W201" s="2" t="n">
        <v>2.6</v>
      </c>
      <c r="X201" s="2" t="inlineStr">
        <is>
          <t>NA</t>
        </is>
      </c>
      <c r="Y201" s="2" t="n">
        <v>3</v>
      </c>
      <c r="Z201" s="2" t="n">
        <v>117.3</v>
      </c>
      <c r="AA201" s="2" t="n">
        <v>108.4</v>
      </c>
      <c r="AB201" s="2" t="n">
        <v>8.9</v>
      </c>
      <c r="AC201" s="2" t="inlineStr">
        <is>
          <t>NA</t>
        </is>
      </c>
      <c r="AD201" s="2" t="n">
        <v>9.1</v>
      </c>
      <c r="AF201" s="2" t="n">
        <v>65.2</v>
      </c>
      <c r="AG201" s="2" t="n">
        <v>35.4</v>
      </c>
      <c r="AH201" s="2" t="n">
        <v>29.8</v>
      </c>
      <c r="AI201" s="2" t="n">
        <v>197.3</v>
      </c>
      <c r="AL201" s="2" t="n">
        <v>193.6</v>
      </c>
      <c r="AM201" s="2" t="n">
        <v>104.2</v>
      </c>
      <c r="AN201" s="2" t="n">
        <v>89.40000000000001</v>
      </c>
      <c r="AO201" s="2" t="n">
        <v>2489.3</v>
      </c>
      <c r="AP201" s="2" t="n">
        <v>334.9</v>
      </c>
      <c r="AQ201" s="2" t="n">
        <v>193.8</v>
      </c>
      <c r="AR201" s="2" t="n">
        <v>47.2</v>
      </c>
      <c r="AS201" s="2" t="n">
        <v>160.2</v>
      </c>
      <c r="AT201" s="2" t="n">
        <v>44.8</v>
      </c>
      <c r="AU201" s="2" t="n">
        <v>97.40000000000001</v>
      </c>
      <c r="AV201" s="2" t="n">
        <v>34.5</v>
      </c>
      <c r="AW201" s="2" t="n">
        <v>25.3</v>
      </c>
      <c r="AX201" s="2" t="n">
        <v>3.9</v>
      </c>
      <c r="AY201" s="2" t="inlineStr">
        <is>
          <t>NA</t>
        </is>
      </c>
      <c r="AZ201" s="2" t="inlineStr">
        <is>
          <t>NA</t>
        </is>
      </c>
      <c r="BA201" s="2" t="inlineStr">
        <is>
          <t>NA</t>
        </is>
      </c>
      <c r="BB201" s="2" t="inlineStr">
        <is>
          <t>NA</t>
        </is>
      </c>
      <c r="BD201" s="2" t="n">
        <v>130.5</v>
      </c>
      <c r="BE201" s="2" t="n">
        <v>51</v>
      </c>
      <c r="BH201" s="2" t="n">
        <v>310.4</v>
      </c>
      <c r="BK201" s="2" t="n">
        <v>235.9</v>
      </c>
      <c r="BL201" s="2" t="n">
        <v>3.7</v>
      </c>
      <c r="BM201" s="2" t="n">
        <v>550</v>
      </c>
      <c r="BN201" s="2" t="n">
        <v>219</v>
      </c>
      <c r="BQ201" s="2" t="n">
        <v>113.1</v>
      </c>
      <c r="BR201" s="2" t="n">
        <v>3.8</v>
      </c>
      <c r="BS201" s="2" t="n">
        <v>335.9</v>
      </c>
      <c r="BT201" s="2" t="inlineStr">
        <is>
          <t>NA</t>
        </is>
      </c>
      <c r="BU201" s="2" t="n">
        <v>21.5</v>
      </c>
      <c r="BV201" s="2" t="n">
        <v>363.9</v>
      </c>
      <c r="BW201" s="2" t="n">
        <v>108.8</v>
      </c>
      <c r="BX201" s="2" t="n">
        <v>479.3</v>
      </c>
      <c r="BY201" s="2" t="n">
        <v>46.3</v>
      </c>
      <c r="BZ201" s="2" t="n">
        <v>9.699999999999999</v>
      </c>
      <c r="CA201" s="2" t="n">
        <v>56</v>
      </c>
      <c r="CF201" s="2" t="n">
        <v>113.9</v>
      </c>
      <c r="CG201" s="2" t="n">
        <v>131.8</v>
      </c>
      <c r="CH201" s="2" t="n">
        <v>10.4</v>
      </c>
      <c r="CN201" s="2" t="n">
        <v>46.1</v>
      </c>
      <c r="CO201" s="2" t="n">
        <v>173.6</v>
      </c>
      <c r="CP201" s="2" t="n">
        <v>101.3</v>
      </c>
      <c r="CQ201" s="2" t="n">
        <v>72.3</v>
      </c>
      <c r="CR201" s="2" t="inlineStr">
        <is>
          <t>NA</t>
        </is>
      </c>
      <c r="CS201" s="2" t="n">
        <v>60.6</v>
      </c>
      <c r="CT201" s="2" t="n">
        <v>43.6</v>
      </c>
      <c r="CU201" s="2" t="n">
        <v>17</v>
      </c>
      <c r="CV201" s="2" t="n">
        <v>57</v>
      </c>
      <c r="CW201" s="2" t="n">
        <v>12.2</v>
      </c>
      <c r="CX201" s="2" t="n">
        <v>44.8</v>
      </c>
      <c r="CY201" s="2" t="inlineStr">
        <is>
          <t>NA</t>
        </is>
      </c>
      <c r="CZ201" s="2" t="n">
        <v>76.8</v>
      </c>
      <c r="DA201" s="2" t="n">
        <v>48.7</v>
      </c>
      <c r="DB201" s="2" t="n">
        <v>47.9</v>
      </c>
      <c r="DC201" s="2" t="n">
        <v>0.8</v>
      </c>
      <c r="DG201" s="2" t="n">
        <v>129.8</v>
      </c>
      <c r="DI201" s="2" t="n">
        <v>558.4</v>
      </c>
      <c r="DJ201" s="2" t="n">
        <v>202.5</v>
      </c>
      <c r="DM201" s="2" t="n">
        <v>229.9</v>
      </c>
      <c r="DO201" s="2" t="n">
        <v>197.3</v>
      </c>
      <c r="DP201" s="2" t="n">
        <v>270.4</v>
      </c>
      <c r="DS201" s="2" t="n">
        <v>838.978</v>
      </c>
      <c r="DT201" s="2" t="n">
        <v>3364.2</v>
      </c>
      <c r="DU201" s="2" t="n">
        <v>-1066.722</v>
      </c>
      <c r="DV201" s="2" t="n">
        <v>0</v>
      </c>
      <c r="GY201" s="2" t="n">
        <v>0.9657209257286723</v>
      </c>
      <c r="GZ201" s="2" t="n">
        <v>997.3</v>
      </c>
      <c r="HA201" s="2" t="n">
        <v>1032.7</v>
      </c>
      <c r="HF201" s="2" t="n">
        <v>999.8</v>
      </c>
      <c r="HG201" s="2" t="n">
        <v>973</v>
      </c>
      <c r="HH201" s="2" t="n">
        <v>377.3</v>
      </c>
      <c r="HI201" s="2" t="n">
        <v>132.4</v>
      </c>
      <c r="HJ201" s="2" t="n">
        <v>377.3</v>
      </c>
      <c r="HK201" s="2" t="n">
        <v>17</v>
      </c>
      <c r="HL201" s="2" t="n">
        <v>26.8</v>
      </c>
      <c r="HP201" s="2" t="e">
        <v>#VALUE!</v>
      </c>
      <c r="HQ201" s="2" t="n">
        <v>4.7</v>
      </c>
      <c r="HR201" s="2" t="n">
        <v>10</v>
      </c>
      <c r="HS201" s="2" t="e">
        <v>#VALUE!</v>
      </c>
      <c r="HT201" s="2" t="n">
        <v>8.300000000000001</v>
      </c>
      <c r="HW201" s="2" t="n">
        <v>282</v>
      </c>
      <c r="HX201" s="2" t="e">
        <v>#VALUE!</v>
      </c>
      <c r="HY201" s="2" t="n">
        <v>282</v>
      </c>
      <c r="HZ201" s="2" t="n">
        <v>51.5</v>
      </c>
      <c r="IA201" s="2" t="n">
        <v>196</v>
      </c>
      <c r="IB201" s="2" t="e">
        <v>#VALUE!</v>
      </c>
      <c r="IC201" s="2" t="e">
        <v>#VALUE!</v>
      </c>
      <c r="ID201" s="2" t="e">
        <v>#VALUE!</v>
      </c>
      <c r="IE201" s="2" t="e">
        <v>#VALUE!</v>
      </c>
      <c r="IF201" s="2" t="n">
        <v>6.8</v>
      </c>
      <c r="IG201" s="2" t="n">
        <v>20.6</v>
      </c>
      <c r="IN201" s="2" t="n">
        <v>81.2</v>
      </c>
      <c r="IO201" s="2" t="n">
        <v>83.40000000000001</v>
      </c>
      <c r="IP201" s="2" t="e">
        <v>#VALUE!</v>
      </c>
      <c r="IQ201" s="2" t="n">
        <v>38.6</v>
      </c>
      <c r="IR201" s="2" t="n">
        <v>16.2</v>
      </c>
      <c r="IS201" s="2" t="e">
        <v>#VALUE!</v>
      </c>
      <c r="IT201" s="2" t="n">
        <v>19.9</v>
      </c>
      <c r="IU201" s="2" t="e">
        <v>#VALUE!</v>
      </c>
      <c r="IV201" s="2" t="e">
        <v>#VALUE!</v>
      </c>
      <c r="IY201" s="2" t="n">
        <v>47.85268414481898</v>
      </c>
      <c r="IZ201" s="2" t="n">
        <v>0.1026841448189799</v>
      </c>
      <c r="JB201" s="2" t="n">
        <v>11.22971285892634</v>
      </c>
      <c r="JC201" s="2" t="n">
        <v>-0.07028714107365985</v>
      </c>
      <c r="JE201" s="2" t="n">
        <v>1747.4</v>
      </c>
      <c r="JF201" s="2" t="n">
        <v>0.4263843424516425</v>
      </c>
    </row>
    <row r="202">
      <c r="A202" s="1" t="n">
        <v>35186</v>
      </c>
      <c r="B202" s="2" t="n">
        <v>3189.9</v>
      </c>
      <c r="C202" s="2" t="n">
        <v>2774.6</v>
      </c>
      <c r="D202" s="2" t="n">
        <v>330.8</v>
      </c>
      <c r="E202" s="2" t="n">
        <v>952.3</v>
      </c>
      <c r="F202" s="2" t="n">
        <v>43.3</v>
      </c>
      <c r="G202" s="2" t="inlineStr">
        <is>
          <t>NA</t>
        </is>
      </c>
      <c r="H202" s="2" t="inlineStr">
        <is>
          <t>NA</t>
        </is>
      </c>
      <c r="I202" s="2" t="inlineStr">
        <is>
          <t>NA</t>
        </is>
      </c>
      <c r="J202" s="2" t="inlineStr">
        <is>
          <t>NA</t>
        </is>
      </c>
      <c r="K202" s="2" t="n">
        <v>1197</v>
      </c>
      <c r="L202" s="2" t="n">
        <v>1758.9</v>
      </c>
      <c r="M202" s="2" t="n">
        <v>1531.7</v>
      </c>
      <c r="N202" s="2" t="n">
        <v>227.2</v>
      </c>
      <c r="O202" s="2" t="n">
        <v>103.5</v>
      </c>
      <c r="P202" s="2" t="n">
        <v>143.3</v>
      </c>
      <c r="Q202" s="2" t="n">
        <v>53.7</v>
      </c>
      <c r="R202" s="2" t="n">
        <v>89.59999999999999</v>
      </c>
      <c r="T202" s="2" t="n">
        <v>36.7</v>
      </c>
      <c r="U202" s="2" t="n">
        <v>49.6</v>
      </c>
      <c r="V202" s="2" t="n">
        <v>44.2</v>
      </c>
      <c r="W202" s="2" t="n">
        <v>5.4</v>
      </c>
      <c r="X202" s="2" t="inlineStr">
        <is>
          <t>NA</t>
        </is>
      </c>
      <c r="Y202" s="2" t="n">
        <v>7.4</v>
      </c>
      <c r="Z202" s="2" t="n">
        <v>116.8</v>
      </c>
      <c r="AA202" s="2" t="n">
        <v>103.7</v>
      </c>
      <c r="AB202" s="2" t="n">
        <v>13.1</v>
      </c>
      <c r="AC202" s="2" t="inlineStr">
        <is>
          <t>NA</t>
        </is>
      </c>
      <c r="AD202" s="2" t="n">
        <v>12.4</v>
      </c>
      <c r="AF202" s="2" t="n">
        <v>78.8</v>
      </c>
      <c r="AG202" s="2" t="n">
        <v>60.5</v>
      </c>
      <c r="AH202" s="2" t="n">
        <v>18.3</v>
      </c>
      <c r="AI202" s="2" t="n">
        <v>180</v>
      </c>
      <c r="AL202" s="2" t="n">
        <v>171.9</v>
      </c>
      <c r="AM202" s="2" t="n">
        <v>61</v>
      </c>
      <c r="AN202" s="2" t="n">
        <v>110.9</v>
      </c>
      <c r="AO202" s="2" t="n">
        <v>2349.2</v>
      </c>
      <c r="AP202" s="2" t="n">
        <v>260.9</v>
      </c>
      <c r="AQ202" s="2" t="n">
        <v>185.5</v>
      </c>
      <c r="AR202" s="2" t="n">
        <v>45.9</v>
      </c>
      <c r="AS202" s="2" t="n">
        <v>150.1</v>
      </c>
      <c r="AT202" s="2" t="n">
        <v>56.5</v>
      </c>
      <c r="AU202" s="2" t="n">
        <v>82.90000000000001</v>
      </c>
      <c r="AV202" s="2" t="n">
        <v>42.1</v>
      </c>
      <c r="AW202" s="2" t="n">
        <v>24.8</v>
      </c>
      <c r="AX202" s="2" t="n">
        <v>3.1</v>
      </c>
      <c r="AY202" s="2" t="inlineStr">
        <is>
          <t>NA</t>
        </is>
      </c>
      <c r="AZ202" s="2" t="inlineStr">
        <is>
          <t>NA</t>
        </is>
      </c>
      <c r="BA202" s="2" t="inlineStr">
        <is>
          <t>NA</t>
        </is>
      </c>
      <c r="BB202" s="2" t="inlineStr">
        <is>
          <t>NA</t>
        </is>
      </c>
      <c r="BD202" s="2" t="n">
        <v>146.6</v>
      </c>
      <c r="BE202" s="2" t="n">
        <v>49.7</v>
      </c>
      <c r="BH202" s="2" t="n">
        <v>330.3</v>
      </c>
      <c r="BK202" s="2" t="n">
        <v>254.6</v>
      </c>
      <c r="BL202" s="2" t="n">
        <v>4.1</v>
      </c>
      <c r="BM202" s="2" t="n">
        <v>589</v>
      </c>
      <c r="BN202" s="2" t="n">
        <v>223.2</v>
      </c>
      <c r="BQ202" s="2" t="n">
        <v>96</v>
      </c>
      <c r="BR202" s="2" t="n">
        <v>3.9</v>
      </c>
      <c r="BS202" s="2" t="n">
        <v>323.1</v>
      </c>
      <c r="BT202" s="2" t="inlineStr">
        <is>
          <t>NA</t>
        </is>
      </c>
      <c r="BU202" s="2" t="n">
        <v>23.2</v>
      </c>
      <c r="BV202" s="2" t="n">
        <v>406.6</v>
      </c>
      <c r="BW202" s="2" t="n">
        <v>120</v>
      </c>
      <c r="BX202" s="2" t="n">
        <v>533</v>
      </c>
      <c r="BY202" s="2" t="n">
        <v>46.2</v>
      </c>
      <c r="BZ202" s="2" t="n">
        <v>8.199999999999999</v>
      </c>
      <c r="CA202" s="2" t="n">
        <v>54.40000000000001</v>
      </c>
      <c r="CF202" s="2" t="n">
        <v>125.3</v>
      </c>
      <c r="CG202" s="2" t="n">
        <v>127</v>
      </c>
      <c r="CH202" s="2" t="n">
        <v>8.5</v>
      </c>
      <c r="CN202" s="2" t="n">
        <v>44.2</v>
      </c>
      <c r="CO202" s="2" t="n">
        <v>175.9</v>
      </c>
      <c r="CP202" s="2" t="n">
        <v>110.5</v>
      </c>
      <c r="CQ202" s="2" t="n">
        <v>65.40000000000001</v>
      </c>
      <c r="CR202" s="2" t="inlineStr">
        <is>
          <t>NA</t>
        </is>
      </c>
      <c r="CS202" s="2" t="n">
        <v>47.2</v>
      </c>
      <c r="CT202" s="2" t="n">
        <v>31.3</v>
      </c>
      <c r="CU202" s="2" t="n">
        <v>15.9</v>
      </c>
      <c r="CV202" s="2" t="n">
        <v>50.9</v>
      </c>
      <c r="CW202" s="2" t="n">
        <v>13.6</v>
      </c>
      <c r="CX202" s="2" t="n">
        <v>37.3</v>
      </c>
      <c r="CY202" s="2" t="inlineStr">
        <is>
          <t>NA</t>
        </is>
      </c>
      <c r="CZ202" s="2" t="n">
        <v>70</v>
      </c>
      <c r="DA202" s="2" t="n">
        <v>43.8</v>
      </c>
      <c r="DB202" s="2" t="n">
        <v>42</v>
      </c>
      <c r="DC202" s="2" t="n">
        <v>1.8</v>
      </c>
      <c r="DG202" s="2" t="n">
        <v>75.90000000000001</v>
      </c>
      <c r="DI202" s="2" t="n">
        <v>578.1</v>
      </c>
      <c r="DJ202" s="2" t="n">
        <v>223.9</v>
      </c>
      <c r="DM202" s="2" t="n">
        <v>247</v>
      </c>
      <c r="DO202" s="2" t="n">
        <v>182.1</v>
      </c>
      <c r="DP202" s="2" t="n">
        <v>225.6</v>
      </c>
      <c r="DS202" s="2" t="n">
        <v>779.207</v>
      </c>
      <c r="DT202" s="2" t="n">
        <v>3189.9</v>
      </c>
      <c r="DU202" s="2" t="n">
        <v>-953.9930000000004</v>
      </c>
      <c r="DV202" s="2" t="n">
        <v>0</v>
      </c>
      <c r="GY202" s="2" t="n">
        <v>0.9691761090839254</v>
      </c>
      <c r="GZ202" s="2" t="n">
        <v>1009.3</v>
      </c>
      <c r="HA202" s="2" t="n">
        <v>1041.4</v>
      </c>
      <c r="HF202" s="2" t="n">
        <v>1020.6</v>
      </c>
      <c r="HG202" s="2" t="n">
        <v>991.9</v>
      </c>
      <c r="HH202" s="2" t="n">
        <v>386</v>
      </c>
      <c r="HI202" s="2" t="n">
        <v>132.1</v>
      </c>
      <c r="HJ202" s="2" t="n">
        <v>386</v>
      </c>
      <c r="HK202" s="2" t="n">
        <v>16.6</v>
      </c>
      <c r="HL202" s="2" t="n">
        <v>28.7</v>
      </c>
      <c r="HP202" s="2" t="e">
        <v>#VALUE!</v>
      </c>
      <c r="HQ202" s="2" t="n">
        <v>4.6</v>
      </c>
      <c r="HR202" s="2" t="n">
        <v>11.7</v>
      </c>
      <c r="HS202" s="2" t="e">
        <v>#VALUE!</v>
      </c>
      <c r="HT202" s="2" t="n">
        <v>9.4</v>
      </c>
      <c r="HW202" s="2" t="n">
        <v>298.5</v>
      </c>
      <c r="HX202" s="2" t="e">
        <v>#VALUE!</v>
      </c>
      <c r="HY202" s="2" t="n">
        <v>298.5</v>
      </c>
      <c r="HZ202" s="2" t="n">
        <v>55.7</v>
      </c>
      <c r="IA202" s="2" t="n">
        <v>207.6</v>
      </c>
      <c r="IB202" s="2" t="e">
        <v>#VALUE!</v>
      </c>
      <c r="IC202" s="2" t="e">
        <v>#VALUE!</v>
      </c>
      <c r="ID202" s="2" t="e">
        <v>#VALUE!</v>
      </c>
      <c r="IE202" s="2" t="e">
        <v>#VALUE!</v>
      </c>
      <c r="IF202" s="2" t="n">
        <v>7.4</v>
      </c>
      <c r="IG202" s="2" t="n">
        <v>22.3</v>
      </c>
      <c r="IN202" s="2" t="n">
        <v>75</v>
      </c>
      <c r="IO202" s="2" t="n">
        <v>77.3</v>
      </c>
      <c r="IP202" s="2" t="e">
        <v>#VALUE!</v>
      </c>
      <c r="IQ202" s="2" t="n">
        <v>45.8</v>
      </c>
      <c r="IR202" s="2" t="n">
        <v>19.9</v>
      </c>
      <c r="IS202" s="2" t="e">
        <v>#VALUE!</v>
      </c>
      <c r="IT202" s="2" t="n">
        <v>23.4</v>
      </c>
      <c r="IU202" s="2" t="e">
        <v>#VALUE!</v>
      </c>
      <c r="IV202" s="2" t="e">
        <v>#VALUE!</v>
      </c>
      <c r="IY202" s="2" t="n">
        <v>47.67610269914417</v>
      </c>
      <c r="IZ202" s="2" t="n">
        <v>-0.003897300855825847</v>
      </c>
      <c r="JB202" s="2" t="n">
        <v>11.25740618828176</v>
      </c>
      <c r="JC202" s="2" t="n">
        <v>-0.04259381171823584</v>
      </c>
      <c r="JE202" s="2" t="n">
        <v>1758.9</v>
      </c>
      <c r="JF202" s="2" t="n">
        <v>0.3941037011768719</v>
      </c>
    </row>
    <row r="203">
      <c r="A203" s="1" t="n">
        <v>35217</v>
      </c>
      <c r="B203" s="2" t="n">
        <v>3223.8</v>
      </c>
      <c r="C203" s="2" t="n">
        <v>2113.3</v>
      </c>
      <c r="D203" s="2" t="n">
        <v>228.5</v>
      </c>
      <c r="E203" s="2" t="n">
        <v>723.3</v>
      </c>
      <c r="F203" s="2" t="n">
        <v>38.1</v>
      </c>
      <c r="G203" s="2" t="n">
        <v>24.5</v>
      </c>
      <c r="H203" s="2" t="inlineStr">
        <is>
          <t>NA</t>
        </is>
      </c>
      <c r="I203" s="2" t="inlineStr">
        <is>
          <t>NA</t>
        </is>
      </c>
      <c r="J203" s="2" t="n">
        <v>19.3</v>
      </c>
      <c r="K203" s="2" t="n">
        <v>1220.9</v>
      </c>
      <c r="L203" s="2" t="n">
        <v>1888.5</v>
      </c>
      <c r="M203" s="2" t="n">
        <v>1672.4</v>
      </c>
      <c r="N203" s="2" t="n">
        <v>216.1</v>
      </c>
      <c r="O203" s="2" t="n">
        <v>74.7</v>
      </c>
      <c r="P203" s="2" t="n">
        <v>128.1</v>
      </c>
      <c r="Q203" s="2" t="n">
        <v>50.7</v>
      </c>
      <c r="R203" s="2" t="n">
        <v>77.40000000000001</v>
      </c>
      <c r="T203" s="2" t="n">
        <v>33.3</v>
      </c>
      <c r="U203" s="2" t="n">
        <v>54.9</v>
      </c>
      <c r="V203" s="2" t="n">
        <v>51.1</v>
      </c>
      <c r="W203" s="2" t="n">
        <v>3.8</v>
      </c>
      <c r="X203" s="2" t="inlineStr">
        <is>
          <t>NA</t>
        </is>
      </c>
      <c r="Y203" s="2" t="n">
        <v>6.6</v>
      </c>
      <c r="Z203" s="2" t="n">
        <v>124.7</v>
      </c>
      <c r="AA203" s="2" t="n">
        <v>115.9</v>
      </c>
      <c r="AB203" s="2" t="n">
        <v>8.800000000000001</v>
      </c>
      <c r="AC203" s="2" t="inlineStr">
        <is>
          <t>NA</t>
        </is>
      </c>
      <c r="AD203" s="2" t="n">
        <v>10.9</v>
      </c>
      <c r="AF203" s="2" t="n">
        <v>83.59999999999999</v>
      </c>
      <c r="AG203" s="2" t="n">
        <v>65.7</v>
      </c>
      <c r="AH203" s="2" t="n">
        <v>17.9</v>
      </c>
      <c r="AI203" s="2" t="n">
        <v>182.4</v>
      </c>
      <c r="AL203" s="2" t="n">
        <v>181.1</v>
      </c>
      <c r="AM203" s="2" t="n">
        <v>70.90000000000001</v>
      </c>
      <c r="AN203" s="2" t="n">
        <v>110.2</v>
      </c>
      <c r="AO203" s="2" t="n">
        <v>2376</v>
      </c>
      <c r="AP203" s="2" t="n">
        <v>348.3</v>
      </c>
      <c r="AQ203" s="2" t="n">
        <v>190.2</v>
      </c>
      <c r="AR203" s="2" t="n">
        <v>57.9</v>
      </c>
      <c r="AS203" s="2" t="n">
        <v>104.4</v>
      </c>
      <c r="AT203" s="2" t="n">
        <v>57.3</v>
      </c>
      <c r="AU203" s="2" t="n">
        <v>58.6</v>
      </c>
      <c r="AV203" s="2" t="n">
        <v>40.2</v>
      </c>
      <c r="AW203" s="2" t="n">
        <v>20.8</v>
      </c>
      <c r="AX203" s="2" t="n">
        <v>3.4</v>
      </c>
      <c r="AY203" s="2" t="inlineStr">
        <is>
          <t>NA</t>
        </is>
      </c>
      <c r="AZ203" s="2" t="inlineStr">
        <is>
          <t>NA</t>
        </is>
      </c>
      <c r="BA203" s="2" t="inlineStr">
        <is>
          <t>NA</t>
        </is>
      </c>
      <c r="BB203" s="2" t="inlineStr">
        <is>
          <t>NA</t>
        </is>
      </c>
      <c r="BD203" s="2" t="n">
        <v>130</v>
      </c>
      <c r="BE203" s="2" t="n">
        <v>43.1</v>
      </c>
      <c r="BH203" s="2" t="n">
        <v>283.5</v>
      </c>
      <c r="BK203" s="2" t="n">
        <v>223.6</v>
      </c>
      <c r="BL203" s="2" t="n">
        <v>4.2</v>
      </c>
      <c r="BM203" s="2" t="n">
        <v>511.3</v>
      </c>
      <c r="BN203" s="2" t="n">
        <v>203.3</v>
      </c>
      <c r="BQ203" s="2" t="n">
        <v>98.7</v>
      </c>
      <c r="BR203" s="2" t="n">
        <v>3.9</v>
      </c>
      <c r="BS203" s="2" t="n">
        <v>305.9</v>
      </c>
      <c r="BT203" s="2" t="inlineStr">
        <is>
          <t>NA</t>
        </is>
      </c>
      <c r="BU203" s="2" t="n">
        <v>23.7</v>
      </c>
      <c r="BV203" s="2" t="n">
        <v>343.8</v>
      </c>
      <c r="BW203" s="2" t="n">
        <v>113.2</v>
      </c>
      <c r="BX203" s="2" t="n">
        <v>464.6</v>
      </c>
      <c r="BY203" s="2" t="n">
        <v>54.7</v>
      </c>
      <c r="BZ203" s="2" t="n">
        <v>8.800000000000001</v>
      </c>
      <c r="CA203" s="2" t="n">
        <v>63.5</v>
      </c>
      <c r="CF203" s="2" t="n">
        <v>125.3</v>
      </c>
      <c r="CG203" s="2" t="n">
        <v>130.5</v>
      </c>
      <c r="CH203" s="2" t="n">
        <v>6</v>
      </c>
      <c r="CN203" s="2" t="n">
        <v>42.5</v>
      </c>
      <c r="CO203" s="2" t="n">
        <v>171.5</v>
      </c>
      <c r="CP203" s="2" t="n">
        <v>104.6</v>
      </c>
      <c r="CQ203" s="2" t="n">
        <v>66.90000000000001</v>
      </c>
      <c r="CR203" s="2" t="inlineStr">
        <is>
          <t>NA</t>
        </is>
      </c>
      <c r="CS203" s="2" t="n">
        <v>51.2</v>
      </c>
      <c r="CT203" s="2" t="n">
        <v>33.5</v>
      </c>
      <c r="CU203" s="2" t="n">
        <v>17.7</v>
      </c>
      <c r="CV203" s="2" t="n">
        <v>52</v>
      </c>
      <c r="CW203" s="2" t="n">
        <v>16.3</v>
      </c>
      <c r="CX203" s="2" t="n">
        <v>35.7</v>
      </c>
      <c r="CY203" s="2" t="inlineStr">
        <is>
          <t>NA</t>
        </is>
      </c>
      <c r="CZ203" s="2" t="n">
        <v>49.6</v>
      </c>
      <c r="DA203" s="2" t="n">
        <v>40</v>
      </c>
      <c r="DB203" s="2" t="n">
        <v>38.5</v>
      </c>
      <c r="DC203" s="2" t="n">
        <v>1.5</v>
      </c>
      <c r="DI203" s="2" t="n">
        <v>541.7</v>
      </c>
      <c r="DJ203" s="2" t="n">
        <v>173.5</v>
      </c>
      <c r="DL203" s="2" t="n">
        <v>133.6</v>
      </c>
      <c r="DM203" s="2" t="n">
        <v>213.3</v>
      </c>
      <c r="DO203" s="2" t="n">
        <v>191.2</v>
      </c>
      <c r="DP203" s="2" t="n">
        <v>251.9</v>
      </c>
      <c r="DS203" s="2" t="n">
        <v>820.705</v>
      </c>
      <c r="DT203" s="2" t="n">
        <v>3223.8</v>
      </c>
      <c r="DU203" s="2" t="n">
        <v>-897.895</v>
      </c>
      <c r="DV203" s="2" t="n">
        <v>0</v>
      </c>
      <c r="GY203" s="2" t="n">
        <v>0.9658908507223114</v>
      </c>
      <c r="GZ203" s="2" t="n">
        <v>962.8</v>
      </c>
      <c r="HA203" s="2" t="n">
        <v>996.8</v>
      </c>
      <c r="HF203" s="2" t="n">
        <v>946.2</v>
      </c>
      <c r="HG203" s="2" t="n">
        <v>921</v>
      </c>
      <c r="HH203" s="2" t="n">
        <v>371.7</v>
      </c>
      <c r="HI203" s="2" t="n">
        <v>123.1</v>
      </c>
      <c r="HJ203" s="2" t="n">
        <v>371.7</v>
      </c>
      <c r="HK203" s="2" t="n">
        <v>10.3</v>
      </c>
      <c r="HL203" s="2" t="n">
        <v>25.2</v>
      </c>
      <c r="HP203" s="2" t="e">
        <v>#VALUE!</v>
      </c>
      <c r="HQ203" s="2" t="n">
        <v>4.6</v>
      </c>
      <c r="HR203" s="2" t="n">
        <v>11</v>
      </c>
      <c r="HS203" s="2" t="e">
        <v>#VALUE!</v>
      </c>
      <c r="HT203" s="2" t="n">
        <v>7.2</v>
      </c>
      <c r="HW203" s="2" t="n">
        <v>265.1</v>
      </c>
      <c r="HX203" s="2" t="e">
        <v>#VALUE!</v>
      </c>
      <c r="HY203" s="2" t="n">
        <v>265.1</v>
      </c>
      <c r="HZ203" s="2" t="n">
        <v>57.6</v>
      </c>
      <c r="IA203" s="2" t="n">
        <v>174</v>
      </c>
      <c r="IB203" s="2" t="e">
        <v>#VALUE!</v>
      </c>
      <c r="IC203" s="2" t="e">
        <v>#VALUE!</v>
      </c>
      <c r="ID203" s="2" t="e">
        <v>#VALUE!</v>
      </c>
      <c r="IE203" s="2" t="e">
        <v>#VALUE!</v>
      </c>
      <c r="IF203" s="2" t="n">
        <v>7</v>
      </c>
      <c r="IG203" s="2" t="n">
        <v>20.5</v>
      </c>
      <c r="IN203" s="2" t="n">
        <v>53.8</v>
      </c>
      <c r="IO203" s="2" t="n">
        <v>55.5</v>
      </c>
      <c r="IP203" s="2" t="e">
        <v>#VALUE!</v>
      </c>
      <c r="IQ203" s="2" t="n">
        <v>40.4</v>
      </c>
      <c r="IR203" s="2" t="n">
        <v>17.2</v>
      </c>
      <c r="IS203" s="2" t="e">
        <v>#VALUE!</v>
      </c>
      <c r="IT203" s="2" t="n">
        <v>21.3</v>
      </c>
      <c r="IU203" s="2" t="e">
        <v>#VALUE!</v>
      </c>
      <c r="IV203" s="2" t="e">
        <v>#VALUE!</v>
      </c>
      <c r="IY203" s="2" t="n">
        <v>47.76102735901731</v>
      </c>
      <c r="IZ203" s="2" t="n">
        <v>0.2610273590173051</v>
      </c>
      <c r="JB203" s="2" t="n">
        <v>11.36143681369812</v>
      </c>
      <c r="JC203" s="2" t="n">
        <v>0.01143681369812022</v>
      </c>
      <c r="JE203" s="2" t="n">
        <v>1888.5</v>
      </c>
      <c r="JF203" s="2" t="n">
        <v>0.9173486894360604</v>
      </c>
    </row>
    <row r="204">
      <c r="A204" s="1" t="n">
        <v>35247</v>
      </c>
      <c r="B204" s="2" t="n">
        <v>3355.8</v>
      </c>
      <c r="C204" s="2" t="n">
        <v>1722.6</v>
      </c>
      <c r="D204" s="2" t="n">
        <v>215</v>
      </c>
      <c r="E204" s="2" t="n">
        <v>517</v>
      </c>
      <c r="F204" s="2" t="n">
        <v>37.4</v>
      </c>
      <c r="G204" s="2" t="inlineStr">
        <is>
          <t>NA</t>
        </is>
      </c>
      <c r="H204" s="2" t="inlineStr">
        <is>
          <t>NA</t>
        </is>
      </c>
      <c r="I204" s="2" t="inlineStr">
        <is>
          <t>NA</t>
        </is>
      </c>
      <c r="J204" s="2" t="n">
        <v>31.6</v>
      </c>
      <c r="K204" s="2" t="n">
        <v>1262.8</v>
      </c>
      <c r="L204" s="2" t="n">
        <v>2156.5</v>
      </c>
      <c r="M204" s="2" t="n">
        <v>1951.4</v>
      </c>
      <c r="N204" s="2" t="n">
        <v>205.1</v>
      </c>
      <c r="O204" s="2" t="n">
        <v>78.40000000000001</v>
      </c>
      <c r="P204" s="2" t="n">
        <v>125.4</v>
      </c>
      <c r="Q204" s="2" t="n">
        <v>47.5</v>
      </c>
      <c r="R204" s="2" t="n">
        <v>77.90000000000001</v>
      </c>
      <c r="T204" s="2" t="n">
        <v>31.4</v>
      </c>
      <c r="U204" s="2" t="n">
        <v>65.40000000000001</v>
      </c>
      <c r="V204" s="2" t="n">
        <v>61.4</v>
      </c>
      <c r="W204" s="2" t="n">
        <v>4</v>
      </c>
      <c r="X204" s="2" t="inlineStr">
        <is>
          <t>NA</t>
        </is>
      </c>
      <c r="Y204" s="2" t="n">
        <v>4.2</v>
      </c>
      <c r="Z204" s="2" t="n">
        <v>155.7</v>
      </c>
      <c r="AA204" s="2" t="n">
        <v>148.6</v>
      </c>
      <c r="AB204" s="2" t="n">
        <v>7.1</v>
      </c>
      <c r="AC204" s="2" t="inlineStr">
        <is>
          <t>NA</t>
        </is>
      </c>
      <c r="AD204" s="2" t="n">
        <v>11.6</v>
      </c>
      <c r="AF204" s="2" t="n">
        <v>65.8</v>
      </c>
      <c r="AG204" s="2" t="n">
        <v>48.8</v>
      </c>
      <c r="AH204" s="2" t="n">
        <v>17</v>
      </c>
      <c r="AI204" s="2" t="n">
        <v>152.4</v>
      </c>
      <c r="AL204" s="2" t="n">
        <v>206.6</v>
      </c>
      <c r="AM204" s="2" t="n">
        <v>93.2</v>
      </c>
      <c r="AN204" s="2" t="n">
        <v>113.4</v>
      </c>
      <c r="AO204" s="2" t="n">
        <v>2461.1</v>
      </c>
      <c r="AP204" s="2" t="n">
        <v>249.3</v>
      </c>
      <c r="AQ204" s="2" t="n">
        <v>195.2</v>
      </c>
      <c r="AR204" s="2" t="n">
        <v>49.5</v>
      </c>
      <c r="AS204" s="2" t="n">
        <v>105.3</v>
      </c>
      <c r="AT204" s="2" t="n">
        <v>55.2</v>
      </c>
      <c r="AU204" s="2" t="n">
        <v>59.2</v>
      </c>
      <c r="AV204" s="2" t="n">
        <v>36.1</v>
      </c>
      <c r="AW204" s="2" t="n">
        <v>21</v>
      </c>
      <c r="AX204" s="2" t="n">
        <v>3.5</v>
      </c>
      <c r="AY204" s="2" t="inlineStr">
        <is>
          <t>NA</t>
        </is>
      </c>
      <c r="AZ204" s="2" t="inlineStr">
        <is>
          <t>NA</t>
        </is>
      </c>
      <c r="BA204" s="2" t="inlineStr">
        <is>
          <t>NA</t>
        </is>
      </c>
      <c r="BB204" s="2" t="inlineStr">
        <is>
          <t>NA</t>
        </is>
      </c>
      <c r="BD204" s="2" t="n">
        <v>133.7</v>
      </c>
      <c r="BE204" s="2" t="n">
        <v>40.1</v>
      </c>
      <c r="BH204" s="2" t="n">
        <v>297</v>
      </c>
      <c r="BK204" s="2" t="n">
        <v>240.3</v>
      </c>
      <c r="BL204" s="2" t="n">
        <v>3.5</v>
      </c>
      <c r="BM204" s="2" t="n">
        <v>540.8</v>
      </c>
      <c r="BN204" s="2" t="n">
        <v>175.7</v>
      </c>
      <c r="BQ204" s="2" t="n">
        <v>93.09999999999999</v>
      </c>
      <c r="BR204" s="2" t="n">
        <v>3.5</v>
      </c>
      <c r="BS204" s="2" t="n">
        <v>272.3</v>
      </c>
      <c r="BT204" s="2" t="inlineStr">
        <is>
          <t>NA</t>
        </is>
      </c>
      <c r="BU204" s="2" t="n">
        <v>30.5</v>
      </c>
      <c r="BV204" s="2" t="n">
        <v>369.6</v>
      </c>
      <c r="BW204" s="2" t="n">
        <v>107.1</v>
      </c>
      <c r="BX204" s="2" t="n">
        <v>484.3</v>
      </c>
      <c r="BY204" s="2" t="n">
        <v>53.9</v>
      </c>
      <c r="BZ204" s="2" t="n">
        <v>9.1</v>
      </c>
      <c r="CA204" s="2" t="n">
        <v>63</v>
      </c>
      <c r="CF204" s="2" t="n">
        <v>125.5</v>
      </c>
      <c r="CG204" s="2" t="n">
        <v>138.7</v>
      </c>
      <c r="CH204" s="2" t="n">
        <v>6.1</v>
      </c>
      <c r="CN204" s="2" t="n">
        <v>27.6</v>
      </c>
      <c r="CO204" s="2" t="n">
        <v>116.7</v>
      </c>
      <c r="CP204" s="2" t="n">
        <v>67</v>
      </c>
      <c r="CQ204" s="2" t="n">
        <v>49.7</v>
      </c>
      <c r="CR204" s="2" t="inlineStr">
        <is>
          <t>NA</t>
        </is>
      </c>
      <c r="CS204" s="2" t="n">
        <v>50.9</v>
      </c>
      <c r="CT204" s="2" t="n">
        <v>29.5</v>
      </c>
      <c r="CU204" s="2" t="n">
        <v>21.4</v>
      </c>
      <c r="CV204" s="2" t="n">
        <v>44.8</v>
      </c>
      <c r="CW204" s="2" t="n">
        <v>12.7</v>
      </c>
      <c r="CX204" s="2" t="n">
        <v>32.1</v>
      </c>
      <c r="CY204" s="2" t="inlineStr">
        <is>
          <t>NA</t>
        </is>
      </c>
      <c r="CZ204" s="2" t="n">
        <v>56.6</v>
      </c>
      <c r="DA204" s="2" t="n">
        <v>34.8</v>
      </c>
      <c r="DB204" s="2" t="n">
        <v>33.6</v>
      </c>
      <c r="DC204" s="2" t="n">
        <v>1.2</v>
      </c>
      <c r="DG204" s="2" t="n">
        <v>137.2</v>
      </c>
      <c r="DI204" s="2" t="n">
        <v>566.8</v>
      </c>
      <c r="DJ204" s="2" t="n">
        <v>207.2</v>
      </c>
      <c r="DL204" s="2" t="n">
        <v>142.4</v>
      </c>
      <c r="DM204" s="2" t="n">
        <v>244.3</v>
      </c>
      <c r="DO204" s="2" t="n">
        <v>177.3</v>
      </c>
      <c r="DP204" s="2" t="n">
        <v>288.3</v>
      </c>
      <c r="DS204" s="2" t="n">
        <v>784.761</v>
      </c>
      <c r="DT204" s="2" t="n">
        <v>3355.8</v>
      </c>
      <c r="DU204" s="2" t="n">
        <v>-944.7390000000005</v>
      </c>
      <c r="DV204" s="2" t="n">
        <v>0</v>
      </c>
      <c r="GY204" s="2" t="n">
        <v>0.9654316082248932</v>
      </c>
      <c r="GZ204" s="2" t="n">
        <v>971.9</v>
      </c>
      <c r="HA204" s="2" t="n">
        <v>1006.7</v>
      </c>
      <c r="HF204" s="2" t="n">
        <v>959.9</v>
      </c>
      <c r="HG204" s="2" t="n">
        <v>932.6</v>
      </c>
      <c r="HH204" s="2" t="n">
        <v>368.5</v>
      </c>
      <c r="HI204" s="2" t="n">
        <v>118.7</v>
      </c>
      <c r="HJ204" s="2" t="n">
        <v>368.5</v>
      </c>
      <c r="HK204" s="2" t="n">
        <v>5.9</v>
      </c>
      <c r="HL204" s="2" t="n">
        <v>27.3</v>
      </c>
      <c r="HP204" s="2" t="e">
        <v>#VALUE!</v>
      </c>
      <c r="HQ204" s="2" t="n">
        <v>4.5</v>
      </c>
      <c r="HR204" s="2" t="n">
        <v>11.7</v>
      </c>
      <c r="HS204" s="2" t="e">
        <v>#VALUE!</v>
      </c>
      <c r="HT204" s="2" t="n">
        <v>8.1</v>
      </c>
      <c r="HW204" s="2" t="n">
        <v>292.3</v>
      </c>
      <c r="HX204" s="2" t="e">
        <v>#VALUE!</v>
      </c>
      <c r="HY204" s="2" t="n">
        <v>292.3</v>
      </c>
      <c r="HZ204" s="2" t="n">
        <v>52.6</v>
      </c>
      <c r="IA204" s="2" t="n">
        <v>214</v>
      </c>
      <c r="IB204" s="2" t="e">
        <v>#VALUE!</v>
      </c>
      <c r="IC204" s="2" t="e">
        <v>#VALUE!</v>
      </c>
      <c r="ID204" s="2" t="e">
        <v>#VALUE!</v>
      </c>
      <c r="IE204" s="2" t="e">
        <v>#VALUE!</v>
      </c>
      <c r="IF204" s="2" t="n">
        <v>7.6</v>
      </c>
      <c r="IG204" s="2" t="n">
        <v>12.6</v>
      </c>
      <c r="IN204" s="2" t="n">
        <v>54.5</v>
      </c>
      <c r="IO204" s="2" t="n">
        <v>56.2</v>
      </c>
      <c r="IP204" s="2" t="e">
        <v>#VALUE!</v>
      </c>
      <c r="IQ204" s="2" t="n">
        <v>40</v>
      </c>
      <c r="IR204" s="2" t="n">
        <v>16.8</v>
      </c>
      <c r="IS204" s="2" t="e">
        <v>#VALUE!</v>
      </c>
      <c r="IT204" s="2" t="n">
        <v>21.4</v>
      </c>
      <c r="IU204" s="2" t="e">
        <v>#VALUE!</v>
      </c>
      <c r="IV204" s="2" t="e">
        <v>#VALUE!</v>
      </c>
      <c r="IY204" s="2" t="n">
        <v>47.49329519041659</v>
      </c>
      <c r="IZ204" s="2" t="n">
        <v>-0.4167048095834076</v>
      </c>
      <c r="JB204" s="2" t="n">
        <v>11.28911138923655</v>
      </c>
      <c r="JC204" s="2" t="n">
        <v>-0.1208886107634548</v>
      </c>
      <c r="JE204" s="2" t="n">
        <v>2156.5</v>
      </c>
      <c r="JF204" s="2" t="n">
        <v>0.8644289357755622</v>
      </c>
    </row>
    <row r="205">
      <c r="A205" s="1" t="n">
        <v>35278</v>
      </c>
      <c r="B205" s="2" t="n">
        <v>3171.7</v>
      </c>
      <c r="C205" s="2" t="n">
        <v>1220</v>
      </c>
      <c r="D205" s="2" t="n">
        <v>229.2</v>
      </c>
      <c r="E205" s="2" t="n">
        <v>384.6</v>
      </c>
      <c r="F205" s="2" t="n">
        <v>37.4</v>
      </c>
      <c r="G205" s="2" t="inlineStr">
        <is>
          <t>NA</t>
        </is>
      </c>
      <c r="H205" s="2" t="inlineStr">
        <is>
          <t>NA</t>
        </is>
      </c>
      <c r="I205" s="2" t="inlineStr">
        <is>
          <t>NA</t>
        </is>
      </c>
      <c r="J205" s="2" t="inlineStr">
        <is>
          <t>NA</t>
        </is>
      </c>
      <c r="K205" s="2" t="n">
        <v>1172.6</v>
      </c>
      <c r="L205" s="2" t="n">
        <v>2091.4</v>
      </c>
      <c r="M205" s="2" t="n">
        <v>1874.3</v>
      </c>
      <c r="N205" s="2" t="n">
        <v>217.1</v>
      </c>
      <c r="O205" s="2" t="n">
        <v>72.40000000000001</v>
      </c>
      <c r="P205" s="2" t="n">
        <v>101.1</v>
      </c>
      <c r="Q205" s="2" t="n">
        <v>31.9</v>
      </c>
      <c r="R205" s="2" t="n">
        <v>69.2</v>
      </c>
      <c r="T205" s="2" t="n">
        <v>31.5</v>
      </c>
      <c r="U205" s="2" t="n">
        <v>54.1</v>
      </c>
      <c r="V205" s="2" t="n">
        <v>50.9</v>
      </c>
      <c r="W205" s="2" t="n">
        <v>3.2</v>
      </c>
      <c r="X205" s="2" t="inlineStr">
        <is>
          <t>NA</t>
        </is>
      </c>
      <c r="Y205" s="2" t="n">
        <v>4.9</v>
      </c>
      <c r="Z205" s="2" t="n">
        <v>131.3</v>
      </c>
      <c r="AA205" s="2" t="n">
        <v>122.9</v>
      </c>
      <c r="AB205" s="2" t="n">
        <v>8.4</v>
      </c>
      <c r="AC205" s="2" t="inlineStr">
        <is>
          <t>NA</t>
        </is>
      </c>
      <c r="AD205" s="2" t="n">
        <v>25.1</v>
      </c>
      <c r="AF205" s="2" t="n">
        <v>81</v>
      </c>
      <c r="AG205" s="2" t="n">
        <v>60.4</v>
      </c>
      <c r="AH205" s="2" t="n">
        <v>20.6</v>
      </c>
      <c r="AI205" s="2" t="n">
        <v>165.7</v>
      </c>
      <c r="AL205" s="2" t="n">
        <v>149.8</v>
      </c>
      <c r="AM205" s="2" t="n">
        <v>80.40000000000001</v>
      </c>
      <c r="AN205" s="2" t="n">
        <v>69.40000000000001</v>
      </c>
      <c r="AO205" s="2" t="n">
        <v>2330.2</v>
      </c>
      <c r="AP205" s="2" t="n">
        <v>183.7</v>
      </c>
      <c r="AQ205" s="2" t="n">
        <v>183.2</v>
      </c>
      <c r="AR205" s="2" t="n">
        <v>34.6</v>
      </c>
      <c r="AS205" s="2" t="n">
        <v>104.4</v>
      </c>
      <c r="AT205" s="2" t="n">
        <v>54</v>
      </c>
      <c r="AU205" s="2" t="n">
        <v>63.8</v>
      </c>
      <c r="AV205" s="2" t="n">
        <v>30.7</v>
      </c>
      <c r="AW205" s="2" t="n">
        <v>20.3</v>
      </c>
      <c r="AX205" s="2" t="n">
        <v>3.1</v>
      </c>
      <c r="AY205" s="2" t="inlineStr">
        <is>
          <t>NA</t>
        </is>
      </c>
      <c r="AZ205" s="2" t="inlineStr">
        <is>
          <t>NA</t>
        </is>
      </c>
      <c r="BA205" s="2" t="inlineStr">
        <is>
          <t>NA</t>
        </is>
      </c>
      <c r="BB205" s="2" t="inlineStr">
        <is>
          <t>NA</t>
        </is>
      </c>
      <c r="BD205" s="2" t="n">
        <v>121.2</v>
      </c>
      <c r="BE205" s="2" t="n">
        <v>35</v>
      </c>
      <c r="BH205" s="2" t="n">
        <v>274.8</v>
      </c>
      <c r="BK205" s="2" t="n">
        <v>231.1</v>
      </c>
      <c r="BL205" s="2" t="n">
        <v>3.8</v>
      </c>
      <c r="BM205" s="2" t="n">
        <v>509.7</v>
      </c>
      <c r="BN205" s="2" t="n">
        <v>194.5</v>
      </c>
      <c r="BQ205" s="2" t="n">
        <v>88.09999999999999</v>
      </c>
      <c r="BR205" s="2" t="n">
        <v>3.1</v>
      </c>
      <c r="BS205" s="2" t="n">
        <v>285.7</v>
      </c>
      <c r="BT205" s="2" t="inlineStr">
        <is>
          <t>NA</t>
        </is>
      </c>
      <c r="BU205" s="2" t="n">
        <v>20.7</v>
      </c>
      <c r="BV205" s="2" t="n">
        <v>363.1</v>
      </c>
      <c r="BW205" s="2" t="n">
        <v>100.4</v>
      </c>
      <c r="BX205" s="2" t="n">
        <v>471.1</v>
      </c>
      <c r="BY205" s="2" t="n">
        <v>51.6</v>
      </c>
      <c r="BZ205" s="2" t="n">
        <v>9.1</v>
      </c>
      <c r="CA205" s="2" t="n">
        <v>60.7</v>
      </c>
      <c r="CF205" s="2" t="n">
        <v>129.9</v>
      </c>
      <c r="CG205" s="2" t="n">
        <v>147.3</v>
      </c>
      <c r="CH205" s="2" t="n">
        <v>7.2</v>
      </c>
      <c r="CN205" s="2" t="n">
        <v>13.1</v>
      </c>
      <c r="CO205" s="2" t="n">
        <v>113.9</v>
      </c>
      <c r="CP205" s="2" t="n">
        <v>61.4</v>
      </c>
      <c r="CQ205" s="2" t="n">
        <v>52.5</v>
      </c>
      <c r="CR205" s="2" t="inlineStr">
        <is>
          <t>NA</t>
        </is>
      </c>
      <c r="CS205" s="2" t="n">
        <v>59</v>
      </c>
      <c r="CT205" s="2" t="n">
        <v>31.4</v>
      </c>
      <c r="CU205" s="2" t="n">
        <v>27.6</v>
      </c>
      <c r="CV205" s="2" t="n">
        <v>33.3</v>
      </c>
      <c r="CW205" s="2" t="n">
        <v>7.5</v>
      </c>
      <c r="CX205" s="2" t="n">
        <v>25.8</v>
      </c>
      <c r="CY205" s="2" t="inlineStr">
        <is>
          <t>NA</t>
        </is>
      </c>
      <c r="CZ205" s="2" t="n">
        <v>32</v>
      </c>
      <c r="DA205" s="2" t="n">
        <v>44.4</v>
      </c>
      <c r="DB205" s="2" t="n">
        <v>42.6</v>
      </c>
      <c r="DC205" s="2" t="n">
        <v>1.8</v>
      </c>
      <c r="DG205" s="2" t="n">
        <v>133.1</v>
      </c>
      <c r="DI205" s="2" t="n">
        <v>544.7</v>
      </c>
      <c r="DJ205" s="2" t="n">
        <v>165.2</v>
      </c>
      <c r="DL205" s="2" t="n">
        <v>145.4</v>
      </c>
      <c r="DM205" s="2" t="n">
        <v>258.2</v>
      </c>
      <c r="DO205" s="2" t="n">
        <v>224</v>
      </c>
      <c r="DP205" s="2" t="n">
        <v>270.2</v>
      </c>
      <c r="DS205" s="2" t="n">
        <v>737.501</v>
      </c>
      <c r="DT205" s="2" t="n">
        <v>3171.7</v>
      </c>
      <c r="DU205" s="2" t="n">
        <v>-826.4989999999998</v>
      </c>
      <c r="DV205" s="2" t="n">
        <v>0</v>
      </c>
      <c r="GY205" s="2" t="n">
        <v>0.9739874301675978</v>
      </c>
      <c r="GZ205" s="2" t="n">
        <v>1115.8</v>
      </c>
      <c r="HA205" s="2" t="n">
        <v>1145.6</v>
      </c>
      <c r="HF205" s="2" t="n">
        <v>1123.2</v>
      </c>
      <c r="HG205" s="2" t="n">
        <v>1096.5</v>
      </c>
      <c r="HH205" s="2" t="n">
        <v>448.5</v>
      </c>
      <c r="HI205" s="2" t="n">
        <v>143.9</v>
      </c>
      <c r="HJ205" s="2" t="n">
        <v>448.5</v>
      </c>
      <c r="HK205" s="2" t="n">
        <v>6.5</v>
      </c>
      <c r="HL205" s="2" t="n">
        <v>26.7</v>
      </c>
      <c r="HP205" s="2" t="e">
        <v>#VALUE!</v>
      </c>
      <c r="HQ205" s="2" t="n">
        <v>4.7</v>
      </c>
      <c r="HR205" s="2" t="n">
        <v>11.2</v>
      </c>
      <c r="HS205" s="2" t="e">
        <v>#VALUE!</v>
      </c>
      <c r="HT205" s="2" t="n">
        <v>7.9</v>
      </c>
      <c r="HW205" s="2" t="n">
        <v>294.9</v>
      </c>
      <c r="HX205" s="2" t="e">
        <v>#VALUE!</v>
      </c>
      <c r="HY205" s="2" t="n">
        <v>294.9</v>
      </c>
      <c r="HZ205" s="2" t="n">
        <v>58.2</v>
      </c>
      <c r="IA205" s="2" t="n">
        <v>200.6</v>
      </c>
      <c r="IB205" s="2" t="e">
        <v>#VALUE!</v>
      </c>
      <c r="IC205" s="2" t="e">
        <v>#VALUE!</v>
      </c>
      <c r="ID205" s="2" t="e">
        <v>#VALUE!</v>
      </c>
      <c r="IE205" s="2" t="e">
        <v>#VALUE!</v>
      </c>
      <c r="IF205" s="2" t="n">
        <v>7.6</v>
      </c>
      <c r="IG205" s="2" t="n">
        <v>22.6</v>
      </c>
      <c r="IN205" s="2" t="n">
        <v>62.4</v>
      </c>
      <c r="IO205" s="2" t="n">
        <v>64.3</v>
      </c>
      <c r="IP205" s="2" t="e">
        <v>#VALUE!</v>
      </c>
      <c r="IQ205" s="2" t="n">
        <v>44.5</v>
      </c>
      <c r="IR205" s="2" t="n">
        <v>26.9</v>
      </c>
      <c r="IS205" s="2" t="e">
        <v>#VALUE!</v>
      </c>
      <c r="IT205" s="2" t="n">
        <v>15.6</v>
      </c>
      <c r="IU205" s="2" t="e">
        <v>#VALUE!</v>
      </c>
      <c r="IV205" s="2" t="e">
        <v>#VALUE!</v>
      </c>
      <c r="IY205" s="2" t="n">
        <v>47.54674149509726</v>
      </c>
      <c r="IZ205" s="2" t="n">
        <v>-0.04325850490274519</v>
      </c>
      <c r="JB205" s="2" t="n">
        <v>11.09121291421005</v>
      </c>
      <c r="JC205" s="2" t="n">
        <v>-0.2487870857899548</v>
      </c>
      <c r="JE205" s="2" t="n">
        <v>2091.4</v>
      </c>
      <c r="JF205" s="2" t="n">
        <v>0.8964980395907047</v>
      </c>
    </row>
    <row r="206">
      <c r="A206" s="1" t="n">
        <v>35309</v>
      </c>
      <c r="B206" s="2" t="n">
        <v>3027.2</v>
      </c>
      <c r="C206" s="2" t="n">
        <v>700.8</v>
      </c>
      <c r="D206" s="2" t="n">
        <v>225</v>
      </c>
      <c r="E206" s="2" t="n">
        <v>494.9</v>
      </c>
      <c r="F206" s="2" t="n">
        <v>31.9</v>
      </c>
      <c r="G206" s="2" t="inlineStr">
        <is>
          <t>NA</t>
        </is>
      </c>
      <c r="H206" s="2" t="inlineStr">
        <is>
          <t>NA</t>
        </is>
      </c>
      <c r="I206" s="2" t="inlineStr">
        <is>
          <t>NA</t>
        </is>
      </c>
      <c r="J206" s="2" t="inlineStr">
        <is>
          <t>NA</t>
        </is>
      </c>
      <c r="K206" s="2" t="n">
        <v>1143.1</v>
      </c>
      <c r="L206" s="2" t="n">
        <v>2015.4</v>
      </c>
      <c r="M206" s="2" t="n">
        <v>1799.3</v>
      </c>
      <c r="N206" s="2" t="n">
        <v>216.1</v>
      </c>
      <c r="O206" s="2" t="n">
        <v>71.7</v>
      </c>
      <c r="P206" s="2" t="n">
        <v>94.09999999999999</v>
      </c>
      <c r="Q206" s="2" t="n">
        <v>36.7</v>
      </c>
      <c r="R206" s="2" t="n">
        <v>57.4</v>
      </c>
      <c r="T206" s="2" t="n">
        <v>27.1</v>
      </c>
      <c r="U206" s="2" t="n">
        <v>83.40000000000001</v>
      </c>
      <c r="V206" s="2" t="n">
        <v>79.90000000000001</v>
      </c>
      <c r="W206" s="2" t="n">
        <v>3.5</v>
      </c>
      <c r="X206" s="2" t="inlineStr">
        <is>
          <t>NA</t>
        </is>
      </c>
      <c r="Y206" s="2" t="inlineStr">
        <is>
          <t>NA</t>
        </is>
      </c>
      <c r="Z206" s="2" t="n">
        <v>147.4</v>
      </c>
      <c r="AA206" s="2" t="n">
        <v>139.5</v>
      </c>
      <c r="AB206" s="2" t="n">
        <v>7.9</v>
      </c>
      <c r="AC206" s="2" t="inlineStr">
        <is>
          <t>NA</t>
        </is>
      </c>
      <c r="AD206" s="2" t="n">
        <v>21.6</v>
      </c>
      <c r="AF206" s="2" t="n">
        <v>78.59999999999999</v>
      </c>
      <c r="AG206" s="2" t="n">
        <v>55.4</v>
      </c>
      <c r="AH206" s="2" t="n">
        <v>23.2</v>
      </c>
      <c r="AI206" s="2" t="n">
        <v>174.3</v>
      </c>
      <c r="AL206" s="2" t="n">
        <v>115.7</v>
      </c>
      <c r="AM206" s="2" t="n">
        <v>86.90000000000001</v>
      </c>
      <c r="AN206" s="2" t="n">
        <v>28.8</v>
      </c>
      <c r="AO206" s="2" t="n">
        <v>2226</v>
      </c>
      <c r="AP206" s="2" t="n">
        <v>171.9</v>
      </c>
      <c r="AQ206" s="2" t="n">
        <v>178.1</v>
      </c>
      <c r="AR206" s="2" t="n">
        <v>40.5</v>
      </c>
      <c r="AS206" s="2" t="n">
        <v>102.7</v>
      </c>
      <c r="AT206" s="2" t="n">
        <v>51.9</v>
      </c>
      <c r="AU206" s="2" t="n">
        <v>64.59999999999999</v>
      </c>
      <c r="AV206" s="2" t="n">
        <v>28.6</v>
      </c>
      <c r="AW206" s="2" t="n">
        <v>17.4</v>
      </c>
      <c r="AX206" s="2" t="n">
        <v>4.3</v>
      </c>
      <c r="AY206" s="2" t="inlineStr">
        <is>
          <t>NA</t>
        </is>
      </c>
      <c r="AZ206" s="2" t="inlineStr">
        <is>
          <t>NA</t>
        </is>
      </c>
      <c r="BA206" s="2" t="inlineStr">
        <is>
          <t>NA</t>
        </is>
      </c>
      <c r="BB206" s="2" t="inlineStr">
        <is>
          <t>NA</t>
        </is>
      </c>
      <c r="BD206" s="2" t="n">
        <v>113.4</v>
      </c>
      <c r="BE206" s="2" t="n">
        <v>34.1</v>
      </c>
      <c r="BH206" s="2" t="n">
        <v>279.1</v>
      </c>
      <c r="BK206" s="2" t="n">
        <v>215.7</v>
      </c>
      <c r="BL206" s="2" t="n">
        <v>3.9</v>
      </c>
      <c r="BM206" s="2" t="n">
        <v>498.7</v>
      </c>
      <c r="BN206" s="2" t="n">
        <v>162</v>
      </c>
      <c r="BQ206" s="2" t="n">
        <v>95.09999999999999</v>
      </c>
      <c r="BR206" s="2" t="n">
        <v>3.5</v>
      </c>
      <c r="BS206" s="2" t="n">
        <v>260.6</v>
      </c>
      <c r="BT206" s="2" t="inlineStr">
        <is>
          <t>NA</t>
        </is>
      </c>
      <c r="BU206" s="2" t="n">
        <v>22.7</v>
      </c>
      <c r="BV206" s="2" t="n">
        <v>352.4</v>
      </c>
      <c r="BW206" s="2" t="n">
        <v>94.3</v>
      </c>
      <c r="BX206" s="2" t="n">
        <v>453.6</v>
      </c>
      <c r="BY206" s="2" t="n">
        <v>47.4</v>
      </c>
      <c r="BZ206" s="2" t="n">
        <v>9.699999999999999</v>
      </c>
      <c r="CA206" s="2" t="n">
        <v>57.09999999999999</v>
      </c>
      <c r="CF206" s="2" t="n">
        <v>117.8</v>
      </c>
      <c r="CG206" s="2" t="n">
        <v>172.3</v>
      </c>
      <c r="CH206" s="2" t="n">
        <v>8.300000000000001</v>
      </c>
      <c r="CN206" s="2" t="n">
        <v>25.7</v>
      </c>
      <c r="CO206" s="2" t="n">
        <v>84</v>
      </c>
      <c r="CP206" s="2" t="n">
        <v>38.6</v>
      </c>
      <c r="CQ206" s="2" t="n">
        <v>45.4</v>
      </c>
      <c r="CR206" s="2" t="inlineStr">
        <is>
          <t>NA</t>
        </is>
      </c>
      <c r="CS206" s="2" t="n">
        <v>46.1</v>
      </c>
      <c r="CT206" s="2" t="n">
        <v>32.6</v>
      </c>
      <c r="CU206" s="2" t="n">
        <v>13.5</v>
      </c>
      <c r="CV206" s="2" t="n">
        <v>30.9</v>
      </c>
      <c r="CW206" s="2" t="n">
        <v>7.8</v>
      </c>
      <c r="CX206" s="2" t="n">
        <v>23.1</v>
      </c>
      <c r="CY206" s="2" t="inlineStr">
        <is>
          <t>NA</t>
        </is>
      </c>
      <c r="CZ206" s="2" t="n">
        <v>21.8</v>
      </c>
      <c r="DA206" s="2" t="n">
        <v>42.6</v>
      </c>
      <c r="DB206" s="2" t="n">
        <v>41.1</v>
      </c>
      <c r="DC206" s="2" t="n">
        <v>1.5</v>
      </c>
      <c r="DG206" s="2" t="n">
        <v>111.1</v>
      </c>
      <c r="DI206" s="2" t="n">
        <v>482.3</v>
      </c>
      <c r="DJ206" s="2" t="n">
        <v>196.1</v>
      </c>
      <c r="DL206" s="2" t="n">
        <v>83.8</v>
      </c>
      <c r="DM206" s="2" t="n">
        <v>213</v>
      </c>
      <c r="DO206" s="2" t="n">
        <v>225.2</v>
      </c>
      <c r="DP206" s="2" t="n">
        <v>250.3</v>
      </c>
      <c r="DS206" s="2" t="n">
        <v>729.694</v>
      </c>
      <c r="DT206" s="2" t="n">
        <v>3027.2</v>
      </c>
      <c r="DU206" s="2" t="n">
        <v>-846.806</v>
      </c>
      <c r="DV206" s="2" t="n">
        <v>0</v>
      </c>
      <c r="GY206" s="2" t="n">
        <v>0.972176308539945</v>
      </c>
      <c r="GZ206" s="2" t="n">
        <v>1058.7</v>
      </c>
      <c r="HA206" s="2" t="n">
        <v>1089</v>
      </c>
      <c r="HF206" s="2" t="n">
        <v>1042.8</v>
      </c>
      <c r="HG206" s="2" t="n">
        <v>1014.9</v>
      </c>
      <c r="HH206" s="2" t="n">
        <v>391.9</v>
      </c>
      <c r="HI206" s="2" t="n">
        <v>145.9</v>
      </c>
      <c r="HJ206" s="2" t="n">
        <v>391.9</v>
      </c>
      <c r="HK206" s="2" t="n">
        <v>6.2</v>
      </c>
      <c r="HL206" s="2" t="n">
        <v>27.9</v>
      </c>
      <c r="HP206" s="2" t="e">
        <v>#VALUE!</v>
      </c>
      <c r="HQ206" s="2" t="n">
        <v>4.2</v>
      </c>
      <c r="HR206" s="2" t="n">
        <v>11.4</v>
      </c>
      <c r="HS206" s="2" t="e">
        <v>#VALUE!</v>
      </c>
      <c r="HT206" s="2" t="n">
        <v>9.4</v>
      </c>
      <c r="HW206" s="2" t="n">
        <v>272.3</v>
      </c>
      <c r="HX206" s="2" t="e">
        <v>#VALUE!</v>
      </c>
      <c r="HY206" s="2" t="n">
        <v>272.3</v>
      </c>
      <c r="HZ206" s="2" t="n">
        <v>57</v>
      </c>
      <c r="IA206" s="2" t="n">
        <v>180.7</v>
      </c>
      <c r="IB206" s="2" t="e">
        <v>#VALUE!</v>
      </c>
      <c r="IC206" s="2" t="e">
        <v>#VALUE!</v>
      </c>
      <c r="ID206" s="2" t="e">
        <v>#VALUE!</v>
      </c>
      <c r="IE206" s="2" t="e">
        <v>#VALUE!</v>
      </c>
      <c r="IF206" s="2" t="n">
        <v>7.2</v>
      </c>
      <c r="IG206" s="2" t="n">
        <v>21.3</v>
      </c>
      <c r="IN206" s="2" t="n">
        <v>53</v>
      </c>
      <c r="IO206" s="2" t="n">
        <v>54.4</v>
      </c>
      <c r="IP206" s="2" t="e">
        <v>#VALUE!</v>
      </c>
      <c r="IQ206" s="2" t="n">
        <v>44.5</v>
      </c>
      <c r="IR206" s="2" t="n">
        <v>20.7</v>
      </c>
      <c r="IS206" s="2" t="e">
        <v>#VALUE!</v>
      </c>
      <c r="IT206" s="2" t="n">
        <v>21.8</v>
      </c>
      <c r="IU206" s="2" t="e">
        <v>#VALUE!</v>
      </c>
      <c r="IV206" s="2" t="e">
        <v>#VALUE!</v>
      </c>
      <c r="IY206" s="2" t="n">
        <v>47.64997357293868</v>
      </c>
      <c r="IZ206" s="2" t="n">
        <v>-0.3200264270613147</v>
      </c>
      <c r="JB206" s="2" t="n">
        <v>11.32829016913319</v>
      </c>
      <c r="JC206" s="2" t="n">
        <v>-0.1117098308668076</v>
      </c>
      <c r="JE206" s="2" t="n">
        <v>2015.4</v>
      </c>
      <c r="JF206" s="2" t="n">
        <v>0.8736315371638386</v>
      </c>
    </row>
    <row r="207">
      <c r="A207" s="1" t="n">
        <v>35339</v>
      </c>
      <c r="B207" s="2" t="n">
        <v>3810.2</v>
      </c>
      <c r="C207" s="2" t="n">
        <v>3033.1</v>
      </c>
      <c r="D207" s="2" t="n">
        <v>331.7</v>
      </c>
      <c r="E207" s="2" t="n">
        <v>1491.3</v>
      </c>
      <c r="F207" s="2" t="n">
        <v>24.9</v>
      </c>
      <c r="G207" s="2" t="inlineStr">
        <is>
          <t>NA</t>
        </is>
      </c>
      <c r="H207" s="2" t="inlineStr">
        <is>
          <t>NA</t>
        </is>
      </c>
      <c r="I207" s="2" t="inlineStr">
        <is>
          <t>NA</t>
        </is>
      </c>
      <c r="J207" s="2" t="inlineStr">
        <is>
          <t>NA</t>
        </is>
      </c>
      <c r="K207" s="2" t="n">
        <v>1400.6</v>
      </c>
      <c r="L207" s="2" t="n">
        <v>1992.9</v>
      </c>
      <c r="M207" s="2" t="n">
        <v>1796.5</v>
      </c>
      <c r="N207" s="2" t="n">
        <v>196.4</v>
      </c>
      <c r="O207" s="2" t="n">
        <v>98.90000000000001</v>
      </c>
      <c r="P207" s="2" t="n">
        <v>97.5</v>
      </c>
      <c r="Q207" s="2" t="n">
        <v>29.8</v>
      </c>
      <c r="R207" s="2" t="n">
        <v>67.7</v>
      </c>
      <c r="T207" s="2" t="n">
        <v>21.1</v>
      </c>
      <c r="U207" s="2" t="n">
        <v>81.39999999999999</v>
      </c>
      <c r="V207" s="2" t="n">
        <v>78.8</v>
      </c>
      <c r="W207" s="2" t="n">
        <v>2.6</v>
      </c>
      <c r="X207" s="2" t="inlineStr">
        <is>
          <t>NA</t>
        </is>
      </c>
      <c r="Y207" s="2" t="n">
        <v>5.3</v>
      </c>
      <c r="Z207" s="2" t="n">
        <v>154.8</v>
      </c>
      <c r="AA207" s="2" t="n">
        <v>146.5</v>
      </c>
      <c r="AB207" s="2" t="n">
        <v>8.300000000000001</v>
      </c>
      <c r="AC207" s="2" t="inlineStr">
        <is>
          <t>NA</t>
        </is>
      </c>
      <c r="AD207" s="2" t="n">
        <v>21.6</v>
      </c>
      <c r="AF207" s="2" t="n">
        <v>68.2</v>
      </c>
      <c r="AG207" s="2" t="n">
        <v>50.7</v>
      </c>
      <c r="AH207" s="2" t="n">
        <v>17.5</v>
      </c>
      <c r="AI207" s="2" t="n">
        <v>190.1</v>
      </c>
      <c r="AL207" s="2" t="n">
        <v>124.5</v>
      </c>
      <c r="AM207" s="2" t="n">
        <v>93.09999999999999</v>
      </c>
      <c r="AN207" s="2" t="n">
        <v>31.4</v>
      </c>
      <c r="AO207" s="2" t="n">
        <v>2797.5</v>
      </c>
      <c r="AP207" s="2" t="n">
        <v>157</v>
      </c>
      <c r="AQ207" s="2" t="n">
        <v>195.3</v>
      </c>
      <c r="AR207" s="2" t="n">
        <v>43.2</v>
      </c>
      <c r="AS207" s="2" t="n">
        <v>146.1</v>
      </c>
      <c r="AT207" s="2" t="n">
        <v>46.5</v>
      </c>
      <c r="AU207" s="2" t="n">
        <v>85</v>
      </c>
      <c r="AV207" s="2" t="n">
        <v>26</v>
      </c>
      <c r="AW207" s="2" t="n">
        <v>14.2</v>
      </c>
      <c r="AX207" s="2" t="n">
        <v>3.6</v>
      </c>
      <c r="AY207" s="2" t="inlineStr">
        <is>
          <t>NA</t>
        </is>
      </c>
      <c r="AZ207" s="2" t="inlineStr">
        <is>
          <t>NA</t>
        </is>
      </c>
      <c r="BA207" s="2" t="inlineStr">
        <is>
          <t>NA</t>
        </is>
      </c>
      <c r="BB207" s="2" t="inlineStr">
        <is>
          <t>NA</t>
        </is>
      </c>
      <c r="BD207" s="2" t="n">
        <v>117.6</v>
      </c>
      <c r="BE207" s="2" t="n">
        <v>32.2</v>
      </c>
      <c r="BH207" s="2" t="n">
        <v>297.2</v>
      </c>
      <c r="BK207" s="2" t="n">
        <v>248.2</v>
      </c>
      <c r="BL207" s="2" t="n">
        <v>4.1</v>
      </c>
      <c r="BM207" s="2" t="n">
        <v>549.5</v>
      </c>
      <c r="BN207" s="2" t="n">
        <v>171.1</v>
      </c>
      <c r="BQ207" s="2" t="n">
        <v>104.4</v>
      </c>
      <c r="BR207" s="2" t="n">
        <v>4.2</v>
      </c>
      <c r="BS207" s="2" t="n">
        <v>279.7</v>
      </c>
      <c r="BT207" s="2" t="inlineStr">
        <is>
          <t>NA</t>
        </is>
      </c>
      <c r="BU207" s="2" t="n">
        <v>20.1</v>
      </c>
      <c r="BV207" s="2" t="n">
        <v>383.4</v>
      </c>
      <c r="BW207" s="2" t="n">
        <v>112.3</v>
      </c>
      <c r="BX207" s="2" t="n">
        <v>502.2</v>
      </c>
      <c r="BY207" s="2" t="n">
        <v>52</v>
      </c>
      <c r="BZ207" s="2" t="n">
        <v>10.4</v>
      </c>
      <c r="CA207" s="2" t="n">
        <v>62.4</v>
      </c>
      <c r="CF207" s="2" t="n">
        <v>124.2</v>
      </c>
      <c r="CG207" s="2" t="n">
        <v>192.1</v>
      </c>
      <c r="CH207" s="2" t="n">
        <v>7</v>
      </c>
      <c r="CN207" s="2" t="n">
        <v>33.6</v>
      </c>
      <c r="CO207" s="2" t="n">
        <v>78.59999999999999</v>
      </c>
      <c r="CP207" s="2" t="n">
        <v>42.6</v>
      </c>
      <c r="CQ207" s="2" t="n">
        <v>36</v>
      </c>
      <c r="CR207" s="2" t="inlineStr">
        <is>
          <t>NA</t>
        </is>
      </c>
      <c r="CS207" s="2" t="n">
        <v>38.7</v>
      </c>
      <c r="CT207" s="2" t="n">
        <v>18.5</v>
      </c>
      <c r="CU207" s="2" t="n">
        <v>20.2</v>
      </c>
      <c r="CV207" s="2" t="n">
        <v>41</v>
      </c>
      <c r="CW207" s="2" t="n">
        <v>8.199999999999999</v>
      </c>
      <c r="CX207" s="2" t="n">
        <v>32.8</v>
      </c>
      <c r="CY207" s="2" t="inlineStr">
        <is>
          <t>NA</t>
        </is>
      </c>
      <c r="CZ207" s="2" t="n">
        <v>38.8</v>
      </c>
      <c r="DA207" s="2" t="n">
        <v>41.4</v>
      </c>
      <c r="DB207" s="2" t="n">
        <v>40.1</v>
      </c>
      <c r="DC207" s="2" t="n">
        <v>1.3</v>
      </c>
      <c r="DG207" s="2" t="n">
        <v>137.4</v>
      </c>
      <c r="DI207" s="2" t="n">
        <v>667.3</v>
      </c>
      <c r="DJ207" s="2" t="n">
        <v>224.7</v>
      </c>
      <c r="DL207" s="2" t="n">
        <v>159.1</v>
      </c>
      <c r="DM207" s="2" t="n">
        <v>263.2</v>
      </c>
      <c r="DO207" s="2" t="n">
        <v>247.4</v>
      </c>
      <c r="DP207" s="2" t="n">
        <v>294</v>
      </c>
      <c r="DS207" s="2" t="n">
        <v>931.345</v>
      </c>
      <c r="DT207" s="2" t="n">
        <v>3810.2</v>
      </c>
      <c r="DU207" s="2" t="n">
        <v>-1023.155</v>
      </c>
      <c r="DV207" s="2" t="n">
        <v>0</v>
      </c>
      <c r="GY207" s="2" t="n">
        <v>0.9721056313396294</v>
      </c>
      <c r="GZ207" s="2" t="n">
        <v>1111.7</v>
      </c>
      <c r="HA207" s="2" t="n">
        <v>1143.6</v>
      </c>
      <c r="HF207" s="2" t="n">
        <v>1137.1</v>
      </c>
      <c r="HG207" s="2" t="n">
        <v>1109.9</v>
      </c>
      <c r="HH207" s="2" t="n">
        <v>420.6</v>
      </c>
      <c r="HI207" s="2" t="n">
        <v>165.8</v>
      </c>
      <c r="HJ207" s="2" t="n">
        <v>420.6</v>
      </c>
      <c r="HK207" s="2" t="n">
        <v>7.3</v>
      </c>
      <c r="HL207" s="2" t="n">
        <v>27.2</v>
      </c>
      <c r="HP207" s="2" t="e">
        <v>#VALUE!</v>
      </c>
      <c r="HQ207" s="2" t="n">
        <v>4.3</v>
      </c>
      <c r="HR207" s="2" t="n">
        <v>11</v>
      </c>
      <c r="HS207" s="2" t="e">
        <v>#VALUE!</v>
      </c>
      <c r="HT207" s="2" t="n">
        <v>9.199999999999999</v>
      </c>
      <c r="HW207" s="2" t="n">
        <v>275.4</v>
      </c>
      <c r="HX207" s="2" t="e">
        <v>#VALUE!</v>
      </c>
      <c r="HY207" s="2" t="n">
        <v>275.4</v>
      </c>
      <c r="HZ207" s="2" t="n">
        <v>48.9</v>
      </c>
      <c r="IA207" s="2" t="n">
        <v>186.9</v>
      </c>
      <c r="IB207" s="2" t="e">
        <v>#VALUE!</v>
      </c>
      <c r="IC207" s="2" t="e">
        <v>#VALUE!</v>
      </c>
      <c r="ID207" s="2" t="e">
        <v>#VALUE!</v>
      </c>
      <c r="IE207" s="2" t="e">
        <v>#VALUE!</v>
      </c>
      <c r="IF207" s="2" t="n">
        <v>10.3</v>
      </c>
      <c r="IG207" s="2" t="n">
        <v>25.1</v>
      </c>
      <c r="IN207" s="2" t="n">
        <v>64.90000000000001</v>
      </c>
      <c r="IO207" s="2" t="n">
        <v>67.2</v>
      </c>
      <c r="IP207" s="2" t="e">
        <v>#VALUE!</v>
      </c>
      <c r="IQ207" s="2" t="n">
        <v>48</v>
      </c>
      <c r="IR207" s="2" t="n">
        <v>22.4</v>
      </c>
      <c r="IS207" s="2" t="e">
        <v>#VALUE!</v>
      </c>
      <c r="IT207" s="2" t="n">
        <v>23.2</v>
      </c>
      <c r="IU207" s="2" t="e">
        <v>#VALUE!</v>
      </c>
      <c r="IV207" s="2" t="e">
        <v>#VALUE!</v>
      </c>
      <c r="IY207" s="2" t="n">
        <v>47.12823473833395</v>
      </c>
      <c r="IZ207" s="2" t="n">
        <v>-0.001765261666051288</v>
      </c>
      <c r="JB207" s="2" t="n">
        <v>11.0277675712561</v>
      </c>
      <c r="JC207" s="2" t="n">
        <v>-0.06223242874389889</v>
      </c>
      <c r="JE207" s="2" t="n">
        <v>1992.9</v>
      </c>
      <c r="JF207" s="2" t="n">
        <v>0.8741527422349339</v>
      </c>
    </row>
    <row r="208">
      <c r="A208" s="1" t="n">
        <v>35370</v>
      </c>
      <c r="B208" s="2" t="n">
        <v>3993.2</v>
      </c>
      <c r="C208" s="2" t="n">
        <v>3520.9</v>
      </c>
      <c r="D208" s="2" t="n">
        <v>355.1</v>
      </c>
      <c r="E208" s="2" t="n">
        <v>2221.2</v>
      </c>
      <c r="F208" s="2" t="n">
        <v>26.1</v>
      </c>
      <c r="G208" s="2" t="inlineStr">
        <is>
          <t>NA</t>
        </is>
      </c>
      <c r="H208" s="2" t="inlineStr">
        <is>
          <t>NA</t>
        </is>
      </c>
      <c r="I208" s="2" t="inlineStr">
        <is>
          <t>NA</t>
        </is>
      </c>
      <c r="J208" s="2" t="inlineStr">
        <is>
          <t>NA</t>
        </is>
      </c>
      <c r="K208" s="2" t="n">
        <v>1429.7</v>
      </c>
      <c r="L208" s="2" t="n">
        <v>1898.4</v>
      </c>
      <c r="M208" s="2" t="n">
        <v>1711.6</v>
      </c>
      <c r="N208" s="2" t="n">
        <v>186.8</v>
      </c>
      <c r="O208" s="2" t="n">
        <v>114.8</v>
      </c>
      <c r="P208" s="2" t="n">
        <v>102.5</v>
      </c>
      <c r="Q208" s="2" t="n">
        <v>34.9</v>
      </c>
      <c r="R208" s="2" t="n">
        <v>67.59999999999999</v>
      </c>
      <c r="T208" s="2" t="n">
        <v>20.6</v>
      </c>
      <c r="U208" s="2" t="n">
        <v>67.2</v>
      </c>
      <c r="V208" s="2" t="n">
        <v>63.9</v>
      </c>
      <c r="W208" s="2" t="n">
        <v>3.3</v>
      </c>
      <c r="X208" s="2" t="inlineStr">
        <is>
          <t>NA</t>
        </is>
      </c>
      <c r="Y208" s="2" t="n">
        <v>9.6</v>
      </c>
      <c r="Z208" s="2" t="n">
        <v>196.5</v>
      </c>
      <c r="AA208" s="2" t="n">
        <v>188.6</v>
      </c>
      <c r="AB208" s="2" t="n">
        <v>7.9</v>
      </c>
      <c r="AC208" s="2" t="inlineStr">
        <is>
          <t>NA</t>
        </is>
      </c>
      <c r="AD208" s="2" t="n">
        <v>11.4</v>
      </c>
      <c r="AF208" s="2" t="n">
        <v>71.5</v>
      </c>
      <c r="AG208" s="2" t="n">
        <v>53.6</v>
      </c>
      <c r="AH208" s="2" t="n">
        <v>17.9</v>
      </c>
      <c r="AI208" s="2" t="n">
        <v>187.9</v>
      </c>
      <c r="AL208" s="2" t="n">
        <v>131.3</v>
      </c>
      <c r="AM208" s="2" t="n">
        <v>99.7</v>
      </c>
      <c r="AN208" s="2" t="n">
        <v>31.6</v>
      </c>
      <c r="AO208" s="2" t="n">
        <v>2940.6</v>
      </c>
      <c r="AP208" s="2" t="n">
        <v>234.2</v>
      </c>
      <c r="AQ208" s="2" t="n">
        <v>211.2</v>
      </c>
      <c r="AR208" s="2" t="n">
        <v>57.6</v>
      </c>
      <c r="AS208" s="2" t="n">
        <v>161.5</v>
      </c>
      <c r="AT208" s="2" t="n">
        <v>45.2</v>
      </c>
      <c r="AU208" s="2" t="n">
        <v>98.7</v>
      </c>
      <c r="AV208" s="2" t="n">
        <v>26.3</v>
      </c>
      <c r="AW208" s="2" t="n">
        <v>14.8</v>
      </c>
      <c r="AX208" s="2" t="inlineStr">
        <is>
          <t>NA</t>
        </is>
      </c>
      <c r="AY208" s="2" t="inlineStr">
        <is>
          <t>NA</t>
        </is>
      </c>
      <c r="AZ208" s="2" t="inlineStr">
        <is>
          <t>NA</t>
        </is>
      </c>
      <c r="BA208" s="2" t="inlineStr">
        <is>
          <t>NA</t>
        </is>
      </c>
      <c r="BB208" s="2" t="inlineStr">
        <is>
          <t>NA</t>
        </is>
      </c>
      <c r="BD208" s="2" t="n">
        <v>107.5</v>
      </c>
      <c r="BE208" s="2" t="n">
        <v>32.8</v>
      </c>
      <c r="BH208" s="2" t="n">
        <v>280.3</v>
      </c>
      <c r="BK208" s="2" t="n">
        <v>219.9</v>
      </c>
      <c r="BL208" s="2" t="n">
        <v>4.1</v>
      </c>
      <c r="BM208" s="2" t="n">
        <v>504.3</v>
      </c>
      <c r="BN208" s="2" t="n">
        <v>161.5</v>
      </c>
      <c r="BQ208" s="2" t="n">
        <v>104.7</v>
      </c>
      <c r="BR208" s="2" t="n">
        <v>4.2</v>
      </c>
      <c r="BS208" s="2" t="n">
        <v>270.4</v>
      </c>
      <c r="BT208" s="2" t="inlineStr">
        <is>
          <t>NA</t>
        </is>
      </c>
      <c r="BU208" s="2" t="n">
        <v>18.8</v>
      </c>
      <c r="BV208" s="2" t="n">
        <v>351.6</v>
      </c>
      <c r="BW208" s="2" t="n">
        <v>104.2</v>
      </c>
      <c r="BX208" s="2" t="n">
        <v>462.6</v>
      </c>
      <c r="BY208" s="2" t="n">
        <v>51.5</v>
      </c>
      <c r="BZ208" s="2" t="n">
        <v>11.6</v>
      </c>
      <c r="CA208" s="2" t="n">
        <v>63.1</v>
      </c>
      <c r="CF208" s="2" t="n">
        <v>118.9</v>
      </c>
      <c r="CG208" s="2" t="n">
        <v>167.4</v>
      </c>
      <c r="CH208" s="2" t="n">
        <v>7.5</v>
      </c>
      <c r="CN208" s="2" t="n">
        <v>15.1</v>
      </c>
      <c r="CO208" s="2" t="n">
        <v>65.09999999999999</v>
      </c>
      <c r="CP208" s="2" t="n">
        <v>34.4</v>
      </c>
      <c r="CQ208" s="2" t="n">
        <v>30.7</v>
      </c>
      <c r="CR208" s="2" t="inlineStr">
        <is>
          <t>NA</t>
        </is>
      </c>
      <c r="CS208" s="2" t="n">
        <v>41.8</v>
      </c>
      <c r="CT208" s="2" t="n">
        <v>25.1</v>
      </c>
      <c r="CU208" s="2" t="n">
        <v>16.7</v>
      </c>
      <c r="CV208" s="2" t="n">
        <v>45</v>
      </c>
      <c r="CW208" s="2" t="n">
        <v>8.699999999999999</v>
      </c>
      <c r="CX208" s="2" t="n">
        <v>36.3</v>
      </c>
      <c r="CY208" s="2" t="inlineStr">
        <is>
          <t>NA</t>
        </is>
      </c>
      <c r="CZ208" s="2" t="n">
        <v>51.8</v>
      </c>
      <c r="DA208" s="2" t="n">
        <v>39.4</v>
      </c>
      <c r="DB208" s="2" t="n">
        <v>38.4</v>
      </c>
      <c r="DC208" s="2" t="n">
        <v>1</v>
      </c>
      <c r="DG208" s="2" t="n">
        <v>144.4</v>
      </c>
      <c r="DI208" s="2" t="n">
        <v>682.9</v>
      </c>
      <c r="DJ208" s="2" t="n">
        <v>258.5</v>
      </c>
      <c r="DL208" s="2" t="n">
        <v>171.4</v>
      </c>
      <c r="DM208" s="2" t="n">
        <v>261.6</v>
      </c>
      <c r="DO208" s="2" t="n">
        <v>235.4</v>
      </c>
      <c r="DP208" s="2" t="n">
        <v>286.5</v>
      </c>
      <c r="DS208" s="2" t="n">
        <v>1059.495</v>
      </c>
      <c r="DT208" s="2" t="n">
        <v>3993.2</v>
      </c>
      <c r="DU208" s="2" t="n">
        <v>-1037.405</v>
      </c>
      <c r="DV208" s="2" t="n">
        <v>0</v>
      </c>
      <c r="GY208" s="2" t="n">
        <v>0.9680676855895195</v>
      </c>
      <c r="GZ208" s="2" t="n">
        <v>1064.1</v>
      </c>
      <c r="HA208" s="2" t="n">
        <v>1099.2</v>
      </c>
      <c r="HF208" s="2" t="n">
        <v>1080.9</v>
      </c>
      <c r="HG208" s="2" t="n">
        <v>1059</v>
      </c>
      <c r="HH208" s="2" t="n">
        <v>407.9</v>
      </c>
      <c r="HI208" s="2" t="n">
        <v>153.4</v>
      </c>
      <c r="HJ208" s="2" t="n">
        <v>407.9</v>
      </c>
      <c r="HK208" s="2" t="n">
        <v>6.6</v>
      </c>
      <c r="HL208" s="2" t="n">
        <v>21.9</v>
      </c>
      <c r="HP208" s="2" t="e">
        <v>#VALUE!</v>
      </c>
      <c r="HQ208" s="2" t="n">
        <v>3.2</v>
      </c>
      <c r="HR208" s="2" t="n">
        <v>8.1</v>
      </c>
      <c r="HS208" s="2" t="e">
        <v>#VALUE!</v>
      </c>
      <c r="HT208" s="2" t="n">
        <v>7.6</v>
      </c>
      <c r="HW208" s="2" t="n">
        <v>263</v>
      </c>
      <c r="HX208" s="2" t="e">
        <v>#VALUE!</v>
      </c>
      <c r="HY208" s="2" t="n">
        <v>263</v>
      </c>
      <c r="HZ208" s="2" t="n">
        <v>55.3</v>
      </c>
      <c r="IA208" s="2" t="n">
        <v>175.8</v>
      </c>
      <c r="IB208" s="2" t="e">
        <v>#VALUE!</v>
      </c>
      <c r="IC208" s="2" t="e">
        <v>#VALUE!</v>
      </c>
      <c r="ID208" s="2" t="e">
        <v>#VALUE!</v>
      </c>
      <c r="IE208" s="2" t="e">
        <v>#VALUE!</v>
      </c>
      <c r="IF208" s="2" t="n">
        <v>6.7</v>
      </c>
      <c r="IG208" s="2" t="n">
        <v>20.5</v>
      </c>
      <c r="IN208" s="2" t="n">
        <v>82.8</v>
      </c>
      <c r="IO208" s="2" t="n">
        <v>85.09999999999999</v>
      </c>
      <c r="IP208" s="2" t="e">
        <v>#VALUE!</v>
      </c>
      <c r="IQ208" s="2" t="n">
        <v>48.3</v>
      </c>
      <c r="IR208" s="2" t="n">
        <v>24.1</v>
      </c>
      <c r="IS208" s="2" t="e">
        <v>#VALUE!</v>
      </c>
      <c r="IT208" s="2" t="n">
        <v>22</v>
      </c>
      <c r="IU208" s="2" t="e">
        <v>#VALUE!</v>
      </c>
      <c r="IV208" s="2" t="e">
        <v>#VALUE!</v>
      </c>
      <c r="IY208" s="2" t="n">
        <v>47.35750776319743</v>
      </c>
      <c r="IZ208" s="2" t="n">
        <v>0.007507763197430961</v>
      </c>
      <c r="JB208" s="2" t="n">
        <v>10.74100971651808</v>
      </c>
      <c r="JC208" s="2" t="n">
        <v>-0.04899028348191692</v>
      </c>
      <c r="JE208" s="2" t="n">
        <v>1898.4</v>
      </c>
      <c r="JF208" s="2" t="n">
        <v>0.858859565950274</v>
      </c>
    </row>
    <row r="209">
      <c r="A209" s="1" t="n">
        <v>35400</v>
      </c>
      <c r="B209" s="2" t="n">
        <v>4143.4</v>
      </c>
      <c r="C209" s="2" t="n">
        <v>3181.2</v>
      </c>
      <c r="D209" s="2" t="n">
        <v>352.6</v>
      </c>
      <c r="E209" s="2" t="n">
        <v>2541.8</v>
      </c>
      <c r="F209" s="2" t="n">
        <v>26.3</v>
      </c>
      <c r="G209" s="2" t="inlineStr">
        <is>
          <t>NA</t>
        </is>
      </c>
      <c r="H209" s="2" t="inlineStr">
        <is>
          <t>NA</t>
        </is>
      </c>
      <c r="I209" s="2" t="inlineStr">
        <is>
          <t>NA</t>
        </is>
      </c>
      <c r="J209" s="2" t="inlineStr">
        <is>
          <t>NA</t>
        </is>
      </c>
      <c r="K209" s="2" t="n">
        <v>1472.7</v>
      </c>
      <c r="L209" s="2" t="n">
        <v>2027.1</v>
      </c>
      <c r="M209" s="2" t="n">
        <v>1805.1</v>
      </c>
      <c r="N209" s="2" t="n">
        <v>222</v>
      </c>
      <c r="O209" s="2" t="n">
        <v>115.9</v>
      </c>
      <c r="P209" s="2" t="n">
        <v>106</v>
      </c>
      <c r="Q209" s="2" t="n">
        <v>35</v>
      </c>
      <c r="R209" s="2" t="n">
        <v>71</v>
      </c>
      <c r="T209" s="2" t="n">
        <v>21.8</v>
      </c>
      <c r="U209" s="2" t="n">
        <v>88.39999999999999</v>
      </c>
      <c r="V209" s="2" t="n">
        <v>85.59999999999999</v>
      </c>
      <c r="W209" s="2" t="n">
        <v>2.8</v>
      </c>
      <c r="X209" s="2" t="inlineStr">
        <is>
          <t>NA</t>
        </is>
      </c>
      <c r="Y209" s="2" t="n">
        <v>4.3</v>
      </c>
      <c r="Z209" s="2" t="n">
        <v>149.8</v>
      </c>
      <c r="AA209" s="2" t="n">
        <v>143.1</v>
      </c>
      <c r="AB209" s="2" t="n">
        <v>6.7</v>
      </c>
      <c r="AC209" s="2" t="inlineStr">
        <is>
          <t>NA</t>
        </is>
      </c>
      <c r="AD209" s="2" t="n">
        <v>13.6</v>
      </c>
      <c r="AF209" s="2" t="n">
        <v>79.3</v>
      </c>
      <c r="AG209" s="2" t="n">
        <v>62</v>
      </c>
      <c r="AH209" s="2" t="n">
        <v>17.3</v>
      </c>
      <c r="AI209" s="2" t="n">
        <v>208.2</v>
      </c>
      <c r="AL209" s="2" t="n">
        <v>154.3</v>
      </c>
      <c r="AM209" s="2" t="n">
        <v>100.4</v>
      </c>
      <c r="AN209" s="2" t="n">
        <v>53.9</v>
      </c>
      <c r="AO209" s="2" t="n">
        <v>3038.5</v>
      </c>
      <c r="AP209" s="2" t="n">
        <v>200.9</v>
      </c>
      <c r="AQ209" s="2" t="n">
        <v>225.3</v>
      </c>
      <c r="AR209" s="2" t="n">
        <v>53.6</v>
      </c>
      <c r="AS209" s="2" t="n">
        <v>158.2</v>
      </c>
      <c r="AT209" s="2" t="n">
        <v>32.4</v>
      </c>
      <c r="AU209" s="2" t="n">
        <v>101</v>
      </c>
      <c r="AV209" s="2" t="n">
        <v>23.9</v>
      </c>
      <c r="AW209" s="2" t="n">
        <v>14.6</v>
      </c>
      <c r="AX209" s="2" t="n">
        <v>4.7</v>
      </c>
      <c r="AY209" s="2" t="inlineStr">
        <is>
          <t>NA</t>
        </is>
      </c>
      <c r="AZ209" s="2" t="inlineStr">
        <is>
          <t>NA</t>
        </is>
      </c>
      <c r="BA209" s="2" t="inlineStr">
        <is>
          <t>NA</t>
        </is>
      </c>
      <c r="BB209" s="2" t="inlineStr">
        <is>
          <t>NA</t>
        </is>
      </c>
      <c r="BD209" s="2" t="n">
        <v>113.5</v>
      </c>
      <c r="BE209" s="2" t="n">
        <v>33.3</v>
      </c>
      <c r="BH209" s="2" t="n">
        <v>280.9</v>
      </c>
      <c r="BK209" s="2" t="n">
        <v>219</v>
      </c>
      <c r="BL209" s="2" t="n">
        <v>3.9</v>
      </c>
      <c r="BM209" s="2" t="n">
        <v>503.8</v>
      </c>
      <c r="BN209" s="2" t="n">
        <v>170.1</v>
      </c>
      <c r="BQ209" s="2" t="n">
        <v>91.59999999999999</v>
      </c>
      <c r="BR209" s="2" t="n">
        <v>4.5</v>
      </c>
      <c r="BS209" s="2" t="n">
        <v>266.2</v>
      </c>
      <c r="BT209" s="2" t="inlineStr">
        <is>
          <t>NA</t>
        </is>
      </c>
      <c r="BU209" s="2" t="n">
        <v>18.9</v>
      </c>
      <c r="BV209" s="2" t="n">
        <v>368</v>
      </c>
      <c r="BW209" s="2" t="n">
        <v>103.5</v>
      </c>
      <c r="BX209" s="2" t="n">
        <v>478.5</v>
      </c>
      <c r="BY209" s="2" t="n">
        <v>47</v>
      </c>
      <c r="BZ209" s="2" t="n">
        <v>11.7</v>
      </c>
      <c r="CA209" s="2" t="n">
        <v>58.7</v>
      </c>
      <c r="CF209" s="2" t="n">
        <v>119.5</v>
      </c>
      <c r="CG209" s="2" t="n">
        <v>182.4</v>
      </c>
      <c r="CH209" s="2" t="n">
        <v>8.9</v>
      </c>
      <c r="CN209" s="2" t="n">
        <v>28.3</v>
      </c>
      <c r="CO209" s="2" t="n">
        <v>125.9</v>
      </c>
      <c r="CP209" s="2" t="n">
        <v>69.90000000000001</v>
      </c>
      <c r="CQ209" s="2" t="n">
        <v>56</v>
      </c>
      <c r="CR209" s="2" t="inlineStr">
        <is>
          <t>NA</t>
        </is>
      </c>
      <c r="CS209" s="2" t="n">
        <v>49.2</v>
      </c>
      <c r="CT209" s="2" t="n">
        <v>32.5</v>
      </c>
      <c r="CU209" s="2" t="n">
        <v>16.7</v>
      </c>
      <c r="CV209" s="2" t="n">
        <v>70.90000000000001</v>
      </c>
      <c r="CW209" s="2" t="n">
        <v>8.699999999999999</v>
      </c>
      <c r="CX209" s="2" t="n">
        <v>62.2</v>
      </c>
      <c r="CY209" s="2" t="inlineStr">
        <is>
          <t>NA</t>
        </is>
      </c>
      <c r="CZ209" s="2" t="n">
        <v>51.8</v>
      </c>
      <c r="DA209" s="2" t="n">
        <v>40.2</v>
      </c>
      <c r="DB209" s="2" t="n">
        <v>39.1</v>
      </c>
      <c r="DC209" s="2" t="n">
        <v>1.1</v>
      </c>
      <c r="DG209" s="2" t="n">
        <v>158</v>
      </c>
      <c r="DI209" s="2" t="n">
        <v>717.4</v>
      </c>
      <c r="DJ209" s="2" t="n">
        <v>266.9</v>
      </c>
      <c r="DL209" s="2" t="n">
        <v>170.9</v>
      </c>
      <c r="DM209" s="2" t="n">
        <v>254</v>
      </c>
      <c r="DO209" s="2" t="n">
        <v>247.2</v>
      </c>
      <c r="DP209" s="2" t="n">
        <v>304.7</v>
      </c>
      <c r="DS209" s="2" t="n">
        <v>1077.045</v>
      </c>
      <c r="DT209" s="2" t="n">
        <v>4143.4</v>
      </c>
      <c r="DU209" s="2" t="n">
        <v>-1105.254999999999</v>
      </c>
      <c r="DV209" s="2" t="n">
        <v>0</v>
      </c>
      <c r="GY209" s="2" t="n">
        <v>0.09678241177580676</v>
      </c>
      <c r="GZ209" s="2" t="n">
        <v>1025.7</v>
      </c>
      <c r="HA209" s="2" t="n">
        <v>10598</v>
      </c>
      <c r="HF209" s="2" t="n">
        <v>1093.1</v>
      </c>
      <c r="HG209" s="2" t="n">
        <v>1068.2</v>
      </c>
      <c r="HH209" s="2" t="n">
        <v>399.1</v>
      </c>
      <c r="HI209" s="2" t="n">
        <v>151.7</v>
      </c>
      <c r="HJ209" s="2" t="n">
        <v>399.1</v>
      </c>
      <c r="HK209" s="2" t="n">
        <v>6.6</v>
      </c>
      <c r="HL209" s="2" t="n">
        <v>24.9</v>
      </c>
      <c r="HP209" s="2" t="e">
        <v>#VALUE!</v>
      </c>
      <c r="HQ209" s="2" t="n">
        <v>3.3</v>
      </c>
      <c r="HR209" s="2" t="n">
        <v>7.9</v>
      </c>
      <c r="HS209" s="2" t="e">
        <v>#VALUE!</v>
      </c>
      <c r="HT209" s="2" t="n">
        <v>9.5</v>
      </c>
      <c r="HW209" s="2" t="n">
        <v>271.2</v>
      </c>
      <c r="HX209" s="2" t="e">
        <v>#VALUE!</v>
      </c>
      <c r="HY209" s="2" t="n">
        <v>271.2</v>
      </c>
      <c r="HZ209" s="2" t="n">
        <v>61.6</v>
      </c>
      <c r="IA209" s="2" t="n">
        <v>179.1</v>
      </c>
      <c r="IB209" s="2" t="e">
        <v>#VALUE!</v>
      </c>
      <c r="IC209" s="2" t="e">
        <v>#VALUE!</v>
      </c>
      <c r="ID209" s="2" t="e">
        <v>#VALUE!</v>
      </c>
      <c r="IE209" s="2" t="e">
        <v>#VALUE!</v>
      </c>
      <c r="IF209" s="2" t="n">
        <v>6.6</v>
      </c>
      <c r="IG209" s="2" t="n">
        <v>17.4</v>
      </c>
      <c r="IN209" s="2" t="n">
        <v>82.09999999999999</v>
      </c>
      <c r="IO209" s="2" t="n">
        <v>85.09999999999999</v>
      </c>
      <c r="IP209" s="2" t="e">
        <v>#VALUE!</v>
      </c>
      <c r="IQ209" s="2" t="n">
        <v>44.3</v>
      </c>
      <c r="IR209" s="2" t="n">
        <v>24.1</v>
      </c>
      <c r="IS209" s="2" t="e">
        <v>#VALUE!</v>
      </c>
      <c r="IT209" s="2" t="n">
        <v>17.9</v>
      </c>
      <c r="IU209" s="2" t="e">
        <v>#VALUE!</v>
      </c>
      <c r="IV209" s="2" t="e">
        <v>#VALUE!</v>
      </c>
      <c r="IY209" s="2" t="n">
        <v>47.26263455133466</v>
      </c>
      <c r="IZ209" s="2" t="n">
        <v>0.002634551334665503</v>
      </c>
      <c r="JB209" s="2" t="n">
        <v>10.66298209200174</v>
      </c>
      <c r="JC209" s="2" t="n">
        <v>-0.2470179079982611</v>
      </c>
      <c r="JE209" s="2" t="n">
        <v>2027.1</v>
      </c>
      <c r="JF209" s="2" t="n">
        <v>0.8464313551378817</v>
      </c>
    </row>
    <row r="210">
      <c r="A210" s="1" t="n">
        <v>35431</v>
      </c>
      <c r="B210" s="2" t="n">
        <v>4118.6</v>
      </c>
      <c r="C210" s="2" t="n">
        <v>3378.5</v>
      </c>
      <c r="D210" s="2" t="n">
        <v>381.2</v>
      </c>
      <c r="E210" s="2" t="n">
        <v>2386.1</v>
      </c>
      <c r="F210" s="2" t="n">
        <v>24.2</v>
      </c>
      <c r="G210" s="2" t="inlineStr">
        <is>
          <t>NA</t>
        </is>
      </c>
      <c r="H210" s="2" t="inlineStr">
        <is>
          <t>NA</t>
        </is>
      </c>
      <c r="I210" s="2" t="inlineStr">
        <is>
          <t>NA</t>
        </is>
      </c>
      <c r="J210" s="2" t="inlineStr">
        <is>
          <t>NA</t>
        </is>
      </c>
      <c r="K210" s="2" t="n">
        <v>1474.5</v>
      </c>
      <c r="L210" s="2" t="n">
        <v>2172.3</v>
      </c>
      <c r="M210" s="2" t="n">
        <v>1928.5</v>
      </c>
      <c r="N210" s="2" t="n">
        <v>243.8</v>
      </c>
      <c r="O210" s="2" t="n">
        <v>123.9</v>
      </c>
      <c r="P210" s="2" t="n">
        <v>120.9</v>
      </c>
      <c r="Q210" s="2" t="n">
        <v>29.8</v>
      </c>
      <c r="R210" s="2" t="n">
        <v>91.09999999999999</v>
      </c>
      <c r="T210" s="2" t="n">
        <v>19.9</v>
      </c>
      <c r="U210" s="2" t="n">
        <v>94.69999999999999</v>
      </c>
      <c r="V210" s="2" t="n">
        <v>91.59999999999999</v>
      </c>
      <c r="W210" s="2" t="n">
        <v>3.1</v>
      </c>
      <c r="X210" s="2" t="inlineStr">
        <is>
          <t>NA</t>
        </is>
      </c>
      <c r="Y210" s="2" t="n">
        <v>5.3</v>
      </c>
      <c r="Z210" s="2" t="n">
        <v>175.4</v>
      </c>
      <c r="AA210" s="2" t="n">
        <v>167.1</v>
      </c>
      <c r="AB210" s="2" t="n">
        <v>8.300000000000001</v>
      </c>
      <c r="AC210" s="2" t="inlineStr">
        <is>
          <t>NA</t>
        </is>
      </c>
      <c r="AD210" s="2" t="n">
        <v>8.699999999999999</v>
      </c>
      <c r="AF210" s="2" t="n">
        <v>73.59999999999999</v>
      </c>
      <c r="AG210" s="2" t="n">
        <v>53.7</v>
      </c>
      <c r="AH210" s="2" t="n">
        <v>19.9</v>
      </c>
      <c r="AI210" s="2" t="n">
        <v>172.5</v>
      </c>
      <c r="AL210" s="2" t="n">
        <v>161</v>
      </c>
      <c r="AM210" s="2" t="n">
        <v>91.5</v>
      </c>
      <c r="AN210" s="2" t="n">
        <v>69.5</v>
      </c>
      <c r="AO210" s="2" t="n">
        <v>3034.1</v>
      </c>
      <c r="AP210" s="2" t="n">
        <v>214.1</v>
      </c>
      <c r="AQ210" s="2" t="n">
        <v>217.6</v>
      </c>
      <c r="AR210" s="2" t="n">
        <v>48.9</v>
      </c>
      <c r="AS210" s="2" t="n">
        <v>174.6</v>
      </c>
      <c r="AT210" s="2" t="n">
        <v>27.5</v>
      </c>
      <c r="AU210" s="2" t="n">
        <v>104.3</v>
      </c>
      <c r="AV210" s="2" t="n">
        <v>24.4</v>
      </c>
      <c r="AW210" s="2" t="n">
        <v>13.6</v>
      </c>
      <c r="AX210" s="2" t="n">
        <v>3.1</v>
      </c>
      <c r="AY210" s="2" t="inlineStr">
        <is>
          <t>NA</t>
        </is>
      </c>
      <c r="AZ210" s="2" t="inlineStr">
        <is>
          <t>NA</t>
        </is>
      </c>
      <c r="BA210" s="2" t="inlineStr">
        <is>
          <t>NA</t>
        </is>
      </c>
      <c r="BB210" s="2" t="inlineStr">
        <is>
          <t>NA</t>
        </is>
      </c>
      <c r="BD210" s="2" t="n">
        <v>128.4</v>
      </c>
      <c r="BE210" s="2" t="n">
        <v>39.4</v>
      </c>
      <c r="BH210" s="2" t="n">
        <v>295.8</v>
      </c>
      <c r="BK210" s="2" t="n">
        <v>230.4</v>
      </c>
      <c r="BL210" s="2" t="n">
        <v>3.5</v>
      </c>
      <c r="BM210" s="2" t="n">
        <v>529.7</v>
      </c>
      <c r="BN210" s="2" t="n">
        <v>273.8</v>
      </c>
      <c r="BQ210" s="2" t="n">
        <v>98.2</v>
      </c>
      <c r="BR210" s="2" t="n">
        <v>4.8</v>
      </c>
      <c r="BS210" s="2" t="n">
        <v>376.8</v>
      </c>
      <c r="BT210" s="2" t="inlineStr">
        <is>
          <t>NA</t>
        </is>
      </c>
      <c r="BU210" s="2" t="n">
        <v>16.3</v>
      </c>
      <c r="BV210" s="2" t="n">
        <v>381.4</v>
      </c>
      <c r="BW210" s="2" t="n">
        <v>104.3</v>
      </c>
      <c r="BX210" s="2" t="n">
        <v>492.3</v>
      </c>
      <c r="BY210" s="2" t="n">
        <v>53.4</v>
      </c>
      <c r="BZ210" s="2" t="n">
        <v>13.3</v>
      </c>
      <c r="CA210" s="2" t="n">
        <v>66.7</v>
      </c>
      <c r="CF210" s="2" t="n">
        <v>124.1</v>
      </c>
      <c r="CG210" s="2" t="n">
        <v>173</v>
      </c>
      <c r="CH210" s="2" t="n">
        <v>6.5</v>
      </c>
      <c r="CN210" s="2" t="n">
        <v>23.3</v>
      </c>
      <c r="CO210" s="2" t="n">
        <v>147.4</v>
      </c>
      <c r="CP210" s="2" t="n">
        <v>84.09999999999999</v>
      </c>
      <c r="CQ210" s="2" t="n">
        <v>63.3</v>
      </c>
      <c r="CR210" s="2" t="inlineStr">
        <is>
          <t>NA</t>
        </is>
      </c>
      <c r="CS210" s="2" t="n">
        <v>48.1</v>
      </c>
      <c r="CT210" s="2" t="n">
        <v>27.1</v>
      </c>
      <c r="CU210" s="2" t="n">
        <v>21</v>
      </c>
      <c r="CV210" s="2" t="n">
        <v>62.7</v>
      </c>
      <c r="CW210" s="2" t="n">
        <v>10.2</v>
      </c>
      <c r="CX210" s="2" t="n">
        <v>52.5</v>
      </c>
      <c r="CY210" s="2" t="inlineStr">
        <is>
          <t>NA</t>
        </is>
      </c>
      <c r="CZ210" s="2" t="n">
        <v>80.59999999999999</v>
      </c>
      <c r="DA210" s="2" t="n">
        <v>38.8</v>
      </c>
      <c r="DB210" s="2" t="n">
        <v>37.7</v>
      </c>
      <c r="DC210" s="2" t="n">
        <v>1.1</v>
      </c>
      <c r="DG210" s="2" t="n">
        <v>158.257</v>
      </c>
      <c r="DI210" s="2" t="n">
        <v>708.898</v>
      </c>
      <c r="DJ210" s="2" t="n">
        <v>271.503</v>
      </c>
      <c r="DL210" s="2" t="n">
        <v>172.635</v>
      </c>
      <c r="DM210" s="2" t="n">
        <v>259.445</v>
      </c>
      <c r="DO210" s="2" t="n">
        <v>246.435</v>
      </c>
      <c r="DP210" s="2" t="n">
        <v>282.365</v>
      </c>
      <c r="DS210" s="2" t="n">
        <v>1085.023</v>
      </c>
      <c r="DT210" s="2" t="n">
        <v>4117.962</v>
      </c>
      <c r="DU210" s="2" t="n">
        <v>-1091.658</v>
      </c>
      <c r="DV210" s="2" t="n">
        <v>-0.63799999999992</v>
      </c>
      <c r="GY210" s="2" t="n">
        <v>0.9552149681528662</v>
      </c>
      <c r="GZ210" s="2" t="n">
        <v>959.8</v>
      </c>
      <c r="HA210" s="2" t="n">
        <v>1004.8</v>
      </c>
      <c r="HF210" s="2" t="n">
        <v>1090.3</v>
      </c>
      <c r="HG210" s="2" t="n">
        <v>1063.6</v>
      </c>
      <c r="HH210" s="2" t="n">
        <v>356.8</v>
      </c>
      <c r="HI210" s="2" t="n">
        <v>133.6</v>
      </c>
      <c r="HJ210" s="2" t="n">
        <v>567.8</v>
      </c>
      <c r="HK210" s="2" t="n">
        <v>5.4</v>
      </c>
      <c r="HL210" s="2" t="n">
        <v>26.7</v>
      </c>
      <c r="HP210" s="2" t="e">
        <v>#VALUE!</v>
      </c>
      <c r="HQ210" s="2" t="n">
        <v>3.2</v>
      </c>
      <c r="HR210" s="2" t="n">
        <v>9.4</v>
      </c>
      <c r="HS210" s="2" t="e">
        <v>#VALUE!</v>
      </c>
      <c r="HT210" s="2" t="e">
        <v>#VALUE!</v>
      </c>
      <c r="HW210" s="2" t="n">
        <v>276.6</v>
      </c>
      <c r="HX210" s="2" t="e">
        <v>#VALUE!</v>
      </c>
      <c r="HY210" s="2" t="n">
        <v>276.6</v>
      </c>
      <c r="HZ210" s="2" t="n">
        <v>51.8</v>
      </c>
      <c r="IA210" s="2" t="n">
        <v>196.9</v>
      </c>
      <c r="IB210" s="2" t="e">
        <v>#VALUE!</v>
      </c>
      <c r="IC210" s="2" t="e">
        <v>#VALUE!</v>
      </c>
      <c r="ID210" s="2" t="e">
        <v>#VALUE!</v>
      </c>
      <c r="IE210" s="2" t="e">
        <v>#VALUE!</v>
      </c>
      <c r="IF210" s="2" t="n">
        <v>6.8</v>
      </c>
      <c r="IG210" s="2" t="n">
        <v>18.1</v>
      </c>
      <c r="IN210" s="2" t="n">
        <v>85.90000000000001</v>
      </c>
      <c r="IO210" s="2" t="n">
        <v>88.7</v>
      </c>
      <c r="IP210" s="2" t="e">
        <v>#VALUE!</v>
      </c>
      <c r="IQ210" s="2" t="n">
        <v>50.7</v>
      </c>
      <c r="IR210" s="2" t="n">
        <v>23.5</v>
      </c>
      <c r="IS210" s="2" t="e">
        <v>#VALUE!</v>
      </c>
      <c r="IT210" s="2" t="n">
        <v>25.3</v>
      </c>
      <c r="IU210" s="2" t="e">
        <v>#VALUE!</v>
      </c>
      <c r="IV210" s="2" t="e">
        <v>#VALUE!</v>
      </c>
      <c r="IY210" s="2" t="n">
        <v>47.37095129412906</v>
      </c>
      <c r="IZ210" s="2" t="n">
        <v>-0.02904870587093455</v>
      </c>
      <c r="JB210" s="2" t="n">
        <v>10.7403001019764</v>
      </c>
      <c r="JC210" s="2" t="n">
        <v>-0.05969989802360232</v>
      </c>
      <c r="JE210" s="2" t="n">
        <v>2172.3</v>
      </c>
      <c r="JF210" s="2" t="n">
        <v>0.858605165032454</v>
      </c>
    </row>
    <row r="211">
      <c r="A211" s="1" t="n">
        <v>35462</v>
      </c>
      <c r="B211" s="2" t="n">
        <v>3754</v>
      </c>
      <c r="C211" s="2" t="n">
        <v>3666.7</v>
      </c>
      <c r="D211" s="2" t="n">
        <v>362.8</v>
      </c>
      <c r="E211" s="2" t="n">
        <v>2140.2</v>
      </c>
      <c r="F211" s="2" t="n">
        <v>19.1</v>
      </c>
      <c r="G211" s="2" t="inlineStr">
        <is>
          <t>NA</t>
        </is>
      </c>
      <c r="H211" s="2" t="inlineStr">
        <is>
          <t>NA</t>
        </is>
      </c>
      <c r="I211" s="2" t="inlineStr">
        <is>
          <t>NA</t>
        </is>
      </c>
      <c r="J211" s="2" t="inlineStr">
        <is>
          <t>NA</t>
        </is>
      </c>
      <c r="K211" s="2" t="n">
        <v>1348.4</v>
      </c>
      <c r="L211" s="2" t="n">
        <v>2203.2</v>
      </c>
      <c r="M211" s="2" t="n">
        <v>1982.6</v>
      </c>
      <c r="N211" s="2" t="n">
        <v>220.6</v>
      </c>
      <c r="O211" s="2" t="n">
        <v>114.8</v>
      </c>
      <c r="P211" s="2" t="n">
        <v>133.6</v>
      </c>
      <c r="Q211" s="2" t="n">
        <v>37</v>
      </c>
      <c r="R211" s="2" t="n">
        <v>96.59999999999999</v>
      </c>
      <c r="T211" s="2" t="n">
        <v>16.1</v>
      </c>
      <c r="U211" s="2" t="n">
        <v>93.60000000000001</v>
      </c>
      <c r="V211" s="2" t="n">
        <v>87.90000000000001</v>
      </c>
      <c r="W211" s="2" t="n">
        <v>5.7</v>
      </c>
      <c r="X211" s="2" t="inlineStr">
        <is>
          <t>NA</t>
        </is>
      </c>
      <c r="Y211" s="2" t="inlineStr">
        <is>
          <t>NA</t>
        </is>
      </c>
      <c r="Z211" s="2" t="n">
        <v>205.4</v>
      </c>
      <c r="AA211" s="2" t="n">
        <v>195.7</v>
      </c>
      <c r="AB211" s="2" t="n">
        <v>9.699999999999999</v>
      </c>
      <c r="AC211" s="2" t="inlineStr">
        <is>
          <t>NA</t>
        </is>
      </c>
      <c r="AD211" s="2" t="n">
        <v>13.6</v>
      </c>
      <c r="AF211" s="2" t="n">
        <v>78.2</v>
      </c>
      <c r="AG211" s="2" t="n">
        <v>58</v>
      </c>
      <c r="AH211" s="2" t="n">
        <v>20.2</v>
      </c>
      <c r="AI211" s="2" t="n">
        <v>170.9</v>
      </c>
      <c r="AL211" s="2" t="n">
        <v>142.8</v>
      </c>
      <c r="AM211" s="2" t="n">
        <v>85.5</v>
      </c>
      <c r="AN211" s="2" t="n">
        <v>57.3</v>
      </c>
      <c r="AO211" s="2" t="n">
        <v>2763.3</v>
      </c>
      <c r="AP211" s="2" t="n">
        <v>165.8</v>
      </c>
      <c r="AQ211" s="2" t="n">
        <v>203.5</v>
      </c>
      <c r="AR211" s="2" t="n">
        <v>32.7</v>
      </c>
      <c r="AS211" s="2" t="n">
        <v>164.6</v>
      </c>
      <c r="AT211" s="2" t="n">
        <v>37.4</v>
      </c>
      <c r="AU211" s="2" t="n">
        <v>101.1</v>
      </c>
      <c r="AV211" s="2" t="n">
        <v>24.2</v>
      </c>
      <c r="AW211" s="2" t="n">
        <v>11.3</v>
      </c>
      <c r="AX211" s="2" t="n">
        <v>3.2</v>
      </c>
      <c r="AY211" s="2" t="inlineStr">
        <is>
          <t>NA</t>
        </is>
      </c>
      <c r="AZ211" s="2" t="inlineStr">
        <is>
          <t>NA</t>
        </is>
      </c>
      <c r="BA211" s="2" t="inlineStr">
        <is>
          <t>NA</t>
        </is>
      </c>
      <c r="BB211" s="2" t="inlineStr">
        <is>
          <t>NA</t>
        </is>
      </c>
      <c r="BD211" s="2" t="n">
        <v>122.1</v>
      </c>
      <c r="BE211" s="2" t="n">
        <v>43.9</v>
      </c>
      <c r="BH211" s="2" t="n">
        <v>267</v>
      </c>
      <c r="BK211" s="2" t="n">
        <v>202.1</v>
      </c>
      <c r="BL211" s="2" t="n">
        <v>3.2</v>
      </c>
      <c r="BM211" s="2" t="n">
        <v>472.3</v>
      </c>
      <c r="BN211" s="2" t="n">
        <v>208.6</v>
      </c>
      <c r="BQ211" s="2" t="n">
        <v>109.2</v>
      </c>
      <c r="BR211" s="2" t="n">
        <v>4.2</v>
      </c>
      <c r="BS211" s="2" t="n">
        <v>322</v>
      </c>
      <c r="BT211" s="2" t="inlineStr">
        <is>
          <t>NA</t>
        </is>
      </c>
      <c r="BU211" s="2" t="n">
        <v>18.5</v>
      </c>
      <c r="BV211" s="2" t="n">
        <v>267</v>
      </c>
      <c r="BW211" s="2" t="n">
        <v>202.1</v>
      </c>
      <c r="BX211" s="2" t="n">
        <v>472.3</v>
      </c>
      <c r="BY211" s="2" t="n">
        <v>51.4</v>
      </c>
      <c r="BZ211" s="2" t="n">
        <v>12.4</v>
      </c>
      <c r="CA211" s="2" t="n">
        <v>63.8</v>
      </c>
      <c r="CF211" s="2" t="n">
        <v>119.9</v>
      </c>
      <c r="CG211" s="2" t="n">
        <v>196</v>
      </c>
      <c r="CH211" s="2" t="n">
        <v>26.5</v>
      </c>
      <c r="CN211" s="2" t="n">
        <v>22</v>
      </c>
      <c r="CO211" s="2" t="n">
        <v>141.1</v>
      </c>
      <c r="CP211" s="2" t="n">
        <v>72.59999999999999</v>
      </c>
      <c r="CQ211" s="2" t="n">
        <v>68.5</v>
      </c>
      <c r="CR211" s="2" t="inlineStr">
        <is>
          <t>NA</t>
        </is>
      </c>
      <c r="CS211" s="2" t="n">
        <v>53.9</v>
      </c>
      <c r="CT211" s="2" t="n">
        <v>29.9</v>
      </c>
      <c r="CU211" s="2" t="n">
        <v>24</v>
      </c>
      <c r="CV211" s="2" t="n">
        <v>58.8</v>
      </c>
      <c r="CW211" s="2" t="n">
        <v>10.2</v>
      </c>
      <c r="CX211" s="2" t="n">
        <v>48.6</v>
      </c>
      <c r="CY211" s="2" t="inlineStr">
        <is>
          <t>NA</t>
        </is>
      </c>
      <c r="CZ211" s="2" t="n">
        <v>90.8</v>
      </c>
      <c r="DA211" s="2" t="n">
        <v>41.2</v>
      </c>
      <c r="DB211" s="2" t="n">
        <v>40.1</v>
      </c>
      <c r="DC211" s="2" t="n">
        <v>1.1</v>
      </c>
      <c r="DG211" s="2" t="n">
        <v>142.034</v>
      </c>
      <c r="DI211" s="2" t="n">
        <v>647.424</v>
      </c>
      <c r="DJ211" s="2" t="n">
        <v>258.867</v>
      </c>
      <c r="DL211" s="2" t="n">
        <v>157.091</v>
      </c>
      <c r="DM211" s="2" t="n">
        <v>236.06</v>
      </c>
      <c r="DO211" s="2" t="n">
        <v>223.755</v>
      </c>
      <c r="DP211" s="2" t="n">
        <v>265.258</v>
      </c>
      <c r="DS211" s="2" t="n">
        <v>991.304</v>
      </c>
      <c r="DT211" s="2" t="n">
        <v>3754.58</v>
      </c>
      <c r="DU211" s="2" t="n">
        <v>-974.8209999999999</v>
      </c>
      <c r="DV211" s="2" t="n">
        <v>0.5799999999999272</v>
      </c>
      <c r="GY211" s="2" t="n">
        <v>0.9627037191809443</v>
      </c>
      <c r="GZ211" s="2" t="n">
        <v>921.5</v>
      </c>
      <c r="HA211" s="2" t="n">
        <v>957.2</v>
      </c>
      <c r="HF211" s="2" t="n">
        <v>984</v>
      </c>
      <c r="HG211" s="2" t="n">
        <v>953.2</v>
      </c>
      <c r="HH211" s="2" t="n">
        <v>337.8</v>
      </c>
      <c r="HI211" s="2" t="n">
        <v>130.8</v>
      </c>
      <c r="HJ211" s="2" t="n">
        <v>479.6</v>
      </c>
      <c r="HK211" s="2" t="n">
        <v>5</v>
      </c>
      <c r="HL211" s="2" t="n">
        <v>30.8</v>
      </c>
      <c r="HP211" s="2" t="e">
        <v>#VALUE!</v>
      </c>
      <c r="HQ211" s="2" t="n">
        <v>4.4</v>
      </c>
      <c r="HR211" s="2" t="n">
        <v>10.2</v>
      </c>
      <c r="HS211" s="2" t="e">
        <v>#VALUE!</v>
      </c>
      <c r="HT211" s="2" t="e">
        <v>#VALUE!</v>
      </c>
      <c r="HW211" s="2" t="n">
        <v>255.8</v>
      </c>
      <c r="HX211" s="2" t="e">
        <v>#VALUE!</v>
      </c>
      <c r="HY211" s="2" t="n">
        <v>255.8</v>
      </c>
      <c r="HZ211" s="2" t="n">
        <v>51.3</v>
      </c>
      <c r="IA211" s="2" t="n">
        <v>176</v>
      </c>
      <c r="IB211" s="2" t="e">
        <v>#VALUE!</v>
      </c>
      <c r="IC211" s="2" t="e">
        <v>#VALUE!</v>
      </c>
      <c r="ID211" s="2" t="e">
        <v>#VALUE!</v>
      </c>
      <c r="IE211" s="2" t="e">
        <v>#VALUE!</v>
      </c>
      <c r="IF211" s="2" t="n">
        <v>7.1</v>
      </c>
      <c r="IG211" s="2" t="n">
        <v>18.4</v>
      </c>
      <c r="IN211" s="2" t="n">
        <v>80.7</v>
      </c>
      <c r="IO211" s="2" t="n">
        <v>83.3</v>
      </c>
      <c r="IP211" s="2" t="e">
        <v>#VALUE!</v>
      </c>
      <c r="IQ211" s="2" t="n">
        <v>45.2</v>
      </c>
      <c r="IR211" s="2" t="n">
        <v>19.5</v>
      </c>
      <c r="IS211" s="2" t="e">
        <v>#VALUE!</v>
      </c>
      <c r="IT211" s="2" t="n">
        <v>24.4</v>
      </c>
      <c r="IU211" s="2" t="e">
        <v>#VALUE!</v>
      </c>
      <c r="IV211" s="2" t="e">
        <v>#VALUE!</v>
      </c>
      <c r="IY211" s="2" t="n">
        <v>47.41822056473095</v>
      </c>
      <c r="IZ211" s="2" t="n">
        <v>-0.01177943526904812</v>
      </c>
      <c r="JB211" s="2" t="n">
        <v>10.77570591369206</v>
      </c>
      <c r="JC211" s="2" t="n">
        <v>-0.06429408630793709</v>
      </c>
      <c r="JE211" s="2" t="n">
        <v>2203.2</v>
      </c>
      <c r="JF211" s="2" t="n">
        <v>0.8597757806826435</v>
      </c>
    </row>
    <row r="212">
      <c r="A212" s="1" t="n">
        <v>35490</v>
      </c>
      <c r="B212" s="2" t="n">
        <v>3902.7</v>
      </c>
      <c r="C212" s="2" t="n">
        <v>3147.3</v>
      </c>
      <c r="D212" s="2" t="n">
        <v>362.2</v>
      </c>
      <c r="E212" s="2" t="n">
        <v>1839.9</v>
      </c>
      <c r="F212" s="2" t="n">
        <v>23.7</v>
      </c>
      <c r="G212" s="2" t="inlineStr">
        <is>
          <t>NA</t>
        </is>
      </c>
      <c r="H212" s="2" t="inlineStr">
        <is>
          <t>NA</t>
        </is>
      </c>
      <c r="I212" s="2" t="inlineStr">
        <is>
          <t>NA</t>
        </is>
      </c>
      <c r="J212" s="2" t="inlineStr">
        <is>
          <t>NA</t>
        </is>
      </c>
      <c r="K212" s="2" t="n">
        <v>1412.6</v>
      </c>
      <c r="L212" s="2" t="n">
        <v>2171.3</v>
      </c>
      <c r="M212" s="2" t="n">
        <v>1938.2</v>
      </c>
      <c r="N212" s="2" t="n">
        <v>233.1</v>
      </c>
      <c r="O212" s="2" t="n">
        <v>114.7</v>
      </c>
      <c r="P212" s="2" t="n">
        <v>137.4</v>
      </c>
      <c r="Q212" s="2" t="n">
        <v>32.5</v>
      </c>
      <c r="R212" s="2" t="n">
        <v>104.9</v>
      </c>
      <c r="T212" s="2" t="n">
        <v>18.8</v>
      </c>
      <c r="U212" s="2" t="n">
        <v>96.2</v>
      </c>
      <c r="V212" s="2" t="n">
        <v>89.7</v>
      </c>
      <c r="W212" s="2" t="n">
        <v>6.5</v>
      </c>
      <c r="X212" s="2" t="inlineStr">
        <is>
          <t>NA</t>
        </is>
      </c>
      <c r="Y212" s="2" t="n">
        <v>7.8</v>
      </c>
      <c r="Z212" s="2" t="n">
        <v>212.2</v>
      </c>
      <c r="AA212" s="2" t="n">
        <v>201.6</v>
      </c>
      <c r="AB212" s="2" t="n">
        <v>10.6</v>
      </c>
      <c r="AC212" s="2" t="inlineStr">
        <is>
          <t>NA</t>
        </is>
      </c>
      <c r="AD212" s="2" t="n">
        <v>19.9</v>
      </c>
      <c r="AF212" s="2" t="n">
        <v>80.40000000000001</v>
      </c>
      <c r="AG212" s="2" t="n">
        <v>56.4</v>
      </c>
      <c r="AH212" s="2" t="n">
        <v>24</v>
      </c>
      <c r="AI212" s="2" t="n">
        <v>209.9</v>
      </c>
      <c r="AL212" s="2" t="n">
        <v>124.1</v>
      </c>
      <c r="AM212" s="2" t="n">
        <v>89.40000000000001</v>
      </c>
      <c r="AN212" s="2" t="n">
        <v>34.7</v>
      </c>
      <c r="AO212" s="2" t="n">
        <v>2876.1</v>
      </c>
      <c r="AP212" s="2" t="n">
        <v>282.7</v>
      </c>
      <c r="AQ212" s="2" t="n">
        <v>213</v>
      </c>
      <c r="AR212" s="2" t="n">
        <v>39.9</v>
      </c>
      <c r="AS212" s="2" t="n">
        <v>162.1</v>
      </c>
      <c r="AT212" s="2" t="n">
        <v>43.5</v>
      </c>
      <c r="AU212" s="2" t="n">
        <v>102.8</v>
      </c>
      <c r="AV212" s="2" t="n">
        <v>27.5</v>
      </c>
      <c r="AW212" s="2" t="n">
        <v>13.3</v>
      </c>
      <c r="AX212" s="2" t="inlineStr">
        <is>
          <t>NA</t>
        </is>
      </c>
      <c r="AY212" s="2" t="inlineStr">
        <is>
          <t>NA</t>
        </is>
      </c>
      <c r="AZ212" s="2" t="inlineStr">
        <is>
          <t>NA</t>
        </is>
      </c>
      <c r="BA212" s="2" t="inlineStr">
        <is>
          <t>NA</t>
        </is>
      </c>
      <c r="BB212" s="2" t="inlineStr">
        <is>
          <t>NA</t>
        </is>
      </c>
      <c r="BD212" s="2" t="n">
        <v>118.9</v>
      </c>
      <c r="BE212" s="2" t="n">
        <v>41.5</v>
      </c>
      <c r="BH212" s="2" t="n">
        <v>276.6</v>
      </c>
      <c r="BK212" s="2" t="n">
        <v>217.1</v>
      </c>
      <c r="BL212" s="2" t="n">
        <v>3.3</v>
      </c>
      <c r="BM212" s="2" t="n">
        <v>497</v>
      </c>
      <c r="BN212" s="2" t="n">
        <v>220</v>
      </c>
      <c r="BQ212" s="2" t="n">
        <v>121.1</v>
      </c>
      <c r="BR212" s="2" t="n">
        <v>5</v>
      </c>
      <c r="BS212" s="2" t="n">
        <v>346.1</v>
      </c>
      <c r="BT212" s="2" t="inlineStr">
        <is>
          <t>NA</t>
        </is>
      </c>
      <c r="BU212" s="2" t="n">
        <v>19.2</v>
      </c>
      <c r="BV212" s="2" t="n">
        <v>349.2</v>
      </c>
      <c r="BW212" s="2" t="n">
        <v>100.7</v>
      </c>
      <c r="BX212" s="2" t="n">
        <v>456.5</v>
      </c>
      <c r="BY212" s="2" t="n">
        <v>45.8</v>
      </c>
      <c r="BZ212" s="2" t="n">
        <v>11.1</v>
      </c>
      <c r="CA212" s="2" t="n">
        <v>56.9</v>
      </c>
      <c r="CF212" s="2" t="n">
        <v>125.1</v>
      </c>
      <c r="CG212" s="2" t="n">
        <v>200.8</v>
      </c>
      <c r="CH212" s="2" t="n">
        <v>17.4</v>
      </c>
      <c r="CN212" s="2" t="n">
        <v>16.7</v>
      </c>
      <c r="CO212" s="2" t="n">
        <v>204.6</v>
      </c>
      <c r="CP212" s="2" t="n">
        <v>127.8</v>
      </c>
      <c r="CQ212" s="2" t="n">
        <v>76.8</v>
      </c>
      <c r="CR212" s="2" t="inlineStr">
        <is>
          <t>NA</t>
        </is>
      </c>
      <c r="CS212" s="2" t="n">
        <v>50.5</v>
      </c>
      <c r="CT212" s="2" t="n">
        <v>31</v>
      </c>
      <c r="CU212" s="2" t="n">
        <v>19.5</v>
      </c>
      <c r="CV212" s="2" t="n">
        <v>55.5</v>
      </c>
      <c r="CW212" s="2" t="n">
        <v>8.199999999999999</v>
      </c>
      <c r="CX212" s="2" t="n">
        <v>47.3</v>
      </c>
      <c r="CY212" s="2" t="inlineStr">
        <is>
          <t>NA</t>
        </is>
      </c>
      <c r="CZ212" s="2" t="n">
        <v>69.7</v>
      </c>
      <c r="DA212" s="2" t="n">
        <v>42.5</v>
      </c>
      <c r="DB212" s="2" t="n">
        <v>42.4</v>
      </c>
      <c r="DC212" s="2" t="n">
        <v>0.1</v>
      </c>
      <c r="DG212" s="2" t="n">
        <v>151.406</v>
      </c>
      <c r="DI212" s="2" t="n">
        <v>666.332</v>
      </c>
      <c r="DJ212" s="2" t="n">
        <v>266.317</v>
      </c>
      <c r="DL212" s="2" t="n">
        <v>159.912</v>
      </c>
      <c r="DM212" s="2" t="n">
        <v>252.879</v>
      </c>
      <c r="DO212" s="2" t="n">
        <v>228.924</v>
      </c>
      <c r="DP212" s="2" t="n">
        <v>275.203</v>
      </c>
      <c r="DS212" s="2" t="n">
        <v>1004.729</v>
      </c>
      <c r="DT212" s="2" t="n">
        <v>3902.747</v>
      </c>
      <c r="DU212" s="2" t="n">
        <v>-1048.451</v>
      </c>
      <c r="DV212" s="2" t="n">
        <v>0.04700000000002547</v>
      </c>
      <c r="GY212" s="2" t="n">
        <v>0.9608184988071206</v>
      </c>
      <c r="GZ212" s="2" t="n">
        <v>1047.1</v>
      </c>
      <c r="HA212" s="2" t="n">
        <v>1089.8</v>
      </c>
      <c r="HF212" s="2" t="n">
        <v>1109.2</v>
      </c>
      <c r="HG212" s="2" t="n">
        <v>1075.5</v>
      </c>
      <c r="HH212" s="2" t="n">
        <v>377.5</v>
      </c>
      <c r="HI212" s="2" t="n">
        <v>139.1</v>
      </c>
      <c r="HJ212" s="2" t="n">
        <v>553.7</v>
      </c>
      <c r="HK212" s="2" t="n">
        <v>5.2</v>
      </c>
      <c r="HL212" s="2" t="n">
        <v>33.7</v>
      </c>
      <c r="HP212" s="2" t="e">
        <v>#VALUE!</v>
      </c>
      <c r="HQ212" s="2" t="n">
        <v>5.2</v>
      </c>
      <c r="HR212" s="2" t="n">
        <v>12.6</v>
      </c>
      <c r="HS212" s="2" t="e">
        <v>#VALUE!</v>
      </c>
      <c r="HT212" s="2" t="e">
        <v>#VALUE!</v>
      </c>
      <c r="HW212" s="2" t="n">
        <v>260.3</v>
      </c>
      <c r="HX212" s="2" t="e">
        <v>#VALUE!</v>
      </c>
      <c r="HY212" s="2" t="n">
        <v>260.3</v>
      </c>
      <c r="HZ212" s="2" t="n">
        <v>56.2</v>
      </c>
      <c r="IA212" s="2" t="n">
        <v>174.5</v>
      </c>
      <c r="IB212" s="2" t="e">
        <v>#VALUE!</v>
      </c>
      <c r="IC212" s="2" t="e">
        <v>#VALUE!</v>
      </c>
      <c r="ID212" s="2" t="e">
        <v>#VALUE!</v>
      </c>
      <c r="IE212" s="2" t="e">
        <v>#VALUE!</v>
      </c>
      <c r="IF212" s="2" t="n">
        <v>6.5</v>
      </c>
      <c r="IG212" s="2" t="n">
        <v>18.8</v>
      </c>
      <c r="IN212" s="2" t="n">
        <v>78.09999999999999</v>
      </c>
      <c r="IO212" s="2" t="n">
        <v>80.8</v>
      </c>
      <c r="IP212" s="2" t="e">
        <v>#VALUE!</v>
      </c>
      <c r="IQ212" s="2" t="n">
        <v>49.8</v>
      </c>
      <c r="IR212" s="2" t="n">
        <v>22.9</v>
      </c>
      <c r="IS212" s="2" t="e">
        <v>#VALUE!</v>
      </c>
      <c r="IT212" s="2" t="n">
        <v>25.8</v>
      </c>
      <c r="IU212" s="2" t="e">
        <v>#VALUE!</v>
      </c>
      <c r="IV212" s="2" t="e">
        <v>#VALUE!</v>
      </c>
      <c r="IY212" s="2" t="n">
        <v>47.49173649012222</v>
      </c>
      <c r="IZ212" s="2" t="n">
        <v>0.151736490122218</v>
      </c>
      <c r="JB212" s="2" t="n">
        <v>10.85863632869552</v>
      </c>
      <c r="JC212" s="2" t="n">
        <v>-0.02136367130448313</v>
      </c>
      <c r="JE212" s="2" t="n">
        <v>2171.3</v>
      </c>
      <c r="JF212" s="2" t="n">
        <v>0.8336973241836687</v>
      </c>
    </row>
    <row r="213">
      <c r="A213" s="1" t="n">
        <v>35521</v>
      </c>
      <c r="B213" s="2" t="n">
        <v>3445.4</v>
      </c>
      <c r="C213" s="2" t="n">
        <v>2677.4</v>
      </c>
      <c r="D213" s="2" t="n">
        <v>334.4</v>
      </c>
      <c r="E213" s="2" t="n">
        <v>1548.2</v>
      </c>
      <c r="F213" s="2" t="n">
        <v>24.7</v>
      </c>
      <c r="G213" s="2" t="inlineStr">
        <is>
          <t>NA</t>
        </is>
      </c>
      <c r="H213" s="2" t="inlineStr">
        <is>
          <t>NA</t>
        </is>
      </c>
      <c r="I213" s="2" t="inlineStr">
        <is>
          <t>NA</t>
        </is>
      </c>
      <c r="J213" s="2" t="inlineStr">
        <is>
          <t>NA</t>
        </is>
      </c>
      <c r="K213" s="2" t="n">
        <v>1253.7</v>
      </c>
      <c r="L213" s="2" t="n">
        <v>2163.9</v>
      </c>
      <c r="M213" s="2" t="n">
        <v>1930</v>
      </c>
      <c r="N213" s="2" t="n">
        <v>233.9</v>
      </c>
      <c r="O213" s="2" t="n">
        <v>103.7</v>
      </c>
      <c r="P213" s="2" t="n">
        <v>131.7</v>
      </c>
      <c r="Q213" s="2" t="n">
        <v>31.2</v>
      </c>
      <c r="R213" s="2" t="n">
        <v>100.5</v>
      </c>
      <c r="T213" s="2" t="n">
        <v>17.9</v>
      </c>
      <c r="U213" s="2" t="n">
        <v>95.3</v>
      </c>
      <c r="V213" s="2" t="n">
        <v>89.7</v>
      </c>
      <c r="W213" s="2" t="n">
        <v>5.6</v>
      </c>
      <c r="X213" s="2" t="inlineStr">
        <is>
          <t>NA</t>
        </is>
      </c>
      <c r="Y213" s="2" t="inlineStr">
        <is>
          <t>NA</t>
        </is>
      </c>
      <c r="Z213" s="2" t="n">
        <v>166.4</v>
      </c>
      <c r="AA213" s="2" t="n">
        <v>157.5</v>
      </c>
      <c r="AB213" s="2" t="n">
        <v>8.9</v>
      </c>
      <c r="AC213" s="2" t="inlineStr">
        <is>
          <t>NA</t>
        </is>
      </c>
      <c r="AD213" s="2" t="n">
        <v>23.1</v>
      </c>
      <c r="AF213" s="2" t="n">
        <v>71</v>
      </c>
      <c r="AG213" s="2" t="n">
        <v>51.3</v>
      </c>
      <c r="AH213" s="2" t="n">
        <v>19.7</v>
      </c>
      <c r="AI213" s="2" t="n">
        <v>188.3</v>
      </c>
      <c r="AL213" s="2" t="n">
        <v>122.1</v>
      </c>
      <c r="AM213" s="2" t="n">
        <v>91.5</v>
      </c>
      <c r="AN213" s="2" t="n">
        <v>30.6</v>
      </c>
      <c r="AO213" s="2" t="n">
        <v>2527.7</v>
      </c>
      <c r="AP213" s="2" t="n">
        <v>241.2</v>
      </c>
      <c r="AQ213" s="2" t="n">
        <v>182.6</v>
      </c>
      <c r="AR213" s="2" t="n">
        <v>38.9</v>
      </c>
      <c r="AS213" s="2" t="n">
        <v>152.2</v>
      </c>
      <c r="AT213" s="2" t="n">
        <v>49.6</v>
      </c>
      <c r="AU213" s="2" t="n">
        <v>93.7</v>
      </c>
      <c r="AV213" s="2" t="n">
        <v>29.4</v>
      </c>
      <c r="AW213" s="2" t="n">
        <v>14.6</v>
      </c>
      <c r="AX213" s="2" t="n">
        <v>3.6</v>
      </c>
      <c r="AY213" s="2" t="inlineStr">
        <is>
          <t>NA</t>
        </is>
      </c>
      <c r="AZ213" s="2" t="inlineStr">
        <is>
          <t>NA</t>
        </is>
      </c>
      <c r="BA213" s="2" t="inlineStr">
        <is>
          <t>NA</t>
        </is>
      </c>
      <c r="BB213" s="2" t="inlineStr">
        <is>
          <t>NA</t>
        </is>
      </c>
      <c r="BD213" s="2" t="n">
        <v>122.5</v>
      </c>
      <c r="BE213" s="2" t="n">
        <v>44.5</v>
      </c>
      <c r="BH213" s="2" t="n">
        <v>292.9</v>
      </c>
      <c r="BK213" s="2" t="n">
        <v>219.8</v>
      </c>
      <c r="BL213" s="2" t="n">
        <v>4.1</v>
      </c>
      <c r="BM213" s="2" t="n">
        <v>516.8</v>
      </c>
      <c r="BN213" s="2" t="n">
        <v>197.4</v>
      </c>
      <c r="BQ213" s="2" t="n">
        <v>95.8</v>
      </c>
      <c r="BR213" s="2" t="n">
        <v>4.1</v>
      </c>
      <c r="BS213" s="2" t="n">
        <v>297.3</v>
      </c>
      <c r="BT213" s="2" t="inlineStr">
        <is>
          <t>NA</t>
        </is>
      </c>
      <c r="BU213" s="2" t="n">
        <v>18.9</v>
      </c>
      <c r="BV213" s="2" t="n">
        <v>351.7</v>
      </c>
      <c r="BW213" s="2" t="n">
        <v>106.9</v>
      </c>
      <c r="BX213" s="2" t="n">
        <v>465.7</v>
      </c>
      <c r="BY213" s="2" t="n">
        <v>48.7</v>
      </c>
      <c r="BZ213" s="2" t="n">
        <v>16.6</v>
      </c>
      <c r="CA213" s="2" t="n">
        <v>65.30000000000001</v>
      </c>
      <c r="CF213" s="2" t="n">
        <v>118.5</v>
      </c>
      <c r="CG213" s="2" t="n">
        <v>220.6</v>
      </c>
      <c r="CH213" s="2" t="n">
        <v>31.7</v>
      </c>
      <c r="CN213" s="2" t="n">
        <v>32.4</v>
      </c>
      <c r="CO213" s="2" t="n">
        <v>174.5</v>
      </c>
      <c r="CP213" s="2" t="n">
        <v>116.5</v>
      </c>
      <c r="CQ213" s="2" t="n">
        <v>58</v>
      </c>
      <c r="CR213" s="2" t="inlineStr">
        <is>
          <t>NA</t>
        </is>
      </c>
      <c r="CS213" s="2" t="n">
        <v>44.5</v>
      </c>
      <c r="CT213" s="2" t="n">
        <v>27.4</v>
      </c>
      <c r="CU213" s="2" t="n">
        <v>17.1</v>
      </c>
      <c r="CV213" s="2" t="n">
        <v>44.6</v>
      </c>
      <c r="CW213" s="2" t="n">
        <v>17</v>
      </c>
      <c r="CX213" s="2" t="n">
        <v>27.6</v>
      </c>
      <c r="CY213" s="2" t="inlineStr">
        <is>
          <t>NA</t>
        </is>
      </c>
      <c r="CZ213" s="2" t="n">
        <v>65.09999999999999</v>
      </c>
      <c r="DA213" s="2" t="n">
        <v>47</v>
      </c>
      <c r="DB213" s="2" t="n">
        <v>46.6</v>
      </c>
      <c r="DC213" s="2" t="n">
        <v>0.4</v>
      </c>
      <c r="DG213" s="2" t="n">
        <v>105.081</v>
      </c>
      <c r="DI213" s="2" t="n">
        <v>536.486</v>
      </c>
      <c r="DJ213" s="2" t="n">
        <v>262.835</v>
      </c>
      <c r="DL213" s="2" t="n">
        <v>153.932</v>
      </c>
      <c r="DM213" s="2" t="n">
        <v>227.044</v>
      </c>
      <c r="DO213" s="2" t="n">
        <v>191.758</v>
      </c>
      <c r="DP213" s="2" t="n">
        <v>254.095</v>
      </c>
      <c r="DS213" s="2" t="n">
        <v>903.856</v>
      </c>
      <c r="DT213" s="2" t="n">
        <v>3442.713</v>
      </c>
      <c r="DU213" s="2" t="n">
        <v>-912.7069999999999</v>
      </c>
      <c r="DV213" s="2" t="n">
        <v>-2.686999999999898</v>
      </c>
      <c r="GY213" s="2" t="n">
        <v>0.9595988001499813</v>
      </c>
      <c r="GZ213" s="2" t="n">
        <v>1023.7</v>
      </c>
      <c r="HA213" s="2" t="n">
        <v>1066.8</v>
      </c>
      <c r="HF213" s="2" t="n">
        <v>1064.7</v>
      </c>
      <c r="HG213" s="2" t="n">
        <v>1029.2</v>
      </c>
      <c r="HH213" s="2" t="n">
        <v>364.2</v>
      </c>
      <c r="HI213" s="2" t="n">
        <v>138.2</v>
      </c>
      <c r="HJ213" s="2" t="n">
        <v>521.3</v>
      </c>
      <c r="HK213" s="2" t="n">
        <v>5.5</v>
      </c>
      <c r="HL213" s="2" t="n">
        <v>35.5</v>
      </c>
      <c r="HP213" s="2" t="e">
        <v>#VALUE!</v>
      </c>
      <c r="HQ213" s="2" t="n">
        <v>4.6</v>
      </c>
      <c r="HR213" s="2" t="n">
        <v>13.6</v>
      </c>
      <c r="HS213" s="2" t="e">
        <v>#VALUE!</v>
      </c>
      <c r="HT213" s="2" t="e">
        <v>#VALUE!</v>
      </c>
      <c r="HW213" s="2" t="n">
        <v>287.3</v>
      </c>
      <c r="HX213" s="2" t="e">
        <v>#VALUE!</v>
      </c>
      <c r="HY213" s="2" t="n">
        <v>287.3</v>
      </c>
      <c r="HZ213" s="2" t="n">
        <v>52.1</v>
      </c>
      <c r="IA213" s="2" t="n">
        <v>202.2</v>
      </c>
      <c r="IB213" s="2" t="e">
        <v>#VALUE!</v>
      </c>
      <c r="IC213" s="2" t="e">
        <v>#VALUE!</v>
      </c>
      <c r="ID213" s="2" t="e">
        <v>#VALUE!</v>
      </c>
      <c r="IE213" s="2" t="e">
        <v>#VALUE!</v>
      </c>
      <c r="IF213" s="2" t="n">
        <v>7.3</v>
      </c>
      <c r="IG213" s="2" t="n">
        <v>21.8</v>
      </c>
      <c r="IN213" s="2" t="n">
        <v>75.2</v>
      </c>
      <c r="IO213" s="2" t="n">
        <v>77.40000000000001</v>
      </c>
      <c r="IP213" s="2" t="e">
        <v>#VALUE!</v>
      </c>
      <c r="IQ213" s="2" t="n">
        <v>46.5</v>
      </c>
      <c r="IR213" s="2" t="n">
        <v>22.3</v>
      </c>
      <c r="IS213" s="2" t="e">
        <v>#VALUE!</v>
      </c>
      <c r="IT213" s="2" t="n">
        <v>22.7</v>
      </c>
      <c r="IU213" s="2" t="e">
        <v>#VALUE!</v>
      </c>
      <c r="IV213" s="2" t="e">
        <v>#VALUE!</v>
      </c>
      <c r="IY213" s="2" t="n">
        <v>47.19858361873803</v>
      </c>
      <c r="IZ213" s="2" t="n">
        <v>-0.1414163812619762</v>
      </c>
      <c r="JB213" s="2" t="n">
        <v>10.91629418935392</v>
      </c>
      <c r="JC213" s="2" t="n">
        <v>-0.07370581064607862</v>
      </c>
      <c r="JE213" s="2" t="n">
        <v>2163.9</v>
      </c>
      <c r="JF213" s="2" t="n">
        <v>0.8285674014510837</v>
      </c>
    </row>
    <row r="214">
      <c r="A214" s="1" t="n">
        <v>35551</v>
      </c>
      <c r="B214" s="2" t="n">
        <v>3321.4</v>
      </c>
      <c r="C214" s="2" t="n">
        <v>2344.9</v>
      </c>
      <c r="D214" s="2" t="n">
        <v>351.3</v>
      </c>
      <c r="E214" s="2" t="n">
        <v>1183.8</v>
      </c>
      <c r="F214" s="2" t="n">
        <v>16.3</v>
      </c>
      <c r="G214" s="2" t="inlineStr">
        <is>
          <t>NA</t>
        </is>
      </c>
      <c r="H214" s="2" t="inlineStr">
        <is>
          <t>NA</t>
        </is>
      </c>
      <c r="I214" s="2" t="inlineStr">
        <is>
          <t>NA</t>
        </is>
      </c>
      <c r="J214" s="2" t="inlineStr">
        <is>
          <t>NA</t>
        </is>
      </c>
      <c r="K214" s="2" t="n">
        <v>1216.1</v>
      </c>
      <c r="L214" s="2" t="n">
        <v>2143.3</v>
      </c>
      <c r="M214" s="2" t="n">
        <v>1919.4</v>
      </c>
      <c r="N214" s="2" t="n">
        <v>223.9</v>
      </c>
      <c r="O214" s="2" t="n">
        <v>109.8</v>
      </c>
      <c r="P214" s="2" t="n">
        <v>116.1</v>
      </c>
      <c r="Q214" s="2" t="n">
        <v>26.3</v>
      </c>
      <c r="R214" s="2" t="n">
        <v>89.8</v>
      </c>
      <c r="T214" s="2" t="n">
        <v>13.3</v>
      </c>
      <c r="U214" s="2" t="n">
        <v>81.59999999999999</v>
      </c>
      <c r="V214" s="2" t="n">
        <v>75.5</v>
      </c>
      <c r="W214" s="2" t="n">
        <v>6.1</v>
      </c>
      <c r="X214" s="2" t="inlineStr">
        <is>
          <t>NA</t>
        </is>
      </c>
      <c r="Y214" s="2" t="n">
        <v>9.1</v>
      </c>
      <c r="Z214" s="2" t="n">
        <v>152.7</v>
      </c>
      <c r="AA214" s="2" t="n">
        <v>143.5</v>
      </c>
      <c r="AB214" s="2" t="n">
        <v>9.199999999999999</v>
      </c>
      <c r="AC214" s="2" t="inlineStr">
        <is>
          <t>NA</t>
        </is>
      </c>
      <c r="AD214" s="2" t="n">
        <v>19</v>
      </c>
      <c r="AF214" s="2" t="n">
        <v>83</v>
      </c>
      <c r="AG214" s="2" t="n">
        <v>63.5</v>
      </c>
      <c r="AH214" s="2" t="n">
        <v>19.5</v>
      </c>
      <c r="AI214" s="2" t="n">
        <v>182.5</v>
      </c>
      <c r="AL214" s="2" t="n">
        <v>127.3</v>
      </c>
      <c r="AM214" s="2" t="n">
        <v>94.5</v>
      </c>
      <c r="AN214" s="2" t="n">
        <v>32.8</v>
      </c>
      <c r="AO214" s="2" t="n">
        <v>2438.8</v>
      </c>
      <c r="AP214" s="2" t="n">
        <v>214.8</v>
      </c>
      <c r="AQ214" s="2" t="n">
        <v>179.3</v>
      </c>
      <c r="AR214" s="2" t="n">
        <v>41.7</v>
      </c>
      <c r="AS214" s="2" t="n">
        <v>160.7</v>
      </c>
      <c r="AT214" s="2" t="n">
        <v>82.09999999999999</v>
      </c>
      <c r="AU214" s="2" t="n">
        <v>95.3</v>
      </c>
      <c r="AV214" s="2" t="n">
        <v>35.5</v>
      </c>
      <c r="AW214" s="2" t="n">
        <v>9.4</v>
      </c>
      <c r="AX214" s="2" t="n">
        <v>2.1</v>
      </c>
      <c r="AY214" s="2" t="inlineStr">
        <is>
          <t>NA</t>
        </is>
      </c>
      <c r="AZ214" s="2" t="inlineStr">
        <is>
          <t>NA</t>
        </is>
      </c>
      <c r="BA214" s="2" t="inlineStr">
        <is>
          <t>NA</t>
        </is>
      </c>
      <c r="BB214" s="2" t="inlineStr">
        <is>
          <t>NA</t>
        </is>
      </c>
      <c r="BD214" s="2" t="n">
        <v>133.1</v>
      </c>
      <c r="BE214" s="2" t="n">
        <v>51.1</v>
      </c>
      <c r="BH214" s="2" t="n">
        <v>296.1</v>
      </c>
      <c r="BK214" s="2" t="n">
        <v>216.3</v>
      </c>
      <c r="BL214" s="2" t="n">
        <v>3.7</v>
      </c>
      <c r="BM214" s="2" t="n">
        <v>516.1</v>
      </c>
      <c r="BN214" s="2" t="n">
        <v>219.4</v>
      </c>
      <c r="BQ214" s="2" t="n">
        <v>112.1</v>
      </c>
      <c r="BR214" s="2" t="n">
        <v>4.4</v>
      </c>
      <c r="BS214" s="2" t="n">
        <v>335.9</v>
      </c>
      <c r="BT214" s="2" t="inlineStr">
        <is>
          <t>NA</t>
        </is>
      </c>
      <c r="BU214" s="2" t="n">
        <v>18.7</v>
      </c>
      <c r="BV214" s="2" t="n">
        <v>346.7</v>
      </c>
      <c r="BW214" s="2" t="n">
        <v>118.8</v>
      </c>
      <c r="BX214" s="2" t="n">
        <v>474.2</v>
      </c>
      <c r="BY214" s="2" t="n">
        <v>46.5</v>
      </c>
      <c r="BZ214" s="2" t="n">
        <v>12.7</v>
      </c>
      <c r="CA214" s="2" t="n">
        <v>59.2</v>
      </c>
      <c r="CF214" s="2" t="n">
        <v>116.6</v>
      </c>
      <c r="CG214" s="2" t="n">
        <v>187.3</v>
      </c>
      <c r="CH214" s="2" t="n">
        <v>20.9</v>
      </c>
      <c r="CN214" s="2" t="n">
        <v>35.5</v>
      </c>
      <c r="CO214" s="2" t="n">
        <v>249.8</v>
      </c>
      <c r="CP214" s="2" t="n">
        <v>161.3</v>
      </c>
      <c r="CQ214" s="2" t="n">
        <v>88.5</v>
      </c>
      <c r="CR214" s="2" t="inlineStr">
        <is>
          <t>NA</t>
        </is>
      </c>
      <c r="CS214" s="2" t="n">
        <v>45.6</v>
      </c>
      <c r="CT214" s="2" t="n">
        <v>28.3</v>
      </c>
      <c r="CU214" s="2" t="n">
        <v>17.3</v>
      </c>
      <c r="CV214" s="2" t="n">
        <v>46.09999999999999</v>
      </c>
      <c r="CW214" s="2" t="n">
        <v>11.8</v>
      </c>
      <c r="CX214" s="2" t="n">
        <v>34.3</v>
      </c>
      <c r="CY214" s="2" t="inlineStr">
        <is>
          <t>NA</t>
        </is>
      </c>
      <c r="CZ214" s="2" t="n">
        <v>53.9</v>
      </c>
      <c r="DA214" s="2" t="n">
        <v>43.1</v>
      </c>
      <c r="DB214" s="2" t="n">
        <v>42.7</v>
      </c>
      <c r="DC214" s="2" t="n">
        <v>0.4</v>
      </c>
      <c r="DG214" s="2" t="n">
        <v>120.781</v>
      </c>
      <c r="DI214" s="2" t="n">
        <v>518.683</v>
      </c>
      <c r="DJ214" s="2" t="n">
        <v>268.778</v>
      </c>
      <c r="DL214" s="2" t="n">
        <v>152.482</v>
      </c>
      <c r="DM214" s="2" t="n">
        <v>255.581</v>
      </c>
      <c r="DP214" s="2" t="n">
        <v>216.796</v>
      </c>
      <c r="DS214" s="2" t="n">
        <v>840.8049999999999</v>
      </c>
      <c r="DT214" s="2" t="n">
        <v>3321.358</v>
      </c>
      <c r="DU214" s="2" t="n">
        <v>-1068.233</v>
      </c>
      <c r="DV214" s="2" t="n">
        <v>-0.04199999999991633</v>
      </c>
      <c r="GY214" s="2" t="n">
        <v>0.9584384047819183</v>
      </c>
      <c r="GZ214" s="2" t="n">
        <v>1026.2</v>
      </c>
      <c r="HA214" s="2" t="n">
        <v>1070.7</v>
      </c>
      <c r="HF214" s="2" t="n">
        <v>1038.4</v>
      </c>
      <c r="HG214" s="2" t="n">
        <v>1004.7</v>
      </c>
      <c r="HH214" s="2" t="n">
        <v>369.8</v>
      </c>
      <c r="HI214" s="2" t="n">
        <v>123.8</v>
      </c>
      <c r="HJ214" s="2" t="n">
        <v>506.1</v>
      </c>
      <c r="HK214" s="2" t="n">
        <v>5</v>
      </c>
      <c r="HL214" s="2" t="n">
        <v>33.7</v>
      </c>
      <c r="HP214" s="2" t="e">
        <v>#VALUE!</v>
      </c>
      <c r="HQ214" s="2" t="n">
        <v>4.9</v>
      </c>
      <c r="HR214" s="2" t="n">
        <v>11.3</v>
      </c>
      <c r="HS214" s="2" t="e">
        <v>#VALUE!</v>
      </c>
      <c r="HT214" s="2" t="e">
        <v>#VALUE!</v>
      </c>
      <c r="HW214" s="2" t="n">
        <v>295.3</v>
      </c>
      <c r="HX214" s="2" t="e">
        <v>#VALUE!</v>
      </c>
      <c r="HY214" s="2" t="n">
        <v>295.3</v>
      </c>
      <c r="HZ214" s="2" t="n">
        <v>54.8</v>
      </c>
      <c r="IA214" s="2" t="n">
        <v>207.5</v>
      </c>
      <c r="IB214" s="2" t="e">
        <v>#VALUE!</v>
      </c>
      <c r="IC214" s="2" t="e">
        <v>#VALUE!</v>
      </c>
      <c r="ID214" s="2" t="e">
        <v>#VALUE!</v>
      </c>
      <c r="IE214" s="2" t="e">
        <v>#VALUE!</v>
      </c>
      <c r="IF214" s="2" t="n">
        <v>7.3</v>
      </c>
      <c r="IG214" s="2" t="n">
        <v>21.3</v>
      </c>
      <c r="IN214" s="2" t="n">
        <v>76.90000000000001</v>
      </c>
      <c r="IO214" s="2" t="n">
        <v>79.2</v>
      </c>
      <c r="IP214" s="2" t="e">
        <v>#VALUE!</v>
      </c>
      <c r="IQ214" s="2" t="n">
        <v>54.1</v>
      </c>
      <c r="IR214" s="2" t="n">
        <v>24.8</v>
      </c>
      <c r="IS214" s="2" t="e">
        <v>#VALUE!</v>
      </c>
      <c r="IT214" s="2" t="n">
        <v>27.9</v>
      </c>
      <c r="IU214" s="2" t="e">
        <v>#VALUE!</v>
      </c>
      <c r="IV214" s="2" t="e">
        <v>#VALUE!</v>
      </c>
      <c r="IY214" s="2" t="n">
        <v>47.29511651713133</v>
      </c>
      <c r="IZ214" s="2" t="n">
        <v>-0.07488348286866398</v>
      </c>
      <c r="JB214" s="2" t="n">
        <v>10.98422352020232</v>
      </c>
      <c r="JC214" s="2" t="n">
        <v>-0.05577647979767697</v>
      </c>
      <c r="JE214" s="2" t="n">
        <v>2143.3</v>
      </c>
      <c r="JF214" s="2" t="n">
        <v>0.8169033733028507</v>
      </c>
    </row>
    <row r="215">
      <c r="A215" s="1" t="n">
        <v>35582</v>
      </c>
      <c r="B215" s="2" t="n">
        <v>3266.7</v>
      </c>
      <c r="C215" s="2" t="n">
        <v>1918.5</v>
      </c>
      <c r="D215" s="2" t="n">
        <v>280.8</v>
      </c>
      <c r="E215" s="2" t="n">
        <v>871.2</v>
      </c>
      <c r="F215" s="2" t="n">
        <v>19</v>
      </c>
      <c r="G215" s="2" t="inlineStr">
        <is>
          <t>NA</t>
        </is>
      </c>
      <c r="H215" s="2" t="inlineStr">
        <is>
          <t>NA</t>
        </is>
      </c>
      <c r="I215" s="2" t="inlineStr">
        <is>
          <t>NA</t>
        </is>
      </c>
      <c r="J215" s="2" t="inlineStr">
        <is>
          <t>NA</t>
        </is>
      </c>
      <c r="K215" s="2" t="n">
        <v>1195.7</v>
      </c>
      <c r="L215" s="2" t="n">
        <v>2137.9</v>
      </c>
      <c r="M215" s="2" t="n">
        <v>1917.8</v>
      </c>
      <c r="N215" s="2" t="n">
        <v>220.1</v>
      </c>
      <c r="O215" s="2" t="n">
        <v>86.90000000000001</v>
      </c>
      <c r="P215" s="2" t="n">
        <v>103.4</v>
      </c>
      <c r="Q215" s="2" t="n">
        <v>25.1</v>
      </c>
      <c r="R215" s="2" t="n">
        <v>78.3</v>
      </c>
      <c r="T215" s="2" t="n">
        <v>16</v>
      </c>
      <c r="U215" s="2" t="n">
        <v>84.59999999999999</v>
      </c>
      <c r="V215" s="2" t="n">
        <v>79.8</v>
      </c>
      <c r="W215" s="2" t="n">
        <v>4.8</v>
      </c>
      <c r="X215" s="2" t="inlineStr">
        <is>
          <t>NA</t>
        </is>
      </c>
      <c r="Y215" s="2" t="inlineStr">
        <is>
          <t>NA</t>
        </is>
      </c>
      <c r="Z215" s="2" t="n">
        <v>141.8</v>
      </c>
      <c r="AA215" s="2" t="n">
        <v>132.4</v>
      </c>
      <c r="AB215" s="2" t="n">
        <v>9.4</v>
      </c>
      <c r="AC215" s="2" t="inlineStr">
        <is>
          <t>NA</t>
        </is>
      </c>
      <c r="AD215" s="2" t="n">
        <v>26.9</v>
      </c>
      <c r="AF215" s="2" t="n">
        <v>85.3</v>
      </c>
      <c r="AG215" s="2" t="n">
        <v>65.5</v>
      </c>
      <c r="AH215" s="2" t="n">
        <v>19.8</v>
      </c>
      <c r="AI215" s="2" t="n">
        <v>184.3</v>
      </c>
      <c r="AL215" s="2" t="n">
        <v>148.9</v>
      </c>
      <c r="AM215" s="2" t="n">
        <v>105</v>
      </c>
      <c r="AN215" s="2" t="n">
        <v>43.9</v>
      </c>
      <c r="AO215" s="2" t="n">
        <v>2400.9</v>
      </c>
      <c r="AP215" s="2" t="n">
        <v>275.3</v>
      </c>
      <c r="AQ215" s="2" t="n">
        <v>172.4</v>
      </c>
      <c r="AR215" s="2" t="n">
        <v>42</v>
      </c>
      <c r="AS215" s="2" t="n">
        <v>128.6</v>
      </c>
      <c r="AT215" s="2" t="n">
        <v>85.59999999999999</v>
      </c>
      <c r="AU215" s="2" t="n">
        <v>76.2</v>
      </c>
      <c r="AV215" s="2" t="n">
        <v>32.1</v>
      </c>
      <c r="AW215" s="2" t="n">
        <v>10.2</v>
      </c>
      <c r="AX215" s="2" t="n">
        <v>3.8</v>
      </c>
      <c r="AY215" s="2" t="inlineStr">
        <is>
          <t>NA</t>
        </is>
      </c>
      <c r="AZ215" s="2" t="inlineStr">
        <is>
          <t>NA</t>
        </is>
      </c>
      <c r="BA215" s="2" t="inlineStr">
        <is>
          <t>NA</t>
        </is>
      </c>
      <c r="BB215" s="2" t="inlineStr">
        <is>
          <t>NA</t>
        </is>
      </c>
      <c r="BD215" s="2" t="n">
        <v>123.8</v>
      </c>
      <c r="BE215" s="2" t="n">
        <v>51</v>
      </c>
      <c r="BH215" s="2" t="n">
        <v>286.8</v>
      </c>
      <c r="BK215" s="2" t="n">
        <v>222.7</v>
      </c>
      <c r="BL215" s="2" t="n">
        <v>3.7</v>
      </c>
      <c r="BM215" s="2" t="n">
        <v>513.2</v>
      </c>
      <c r="BN215" s="2" t="n">
        <v>235</v>
      </c>
      <c r="BQ215" s="2" t="n">
        <v>103.3</v>
      </c>
      <c r="BR215" s="2" t="n">
        <v>3.8</v>
      </c>
      <c r="BS215" s="2" t="n">
        <v>342.1</v>
      </c>
      <c r="BT215" s="2" t="inlineStr">
        <is>
          <t>NA</t>
        </is>
      </c>
      <c r="BU215" s="2" t="n">
        <v>23</v>
      </c>
      <c r="BV215" s="2" t="n">
        <v>346.3</v>
      </c>
      <c r="BW215" s="2" t="n">
        <v>102.3</v>
      </c>
      <c r="BX215" s="2" t="n">
        <v>457.2</v>
      </c>
      <c r="BY215" s="2" t="n">
        <v>51.7</v>
      </c>
      <c r="BZ215" s="2" t="n">
        <v>9.300000000000001</v>
      </c>
      <c r="CA215" s="2" t="n">
        <v>61</v>
      </c>
      <c r="CF215" s="2" t="n">
        <v>116.4</v>
      </c>
      <c r="CG215" s="2" t="n">
        <v>237.5</v>
      </c>
      <c r="CH215" s="2" t="n">
        <v>32</v>
      </c>
      <c r="CN215" s="2" t="n">
        <v>34</v>
      </c>
      <c r="CO215" s="2" t="n">
        <v>143.7</v>
      </c>
      <c r="CP215" s="2" t="n">
        <v>87.7</v>
      </c>
      <c r="CQ215" s="2" t="n">
        <v>56</v>
      </c>
      <c r="CR215" s="2" t="inlineStr">
        <is>
          <t>NA</t>
        </is>
      </c>
      <c r="CS215" s="2" t="n">
        <v>35.1</v>
      </c>
      <c r="CT215" s="2" t="n">
        <v>19.3</v>
      </c>
      <c r="CU215" s="2" t="n">
        <v>15.8</v>
      </c>
      <c r="CV215" s="2" t="n">
        <v>46.8</v>
      </c>
      <c r="CW215" s="2" t="n">
        <v>11.9</v>
      </c>
      <c r="CX215" s="2" t="n">
        <v>34.9</v>
      </c>
      <c r="CY215" s="2" t="inlineStr">
        <is>
          <t>NA</t>
        </is>
      </c>
      <c r="CZ215" s="2" t="n">
        <v>74.09999999999999</v>
      </c>
      <c r="DA215" s="2" t="n">
        <v>36.9</v>
      </c>
      <c r="DB215" s="2" t="n">
        <v>36.5</v>
      </c>
      <c r="DC215" s="2" t="n">
        <v>0.4</v>
      </c>
      <c r="DG215" s="2" t="n">
        <v>90.658</v>
      </c>
      <c r="DI215" s="2" t="n">
        <v>534.692</v>
      </c>
      <c r="DJ215" s="2" t="n">
        <v>239.624</v>
      </c>
      <c r="DL215" s="2" t="n">
        <v>139.882</v>
      </c>
      <c r="DM215" s="2" t="n">
        <v>240.725</v>
      </c>
      <c r="DP215" s="2" t="n">
        <v>244.092</v>
      </c>
      <c r="DS215" s="2" t="n">
        <v>896.152</v>
      </c>
      <c r="DT215" s="2" t="n">
        <v>3266.687</v>
      </c>
      <c r="DU215" s="2" t="n">
        <v>-971.5199999999995</v>
      </c>
      <c r="DV215" s="2" t="n">
        <v>-0.01299999999991996</v>
      </c>
      <c r="GY215" s="2" t="n">
        <v>0.9597505116460384</v>
      </c>
      <c r="GZ215" s="2" t="n">
        <v>984.8</v>
      </c>
      <c r="HA215" s="2" t="n">
        <v>1026.1</v>
      </c>
      <c r="HF215" s="2" t="n">
        <v>999.6</v>
      </c>
      <c r="HG215" s="2" t="n">
        <v>967</v>
      </c>
      <c r="HH215" s="2" t="n">
        <v>370.1</v>
      </c>
      <c r="HI215" s="2" t="n">
        <v>123.8</v>
      </c>
      <c r="HJ215" s="2" t="n">
        <v>468.1</v>
      </c>
      <c r="HK215" s="2" t="n">
        <v>5</v>
      </c>
      <c r="HL215" s="2" t="n">
        <v>32.6</v>
      </c>
      <c r="HP215" s="2" t="e">
        <v>#VALUE!</v>
      </c>
      <c r="HQ215" s="2" t="n">
        <v>5.3</v>
      </c>
      <c r="HR215" s="2" t="n">
        <v>11.8</v>
      </c>
      <c r="HS215" s="2" t="e">
        <v>#VALUE!</v>
      </c>
      <c r="HT215" s="2" t="e">
        <v>#VALUE!</v>
      </c>
      <c r="HW215" s="2" t="n">
        <v>279.6</v>
      </c>
      <c r="HX215" s="2" t="e">
        <v>#VALUE!</v>
      </c>
      <c r="HY215" s="2" t="n">
        <v>279.6</v>
      </c>
      <c r="HZ215" s="2" t="n">
        <v>54.9</v>
      </c>
      <c r="IA215" s="2" t="n">
        <v>192.8</v>
      </c>
      <c r="IB215" s="2" t="e">
        <v>#VALUE!</v>
      </c>
      <c r="IC215" s="2" t="e">
        <v>#VALUE!</v>
      </c>
      <c r="ID215" s="2" t="e">
        <v>#VALUE!</v>
      </c>
      <c r="IE215" s="2" t="e">
        <v>#VALUE!</v>
      </c>
      <c r="IF215" s="2" t="n">
        <v>6.6</v>
      </c>
      <c r="IG215" s="2" t="n">
        <v>21.3</v>
      </c>
      <c r="IN215" s="2" t="n">
        <v>56.4</v>
      </c>
      <c r="IO215" s="2" t="n">
        <v>58.4</v>
      </c>
      <c r="IP215" s="2" t="e">
        <v>#VALUE!</v>
      </c>
      <c r="IQ215" s="2" t="n">
        <v>50.7</v>
      </c>
      <c r="IR215" s="2" t="n">
        <v>24.3</v>
      </c>
      <c r="IS215" s="2" t="e">
        <v>#VALUE!</v>
      </c>
      <c r="IT215" s="2" t="n">
        <v>25</v>
      </c>
      <c r="IU215" s="2" t="e">
        <v>#VALUE!</v>
      </c>
      <c r="IV215" s="2" t="e">
        <v>#VALUE!</v>
      </c>
      <c r="IY215" s="2" t="n">
        <v>47.26421158967766</v>
      </c>
      <c r="IZ215" s="2" t="n">
        <v>-0.07578841032234607</v>
      </c>
      <c r="JB215" s="2" t="n">
        <v>10.98080631830288</v>
      </c>
      <c r="JC215" s="2" t="n">
        <v>0.01080631830287437</v>
      </c>
      <c r="JE215" s="2" t="n">
        <v>2137.9</v>
      </c>
      <c r="JF215" s="2" t="n">
        <v>0.8169390523410824</v>
      </c>
    </row>
    <row r="216">
      <c r="A216" s="1" t="n">
        <v>35612</v>
      </c>
      <c r="B216" s="2" t="n">
        <v>3182.9</v>
      </c>
      <c r="C216" s="2" t="n">
        <v>1309.1</v>
      </c>
      <c r="D216" s="2" t="n">
        <v>294</v>
      </c>
      <c r="E216" s="2" t="n">
        <v>522.8</v>
      </c>
      <c r="F216" s="2" t="n">
        <v>13.4</v>
      </c>
      <c r="G216" s="2" t="inlineStr">
        <is>
          <t>NA</t>
        </is>
      </c>
      <c r="H216" s="2" t="inlineStr">
        <is>
          <t>NA</t>
        </is>
      </c>
      <c r="I216" s="2" t="inlineStr">
        <is>
          <t>NA</t>
        </is>
      </c>
      <c r="J216" s="2" t="inlineStr">
        <is>
          <t>NA</t>
        </is>
      </c>
      <c r="K216" s="2" t="n">
        <v>1175.9</v>
      </c>
      <c r="L216" s="2" t="n">
        <v>1978.1</v>
      </c>
      <c r="M216" s="2" t="n">
        <v>1760.3</v>
      </c>
      <c r="N216" s="2" t="n">
        <v>217.8</v>
      </c>
      <c r="O216" s="2" t="n">
        <v>85.90000000000001</v>
      </c>
      <c r="P216" s="2" t="n">
        <v>85.90000000000001</v>
      </c>
      <c r="Q216" s="2" t="n">
        <v>24.2</v>
      </c>
      <c r="R216" s="2" t="n">
        <v>61.7</v>
      </c>
      <c r="T216" s="2" t="n">
        <v>9.9</v>
      </c>
      <c r="U216" s="2" t="n">
        <v>85.7</v>
      </c>
      <c r="V216" s="2" t="n">
        <v>80.3</v>
      </c>
      <c r="W216" s="2" t="n">
        <v>5.4</v>
      </c>
      <c r="X216" s="2" t="inlineStr">
        <is>
          <t>NA</t>
        </is>
      </c>
      <c r="Y216" s="2" t="inlineStr">
        <is>
          <t>NA</t>
        </is>
      </c>
      <c r="Z216" s="2" t="n">
        <v>85.2</v>
      </c>
      <c r="AA216" s="2" t="n">
        <v>80.40000000000001</v>
      </c>
      <c r="AB216" s="2" t="n">
        <v>4.8</v>
      </c>
      <c r="AC216" s="2" t="inlineStr">
        <is>
          <t>NA</t>
        </is>
      </c>
      <c r="AD216" s="2" t="n">
        <v>20.5</v>
      </c>
      <c r="AF216" s="2" t="n">
        <v>61.6</v>
      </c>
      <c r="AG216" s="2" t="n">
        <v>42.2</v>
      </c>
      <c r="AH216" s="2" t="n">
        <v>19.4</v>
      </c>
      <c r="AI216" s="2" t="n">
        <v>174</v>
      </c>
      <c r="AL216" s="2" t="n">
        <v>170.5</v>
      </c>
      <c r="AM216" s="2" t="n">
        <v>115.6</v>
      </c>
      <c r="AN216" s="2" t="n">
        <v>54.9</v>
      </c>
      <c r="AO216" s="2" t="n">
        <v>2342.6</v>
      </c>
      <c r="AP216" s="2" t="n">
        <v>264.3</v>
      </c>
      <c r="AQ216" s="2" t="n">
        <v>174.8</v>
      </c>
      <c r="AR216" s="2" t="n">
        <v>38.8</v>
      </c>
      <c r="AS216" s="2" t="n">
        <v>123.2</v>
      </c>
      <c r="AT216" s="2" t="n">
        <v>64.90000000000001</v>
      </c>
      <c r="AU216" s="2" t="n">
        <v>84.3</v>
      </c>
      <c r="AV216" s="2" t="n">
        <v>27.7</v>
      </c>
      <c r="AW216" s="2" t="inlineStr">
        <is>
          <t>NA</t>
        </is>
      </c>
      <c r="AX216" s="2" t="inlineStr">
        <is>
          <t>NA</t>
        </is>
      </c>
      <c r="AY216" s="2" t="inlineStr">
        <is>
          <t>NA</t>
        </is>
      </c>
      <c r="AZ216" s="2" t="inlineStr">
        <is>
          <t>NA</t>
        </is>
      </c>
      <c r="BA216" s="2" t="inlineStr">
        <is>
          <t>NA</t>
        </is>
      </c>
      <c r="BB216" s="2" t="inlineStr">
        <is>
          <t>NA</t>
        </is>
      </c>
      <c r="BD216" s="2" t="n">
        <v>125.8</v>
      </c>
      <c r="BE216" s="2" t="n">
        <v>54.8</v>
      </c>
      <c r="BH216" s="2" t="n">
        <v>291.4</v>
      </c>
      <c r="BK216" s="2" t="n">
        <v>230.9</v>
      </c>
      <c r="BL216" s="2" t="n">
        <v>3.1</v>
      </c>
      <c r="BM216" s="2" t="n">
        <v>525.4</v>
      </c>
      <c r="BN216" s="2" t="n">
        <v>203</v>
      </c>
      <c r="BQ216" s="2" t="n">
        <v>118.3</v>
      </c>
      <c r="BR216" s="2" t="n">
        <v>3.9</v>
      </c>
      <c r="BS216" s="2" t="n">
        <v>325.2</v>
      </c>
      <c r="BT216" s="2" t="inlineStr">
        <is>
          <t>NA</t>
        </is>
      </c>
      <c r="BU216" s="2" t="n">
        <v>23.2</v>
      </c>
      <c r="BV216" s="2" t="n">
        <v>367.5</v>
      </c>
      <c r="BW216" s="2" t="n">
        <v>105.4</v>
      </c>
      <c r="BX216" s="2" t="n">
        <v>478.2</v>
      </c>
      <c r="BY216" s="2" t="n">
        <v>48.8</v>
      </c>
      <c r="BZ216" s="2" t="n">
        <v>13.1</v>
      </c>
      <c r="CA216" s="2" t="n">
        <v>61.9</v>
      </c>
      <c r="CF216" s="2" t="n">
        <v>135</v>
      </c>
      <c r="CG216" s="2" t="n">
        <v>248.5</v>
      </c>
      <c r="CH216" s="2" t="n">
        <v>13.2</v>
      </c>
      <c r="CN216" s="2" t="n">
        <v>25.2</v>
      </c>
      <c r="CO216" s="2" t="n">
        <v>143.4</v>
      </c>
      <c r="CP216" s="2" t="n">
        <v>91.59999999999999</v>
      </c>
      <c r="CQ216" s="2" t="n">
        <v>51.8</v>
      </c>
      <c r="CR216" s="2" t="inlineStr">
        <is>
          <t>NA</t>
        </is>
      </c>
      <c r="CS216" s="2" t="n">
        <v>35.1</v>
      </c>
      <c r="CT216" s="2" t="n">
        <v>19.3</v>
      </c>
      <c r="CU216" s="2" t="n">
        <v>15.8</v>
      </c>
      <c r="CV216" s="2" t="n">
        <v>50.5</v>
      </c>
      <c r="CW216" s="2" t="n">
        <v>12</v>
      </c>
      <c r="CX216" s="2" t="n">
        <v>38.5</v>
      </c>
      <c r="CY216" s="2" t="inlineStr">
        <is>
          <t>NA</t>
        </is>
      </c>
      <c r="CZ216" s="2" t="n">
        <v>53.7</v>
      </c>
      <c r="DA216" s="2" t="n">
        <v>42</v>
      </c>
      <c r="DB216" s="2" t="n">
        <v>41.6</v>
      </c>
      <c r="DC216" s="2" t="n">
        <v>0.4</v>
      </c>
      <c r="DG216" s="2" t="n">
        <v>108.511</v>
      </c>
      <c r="DI216" s="2" t="n">
        <v>551.582</v>
      </c>
      <c r="DJ216" s="2" t="n">
        <v>222.719</v>
      </c>
      <c r="DL216" s="2" t="n">
        <v>132.983</v>
      </c>
      <c r="DM216" s="2" t="n">
        <v>180.452</v>
      </c>
      <c r="DP216" s="2" t="n">
        <v>240.389</v>
      </c>
      <c r="DS216" s="2" t="n">
        <v>869.026</v>
      </c>
      <c r="DT216" s="2" t="n">
        <v>3181.699</v>
      </c>
      <c r="DU216" s="2" t="n">
        <v>-984.5480000000002</v>
      </c>
      <c r="DV216" s="2" t="n">
        <v>-1.201000000000022</v>
      </c>
      <c r="GY216" s="2" t="n">
        <v>0.9638702355055331</v>
      </c>
      <c r="GZ216" s="2" t="n">
        <v>1019.1</v>
      </c>
      <c r="HA216" s="2" t="n">
        <v>1057.3</v>
      </c>
      <c r="HF216" s="2" t="n">
        <v>995.7</v>
      </c>
      <c r="HG216" s="2" t="n">
        <v>960.9</v>
      </c>
      <c r="HH216" s="2" t="n">
        <v>364.8</v>
      </c>
      <c r="HI216" s="2" t="n">
        <v>127.4</v>
      </c>
      <c r="HJ216" s="2" t="n">
        <v>463.1</v>
      </c>
      <c r="HK216" s="2" t="n">
        <v>5.6</v>
      </c>
      <c r="HL216" s="2" t="n">
        <v>34.8</v>
      </c>
      <c r="HP216" s="2" t="e">
        <v>#VALUE!</v>
      </c>
      <c r="HQ216" s="2" t="n">
        <v>5</v>
      </c>
      <c r="HR216" s="2" t="n">
        <v>11.7</v>
      </c>
      <c r="HS216" s="2" t="e">
        <v>#VALUE!</v>
      </c>
      <c r="HT216" s="2" t="e">
        <v>#VALUE!</v>
      </c>
      <c r="HW216" s="2" t="n">
        <v>292.8</v>
      </c>
      <c r="HX216" s="2" t="e">
        <v>#VALUE!</v>
      </c>
      <c r="HY216" s="2" t="n">
        <v>292.8</v>
      </c>
      <c r="HZ216" s="2" t="n">
        <v>52.5</v>
      </c>
      <c r="IA216" s="2" t="n">
        <v>204.6</v>
      </c>
      <c r="IB216" s="2" t="e">
        <v>#VALUE!</v>
      </c>
      <c r="IC216" s="2" t="e">
        <v>#VALUE!</v>
      </c>
      <c r="ID216" s="2" t="e">
        <v>#VALUE!</v>
      </c>
      <c r="IE216" s="2" t="e">
        <v>#VALUE!</v>
      </c>
      <c r="IF216" s="2" t="n">
        <v>7.3</v>
      </c>
      <c r="IG216" s="2" t="n">
        <v>24.7</v>
      </c>
      <c r="IN216" s="2" t="n">
        <v>53.6</v>
      </c>
      <c r="IO216" s="2" t="n">
        <v>55.3</v>
      </c>
      <c r="IP216" s="2" t="e">
        <v>#VALUE!</v>
      </c>
      <c r="IQ216" s="2" t="n">
        <v>37.7</v>
      </c>
      <c r="IR216" s="2" t="n">
        <v>18.3</v>
      </c>
      <c r="IS216" s="2" t="e">
        <v>#VALUE!</v>
      </c>
      <c r="IT216" s="2" t="n">
        <v>17.9</v>
      </c>
      <c r="IU216" s="2" t="e">
        <v>#VALUE!</v>
      </c>
      <c r="IV216" s="2" t="e">
        <v>#VALUE!</v>
      </c>
      <c r="IY216" s="2" t="n">
        <v>47.45483678406485</v>
      </c>
      <c r="IZ216" s="2" t="n">
        <v>-0.1151632159351479</v>
      </c>
      <c r="JB216" s="2" t="n">
        <v>11.08328882465676</v>
      </c>
      <c r="JC216" s="2" t="n">
        <v>-0.06671117534324011</v>
      </c>
      <c r="JE216" s="2" t="n">
        <v>1978.1</v>
      </c>
      <c r="JF216" s="2" t="n">
        <v>0.8613816288357514</v>
      </c>
    </row>
    <row r="217">
      <c r="A217" s="1" t="n">
        <v>35643</v>
      </c>
      <c r="B217" s="2" t="n">
        <v>3113.2</v>
      </c>
      <c r="C217" s="2" t="n">
        <v>847.8</v>
      </c>
      <c r="D217" s="2" t="n">
        <v>244.4</v>
      </c>
      <c r="E217" s="2" t="n">
        <v>353.3</v>
      </c>
      <c r="F217" s="2" t="n">
        <v>15.2</v>
      </c>
      <c r="G217" s="2" t="inlineStr">
        <is>
          <t>NA</t>
        </is>
      </c>
      <c r="H217" s="2" t="inlineStr">
        <is>
          <t>NA</t>
        </is>
      </c>
      <c r="I217" s="2" t="inlineStr">
        <is>
          <t>NA</t>
        </is>
      </c>
      <c r="J217" s="2" t="inlineStr">
        <is>
          <t>NA</t>
        </is>
      </c>
      <c r="K217" s="2" t="n">
        <v>1141.3</v>
      </c>
      <c r="L217" s="2" t="n">
        <v>1699.9</v>
      </c>
      <c r="M217" s="2" t="n">
        <v>1492.8</v>
      </c>
      <c r="N217" s="2" t="n">
        <v>207.1</v>
      </c>
      <c r="O217" s="2" t="n">
        <v>80.59999999999999</v>
      </c>
      <c r="P217" s="2" t="n">
        <v>78</v>
      </c>
      <c r="Q217" s="2" t="n">
        <v>21.7</v>
      </c>
      <c r="R217" s="2" t="n">
        <v>56.3</v>
      </c>
      <c r="T217" s="2" t="n">
        <v>12</v>
      </c>
      <c r="U217" s="2" t="n">
        <v>83</v>
      </c>
      <c r="V217" s="2" t="n">
        <v>77.5</v>
      </c>
      <c r="W217" s="2" t="n">
        <v>5.5</v>
      </c>
      <c r="X217" s="2" t="inlineStr">
        <is>
          <t>NA</t>
        </is>
      </c>
      <c r="Y217" s="2" t="n">
        <v>3.6</v>
      </c>
      <c r="Z217" s="2" t="n">
        <v>59.2</v>
      </c>
      <c r="AA217" s="2" t="n">
        <v>51.9</v>
      </c>
      <c r="AB217" s="2" t="n">
        <v>7.3</v>
      </c>
      <c r="AC217" s="2" t="inlineStr">
        <is>
          <t>NA</t>
        </is>
      </c>
      <c r="AD217" s="2" t="n">
        <v>31.7</v>
      </c>
      <c r="AF217" s="2" t="n">
        <v>59</v>
      </c>
      <c r="AG217" s="2" t="n">
        <v>38.6</v>
      </c>
      <c r="AH217" s="2" t="n">
        <v>20.4</v>
      </c>
      <c r="AI217" s="2" t="n">
        <v>180.6</v>
      </c>
      <c r="AL217" s="2" t="n">
        <v>124.7</v>
      </c>
      <c r="AM217" s="2" t="n">
        <v>82.90000000000001</v>
      </c>
      <c r="AN217" s="2" t="n">
        <v>41.8</v>
      </c>
      <c r="AO217" s="2" t="n">
        <v>2291.8</v>
      </c>
      <c r="AP217" s="2" t="n">
        <v>222</v>
      </c>
      <c r="AQ217" s="2" t="n">
        <v>173.4</v>
      </c>
      <c r="AR217" s="2" t="n">
        <v>36.2</v>
      </c>
      <c r="AS217" s="2" t="n">
        <v>128.2</v>
      </c>
      <c r="AT217" s="2" t="n">
        <v>62.7</v>
      </c>
      <c r="AU217" s="2" t="n">
        <v>73.59999999999999</v>
      </c>
      <c r="AV217" s="2" t="n">
        <v>22.4</v>
      </c>
      <c r="AW217" s="2" t="inlineStr">
        <is>
          <t>NA</t>
        </is>
      </c>
      <c r="AX217" s="2" t="inlineStr">
        <is>
          <t>NA</t>
        </is>
      </c>
      <c r="AY217" s="2" t="inlineStr">
        <is>
          <t>NA</t>
        </is>
      </c>
      <c r="AZ217" s="2" t="inlineStr">
        <is>
          <t>NA</t>
        </is>
      </c>
      <c r="BA217" s="2" t="inlineStr">
        <is>
          <t>NA</t>
        </is>
      </c>
      <c r="BB217" s="2" t="inlineStr">
        <is>
          <t>NA</t>
        </is>
      </c>
      <c r="BD217" s="2" t="n">
        <v>123.6</v>
      </c>
      <c r="BE217" s="2" t="n">
        <v>50.6</v>
      </c>
      <c r="BH217" s="2" t="n">
        <v>291.3</v>
      </c>
      <c r="BK217" s="2" t="n">
        <v>220.8</v>
      </c>
      <c r="BL217" s="2" t="n">
        <v>2.7</v>
      </c>
      <c r="BM217" s="2" t="n">
        <v>514.8</v>
      </c>
      <c r="BN217" s="2" t="n">
        <v>225.3</v>
      </c>
      <c r="BQ217" s="2" t="n">
        <v>134</v>
      </c>
      <c r="BR217" s="2" t="n">
        <v>4.3</v>
      </c>
      <c r="BS217" s="2" t="n">
        <v>363.6</v>
      </c>
      <c r="BT217" s="2" t="inlineStr">
        <is>
          <t>NA</t>
        </is>
      </c>
      <c r="BU217" s="2" t="n">
        <v>21.5</v>
      </c>
      <c r="BV217" s="2" t="n">
        <v>347.5</v>
      </c>
      <c r="BW217" s="2" t="n">
        <v>106</v>
      </c>
      <c r="BX217" s="2" t="n">
        <v>458.8</v>
      </c>
      <c r="BY217" s="2" t="n">
        <v>55.6</v>
      </c>
      <c r="BZ217" s="2" t="n">
        <v>10.4</v>
      </c>
      <c r="CA217" s="2" t="n">
        <v>66</v>
      </c>
      <c r="CF217" s="2" t="n">
        <v>132.8</v>
      </c>
      <c r="CG217" s="2" t="n">
        <v>242.2</v>
      </c>
      <c r="CH217" s="2" t="n">
        <v>16.6</v>
      </c>
      <c r="CN217" s="2" t="n">
        <v>41.6</v>
      </c>
      <c r="CO217" s="2" t="n">
        <v>154.3</v>
      </c>
      <c r="CP217" s="2" t="n">
        <v>91.8</v>
      </c>
      <c r="CQ217" s="2" t="n">
        <v>62.5</v>
      </c>
      <c r="CR217" s="2" t="inlineStr">
        <is>
          <t>NA</t>
        </is>
      </c>
      <c r="CS217" s="2" t="n">
        <v>30.3</v>
      </c>
      <c r="CT217" s="2" t="n">
        <v>18.2</v>
      </c>
      <c r="CU217" s="2" t="n">
        <v>12.1</v>
      </c>
      <c r="CV217" s="2" t="n">
        <v>47.8</v>
      </c>
      <c r="CW217" s="2" t="n">
        <v>10.8</v>
      </c>
      <c r="CX217" s="2" t="n">
        <v>37</v>
      </c>
      <c r="CY217" s="2" t="inlineStr">
        <is>
          <t>NA</t>
        </is>
      </c>
      <c r="CZ217" s="2" t="n">
        <v>61.5</v>
      </c>
      <c r="DA217" s="2" t="n">
        <v>40.5</v>
      </c>
      <c r="DB217" s="2" t="n">
        <v>40.2</v>
      </c>
      <c r="DC217" s="2" t="n">
        <v>0.3</v>
      </c>
      <c r="DG217" s="2" t="n">
        <v>114.102</v>
      </c>
      <c r="DI217" s="2" t="n">
        <v>452.114</v>
      </c>
      <c r="DJ217" s="2" t="n">
        <v>157.936</v>
      </c>
      <c r="DL217" s="2" t="n">
        <v>149.771</v>
      </c>
      <c r="DM217" s="2" t="n">
        <v>202.778</v>
      </c>
      <c r="DP217" s="2" t="n">
        <v>282.51</v>
      </c>
      <c r="DS217" s="2" t="n">
        <v>838.857</v>
      </c>
      <c r="DT217" s="2" t="n">
        <v>3112.312</v>
      </c>
      <c r="DU217" s="2" t="n">
        <v>-1028.346</v>
      </c>
      <c r="DV217" s="2" t="n">
        <v>-0.88799999999992</v>
      </c>
      <c r="GY217" s="2" t="n">
        <v>0.956305164729529</v>
      </c>
      <c r="GZ217" s="2" t="n">
        <v>1094.3</v>
      </c>
      <c r="HA217" s="2" t="n">
        <v>1144.3</v>
      </c>
      <c r="HF217" s="2" t="n">
        <v>1130.4</v>
      </c>
      <c r="HG217" s="2" t="n">
        <v>1097.2</v>
      </c>
      <c r="HH217" s="2" t="n">
        <v>415.3</v>
      </c>
      <c r="HI217" s="2" t="n">
        <v>132.6</v>
      </c>
      <c r="HJ217" s="2" t="n">
        <v>544.5</v>
      </c>
      <c r="HK217" s="2" t="n">
        <v>4.8</v>
      </c>
      <c r="HL217" s="2" t="n">
        <v>33.2</v>
      </c>
      <c r="HP217" s="2" t="e">
        <v>#VALUE!</v>
      </c>
      <c r="HQ217" s="2" t="n">
        <v>4.2</v>
      </c>
      <c r="HR217" s="2" t="n">
        <v>13.6</v>
      </c>
      <c r="HS217" s="2" t="e">
        <v>#VALUE!</v>
      </c>
      <c r="HT217" s="2" t="e">
        <v>#VALUE!</v>
      </c>
      <c r="HW217" s="2" t="n">
        <v>271.5</v>
      </c>
      <c r="HX217" s="2" t="e">
        <v>#VALUE!</v>
      </c>
      <c r="HY217" s="2" t="n">
        <v>271.5</v>
      </c>
      <c r="HZ217" s="2" t="n">
        <v>49.3</v>
      </c>
      <c r="IA217" s="2" t="n">
        <v>195.3</v>
      </c>
      <c r="IB217" s="2" t="e">
        <v>#VALUE!</v>
      </c>
      <c r="IC217" s="2" t="e">
        <v>#VALUE!</v>
      </c>
      <c r="ID217" s="2" t="e">
        <v>#VALUE!</v>
      </c>
      <c r="IE217" s="2" t="e">
        <v>#VALUE!</v>
      </c>
      <c r="IF217" s="2" t="n">
        <v>6.9</v>
      </c>
      <c r="IG217" s="2" t="n">
        <v>16.6</v>
      </c>
      <c r="IN217" s="2" t="n">
        <v>57.4</v>
      </c>
      <c r="IO217" s="2" t="n">
        <v>59</v>
      </c>
      <c r="IP217" s="2" t="e">
        <v>#VALUE!</v>
      </c>
      <c r="IQ217" s="2" t="n">
        <v>44.9</v>
      </c>
      <c r="IR217" s="2" t="n">
        <v>24.5</v>
      </c>
      <c r="IS217" s="2" t="e">
        <v>#VALUE!</v>
      </c>
      <c r="IT217" s="2" t="n">
        <v>18.9</v>
      </c>
      <c r="IU217" s="2" t="e">
        <v>#VALUE!</v>
      </c>
      <c r="IV217" s="2" t="e">
        <v>#VALUE!</v>
      </c>
      <c r="IY217" s="2" t="n">
        <v>47.51124245149686</v>
      </c>
      <c r="IZ217" s="2" t="n">
        <v>0.1512424514968629</v>
      </c>
      <c r="JB217" s="2" t="n">
        <v>10.99800848002056</v>
      </c>
      <c r="JC217" s="2" t="n">
        <v>-0.06199151997944341</v>
      </c>
      <c r="JE217" s="2" t="n">
        <v>1699.9</v>
      </c>
      <c r="JF217" s="2" t="n">
        <v>0.8154844402611918</v>
      </c>
    </row>
    <row r="218">
      <c r="A218" s="1" t="n">
        <v>35674</v>
      </c>
      <c r="B218" s="2" t="n">
        <v>3324.3</v>
      </c>
      <c r="C218" s="2" t="n">
        <v>1110.7</v>
      </c>
      <c r="D218" s="2" t="n">
        <v>178.6</v>
      </c>
      <c r="E218" s="2" t="n">
        <v>340.3</v>
      </c>
      <c r="F218" s="2" t="n">
        <v>8.6</v>
      </c>
      <c r="G218" s="2" t="inlineStr">
        <is>
          <t>NA</t>
        </is>
      </c>
      <c r="H218" s="2" t="inlineStr">
        <is>
          <t>NA</t>
        </is>
      </c>
      <c r="I218" s="2" t="inlineStr">
        <is>
          <t>NA</t>
        </is>
      </c>
      <c r="J218" s="2" t="inlineStr">
        <is>
          <t>NA</t>
        </is>
      </c>
      <c r="K218" s="2" t="n">
        <v>1230.8</v>
      </c>
      <c r="L218" s="2" t="n">
        <v>1520.1</v>
      </c>
      <c r="M218" s="2" t="n">
        <v>1321.1</v>
      </c>
      <c r="N218" s="2" t="n">
        <v>199</v>
      </c>
      <c r="O218" s="2" t="n">
        <v>66</v>
      </c>
      <c r="P218" s="2" t="n">
        <v>66.40000000000001</v>
      </c>
      <c r="Q218" s="2" t="n">
        <v>22</v>
      </c>
      <c r="R218" s="2" t="n">
        <v>44.4</v>
      </c>
      <c r="T218" s="2" t="n">
        <v>6.1</v>
      </c>
      <c r="U218" s="2" t="n">
        <v>74.59999999999999</v>
      </c>
      <c r="V218" s="2" t="n">
        <v>69</v>
      </c>
      <c r="W218" s="2" t="n">
        <v>5.6</v>
      </c>
      <c r="X218" s="2" t="inlineStr">
        <is>
          <t>NA</t>
        </is>
      </c>
      <c r="Y218" s="2" t="inlineStr">
        <is>
          <t>NA</t>
        </is>
      </c>
      <c r="Z218" s="2" t="n">
        <v>93.09999999999999</v>
      </c>
      <c r="AA218" s="2" t="n">
        <v>87</v>
      </c>
      <c r="AB218" s="2" t="n">
        <v>6.1</v>
      </c>
      <c r="AC218" s="2" t="inlineStr">
        <is>
          <t>NA</t>
        </is>
      </c>
      <c r="AD218" s="2" t="n">
        <v>24.8</v>
      </c>
      <c r="AF218" s="2" t="n">
        <v>67.80000000000001</v>
      </c>
      <c r="AG218" s="2" t="n">
        <v>46.2</v>
      </c>
      <c r="AH218" s="2" t="n">
        <v>21.6</v>
      </c>
      <c r="AI218" s="2" t="n">
        <v>182.2</v>
      </c>
      <c r="AL218" s="2" t="n">
        <v>128.8</v>
      </c>
      <c r="AM218" s="2" t="n">
        <v>101.1</v>
      </c>
      <c r="AN218" s="2" t="n">
        <v>27.7</v>
      </c>
      <c r="AO218" s="2" t="n">
        <v>2424.4</v>
      </c>
      <c r="AP218" s="2" t="n">
        <v>170.1</v>
      </c>
      <c r="AQ218" s="2" t="n">
        <v>186.6</v>
      </c>
      <c r="AR218" s="2" t="n">
        <v>39.4</v>
      </c>
      <c r="AS218" s="2" t="n">
        <v>92.09999999999999</v>
      </c>
      <c r="AT218" s="2" t="n">
        <v>26</v>
      </c>
      <c r="AU218" s="2" t="n">
        <v>62.4</v>
      </c>
      <c r="AV218" s="2" t="n">
        <v>20.5</v>
      </c>
      <c r="AW218" s="2" t="inlineStr">
        <is>
          <t>NA</t>
        </is>
      </c>
      <c r="AX218" s="2" t="inlineStr">
        <is>
          <t>NA</t>
        </is>
      </c>
      <c r="AY218" s="2" t="inlineStr">
        <is>
          <t>NA</t>
        </is>
      </c>
      <c r="AZ218" s="2" t="inlineStr">
        <is>
          <t>NA</t>
        </is>
      </c>
      <c r="BA218" s="2" t="inlineStr">
        <is>
          <t>NA</t>
        </is>
      </c>
      <c r="BB218" s="2" t="inlineStr">
        <is>
          <t>NA</t>
        </is>
      </c>
      <c r="BD218" s="2" t="n">
        <v>124.1</v>
      </c>
      <c r="BE218" s="2" t="n">
        <v>48</v>
      </c>
      <c r="BH218" s="2" t="n">
        <v>297.1</v>
      </c>
      <c r="BK218" s="2" t="n">
        <v>234.5</v>
      </c>
      <c r="BL218" s="2" t="n">
        <v>2.7</v>
      </c>
      <c r="BM218" s="2" t="n">
        <v>534.3</v>
      </c>
      <c r="BN218" s="2" t="n">
        <v>220.2</v>
      </c>
      <c r="BQ218" s="2" t="n">
        <v>136.8</v>
      </c>
      <c r="BR218" s="2" t="n">
        <v>4.9</v>
      </c>
      <c r="BS218" s="2" t="n">
        <v>361.9</v>
      </c>
      <c r="BT218" s="2" t="inlineStr">
        <is>
          <t>NA</t>
        </is>
      </c>
      <c r="BU218" s="2" t="n">
        <v>19.9</v>
      </c>
      <c r="BV218" s="2" t="n">
        <v>353.9</v>
      </c>
      <c r="BW218" s="2" t="n">
        <v>96.59999999999999</v>
      </c>
      <c r="BX218" s="2" t="n">
        <v>455.8</v>
      </c>
      <c r="BY218" s="2" t="n">
        <v>51.9</v>
      </c>
      <c r="BZ218" s="2" t="n">
        <v>11</v>
      </c>
      <c r="CA218" s="2" t="n">
        <v>62.9</v>
      </c>
      <c r="CF218" s="2" t="n">
        <v>131.6</v>
      </c>
      <c r="CG218" s="2" t="n">
        <v>208.6</v>
      </c>
      <c r="CH218" s="2" t="n">
        <v>32.3</v>
      </c>
      <c r="CN218" s="2" t="n">
        <v>17.3</v>
      </c>
      <c r="CO218" s="2" t="n">
        <v>149.6</v>
      </c>
      <c r="CP218" s="2" t="n">
        <v>99.59999999999999</v>
      </c>
      <c r="CQ218" s="2" t="n">
        <v>50</v>
      </c>
      <c r="CR218" s="2" t="inlineStr">
        <is>
          <t>NA</t>
        </is>
      </c>
      <c r="CS218" s="2" t="n">
        <v>33.2</v>
      </c>
      <c r="CT218" s="2" t="n">
        <v>23.3</v>
      </c>
      <c r="CU218" s="2" t="n">
        <v>9.9</v>
      </c>
      <c r="CV218" s="2" t="n">
        <v>47.2</v>
      </c>
      <c r="CW218" s="2" t="n">
        <v>9.9</v>
      </c>
      <c r="CX218" s="2" t="n">
        <v>37.3</v>
      </c>
      <c r="CY218" s="2" t="inlineStr">
        <is>
          <t>NA</t>
        </is>
      </c>
      <c r="CZ218" s="2" t="n">
        <v>50</v>
      </c>
      <c r="DA218" s="2" t="n">
        <v>27.4</v>
      </c>
      <c r="DB218" s="2" t="n">
        <v>26.3</v>
      </c>
      <c r="DC218" s="2" t="n">
        <v>1.1</v>
      </c>
      <c r="DG218" s="2" t="n">
        <v>107.272</v>
      </c>
      <c r="DI218" s="2" t="n">
        <v>583.678</v>
      </c>
      <c r="DJ218" s="2" t="n">
        <v>256.367</v>
      </c>
      <c r="DL218" s="2" t="n">
        <v>92.621</v>
      </c>
      <c r="DM218" s="2" t="n">
        <v>262.595</v>
      </c>
      <c r="DP218" s="2" t="n">
        <v>275.719</v>
      </c>
      <c r="DS218" s="2" t="n">
        <v>866.245</v>
      </c>
      <c r="DT218" s="2" t="n">
        <v>3298.917</v>
      </c>
      <c r="DU218" s="2" t="n">
        <v>-961.692</v>
      </c>
      <c r="DV218" s="2" t="n">
        <v>-25.38300000000027</v>
      </c>
      <c r="GY218" s="2" t="n">
        <v>0.9592165280386371</v>
      </c>
      <c r="GZ218" s="2" t="n">
        <v>1072.5</v>
      </c>
      <c r="HA218" s="2" t="n">
        <v>1118.1</v>
      </c>
      <c r="HF218" s="2" t="n">
        <v>1072.1</v>
      </c>
      <c r="HG218" s="2" t="n">
        <v>1043.1</v>
      </c>
      <c r="HH218" s="2" t="n">
        <v>394</v>
      </c>
      <c r="HI218" s="2" t="n">
        <v>147.2</v>
      </c>
      <c r="HJ218" s="2" t="n">
        <v>496.4</v>
      </c>
      <c r="HK218" s="2" t="n">
        <v>5.5</v>
      </c>
      <c r="HL218" s="2" t="n">
        <v>29</v>
      </c>
      <c r="HP218" s="2" t="e">
        <v>#VALUE!</v>
      </c>
      <c r="HQ218" s="2" t="n">
        <v>3.3</v>
      </c>
      <c r="HR218" s="2" t="n">
        <v>10.3</v>
      </c>
      <c r="HS218" s="2" t="e">
        <v>#VALUE!</v>
      </c>
      <c r="HT218" s="2" t="e">
        <v>#VALUE!</v>
      </c>
      <c r="HW218" s="2" t="n">
        <v>297.5</v>
      </c>
      <c r="HX218" s="2" t="e">
        <v>#VALUE!</v>
      </c>
      <c r="HY218" s="2" t="n">
        <v>297.5</v>
      </c>
      <c r="HZ218" s="2" t="n">
        <v>53.6</v>
      </c>
      <c r="IA218" s="2" t="n">
        <v>210</v>
      </c>
      <c r="IB218" s="2" t="e">
        <v>#VALUE!</v>
      </c>
      <c r="IC218" s="2" t="e">
        <v>#VALUE!</v>
      </c>
      <c r="ID218" s="2" t="e">
        <v>#VALUE!</v>
      </c>
      <c r="IE218" s="2" t="e">
        <v>#VALUE!</v>
      </c>
      <c r="IF218" s="2" t="n">
        <v>6.8</v>
      </c>
      <c r="IG218" s="2" t="n">
        <v>22.9</v>
      </c>
      <c r="IN218" s="2" t="n">
        <v>38.1</v>
      </c>
      <c r="IO218" s="2" t="n">
        <v>39.2</v>
      </c>
      <c r="IP218" s="2" t="e">
        <v>#VALUE!</v>
      </c>
      <c r="IQ218" s="2" t="n">
        <v>36.5</v>
      </c>
      <c r="IR218" s="2" t="n">
        <v>20.6</v>
      </c>
      <c r="IS218" s="2" t="e">
        <v>#VALUE!</v>
      </c>
      <c r="IT218" s="2" t="n">
        <v>14.2</v>
      </c>
      <c r="IU218" s="2" t="e">
        <v>#VALUE!</v>
      </c>
      <c r="IV218" s="2" t="e">
        <v>#VALUE!</v>
      </c>
      <c r="IY218" s="2" t="n">
        <v>47.12571067593177</v>
      </c>
      <c r="IZ218" s="2" t="n">
        <v>-0.03428932406822582</v>
      </c>
      <c r="JB218" s="2" t="n">
        <v>11.10730078512769</v>
      </c>
      <c r="JC218" s="2" t="n">
        <v>-0.07269921487230491</v>
      </c>
      <c r="JE218" s="2" t="n">
        <v>1520.1</v>
      </c>
      <c r="JF218" s="2" t="n">
        <v>0.7833135977896191</v>
      </c>
    </row>
    <row r="219">
      <c r="A219" s="1" t="n">
        <v>35704</v>
      </c>
      <c r="B219" s="2" t="n">
        <v>4266.4</v>
      </c>
      <c r="C219" s="2" t="n">
        <v>3792</v>
      </c>
      <c r="D219" s="2" t="n">
        <v>329.7</v>
      </c>
      <c r="E219" s="2" t="n">
        <v>1254.2</v>
      </c>
      <c r="F219" s="2" t="n">
        <v>16.4</v>
      </c>
      <c r="G219" s="2" t="inlineStr">
        <is>
          <t>NA</t>
        </is>
      </c>
      <c r="H219" s="2" t="inlineStr">
        <is>
          <t>NA</t>
        </is>
      </c>
      <c r="I219" s="2" t="inlineStr">
        <is>
          <t>NA</t>
        </is>
      </c>
      <c r="J219" s="2" t="inlineStr">
        <is>
          <t>NA</t>
        </is>
      </c>
      <c r="K219" s="2" t="n">
        <v>1590.6</v>
      </c>
      <c r="L219" s="2" t="n">
        <v>1525.6</v>
      </c>
      <c r="M219" s="2" t="n">
        <v>1307</v>
      </c>
      <c r="N219" s="2" t="n">
        <v>218.6</v>
      </c>
      <c r="O219" s="2" t="n">
        <v>97.8</v>
      </c>
      <c r="P219" s="2" t="n">
        <v>68.5</v>
      </c>
      <c r="Q219" s="2" t="n">
        <v>20</v>
      </c>
      <c r="R219" s="2" t="n">
        <v>48.5</v>
      </c>
      <c r="T219" s="2" t="n">
        <v>12.2</v>
      </c>
      <c r="U219" s="2" t="n">
        <v>52.4</v>
      </c>
      <c r="V219" s="2" t="n">
        <v>48</v>
      </c>
      <c r="W219" s="2" t="n">
        <v>4.4</v>
      </c>
      <c r="X219" s="2" t="inlineStr">
        <is>
          <t>NA</t>
        </is>
      </c>
      <c r="Y219" s="2" t="n">
        <v>5.7</v>
      </c>
      <c r="Z219" s="2" t="n">
        <v>120.7</v>
      </c>
      <c r="AA219" s="2" t="n">
        <v>113.8</v>
      </c>
      <c r="AB219" s="2" t="n">
        <v>6.9</v>
      </c>
      <c r="AC219" s="2" t="inlineStr">
        <is>
          <t>NA</t>
        </is>
      </c>
      <c r="AD219" s="2" t="n">
        <v>30.5</v>
      </c>
      <c r="AF219" s="2" t="n">
        <v>58.1</v>
      </c>
      <c r="AG219" s="2" t="n">
        <v>33.5</v>
      </c>
      <c r="AH219" s="2" t="n">
        <v>24.6</v>
      </c>
      <c r="AI219" s="2" t="n">
        <v>199.2</v>
      </c>
      <c r="AL219" s="2" t="n">
        <v>132.5</v>
      </c>
      <c r="AM219" s="2" t="n">
        <v>100.3</v>
      </c>
      <c r="AN219" s="2" t="n">
        <v>32.2</v>
      </c>
      <c r="AO219" s="2" t="n">
        <v>3127.3</v>
      </c>
      <c r="AP219" s="2" t="n">
        <v>187.8</v>
      </c>
      <c r="AQ219" s="2" t="n">
        <v>216.7</v>
      </c>
      <c r="AR219" s="2" t="n">
        <v>44.3</v>
      </c>
      <c r="AS219" s="2" t="n">
        <v>147.8</v>
      </c>
      <c r="AT219" s="2" t="n">
        <v>24.4</v>
      </c>
      <c r="AU219" s="2" t="n">
        <v>87.40000000000001</v>
      </c>
      <c r="AV219" s="2" t="n">
        <v>19.1</v>
      </c>
      <c r="AW219" s="2" t="inlineStr">
        <is>
          <t>NA</t>
        </is>
      </c>
      <c r="AX219" s="2" t="inlineStr">
        <is>
          <t>NA</t>
        </is>
      </c>
      <c r="AY219" s="2" t="inlineStr">
        <is>
          <t>NA</t>
        </is>
      </c>
      <c r="AZ219" s="2" t="inlineStr">
        <is>
          <t>NA</t>
        </is>
      </c>
      <c r="BA219" s="2" t="inlineStr">
        <is>
          <t>NA</t>
        </is>
      </c>
      <c r="BB219" s="2" t="inlineStr">
        <is>
          <t>NA</t>
        </is>
      </c>
      <c r="BD219" s="2" t="n">
        <v>123.2</v>
      </c>
      <c r="BE219" s="2" t="n">
        <v>47.8</v>
      </c>
      <c r="BH219" s="2" t="n">
        <v>319.7</v>
      </c>
      <c r="BK219" s="2" t="n">
        <v>249.3</v>
      </c>
      <c r="BL219" s="2" t="n">
        <v>2.8</v>
      </c>
      <c r="BM219" s="2" t="n">
        <v>571.8</v>
      </c>
      <c r="BN219" s="2" t="n">
        <v>227.9</v>
      </c>
      <c r="BQ219" s="2" t="n">
        <v>125.1</v>
      </c>
      <c r="BR219" s="2" t="n">
        <v>4.1</v>
      </c>
      <c r="BS219" s="2" t="n">
        <v>357.1</v>
      </c>
      <c r="BT219" s="2" t="inlineStr">
        <is>
          <t>NA</t>
        </is>
      </c>
      <c r="BU219" s="2" t="n">
        <v>21.3</v>
      </c>
      <c r="BV219" s="2" t="n">
        <v>383</v>
      </c>
      <c r="BW219" s="2" t="n">
        <v>106.4</v>
      </c>
      <c r="BX219" s="2" t="n">
        <v>494.6</v>
      </c>
      <c r="BY219" s="2" t="n">
        <v>61.9</v>
      </c>
      <c r="BZ219" s="2" t="n">
        <v>10.6</v>
      </c>
      <c r="CA219" s="2" t="n">
        <v>72.5</v>
      </c>
      <c r="CF219" s="2" t="n">
        <v>122.7</v>
      </c>
      <c r="CG219" s="2" t="n">
        <v>187.9</v>
      </c>
      <c r="CH219" s="2" t="n">
        <v>25.6</v>
      </c>
      <c r="CN219" s="2" t="n">
        <v>34.7</v>
      </c>
      <c r="CO219" s="2" t="n">
        <v>162.1</v>
      </c>
      <c r="CP219" s="2" t="n">
        <v>102.9</v>
      </c>
      <c r="CQ219" s="2" t="n">
        <v>59.2</v>
      </c>
      <c r="CR219" s="2" t="inlineStr">
        <is>
          <t>NA</t>
        </is>
      </c>
      <c r="CS219" s="2" t="n">
        <v>38.6</v>
      </c>
      <c r="CT219" s="2" t="n">
        <v>23</v>
      </c>
      <c r="CU219" s="2" t="n">
        <v>15.6</v>
      </c>
      <c r="CV219" s="2" t="n">
        <v>48.3</v>
      </c>
      <c r="CW219" s="2" t="n">
        <v>10.3</v>
      </c>
      <c r="CX219" s="2" t="n">
        <v>38</v>
      </c>
      <c r="CY219" s="2" t="inlineStr">
        <is>
          <t>NA</t>
        </is>
      </c>
      <c r="CZ219" s="2" t="n">
        <v>48</v>
      </c>
      <c r="DA219" s="2" t="n">
        <v>37.9</v>
      </c>
      <c r="DB219" s="2" t="n">
        <v>36.5</v>
      </c>
      <c r="DC219" s="2" t="n">
        <v>1.4</v>
      </c>
      <c r="DG219" s="2" t="n">
        <v>148.145</v>
      </c>
      <c r="DI219" s="2" t="n">
        <v>735.819</v>
      </c>
      <c r="DJ219" s="2" t="n">
        <v>313.754</v>
      </c>
      <c r="DL219" s="2" t="n">
        <v>165.212</v>
      </c>
      <c r="DM219" s="2" t="n">
        <v>268.95</v>
      </c>
      <c r="DO219" s="2" t="n">
        <v>249.846</v>
      </c>
      <c r="DP219" s="2" t="n">
        <v>330.354</v>
      </c>
      <c r="DS219" s="2" t="n">
        <v>1067.686</v>
      </c>
      <c r="DT219" s="2" t="n">
        <v>4213.127</v>
      </c>
      <c r="DU219" s="2" t="n">
        <v>-1081.506</v>
      </c>
      <c r="DV219" s="2" t="n">
        <v>-53.27299999999923</v>
      </c>
      <c r="GY219" s="2" t="n">
        <v>0.9610315186246419</v>
      </c>
      <c r="GZ219" s="2" t="n">
        <v>1173.9</v>
      </c>
      <c r="HA219" s="2" t="n">
        <v>1221.5</v>
      </c>
      <c r="HF219" s="2" t="n">
        <v>1132.8</v>
      </c>
      <c r="HG219" s="2" t="n">
        <v>1099.4</v>
      </c>
      <c r="HH219" s="2" t="n">
        <v>419.8</v>
      </c>
      <c r="HI219" s="2" t="n">
        <v>156.6</v>
      </c>
      <c r="HJ219" s="2" t="n">
        <v>517.8</v>
      </c>
      <c r="HK219" s="2" t="n">
        <v>5.2</v>
      </c>
      <c r="HL219" s="2" t="n">
        <v>33.4</v>
      </c>
      <c r="HP219" s="2" t="e">
        <v>#VALUE!</v>
      </c>
      <c r="HQ219" s="2" t="n">
        <v>5.1</v>
      </c>
      <c r="HR219" s="2" t="n">
        <v>11.8</v>
      </c>
      <c r="HS219" s="2" t="e">
        <v>#VALUE!</v>
      </c>
      <c r="HT219" s="2" t="e">
        <v>#VALUE!</v>
      </c>
      <c r="HW219" s="2" t="n">
        <v>322.4</v>
      </c>
      <c r="HX219" s="2" t="e">
        <v>#VALUE!</v>
      </c>
      <c r="HY219" s="2" t="n">
        <v>322.4</v>
      </c>
      <c r="HZ219" s="2" t="n">
        <v>55.4</v>
      </c>
      <c r="IA219" s="2" t="n">
        <v>230</v>
      </c>
      <c r="IB219" s="2" t="e">
        <v>#VALUE!</v>
      </c>
      <c r="IC219" s="2" t="e">
        <v>#VALUE!</v>
      </c>
      <c r="ID219" s="2" t="e">
        <v>#VALUE!</v>
      </c>
      <c r="IE219" s="2" t="e">
        <v>#VALUE!</v>
      </c>
      <c r="IF219" s="2" t="n">
        <v>8</v>
      </c>
      <c r="IG219" s="2" t="n">
        <v>24.5</v>
      </c>
      <c r="IN219" s="2" t="n">
        <v>48.3</v>
      </c>
      <c r="IO219" s="2" t="n">
        <v>49.8</v>
      </c>
      <c r="IP219" s="2" t="e">
        <v>#VALUE!</v>
      </c>
      <c r="IQ219" s="2" t="n">
        <v>35.3</v>
      </c>
      <c r="IR219" s="2" t="n">
        <v>19.8</v>
      </c>
      <c r="IS219" s="2" t="e">
        <v>#VALUE!</v>
      </c>
      <c r="IT219" s="2" t="n">
        <v>13.7</v>
      </c>
      <c r="IU219" s="2" t="e">
        <v>#VALUE!</v>
      </c>
      <c r="IV219" s="2" t="e">
        <v>#VALUE!</v>
      </c>
      <c r="IY219" s="2" t="n">
        <v>47.0279392462029</v>
      </c>
      <c r="IZ219" s="2" t="n">
        <v>-0.1320607537970986</v>
      </c>
      <c r="JB219" s="2" t="n">
        <v>11.18460528783049</v>
      </c>
      <c r="JC219" s="2" t="n">
        <v>-0.04539471216950908</v>
      </c>
      <c r="JE219" s="2" t="n">
        <v>1525.6</v>
      </c>
      <c r="JF219" s="2" t="n">
        <v>0.8264433665443104</v>
      </c>
    </row>
    <row r="220">
      <c r="A220" s="1" t="n">
        <v>35735</v>
      </c>
      <c r="B220" s="2" t="n">
        <v>4283.8</v>
      </c>
      <c r="C220" s="2" t="n">
        <v>3728.9</v>
      </c>
      <c r="D220" s="2" t="n">
        <v>374.5</v>
      </c>
      <c r="E220" s="2" t="n">
        <v>2275.7</v>
      </c>
      <c r="F220" s="2" t="n">
        <v>14</v>
      </c>
      <c r="G220" s="2" t="inlineStr">
        <is>
          <t>NA</t>
        </is>
      </c>
      <c r="H220" s="2" t="inlineStr">
        <is>
          <t>NA</t>
        </is>
      </c>
      <c r="I220" s="2" t="inlineStr">
        <is>
          <t>NA</t>
        </is>
      </c>
      <c r="J220" s="2" t="inlineStr">
        <is>
          <t>NA</t>
        </is>
      </c>
      <c r="K220" s="2" t="n">
        <v>1579.9</v>
      </c>
      <c r="L220" s="2" t="n">
        <v>1525.5</v>
      </c>
      <c r="M220" s="2" t="n">
        <v>1303.6</v>
      </c>
      <c r="N220" s="2" t="n">
        <v>221.9</v>
      </c>
      <c r="O220" s="2" t="n">
        <v>120.3</v>
      </c>
      <c r="P220" s="2" t="n">
        <v>86.40000000000001</v>
      </c>
      <c r="Q220" s="2" t="n">
        <v>23.9</v>
      </c>
      <c r="R220" s="2" t="n">
        <v>62.5</v>
      </c>
      <c r="T220" s="2" t="n">
        <v>11.6</v>
      </c>
      <c r="U220" s="2" t="n">
        <v>41.9</v>
      </c>
      <c r="V220" s="2" t="n">
        <v>38.4</v>
      </c>
      <c r="W220" s="2" t="n">
        <v>3.5</v>
      </c>
      <c r="X220" s="2" t="inlineStr">
        <is>
          <t>NA</t>
        </is>
      </c>
      <c r="Y220" s="2" t="inlineStr">
        <is>
          <t>NA</t>
        </is>
      </c>
      <c r="Z220" s="2" t="n">
        <v>140.2</v>
      </c>
      <c r="AA220" s="2" t="n">
        <v>135.7</v>
      </c>
      <c r="AB220" s="2" t="n">
        <v>4.5</v>
      </c>
      <c r="AC220" s="2" t="inlineStr">
        <is>
          <t>NA</t>
        </is>
      </c>
      <c r="AD220" s="2" t="n">
        <v>23.5</v>
      </c>
      <c r="AF220" s="2" t="n">
        <v>64.59999999999999</v>
      </c>
      <c r="AG220" s="2" t="n">
        <v>47.1</v>
      </c>
      <c r="AH220" s="2" t="n">
        <v>17.5</v>
      </c>
      <c r="AI220" s="2" t="n">
        <v>207.5</v>
      </c>
      <c r="AL220" s="2" t="n">
        <v>126.8</v>
      </c>
      <c r="AM220" s="2" t="n">
        <v>104.9</v>
      </c>
      <c r="AN220" s="2" t="n">
        <v>21.9</v>
      </c>
      <c r="AO220" s="2" t="n">
        <v>3155.7</v>
      </c>
      <c r="AP220" s="2" t="n">
        <v>354.2</v>
      </c>
      <c r="AQ220" s="2" t="n">
        <v>234.9</v>
      </c>
      <c r="AR220" s="2" t="n">
        <v>58</v>
      </c>
      <c r="AS220" s="2" t="n">
        <v>168.7</v>
      </c>
      <c r="AT220" s="2" t="n">
        <v>42</v>
      </c>
      <c r="AU220" s="2" t="n">
        <v>103.8</v>
      </c>
      <c r="AV220" s="2" t="n">
        <v>34.9</v>
      </c>
      <c r="AW220" s="2" t="inlineStr">
        <is>
          <t>NA</t>
        </is>
      </c>
      <c r="AX220" s="2" t="inlineStr">
        <is>
          <t>NA</t>
        </is>
      </c>
      <c r="AY220" s="2" t="inlineStr">
        <is>
          <t>NA</t>
        </is>
      </c>
      <c r="AZ220" s="2" t="inlineStr">
        <is>
          <t>NA</t>
        </is>
      </c>
      <c r="BA220" s="2" t="inlineStr">
        <is>
          <t>NA</t>
        </is>
      </c>
      <c r="BB220" s="2" t="inlineStr">
        <is>
          <t>NA</t>
        </is>
      </c>
      <c r="BD220" s="2" t="n">
        <v>118.7</v>
      </c>
      <c r="BE220" s="2" t="n">
        <v>50.2</v>
      </c>
      <c r="BH220" s="2" t="n">
        <v>292.4</v>
      </c>
      <c r="BK220" s="2" t="n">
        <v>216.4</v>
      </c>
      <c r="BL220" s="2" t="n">
        <v>2.7</v>
      </c>
      <c r="BM220" s="2" t="n">
        <v>511.5</v>
      </c>
      <c r="BN220" s="2" t="n">
        <v>212.3</v>
      </c>
      <c r="BQ220" s="2" t="n">
        <v>125.8</v>
      </c>
      <c r="BR220" s="2" t="n">
        <v>4.2</v>
      </c>
      <c r="BS220" s="2" t="n">
        <v>342.3</v>
      </c>
      <c r="BT220" s="2" t="inlineStr">
        <is>
          <t>NA</t>
        </is>
      </c>
      <c r="BU220" s="2" t="n">
        <v>19.7</v>
      </c>
      <c r="BV220" s="2" t="n">
        <v>369.3</v>
      </c>
      <c r="BW220" s="2" t="n">
        <v>98.7</v>
      </c>
      <c r="BX220" s="2" t="n">
        <v>472.6</v>
      </c>
      <c r="BY220" s="2" t="n">
        <v>64</v>
      </c>
      <c r="BZ220" s="2" t="n">
        <v>12.6</v>
      </c>
      <c r="CA220" s="2" t="n">
        <v>76.59999999999999</v>
      </c>
      <c r="CF220" s="2" t="n">
        <v>115</v>
      </c>
      <c r="CG220" s="2" t="n">
        <v>209.7</v>
      </c>
      <c r="CH220" s="2" t="n">
        <v>34.9</v>
      </c>
      <c r="CN220" s="2" t="n">
        <v>40.1</v>
      </c>
      <c r="CO220" s="2" t="n">
        <v>194.2</v>
      </c>
      <c r="CP220" s="2" t="n">
        <v>144</v>
      </c>
      <c r="CQ220" s="2" t="n">
        <v>50.2</v>
      </c>
      <c r="CR220" s="2" t="inlineStr">
        <is>
          <t>NA</t>
        </is>
      </c>
      <c r="CS220" s="2" t="n">
        <v>40.3</v>
      </c>
      <c r="CT220" s="2" t="n">
        <v>24.6</v>
      </c>
      <c r="CU220" s="2" t="n">
        <v>15.7</v>
      </c>
      <c r="CV220" s="2" t="n">
        <v>43.9</v>
      </c>
      <c r="CW220" s="2" t="n">
        <v>10.1</v>
      </c>
      <c r="CX220" s="2" t="n">
        <v>33.8</v>
      </c>
      <c r="CY220" s="2" t="inlineStr">
        <is>
          <t>NA</t>
        </is>
      </c>
      <c r="CZ220" s="2" t="n">
        <v>53.1</v>
      </c>
      <c r="DA220" s="2" t="n">
        <v>35.2</v>
      </c>
      <c r="DB220" s="2" t="n">
        <v>33.6</v>
      </c>
      <c r="DC220" s="2" t="n">
        <v>1.6</v>
      </c>
      <c r="DG220" s="2" t="n">
        <v>147.001</v>
      </c>
      <c r="DI220" s="2" t="n">
        <v>735.212</v>
      </c>
      <c r="DJ220" s="2" t="n">
        <v>340.086</v>
      </c>
      <c r="DL220" s="2" t="n">
        <v>179.853</v>
      </c>
      <c r="DM220" s="2" t="n">
        <v>261.299</v>
      </c>
      <c r="DO220" s="2" t="n">
        <v>254.99</v>
      </c>
      <c r="DP220" s="2" t="n">
        <v>310.398</v>
      </c>
      <c r="DS220" s="2" t="n">
        <v>1066.507</v>
      </c>
      <c r="DT220" s="2" t="n">
        <v>4267.808</v>
      </c>
      <c r="DU220" s="2" t="n">
        <v>-1119.463</v>
      </c>
      <c r="DV220" s="2" t="n">
        <v>-15.99200000000019</v>
      </c>
      <c r="GY220" s="2" t="n">
        <v>0.9647088269647923</v>
      </c>
      <c r="GZ220" s="2" t="n">
        <v>1156.3</v>
      </c>
      <c r="HA220" s="2" t="n">
        <v>1198.6</v>
      </c>
      <c r="HF220" s="2" t="n">
        <v>1104.3</v>
      </c>
      <c r="HG220" s="2" t="n">
        <v>1071.6</v>
      </c>
      <c r="HH220" s="2" t="n">
        <v>377.2</v>
      </c>
      <c r="HI220" s="2" t="n">
        <v>141.9</v>
      </c>
      <c r="HJ220" s="2" t="n">
        <v>547.9</v>
      </c>
      <c r="HK220" s="2" t="n">
        <v>4.6</v>
      </c>
      <c r="HL220" s="2" t="n">
        <v>32.7</v>
      </c>
      <c r="HP220" s="2" t="e">
        <v>#VALUE!</v>
      </c>
      <c r="HQ220" s="2" t="n">
        <v>3.6</v>
      </c>
      <c r="HR220" s="2" t="n">
        <v>9.9</v>
      </c>
      <c r="HS220" s="2" t="e">
        <v>#VALUE!</v>
      </c>
      <c r="HT220" s="2" t="e">
        <v>#VALUE!</v>
      </c>
      <c r="HW220" s="2" t="n">
        <v>270.9</v>
      </c>
      <c r="HX220" s="2" t="e">
        <v>#VALUE!</v>
      </c>
      <c r="HY220" s="2" t="n">
        <v>270.9</v>
      </c>
      <c r="HZ220" s="2" t="n">
        <v>51.6</v>
      </c>
      <c r="IA220" s="2" t="n">
        <v>191</v>
      </c>
      <c r="IB220" s="2" t="e">
        <v>#VALUE!</v>
      </c>
      <c r="IC220" s="2" t="e">
        <v>#VALUE!</v>
      </c>
      <c r="ID220" s="2" t="e">
        <v>#VALUE!</v>
      </c>
      <c r="IE220" s="2" t="e">
        <v>#VALUE!</v>
      </c>
      <c r="IF220" s="2" t="n">
        <v>6.4</v>
      </c>
      <c r="IG220" s="2" t="n">
        <v>17.6</v>
      </c>
      <c r="IN220" s="2" t="n">
        <v>71</v>
      </c>
      <c r="IO220" s="2" t="n">
        <v>73.09999999999999</v>
      </c>
      <c r="IP220" s="2" t="e">
        <v>#VALUE!</v>
      </c>
      <c r="IQ220" s="2" t="n">
        <v>37.4</v>
      </c>
      <c r="IR220" s="2" t="n">
        <v>18.6</v>
      </c>
      <c r="IS220" s="2" t="e">
        <v>#VALUE!</v>
      </c>
      <c r="IT220" s="2" t="n">
        <v>17.3</v>
      </c>
      <c r="IU220" s="2" t="e">
        <v>#VALUE!</v>
      </c>
      <c r="IV220" s="2" t="e">
        <v>#VALUE!</v>
      </c>
      <c r="IY220" s="2" t="n">
        <v>47.48961202670525</v>
      </c>
      <c r="IZ220" s="2" t="n">
        <v>0.149612026705249</v>
      </c>
      <c r="JB220" s="2" t="n">
        <v>11.06424202810589</v>
      </c>
      <c r="JC220" s="2" t="n">
        <v>-0.04575797189411368</v>
      </c>
      <c r="JE220" s="2" t="n">
        <v>1525.5</v>
      </c>
      <c r="JF220" s="2" t="n">
        <v>0.7972743362831858</v>
      </c>
    </row>
    <row r="221">
      <c r="A221" s="1" t="n">
        <v>35765</v>
      </c>
      <c r="B221" s="2" t="n">
        <v>4591.8</v>
      </c>
      <c r="C221" s="2" t="n">
        <v>3308.1</v>
      </c>
      <c r="D221" s="2" t="n">
        <v>381.3</v>
      </c>
      <c r="E221" s="2" t="n">
        <v>2470.6</v>
      </c>
      <c r="F221" s="2" t="n">
        <v>17.2</v>
      </c>
      <c r="G221" s="2" t="inlineStr">
        <is>
          <t>NA</t>
        </is>
      </c>
      <c r="H221" s="2" t="inlineStr">
        <is>
          <t>NA</t>
        </is>
      </c>
      <c r="I221" s="2" t="inlineStr">
        <is>
          <t>NA</t>
        </is>
      </c>
      <c r="J221" s="2" t="inlineStr">
        <is>
          <t>NA</t>
        </is>
      </c>
      <c r="K221" s="2" t="n">
        <v>1689.3</v>
      </c>
      <c r="L221" s="2" t="n">
        <v>1679.6</v>
      </c>
      <c r="M221" s="2" t="n">
        <v>1439.8</v>
      </c>
      <c r="N221" s="2" t="n">
        <v>239.8</v>
      </c>
      <c r="O221" s="2" t="n">
        <v>119.6</v>
      </c>
      <c r="P221" s="2" t="n">
        <v>105.3</v>
      </c>
      <c r="Q221" s="2" t="n">
        <v>25.1</v>
      </c>
      <c r="R221" s="2" t="n">
        <v>80.2</v>
      </c>
      <c r="T221" s="2" t="n">
        <v>14</v>
      </c>
      <c r="U221" s="2" t="n">
        <v>45.6</v>
      </c>
      <c r="V221" s="2" t="n">
        <v>42.6</v>
      </c>
      <c r="W221" s="2" t="n">
        <v>3</v>
      </c>
      <c r="X221" s="2" t="inlineStr">
        <is>
          <t>NA</t>
        </is>
      </c>
      <c r="Y221" s="2" t="inlineStr">
        <is>
          <t>NA</t>
        </is>
      </c>
      <c r="Z221" s="2" t="n">
        <v>33.3</v>
      </c>
      <c r="AA221" s="2" t="n">
        <v>31.5</v>
      </c>
      <c r="AB221" s="2" t="n">
        <v>1.8</v>
      </c>
      <c r="AC221" s="2" t="inlineStr">
        <is>
          <t>NA</t>
        </is>
      </c>
      <c r="AD221" s="2" t="n">
        <v>21.6</v>
      </c>
      <c r="AF221" s="2" t="n">
        <v>65.2</v>
      </c>
      <c r="AG221" s="2" t="n">
        <v>44.2</v>
      </c>
      <c r="AH221" s="2" t="n">
        <v>21</v>
      </c>
      <c r="AI221" s="2" t="n">
        <v>202</v>
      </c>
      <c r="AL221" s="2" t="n">
        <v>204.9</v>
      </c>
      <c r="AM221" s="2" t="n">
        <v>119.5</v>
      </c>
      <c r="AN221" s="2" t="n">
        <v>85.40000000000001</v>
      </c>
      <c r="AO221" s="2" t="n">
        <v>3382.5</v>
      </c>
      <c r="AP221" s="2" t="n">
        <v>223.5</v>
      </c>
      <c r="AQ221" s="2" t="n">
        <v>241.7</v>
      </c>
      <c r="AR221" s="2" t="n">
        <v>38.5</v>
      </c>
      <c r="AS221" s="2" t="n">
        <v>178.2</v>
      </c>
      <c r="AT221" s="2" t="n">
        <v>37.3</v>
      </c>
      <c r="AU221" s="2" t="n">
        <v>105</v>
      </c>
      <c r="AV221" s="2" t="n">
        <v>37.8</v>
      </c>
      <c r="AW221" s="2" t="inlineStr">
        <is>
          <t>NA</t>
        </is>
      </c>
      <c r="AX221" s="2" t="inlineStr">
        <is>
          <t>NA</t>
        </is>
      </c>
      <c r="AY221" s="2" t="inlineStr">
        <is>
          <t>NA</t>
        </is>
      </c>
      <c r="AZ221" s="2" t="inlineStr">
        <is>
          <t>NA</t>
        </is>
      </c>
      <c r="BA221" s="2" t="inlineStr">
        <is>
          <t>NA</t>
        </is>
      </c>
      <c r="BB221" s="2" t="inlineStr">
        <is>
          <t>NA</t>
        </is>
      </c>
      <c r="BD221" s="2" t="n">
        <v>123.9</v>
      </c>
      <c r="BE221" s="2" t="n">
        <v>51.8</v>
      </c>
      <c r="BH221" s="2" t="n">
        <v>297.3</v>
      </c>
      <c r="BK221" s="2" t="n">
        <v>246.3</v>
      </c>
      <c r="BL221" s="2" t="n">
        <v>2.8</v>
      </c>
      <c r="BM221" s="2" t="n">
        <v>546.4</v>
      </c>
      <c r="BN221" s="2" t="n">
        <v>221.4</v>
      </c>
      <c r="BQ221" s="2" t="n">
        <v>113.6</v>
      </c>
      <c r="BR221" s="2" t="n">
        <v>4.1</v>
      </c>
      <c r="BS221" s="2" t="n">
        <v>339.1</v>
      </c>
      <c r="BT221" s="2" t="inlineStr">
        <is>
          <t>NA</t>
        </is>
      </c>
      <c r="BU221" s="2" t="n">
        <v>27.1</v>
      </c>
      <c r="BV221" s="2" t="n">
        <v>388.7</v>
      </c>
      <c r="BW221" s="2" t="n">
        <v>105.3</v>
      </c>
      <c r="BX221" s="2" t="n">
        <v>498.7</v>
      </c>
      <c r="BY221" s="2" t="n">
        <v>53.2</v>
      </c>
      <c r="BZ221" s="2" t="n">
        <v>12.7</v>
      </c>
      <c r="CA221" s="2" t="n">
        <v>65.90000000000001</v>
      </c>
      <c r="CF221" s="2" t="n">
        <v>135.4</v>
      </c>
      <c r="CG221" s="2" t="n">
        <v>293.6</v>
      </c>
      <c r="CH221" s="2" t="n">
        <v>31.6</v>
      </c>
      <c r="CN221" s="2" t="n">
        <v>38.5</v>
      </c>
      <c r="CO221" s="2" t="n">
        <v>274.2</v>
      </c>
      <c r="CP221" s="2" t="n">
        <v>221.9</v>
      </c>
      <c r="CQ221" s="2" t="n">
        <v>52.3</v>
      </c>
      <c r="CR221" s="2" t="inlineStr">
        <is>
          <t>NA</t>
        </is>
      </c>
      <c r="CS221" s="2" t="n">
        <v>40.9</v>
      </c>
      <c r="CT221" s="2" t="n">
        <v>23.7</v>
      </c>
      <c r="CU221" s="2" t="n">
        <v>17.2</v>
      </c>
      <c r="CV221" s="2" t="n">
        <v>64.09999999999999</v>
      </c>
      <c r="CW221" s="2" t="n">
        <v>12.7</v>
      </c>
      <c r="CX221" s="2" t="n">
        <v>51.4</v>
      </c>
      <c r="CY221" s="2" t="inlineStr">
        <is>
          <t>NA</t>
        </is>
      </c>
      <c r="CZ221" s="2" t="n">
        <v>61.3</v>
      </c>
      <c r="DA221" s="2" t="n">
        <v>33.3</v>
      </c>
      <c r="DB221" s="2" t="n">
        <v>31.5</v>
      </c>
      <c r="DC221" s="2" t="n">
        <v>1.8</v>
      </c>
      <c r="DG221" s="2" t="n">
        <v>161.905</v>
      </c>
      <c r="DI221" s="2" t="n">
        <v>811.192</v>
      </c>
      <c r="DJ221" s="2" t="n">
        <v>372.96</v>
      </c>
      <c r="DL221" s="2" t="n">
        <v>190.93</v>
      </c>
      <c r="DM221" s="2" t="n">
        <v>281.655</v>
      </c>
      <c r="DO221" s="2" t="n">
        <v>268.877</v>
      </c>
      <c r="DP221" s="2" t="n">
        <v>326.513</v>
      </c>
      <c r="DS221" s="2" t="n">
        <v>1140.276</v>
      </c>
      <c r="DT221" s="2" t="n">
        <v>4591.8</v>
      </c>
      <c r="DU221" s="2" t="n">
        <v>-1199.397</v>
      </c>
      <c r="DV221" s="2" t="n">
        <v>0</v>
      </c>
      <c r="GY221" s="2" t="n">
        <v>0.9617917172067232</v>
      </c>
      <c r="GZ221" s="2" t="n">
        <v>1110.1</v>
      </c>
      <c r="HA221" s="2" t="n">
        <v>1154.2</v>
      </c>
      <c r="HF221" s="2" t="n">
        <v>1092.1</v>
      </c>
      <c r="HG221" s="2" t="n">
        <v>1054.9</v>
      </c>
      <c r="HH221" s="2" t="n">
        <v>369.9</v>
      </c>
      <c r="HI221" s="2" t="n">
        <v>154.6</v>
      </c>
      <c r="HJ221" s="2" t="n">
        <v>525.6</v>
      </c>
      <c r="HK221" s="2" t="n">
        <v>4.8</v>
      </c>
      <c r="HL221" s="2" t="n">
        <v>37.2</v>
      </c>
      <c r="HP221" s="2" t="e">
        <v>#VALUE!</v>
      </c>
      <c r="HQ221" s="2" t="n">
        <v>3.2</v>
      </c>
      <c r="HR221" s="2" t="n">
        <v>9.800000000000001</v>
      </c>
      <c r="HS221" s="2" t="e">
        <v>#VALUE!</v>
      </c>
      <c r="HT221" s="2" t="e">
        <v>#VALUE!</v>
      </c>
      <c r="HW221" s="2" t="n">
        <v>288.6</v>
      </c>
      <c r="HX221" s="2" t="e">
        <v>#VALUE!</v>
      </c>
      <c r="HY221" s="2" t="n">
        <v>288.6</v>
      </c>
      <c r="HZ221" s="2" t="n">
        <v>36.8</v>
      </c>
      <c r="IA221" s="2" t="n">
        <v>220.1</v>
      </c>
      <c r="IB221" s="2" t="e">
        <v>#VALUE!</v>
      </c>
      <c r="IC221" s="2" t="e">
        <v>#VALUE!</v>
      </c>
      <c r="ID221" s="2" t="e">
        <v>#VALUE!</v>
      </c>
      <c r="IE221" s="2" t="e">
        <v>#VALUE!</v>
      </c>
      <c r="IF221" s="2" t="n">
        <v>6.6</v>
      </c>
      <c r="IG221" s="2" t="n">
        <v>19</v>
      </c>
      <c r="IN221" s="2" t="n">
        <v>74.8</v>
      </c>
      <c r="IO221" s="2" t="n">
        <v>7.2</v>
      </c>
      <c r="IP221" s="2" t="e">
        <v>#VALUE!</v>
      </c>
      <c r="IQ221" s="2" t="n">
        <v>34</v>
      </c>
      <c r="IR221" s="2" t="n">
        <v>17.4</v>
      </c>
      <c r="IS221" s="2" t="e">
        <v>#VALUE!</v>
      </c>
      <c r="IT221" s="2" t="n">
        <v>15.2</v>
      </c>
      <c r="IU221" s="2" t="e">
        <v>#VALUE!</v>
      </c>
      <c r="IV221" s="2" t="e">
        <v>#VALUE!</v>
      </c>
      <c r="IY221" s="2" t="n">
        <v>47.35659218607082</v>
      </c>
      <c r="IZ221" s="2" t="n">
        <v>0.1165921860708181</v>
      </c>
      <c r="JB221" s="2" t="n">
        <v>11.03684829478636</v>
      </c>
      <c r="JC221" s="2" t="n">
        <v>-0.07315170521364145</v>
      </c>
      <c r="JE221" s="2" t="n">
        <v>1679.6</v>
      </c>
      <c r="JF221" s="2" t="n">
        <v>0.7877518456775423</v>
      </c>
    </row>
    <row r="222">
      <c r="A222" s="1" t="n">
        <v>35796</v>
      </c>
      <c r="B222" s="2" t="n">
        <v>4552.9</v>
      </c>
      <c r="C222" s="2" t="n">
        <v>3015</v>
      </c>
      <c r="D222" s="2" t="n">
        <v>428.4</v>
      </c>
      <c r="E222" s="2" t="n">
        <v>2212.7</v>
      </c>
      <c r="F222" s="2" t="n">
        <v>19.4</v>
      </c>
      <c r="G222" s="2" t="inlineStr">
        <is>
          <t>NA</t>
        </is>
      </c>
      <c r="H222" s="2" t="inlineStr">
        <is>
          <t>NA</t>
        </is>
      </c>
      <c r="I222" s="2" t="inlineStr">
        <is>
          <t>NA</t>
        </is>
      </c>
      <c r="J222" s="2" t="inlineStr">
        <is>
          <t>NA</t>
        </is>
      </c>
      <c r="K222" s="2" t="n">
        <v>1684.3</v>
      </c>
      <c r="L222" s="2" t="n">
        <v>1787.9</v>
      </c>
      <c r="M222" s="2" t="n">
        <v>1518.8</v>
      </c>
      <c r="N222" s="2" t="n">
        <v>269.1</v>
      </c>
      <c r="O222" s="2" t="n">
        <v>136.4</v>
      </c>
      <c r="P222" s="2" t="n">
        <v>133.8</v>
      </c>
      <c r="Q222" s="2" t="n">
        <v>27.8</v>
      </c>
      <c r="R222" s="2" t="n">
        <v>106</v>
      </c>
      <c r="T222" s="2" t="n">
        <v>16</v>
      </c>
      <c r="U222" s="2" t="n">
        <v>34.4</v>
      </c>
      <c r="V222" s="2" t="n">
        <v>31.2</v>
      </c>
      <c r="W222" s="2" t="n">
        <v>3.2</v>
      </c>
      <c r="X222" s="2" t="inlineStr">
        <is>
          <t>NA</t>
        </is>
      </c>
      <c r="Y222" s="2" t="inlineStr">
        <is>
          <t>NA</t>
        </is>
      </c>
      <c r="Z222" s="2" t="n">
        <v>81.80000000000001</v>
      </c>
      <c r="AA222" s="2" t="n">
        <v>75.90000000000001</v>
      </c>
      <c r="AB222" s="2" t="n">
        <v>5.9</v>
      </c>
      <c r="AC222" s="2" t="inlineStr">
        <is>
          <t>NA</t>
        </is>
      </c>
      <c r="AD222" s="2" t="n">
        <v>25.8</v>
      </c>
      <c r="AF222" s="2" t="n">
        <v>74.40000000000001</v>
      </c>
      <c r="AG222" s="2" t="n">
        <v>47.2</v>
      </c>
      <c r="AH222" s="2" t="n">
        <v>27.2</v>
      </c>
      <c r="AI222" s="2" t="n">
        <v>171.4</v>
      </c>
      <c r="AL222" s="2" t="n">
        <v>91.7</v>
      </c>
      <c r="AM222" s="2" t="n">
        <v>61.7</v>
      </c>
      <c r="AN222" s="2" t="n">
        <v>30</v>
      </c>
      <c r="AO222" s="2" t="n">
        <v>3350.1</v>
      </c>
      <c r="AP222" s="2" t="n">
        <v>235.4</v>
      </c>
      <c r="AQ222" s="2" t="n">
        <v>242</v>
      </c>
      <c r="AR222" s="2" t="n">
        <v>33.5</v>
      </c>
      <c r="AS222" s="2" t="n">
        <v>194.4</v>
      </c>
      <c r="AT222" s="2" t="n">
        <v>55.2</v>
      </c>
      <c r="AU222" s="2" t="n">
        <v>114.7</v>
      </c>
      <c r="AV222" s="2" t="n">
        <v>47.8</v>
      </c>
      <c r="AW222" s="2" t="n">
        <v>11.2</v>
      </c>
      <c r="AX222" s="2" t="inlineStr">
        <is>
          <t>NA</t>
        </is>
      </c>
      <c r="AY222" s="2" t="inlineStr">
        <is>
          <t>NA</t>
        </is>
      </c>
      <c r="AZ222" s="2" t="inlineStr">
        <is>
          <t>NA</t>
        </is>
      </c>
      <c r="BA222" s="2" t="inlineStr">
        <is>
          <t>NA</t>
        </is>
      </c>
      <c r="BB222" s="2" t="inlineStr">
        <is>
          <t>NA</t>
        </is>
      </c>
      <c r="BD222" s="2" t="n">
        <v>114.9</v>
      </c>
      <c r="BE222" s="2" t="n">
        <v>55.3</v>
      </c>
      <c r="BH222" s="2" t="n">
        <v>293.6</v>
      </c>
      <c r="BK222" s="2" t="n">
        <v>236.2</v>
      </c>
      <c r="BL222" s="2" t="n">
        <v>2.9</v>
      </c>
      <c r="BM222" s="2" t="n">
        <v>532.6</v>
      </c>
      <c r="BN222" s="2" t="n">
        <v>247.1</v>
      </c>
      <c r="BQ222" s="2" t="n">
        <v>123.4</v>
      </c>
      <c r="BR222" s="2" t="n">
        <v>4.4</v>
      </c>
      <c r="BS222" s="2" t="n">
        <v>374.9</v>
      </c>
      <c r="BT222" s="2" t="inlineStr">
        <is>
          <t>NA</t>
        </is>
      </c>
      <c r="BU222" s="2" t="n">
        <v>30.1</v>
      </c>
      <c r="BV222" s="2" t="n">
        <v>369</v>
      </c>
      <c r="BW222" s="2" t="n">
        <v>106.4</v>
      </c>
      <c r="BX222" s="2" t="n">
        <v>477.6</v>
      </c>
      <c r="BY222" s="2" t="n">
        <v>66.5</v>
      </c>
      <c r="BZ222" s="2" t="n">
        <v>14.5</v>
      </c>
      <c r="CA222" s="2" t="n">
        <v>81</v>
      </c>
      <c r="CF222" s="2" t="n">
        <v>137.7</v>
      </c>
      <c r="CG222" s="2" t="n">
        <v>202.8</v>
      </c>
      <c r="CH222" s="2" t="n">
        <v>30.4</v>
      </c>
      <c r="CN222" s="2" t="n">
        <v>30.3</v>
      </c>
      <c r="CO222" s="2" t="n">
        <v>332.4</v>
      </c>
      <c r="CP222" s="2" t="n">
        <v>297.3</v>
      </c>
      <c r="CQ222" s="2" t="n">
        <v>35.1</v>
      </c>
      <c r="CR222" s="2" t="inlineStr">
        <is>
          <t>NA</t>
        </is>
      </c>
      <c r="CS222" s="2" t="n">
        <v>60.8</v>
      </c>
      <c r="CT222" s="2" t="n">
        <v>38.6</v>
      </c>
      <c r="CU222" s="2" t="n">
        <v>22.2</v>
      </c>
      <c r="CV222" s="2" t="n">
        <v>55.9</v>
      </c>
      <c r="CW222" s="2" t="n">
        <v>10</v>
      </c>
      <c r="CX222" s="2" t="n">
        <v>45.9</v>
      </c>
      <c r="CY222" s="2" t="inlineStr">
        <is>
          <t>NA</t>
        </is>
      </c>
      <c r="CZ222" s="2" t="n">
        <v>59.6</v>
      </c>
      <c r="DA222" s="2" t="n">
        <v>31.5</v>
      </c>
      <c r="DB222" s="2" t="n">
        <v>29.1</v>
      </c>
      <c r="DC222" s="2" t="n">
        <v>2.4</v>
      </c>
      <c r="DG222" s="2" t="n">
        <v>153.905</v>
      </c>
      <c r="DI222" s="2" t="n">
        <v>809.527</v>
      </c>
      <c r="DJ222" s="2" t="n">
        <v>372.346</v>
      </c>
      <c r="DL222" s="2" t="n">
        <v>185.525</v>
      </c>
      <c r="DM222" s="2" t="n">
        <v>281.05</v>
      </c>
      <c r="DO222" s="2" t="n">
        <v>267.28</v>
      </c>
      <c r="DP222" s="2" t="n">
        <v>318.47</v>
      </c>
      <c r="DS222" s="2" t="n">
        <v>1135.327</v>
      </c>
      <c r="DT222" s="2" t="n">
        <v>4557.36</v>
      </c>
      <c r="DU222" s="2" t="n">
        <v>-1187.834999999999</v>
      </c>
      <c r="DV222" s="2" t="n">
        <v>4.460000000000036</v>
      </c>
      <c r="GY222" s="2" t="n">
        <v>0.9632372388257074</v>
      </c>
      <c r="GZ222" s="2" t="n">
        <v>1092.6</v>
      </c>
      <c r="HA222" s="2" t="n">
        <v>1134.3</v>
      </c>
      <c r="HF222" s="2" t="n">
        <v>1049.2</v>
      </c>
      <c r="HG222" s="2" t="n">
        <v>1002.4</v>
      </c>
      <c r="HH222" s="2" t="n">
        <v>349.2</v>
      </c>
      <c r="HI222" s="2" t="n">
        <v>124.9</v>
      </c>
      <c r="HJ222" s="2" t="n">
        <v>523.4</v>
      </c>
      <c r="HK222" s="2" t="n">
        <v>5</v>
      </c>
      <c r="HL222" s="2" t="n">
        <v>46.7</v>
      </c>
      <c r="HP222" s="2" t="e">
        <v>#VALUE!</v>
      </c>
      <c r="HQ222" s="2" t="n">
        <v>3.2</v>
      </c>
      <c r="HR222" s="2" t="n">
        <v>9</v>
      </c>
      <c r="HS222" s="2" t="e">
        <v>#VALUE!</v>
      </c>
      <c r="HT222" s="2" t="n">
        <v>30.4</v>
      </c>
      <c r="HW222" s="2" t="n">
        <v>271.9</v>
      </c>
      <c r="HX222" s="2" t="e">
        <v>#VALUE!</v>
      </c>
      <c r="HY222" s="2" t="n">
        <v>271.9</v>
      </c>
      <c r="HZ222" s="2" t="n">
        <v>54.4</v>
      </c>
      <c r="IA222" s="2" t="n">
        <v>183.6</v>
      </c>
      <c r="IB222" s="2" t="n">
        <v>54.6</v>
      </c>
      <c r="IC222" s="2" t="n">
        <v>129</v>
      </c>
      <c r="ID222" s="2" t="e">
        <v>#VALUE!</v>
      </c>
      <c r="IE222" s="2" t="e">
        <v>#VALUE!</v>
      </c>
      <c r="IF222" s="2" t="n">
        <v>6.7</v>
      </c>
      <c r="IG222" s="2" t="n">
        <v>21.1</v>
      </c>
      <c r="IN222" s="2" t="n">
        <v>82.2</v>
      </c>
      <c r="IO222" s="2" t="n">
        <v>85</v>
      </c>
      <c r="IP222" s="2" t="e">
        <v>#VALUE!</v>
      </c>
      <c r="IQ222" s="2" t="n">
        <v>34.9</v>
      </c>
      <c r="IR222" s="2" t="n">
        <v>16.3</v>
      </c>
      <c r="IS222" s="2" t="e">
        <v>#VALUE!</v>
      </c>
      <c r="IT222" s="2" t="n">
        <v>17.6</v>
      </c>
      <c r="IU222" s="2" t="e">
        <v>#VALUE!</v>
      </c>
      <c r="IV222" s="2" t="e">
        <v>#VALUE!</v>
      </c>
      <c r="IY222" s="2" t="n">
        <v>47.33818006105999</v>
      </c>
      <c r="IZ222" s="2" t="n">
        <v>-0.001819938940016641</v>
      </c>
      <c r="JB222" s="2" t="n">
        <v>11.098201146522</v>
      </c>
      <c r="JC222" s="2" t="n">
        <v>-0.09179885347800187</v>
      </c>
      <c r="JE222" s="2" t="n">
        <v>1787.9</v>
      </c>
      <c r="JF222" s="2" t="n">
        <v>0.8227255439342245</v>
      </c>
    </row>
    <row r="223">
      <c r="A223" s="1" t="n">
        <v>35827</v>
      </c>
      <c r="B223" s="2" t="n">
        <v>4147.6</v>
      </c>
      <c r="C223" s="2" t="n">
        <v>2802.3</v>
      </c>
      <c r="D223" s="2" t="n">
        <v>352.3</v>
      </c>
      <c r="E223" s="2" t="n">
        <v>1990.6</v>
      </c>
      <c r="F223" s="2" t="n">
        <v>17.6</v>
      </c>
      <c r="G223" s="2" t="inlineStr">
        <is>
          <t>NA</t>
        </is>
      </c>
      <c r="H223" s="2" t="inlineStr">
        <is>
          <t>NA</t>
        </is>
      </c>
      <c r="I223" s="2" t="inlineStr">
        <is>
          <t>NA</t>
        </is>
      </c>
      <c r="J223" s="2" t="inlineStr">
        <is>
          <t>NA</t>
        </is>
      </c>
      <c r="K223" s="2" t="n">
        <v>1557.6</v>
      </c>
      <c r="L223" s="2" t="n">
        <v>1711.2</v>
      </c>
      <c r="M223" s="2" t="n">
        <v>1459.1</v>
      </c>
      <c r="N223" s="2" t="n">
        <v>252.1</v>
      </c>
      <c r="O223" s="2" t="n">
        <v>111.1</v>
      </c>
      <c r="P223" s="2" t="n">
        <v>141.3</v>
      </c>
      <c r="Q223" s="2" t="n">
        <v>35.6</v>
      </c>
      <c r="R223" s="2" t="n">
        <v>105.7</v>
      </c>
      <c r="T223" s="2" t="n">
        <v>14.5</v>
      </c>
      <c r="U223" s="2" t="n">
        <v>37.5</v>
      </c>
      <c r="V223" s="2" t="n">
        <v>33</v>
      </c>
      <c r="W223" s="2" t="n">
        <v>4.5</v>
      </c>
      <c r="X223" s="2" t="inlineStr">
        <is>
          <t>NA</t>
        </is>
      </c>
      <c r="Y223" s="2" t="inlineStr">
        <is>
          <t>NA</t>
        </is>
      </c>
      <c r="Z223" s="2" t="n">
        <v>91.2</v>
      </c>
      <c r="AA223" s="2" t="n">
        <v>86.2</v>
      </c>
      <c r="AB223" s="2" t="n">
        <v>5</v>
      </c>
      <c r="AC223" s="2" t="inlineStr">
        <is>
          <t>NA</t>
        </is>
      </c>
      <c r="AD223" s="2" t="n">
        <v>21.1</v>
      </c>
      <c r="AF223" s="2" t="n">
        <v>100.2</v>
      </c>
      <c r="AG223" s="2" t="n">
        <v>69.90000000000001</v>
      </c>
      <c r="AH223" s="2" t="n">
        <v>30.3</v>
      </c>
      <c r="AI223" s="2" t="n">
        <v>162.7</v>
      </c>
      <c r="AL223" s="2" t="n">
        <v>87.40000000000001</v>
      </c>
      <c r="AM223" s="2" t="n">
        <v>58.5</v>
      </c>
      <c r="AN223" s="2" t="n">
        <v>28.9</v>
      </c>
      <c r="AO223" s="2" t="n">
        <v>3058.3</v>
      </c>
      <c r="AP223" s="2" t="n">
        <v>244.9</v>
      </c>
      <c r="AQ223" s="2" t="n">
        <v>220.9</v>
      </c>
      <c r="AR223" s="2" t="n">
        <v>35.8</v>
      </c>
      <c r="AS223" s="2" t="n">
        <v>158.5</v>
      </c>
      <c r="AT223" s="2" t="n">
        <v>66.3</v>
      </c>
      <c r="AU223" s="2" t="n">
        <v>90.8</v>
      </c>
      <c r="AV223" s="2" t="n">
        <v>42.7</v>
      </c>
      <c r="AW223" s="2" t="n">
        <v>10</v>
      </c>
      <c r="AX223" s="2" t="inlineStr">
        <is>
          <t>NA</t>
        </is>
      </c>
      <c r="AY223" s="2" t="inlineStr">
        <is>
          <t>NA</t>
        </is>
      </c>
      <c r="AZ223" s="2" t="inlineStr">
        <is>
          <t>NA</t>
        </is>
      </c>
      <c r="BA223" s="2" t="inlineStr">
        <is>
          <t>NA</t>
        </is>
      </c>
      <c r="BB223" s="2" t="inlineStr">
        <is>
          <t>NA</t>
        </is>
      </c>
      <c r="BD223" s="2" t="n">
        <v>117</v>
      </c>
      <c r="BE223" s="2" t="n">
        <v>48.8</v>
      </c>
      <c r="BH223" s="2" t="n">
        <v>288.1</v>
      </c>
      <c r="BK223" s="2" t="n">
        <v>222.7</v>
      </c>
      <c r="BL223" s="2" t="n">
        <v>2.5</v>
      </c>
      <c r="BM223" s="2" t="n">
        <v>513.3</v>
      </c>
      <c r="BN223" s="2" t="n">
        <v>300.8</v>
      </c>
      <c r="BQ223" s="2" t="n">
        <v>144.4</v>
      </c>
      <c r="BR223" s="2" t="n">
        <v>4.8</v>
      </c>
      <c r="BS223" s="2" t="n">
        <v>450.0000000000001</v>
      </c>
      <c r="BT223" s="2" t="inlineStr">
        <is>
          <t>NA</t>
        </is>
      </c>
      <c r="BU223" s="2" t="n">
        <v>38.3</v>
      </c>
      <c r="BV223" s="2" t="n">
        <v>334.9</v>
      </c>
      <c r="BW223" s="2" t="n">
        <v>101.1</v>
      </c>
      <c r="BX223" s="2" t="n">
        <v>439.1</v>
      </c>
      <c r="BY223" s="2" t="n">
        <v>62.2</v>
      </c>
      <c r="BZ223" s="2" t="n">
        <v>12.9</v>
      </c>
      <c r="CA223" s="2" t="n">
        <v>75.10000000000001</v>
      </c>
      <c r="CF223" s="2" t="n">
        <v>126.6</v>
      </c>
      <c r="CG223" s="2" t="n">
        <v>219.4</v>
      </c>
      <c r="CH223" s="2" t="n">
        <v>17</v>
      </c>
      <c r="CN223" s="2" t="n">
        <v>38.7</v>
      </c>
      <c r="CO223" s="2" t="n">
        <v>344.5</v>
      </c>
      <c r="CP223" s="2" t="n">
        <v>286.2</v>
      </c>
      <c r="CQ223" s="2" t="n">
        <v>58.3</v>
      </c>
      <c r="CR223" s="2" t="inlineStr">
        <is>
          <t>NA</t>
        </is>
      </c>
      <c r="CS223" s="2" t="n">
        <v>55.90000000000001</v>
      </c>
      <c r="CT223" s="2" t="n">
        <v>33.2</v>
      </c>
      <c r="CU223" s="2" t="n">
        <v>22.7</v>
      </c>
      <c r="CV223" s="2" t="n">
        <v>47.7</v>
      </c>
      <c r="CW223" s="2" t="n">
        <v>12.6</v>
      </c>
      <c r="CX223" s="2" t="n">
        <v>35.1</v>
      </c>
      <c r="CY223" s="2" t="inlineStr">
        <is>
          <t>NA</t>
        </is>
      </c>
      <c r="CZ223" s="2" t="n">
        <v>53.1</v>
      </c>
      <c r="DA223" s="2" t="n">
        <v>24.8</v>
      </c>
      <c r="DB223" s="2" t="n">
        <v>23.6</v>
      </c>
      <c r="DC223" s="2" t="n">
        <v>1.2</v>
      </c>
      <c r="DG223" s="2" t="n">
        <v>146.212</v>
      </c>
      <c r="DI223" s="2" t="n">
        <v>748.34</v>
      </c>
      <c r="DJ223" s="2" t="n">
        <v>340.425</v>
      </c>
      <c r="DL223" s="2" t="n">
        <v>170.093</v>
      </c>
      <c r="DM223" s="2" t="n">
        <v>252.201</v>
      </c>
      <c r="DO223" s="2" t="n">
        <v>231.65</v>
      </c>
      <c r="DP223" s="2" t="n">
        <v>287.691</v>
      </c>
      <c r="DS223" s="2" t="n">
        <v>1027.692</v>
      </c>
      <c r="DT223" s="2" t="n">
        <v>4147.05</v>
      </c>
      <c r="DU223" s="2" t="n">
        <v>-1088.958</v>
      </c>
      <c r="DV223" s="2" t="n">
        <v>-0.5500000000001819</v>
      </c>
      <c r="GY223" s="2" t="n">
        <v>0.9633922001471671</v>
      </c>
      <c r="GZ223" s="2" t="n">
        <v>1047.4</v>
      </c>
      <c r="HA223" s="2" t="n">
        <v>1087.2</v>
      </c>
      <c r="HF223" s="2" t="n">
        <v>1020.2</v>
      </c>
      <c r="HG223" s="2" t="n">
        <v>982.8</v>
      </c>
      <c r="HH223" s="2" t="n">
        <v>333.9</v>
      </c>
      <c r="HI223" s="2" t="n">
        <v>125.8</v>
      </c>
      <c r="HJ223" s="2" t="n">
        <v>518.9</v>
      </c>
      <c r="HK223" s="2" t="n">
        <v>4.2</v>
      </c>
      <c r="HL223" s="2" t="n">
        <v>37.4</v>
      </c>
      <c r="HP223" s="2" t="e">
        <v>#VALUE!</v>
      </c>
      <c r="HQ223" s="2" t="n">
        <v>3.7</v>
      </c>
      <c r="HR223" s="2" t="n">
        <v>7.8</v>
      </c>
      <c r="HS223" s="2" t="e">
        <v>#VALUE!</v>
      </c>
      <c r="HT223" s="2" t="n">
        <v>21.4</v>
      </c>
      <c r="HW223" s="2" t="n">
        <v>262.7</v>
      </c>
      <c r="HX223" s="2" t="e">
        <v>#VALUE!</v>
      </c>
      <c r="HY223" s="2" t="n">
        <v>262.7</v>
      </c>
      <c r="HZ223" s="2" t="n">
        <v>51</v>
      </c>
      <c r="IA223" s="2" t="n">
        <v>177.3</v>
      </c>
      <c r="IB223" s="2" t="n">
        <v>55.8</v>
      </c>
      <c r="IC223" s="2" t="n">
        <v>121.5</v>
      </c>
      <c r="ID223" s="2" t="e">
        <v>#VALUE!</v>
      </c>
      <c r="IE223" s="2" t="e">
        <v>#VALUE!</v>
      </c>
      <c r="IF223" s="2" t="n">
        <v>7.2</v>
      </c>
      <c r="IG223" s="2" t="n">
        <v>21.1</v>
      </c>
      <c r="IN223" s="2" t="n">
        <v>73.09999999999999</v>
      </c>
      <c r="IO223" s="2" t="n">
        <v>75.7</v>
      </c>
      <c r="IP223" s="2" t="e">
        <v>#VALUE!</v>
      </c>
      <c r="IQ223" s="2" t="n">
        <v>33</v>
      </c>
      <c r="IR223" s="2" t="n">
        <v>15.8</v>
      </c>
      <c r="IS223" s="2" t="e">
        <v>#VALUE!</v>
      </c>
      <c r="IT223" s="2" t="n">
        <v>15.6</v>
      </c>
      <c r="IU223" s="2" t="e">
        <v>#VALUE!</v>
      </c>
      <c r="IV223" s="2" t="e">
        <v>#VALUE!</v>
      </c>
      <c r="IY223" s="2" t="n">
        <v>47.43755424823994</v>
      </c>
      <c r="IZ223" s="2" t="n">
        <v>-0.07244575176005696</v>
      </c>
      <c r="JB223" s="2" t="n">
        <v>11.2662744719838</v>
      </c>
      <c r="JC223" s="2" t="n">
        <v>0.1862744719837952</v>
      </c>
      <c r="JE223" s="2" t="n">
        <v>1711.2</v>
      </c>
      <c r="JF223" s="2" t="n">
        <v>0.8336091631603554</v>
      </c>
    </row>
    <row r="224">
      <c r="A224" s="1" t="n">
        <v>35855</v>
      </c>
      <c r="B224" s="2" t="n">
        <v>4409.4</v>
      </c>
      <c r="C224" s="2" t="n">
        <v>2160.9</v>
      </c>
      <c r="D224" s="2" t="n">
        <v>374.8</v>
      </c>
      <c r="E224" s="2" t="n">
        <v>1626.1</v>
      </c>
      <c r="F224" s="2" t="n">
        <v>17.9</v>
      </c>
      <c r="G224" s="2" t="inlineStr">
        <is>
          <t>NA</t>
        </is>
      </c>
      <c r="H224" s="2" t="inlineStr">
        <is>
          <t>NA</t>
        </is>
      </c>
      <c r="I224" s="2" t="inlineStr">
        <is>
          <t>NA</t>
        </is>
      </c>
      <c r="J224" s="2" t="inlineStr">
        <is>
          <t>NA</t>
        </is>
      </c>
      <c r="K224" s="2" t="n">
        <v>1654.7</v>
      </c>
      <c r="L224" s="2" t="n">
        <v>1762.6</v>
      </c>
      <c r="M224" s="2" t="n">
        <v>1498.6</v>
      </c>
      <c r="N224" s="2" t="n">
        <v>264</v>
      </c>
      <c r="O224" s="2" t="n">
        <v>116.7</v>
      </c>
      <c r="P224" s="2" t="n">
        <v>140.7</v>
      </c>
      <c r="Q224" s="2" t="n">
        <v>28.4</v>
      </c>
      <c r="R224" s="2" t="n">
        <v>112.3</v>
      </c>
      <c r="T224" s="2" t="n">
        <v>14.3</v>
      </c>
      <c r="U224" s="2" t="n">
        <v>39.2</v>
      </c>
      <c r="V224" s="2" t="n">
        <v>34.7</v>
      </c>
      <c r="W224" s="2" t="n">
        <v>4.5</v>
      </c>
      <c r="X224" s="2" t="inlineStr">
        <is>
          <t>NA</t>
        </is>
      </c>
      <c r="Y224" s="2" t="n">
        <v>16.2</v>
      </c>
      <c r="Z224" s="2" t="n">
        <v>81.7</v>
      </c>
      <c r="AA224" s="2" t="n">
        <v>73.40000000000001</v>
      </c>
      <c r="AB224" s="2" t="n">
        <v>8.300000000000001</v>
      </c>
      <c r="AC224" s="2" t="inlineStr">
        <is>
          <t>NA</t>
        </is>
      </c>
      <c r="AD224" s="2" t="n">
        <v>42.1</v>
      </c>
      <c r="AF224" s="2" t="n">
        <v>110.5</v>
      </c>
      <c r="AG224" s="2" t="n">
        <v>91.8</v>
      </c>
      <c r="AH224" s="2" t="n">
        <v>18.7</v>
      </c>
      <c r="AI224" s="2" t="n">
        <v>201</v>
      </c>
      <c r="AL224" s="2" t="n">
        <v>95.8</v>
      </c>
      <c r="AM224" s="2" t="n">
        <v>58.5</v>
      </c>
      <c r="AN224" s="2" t="n">
        <v>37.3</v>
      </c>
      <c r="AO224" s="2" t="n">
        <v>3240.8</v>
      </c>
      <c r="AP224" s="2" t="n">
        <v>213.9</v>
      </c>
      <c r="AQ224" s="2" t="n">
        <v>243.2</v>
      </c>
      <c r="AR224" s="2" t="n">
        <v>24.1</v>
      </c>
      <c r="AS224" s="2" t="n">
        <v>172.7</v>
      </c>
      <c r="AT224" s="2" t="n">
        <v>81.59999999999999</v>
      </c>
      <c r="AU224" s="2" t="n">
        <v>99.8</v>
      </c>
      <c r="AV224" s="2" t="n">
        <v>43.3</v>
      </c>
      <c r="AW224" s="2" t="n">
        <v>9.6</v>
      </c>
      <c r="AX224" s="2" t="inlineStr">
        <is>
          <t>NA</t>
        </is>
      </c>
      <c r="AY224" s="2" t="inlineStr">
        <is>
          <t>NA</t>
        </is>
      </c>
      <c r="AZ224" s="2" t="inlineStr">
        <is>
          <t>NA</t>
        </is>
      </c>
      <c r="BA224" s="2" t="inlineStr">
        <is>
          <t>NA</t>
        </is>
      </c>
      <c r="BB224" s="2" t="inlineStr">
        <is>
          <t>NA</t>
        </is>
      </c>
      <c r="BD224" s="2" t="n">
        <v>130.8</v>
      </c>
      <c r="BE224" s="2" t="n">
        <v>42.5</v>
      </c>
      <c r="BH224" s="2" t="n">
        <v>317.3</v>
      </c>
      <c r="BK224" s="2" t="n">
        <v>233.8</v>
      </c>
      <c r="BL224" s="2" t="n">
        <v>2.7</v>
      </c>
      <c r="BM224" s="2" t="n">
        <v>553.7</v>
      </c>
      <c r="BN224" s="2" t="n">
        <v>319.1</v>
      </c>
      <c r="BQ224" s="2" t="n">
        <v>142.9</v>
      </c>
      <c r="BR224" s="2" t="n">
        <v>5.1</v>
      </c>
      <c r="BS224" s="2" t="n">
        <v>467.1</v>
      </c>
      <c r="BT224" s="2" t="inlineStr">
        <is>
          <t>NA</t>
        </is>
      </c>
      <c r="BU224" s="2" t="n">
        <v>34.1</v>
      </c>
      <c r="BV224" s="2" t="n">
        <v>346.1</v>
      </c>
      <c r="BW224" s="2" t="n">
        <v>106.5</v>
      </c>
      <c r="BX224" s="2" t="n">
        <v>455.7</v>
      </c>
      <c r="BY224" s="2" t="n">
        <v>67.5</v>
      </c>
      <c r="BZ224" s="2" t="n">
        <v>16.8</v>
      </c>
      <c r="CA224" s="2" t="n">
        <v>84.3</v>
      </c>
      <c r="CF224" s="2" t="n">
        <v>127.5</v>
      </c>
      <c r="CG224" s="2" t="n">
        <v>256.8</v>
      </c>
      <c r="CH224" s="2" t="n">
        <v>14.2</v>
      </c>
      <c r="CN224" s="2" t="n">
        <v>34.5</v>
      </c>
      <c r="CO224" s="2" t="n">
        <v>337.4</v>
      </c>
      <c r="CP224" s="2" t="n">
        <v>284</v>
      </c>
      <c r="CQ224" s="2" t="n">
        <v>53.4</v>
      </c>
      <c r="CR224" s="2" t="inlineStr">
        <is>
          <t>NA</t>
        </is>
      </c>
      <c r="CS224" s="2" t="n">
        <v>63</v>
      </c>
      <c r="CT224" s="2" t="n">
        <v>37.6</v>
      </c>
      <c r="CU224" s="2" t="n">
        <v>25.4</v>
      </c>
      <c r="CV224" s="2" t="n">
        <v>40</v>
      </c>
      <c r="CW224" s="2" t="n">
        <v>14.8</v>
      </c>
      <c r="CX224" s="2" t="n">
        <v>25.2</v>
      </c>
      <c r="CY224" s="2" t="inlineStr">
        <is>
          <t>NA</t>
        </is>
      </c>
      <c r="CZ224" s="2" t="n">
        <v>52.9</v>
      </c>
      <c r="DA224" s="2" t="n">
        <v>36.6</v>
      </c>
      <c r="DB224" s="2" t="n">
        <v>35.5</v>
      </c>
      <c r="DC224" s="2" t="n">
        <v>1.1</v>
      </c>
      <c r="DI224" s="2" t="n">
        <v>780.015</v>
      </c>
      <c r="DJ224" s="2" t="n">
        <v>334.377</v>
      </c>
      <c r="DL224" s="2" t="n">
        <v>198.374</v>
      </c>
      <c r="DM224" s="2" t="n">
        <v>264.275</v>
      </c>
      <c r="DO224" s="2" t="n">
        <v>263.814</v>
      </c>
      <c r="DP224" s="2" t="n">
        <v>312.444</v>
      </c>
      <c r="DS224" s="2" t="n">
        <v>1100.691</v>
      </c>
      <c r="DT224" s="2" t="n">
        <v>4408.814</v>
      </c>
      <c r="DU224" s="2" t="n">
        <v>-1154.824</v>
      </c>
      <c r="DV224" s="2" t="n">
        <v>-0.5859999999993306</v>
      </c>
      <c r="GY224" s="2" t="n">
        <v>0.9638210358431966</v>
      </c>
      <c r="GZ224" s="2" t="n">
        <v>1148.2</v>
      </c>
      <c r="HA224" s="2" t="n">
        <v>1191.3</v>
      </c>
      <c r="HF224" s="2" t="n">
        <v>1129.8</v>
      </c>
      <c r="HG224" s="2" t="n">
        <v>1083.3</v>
      </c>
      <c r="HH224" s="2" t="n">
        <v>406.5</v>
      </c>
      <c r="HI224" s="2" t="n">
        <v>147.6</v>
      </c>
      <c r="HJ224" s="2" t="n">
        <v>521</v>
      </c>
      <c r="HK224" s="2" t="n">
        <v>8.300000000000001</v>
      </c>
      <c r="HL224" s="2" t="n">
        <v>46.5</v>
      </c>
      <c r="HP224" s="2" t="e">
        <v>#VALUE!</v>
      </c>
      <c r="HQ224" s="2" t="n">
        <v>4</v>
      </c>
      <c r="HR224" s="2" t="n">
        <v>10.8</v>
      </c>
      <c r="HS224" s="2" t="e">
        <v>#VALUE!</v>
      </c>
      <c r="HT224" s="2" t="n">
        <v>26.4</v>
      </c>
      <c r="HW224" s="2" t="n">
        <v>295.9</v>
      </c>
      <c r="HX224" s="2" t="e">
        <v>#VALUE!</v>
      </c>
      <c r="HY224" s="2" t="n">
        <v>295.9</v>
      </c>
      <c r="HZ224" s="2" t="n">
        <v>53.9</v>
      </c>
      <c r="IA224" s="2" t="n">
        <v>208.2</v>
      </c>
      <c r="IB224" s="2" t="n">
        <v>69.59999999999999</v>
      </c>
      <c r="IC224" s="2" t="n">
        <v>138.7</v>
      </c>
      <c r="ID224" s="2" t="e">
        <v>#VALUE!</v>
      </c>
      <c r="IE224" s="2" t="e">
        <v>#VALUE!</v>
      </c>
      <c r="IF224" s="2" t="n">
        <v>8.1</v>
      </c>
      <c r="IG224" s="2" t="n">
        <v>20.9</v>
      </c>
      <c r="IN224" s="2" t="n">
        <v>68.2</v>
      </c>
      <c r="IO224" s="2" t="n">
        <v>70.2</v>
      </c>
      <c r="IP224" s="2" t="n">
        <v>30.9</v>
      </c>
      <c r="IQ224" s="2" t="n">
        <v>30.6</v>
      </c>
      <c r="IR224" s="2" t="n">
        <v>16</v>
      </c>
      <c r="IS224" s="2" t="e">
        <v>#VALUE!</v>
      </c>
      <c r="IT224" s="2" t="n">
        <v>12.4</v>
      </c>
      <c r="IU224" s="2" t="e">
        <v>#VALUE!</v>
      </c>
      <c r="IV224" s="2" t="n">
        <v>0.3</v>
      </c>
      <c r="IY224" s="2" t="n">
        <v>47.40781058647435</v>
      </c>
      <c r="IZ224" s="2" t="n">
        <v>0.007810586474356285</v>
      </c>
      <c r="JB224" s="2" t="n">
        <v>11.25799428493673</v>
      </c>
      <c r="JC224" s="2" t="n">
        <v>-0.06200571506327357</v>
      </c>
      <c r="JE224" s="2" t="n">
        <v>1762.6</v>
      </c>
      <c r="JF224" s="2" t="n">
        <v>0.7738806308861909</v>
      </c>
    </row>
    <row r="225">
      <c r="A225" s="1" t="n">
        <v>35886</v>
      </c>
      <c r="B225" s="2" t="n">
        <v>4018.7</v>
      </c>
      <c r="C225" s="2" t="n">
        <v>1706.5</v>
      </c>
      <c r="D225" s="2" t="n">
        <v>359.1</v>
      </c>
      <c r="E225" s="2" t="n">
        <v>1324.7</v>
      </c>
      <c r="F225" s="2" t="n">
        <v>16.4</v>
      </c>
      <c r="G225" s="2" t="inlineStr">
        <is>
          <t>NA</t>
        </is>
      </c>
      <c r="H225" s="2" t="inlineStr">
        <is>
          <t>NA</t>
        </is>
      </c>
      <c r="I225" s="2" t="inlineStr">
        <is>
          <t>NA</t>
        </is>
      </c>
      <c r="J225" s="2" t="inlineStr">
        <is>
          <t>NA</t>
        </is>
      </c>
      <c r="K225" s="2" t="n">
        <v>1525.8</v>
      </c>
      <c r="L225" s="2" t="n">
        <v>1857.6</v>
      </c>
      <c r="M225" s="2" t="n">
        <v>1533.3</v>
      </c>
      <c r="N225" s="2" t="n">
        <v>324.3</v>
      </c>
      <c r="O225" s="2" t="n">
        <v>112.7</v>
      </c>
      <c r="P225" s="2" t="n">
        <v>159.8</v>
      </c>
      <c r="Q225" s="2" t="n">
        <v>35.7</v>
      </c>
      <c r="R225" s="2" t="n">
        <v>124.1</v>
      </c>
      <c r="T225" s="2" t="n">
        <v>13</v>
      </c>
      <c r="U225" s="2" t="n">
        <v>46</v>
      </c>
      <c r="V225" s="2" t="n">
        <v>42.9</v>
      </c>
      <c r="W225" s="2" t="n">
        <v>3.1</v>
      </c>
      <c r="X225" s="2" t="inlineStr">
        <is>
          <t>NA</t>
        </is>
      </c>
      <c r="Y225" s="2" t="n">
        <v>15.7</v>
      </c>
      <c r="Z225" s="2" t="n">
        <v>92.89999999999999</v>
      </c>
      <c r="AA225" s="2" t="n">
        <v>85.59999999999999</v>
      </c>
      <c r="AB225" s="2" t="n">
        <v>7.3</v>
      </c>
      <c r="AC225" s="2" t="inlineStr">
        <is>
          <t>NA</t>
        </is>
      </c>
      <c r="AD225" s="2" t="n">
        <v>51</v>
      </c>
      <c r="AF225" s="2" t="n">
        <v>123</v>
      </c>
      <c r="AG225" s="2" t="n">
        <v>105.6</v>
      </c>
      <c r="AH225" s="2" t="n">
        <v>17.4</v>
      </c>
      <c r="AI225" s="2" t="n">
        <v>203.9</v>
      </c>
      <c r="AL225" s="2" t="n">
        <v>87</v>
      </c>
      <c r="AM225" s="2" t="n">
        <v>64.09999999999999</v>
      </c>
      <c r="AN225" s="2" t="n">
        <v>22.9</v>
      </c>
      <c r="AO225" s="2" t="n">
        <v>2948.3</v>
      </c>
      <c r="AP225" s="2" t="n">
        <v>181.9</v>
      </c>
      <c r="AQ225" s="2" t="n">
        <v>224.2</v>
      </c>
      <c r="AR225" s="2" t="n">
        <v>28.4</v>
      </c>
      <c r="AS225" s="2" t="n">
        <v>162.3</v>
      </c>
      <c r="AT225" s="2" t="n">
        <v>118.5</v>
      </c>
      <c r="AU225" s="2" t="n">
        <v>91.8</v>
      </c>
      <c r="AV225" s="2" t="n">
        <v>51.4</v>
      </c>
      <c r="AW225" s="2" t="n">
        <v>8.9</v>
      </c>
      <c r="AX225" s="2" t="n">
        <v>13.5</v>
      </c>
      <c r="AY225" s="2" t="inlineStr">
        <is>
          <t>NA</t>
        </is>
      </c>
      <c r="AZ225" s="2" t="inlineStr">
        <is>
          <t>NA</t>
        </is>
      </c>
      <c r="BA225" s="2" t="inlineStr">
        <is>
          <t>NA</t>
        </is>
      </c>
      <c r="BB225" s="2" t="inlineStr">
        <is>
          <t>NA</t>
        </is>
      </c>
      <c r="BD225" s="2" t="n">
        <v>129.7</v>
      </c>
      <c r="BE225" s="2" t="n">
        <v>54.6</v>
      </c>
      <c r="BH225" s="2" t="n">
        <v>309.3</v>
      </c>
      <c r="BK225" s="2" t="n">
        <v>247</v>
      </c>
      <c r="BL225" s="2" t="n">
        <v>2.9</v>
      </c>
      <c r="BM225" s="2" t="n">
        <v>559.1</v>
      </c>
      <c r="BN225" s="2" t="n">
        <v>279.5</v>
      </c>
      <c r="BQ225" s="2" t="n">
        <v>137.2</v>
      </c>
      <c r="BR225" s="2" t="n">
        <v>5.1</v>
      </c>
      <c r="BS225" s="2" t="n">
        <v>421.8</v>
      </c>
      <c r="BT225" s="2" t="inlineStr">
        <is>
          <t>NA</t>
        </is>
      </c>
      <c r="BU225" s="2" t="n">
        <v>41.6</v>
      </c>
      <c r="BV225" s="2" t="n">
        <v>348.2</v>
      </c>
      <c r="BW225" s="2" t="n">
        <v>105.3</v>
      </c>
      <c r="BX225" s="2" t="n">
        <v>456.6</v>
      </c>
      <c r="BY225" s="2" t="n">
        <v>52.8</v>
      </c>
      <c r="BZ225" s="2" t="n">
        <v>10.6</v>
      </c>
      <c r="CA225" s="2" t="n">
        <v>63.4</v>
      </c>
      <c r="CF225" s="2" t="n">
        <v>132.3</v>
      </c>
      <c r="CG225" s="2" t="n">
        <v>254.1</v>
      </c>
      <c r="CH225" s="2" t="n">
        <v>13</v>
      </c>
      <c r="CN225" s="2" t="n">
        <v>37.5</v>
      </c>
      <c r="CO225" s="2" t="n">
        <v>318.8</v>
      </c>
      <c r="CP225" s="2" t="n">
        <v>264.2</v>
      </c>
      <c r="CQ225" s="2" t="n">
        <v>54.6</v>
      </c>
      <c r="CR225" s="2" t="inlineStr">
        <is>
          <t>NA</t>
        </is>
      </c>
      <c r="CS225" s="2" t="n">
        <v>54.6</v>
      </c>
      <c r="CT225" s="2" t="n">
        <v>34.2</v>
      </c>
      <c r="CU225" s="2" t="n">
        <v>20.4</v>
      </c>
      <c r="CV225" s="2" t="n">
        <v>31.8</v>
      </c>
      <c r="CW225" s="2" t="n">
        <v>9.9</v>
      </c>
      <c r="CX225" s="2" t="n">
        <v>21.9</v>
      </c>
      <c r="CY225" s="2" t="inlineStr">
        <is>
          <t>NA</t>
        </is>
      </c>
      <c r="CZ225" s="2" t="n">
        <v>73.40000000000001</v>
      </c>
      <c r="DA225" s="2" t="n">
        <v>26</v>
      </c>
      <c r="DB225" s="2" t="n">
        <v>25.6</v>
      </c>
      <c r="DC225" s="2" t="n">
        <v>0.4</v>
      </c>
      <c r="DI225" s="2" t="n">
        <v>746.244</v>
      </c>
      <c r="DJ225" s="2" t="n">
        <v>349.42</v>
      </c>
      <c r="DL225" s="2" t="n">
        <v>178.872</v>
      </c>
      <c r="DM225" s="2" t="n">
        <v>235.12</v>
      </c>
      <c r="DO225" s="2" t="n">
        <v>203.782</v>
      </c>
      <c r="DP225" s="2" t="n">
        <v>280.288</v>
      </c>
      <c r="DS225" s="2" t="n">
        <v>996.826</v>
      </c>
      <c r="DT225" s="2" t="n">
        <v>4018.137</v>
      </c>
      <c r="DU225" s="2" t="n">
        <v>-1027.585</v>
      </c>
      <c r="DV225" s="2" t="n">
        <v>-0.5629999999996471</v>
      </c>
      <c r="GY225" s="2" t="n">
        <v>0.9630541871921182</v>
      </c>
      <c r="GZ225" s="2" t="n">
        <v>1094.8</v>
      </c>
      <c r="HA225" s="2" t="n">
        <v>1136.8</v>
      </c>
      <c r="HF225" s="2" t="n">
        <v>1066.7</v>
      </c>
      <c r="HG225" s="2" t="n">
        <v>1021.4</v>
      </c>
      <c r="HH225" s="2" t="n">
        <v>396.3</v>
      </c>
      <c r="HI225" s="2" t="n">
        <v>126.3</v>
      </c>
      <c r="HJ225" s="2" t="n">
        <v>491.2</v>
      </c>
      <c r="HK225" s="2" t="n">
        <v>7.6</v>
      </c>
      <c r="HL225" s="2" t="n">
        <v>45.3</v>
      </c>
      <c r="HP225" s="2" t="e">
        <v>#VALUE!</v>
      </c>
      <c r="HQ225" s="2" t="n">
        <v>4.9</v>
      </c>
      <c r="HR225" s="2" t="n">
        <v>11.5</v>
      </c>
      <c r="HS225" s="2" t="e">
        <v>#VALUE!</v>
      </c>
      <c r="HT225" s="2" t="n">
        <v>24.8</v>
      </c>
      <c r="HW225" s="2" t="n">
        <v>278.1</v>
      </c>
      <c r="HX225" s="2" t="e">
        <v>#VALUE!</v>
      </c>
      <c r="HY225" s="2" t="n">
        <v>278.1</v>
      </c>
      <c r="HZ225" s="2" t="n">
        <v>50.4</v>
      </c>
      <c r="IA225" s="2" t="n">
        <v>197.1</v>
      </c>
      <c r="IB225" s="2" t="n">
        <v>49.1</v>
      </c>
      <c r="IC225" s="2" t="n">
        <v>148.1</v>
      </c>
      <c r="ID225" s="2" t="e">
        <v>#VALUE!</v>
      </c>
      <c r="IE225" s="2" t="e">
        <v>#VALUE!</v>
      </c>
      <c r="IF225" s="2" t="n">
        <v>8.300000000000001</v>
      </c>
      <c r="IG225" s="2" t="n">
        <v>17.3</v>
      </c>
      <c r="IN225" s="2" t="n">
        <v>69.8</v>
      </c>
      <c r="IO225" s="2" t="n">
        <v>72.09999999999999</v>
      </c>
      <c r="IP225" s="2" t="e">
        <v>#VALUE!</v>
      </c>
      <c r="IQ225" s="2" t="n">
        <v>28.8</v>
      </c>
      <c r="IR225" s="2" t="n">
        <v>15.2</v>
      </c>
      <c r="IS225" s="2" t="e">
        <v>#VALUE!</v>
      </c>
      <c r="IT225" s="2" t="n">
        <v>11.4</v>
      </c>
      <c r="IU225" s="2" t="e">
        <v>#VALUE!</v>
      </c>
      <c r="IV225" s="2" t="e">
        <v>#VALUE!</v>
      </c>
      <c r="IY225" s="2" t="n">
        <v>47.36606365242492</v>
      </c>
      <c r="IZ225" s="2" t="n">
        <v>0.01606365242491847</v>
      </c>
      <c r="JB225" s="2" t="n">
        <v>11.3902505785453</v>
      </c>
      <c r="JC225" s="2" t="n">
        <v>-0.06974942145469853</v>
      </c>
      <c r="JE225" s="2" t="n">
        <v>1857.6</v>
      </c>
      <c r="JF225" s="2" t="n">
        <v>0.7563533591731266</v>
      </c>
    </row>
    <row r="226">
      <c r="A226" s="1" t="n">
        <v>35916</v>
      </c>
      <c r="B226" s="2" t="n">
        <v>3718</v>
      </c>
      <c r="C226" s="2" t="n">
        <v>1222.3</v>
      </c>
      <c r="D226" s="2" t="n">
        <v>309.1</v>
      </c>
      <c r="E226" s="2" t="n">
        <v>1024.5</v>
      </c>
      <c r="F226" s="2" t="n">
        <v>13.8</v>
      </c>
      <c r="G226" s="2" t="inlineStr">
        <is>
          <t>NA</t>
        </is>
      </c>
      <c r="H226" s="2" t="inlineStr">
        <is>
          <t>NA</t>
        </is>
      </c>
      <c r="I226" s="2" t="inlineStr">
        <is>
          <t>NA</t>
        </is>
      </c>
      <c r="J226" s="2" t="inlineStr">
        <is>
          <t>NA</t>
        </is>
      </c>
      <c r="K226" s="2" t="n">
        <v>1417.9</v>
      </c>
      <c r="L226" s="2" t="n">
        <v>1857.1</v>
      </c>
      <c r="M226" s="2" t="n">
        <v>1577.6</v>
      </c>
      <c r="N226" s="2" t="n">
        <v>279.5</v>
      </c>
      <c r="O226" s="2" t="n">
        <v>96.09999999999999</v>
      </c>
      <c r="P226" s="2" t="n">
        <v>150.4</v>
      </c>
      <c r="Q226" s="2" t="n">
        <v>42.2</v>
      </c>
      <c r="R226" s="2" t="n">
        <v>108.2</v>
      </c>
      <c r="T226" s="2" t="n">
        <v>10.8</v>
      </c>
      <c r="U226" s="2" t="n">
        <v>41.40000000000001</v>
      </c>
      <c r="V226" s="2" t="n">
        <v>38.2</v>
      </c>
      <c r="W226" s="2" t="n">
        <v>3.2</v>
      </c>
      <c r="X226" s="2" t="inlineStr">
        <is>
          <t>NA</t>
        </is>
      </c>
      <c r="Y226" s="2" t="n">
        <v>13.3</v>
      </c>
      <c r="Z226" s="2" t="n">
        <v>71.89999999999999</v>
      </c>
      <c r="AA226" s="2" t="n">
        <v>66.3</v>
      </c>
      <c r="AB226" s="2" t="n">
        <v>5.6</v>
      </c>
      <c r="AC226" s="2" t="inlineStr">
        <is>
          <t>NA</t>
        </is>
      </c>
      <c r="AD226" s="2" t="n">
        <v>63.2</v>
      </c>
      <c r="AF226" s="2" t="n">
        <v>92.5</v>
      </c>
      <c r="AG226" s="2" t="n">
        <v>67.90000000000001</v>
      </c>
      <c r="AH226" s="2" t="n">
        <v>24.6</v>
      </c>
      <c r="AI226" s="2" t="n">
        <v>201.2</v>
      </c>
      <c r="AL226" s="2" t="n">
        <v>89.5</v>
      </c>
      <c r="AM226" s="2" t="n">
        <v>62.9</v>
      </c>
      <c r="AN226" s="2" t="n">
        <v>26.6</v>
      </c>
      <c r="AO226" s="2" t="n">
        <v>2746.3</v>
      </c>
      <c r="AP226" s="2" t="n">
        <v>250.2</v>
      </c>
      <c r="AQ226" s="2" t="n">
        <v>210.4</v>
      </c>
      <c r="AR226" s="2" t="n">
        <v>39.9</v>
      </c>
      <c r="AS226" s="2" t="n">
        <v>141.8</v>
      </c>
      <c r="AT226" s="2" t="n">
        <v>138.1</v>
      </c>
      <c r="AU226" s="2" t="n">
        <v>80.09999999999999</v>
      </c>
      <c r="AV226" s="2" t="n">
        <v>48</v>
      </c>
      <c r="AW226" s="2" t="n">
        <v>7.1</v>
      </c>
      <c r="AX226" s="2" t="n">
        <v>13.2</v>
      </c>
      <c r="AY226" s="2" t="inlineStr">
        <is>
          <t>NA</t>
        </is>
      </c>
      <c r="AZ226" s="2" t="inlineStr">
        <is>
          <t>NA</t>
        </is>
      </c>
      <c r="BA226" s="2" t="inlineStr">
        <is>
          <t>NA</t>
        </is>
      </c>
      <c r="BB226" s="2" t="inlineStr">
        <is>
          <t>NA</t>
        </is>
      </c>
      <c r="BD226" s="2" t="n">
        <v>134.5</v>
      </c>
      <c r="BE226" s="2" t="n">
        <v>53.5</v>
      </c>
      <c r="BH226" s="2" t="n">
        <v>297.5</v>
      </c>
      <c r="BK226" s="2" t="n">
        <v>237.2</v>
      </c>
      <c r="BL226" s="2" t="n">
        <v>2.8</v>
      </c>
      <c r="BM226" s="2" t="n">
        <v>537.5</v>
      </c>
      <c r="BN226" s="2" t="n">
        <v>284.1</v>
      </c>
      <c r="BQ226" s="2" t="n">
        <v>160.2</v>
      </c>
      <c r="BR226" s="2" t="n">
        <v>5.1</v>
      </c>
      <c r="BS226" s="2" t="n">
        <v>449.4</v>
      </c>
      <c r="BT226" s="2" t="inlineStr">
        <is>
          <t>NA</t>
        </is>
      </c>
      <c r="BU226" s="2" t="n">
        <v>47.6</v>
      </c>
      <c r="BV226" s="2" t="n">
        <v>337.8</v>
      </c>
      <c r="BW226" s="2" t="n">
        <v>100.2</v>
      </c>
      <c r="BX226" s="2" t="n">
        <v>441.1</v>
      </c>
      <c r="BY226" s="2" t="n">
        <v>63.7</v>
      </c>
      <c r="BZ226" s="2" t="n">
        <v>12.6</v>
      </c>
      <c r="CA226" s="2" t="n">
        <v>76.3</v>
      </c>
      <c r="CF226" s="2" t="n">
        <v>131.2</v>
      </c>
      <c r="CG226" s="2" t="n">
        <v>239.1</v>
      </c>
      <c r="CH226" s="2" t="n">
        <v>13.1</v>
      </c>
      <c r="CN226" s="2" t="n">
        <v>29.5</v>
      </c>
      <c r="CO226" s="2" t="n">
        <v>300.6</v>
      </c>
      <c r="CP226" s="2" t="n">
        <v>260.3</v>
      </c>
      <c r="CQ226" s="2" t="n">
        <v>40.3</v>
      </c>
      <c r="CR226" s="2" t="inlineStr">
        <is>
          <t>NA</t>
        </is>
      </c>
      <c r="CS226" s="2" t="n">
        <v>49.40000000000001</v>
      </c>
      <c r="CT226" s="2" t="n">
        <v>22.1</v>
      </c>
      <c r="CU226" s="2" t="n">
        <v>27.3</v>
      </c>
      <c r="CV226" s="2" t="n">
        <v>37.9</v>
      </c>
      <c r="CW226" s="2" t="n">
        <v>9.4</v>
      </c>
      <c r="CX226" s="2" t="n">
        <v>28.5</v>
      </c>
      <c r="CY226" s="2" t="inlineStr">
        <is>
          <t>NA</t>
        </is>
      </c>
      <c r="CZ226" s="2" t="n">
        <v>88.40000000000001</v>
      </c>
      <c r="DA226" s="2" t="n">
        <v>36.4</v>
      </c>
      <c r="DB226" s="2" t="n">
        <v>36.1</v>
      </c>
      <c r="DC226" s="2" t="n">
        <v>0.3</v>
      </c>
      <c r="DI226" s="2" t="n">
        <v>690.903</v>
      </c>
      <c r="DJ226" s="2" t="n">
        <v>305.553</v>
      </c>
      <c r="DL226" s="2" t="n">
        <v>179.249</v>
      </c>
      <c r="DM226" s="2" t="n">
        <v>222.595</v>
      </c>
      <c r="DO226" s="2" t="n">
        <v>241.071</v>
      </c>
      <c r="DP226" s="2" t="n">
        <v>236.667</v>
      </c>
      <c r="DS226" s="2" t="n">
        <v>901.819</v>
      </c>
      <c r="DT226" s="2" t="n">
        <v>3716.083</v>
      </c>
      <c r="DU226" s="2" t="n">
        <v>-938.2260000000001</v>
      </c>
      <c r="DV226" s="2" t="n">
        <v>-1.916999999999916</v>
      </c>
      <c r="GY226" s="2" t="n">
        <v>0.9641619474262532</v>
      </c>
      <c r="GZ226" s="2" t="n">
        <v>1140.7</v>
      </c>
      <c r="HA226" s="2" t="n">
        <v>1183.1</v>
      </c>
      <c r="HF226" s="2" t="n">
        <v>1101.8</v>
      </c>
      <c r="HG226" s="2" t="n">
        <v>1061.9</v>
      </c>
      <c r="HH226" s="2" t="n">
        <v>401.9</v>
      </c>
      <c r="HI226" s="2" t="n">
        <v>121.6</v>
      </c>
      <c r="HJ226" s="2" t="n">
        <v>530.2</v>
      </c>
      <c r="HK226" s="2" t="n">
        <v>8.199999999999999</v>
      </c>
      <c r="HL226" s="2" t="n">
        <v>39.9</v>
      </c>
      <c r="HP226" s="2" t="e">
        <v>#VALUE!</v>
      </c>
      <c r="HQ226" s="2" t="n">
        <v>4.2</v>
      </c>
      <c r="HR226" s="2" t="n">
        <v>10.6</v>
      </c>
      <c r="HS226" s="2" t="e">
        <v>#VALUE!</v>
      </c>
      <c r="HT226" s="2" t="n">
        <v>18.9</v>
      </c>
      <c r="HW226" s="2" t="n">
        <v>283.8</v>
      </c>
      <c r="HX226" s="2" t="e">
        <v>#VALUE!</v>
      </c>
      <c r="HY226" s="2" t="n">
        <v>283.8</v>
      </c>
      <c r="HZ226" s="2" t="n">
        <v>57.1</v>
      </c>
      <c r="IA226" s="2" t="n">
        <v>196.9</v>
      </c>
      <c r="IB226" s="2" t="n">
        <v>54.1</v>
      </c>
      <c r="IC226" s="2" t="n">
        <v>142.9</v>
      </c>
      <c r="ID226" s="2" t="e">
        <v>#VALUE!</v>
      </c>
      <c r="IE226" s="2" t="e">
        <v>#VALUE!</v>
      </c>
      <c r="IF226" s="2" t="n">
        <v>7.3</v>
      </c>
      <c r="IG226" s="2" t="n">
        <v>17.8</v>
      </c>
      <c r="IN226" s="2" t="n">
        <v>55.2</v>
      </c>
      <c r="IO226" s="2" t="n">
        <v>57.1</v>
      </c>
      <c r="IP226" s="2" t="n">
        <v>39.4</v>
      </c>
      <c r="IQ226" s="2" t="n">
        <v>39.1</v>
      </c>
      <c r="IR226" s="2" t="n">
        <v>18.8</v>
      </c>
      <c r="IS226" s="2" t="e">
        <v>#VALUE!</v>
      </c>
      <c r="IT226" s="2" t="n">
        <v>18</v>
      </c>
      <c r="IU226" s="2" t="e">
        <v>#VALUE!</v>
      </c>
      <c r="IV226" s="2" t="n">
        <v>0.3</v>
      </c>
      <c r="IY226" s="2" t="n">
        <v>47.71436256051641</v>
      </c>
      <c r="IZ226" s="2" t="n">
        <v>0.004362560516405267</v>
      </c>
      <c r="JB226" s="2" t="n">
        <v>11.44082840236686</v>
      </c>
      <c r="JC226" s="2" t="n">
        <v>-0.05917159763313506</v>
      </c>
      <c r="JE226" s="2" t="n">
        <v>1857.1</v>
      </c>
      <c r="JF226" s="2" t="n">
        <v>0.7633983091917507</v>
      </c>
    </row>
    <row r="227">
      <c r="A227" s="1" t="n">
        <v>35947</v>
      </c>
      <c r="B227" s="2" t="n">
        <v>3524.4</v>
      </c>
      <c r="C227" s="2" t="n">
        <v>1274.6</v>
      </c>
      <c r="D227" s="2" t="n">
        <v>278.8</v>
      </c>
      <c r="E227" s="2" t="n">
        <v>752.1</v>
      </c>
      <c r="F227" s="2" t="n">
        <v>12.9</v>
      </c>
      <c r="G227" s="2" t="inlineStr">
        <is>
          <t>NA</t>
        </is>
      </c>
      <c r="H227" s="2" t="inlineStr">
        <is>
          <t>NA</t>
        </is>
      </c>
      <c r="I227" s="2" t="inlineStr">
        <is>
          <t>NA</t>
        </is>
      </c>
      <c r="J227" s="2" t="inlineStr">
        <is>
          <t>NA</t>
        </is>
      </c>
      <c r="K227" s="2" t="n">
        <v>1337.2</v>
      </c>
      <c r="L227" s="2" t="n">
        <v>1712.6</v>
      </c>
      <c r="M227" s="2" t="n">
        <v>1451.7</v>
      </c>
      <c r="N227" s="2" t="n">
        <v>260.9</v>
      </c>
      <c r="O227" s="2" t="n">
        <v>87.3</v>
      </c>
      <c r="P227" s="2" t="n">
        <v>130.9</v>
      </c>
      <c r="Q227" s="2" t="n">
        <v>37</v>
      </c>
      <c r="R227" s="2" t="n">
        <v>93.90000000000001</v>
      </c>
      <c r="T227" s="2" t="n">
        <v>10</v>
      </c>
      <c r="U227" s="2" t="n">
        <v>45</v>
      </c>
      <c r="V227" s="2" t="n">
        <v>41.4</v>
      </c>
      <c r="W227" s="2" t="n">
        <v>3.6</v>
      </c>
      <c r="X227" s="2" t="inlineStr">
        <is>
          <t>NA</t>
        </is>
      </c>
      <c r="Y227" s="2" t="n">
        <v>5.3</v>
      </c>
      <c r="Z227" s="2" t="n">
        <v>93.60000000000001</v>
      </c>
      <c r="AA227" s="2" t="n">
        <v>87.40000000000001</v>
      </c>
      <c r="AB227" s="2" t="n">
        <v>6.2</v>
      </c>
      <c r="AC227" s="2" t="inlineStr">
        <is>
          <t>NA</t>
        </is>
      </c>
      <c r="AD227" s="2" t="n">
        <v>53.2</v>
      </c>
      <c r="AF227" s="2" t="n">
        <v>92.40000000000001</v>
      </c>
      <c r="AG227" s="2" t="n">
        <v>63.1</v>
      </c>
      <c r="AH227" s="2" t="n">
        <v>29.3</v>
      </c>
      <c r="AI227" s="2" t="n">
        <v>201.4</v>
      </c>
      <c r="AL227" s="2" t="n">
        <v>96.2</v>
      </c>
      <c r="AM227" s="2" t="n">
        <v>56.1</v>
      </c>
      <c r="AN227" s="2" t="n">
        <v>40.1</v>
      </c>
      <c r="AO227" s="2" t="n">
        <v>2601.8</v>
      </c>
      <c r="AP227" s="2" t="n">
        <v>157</v>
      </c>
      <c r="AQ227" s="2" t="n">
        <v>193.4</v>
      </c>
      <c r="AR227" s="2" t="n">
        <v>36.2</v>
      </c>
      <c r="AS227" s="2" t="n">
        <v>128.8</v>
      </c>
      <c r="AT227" s="2" t="n">
        <v>108.5</v>
      </c>
      <c r="AU227" s="2" t="n">
        <v>75.59999999999999</v>
      </c>
      <c r="AV227" s="2" t="n">
        <v>42.6</v>
      </c>
      <c r="AW227" s="2" t="n">
        <v>6.9</v>
      </c>
      <c r="AX227" s="2" t="inlineStr">
        <is>
          <t>NA</t>
        </is>
      </c>
      <c r="AY227" s="2" t="inlineStr">
        <is>
          <t>NA</t>
        </is>
      </c>
      <c r="AZ227" s="2" t="inlineStr">
        <is>
          <t>NA</t>
        </is>
      </c>
      <c r="BA227" s="2" t="inlineStr">
        <is>
          <t>NA</t>
        </is>
      </c>
      <c r="BB227" s="2" t="inlineStr">
        <is>
          <t>NA</t>
        </is>
      </c>
      <c r="BD227" s="2" t="n">
        <v>139.4</v>
      </c>
      <c r="BE227" s="2" t="n">
        <v>52.3</v>
      </c>
      <c r="BH227" s="2" t="n">
        <v>316.3</v>
      </c>
      <c r="BK227" s="2" t="n">
        <v>251.1</v>
      </c>
      <c r="BL227" s="2" t="n">
        <v>2.6</v>
      </c>
      <c r="BM227" s="2" t="n">
        <v>570</v>
      </c>
      <c r="BN227" s="2" t="n">
        <v>272.3</v>
      </c>
      <c r="BQ227" s="2" t="n">
        <v>155.2</v>
      </c>
      <c r="BR227" s="2" t="n">
        <v>4.7</v>
      </c>
      <c r="BS227" s="2" t="n">
        <v>432.2</v>
      </c>
      <c r="BT227" s="2" t="inlineStr">
        <is>
          <t>NA</t>
        </is>
      </c>
      <c r="BU227" s="2" t="n">
        <v>43.7</v>
      </c>
      <c r="BV227" s="2" t="n">
        <v>353.7</v>
      </c>
      <c r="BW227" s="2" t="n">
        <v>100</v>
      </c>
      <c r="BX227" s="2" t="n">
        <v>457.8</v>
      </c>
      <c r="BY227" s="2" t="n">
        <v>59.7</v>
      </c>
      <c r="BZ227" s="2" t="n">
        <v>10.5</v>
      </c>
      <c r="CA227" s="2" t="n">
        <v>70.2</v>
      </c>
      <c r="CF227" s="2" t="n">
        <v>131.1</v>
      </c>
      <c r="CG227" s="2" t="n">
        <v>259.1</v>
      </c>
      <c r="CH227" s="2" t="n">
        <v>15.1</v>
      </c>
      <c r="CN227" s="2" t="inlineStr">
        <is>
          <t>NA</t>
        </is>
      </c>
      <c r="CO227" s="2" t="n">
        <v>366.3</v>
      </c>
      <c r="CP227" s="2" t="n">
        <v>297.7</v>
      </c>
      <c r="CQ227" s="2" t="n">
        <v>68.59999999999999</v>
      </c>
      <c r="CR227" s="2" t="inlineStr">
        <is>
          <t>NA</t>
        </is>
      </c>
      <c r="CS227" s="2" t="n">
        <v>49.6</v>
      </c>
      <c r="CT227" s="2" t="n">
        <v>24.3</v>
      </c>
      <c r="CU227" s="2" t="n">
        <v>25.3</v>
      </c>
      <c r="CV227" s="2" t="n">
        <v>33.2</v>
      </c>
      <c r="CW227" s="2" t="n">
        <v>5.5</v>
      </c>
      <c r="CX227" s="2" t="n">
        <v>27.7</v>
      </c>
      <c r="CY227" s="2" t="inlineStr">
        <is>
          <t>NA</t>
        </is>
      </c>
      <c r="CZ227" s="2" t="n">
        <v>91.40000000000001</v>
      </c>
      <c r="DA227" s="2" t="n">
        <v>45.5</v>
      </c>
      <c r="DB227" s="2" t="n">
        <v>44.2</v>
      </c>
      <c r="DC227" s="2" t="n">
        <v>1.3</v>
      </c>
      <c r="DI227" s="2" t="n">
        <v>675.324</v>
      </c>
      <c r="DJ227" s="2" t="n">
        <v>279.008</v>
      </c>
      <c r="DL227" s="2" t="n">
        <v>129.276</v>
      </c>
      <c r="DM227" s="2" t="n">
        <v>249.207</v>
      </c>
      <c r="DO227" s="2" t="n">
        <v>227.067</v>
      </c>
      <c r="DP227" s="2" t="n">
        <v>254.013</v>
      </c>
      <c r="DS227" s="2" t="n">
        <v>818.619</v>
      </c>
      <c r="DT227" s="2" t="n">
        <v>3523.773</v>
      </c>
      <c r="DU227" s="2" t="n">
        <v>-891.259</v>
      </c>
      <c r="DV227" s="2" t="n">
        <v>-0.6269999999999527</v>
      </c>
      <c r="GY227" s="2" t="n">
        <v>0.9643772893772893</v>
      </c>
      <c r="GZ227" s="2" t="n">
        <v>1053.1</v>
      </c>
      <c r="HA227" s="2" t="n">
        <v>1092</v>
      </c>
      <c r="HF227" s="2" t="n">
        <v>1070.3</v>
      </c>
      <c r="HG227" s="2" t="n">
        <v>1023.1</v>
      </c>
      <c r="HH227" s="2" t="n">
        <v>390.4</v>
      </c>
      <c r="HI227" s="2" t="n">
        <v>125.4</v>
      </c>
      <c r="HJ227" s="2" t="n">
        <v>498.9</v>
      </c>
      <c r="HK227" s="2" t="n">
        <v>8.300000000000001</v>
      </c>
      <c r="HL227" s="2" t="n">
        <v>47.2</v>
      </c>
      <c r="HP227" s="2" t="e">
        <v>#VALUE!</v>
      </c>
      <c r="HQ227" s="2" t="n">
        <v>4.6</v>
      </c>
      <c r="HR227" s="2" t="n">
        <v>11.4</v>
      </c>
      <c r="HS227" s="2" t="e">
        <v>#VALUE!</v>
      </c>
      <c r="HT227" s="2" t="n">
        <v>24.5</v>
      </c>
      <c r="HW227" s="2" t="n">
        <v>299.3</v>
      </c>
      <c r="HX227" s="2" t="e">
        <v>#VALUE!</v>
      </c>
      <c r="HY227" s="2" t="n">
        <v>299.3</v>
      </c>
      <c r="HZ227" s="2" t="n">
        <v>48.2</v>
      </c>
      <c r="IA227" s="2" t="n">
        <v>220.1</v>
      </c>
      <c r="IB227" s="2" t="n">
        <v>69.59999999999999</v>
      </c>
      <c r="IC227" s="2" t="n">
        <v>150.5</v>
      </c>
      <c r="ID227" s="2" t="e">
        <v>#VALUE!</v>
      </c>
      <c r="IE227" s="2" t="e">
        <v>#VALUE!</v>
      </c>
      <c r="IF227" s="2" t="n">
        <v>7.2</v>
      </c>
      <c r="IG227" s="2" t="n">
        <v>17.4</v>
      </c>
      <c r="IN227" s="2" t="n">
        <v>50.3</v>
      </c>
      <c r="IO227" s="2" t="n">
        <v>51.9</v>
      </c>
      <c r="IP227" s="2" t="n">
        <v>36.1</v>
      </c>
      <c r="IQ227" s="2" t="n">
        <v>36</v>
      </c>
      <c r="IR227" s="2" t="n">
        <v>18</v>
      </c>
      <c r="IS227" s="2" t="e">
        <v>#VALUE!</v>
      </c>
      <c r="IT227" s="2" t="n">
        <v>15.9</v>
      </c>
      <c r="IU227" s="2" t="e">
        <v>#VALUE!</v>
      </c>
      <c r="IV227" s="2" t="n">
        <v>0.1</v>
      </c>
      <c r="IY227" s="2" t="n">
        <v>47.5859720803541</v>
      </c>
      <c r="IZ227" s="2" t="n">
        <v>-0.004027919645899658</v>
      </c>
      <c r="JB227" s="2" t="n">
        <v>11.38236295539666</v>
      </c>
      <c r="JC227" s="2" t="n">
        <v>-0.06763704460333564</v>
      </c>
      <c r="JE227" s="2" t="n">
        <v>1712.6</v>
      </c>
      <c r="JF227" s="2" t="n">
        <v>0.8117674880298961</v>
      </c>
    </row>
    <row r="228">
      <c r="A228" s="1" t="n">
        <v>35977</v>
      </c>
      <c r="B228" s="2" t="n">
        <v>3713.8</v>
      </c>
      <c r="C228" s="2" t="n">
        <v>1324.3</v>
      </c>
      <c r="D228" s="2" t="n">
        <v>277.6</v>
      </c>
      <c r="E228" s="2" t="n">
        <v>563</v>
      </c>
      <c r="F228" s="2" t="n">
        <v>12.4</v>
      </c>
      <c r="G228" s="2" t="inlineStr">
        <is>
          <t>NA</t>
        </is>
      </c>
      <c r="H228" s="2" t="inlineStr">
        <is>
          <t>NA</t>
        </is>
      </c>
      <c r="I228" s="2" t="inlineStr">
        <is>
          <t>NA</t>
        </is>
      </c>
      <c r="J228" s="2" t="inlineStr">
        <is>
          <t>NA</t>
        </is>
      </c>
      <c r="K228" s="2" t="n">
        <v>1409.5</v>
      </c>
      <c r="L228" s="2" t="n">
        <v>1779.1</v>
      </c>
      <c r="M228" s="2" t="n">
        <v>1535.9</v>
      </c>
      <c r="N228" s="2" t="n">
        <v>243.2</v>
      </c>
      <c r="O228" s="2" t="n">
        <v>88.8</v>
      </c>
      <c r="P228" s="2" t="n">
        <v>118.7</v>
      </c>
      <c r="Q228" s="2" t="n">
        <v>28.3</v>
      </c>
      <c r="R228" s="2" t="n">
        <v>90.40000000000001</v>
      </c>
      <c r="T228" s="2" t="n">
        <v>9.5</v>
      </c>
      <c r="U228" s="2" t="n">
        <v>41</v>
      </c>
      <c r="V228" s="2" t="n">
        <v>37.4</v>
      </c>
      <c r="W228" s="2" t="n">
        <v>3.6</v>
      </c>
      <c r="X228" s="2" t="inlineStr">
        <is>
          <t>NA</t>
        </is>
      </c>
      <c r="Y228" s="2" t="n">
        <v>10.6</v>
      </c>
      <c r="Z228" s="2" t="n">
        <v>55.5</v>
      </c>
      <c r="AA228" s="2" t="n">
        <v>50.3</v>
      </c>
      <c r="AB228" s="2" t="n">
        <v>5.2</v>
      </c>
      <c r="AC228" s="2" t="inlineStr">
        <is>
          <t>NA</t>
        </is>
      </c>
      <c r="AD228" s="2" t="n">
        <v>58.7</v>
      </c>
      <c r="AF228" s="2" t="n">
        <v>79.2</v>
      </c>
      <c r="AG228" s="2" t="n">
        <v>45.1</v>
      </c>
      <c r="AH228" s="2" t="n">
        <v>34.1</v>
      </c>
      <c r="AI228" s="2" t="n">
        <v>192.8</v>
      </c>
      <c r="AL228" s="2" t="n">
        <v>114</v>
      </c>
      <c r="AM228" s="2" t="n">
        <v>64.09999999999999</v>
      </c>
      <c r="AN228" s="2" t="n">
        <v>49.9</v>
      </c>
      <c r="AO228" s="2" t="n">
        <v>2730.5</v>
      </c>
      <c r="AP228" s="2" t="n">
        <v>166.9</v>
      </c>
      <c r="AQ228" s="2" t="n">
        <v>211</v>
      </c>
      <c r="AR228" s="2" t="n">
        <v>38.5</v>
      </c>
      <c r="AS228" s="2" t="n">
        <v>124</v>
      </c>
      <c r="AT228" s="2" t="n">
        <v>95.3</v>
      </c>
      <c r="AU228" s="2" t="n">
        <v>71.8</v>
      </c>
      <c r="AV228" s="2" t="n">
        <v>38.2</v>
      </c>
      <c r="AW228" s="2" t="n">
        <v>6.5</v>
      </c>
      <c r="AX228" s="2" t="inlineStr">
        <is>
          <t>NA</t>
        </is>
      </c>
      <c r="AY228" s="2" t="inlineStr">
        <is>
          <t>NA</t>
        </is>
      </c>
      <c r="AZ228" s="2" t="inlineStr">
        <is>
          <t>NA</t>
        </is>
      </c>
      <c r="BA228" s="2" t="inlineStr">
        <is>
          <t>NA</t>
        </is>
      </c>
      <c r="BB228" s="2" t="inlineStr">
        <is>
          <t>NA</t>
        </is>
      </c>
      <c r="BD228" s="2" t="n">
        <v>136.6</v>
      </c>
      <c r="BE228" s="2" t="n">
        <v>48.7</v>
      </c>
      <c r="BH228" s="2" t="n">
        <v>306.5</v>
      </c>
      <c r="BK228" s="2" t="n">
        <v>248.5</v>
      </c>
      <c r="BL228" s="2" t="n">
        <v>3.1</v>
      </c>
      <c r="BM228" s="2" t="n">
        <v>558.2</v>
      </c>
      <c r="BN228" s="2" t="n">
        <v>297.2</v>
      </c>
      <c r="BQ228" s="2" t="n">
        <v>176.4</v>
      </c>
      <c r="BR228" s="2" t="n">
        <v>4.9</v>
      </c>
      <c r="BS228" s="2" t="n">
        <v>478.5</v>
      </c>
      <c r="BT228" s="2" t="inlineStr">
        <is>
          <t>NA</t>
        </is>
      </c>
      <c r="BU228" s="2" t="n">
        <v>44.8</v>
      </c>
      <c r="BV228" s="2" t="n">
        <v>355.1</v>
      </c>
      <c r="BW228" s="2" t="n">
        <v>106.6</v>
      </c>
      <c r="BX228" s="2" t="n">
        <v>465.5</v>
      </c>
      <c r="BY228" s="2" t="n">
        <v>56.6</v>
      </c>
      <c r="BZ228" s="2" t="n">
        <v>12.3</v>
      </c>
      <c r="CA228" s="2" t="n">
        <v>68.90000000000001</v>
      </c>
      <c r="CF228" s="2" t="n">
        <v>132</v>
      </c>
      <c r="CG228" s="2" t="n">
        <v>278.4</v>
      </c>
      <c r="CH228" s="2" t="n">
        <v>14.7</v>
      </c>
      <c r="CN228" s="2" t="n">
        <v>33.9</v>
      </c>
      <c r="CO228" s="2" t="n">
        <v>424.6</v>
      </c>
      <c r="CP228" s="2" t="n">
        <v>306.8</v>
      </c>
      <c r="CQ228" s="2" t="n">
        <v>117.8</v>
      </c>
      <c r="CR228" s="2" t="inlineStr">
        <is>
          <t>NA</t>
        </is>
      </c>
      <c r="CS228" s="2" t="n">
        <v>45.3</v>
      </c>
      <c r="CT228" s="2" t="n">
        <v>22.8</v>
      </c>
      <c r="CU228" s="2" t="n">
        <v>22.5</v>
      </c>
      <c r="CV228" s="2" t="n">
        <v>36.4</v>
      </c>
      <c r="CW228" s="2" t="n">
        <v>8</v>
      </c>
      <c r="CX228" s="2" t="n">
        <v>28.4</v>
      </c>
      <c r="CY228" s="2" t="inlineStr">
        <is>
          <t>NA</t>
        </is>
      </c>
      <c r="CZ228" s="2" t="n">
        <v>72.5</v>
      </c>
      <c r="DA228" s="2" t="n">
        <v>30.5</v>
      </c>
      <c r="DB228" s="2" t="n">
        <v>28.8</v>
      </c>
      <c r="DC228" s="2" t="n">
        <v>1.7</v>
      </c>
      <c r="DI228" s="2" t="n">
        <v>714.7859999999999</v>
      </c>
      <c r="DJ228" s="2" t="n">
        <v>326.87</v>
      </c>
      <c r="DL228" s="2" t="n">
        <v>156.027</v>
      </c>
      <c r="DM228" s="2" t="n">
        <v>271.936</v>
      </c>
      <c r="DO228" s="2" t="n">
        <v>174.274</v>
      </c>
      <c r="DP228" s="2" t="n">
        <v>253.677</v>
      </c>
      <c r="DS228" s="2" t="n">
        <v>868.353</v>
      </c>
      <c r="DT228" s="2" t="n">
        <v>3713.056</v>
      </c>
      <c r="DU228" s="2" t="n">
        <v>-947.1330000000003</v>
      </c>
      <c r="DV228" s="2" t="n">
        <v>-0.7440000000001419</v>
      </c>
      <c r="GY228" s="2" t="n">
        <v>0.9632098107171422</v>
      </c>
      <c r="GZ228" s="2" t="n">
        <v>1083.9</v>
      </c>
      <c r="HA228" s="2" t="n">
        <v>1125.3</v>
      </c>
      <c r="HF228" s="2" t="n">
        <v>1062.4</v>
      </c>
      <c r="HG228" s="2" t="n">
        <v>1012.9</v>
      </c>
      <c r="HH228" s="2" t="n">
        <v>393.3</v>
      </c>
      <c r="HI228" s="2" t="n">
        <v>119</v>
      </c>
      <c r="HJ228" s="2" t="n">
        <v>494.1</v>
      </c>
      <c r="HK228" s="2" t="n">
        <v>6.5</v>
      </c>
      <c r="HL228" s="2" t="n">
        <v>49.4</v>
      </c>
      <c r="HP228" s="2" t="e">
        <v>#VALUE!</v>
      </c>
      <c r="HQ228" s="2" t="n">
        <v>5.8</v>
      </c>
      <c r="HR228" s="2" t="n">
        <v>8</v>
      </c>
      <c r="HS228" s="2" t="e">
        <v>#VALUE!</v>
      </c>
      <c r="HT228" s="2" t="n">
        <v>30.7</v>
      </c>
      <c r="HW228" s="2" t="n">
        <v>295.2</v>
      </c>
      <c r="HX228" s="2" t="e">
        <v>#VALUE!</v>
      </c>
      <c r="HY228" s="2" t="n">
        <v>295.2</v>
      </c>
      <c r="HZ228" s="2" t="n">
        <v>51.6</v>
      </c>
      <c r="IA228" s="2" t="n">
        <v>211.6</v>
      </c>
      <c r="IB228" s="2" t="n">
        <v>60</v>
      </c>
      <c r="IC228" s="2" t="n">
        <v>151.6</v>
      </c>
      <c r="ID228" s="2" t="e">
        <v>#VALUE!</v>
      </c>
      <c r="IE228" s="2" t="e">
        <v>#VALUE!</v>
      </c>
      <c r="IF228" s="2" t="n">
        <v>7.7</v>
      </c>
      <c r="IG228" s="2" t="n">
        <v>19.1</v>
      </c>
      <c r="IN228" s="2" t="n">
        <v>53</v>
      </c>
      <c r="IO228" s="2" t="n">
        <v>54.9</v>
      </c>
      <c r="IP228" s="2" t="n">
        <v>35.7</v>
      </c>
      <c r="IQ228" s="2" t="n">
        <v>35.4</v>
      </c>
      <c r="IR228" s="2" t="n">
        <v>17.3</v>
      </c>
      <c r="IS228" s="2" t="e">
        <v>#VALUE!</v>
      </c>
      <c r="IT228" s="2" t="n">
        <v>16.1</v>
      </c>
      <c r="IU228" s="2" t="e">
        <v>#VALUE!</v>
      </c>
      <c r="IV228" s="2" t="e">
        <v>#VALUE!</v>
      </c>
      <c r="IY228" s="2" t="n">
        <v>47.52275297538909</v>
      </c>
      <c r="IZ228" s="2" t="n">
        <v>0.002752975389086032</v>
      </c>
      <c r="JB228" s="2" t="n">
        <v>11.38591200387743</v>
      </c>
      <c r="JC228" s="2" t="n">
        <v>-0.03408799612257063</v>
      </c>
      <c r="JE228" s="2" t="n">
        <v>1779.1</v>
      </c>
      <c r="JF228" s="2" t="n">
        <v>0.7671243887358776</v>
      </c>
    </row>
    <row r="229">
      <c r="A229" s="1" t="n">
        <v>36008</v>
      </c>
      <c r="B229" s="2" t="n">
        <v>3358.3</v>
      </c>
      <c r="C229" s="2" t="n">
        <v>987.9</v>
      </c>
      <c r="D229" s="2" t="n">
        <v>246</v>
      </c>
      <c r="E229" s="2" t="n">
        <v>450.7</v>
      </c>
      <c r="F229" s="2" t="n">
        <v>8.699999999999999</v>
      </c>
      <c r="G229" s="2" t="inlineStr">
        <is>
          <t>NA</t>
        </is>
      </c>
      <c r="H229" s="2" t="inlineStr">
        <is>
          <t>NA</t>
        </is>
      </c>
      <c r="I229" s="2" t="inlineStr">
        <is>
          <t>NA</t>
        </is>
      </c>
      <c r="J229" s="2" t="inlineStr">
        <is>
          <t>NA</t>
        </is>
      </c>
      <c r="K229" s="2" t="n">
        <v>1285.6</v>
      </c>
      <c r="L229" s="2" t="n">
        <v>1453.1</v>
      </c>
      <c r="M229" s="2" t="n">
        <v>1240.1</v>
      </c>
      <c r="N229" s="2" t="n">
        <v>213</v>
      </c>
      <c r="O229" s="2" t="n">
        <v>77.8</v>
      </c>
      <c r="P229" s="2" t="n">
        <v>97.3</v>
      </c>
      <c r="Q229" s="2" t="n">
        <v>22.2</v>
      </c>
      <c r="R229" s="2" t="n">
        <v>75.09999999999999</v>
      </c>
      <c r="T229" s="2" t="n">
        <v>6.3</v>
      </c>
      <c r="U229" s="2" t="n">
        <v>73.10000000000001</v>
      </c>
      <c r="V229" s="2" t="n">
        <v>70.40000000000001</v>
      </c>
      <c r="W229" s="2" t="n">
        <v>2.7</v>
      </c>
      <c r="X229" s="2" t="inlineStr">
        <is>
          <t>NA</t>
        </is>
      </c>
      <c r="Y229" s="2" t="inlineStr">
        <is>
          <t>NA</t>
        </is>
      </c>
      <c r="Z229" s="2" t="n">
        <v>57</v>
      </c>
      <c r="AA229" s="2" t="n">
        <v>51.8</v>
      </c>
      <c r="AB229" s="2" t="n">
        <v>5.2</v>
      </c>
      <c r="AC229" s="2" t="inlineStr">
        <is>
          <t>NA</t>
        </is>
      </c>
      <c r="AD229" s="2" t="n">
        <v>65.8</v>
      </c>
      <c r="AF229" s="2" t="n">
        <v>118.3</v>
      </c>
      <c r="AG229" s="2" t="n">
        <v>85.7</v>
      </c>
      <c r="AH229" s="2" t="n">
        <v>32.6</v>
      </c>
      <c r="AI229" s="2" t="n">
        <v>202.8</v>
      </c>
      <c r="AL229" s="2" t="n">
        <v>120.8</v>
      </c>
      <c r="AM229" s="2" t="n">
        <v>58.3</v>
      </c>
      <c r="AN229" s="2" t="n">
        <v>62.5</v>
      </c>
      <c r="AO229" s="2" t="n">
        <v>2477.4</v>
      </c>
      <c r="AP229" s="2" t="n">
        <v>149.8</v>
      </c>
      <c r="AQ229" s="2" t="n">
        <v>188.2</v>
      </c>
      <c r="AR229" s="2" t="n">
        <v>35.4</v>
      </c>
      <c r="AS229" s="2" t="n">
        <v>114.7</v>
      </c>
      <c r="AT229" s="2" t="n">
        <v>110.5</v>
      </c>
      <c r="AU229" s="2" t="n">
        <v>64.90000000000001</v>
      </c>
      <c r="AV229" s="2" t="n">
        <v>35.1</v>
      </c>
      <c r="AW229" s="2" t="n">
        <v>4</v>
      </c>
      <c r="AX229" s="2" t="inlineStr">
        <is>
          <t>NA</t>
        </is>
      </c>
      <c r="AY229" s="2" t="inlineStr">
        <is>
          <t>NA</t>
        </is>
      </c>
      <c r="AZ229" s="2" t="inlineStr">
        <is>
          <t>NA</t>
        </is>
      </c>
      <c r="BA229" s="2" t="inlineStr">
        <is>
          <t>NA</t>
        </is>
      </c>
      <c r="BB229" s="2" t="inlineStr">
        <is>
          <t>NA</t>
        </is>
      </c>
      <c r="BD229" s="2" t="n">
        <v>132.5</v>
      </c>
      <c r="BE229" s="2" t="n">
        <v>50.8</v>
      </c>
      <c r="BH229" s="2" t="n">
        <v>286.6</v>
      </c>
      <c r="BK229" s="2" t="n">
        <v>237.7</v>
      </c>
      <c r="BL229" s="2" t="n">
        <v>2.6</v>
      </c>
      <c r="BM229" s="2" t="n">
        <v>526.9</v>
      </c>
      <c r="BN229" s="2" t="n">
        <v>286.8</v>
      </c>
      <c r="BQ229" s="2" t="n">
        <v>158.4</v>
      </c>
      <c r="BR229" s="2" t="n">
        <v>5</v>
      </c>
      <c r="BS229" s="2" t="n">
        <v>450.2</v>
      </c>
      <c r="BT229" s="2" t="inlineStr">
        <is>
          <t>NA</t>
        </is>
      </c>
      <c r="BU229" s="2" t="n">
        <v>38.8</v>
      </c>
      <c r="BV229" s="2" t="n">
        <v>336.4</v>
      </c>
      <c r="BW229" s="2" t="n">
        <v>101.1</v>
      </c>
      <c r="BX229" s="2" t="n">
        <v>442.3</v>
      </c>
      <c r="BY229" s="2" t="n">
        <v>72.2</v>
      </c>
      <c r="BZ229" s="2" t="n">
        <v>10.7</v>
      </c>
      <c r="CA229" s="2" t="n">
        <v>82.90000000000001</v>
      </c>
      <c r="CF229" s="2" t="n">
        <v>120.2</v>
      </c>
      <c r="CG229" s="2" t="n">
        <v>245.2</v>
      </c>
      <c r="CH229" s="2" t="n">
        <v>15.3</v>
      </c>
      <c r="CN229" s="2" t="n">
        <v>31</v>
      </c>
      <c r="CO229" s="2" t="n">
        <v>434.4</v>
      </c>
      <c r="CP229" s="2" t="n">
        <v>307.9</v>
      </c>
      <c r="CQ229" s="2" t="n">
        <v>126.5</v>
      </c>
      <c r="CR229" s="2" t="inlineStr">
        <is>
          <t>NA</t>
        </is>
      </c>
      <c r="CS229" s="2" t="n">
        <v>38.5</v>
      </c>
      <c r="CT229" s="2" t="n">
        <v>21.4</v>
      </c>
      <c r="CU229" s="2" t="n">
        <v>17.1</v>
      </c>
      <c r="CV229" s="2" t="n">
        <v>33.9</v>
      </c>
      <c r="CW229" s="2" t="n">
        <v>4.3</v>
      </c>
      <c r="CX229" s="2" t="n">
        <v>29.6</v>
      </c>
      <c r="CY229" s="2" t="inlineStr">
        <is>
          <t>NA</t>
        </is>
      </c>
      <c r="CZ229" s="2" t="n">
        <v>76.3</v>
      </c>
      <c r="DA229" s="2" t="n">
        <v>32.3</v>
      </c>
      <c r="DB229" s="2" t="n">
        <v>31.2</v>
      </c>
      <c r="DC229" s="2" t="n">
        <v>1.1</v>
      </c>
      <c r="DI229" s="2" t="n">
        <v>520.158</v>
      </c>
      <c r="DJ229" s="2" t="n">
        <v>304.141</v>
      </c>
      <c r="DL229" s="2" t="n">
        <v>122.922</v>
      </c>
      <c r="DM229" s="2" t="n">
        <v>267.257</v>
      </c>
      <c r="DO229" s="2" t="n">
        <v>210.409</v>
      </c>
      <c r="DP229" s="2" t="n">
        <v>238.847</v>
      </c>
      <c r="DS229" s="2" t="n">
        <v>804.419</v>
      </c>
      <c r="DT229" s="2" t="n">
        <v>3355.793</v>
      </c>
      <c r="DU229" s="2" t="n">
        <v>-887.6399999999999</v>
      </c>
      <c r="DV229" s="2" t="n">
        <v>-2.507000000000062</v>
      </c>
      <c r="GY229" s="2" t="n">
        <v>0.9648877559411234</v>
      </c>
      <c r="GZ229" s="2" t="n">
        <v>1173.4</v>
      </c>
      <c r="HA229" s="2" t="n">
        <v>1216.1</v>
      </c>
      <c r="HF229" s="2" t="n">
        <v>1123.5</v>
      </c>
      <c r="HG229" s="2" t="n">
        <v>1087.1</v>
      </c>
      <c r="HH229" s="2" t="n">
        <v>423.6</v>
      </c>
      <c r="HI229" s="2" t="n">
        <v>131</v>
      </c>
      <c r="HJ229" s="2" t="n">
        <v>524.8</v>
      </c>
      <c r="HK229" s="2" t="n">
        <v>7.7</v>
      </c>
      <c r="HL229" s="2" t="n">
        <v>36.4</v>
      </c>
      <c r="HP229" s="2" t="e">
        <v>#VALUE!</v>
      </c>
      <c r="HQ229" s="2" t="n">
        <v>3.7</v>
      </c>
      <c r="HR229" s="2" t="n">
        <v>10.4</v>
      </c>
      <c r="HS229" s="2" t="e">
        <v>#VALUE!</v>
      </c>
      <c r="HT229" s="2" t="n">
        <v>16.8</v>
      </c>
      <c r="HW229" s="2" t="n">
        <v>289.1</v>
      </c>
      <c r="HX229" s="2" t="e">
        <v>#VALUE!</v>
      </c>
      <c r="HY229" s="2" t="n">
        <v>289.1</v>
      </c>
      <c r="HZ229" s="2" t="n">
        <v>47.3</v>
      </c>
      <c r="IA229" s="2" t="n">
        <v>209.6</v>
      </c>
      <c r="IB229" s="2" t="n">
        <v>65.7</v>
      </c>
      <c r="IC229" s="2" t="n">
        <v>143.9</v>
      </c>
      <c r="ID229" s="2" t="e">
        <v>#VALUE!</v>
      </c>
      <c r="IE229" s="2" t="e">
        <v>#VALUE!</v>
      </c>
      <c r="IF229" s="2" t="n">
        <v>7.9</v>
      </c>
      <c r="IG229" s="2" t="n">
        <v>18.8</v>
      </c>
      <c r="IN229" s="2" t="n">
        <v>55.8</v>
      </c>
      <c r="IO229" s="2" t="n">
        <v>57.5</v>
      </c>
      <c r="IP229" s="2" t="e">
        <v>#VALUE!</v>
      </c>
      <c r="IQ229" s="2" t="n">
        <v>37.6</v>
      </c>
      <c r="IR229" s="2" t="n">
        <v>17.5</v>
      </c>
      <c r="IS229" s="2" t="e">
        <v>#VALUE!</v>
      </c>
      <c r="IT229" s="2" t="n">
        <v>18</v>
      </c>
      <c r="IU229" s="2" t="e">
        <v>#VALUE!</v>
      </c>
      <c r="IV229" s="2" t="e">
        <v>#VALUE!</v>
      </c>
      <c r="IY229" s="2" t="n">
        <v>47.62409552452133</v>
      </c>
      <c r="IZ229" s="2" t="n">
        <v>-0.2359044754786694</v>
      </c>
      <c r="JB229" s="2" t="n">
        <v>11.48438197897746</v>
      </c>
      <c r="JC229" s="2" t="n">
        <v>-0.06561802102254433</v>
      </c>
      <c r="JE229" s="2" t="n">
        <v>1453.1</v>
      </c>
      <c r="JF229" s="2" t="n">
        <v>0.7955956231505058</v>
      </c>
    </row>
    <row r="230">
      <c r="A230" s="1" t="n">
        <v>36039</v>
      </c>
      <c r="B230" s="2" t="n">
        <v>3717.2</v>
      </c>
      <c r="C230" s="2" t="n">
        <v>1995.7</v>
      </c>
      <c r="D230" s="2" t="n">
        <v>174.9</v>
      </c>
      <c r="E230" s="2" t="n">
        <v>560.2</v>
      </c>
      <c r="F230" s="2" t="n">
        <v>7.5</v>
      </c>
      <c r="G230" s="2" t="inlineStr">
        <is>
          <t>NA</t>
        </is>
      </c>
      <c r="H230" s="2" t="inlineStr">
        <is>
          <t>NA</t>
        </is>
      </c>
      <c r="I230" s="2" t="inlineStr">
        <is>
          <t>NA</t>
        </is>
      </c>
      <c r="J230" s="2" t="inlineStr">
        <is>
          <t>NA</t>
        </is>
      </c>
      <c r="K230" s="2" t="n">
        <v>1410.3</v>
      </c>
      <c r="L230" s="2" t="n">
        <v>1382.4</v>
      </c>
      <c r="M230" s="2" t="n">
        <v>1167.4</v>
      </c>
      <c r="N230" s="2" t="n">
        <v>215</v>
      </c>
      <c r="O230" s="2" t="n">
        <v>59.6</v>
      </c>
      <c r="P230" s="2" t="n">
        <v>78.59999999999999</v>
      </c>
      <c r="Q230" s="2" t="n">
        <v>20.5</v>
      </c>
      <c r="R230" s="2" t="n">
        <v>58.1</v>
      </c>
      <c r="T230" s="2" t="n">
        <v>5.8</v>
      </c>
      <c r="U230" s="2" t="n">
        <v>58.2</v>
      </c>
      <c r="V230" s="2" t="n">
        <v>54.3</v>
      </c>
      <c r="W230" s="2" t="n">
        <v>3.9</v>
      </c>
      <c r="X230" s="2" t="inlineStr">
        <is>
          <t>NA</t>
        </is>
      </c>
      <c r="Y230" s="2" t="inlineStr">
        <is>
          <t>NA</t>
        </is>
      </c>
      <c r="Z230" s="2" t="n">
        <v>59.5</v>
      </c>
      <c r="AA230" s="2" t="n">
        <v>54.5</v>
      </c>
      <c r="AB230" s="2" t="n">
        <v>5</v>
      </c>
      <c r="AC230" s="2" t="inlineStr">
        <is>
          <t>NA</t>
        </is>
      </c>
      <c r="AD230" s="2" t="n">
        <v>54</v>
      </c>
      <c r="AF230" s="2" t="n">
        <v>112.1</v>
      </c>
      <c r="AG230" s="2" t="n">
        <v>83.7</v>
      </c>
      <c r="AH230" s="2" t="n">
        <v>28.4</v>
      </c>
      <c r="AI230" s="2" t="n">
        <v>188.9</v>
      </c>
      <c r="AL230" s="2" t="n">
        <v>101.9</v>
      </c>
      <c r="AM230" s="2" t="n">
        <v>66.40000000000001</v>
      </c>
      <c r="AN230" s="2" t="n">
        <v>35.5</v>
      </c>
      <c r="AO230" s="2" t="n">
        <v>2721.9</v>
      </c>
      <c r="AP230" s="2" t="n">
        <v>177</v>
      </c>
      <c r="AQ230" s="2" t="n">
        <v>208.8</v>
      </c>
      <c r="AR230" s="2" t="n">
        <v>41.1</v>
      </c>
      <c r="AS230" s="2" t="n">
        <v>77.09999999999999</v>
      </c>
      <c r="AT230" s="2" t="n">
        <v>87.90000000000001</v>
      </c>
      <c r="AU230" s="2" t="n">
        <v>48.2</v>
      </c>
      <c r="AV230" s="2" t="n">
        <v>19.5</v>
      </c>
      <c r="AW230" s="2" t="n">
        <v>3.7</v>
      </c>
      <c r="AX230" s="2" t="inlineStr">
        <is>
          <t>NA</t>
        </is>
      </c>
      <c r="AY230" s="2" t="inlineStr">
        <is>
          <t>NA</t>
        </is>
      </c>
      <c r="AZ230" s="2" t="inlineStr">
        <is>
          <t>NA</t>
        </is>
      </c>
      <c r="BA230" s="2" t="inlineStr">
        <is>
          <t>NA</t>
        </is>
      </c>
      <c r="BB230" s="2" t="inlineStr">
        <is>
          <t>NA</t>
        </is>
      </c>
      <c r="BD230" s="2" t="n">
        <v>133.8</v>
      </c>
      <c r="BE230" s="2" t="n">
        <v>46.1</v>
      </c>
      <c r="BH230" s="2" t="n">
        <v>299.9</v>
      </c>
      <c r="BK230" s="2" t="n">
        <v>259.5</v>
      </c>
      <c r="BL230" s="2" t="n">
        <v>2.9</v>
      </c>
      <c r="BM230" s="2" t="n">
        <v>562.3</v>
      </c>
      <c r="BN230" s="2" t="n">
        <v>300.8</v>
      </c>
      <c r="BQ230" s="2" t="n">
        <v>146</v>
      </c>
      <c r="BR230" s="2" t="n">
        <v>4.9</v>
      </c>
      <c r="BS230" s="2" t="n">
        <v>451.7</v>
      </c>
      <c r="BT230" s="2" t="inlineStr">
        <is>
          <t>NA</t>
        </is>
      </c>
      <c r="BU230" s="2" t="n">
        <v>40.4</v>
      </c>
      <c r="BV230" s="2" t="n">
        <v>349.1</v>
      </c>
      <c r="BW230" s="2" t="n">
        <v>109.7</v>
      </c>
      <c r="BX230" s="2" t="n">
        <v>463.5</v>
      </c>
      <c r="BY230" s="2" t="n">
        <v>56.9</v>
      </c>
      <c r="BZ230" s="2" t="n">
        <v>13.9</v>
      </c>
      <c r="CA230" s="2" t="n">
        <v>70.8</v>
      </c>
      <c r="CF230" s="2" t="n">
        <v>121.1</v>
      </c>
      <c r="CG230" s="2" t="n">
        <v>268.7</v>
      </c>
      <c r="CH230" s="2" t="n">
        <v>15.1</v>
      </c>
      <c r="CN230" s="2" t="n">
        <v>15.6</v>
      </c>
      <c r="CO230" s="2" t="n">
        <v>392.7</v>
      </c>
      <c r="CP230" s="2" t="n">
        <v>291</v>
      </c>
      <c r="CQ230" s="2" t="n">
        <v>101.7</v>
      </c>
      <c r="CR230" s="2" t="inlineStr">
        <is>
          <t>NA</t>
        </is>
      </c>
      <c r="CS230" s="2" t="n">
        <v>55.40000000000001</v>
      </c>
      <c r="CT230" s="2" t="n">
        <v>24.6</v>
      </c>
      <c r="CU230" s="2" t="n">
        <v>30.8</v>
      </c>
      <c r="CV230" s="2" t="n">
        <v>35.6</v>
      </c>
      <c r="CW230" s="2" t="n">
        <v>11</v>
      </c>
      <c r="CX230" s="2" t="n">
        <v>24.6</v>
      </c>
      <c r="CY230" s="2" t="inlineStr">
        <is>
          <t>NA</t>
        </is>
      </c>
      <c r="CZ230" s="2" t="n">
        <v>63.4</v>
      </c>
      <c r="DA230" s="2" t="n">
        <v>38.2</v>
      </c>
      <c r="DB230" s="2" t="n">
        <v>36.2</v>
      </c>
      <c r="DC230" s="2" t="n">
        <v>2</v>
      </c>
      <c r="DI230" s="2" t="n">
        <v>681.554</v>
      </c>
      <c r="DJ230" s="2" t="n">
        <v>296.542</v>
      </c>
      <c r="DL230" s="2" t="n">
        <v>164.37</v>
      </c>
      <c r="DM230" s="2" t="n">
        <v>214.094</v>
      </c>
      <c r="DO230" s="2" t="n">
        <v>218.751</v>
      </c>
      <c r="DP230" s="2" t="n">
        <v>264.047</v>
      </c>
      <c r="DS230" s="2" t="n">
        <v>889.335</v>
      </c>
      <c r="DT230" s="2" t="n">
        <v>3716.292</v>
      </c>
      <c r="DU230" s="2" t="n">
        <v>-987.5989999999997</v>
      </c>
      <c r="DV230" s="2" t="n">
        <v>-0.9079999999999018</v>
      </c>
      <c r="GY230" s="2" t="n">
        <v>0.9641003460207612</v>
      </c>
      <c r="GZ230" s="2" t="n">
        <v>1114.5</v>
      </c>
      <c r="HA230" s="2" t="n">
        <v>1156</v>
      </c>
      <c r="HF230" s="2" t="n">
        <v>1122.1</v>
      </c>
      <c r="HG230" s="2" t="n">
        <v>1075.5</v>
      </c>
      <c r="HH230" s="2" t="n">
        <v>426</v>
      </c>
      <c r="HI230" s="2" t="n">
        <v>147.8</v>
      </c>
      <c r="HJ230" s="2" t="n">
        <v>494</v>
      </c>
      <c r="HK230" s="2" t="n">
        <v>7.7</v>
      </c>
      <c r="HL230" s="2" t="n">
        <v>46.7</v>
      </c>
      <c r="HP230" s="2" t="e">
        <v>#VALUE!</v>
      </c>
      <c r="HQ230" s="2" t="n">
        <v>3.3</v>
      </c>
      <c r="HR230" s="2" t="n">
        <v>8.6</v>
      </c>
      <c r="HS230" s="2" t="e">
        <v>#VALUE!</v>
      </c>
      <c r="HT230" s="2" t="n">
        <v>29.5</v>
      </c>
      <c r="HW230" s="2" t="n">
        <v>303.6</v>
      </c>
      <c r="HX230" s="2" t="e">
        <v>#VALUE!</v>
      </c>
      <c r="HY230" s="2" t="n">
        <v>303.6</v>
      </c>
      <c r="HZ230" s="2" t="n">
        <v>48.8</v>
      </c>
      <c r="IA230" s="2" t="n">
        <v>221.1</v>
      </c>
      <c r="IB230" s="2" t="n">
        <v>68.8</v>
      </c>
      <c r="IC230" s="2" t="n">
        <v>152.4</v>
      </c>
      <c r="ID230" s="2" t="e">
        <v>#VALUE!</v>
      </c>
      <c r="IE230" s="2" t="e">
        <v>#VALUE!</v>
      </c>
      <c r="IF230" s="2" t="n">
        <v>7.4</v>
      </c>
      <c r="IG230" s="2" t="n">
        <v>21.2</v>
      </c>
      <c r="IN230" s="2" t="n">
        <v>29.1</v>
      </c>
      <c r="IO230" s="2" t="n">
        <v>30.1</v>
      </c>
      <c r="IP230" s="2" t="e">
        <v>#VALUE!</v>
      </c>
      <c r="IQ230" s="2" t="n">
        <v>32.2</v>
      </c>
      <c r="IR230" s="2" t="n">
        <v>17.2</v>
      </c>
      <c r="IS230" s="2" t="e">
        <v>#VALUE!</v>
      </c>
      <c r="IT230" s="2" t="n">
        <v>12.6</v>
      </c>
      <c r="IU230" s="2" t="e">
        <v>#VALUE!</v>
      </c>
      <c r="IV230" s="2" t="e">
        <v>#VALUE!</v>
      </c>
      <c r="IY230" s="2" t="n">
        <v>47.30496072312494</v>
      </c>
      <c r="IZ230" s="2" t="n">
        <v>0.04496072312493737</v>
      </c>
      <c r="JB230" s="2" t="n">
        <v>11.38195415904444</v>
      </c>
      <c r="JC230" s="2" t="n">
        <v>-0.04804584095555775</v>
      </c>
      <c r="JE230" s="2" t="n">
        <v>1382.4</v>
      </c>
      <c r="JF230" s="2" t="n">
        <v>0.6917194733796296</v>
      </c>
    </row>
    <row r="231">
      <c r="A231" s="1" t="n">
        <v>36069</v>
      </c>
      <c r="B231" s="2" t="n">
        <v>4271</v>
      </c>
      <c r="C231" s="2" t="n">
        <v>5230.8</v>
      </c>
      <c r="D231" s="2" t="n">
        <v>272.7</v>
      </c>
      <c r="E231" s="2" t="n">
        <v>1325</v>
      </c>
      <c r="F231" s="2" t="n">
        <v>8.9</v>
      </c>
      <c r="G231" s="2" t="inlineStr">
        <is>
          <t>NA</t>
        </is>
      </c>
      <c r="H231" s="2" t="inlineStr">
        <is>
          <t>NA</t>
        </is>
      </c>
      <c r="I231" s="2" t="inlineStr">
        <is>
          <t>NA</t>
        </is>
      </c>
      <c r="J231" s="2" t="inlineStr">
        <is>
          <t>NA</t>
        </is>
      </c>
      <c r="K231" s="2" t="n">
        <v>1598.4</v>
      </c>
      <c r="L231" s="2" t="n">
        <v>1416.7</v>
      </c>
      <c r="M231" s="2" t="n">
        <v>1195</v>
      </c>
      <c r="N231" s="2" t="n">
        <v>221.7</v>
      </c>
      <c r="O231" s="2" t="n">
        <v>78.3</v>
      </c>
      <c r="P231" s="2" t="n">
        <v>89</v>
      </c>
      <c r="Q231" s="2" t="n">
        <v>35.3</v>
      </c>
      <c r="R231" s="2" t="n">
        <v>53.7</v>
      </c>
      <c r="T231" s="2" t="n">
        <v>6.9</v>
      </c>
      <c r="U231" s="2" t="n">
        <v>69.30000000000001</v>
      </c>
      <c r="V231" s="2" t="n">
        <v>67.90000000000001</v>
      </c>
      <c r="W231" s="2" t="n">
        <v>1.4</v>
      </c>
      <c r="X231" s="2" t="inlineStr">
        <is>
          <t>NA</t>
        </is>
      </c>
      <c r="Y231" s="2" t="n">
        <v>9.699999999999999</v>
      </c>
      <c r="Z231" s="2" t="n">
        <v>119.6</v>
      </c>
      <c r="AA231" s="2" t="n">
        <v>115.7</v>
      </c>
      <c r="AB231" s="2" t="n">
        <v>3.9</v>
      </c>
      <c r="AC231" s="2" t="inlineStr">
        <is>
          <t>NA</t>
        </is>
      </c>
      <c r="AD231" s="2" t="n">
        <v>56.6</v>
      </c>
      <c r="AF231" s="2" t="n">
        <v>115.3</v>
      </c>
      <c r="AG231" s="2" t="n">
        <v>75.7</v>
      </c>
      <c r="AH231" s="2" t="n">
        <v>39.6</v>
      </c>
      <c r="AI231" s="2" t="n">
        <v>209.2</v>
      </c>
      <c r="AL231" s="2" t="n">
        <v>92.5</v>
      </c>
      <c r="AM231" s="2" t="n">
        <v>60.5</v>
      </c>
      <c r="AN231" s="2" t="n">
        <v>32</v>
      </c>
      <c r="AO231" s="2" t="n">
        <v>3143.1</v>
      </c>
      <c r="AP231" s="2" t="n">
        <v>233.7</v>
      </c>
      <c r="AQ231" s="2" t="n">
        <v>222</v>
      </c>
      <c r="AR231" s="2" t="n">
        <v>38.1</v>
      </c>
      <c r="AS231" s="2" t="n">
        <v>118.7</v>
      </c>
      <c r="AT231" s="2" t="n">
        <v>92.09999999999999</v>
      </c>
      <c r="AU231" s="2" t="n">
        <v>67.5</v>
      </c>
      <c r="AV231" s="2" t="n">
        <v>22.2</v>
      </c>
      <c r="AW231" s="2" t="n">
        <v>5</v>
      </c>
      <c r="AX231" s="2" t="inlineStr">
        <is>
          <t>NA</t>
        </is>
      </c>
      <c r="AY231" s="2" t="inlineStr">
        <is>
          <t>NA</t>
        </is>
      </c>
      <c r="AZ231" s="2" t="inlineStr">
        <is>
          <t>NA</t>
        </is>
      </c>
      <c r="BA231" s="2" t="inlineStr">
        <is>
          <t>NA</t>
        </is>
      </c>
      <c r="BB231" s="2" t="inlineStr">
        <is>
          <t>NA</t>
        </is>
      </c>
      <c r="BD231" s="2" t="n">
        <v>125.2</v>
      </c>
      <c r="BE231" s="2" t="n">
        <v>44.1</v>
      </c>
      <c r="BH231" s="2" t="n">
        <v>307.7</v>
      </c>
      <c r="BK231" s="2" t="n">
        <v>255.7</v>
      </c>
      <c r="BL231" s="2" t="n">
        <v>3.7</v>
      </c>
      <c r="BM231" s="2" t="n">
        <v>567.1</v>
      </c>
      <c r="BN231" s="2" t="n">
        <v>281.7</v>
      </c>
      <c r="BQ231" s="2" t="n">
        <v>141.7</v>
      </c>
      <c r="BR231" s="2" t="n">
        <v>5.1</v>
      </c>
      <c r="BS231" s="2" t="n">
        <v>428.5</v>
      </c>
      <c r="BT231" s="2" t="inlineStr">
        <is>
          <t>NA</t>
        </is>
      </c>
      <c r="BU231" s="2" t="n">
        <v>34.8</v>
      </c>
      <c r="BV231" s="2" t="n">
        <v>376</v>
      </c>
      <c r="BW231" s="2" t="n">
        <v>107.9</v>
      </c>
      <c r="BX231" s="2" t="n">
        <v>484.6</v>
      </c>
      <c r="BY231" s="2" t="n">
        <v>56.3</v>
      </c>
      <c r="BZ231" s="2" t="n">
        <v>16.3</v>
      </c>
      <c r="CA231" s="2" t="n">
        <v>72.59999999999999</v>
      </c>
      <c r="CF231" s="2" t="n">
        <v>118.4</v>
      </c>
      <c r="CG231" s="2" t="n">
        <v>219.8</v>
      </c>
      <c r="CH231" s="2" t="n">
        <v>14.9</v>
      </c>
      <c r="CN231" s="2" t="n">
        <v>28.7</v>
      </c>
      <c r="CO231" s="2" t="n">
        <v>431.8</v>
      </c>
      <c r="CP231" s="2" t="n">
        <v>316.5</v>
      </c>
      <c r="CQ231" s="2" t="n">
        <v>115.3</v>
      </c>
      <c r="CR231" s="2" t="inlineStr">
        <is>
          <t>NA</t>
        </is>
      </c>
      <c r="CS231" s="2" t="n">
        <v>35.7</v>
      </c>
      <c r="CT231" s="2" t="n">
        <v>18.6</v>
      </c>
      <c r="CU231" s="2" t="n">
        <v>17.1</v>
      </c>
      <c r="CV231" s="2" t="n">
        <v>29.6</v>
      </c>
      <c r="CW231" s="2" t="n">
        <v>9.5</v>
      </c>
      <c r="CX231" s="2" t="n">
        <v>20.1</v>
      </c>
      <c r="CY231" s="2" t="inlineStr">
        <is>
          <t>NA</t>
        </is>
      </c>
      <c r="CZ231" s="2" t="n">
        <v>70.7</v>
      </c>
      <c r="DA231" s="2" t="n">
        <v>36.1</v>
      </c>
      <c r="DB231" s="2" t="n">
        <v>34.9</v>
      </c>
      <c r="DC231" s="2" t="n">
        <v>1.2</v>
      </c>
      <c r="DI231" s="2" t="n">
        <v>761.857</v>
      </c>
      <c r="DJ231" s="2" t="n">
        <v>393.115</v>
      </c>
      <c r="DL231" s="2" t="n">
        <v>183.036</v>
      </c>
      <c r="DM231" s="2" t="n">
        <v>267.548</v>
      </c>
      <c r="DO231" s="2" t="n">
        <v>257.384</v>
      </c>
      <c r="DP231" s="2" t="n">
        <v>310.141</v>
      </c>
      <c r="DS231" s="2" t="n">
        <v>1051.306</v>
      </c>
      <c r="DT231" s="2" t="n">
        <v>4349.432</v>
      </c>
      <c r="DU231" s="2" t="n">
        <v>-1125.045</v>
      </c>
      <c r="DV231" s="2" t="n">
        <v>78.43199999999979</v>
      </c>
      <c r="GY231" s="2" t="n">
        <v>0.9554353016075123</v>
      </c>
      <c r="GZ231" s="2" t="n">
        <v>1200.6</v>
      </c>
      <c r="HA231" s="2" t="n">
        <v>1256.6</v>
      </c>
      <c r="HF231" s="2" t="n">
        <v>1231.5</v>
      </c>
      <c r="HG231" s="2" t="n">
        <v>1182.2</v>
      </c>
      <c r="HH231" s="2" t="n">
        <v>448.6</v>
      </c>
      <c r="HI231" s="2" t="n">
        <v>155.5</v>
      </c>
      <c r="HJ231" s="2" t="n">
        <v>570.3</v>
      </c>
      <c r="HK231" s="2" t="n">
        <v>7.9</v>
      </c>
      <c r="HL231" s="2" t="n">
        <v>49.4</v>
      </c>
      <c r="HP231" s="2" t="e">
        <v>#VALUE!</v>
      </c>
      <c r="HQ231" s="2" t="n">
        <v>2.8</v>
      </c>
      <c r="HR231" s="2" t="n">
        <v>9.4</v>
      </c>
      <c r="HS231" s="2" t="e">
        <v>#VALUE!</v>
      </c>
      <c r="HT231" s="2" t="n">
        <v>30.4</v>
      </c>
      <c r="HW231" s="2" t="n">
        <v>294.5</v>
      </c>
      <c r="HX231" s="2" t="e">
        <v>#VALUE!</v>
      </c>
      <c r="HY231" s="2" t="n">
        <v>294.5</v>
      </c>
      <c r="HZ231" s="2" t="n">
        <v>53.5</v>
      </c>
      <c r="IA231" s="2" t="n">
        <v>211</v>
      </c>
      <c r="IB231" s="2" t="n">
        <v>66.90000000000001</v>
      </c>
      <c r="IC231" s="2" t="n">
        <v>144.1</v>
      </c>
      <c r="ID231" s="2" t="e">
        <v>#VALUE!</v>
      </c>
      <c r="IE231" s="2" t="e">
        <v>#VALUE!</v>
      </c>
      <c r="IF231" s="2" t="n">
        <v>7.9</v>
      </c>
      <c r="IG231" s="2" t="n">
        <v>15.7</v>
      </c>
      <c r="IN231" s="2" t="n">
        <v>51.1</v>
      </c>
      <c r="IO231" s="2" t="n">
        <v>52.9</v>
      </c>
      <c r="IP231" s="2" t="e">
        <v>#VALUE!</v>
      </c>
      <c r="IQ231" s="2" t="n">
        <v>34.7</v>
      </c>
      <c r="IR231" s="2" t="n">
        <v>18.1</v>
      </c>
      <c r="IS231" s="2" t="e">
        <v>#VALUE!</v>
      </c>
      <c r="IT231" s="2" t="n">
        <v>14.4</v>
      </c>
      <c r="IU231" s="2" t="e">
        <v>#VALUE!</v>
      </c>
      <c r="IV231" s="2" t="e">
        <v>#VALUE!</v>
      </c>
      <c r="IY231" s="2" t="n">
        <v>47.27370639194567</v>
      </c>
      <c r="IZ231" s="2" t="n">
        <v>-0.006293608054328104</v>
      </c>
      <c r="JB231" s="2" t="n">
        <v>11.22734722547413</v>
      </c>
      <c r="JC231" s="2" t="n">
        <v>-0.03265277452587156</v>
      </c>
      <c r="JE231" s="2" t="n">
        <v>1416.7</v>
      </c>
      <c r="JF231" s="2" t="n">
        <v>0.7492920166584315</v>
      </c>
    </row>
    <row r="232">
      <c r="A232" s="1" t="n">
        <v>36100</v>
      </c>
      <c r="B232" s="2" t="n">
        <v>4290.7</v>
      </c>
      <c r="C232" s="2" t="n">
        <v>4629.4</v>
      </c>
      <c r="D232" s="2" t="n">
        <v>254.3</v>
      </c>
      <c r="E232" s="2" t="n">
        <v>1733.1</v>
      </c>
      <c r="F232" s="2" t="n">
        <v>17.6</v>
      </c>
      <c r="G232" s="2" t="inlineStr">
        <is>
          <t>NA</t>
        </is>
      </c>
      <c r="H232" s="2" t="inlineStr">
        <is>
          <t>NA</t>
        </is>
      </c>
      <c r="I232" s="2" t="inlineStr">
        <is>
          <t>NA</t>
        </is>
      </c>
      <c r="J232" s="2" t="inlineStr">
        <is>
          <t>NA</t>
        </is>
      </c>
      <c r="K232" s="2" t="n">
        <v>1598</v>
      </c>
      <c r="L232" s="2" t="n">
        <v>1406.4</v>
      </c>
      <c r="M232" s="2" t="n">
        <v>1142</v>
      </c>
      <c r="N232" s="2" t="n">
        <v>264.4</v>
      </c>
      <c r="O232" s="2" t="n">
        <v>80</v>
      </c>
      <c r="P232" s="2" t="n">
        <v>110</v>
      </c>
      <c r="Q232" s="2" t="n">
        <v>42.1</v>
      </c>
      <c r="R232" s="2" t="n">
        <v>67.90000000000001</v>
      </c>
      <c r="T232" s="2" t="n">
        <v>13.6</v>
      </c>
      <c r="U232" s="2" t="n">
        <v>56.6</v>
      </c>
      <c r="V232" s="2" t="n">
        <v>54.6</v>
      </c>
      <c r="W232" s="2" t="n">
        <v>2</v>
      </c>
      <c r="X232" s="2" t="inlineStr">
        <is>
          <t>NA</t>
        </is>
      </c>
      <c r="Y232" s="2" t="n">
        <v>18.9</v>
      </c>
      <c r="Z232" s="2" t="n">
        <v>158</v>
      </c>
      <c r="AA232" s="2" t="n">
        <v>150.2</v>
      </c>
      <c r="AB232" s="2" t="n">
        <v>7.8</v>
      </c>
      <c r="AC232" s="2" t="inlineStr">
        <is>
          <t>NA</t>
        </is>
      </c>
      <c r="AD232" s="2" t="n">
        <v>40.8</v>
      </c>
      <c r="AF232" s="2" t="n">
        <v>110</v>
      </c>
      <c r="AG232" s="2" t="n">
        <v>72.59999999999999</v>
      </c>
      <c r="AH232" s="2" t="n">
        <v>37.4</v>
      </c>
      <c r="AI232" s="2" t="n">
        <v>199.4</v>
      </c>
      <c r="AL232" s="2" t="n">
        <v>100.7</v>
      </c>
      <c r="AM232" s="2" t="n">
        <v>47.6</v>
      </c>
      <c r="AN232" s="2" t="n">
        <v>53.1</v>
      </c>
      <c r="AO232" s="2" t="n">
        <v>3142.5</v>
      </c>
      <c r="AP232" s="2" t="n">
        <v>311</v>
      </c>
      <c r="AQ232" s="2" t="n">
        <v>225.9</v>
      </c>
      <c r="AR232" s="2" t="n">
        <v>41.3</v>
      </c>
      <c r="AS232" s="2" t="n">
        <v>115.9</v>
      </c>
      <c r="AT232" s="2" t="n">
        <v>82.59999999999999</v>
      </c>
      <c r="AU232" s="2" t="n">
        <v>66.8</v>
      </c>
      <c r="AV232" s="2" t="n">
        <v>17.4</v>
      </c>
      <c r="AW232" s="2" t="n">
        <v>10.1</v>
      </c>
      <c r="AX232" s="2" t="n">
        <v>8</v>
      </c>
      <c r="AY232" s="2" t="inlineStr">
        <is>
          <t>NA</t>
        </is>
      </c>
      <c r="AZ232" s="2" t="inlineStr">
        <is>
          <t>NA</t>
        </is>
      </c>
      <c r="BA232" s="2" t="inlineStr">
        <is>
          <t>NA</t>
        </is>
      </c>
      <c r="BB232" s="2" t="inlineStr">
        <is>
          <t>NA</t>
        </is>
      </c>
      <c r="BD232" s="2" t="n">
        <v>124.3</v>
      </c>
      <c r="BE232" s="2" t="n">
        <v>39.7</v>
      </c>
      <c r="BH232" s="2" t="n">
        <v>297</v>
      </c>
      <c r="BK232" s="2" t="n">
        <v>236.7</v>
      </c>
      <c r="BL232" s="2" t="n">
        <v>3.5</v>
      </c>
      <c r="BM232" s="2" t="n">
        <v>537.2</v>
      </c>
      <c r="BN232" s="2" t="n">
        <v>308.9</v>
      </c>
      <c r="BQ232" s="2" t="n">
        <v>143.4</v>
      </c>
      <c r="BR232" s="2" t="n">
        <v>5.6</v>
      </c>
      <c r="BS232" s="2" t="n">
        <v>457.9</v>
      </c>
      <c r="BT232" s="2" t="inlineStr">
        <is>
          <t>NA</t>
        </is>
      </c>
      <c r="BU232" s="2" t="n">
        <v>26.3</v>
      </c>
      <c r="BV232" s="2" t="n">
        <v>346.9</v>
      </c>
      <c r="BW232" s="2" t="n">
        <v>107.2</v>
      </c>
      <c r="BX232" s="2" t="n">
        <v>457</v>
      </c>
      <c r="BY232" s="2" t="n">
        <v>61.2</v>
      </c>
      <c r="BZ232" s="2" t="n">
        <v>17.3</v>
      </c>
      <c r="CA232" s="2" t="n">
        <v>78.5</v>
      </c>
      <c r="CF232" s="2" t="n">
        <v>113.4</v>
      </c>
      <c r="CG232" s="2" t="n">
        <v>200.3</v>
      </c>
      <c r="CH232" s="2" t="n">
        <v>17</v>
      </c>
      <c r="CN232" s="2" t="n">
        <v>33</v>
      </c>
      <c r="CO232" s="2" t="n">
        <v>447.3</v>
      </c>
      <c r="CP232" s="2" t="n">
        <v>322.8</v>
      </c>
      <c r="CQ232" s="2" t="n">
        <v>124.5</v>
      </c>
      <c r="CR232" s="2" t="inlineStr">
        <is>
          <t>NA</t>
        </is>
      </c>
      <c r="CS232" s="2" t="n">
        <v>44.5</v>
      </c>
      <c r="CT232" s="2" t="n">
        <v>26.7</v>
      </c>
      <c r="CU232" s="2" t="n">
        <v>17.8</v>
      </c>
      <c r="CV232" s="2" t="n">
        <v>33.9</v>
      </c>
      <c r="CW232" s="2" t="n">
        <v>9.5</v>
      </c>
      <c r="CX232" s="2" t="n">
        <v>24.4</v>
      </c>
      <c r="CY232" s="2" t="inlineStr">
        <is>
          <t>NA</t>
        </is>
      </c>
      <c r="CZ232" s="2" t="n">
        <v>74.59999999999999</v>
      </c>
      <c r="DA232" s="2" t="n">
        <v>40.09999999999999</v>
      </c>
      <c r="DB232" s="2" t="n">
        <v>38.8</v>
      </c>
      <c r="DC232" s="2" t="n">
        <v>1.3</v>
      </c>
      <c r="DI232" s="2" t="n">
        <v>748.282</v>
      </c>
      <c r="DJ232" s="2" t="n">
        <v>367.466</v>
      </c>
      <c r="DL232" s="2" t="n">
        <v>171.499</v>
      </c>
      <c r="DM232" s="2" t="n">
        <v>256.77</v>
      </c>
      <c r="DO232" s="2" t="n">
        <v>251.741</v>
      </c>
      <c r="DP232" s="2" t="n">
        <v>311.827</v>
      </c>
      <c r="DS232" s="2" t="n">
        <v>1048.802</v>
      </c>
      <c r="DT232" s="2" t="n">
        <v>4289.478</v>
      </c>
      <c r="DU232" s="2" t="n">
        <v>-1133.091</v>
      </c>
      <c r="DV232" s="2" t="n">
        <v>-1.221999999999753</v>
      </c>
      <c r="GY232" s="2" t="n">
        <v>0.9644255023049491</v>
      </c>
      <c r="GZ232" s="2" t="n">
        <v>1108.8</v>
      </c>
      <c r="HA232" s="2" t="n">
        <v>1149.7</v>
      </c>
      <c r="HF232" s="2" t="n">
        <v>1150.3</v>
      </c>
      <c r="HG232" s="2" t="n">
        <v>1104</v>
      </c>
      <c r="HH232" s="2" t="n">
        <v>401.8</v>
      </c>
      <c r="HI232" s="2" t="n">
        <v>146.2</v>
      </c>
      <c r="HJ232" s="2" t="n">
        <v>547.2</v>
      </c>
      <c r="HK232" s="2" t="n">
        <v>8.800000000000001</v>
      </c>
      <c r="HL232" s="2" t="n">
        <v>46.4</v>
      </c>
      <c r="HP232" s="2" t="e">
        <v>#VALUE!</v>
      </c>
      <c r="HQ232" s="2" t="n">
        <v>2.4</v>
      </c>
      <c r="HR232" s="2" t="n">
        <v>10.4</v>
      </c>
      <c r="HS232" s="2" t="e">
        <v>#VALUE!</v>
      </c>
      <c r="HT232" s="2" t="n">
        <v>28.2</v>
      </c>
      <c r="HW232" s="2" t="n">
        <v>277.3</v>
      </c>
      <c r="HX232" s="2" t="e">
        <v>#VALUE!</v>
      </c>
      <c r="HY232" s="2" t="n">
        <v>277.3</v>
      </c>
      <c r="HZ232" s="2" t="n">
        <v>42.2</v>
      </c>
      <c r="IA232" s="2" t="n">
        <v>201.3</v>
      </c>
      <c r="IB232" s="2" t="n">
        <v>63.3</v>
      </c>
      <c r="IC232" s="2" t="n">
        <v>138</v>
      </c>
      <c r="ID232" s="2" t="e">
        <v>#VALUE!</v>
      </c>
      <c r="IE232" s="2" t="e">
        <v>#VALUE!</v>
      </c>
      <c r="IF232" s="2" t="n">
        <v>7.7</v>
      </c>
      <c r="IG232" s="2" t="n">
        <v>21.1</v>
      </c>
      <c r="IN232" s="2" t="n">
        <v>47.9</v>
      </c>
      <c r="IO232" s="2" t="n">
        <v>49.6</v>
      </c>
      <c r="IP232" s="2" t="e">
        <v>#VALUE!</v>
      </c>
      <c r="IQ232" s="2" t="n">
        <v>28.9</v>
      </c>
      <c r="IR232" s="2" t="n">
        <v>15.2</v>
      </c>
      <c r="IS232" s="2" t="e">
        <v>#VALUE!</v>
      </c>
      <c r="IT232" s="2" t="n">
        <v>11.6</v>
      </c>
      <c r="IU232" s="2" t="e">
        <v>#VALUE!</v>
      </c>
      <c r="IV232" s="2" t="e">
        <v>#VALUE!</v>
      </c>
      <c r="IY232" s="2" t="n">
        <v>47.10280373831775</v>
      </c>
      <c r="IZ232" s="2" t="n">
        <v>-0.05719626168224323</v>
      </c>
      <c r="JB232" s="2" t="n">
        <v>11.17300207425362</v>
      </c>
      <c r="JC232" s="2" t="n">
        <v>-0.03699792574638394</v>
      </c>
      <c r="JE232" s="2" t="n">
        <v>1406.4</v>
      </c>
      <c r="JF232" s="2" t="n">
        <v>0.685077502844141</v>
      </c>
    </row>
    <row r="233">
      <c r="A233" s="1" t="n">
        <v>36130</v>
      </c>
      <c r="B233" s="2" t="n">
        <v>4338.5</v>
      </c>
      <c r="C233" s="2" t="n">
        <v>3928.7</v>
      </c>
      <c r="D233" s="2" t="n">
        <v>262.7</v>
      </c>
      <c r="E233" s="2" t="n">
        <v>1846.1</v>
      </c>
      <c r="F233" s="2" t="n">
        <v>17.2</v>
      </c>
      <c r="G233" s="2" t="inlineStr">
        <is>
          <t>NA</t>
        </is>
      </c>
      <c r="H233" s="2" t="inlineStr">
        <is>
          <t>NA</t>
        </is>
      </c>
      <c r="I233" s="2" t="inlineStr">
        <is>
          <t>NA</t>
        </is>
      </c>
      <c r="J233" s="2" t="inlineStr">
        <is>
          <t>NA</t>
        </is>
      </c>
      <c r="K233" s="2" t="n">
        <v>1610.6</v>
      </c>
      <c r="L233" s="2" t="n">
        <v>1312.9</v>
      </c>
      <c r="M233" s="2" t="n">
        <v>1066.2</v>
      </c>
      <c r="N233" s="2" t="n">
        <v>246.7</v>
      </c>
      <c r="O233" s="2" t="n">
        <v>80.59999999999999</v>
      </c>
      <c r="P233" s="2" t="n">
        <v>85.5</v>
      </c>
      <c r="Q233" s="2" t="n">
        <v>22.6</v>
      </c>
      <c r="R233" s="2" t="n">
        <v>62.9</v>
      </c>
      <c r="T233" s="2" t="n">
        <v>13.9</v>
      </c>
      <c r="U233" s="2" t="n">
        <v>51.5</v>
      </c>
      <c r="V233" s="2" t="n">
        <v>48</v>
      </c>
      <c r="W233" s="2" t="n">
        <v>3.5</v>
      </c>
      <c r="X233" s="2" t="inlineStr">
        <is>
          <t>NA</t>
        </is>
      </c>
      <c r="Y233" s="2" t="n">
        <v>11.9</v>
      </c>
      <c r="Z233" s="2" t="n">
        <v>200.2</v>
      </c>
      <c r="AA233" s="2" t="n">
        <v>188.9</v>
      </c>
      <c r="AB233" s="2" t="n">
        <v>11.3</v>
      </c>
      <c r="AC233" s="2" t="inlineStr">
        <is>
          <t>NA</t>
        </is>
      </c>
      <c r="AD233" s="2" t="n">
        <v>42.5</v>
      </c>
      <c r="AF233" s="2" t="n">
        <v>124.2</v>
      </c>
      <c r="AG233" s="2" t="n">
        <v>98.5</v>
      </c>
      <c r="AH233" s="2" t="n">
        <v>25.7</v>
      </c>
      <c r="AI233" s="2" t="n">
        <v>189.2</v>
      </c>
      <c r="AL233" s="2" t="n">
        <v>100.4</v>
      </c>
      <c r="AM233" s="2" t="n">
        <v>32.4</v>
      </c>
      <c r="AN233" s="2" t="n">
        <v>68</v>
      </c>
      <c r="AO233" s="2" t="n">
        <v>3193</v>
      </c>
      <c r="AP233" s="2" t="n">
        <v>276.4</v>
      </c>
      <c r="AQ233" s="2" t="n">
        <v>229.4</v>
      </c>
      <c r="AR233" s="2" t="n">
        <v>37.4</v>
      </c>
      <c r="AS233" s="2" t="n">
        <v>122.5</v>
      </c>
      <c r="AT233" s="2" t="n">
        <v>85</v>
      </c>
      <c r="AU233" s="2" t="n">
        <v>68.09999999999999</v>
      </c>
      <c r="AV233" s="2" t="n">
        <v>15.7</v>
      </c>
      <c r="AW233" s="2" t="n">
        <v>9.800000000000001</v>
      </c>
      <c r="AX233" s="2" t="n">
        <v>6.4</v>
      </c>
      <c r="AY233" s="2" t="inlineStr">
        <is>
          <t>NA</t>
        </is>
      </c>
      <c r="AZ233" s="2" t="inlineStr">
        <is>
          <t>NA</t>
        </is>
      </c>
      <c r="BA233" s="2" t="inlineStr">
        <is>
          <t>NA</t>
        </is>
      </c>
      <c r="BB233" s="2" t="inlineStr">
        <is>
          <t>NA</t>
        </is>
      </c>
      <c r="BD233" s="2" t="n">
        <v>118</v>
      </c>
      <c r="BE233" s="2" t="n">
        <v>39.1</v>
      </c>
      <c r="BH233" s="2" t="n">
        <v>291.8</v>
      </c>
      <c r="BK233" s="2" t="n">
        <v>261.5</v>
      </c>
      <c r="BL233" s="2" t="n">
        <v>3.8</v>
      </c>
      <c r="BM233" s="2" t="n">
        <v>557.1</v>
      </c>
      <c r="BN233" s="2" t="n">
        <v>294.3</v>
      </c>
      <c r="BQ233" s="2" t="n">
        <v>138.2</v>
      </c>
      <c r="BR233" s="2" t="n">
        <v>4.9</v>
      </c>
      <c r="BS233" s="2" t="n">
        <v>437.4</v>
      </c>
      <c r="BT233" s="2" t="inlineStr">
        <is>
          <t>NA</t>
        </is>
      </c>
      <c r="BU233" s="2" t="n">
        <v>28.4</v>
      </c>
      <c r="BV233" s="2" t="n">
        <v>382.9</v>
      </c>
      <c r="BW233" s="2" t="n">
        <v>108.6</v>
      </c>
      <c r="BX233" s="2" t="n">
        <v>494.3</v>
      </c>
      <c r="BY233" s="2" t="n">
        <v>55.5</v>
      </c>
      <c r="BZ233" s="2" t="n">
        <v>13.2</v>
      </c>
      <c r="CA233" s="2" t="n">
        <v>68.7</v>
      </c>
      <c r="CF233" s="2" t="n">
        <v>119.3</v>
      </c>
      <c r="CG233" s="2" t="n">
        <v>197.5</v>
      </c>
      <c r="CH233" s="2" t="n">
        <v>12.5</v>
      </c>
      <c r="CN233" s="2" t="n">
        <v>28</v>
      </c>
      <c r="CO233" s="2" t="n">
        <v>401.7</v>
      </c>
      <c r="CP233" s="2" t="n">
        <v>298.7</v>
      </c>
      <c r="CQ233" s="2" t="n">
        <v>103</v>
      </c>
      <c r="CR233" s="2" t="inlineStr">
        <is>
          <t>NA</t>
        </is>
      </c>
      <c r="CS233" s="2" t="n">
        <v>45.2</v>
      </c>
      <c r="CT233" s="2" t="n">
        <v>22.3</v>
      </c>
      <c r="CU233" s="2" t="n">
        <v>22.9</v>
      </c>
      <c r="CV233" s="2" t="n">
        <v>27.8</v>
      </c>
      <c r="CW233" s="2" t="n">
        <v>3.2</v>
      </c>
      <c r="CX233" s="2" t="n">
        <v>24.6</v>
      </c>
      <c r="CY233" s="2" t="inlineStr">
        <is>
          <t>NA</t>
        </is>
      </c>
      <c r="CZ233" s="2" t="n">
        <v>55.9</v>
      </c>
      <c r="DA233" s="2" t="n">
        <v>43.6</v>
      </c>
      <c r="DB233" s="2" t="n">
        <v>42.9</v>
      </c>
      <c r="DC233" s="2" t="n">
        <v>0.7</v>
      </c>
      <c r="DI233" s="2" t="n">
        <v>766.806</v>
      </c>
      <c r="DJ233" s="2" t="n">
        <v>371.441</v>
      </c>
      <c r="DL233" s="2" t="n">
        <v>181.501</v>
      </c>
      <c r="DM233" s="2" t="n">
        <v>282.542</v>
      </c>
      <c r="DO233" s="2" t="n">
        <v>244.95</v>
      </c>
      <c r="DP233" s="2" t="n">
        <v>297.189</v>
      </c>
      <c r="DS233" s="2" t="n">
        <v>1074.856</v>
      </c>
      <c r="DT233" s="2" t="n">
        <v>4337.099</v>
      </c>
      <c r="DU233" s="2" t="n">
        <v>-1117.814</v>
      </c>
      <c r="DV233" s="2" t="n">
        <v>-1.40099999999984</v>
      </c>
      <c r="GY233" s="2" t="n">
        <v>0.9643749421671139</v>
      </c>
      <c r="GZ233" s="2" t="n">
        <v>1042.2</v>
      </c>
      <c r="HA233" s="2" t="n">
        <v>1080.7</v>
      </c>
      <c r="HF233" s="2" t="n">
        <v>1057.1</v>
      </c>
      <c r="HG233" s="2" t="n">
        <v>1008.1</v>
      </c>
      <c r="HH233" s="2" t="n">
        <v>376.2</v>
      </c>
      <c r="HI233" s="2" t="n">
        <v>135</v>
      </c>
      <c r="HJ233" s="2" t="n">
        <v>486.3</v>
      </c>
      <c r="HK233" s="2" t="n">
        <v>10.5</v>
      </c>
      <c r="HL233" s="2" t="n">
        <v>49</v>
      </c>
      <c r="HP233" s="2" t="e">
        <v>#VALUE!</v>
      </c>
      <c r="HQ233" s="2" t="n">
        <v>2.6</v>
      </c>
      <c r="HR233" s="2" t="n">
        <v>7</v>
      </c>
      <c r="HS233" s="2" t="e">
        <v>#VALUE!</v>
      </c>
      <c r="HT233" s="2" t="n">
        <v>33.5</v>
      </c>
      <c r="HW233" s="2" t="n">
        <v>290.9</v>
      </c>
      <c r="HX233" s="2" t="e">
        <v>#VALUE!</v>
      </c>
      <c r="HY233" s="2" t="n">
        <v>290.9</v>
      </c>
      <c r="HZ233" s="2" t="n">
        <v>49.9</v>
      </c>
      <c r="IA233" s="2" t="n">
        <v>214</v>
      </c>
      <c r="IB233" s="2" t="n">
        <v>71.09999999999999</v>
      </c>
      <c r="IC233" s="2" t="n">
        <v>142.9</v>
      </c>
      <c r="ID233" s="2" t="e">
        <v>#VALUE!</v>
      </c>
      <c r="IE233" s="2" t="e">
        <v>#VALUE!</v>
      </c>
      <c r="IF233" s="2" t="n">
        <v>6.7</v>
      </c>
      <c r="IG233" s="2" t="n">
        <v>16.3</v>
      </c>
      <c r="IN233" s="2" t="n">
        <v>48.5</v>
      </c>
      <c r="IO233" s="2" t="n">
        <v>50.2</v>
      </c>
      <c r="IP233" s="2" t="e">
        <v>#VALUE!</v>
      </c>
      <c r="IQ233" s="2" t="n">
        <v>30.4</v>
      </c>
      <c r="IR233" s="2" t="n">
        <v>14.5</v>
      </c>
      <c r="IS233" s="2" t="e">
        <v>#VALUE!</v>
      </c>
      <c r="IT233" s="2" t="n">
        <v>14.1</v>
      </c>
      <c r="IU233" s="2" t="e">
        <v>#VALUE!</v>
      </c>
      <c r="IV233" s="2" t="e">
        <v>#VALUE!</v>
      </c>
      <c r="IY233" s="2" t="n">
        <v>47.33064423187738</v>
      </c>
      <c r="IZ233" s="2" t="n">
        <v>0.1006442318773821</v>
      </c>
      <c r="JB233" s="2" t="n">
        <v>11.13702892704852</v>
      </c>
      <c r="JC233" s="2" t="n">
        <v>-0.05297107295148251</v>
      </c>
      <c r="JE233" s="2" t="n">
        <v>1312.9</v>
      </c>
      <c r="JF233" s="2" t="n">
        <v>0.6893403914997334</v>
      </c>
    </row>
    <row r="234">
      <c r="A234" s="1" t="n">
        <v>36161</v>
      </c>
      <c r="B234" s="2" t="n">
        <v>4091.3</v>
      </c>
      <c r="C234" s="2" t="n">
        <v>3287.1</v>
      </c>
      <c r="D234" s="2" t="n">
        <v>282.2</v>
      </c>
      <c r="E234" s="2" t="n">
        <v>1668.1</v>
      </c>
      <c r="F234" s="2" t="n">
        <v>20.1</v>
      </c>
      <c r="G234" s="2" t="inlineStr">
        <is>
          <t>NA</t>
        </is>
      </c>
      <c r="H234" s="2" t="inlineStr">
        <is>
          <t>NA</t>
        </is>
      </c>
      <c r="I234" s="2" t="inlineStr">
        <is>
          <t>NA</t>
        </is>
      </c>
      <c r="J234" s="2" t="inlineStr">
        <is>
          <t>NA</t>
        </is>
      </c>
      <c r="K234" s="2" t="n">
        <v>1527.5</v>
      </c>
      <c r="L234" s="2" t="n">
        <v>1505.6</v>
      </c>
      <c r="M234" s="2" t="n">
        <v>1209.5</v>
      </c>
      <c r="N234" s="2" t="n">
        <v>296.1</v>
      </c>
      <c r="O234" s="2" t="n">
        <v>84</v>
      </c>
      <c r="P234" s="2" t="n">
        <v>109.5</v>
      </c>
      <c r="Q234" s="2" t="n">
        <v>31.4</v>
      </c>
      <c r="R234" s="2" t="n">
        <v>78.09999999999999</v>
      </c>
      <c r="T234" s="2" t="n">
        <v>16.2</v>
      </c>
      <c r="U234" s="2" t="n">
        <v>56.2</v>
      </c>
      <c r="V234" s="2" t="n">
        <v>52</v>
      </c>
      <c r="W234" s="2" t="n">
        <v>4.2</v>
      </c>
      <c r="X234" s="2" t="inlineStr">
        <is>
          <t>NA</t>
        </is>
      </c>
      <c r="Y234" s="2" t="inlineStr">
        <is>
          <t>NA</t>
        </is>
      </c>
      <c r="Z234" s="2" t="n">
        <v>163.8</v>
      </c>
      <c r="AA234" s="2" t="n">
        <v>155.9</v>
      </c>
      <c r="AB234" s="2" t="n">
        <v>7.9</v>
      </c>
      <c r="AC234" s="2" t="inlineStr">
        <is>
          <t>NA</t>
        </is>
      </c>
      <c r="AD234" s="2" t="n">
        <v>34.4</v>
      </c>
      <c r="AF234" s="2" t="n">
        <v>147.6</v>
      </c>
      <c r="AG234" s="2" t="n">
        <v>114</v>
      </c>
      <c r="AH234" s="2" t="n">
        <v>33.6</v>
      </c>
      <c r="AI234" s="2" t="n">
        <v>182.9</v>
      </c>
      <c r="AL234" s="2" t="n">
        <v>108.9</v>
      </c>
      <c r="AM234" s="2" t="n">
        <v>37.6</v>
      </c>
      <c r="AN234" s="2" t="n">
        <v>71.3</v>
      </c>
      <c r="AO234" s="2" t="n">
        <v>2998.5</v>
      </c>
      <c r="AP234" s="2" t="n">
        <v>338.3</v>
      </c>
      <c r="AQ234" s="2" t="n">
        <v>215.9</v>
      </c>
      <c r="AR234" s="2" t="n">
        <v>42.3</v>
      </c>
      <c r="AS234" s="2" t="n">
        <v>130.2</v>
      </c>
      <c r="AT234" s="2" t="n">
        <v>88.3</v>
      </c>
      <c r="AU234" s="2" t="n">
        <v>76.59999999999999</v>
      </c>
      <c r="AV234" s="2" t="n">
        <v>29.9</v>
      </c>
      <c r="AW234" s="2" t="n">
        <v>11.4</v>
      </c>
      <c r="AX234" s="2" t="inlineStr">
        <is>
          <t>NA</t>
        </is>
      </c>
      <c r="AY234" s="2" t="inlineStr">
        <is>
          <t>NA</t>
        </is>
      </c>
      <c r="AZ234" s="2" t="inlineStr">
        <is>
          <t>NA</t>
        </is>
      </c>
      <c r="BA234" s="2" t="inlineStr">
        <is>
          <t>NA</t>
        </is>
      </c>
      <c r="BB234" s="2" t="inlineStr">
        <is>
          <t>NA</t>
        </is>
      </c>
      <c r="BD234" s="2" t="n">
        <v>133.1</v>
      </c>
      <c r="BE234" s="2" t="n">
        <v>40.5</v>
      </c>
      <c r="BH234" s="2" t="n">
        <v>307.3</v>
      </c>
      <c r="BK234" s="2" t="n">
        <v>254.8</v>
      </c>
      <c r="BL234" s="2" t="n">
        <v>3.6</v>
      </c>
      <c r="BM234" s="2" t="n">
        <v>565.7</v>
      </c>
      <c r="BN234" s="2" t="n">
        <v>336</v>
      </c>
      <c r="BQ234" s="2" t="n">
        <v>130.7</v>
      </c>
      <c r="BR234" s="2" t="n">
        <v>5.2</v>
      </c>
      <c r="BS234" s="2" t="n">
        <v>471.9</v>
      </c>
      <c r="BT234" s="2" t="inlineStr">
        <is>
          <t>NA</t>
        </is>
      </c>
      <c r="BU234" s="2" t="n">
        <v>34</v>
      </c>
      <c r="BV234" s="2" t="n">
        <v>399.6</v>
      </c>
      <c r="BW234" s="2" t="n">
        <v>102.4</v>
      </c>
      <c r="BX234" s="2" t="n">
        <v>507.6</v>
      </c>
      <c r="BY234" s="2" t="n">
        <v>53.7</v>
      </c>
      <c r="BZ234" s="2" t="n">
        <v>17.7</v>
      </c>
      <c r="CA234" s="2" t="n">
        <v>71.40000000000001</v>
      </c>
      <c r="CF234" s="2" t="n">
        <v>118</v>
      </c>
      <c r="CG234" s="2" t="n">
        <v>164.8</v>
      </c>
      <c r="CH234" s="2" t="n">
        <v>14.8</v>
      </c>
      <c r="CN234" s="2" t="n">
        <v>32.2</v>
      </c>
      <c r="CO234" s="2" t="n">
        <v>446.5</v>
      </c>
      <c r="CP234" s="2" t="n">
        <v>329.7</v>
      </c>
      <c r="CQ234" s="2" t="n">
        <v>116.8</v>
      </c>
      <c r="CR234" s="2" t="inlineStr">
        <is>
          <t>NA</t>
        </is>
      </c>
      <c r="CS234" s="2" t="n">
        <v>58.5</v>
      </c>
      <c r="CT234" s="2" t="n">
        <v>32.1</v>
      </c>
      <c r="CU234" s="2" t="n">
        <v>26.4</v>
      </c>
      <c r="CV234" s="2" t="n">
        <v>35.8</v>
      </c>
      <c r="CW234" s="2" t="n">
        <v>2.2</v>
      </c>
      <c r="CX234" s="2" t="n">
        <v>33.6</v>
      </c>
      <c r="CY234" s="2" t="inlineStr">
        <is>
          <t>NA</t>
        </is>
      </c>
      <c r="CZ234" s="2" t="n">
        <v>51.6</v>
      </c>
      <c r="DA234" s="2" t="n">
        <v>54.3</v>
      </c>
      <c r="DB234" s="2" t="n">
        <v>52.4</v>
      </c>
      <c r="DC234" s="2" t="n">
        <v>1.9</v>
      </c>
      <c r="DI234" s="2" t="n">
        <v>631.6</v>
      </c>
      <c r="DJ234" s="2" t="n">
        <v>343.4</v>
      </c>
      <c r="DL234" s="2" t="n">
        <v>175.1</v>
      </c>
      <c r="DM234" s="2" t="n">
        <v>273.2</v>
      </c>
      <c r="DO234" s="2" t="n">
        <v>237.1</v>
      </c>
      <c r="DP234" s="2" t="n">
        <v>290.4</v>
      </c>
      <c r="DS234" s="2" t="n">
        <v>1055.43</v>
      </c>
      <c r="DT234" s="2" t="n">
        <v>4091.3</v>
      </c>
      <c r="DU234" s="2" t="n">
        <v>-1085.070000000001</v>
      </c>
      <c r="DV234" s="2" t="n">
        <v>0</v>
      </c>
      <c r="GY234" s="2" t="n">
        <v>0.9640622036791202</v>
      </c>
      <c r="GZ234" s="2" t="n">
        <v>1016.7</v>
      </c>
      <c r="HA234" s="2" t="n">
        <v>1054.6</v>
      </c>
      <c r="HF234" s="2" t="n">
        <v>1031.5</v>
      </c>
      <c r="HG234" s="2" t="n">
        <v>1003.2</v>
      </c>
      <c r="HH234" s="2" t="n">
        <v>393.7</v>
      </c>
      <c r="HI234" s="2" t="n">
        <v>125.1</v>
      </c>
      <c r="HJ234" s="2" t="n">
        <v>474</v>
      </c>
      <c r="HK234" s="2" t="n">
        <v>10.4</v>
      </c>
      <c r="HL234" s="2" t="n">
        <v>45.1</v>
      </c>
      <c r="HP234" s="2" t="e">
        <v>#VALUE!</v>
      </c>
      <c r="HQ234" s="2" t="n">
        <v>3.1</v>
      </c>
      <c r="HR234" s="2" t="n">
        <v>9.9</v>
      </c>
      <c r="HS234" s="2" t="e">
        <v>#VALUE!</v>
      </c>
      <c r="HT234" s="2" t="n">
        <v>26.1</v>
      </c>
      <c r="HW234" s="2" t="n">
        <v>278.2</v>
      </c>
      <c r="HX234" s="2" t="e">
        <v>#VALUE!</v>
      </c>
      <c r="HY234" s="2" t="n">
        <v>278.2</v>
      </c>
      <c r="HZ234" s="2" t="n">
        <v>41</v>
      </c>
      <c r="IA234" s="2" t="n">
        <v>205.4</v>
      </c>
      <c r="IB234" s="2" t="n">
        <v>63.8</v>
      </c>
      <c r="IC234" s="2" t="n">
        <v>141.6</v>
      </c>
      <c r="ID234" s="2" t="e">
        <v>#VALUE!</v>
      </c>
      <c r="IE234" s="2" t="e">
        <v>#VALUE!</v>
      </c>
      <c r="IF234" s="2" t="n">
        <v>7.8</v>
      </c>
      <c r="IG234" s="2" t="n">
        <v>17.7</v>
      </c>
      <c r="IN234" s="2" t="n">
        <v>45.4</v>
      </c>
      <c r="IO234" s="2" t="n">
        <v>46.6</v>
      </c>
      <c r="IP234" s="2" t="e">
        <v>#VALUE!</v>
      </c>
      <c r="IQ234" s="2" t="n">
        <v>28.5</v>
      </c>
      <c r="IR234" s="2" t="n">
        <v>11.7</v>
      </c>
      <c r="IS234" s="2" t="e">
        <v>#VALUE!</v>
      </c>
      <c r="IT234" s="2" t="n">
        <v>15.1</v>
      </c>
      <c r="IU234" s="2" t="e">
        <v>#VALUE!</v>
      </c>
      <c r="IV234" s="2" t="e">
        <v>#VALUE!</v>
      </c>
      <c r="IY234" s="2" t="n">
        <v>47.14002884168846</v>
      </c>
      <c r="IZ234" s="2" t="n">
        <v>-0.03997115831153764</v>
      </c>
      <c r="JB234" s="2" t="n">
        <v>11.20059638745631</v>
      </c>
      <c r="JC234" s="2" t="n">
        <v>-0.06940361254368987</v>
      </c>
      <c r="JE234" s="2" t="n">
        <v>1505.6</v>
      </c>
      <c r="JF234" s="2" t="n">
        <v>0.7009272051009565</v>
      </c>
    </row>
    <row r="235">
      <c r="A235" s="1" t="n">
        <v>36192</v>
      </c>
      <c r="B235" s="2" t="n">
        <v>3829.1</v>
      </c>
      <c r="C235" s="2" t="n">
        <v>3073.7</v>
      </c>
      <c r="D235" s="2" t="n">
        <v>259.5</v>
      </c>
      <c r="E235" s="2" t="n">
        <v>1452.7</v>
      </c>
      <c r="F235" s="2" t="n">
        <v>21.7</v>
      </c>
      <c r="G235" s="2" t="inlineStr">
        <is>
          <t>NA</t>
        </is>
      </c>
      <c r="H235" s="2" t="inlineStr">
        <is>
          <t>NA</t>
        </is>
      </c>
      <c r="I235" s="2" t="inlineStr">
        <is>
          <t>NA</t>
        </is>
      </c>
      <c r="J235" s="2" t="inlineStr">
        <is>
          <t>NA</t>
        </is>
      </c>
      <c r="K235" s="2" t="n">
        <v>1438.6</v>
      </c>
      <c r="L235" s="2" t="n">
        <v>1607.6</v>
      </c>
      <c r="M235" s="2" t="n">
        <v>1318.6</v>
      </c>
      <c r="N235" s="2" t="n">
        <v>289</v>
      </c>
      <c r="O235" s="2" t="n">
        <v>80.2</v>
      </c>
      <c r="P235" s="2" t="n">
        <v>113.3</v>
      </c>
      <c r="Q235" s="2" t="n">
        <v>32.8</v>
      </c>
      <c r="R235" s="2" t="n">
        <v>80.5</v>
      </c>
      <c r="T235" s="2" t="n">
        <v>18.2</v>
      </c>
      <c r="U235" s="2" t="n">
        <v>57</v>
      </c>
      <c r="V235" s="2" t="n">
        <v>52.9</v>
      </c>
      <c r="W235" s="2" t="n">
        <v>4.1</v>
      </c>
      <c r="X235" s="2" t="inlineStr">
        <is>
          <t>NA</t>
        </is>
      </c>
      <c r="Y235" s="2" t="inlineStr">
        <is>
          <t>NA</t>
        </is>
      </c>
      <c r="Z235" s="2" t="n">
        <v>202.1</v>
      </c>
      <c r="AA235" s="2" t="n">
        <v>190.1</v>
      </c>
      <c r="AB235" s="2" t="n">
        <v>12</v>
      </c>
      <c r="AC235" s="2" t="inlineStr">
        <is>
          <t>NA</t>
        </is>
      </c>
      <c r="AD235" s="2" t="n">
        <v>36.3</v>
      </c>
      <c r="AF235" s="2" t="n">
        <v>179.3</v>
      </c>
      <c r="AG235" s="2" t="n">
        <v>145.3</v>
      </c>
      <c r="AH235" s="2" t="n">
        <v>34</v>
      </c>
      <c r="AI235" s="2" t="n">
        <v>177</v>
      </c>
      <c r="AL235" s="2" t="n">
        <v>99.5</v>
      </c>
      <c r="AM235" s="2" t="n">
        <v>43.4</v>
      </c>
      <c r="AN235" s="2" t="n">
        <v>56.1</v>
      </c>
      <c r="AO235" s="2" t="n">
        <v>2828.6</v>
      </c>
      <c r="AP235" s="2" t="n">
        <v>382.8</v>
      </c>
      <c r="AQ235" s="2" t="n">
        <v>199.1</v>
      </c>
      <c r="AR235" s="2" t="n">
        <v>53.6</v>
      </c>
      <c r="AS235" s="2" t="n">
        <v>114.8</v>
      </c>
      <c r="AT235" s="2" t="n">
        <v>78.2</v>
      </c>
      <c r="AU235" s="2" t="n">
        <v>66</v>
      </c>
      <c r="AV235" s="2" t="n">
        <v>31.5</v>
      </c>
      <c r="AW235" s="2" t="n">
        <v>12.2</v>
      </c>
      <c r="AX235" s="2" t="n">
        <v>4.5</v>
      </c>
      <c r="AY235" s="2" t="inlineStr">
        <is>
          <t>NA</t>
        </is>
      </c>
      <c r="AZ235" s="2" t="inlineStr">
        <is>
          <t>NA</t>
        </is>
      </c>
      <c r="BA235" s="2" t="inlineStr">
        <is>
          <t>NA</t>
        </is>
      </c>
      <c r="BB235" s="2" t="inlineStr">
        <is>
          <t>NA</t>
        </is>
      </c>
      <c r="BD235" s="2" t="n">
        <v>128.8</v>
      </c>
      <c r="BE235" s="2" t="n">
        <v>43.6</v>
      </c>
      <c r="BH235" s="2" t="n">
        <v>298.2</v>
      </c>
      <c r="BK235" s="2" t="n">
        <v>246.5</v>
      </c>
      <c r="BL235" s="2" t="n">
        <v>3.9</v>
      </c>
      <c r="BM235" s="2" t="n">
        <v>548.6</v>
      </c>
      <c r="BN235" s="2" t="n">
        <v>335.9</v>
      </c>
      <c r="BQ235" s="2" t="n">
        <v>151.8</v>
      </c>
      <c r="BR235" s="2" t="n">
        <v>5.5</v>
      </c>
      <c r="BS235" s="2" t="n">
        <v>493.2</v>
      </c>
      <c r="BT235" s="2" t="inlineStr">
        <is>
          <t>NA</t>
        </is>
      </c>
      <c r="BU235" s="2" t="n">
        <v>30.6</v>
      </c>
      <c r="BV235" s="2" t="n">
        <v>374</v>
      </c>
      <c r="BW235" s="2" t="n">
        <v>94.40000000000001</v>
      </c>
      <c r="BX235" s="2" t="n">
        <v>475.4</v>
      </c>
      <c r="BY235" s="2" t="n">
        <v>53</v>
      </c>
      <c r="BZ235" s="2" t="n">
        <v>17.1</v>
      </c>
      <c r="CA235" s="2" t="n">
        <v>70.09999999999999</v>
      </c>
      <c r="CF235" s="2" t="n">
        <v>115.2</v>
      </c>
      <c r="CG235" s="2" t="n">
        <v>156.9</v>
      </c>
      <c r="CH235" s="2" t="n">
        <v>9.9</v>
      </c>
      <c r="CN235" s="2" t="n">
        <v>28.1</v>
      </c>
      <c r="CO235" s="2" t="n">
        <v>387.5</v>
      </c>
      <c r="CP235" s="2" t="n">
        <v>300.1</v>
      </c>
      <c r="CQ235" s="2" t="n">
        <v>87.40000000000001</v>
      </c>
      <c r="CR235" s="2" t="inlineStr">
        <is>
          <t>NA</t>
        </is>
      </c>
      <c r="CS235" s="2" t="n">
        <v>54.59999999999999</v>
      </c>
      <c r="CT235" s="2" t="n">
        <v>28.7</v>
      </c>
      <c r="CU235" s="2" t="n">
        <v>25.9</v>
      </c>
      <c r="CV235" s="2" t="n">
        <v>70.7</v>
      </c>
      <c r="CW235" s="2" t="n">
        <v>4.7</v>
      </c>
      <c r="CX235" s="2" t="n">
        <v>66</v>
      </c>
      <c r="CY235" s="2" t="inlineStr">
        <is>
          <t>NA</t>
        </is>
      </c>
      <c r="CZ235" s="2" t="n">
        <v>67.59999999999999</v>
      </c>
      <c r="DA235" s="2" t="n">
        <v>48.2</v>
      </c>
      <c r="DB235" s="2" t="n">
        <v>46.3</v>
      </c>
      <c r="DC235" s="2" t="n">
        <v>1.9</v>
      </c>
      <c r="DI235" s="2" t="n">
        <v>603.1</v>
      </c>
      <c r="DJ235" s="2" t="n">
        <v>320.3</v>
      </c>
      <c r="DL235" s="2" t="n">
        <v>142.3</v>
      </c>
      <c r="DM235" s="2" t="n">
        <v>243.7</v>
      </c>
      <c r="DO235" s="2" t="n">
        <v>223.2</v>
      </c>
      <c r="DP235" s="2" t="n">
        <v>272.6</v>
      </c>
      <c r="DS235" s="2" t="n">
        <v>971.699</v>
      </c>
      <c r="DT235" s="2" t="n">
        <v>3829.1</v>
      </c>
      <c r="DU235" s="2" t="n">
        <v>-1052.201</v>
      </c>
      <c r="DV235" s="2" t="n">
        <v>0</v>
      </c>
      <c r="GY235" s="2" t="n">
        <v>0.9559557600078301</v>
      </c>
      <c r="GZ235" s="2" t="n">
        <v>976.7</v>
      </c>
      <c r="HA235" s="2" t="n">
        <v>1021.7</v>
      </c>
      <c r="HF235" s="2" t="n">
        <v>979</v>
      </c>
      <c r="HG235" s="2" t="n">
        <v>946.2</v>
      </c>
      <c r="HH235" s="2" t="n">
        <v>366</v>
      </c>
      <c r="HI235" s="2" t="n">
        <v>120.3</v>
      </c>
      <c r="HJ235" s="2" t="n">
        <v>448.9</v>
      </c>
      <c r="HK235" s="2" t="n">
        <v>11</v>
      </c>
      <c r="HL235" s="2" t="n">
        <v>49.6</v>
      </c>
      <c r="HP235" s="2" t="e">
        <v>#VALUE!</v>
      </c>
      <c r="HQ235" s="2" t="n">
        <v>3.7</v>
      </c>
      <c r="HR235" s="2" t="n">
        <v>8.4</v>
      </c>
      <c r="HS235" s="2" t="e">
        <v>#VALUE!</v>
      </c>
      <c r="HT235" s="2" t="n">
        <v>30.8</v>
      </c>
      <c r="HW235" s="2" t="n">
        <v>283.5</v>
      </c>
      <c r="HX235" s="2" t="e">
        <v>#VALUE!</v>
      </c>
      <c r="HY235" s="2" t="n">
        <v>283.5</v>
      </c>
      <c r="HZ235" s="2" t="n">
        <v>44.9</v>
      </c>
      <c r="IA235" s="2" t="n">
        <v>208.8</v>
      </c>
      <c r="IB235" s="2" t="n">
        <v>69.40000000000001</v>
      </c>
      <c r="IC235" s="2" t="n">
        <v>139.4</v>
      </c>
      <c r="ID235" s="2" t="e">
        <v>#VALUE!</v>
      </c>
      <c r="IE235" s="2" t="e">
        <v>#VALUE!</v>
      </c>
      <c r="IF235" s="2" t="n">
        <v>7.7</v>
      </c>
      <c r="IG235" s="2" t="n">
        <v>16</v>
      </c>
      <c r="IN235" s="2" t="n">
        <v>47.3</v>
      </c>
      <c r="IO235" s="2" t="n">
        <v>48.9</v>
      </c>
      <c r="IP235" s="2" t="n">
        <v>38.7</v>
      </c>
      <c r="IQ235" s="2" t="n">
        <v>38.4</v>
      </c>
      <c r="IR235" s="2" t="n">
        <v>13.7</v>
      </c>
      <c r="IS235" s="2" t="e">
        <v>#VALUE!</v>
      </c>
      <c r="IT235" s="2" t="n">
        <v>22.6</v>
      </c>
      <c r="IU235" s="2" t="e">
        <v>#VALUE!</v>
      </c>
      <c r="IV235" s="2" t="n">
        <v>0.3</v>
      </c>
      <c r="IY235" s="2" t="n">
        <v>47.44247995612545</v>
      </c>
      <c r="IZ235" s="2" t="n">
        <v>0.2124799561254562</v>
      </c>
      <c r="JB235" s="2" t="n">
        <v>11.27105586169074</v>
      </c>
      <c r="JC235" s="2" t="n">
        <v>-0.03894413830926524</v>
      </c>
      <c r="JE235" s="2" t="n">
        <v>1607.6</v>
      </c>
      <c r="JF235" s="2" t="n">
        <v>0.7407644936551382</v>
      </c>
    </row>
    <row r="236">
      <c r="A236" s="1" t="n">
        <v>36220</v>
      </c>
      <c r="B236" s="2" t="n">
        <v>4199.2</v>
      </c>
      <c r="C236" s="2" t="n">
        <v>2811.2</v>
      </c>
      <c r="D236" s="2" t="n">
        <v>280.2</v>
      </c>
      <c r="E236" s="2" t="n">
        <v>1190.6</v>
      </c>
      <c r="F236" s="2" t="n">
        <v>19.8</v>
      </c>
      <c r="G236" s="2" t="inlineStr">
        <is>
          <t>NA</t>
        </is>
      </c>
      <c r="H236" s="2" t="inlineStr">
        <is>
          <t>NA</t>
        </is>
      </c>
      <c r="I236" s="2" t="inlineStr">
        <is>
          <t>NA</t>
        </is>
      </c>
      <c r="J236" s="2" t="inlineStr">
        <is>
          <t>NA</t>
        </is>
      </c>
      <c r="K236" s="2" t="n">
        <v>1586.9</v>
      </c>
      <c r="L236" s="2" t="n">
        <v>1716.2</v>
      </c>
      <c r="M236" s="2" t="n">
        <v>1462</v>
      </c>
      <c r="N236" s="2" t="n">
        <v>254.2</v>
      </c>
      <c r="O236" s="2" t="n">
        <v>86.7</v>
      </c>
      <c r="P236" s="2" t="n">
        <v>125.4</v>
      </c>
      <c r="Q236" s="2" t="n">
        <v>34.8</v>
      </c>
      <c r="R236" s="2" t="n">
        <v>90.59999999999999</v>
      </c>
      <c r="T236" s="2" t="n">
        <v>15.8</v>
      </c>
      <c r="U236" s="2" t="n">
        <v>52.3</v>
      </c>
      <c r="V236" s="2" t="n">
        <v>49.9</v>
      </c>
      <c r="W236" s="2" t="n">
        <v>2.4</v>
      </c>
      <c r="X236" s="2" t="inlineStr">
        <is>
          <t>NA</t>
        </is>
      </c>
      <c r="Y236" s="2" t="n">
        <v>11</v>
      </c>
      <c r="Z236" s="2" t="n">
        <v>156.2</v>
      </c>
      <c r="AA236" s="2" t="n">
        <v>143.6</v>
      </c>
      <c r="AB236" s="2" t="n">
        <v>12.6</v>
      </c>
      <c r="AC236" s="2" t="inlineStr">
        <is>
          <t>NA</t>
        </is>
      </c>
      <c r="AD236" s="2" t="n">
        <v>44.2</v>
      </c>
      <c r="AF236" s="2" t="n">
        <v>174.9</v>
      </c>
      <c r="AG236" s="2" t="n">
        <v>143.6</v>
      </c>
      <c r="AH236" s="2" t="n">
        <v>31.3</v>
      </c>
      <c r="AI236" s="2" t="n">
        <v>201</v>
      </c>
      <c r="AL236" s="2" t="n">
        <v>113.2</v>
      </c>
      <c r="AM236" s="2" t="n">
        <v>41.6</v>
      </c>
      <c r="AN236" s="2" t="n">
        <v>71.59999999999999</v>
      </c>
      <c r="AO236" s="2" t="n">
        <v>3081.7</v>
      </c>
      <c r="AP236" s="2" t="n">
        <v>301</v>
      </c>
      <c r="AQ236" s="2" t="n">
        <v>221</v>
      </c>
      <c r="AR236" s="2" t="n">
        <v>40</v>
      </c>
      <c r="AS236" s="2" t="n">
        <v>127.2</v>
      </c>
      <c r="AT236" s="2" t="n">
        <v>72.3</v>
      </c>
      <c r="AU236" s="2" t="n">
        <v>76.8</v>
      </c>
      <c r="AV236" s="2" t="n">
        <v>30.2</v>
      </c>
      <c r="AW236" s="2" t="n">
        <v>11.1</v>
      </c>
      <c r="AX236" s="2" t="inlineStr">
        <is>
          <t>NA</t>
        </is>
      </c>
      <c r="AY236" s="2" t="inlineStr">
        <is>
          <t>NA</t>
        </is>
      </c>
      <c r="AZ236" s="2" t="inlineStr">
        <is>
          <t>NA</t>
        </is>
      </c>
      <c r="BA236" s="2" t="inlineStr">
        <is>
          <t>NA</t>
        </is>
      </c>
      <c r="BB236" s="2" t="inlineStr">
        <is>
          <t>NA</t>
        </is>
      </c>
      <c r="BD236" s="2" t="n">
        <v>142.7</v>
      </c>
      <c r="BE236" s="2" t="n">
        <v>39.4</v>
      </c>
      <c r="BH236" s="2" t="n">
        <v>328.3</v>
      </c>
      <c r="BK236" s="2" t="n">
        <v>272.1</v>
      </c>
      <c r="BL236" s="2" t="n">
        <v>4.2</v>
      </c>
      <c r="BM236" s="2" t="n">
        <v>604.6</v>
      </c>
      <c r="BN236" s="2" t="n">
        <v>320.3</v>
      </c>
      <c r="BQ236" s="2" t="n">
        <v>177.8</v>
      </c>
      <c r="BR236" s="2" t="n">
        <v>5.7</v>
      </c>
      <c r="BS236" s="2" t="n">
        <v>503.8</v>
      </c>
      <c r="BT236" s="2" t="inlineStr">
        <is>
          <t>NA</t>
        </is>
      </c>
      <c r="BU236" s="2" t="n">
        <v>30.4</v>
      </c>
      <c r="BV236" s="2" t="n">
        <v>422.7</v>
      </c>
      <c r="BW236" s="2" t="n">
        <v>109.9</v>
      </c>
      <c r="BX236" s="2" t="n">
        <v>538.3</v>
      </c>
      <c r="BY236" s="2" t="n">
        <v>51</v>
      </c>
      <c r="BZ236" s="2" t="n">
        <v>16.4</v>
      </c>
      <c r="CA236" s="2" t="n">
        <v>67.40000000000001</v>
      </c>
      <c r="CF236" s="2" t="n">
        <v>134.6</v>
      </c>
      <c r="CG236" s="2" t="n">
        <v>163.3</v>
      </c>
      <c r="CH236" s="2" t="n">
        <v>7.2</v>
      </c>
      <c r="CN236" s="2" t="n">
        <v>22.6</v>
      </c>
      <c r="CO236" s="2" t="n">
        <v>366.4</v>
      </c>
      <c r="CP236" s="2" t="n">
        <v>295.7</v>
      </c>
      <c r="CQ236" s="2" t="n">
        <v>70.7</v>
      </c>
      <c r="CR236" s="2" t="inlineStr">
        <is>
          <t>NA</t>
        </is>
      </c>
      <c r="CS236" s="2" t="n">
        <v>68.3</v>
      </c>
      <c r="CT236" s="2" t="n">
        <v>39.8</v>
      </c>
      <c r="CU236" s="2" t="n">
        <v>28.5</v>
      </c>
      <c r="CV236" s="2" t="n">
        <v>71.3</v>
      </c>
      <c r="CW236" s="2" t="n">
        <v>7.4</v>
      </c>
      <c r="CX236" s="2" t="n">
        <v>63.9</v>
      </c>
      <c r="CY236" s="2" t="inlineStr">
        <is>
          <t>NA</t>
        </is>
      </c>
      <c r="CZ236" s="2" t="n">
        <v>108.4</v>
      </c>
      <c r="DA236" s="2" t="n">
        <v>40.9</v>
      </c>
      <c r="DB236" s="2" t="n">
        <v>39.1</v>
      </c>
      <c r="DC236" s="2" t="n">
        <v>1.8</v>
      </c>
      <c r="DI236" s="2" t="n">
        <v>667.5</v>
      </c>
      <c r="DJ236" s="2" t="n">
        <v>353.5</v>
      </c>
      <c r="DL236" s="2" t="n">
        <v>152.7</v>
      </c>
      <c r="DM236" s="2" t="n">
        <v>271</v>
      </c>
      <c r="DO236" s="2" t="n">
        <v>248.7</v>
      </c>
      <c r="DP236" s="2" t="n">
        <v>294.6</v>
      </c>
      <c r="DS236" s="2" t="n">
        <v>992.658</v>
      </c>
      <c r="DT236" s="2" t="n">
        <v>4199.2</v>
      </c>
      <c r="DU236" s="2" t="n">
        <v>-1218.542</v>
      </c>
      <c r="DV236" s="2" t="n">
        <v>0</v>
      </c>
      <c r="GY236" s="2" t="n">
        <v>0.9564705882352942</v>
      </c>
      <c r="GZ236" s="2" t="n">
        <v>1138.2</v>
      </c>
      <c r="HA236" s="2" t="n">
        <v>1190</v>
      </c>
      <c r="HF236" s="2" t="n">
        <v>1156.1</v>
      </c>
      <c r="HG236" s="2" t="n">
        <v>1121.8</v>
      </c>
      <c r="HH236" s="2" t="n">
        <v>430.7</v>
      </c>
      <c r="HI236" s="2" t="n">
        <v>139.5</v>
      </c>
      <c r="HJ236" s="2" t="n">
        <v>539.4</v>
      </c>
      <c r="HK236" s="2" t="n">
        <v>12.2</v>
      </c>
      <c r="HL236" s="2" t="n">
        <v>51.2</v>
      </c>
      <c r="HP236" s="2" t="e">
        <v>#VALUE!</v>
      </c>
      <c r="HQ236" s="2" t="n">
        <v>4.1</v>
      </c>
      <c r="HR236" s="2" t="n">
        <v>10.8</v>
      </c>
      <c r="HS236" s="2" t="e">
        <v>#VALUE!</v>
      </c>
      <c r="HT236" s="2" t="n">
        <v>28.6</v>
      </c>
      <c r="HW236" s="2" t="n">
        <v>336.3</v>
      </c>
      <c r="HX236" s="2" t="e">
        <v>#VALUE!</v>
      </c>
      <c r="HY236" s="2" t="n">
        <v>336.3</v>
      </c>
      <c r="HZ236" s="2" t="n">
        <v>504</v>
      </c>
      <c r="IA236" s="2" t="n">
        <v>250.1</v>
      </c>
      <c r="IB236" s="2" t="n">
        <v>90.7</v>
      </c>
      <c r="IC236" s="2" t="n">
        <v>159.5</v>
      </c>
      <c r="ID236" s="2" t="e">
        <v>#VALUE!</v>
      </c>
      <c r="IE236" s="2" t="e">
        <v>#VALUE!</v>
      </c>
      <c r="IF236" s="2" t="n">
        <v>7.7</v>
      </c>
      <c r="IG236" s="2" t="n">
        <v>21.4</v>
      </c>
      <c r="IN236" s="2" t="n">
        <v>49</v>
      </c>
      <c r="IO236" s="2" t="n">
        <v>50.7</v>
      </c>
      <c r="IP236" s="2" t="n">
        <v>44.7</v>
      </c>
      <c r="IQ236" s="2" t="n">
        <v>44.3</v>
      </c>
      <c r="IR236" s="2" t="n">
        <v>15.1</v>
      </c>
      <c r="IS236" s="2" t="e">
        <v>#VALUE!</v>
      </c>
      <c r="IT236" s="2" t="n">
        <v>27</v>
      </c>
      <c r="IU236" s="2" t="e">
        <v>#VALUE!</v>
      </c>
      <c r="IV236" s="2" t="n">
        <v>0.4</v>
      </c>
      <c r="IY236" s="2" t="n">
        <v>47.19041722232806</v>
      </c>
      <c r="IZ236" s="2" t="n">
        <v>0.04041722232805967</v>
      </c>
      <c r="JB236" s="2" t="n">
        <v>11.33715945894456</v>
      </c>
      <c r="JC236" s="2" t="n">
        <v>-0.06284054105543824</v>
      </c>
      <c r="JE236" s="2" t="n">
        <v>1716.2</v>
      </c>
      <c r="JF236" s="2" t="n">
        <v>0.7328592238666821</v>
      </c>
    </row>
    <row r="237">
      <c r="A237" s="1" t="n">
        <v>36251</v>
      </c>
      <c r="B237" s="2" t="n">
        <v>3853.3</v>
      </c>
      <c r="C237" s="2" t="n">
        <v>2414.2</v>
      </c>
      <c r="D237" s="2" t="n">
        <v>205.5</v>
      </c>
      <c r="E237" s="2" t="n">
        <v>986.9</v>
      </c>
      <c r="F237" s="2" t="n">
        <v>22.3</v>
      </c>
      <c r="G237" s="2" t="inlineStr">
        <is>
          <t>NA</t>
        </is>
      </c>
      <c r="H237" s="2" t="inlineStr">
        <is>
          <t>NA</t>
        </is>
      </c>
      <c r="I237" s="2" t="inlineStr">
        <is>
          <t>NA</t>
        </is>
      </c>
      <c r="J237" s="2" t="inlineStr">
        <is>
          <t>NA</t>
        </is>
      </c>
      <c r="K237" s="2" t="n">
        <v>1452.7</v>
      </c>
      <c r="L237" s="2" t="n">
        <v>1640.6</v>
      </c>
      <c r="M237" s="2" t="n">
        <v>1399.4</v>
      </c>
      <c r="N237" s="2" t="n">
        <v>241.2</v>
      </c>
      <c r="O237" s="2" t="n">
        <v>64.40000000000001</v>
      </c>
      <c r="P237" s="2" t="n">
        <v>126</v>
      </c>
      <c r="Q237" s="2" t="n">
        <v>33.2</v>
      </c>
      <c r="R237" s="2" t="n">
        <v>92.8</v>
      </c>
      <c r="T237" s="2" t="n">
        <v>18.2</v>
      </c>
      <c r="U237" s="2" t="n">
        <v>43.4</v>
      </c>
      <c r="V237" s="2" t="n">
        <v>40.9</v>
      </c>
      <c r="W237" s="2" t="n">
        <v>2.5</v>
      </c>
      <c r="X237" s="2" t="inlineStr">
        <is>
          <t>NA</t>
        </is>
      </c>
      <c r="Y237" s="2" t="n">
        <v>16.4</v>
      </c>
      <c r="Z237" s="2" t="n">
        <v>175.4</v>
      </c>
      <c r="AA237" s="2" t="n">
        <v>167.4</v>
      </c>
      <c r="AB237" s="2" t="n">
        <v>8</v>
      </c>
      <c r="AC237" s="2" t="inlineStr">
        <is>
          <t>NA</t>
        </is>
      </c>
      <c r="AD237" s="2" t="n">
        <v>37.5</v>
      </c>
      <c r="AF237" s="2" t="n">
        <v>183.4</v>
      </c>
      <c r="AG237" s="2" t="n">
        <v>153.7</v>
      </c>
      <c r="AH237" s="2" t="n">
        <v>29.7</v>
      </c>
      <c r="AI237" s="2" t="n">
        <v>201.1</v>
      </c>
      <c r="AL237" s="2" t="n">
        <v>117.6</v>
      </c>
      <c r="AM237" s="2" t="n">
        <v>49.8</v>
      </c>
      <c r="AN237" s="2" t="n">
        <v>67.8</v>
      </c>
      <c r="AO237" s="2" t="n">
        <v>2842.7</v>
      </c>
      <c r="AP237" s="2" t="n">
        <v>279.7</v>
      </c>
      <c r="AQ237" s="2" t="n">
        <v>201.5</v>
      </c>
      <c r="AR237" s="2" t="n">
        <v>36.3</v>
      </c>
      <c r="AS237" s="2" t="n">
        <v>90.59999999999999</v>
      </c>
      <c r="AT237" s="2" t="n">
        <v>73.59999999999999</v>
      </c>
      <c r="AU237" s="2" t="n">
        <v>56.2</v>
      </c>
      <c r="AV237" s="2" t="n">
        <v>34.5</v>
      </c>
      <c r="AW237" s="2" t="n">
        <v>12.7</v>
      </c>
      <c r="AX237" s="2" t="inlineStr">
        <is>
          <t>NA</t>
        </is>
      </c>
      <c r="AY237" s="2" t="inlineStr">
        <is>
          <t>NA</t>
        </is>
      </c>
      <c r="AZ237" s="2" t="inlineStr">
        <is>
          <t>NA</t>
        </is>
      </c>
      <c r="BA237" s="2" t="inlineStr">
        <is>
          <t>NA</t>
        </is>
      </c>
      <c r="BB237" s="2" t="inlineStr">
        <is>
          <t>NA</t>
        </is>
      </c>
      <c r="BD237" s="2" t="n">
        <v>141.1</v>
      </c>
      <c r="BE237" s="2" t="n">
        <v>42.3</v>
      </c>
      <c r="BH237" s="2" t="n">
        <v>322.4</v>
      </c>
      <c r="BK237" s="2" t="n">
        <v>272.6</v>
      </c>
      <c r="BL237" s="2" t="n">
        <v>3.9</v>
      </c>
      <c r="BM237" s="2" t="n">
        <v>599</v>
      </c>
      <c r="BN237" s="2" t="n">
        <v>278.3</v>
      </c>
      <c r="BQ237" s="2" t="n">
        <v>174.9</v>
      </c>
      <c r="BR237" s="2" t="n">
        <v>4.9</v>
      </c>
      <c r="BS237" s="2" t="n">
        <v>458.1</v>
      </c>
      <c r="BT237" s="2" t="inlineStr">
        <is>
          <t>NA</t>
        </is>
      </c>
      <c r="BU237" s="2" t="n">
        <v>27.1</v>
      </c>
      <c r="BV237" s="2" t="n">
        <v>408.6</v>
      </c>
      <c r="BW237" s="2" t="n">
        <v>105.6</v>
      </c>
      <c r="BX237" s="2" t="n">
        <v>517.8</v>
      </c>
      <c r="BY237" s="2" t="n">
        <v>49.4</v>
      </c>
      <c r="BZ237" s="2" t="n">
        <v>13.3</v>
      </c>
      <c r="CA237" s="2" t="n">
        <v>62.7</v>
      </c>
      <c r="CF237" s="2" t="n">
        <v>121</v>
      </c>
      <c r="CG237" s="2" t="n">
        <v>177.5</v>
      </c>
      <c r="CH237" s="2" t="n">
        <v>7.6</v>
      </c>
      <c r="CN237" s="2" t="n">
        <v>32.2</v>
      </c>
      <c r="CO237" s="2" t="n">
        <v>309.7</v>
      </c>
      <c r="CP237" s="2" t="n">
        <v>269</v>
      </c>
      <c r="CQ237" s="2" t="n">
        <v>40.7</v>
      </c>
      <c r="CR237" s="2" t="inlineStr">
        <is>
          <t>NA</t>
        </is>
      </c>
      <c r="CS237" s="2" t="n">
        <v>65.3</v>
      </c>
      <c r="CT237" s="2" t="n">
        <v>37</v>
      </c>
      <c r="CU237" s="2" t="n">
        <v>28.3</v>
      </c>
      <c r="CV237" s="2" t="n">
        <v>72.2</v>
      </c>
      <c r="CW237" s="2" t="n">
        <v>10.9</v>
      </c>
      <c r="CX237" s="2" t="n">
        <v>61.3</v>
      </c>
      <c r="CY237" s="2" t="inlineStr">
        <is>
          <t>NA</t>
        </is>
      </c>
      <c r="CZ237" s="2" t="n">
        <v>89.3</v>
      </c>
      <c r="DA237" s="2" t="n">
        <v>43.3</v>
      </c>
      <c r="DB237" s="2" t="n">
        <v>41.5</v>
      </c>
      <c r="DC237" s="2" t="n">
        <v>1.8</v>
      </c>
      <c r="DI237" s="2" t="n">
        <v>623.7</v>
      </c>
      <c r="DJ237" s="2" t="n">
        <v>336.6</v>
      </c>
      <c r="DL237" s="2" t="n">
        <v>145.6</v>
      </c>
      <c r="DM237" s="2" t="n">
        <v>240.6</v>
      </c>
      <c r="DO237" s="2" t="n">
        <v>241.5</v>
      </c>
      <c r="DP237" s="2" t="n">
        <v>284.1</v>
      </c>
      <c r="DS237" s="2" t="n">
        <v>913.337</v>
      </c>
      <c r="DT237" s="2" t="n">
        <v>3853.3</v>
      </c>
      <c r="DU237" s="2" t="n">
        <v>-1067.863</v>
      </c>
      <c r="DV237" s="2" t="n">
        <v>0</v>
      </c>
      <c r="GY237" s="2" t="n">
        <v>0.9645874528132304</v>
      </c>
      <c r="GZ237" s="2" t="n">
        <v>1073.2</v>
      </c>
      <c r="HA237" s="2" t="n">
        <v>1112.6</v>
      </c>
      <c r="HF237" s="2" t="n">
        <v>1087.7</v>
      </c>
      <c r="HG237" s="2" t="n">
        <v>1057.4</v>
      </c>
      <c r="HH237" s="2" t="n">
        <v>406.6</v>
      </c>
      <c r="HI237" s="2" t="n">
        <v>126</v>
      </c>
      <c r="HJ237" s="2" t="n">
        <v>513.8</v>
      </c>
      <c r="HK237" s="2" t="n">
        <v>10.9</v>
      </c>
      <c r="HL237" s="2" t="n">
        <v>47.1</v>
      </c>
      <c r="HP237" s="2" t="e">
        <v>#VALUE!</v>
      </c>
      <c r="HQ237" s="2" t="n">
        <v>3.5</v>
      </c>
      <c r="HR237" s="2" t="n">
        <v>9.9</v>
      </c>
      <c r="HS237" s="2" t="e">
        <v>#VALUE!</v>
      </c>
      <c r="HT237" s="2" t="n">
        <v>26.9</v>
      </c>
      <c r="HW237" s="2" t="n">
        <v>309.2</v>
      </c>
      <c r="HX237" s="2" t="e">
        <v>#VALUE!</v>
      </c>
      <c r="HY237" s="2" t="n">
        <v>309.2</v>
      </c>
      <c r="HZ237" s="2" t="n">
        <v>52</v>
      </c>
      <c r="IA237" s="2" t="n">
        <v>223.3</v>
      </c>
      <c r="IB237" s="2" t="n">
        <v>73.40000000000001</v>
      </c>
      <c r="IC237" s="2" t="n">
        <v>149.9</v>
      </c>
      <c r="ID237" s="2" t="e">
        <v>#VALUE!</v>
      </c>
      <c r="IE237" s="2" t="e">
        <v>#VALUE!</v>
      </c>
      <c r="IF237" s="2" t="n">
        <v>7.7</v>
      </c>
      <c r="IG237" s="2" t="n">
        <v>19.7</v>
      </c>
      <c r="IN237" s="2" t="n">
        <v>35.2</v>
      </c>
      <c r="IO237" s="2" t="n">
        <v>36.4</v>
      </c>
      <c r="IP237" s="2" t="n">
        <v>46.6</v>
      </c>
      <c r="IQ237" s="2" t="n">
        <v>46.3</v>
      </c>
      <c r="IR237" s="2" t="n">
        <v>13.4</v>
      </c>
      <c r="IS237" s="2" t="e">
        <v>#VALUE!</v>
      </c>
      <c r="IT237" s="2" t="n">
        <v>31</v>
      </c>
      <c r="IU237" s="2" t="e">
        <v>#VALUE!</v>
      </c>
      <c r="IV237" s="2" t="n">
        <v>0.3</v>
      </c>
      <c r="IY237" s="2" t="n">
        <v>47.40144810941271</v>
      </c>
      <c r="IZ237" s="2" t="n">
        <v>0.07144810941271373</v>
      </c>
      <c r="JB237" s="2" t="n">
        <v>11.31004593465341</v>
      </c>
      <c r="JC237" s="2" t="n">
        <v>-0.06995406534658599</v>
      </c>
      <c r="JE237" s="2" t="n">
        <v>1640.6</v>
      </c>
      <c r="JF237" s="2" t="n">
        <v>0.7202834328904059</v>
      </c>
    </row>
    <row r="238">
      <c r="A238" s="1" t="n">
        <v>36281</v>
      </c>
      <c r="B238" s="2" t="n">
        <v>3841.3</v>
      </c>
      <c r="C238" s="2" t="n">
        <v>1707.6</v>
      </c>
      <c r="D238" s="2" t="n">
        <v>172</v>
      </c>
      <c r="E238" s="2" t="n">
        <v>778.1</v>
      </c>
      <c r="F238" s="2" t="n">
        <v>19.5</v>
      </c>
      <c r="G238" s="2" t="inlineStr">
        <is>
          <t>NA</t>
        </is>
      </c>
      <c r="H238" s="2" t="inlineStr">
        <is>
          <t>NA</t>
        </is>
      </c>
      <c r="I238" s="2" t="inlineStr">
        <is>
          <t>NA</t>
        </is>
      </c>
      <c r="J238" s="2" t="inlineStr">
        <is>
          <t>NA</t>
        </is>
      </c>
      <c r="K238" s="2" t="n">
        <v>1450.3</v>
      </c>
      <c r="L238" s="2" t="n">
        <v>1767.3</v>
      </c>
      <c r="M238" s="2" t="n">
        <v>1499.5</v>
      </c>
      <c r="N238" s="2" t="n">
        <v>267.8</v>
      </c>
      <c r="O238" s="2" t="n">
        <v>53.4</v>
      </c>
      <c r="P238" s="2" t="n">
        <v>112</v>
      </c>
      <c r="Q238" s="2" t="n">
        <v>33.4</v>
      </c>
      <c r="R238" s="2" t="n">
        <v>78.59999999999999</v>
      </c>
      <c r="T238" s="2" t="n">
        <v>16.4</v>
      </c>
      <c r="U238" s="2" t="n">
        <v>41.3</v>
      </c>
      <c r="V238" s="2" t="n">
        <v>38.8</v>
      </c>
      <c r="W238" s="2" t="n">
        <v>2.5</v>
      </c>
      <c r="X238" s="2" t="inlineStr">
        <is>
          <t>NA</t>
        </is>
      </c>
      <c r="Y238" s="2" t="n">
        <v>9</v>
      </c>
      <c r="Z238" s="2" t="n">
        <v>204.1</v>
      </c>
      <c r="AA238" s="2" t="n">
        <v>193.5</v>
      </c>
      <c r="AB238" s="2" t="n">
        <v>10.6</v>
      </c>
      <c r="AC238" s="2" t="inlineStr">
        <is>
          <t>NA</t>
        </is>
      </c>
      <c r="AD238" s="2" t="n">
        <v>40.7</v>
      </c>
      <c r="AF238" s="2" t="n">
        <v>190.9</v>
      </c>
      <c r="AG238" s="2" t="n">
        <v>156.6</v>
      </c>
      <c r="AH238" s="2" t="n">
        <v>34.3</v>
      </c>
      <c r="AI238" s="2" t="n">
        <v>205.3</v>
      </c>
      <c r="AL238" s="2" t="n">
        <v>68.90000000000001</v>
      </c>
      <c r="AM238" s="2" t="n">
        <v>45.3</v>
      </c>
      <c r="AN238" s="2" t="n">
        <v>23.6</v>
      </c>
      <c r="AO238" s="2" t="n">
        <v>2822.3</v>
      </c>
      <c r="AP238" s="2" t="n">
        <v>401.8</v>
      </c>
      <c r="AQ238" s="2" t="n">
        <v>202.1</v>
      </c>
      <c r="AR238" s="2" t="n">
        <v>45.9</v>
      </c>
      <c r="AS238" s="2" t="n">
        <v>75.59999999999999</v>
      </c>
      <c r="AT238" s="2" t="n">
        <v>71.5</v>
      </c>
      <c r="AU238" s="2" t="n">
        <v>46.8</v>
      </c>
      <c r="AV238" s="2" t="n">
        <v>29.1</v>
      </c>
      <c r="AW238" s="2" t="n">
        <v>11</v>
      </c>
      <c r="AX238" s="2" t="n">
        <v>2.6</v>
      </c>
      <c r="AY238" s="2" t="inlineStr">
        <is>
          <t>NA</t>
        </is>
      </c>
      <c r="AZ238" s="2" t="inlineStr">
        <is>
          <t>NA</t>
        </is>
      </c>
      <c r="BA238" s="2" t="inlineStr">
        <is>
          <t>NA</t>
        </is>
      </c>
      <c r="BB238" s="2" t="inlineStr">
        <is>
          <t>NA</t>
        </is>
      </c>
      <c r="BD238" s="2" t="n">
        <v>157.5</v>
      </c>
      <c r="BE238" s="2" t="n">
        <v>49.9</v>
      </c>
      <c r="BH238" s="2" t="n">
        <v>324.4</v>
      </c>
      <c r="BK238" s="2" t="n">
        <v>277.8</v>
      </c>
      <c r="BL238" s="2" t="n">
        <v>3.6</v>
      </c>
      <c r="BM238" s="2" t="n">
        <v>605.8</v>
      </c>
      <c r="BN238" s="2" t="n">
        <v>269.1</v>
      </c>
      <c r="BQ238" s="2" t="n">
        <v>163.4</v>
      </c>
      <c r="BR238" s="2" t="n">
        <v>4.6</v>
      </c>
      <c r="BS238" s="2" t="n">
        <v>437.1</v>
      </c>
      <c r="BT238" s="2" t="inlineStr">
        <is>
          <t>NA</t>
        </is>
      </c>
      <c r="BU238" s="2" t="n">
        <v>39.9</v>
      </c>
      <c r="BV238" s="2" t="n">
        <v>387.9</v>
      </c>
      <c r="BW238" s="2" t="n">
        <v>108</v>
      </c>
      <c r="BX238" s="2" t="n">
        <v>502.5</v>
      </c>
      <c r="BY238" s="2" t="n">
        <v>51.5</v>
      </c>
      <c r="BZ238" s="2" t="n">
        <v>16.8</v>
      </c>
      <c r="CA238" s="2" t="n">
        <v>68.3</v>
      </c>
      <c r="CF238" s="2" t="n">
        <v>103.8</v>
      </c>
      <c r="CG238" s="2" t="n">
        <v>183</v>
      </c>
      <c r="CH238" s="2" t="n">
        <v>7.2</v>
      </c>
      <c r="CN238" s="2" t="inlineStr">
        <is>
          <t>NA</t>
        </is>
      </c>
      <c r="CO238" s="2" t="n">
        <v>240.4</v>
      </c>
      <c r="CP238" s="2" t="n">
        <v>197.5</v>
      </c>
      <c r="CQ238" s="2" t="n">
        <v>42.9</v>
      </c>
      <c r="CR238" s="2" t="inlineStr">
        <is>
          <t>NA</t>
        </is>
      </c>
      <c r="CS238" s="2" t="n">
        <v>76.19999999999999</v>
      </c>
      <c r="CT238" s="2" t="n">
        <v>46.3</v>
      </c>
      <c r="CU238" s="2" t="n">
        <v>29.9</v>
      </c>
      <c r="CV238" s="2" t="n">
        <v>69.2</v>
      </c>
      <c r="CW238" s="2" t="n">
        <v>13.5</v>
      </c>
      <c r="CX238" s="2" t="n">
        <v>55.7</v>
      </c>
      <c r="CY238" s="2" t="inlineStr">
        <is>
          <t>NA</t>
        </is>
      </c>
      <c r="CZ238" s="2" t="n">
        <v>88.7</v>
      </c>
      <c r="DA238" s="2" t="n">
        <v>35.9</v>
      </c>
      <c r="DB238" s="2" t="n">
        <v>33.8</v>
      </c>
      <c r="DC238" s="2" t="n">
        <v>2.1</v>
      </c>
      <c r="DI238" s="2" t="n">
        <v>633.2</v>
      </c>
      <c r="DJ238" s="2" t="n">
        <v>352.5</v>
      </c>
      <c r="DL238" s="2" t="n">
        <v>143.2</v>
      </c>
      <c r="DM238" s="2" t="n">
        <v>262.8</v>
      </c>
      <c r="DO238" s="2" t="n">
        <v>202.5</v>
      </c>
      <c r="DP238" s="2" t="n">
        <v>231.2</v>
      </c>
      <c r="DS238" s="2" t="n">
        <v>968.939</v>
      </c>
      <c r="DT238" s="2" t="n">
        <v>3841.3</v>
      </c>
      <c r="DU238" s="2" t="n">
        <v>-1046.961</v>
      </c>
      <c r="DV238" s="2" t="n">
        <v>0</v>
      </c>
      <c r="GY238" s="2" t="n">
        <v>0.9648718176173158</v>
      </c>
      <c r="GZ238" s="2" t="n">
        <v>1087.7</v>
      </c>
      <c r="HA238" s="2" t="n">
        <v>1127.3</v>
      </c>
      <c r="HF238" s="2" t="n">
        <v>1091.9</v>
      </c>
      <c r="HG238" s="2" t="n">
        <v>1061.6</v>
      </c>
      <c r="HH238" s="2" t="n">
        <v>410.8</v>
      </c>
      <c r="HI238" s="2" t="n">
        <v>119.8</v>
      </c>
      <c r="HJ238" s="2" t="n">
        <v>519.4</v>
      </c>
      <c r="HK238" s="2" t="n">
        <v>11.6</v>
      </c>
      <c r="HL238" s="2" t="n">
        <v>47</v>
      </c>
      <c r="HP238" s="2" t="e">
        <v>#VALUE!</v>
      </c>
      <c r="HQ238" s="2" t="n">
        <v>3.8</v>
      </c>
      <c r="HR238" s="2" t="n">
        <v>10.6</v>
      </c>
      <c r="HS238" s="2" t="e">
        <v>#VALUE!</v>
      </c>
      <c r="HT238" s="2" t="n">
        <v>26.5</v>
      </c>
      <c r="HW238" s="2" t="n">
        <v>288.9</v>
      </c>
      <c r="HX238" s="2" t="e">
        <v>#VALUE!</v>
      </c>
      <c r="HY238" s="2" t="n">
        <v>288.9</v>
      </c>
      <c r="HZ238" s="2" t="n">
        <v>48.5</v>
      </c>
      <c r="IA238" s="2" t="n">
        <v>211.4</v>
      </c>
      <c r="IB238" s="2" t="n">
        <v>72.8</v>
      </c>
      <c r="IC238" s="2" t="n">
        <v>138.7</v>
      </c>
      <c r="ID238" s="2" t="e">
        <v>#VALUE!</v>
      </c>
      <c r="IE238" s="2" t="e">
        <v>#VALUE!</v>
      </c>
      <c r="IF238" s="2" t="n">
        <v>6.4</v>
      </c>
      <c r="IG238" s="2" t="n">
        <v>17.3</v>
      </c>
      <c r="IN238" s="2" t="n">
        <v>27.4</v>
      </c>
      <c r="IO238" s="2" t="n">
        <v>28.3</v>
      </c>
      <c r="IP238" s="2" t="e">
        <v>#VALUE!</v>
      </c>
      <c r="IQ238" s="2" t="n">
        <v>42.9</v>
      </c>
      <c r="IR238" s="2" t="n">
        <v>13.4</v>
      </c>
      <c r="IS238" s="2" t="e">
        <v>#VALUE!</v>
      </c>
      <c r="IT238" s="2" t="n">
        <v>27.3</v>
      </c>
      <c r="IU238" s="2" t="e">
        <v>#VALUE!</v>
      </c>
      <c r="IV238" s="2" t="e">
        <v>#VALUE!</v>
      </c>
      <c r="IY238" s="2" t="n">
        <v>47.24025720459219</v>
      </c>
      <c r="IZ238" s="2" t="n">
        <v>-0.07974279540781026</v>
      </c>
      <c r="JB238" s="2" t="n">
        <v>11.32663421237602</v>
      </c>
      <c r="JC238" s="2" t="n">
        <v>0.04663421237601639</v>
      </c>
      <c r="JE238" s="2" t="n">
        <v>1767.3</v>
      </c>
      <c r="JF238" s="2" t="n">
        <v>0.7133503083800147</v>
      </c>
    </row>
    <row r="239">
      <c r="A239" s="1" t="n">
        <v>36312</v>
      </c>
      <c r="B239" s="2" t="n">
        <v>3634.6</v>
      </c>
      <c r="C239" s="2" t="n">
        <v>1664.5</v>
      </c>
      <c r="D239" s="2" t="n">
        <v>159.9</v>
      </c>
      <c r="E239" s="2" t="n">
        <v>563.3</v>
      </c>
      <c r="F239" s="2" t="n">
        <v>25.2</v>
      </c>
      <c r="G239" s="2" t="inlineStr">
        <is>
          <t>NA</t>
        </is>
      </c>
      <c r="H239" s="2" t="inlineStr">
        <is>
          <t>NA</t>
        </is>
      </c>
      <c r="I239" s="2" t="inlineStr">
        <is>
          <t>NA</t>
        </is>
      </c>
      <c r="J239" s="2" t="inlineStr">
        <is>
          <t>NA</t>
        </is>
      </c>
      <c r="K239" s="2" t="n">
        <v>1383.1</v>
      </c>
      <c r="L239" s="2" t="n">
        <v>1647.4</v>
      </c>
      <c r="M239" s="2" t="n">
        <v>1411.8</v>
      </c>
      <c r="N239" s="2" t="n">
        <v>235.6</v>
      </c>
      <c r="O239" s="2" t="n">
        <v>52.4</v>
      </c>
      <c r="P239" s="2" t="n">
        <v>100.7</v>
      </c>
      <c r="Q239" s="2" t="n">
        <v>30.7</v>
      </c>
      <c r="R239" s="2" t="n">
        <v>70</v>
      </c>
      <c r="T239" s="2" t="n">
        <v>20.7</v>
      </c>
      <c r="U239" s="2" t="n">
        <v>38.1</v>
      </c>
      <c r="V239" s="2" t="n">
        <v>35.9</v>
      </c>
      <c r="W239" s="2" t="n">
        <v>2.2</v>
      </c>
      <c r="X239" s="2" t="inlineStr">
        <is>
          <t>NA</t>
        </is>
      </c>
      <c r="Y239" s="2" t="n">
        <v>15.7</v>
      </c>
      <c r="Z239" s="2" t="n">
        <v>159.6</v>
      </c>
      <c r="AA239" s="2" t="n">
        <v>145.8</v>
      </c>
      <c r="AB239" s="2" t="n">
        <v>13.8</v>
      </c>
      <c r="AC239" s="2" t="inlineStr">
        <is>
          <t>NA</t>
        </is>
      </c>
      <c r="AD239" s="2" t="n">
        <v>37.7</v>
      </c>
      <c r="AF239" s="2" t="n">
        <v>169</v>
      </c>
      <c r="AG239" s="2" t="n">
        <v>142.8</v>
      </c>
      <c r="AH239" s="2" t="n">
        <v>26.2</v>
      </c>
      <c r="AI239" s="2" t="n">
        <v>205.7</v>
      </c>
      <c r="AL239" s="2" t="n">
        <v>109</v>
      </c>
      <c r="AM239" s="2" t="n">
        <v>53.3</v>
      </c>
      <c r="AN239" s="2" t="n">
        <v>55.7</v>
      </c>
      <c r="AO239" s="2" t="n">
        <v>2662.6</v>
      </c>
      <c r="AP239" s="2" t="n">
        <v>246</v>
      </c>
      <c r="AQ239" s="2" t="n">
        <v>181.4</v>
      </c>
      <c r="AR239" s="2" t="n">
        <v>38.2</v>
      </c>
      <c r="AS239" s="2" t="n">
        <v>75.59999999999999</v>
      </c>
      <c r="AT239" s="2" t="n">
        <v>61</v>
      </c>
      <c r="AU239" s="2" t="n">
        <v>47</v>
      </c>
      <c r="AV239" s="2" t="n">
        <v>24.8</v>
      </c>
      <c r="AW239" s="2" t="n">
        <v>14.7</v>
      </c>
      <c r="AX239" s="2" t="n">
        <v>2.6</v>
      </c>
      <c r="AY239" s="2" t="inlineStr">
        <is>
          <t>NA</t>
        </is>
      </c>
      <c r="AZ239" s="2" t="inlineStr">
        <is>
          <t>NA</t>
        </is>
      </c>
      <c r="BA239" s="2" t="inlineStr">
        <is>
          <t>NA</t>
        </is>
      </c>
      <c r="BB239" s="2" t="inlineStr">
        <is>
          <t>NA</t>
        </is>
      </c>
      <c r="BD239" s="2" t="n">
        <v>160.2</v>
      </c>
      <c r="BE239" s="2" t="n">
        <v>46.5</v>
      </c>
      <c r="BH239" s="2" t="n">
        <v>322.6</v>
      </c>
      <c r="BK239" s="2" t="n">
        <v>277.7</v>
      </c>
      <c r="BL239" s="2" t="n">
        <v>3.9</v>
      </c>
      <c r="BM239" s="2" t="n">
        <v>604.1</v>
      </c>
      <c r="BN239" s="2" t="n">
        <v>265.4</v>
      </c>
      <c r="BQ239" s="2" t="n">
        <v>176.7</v>
      </c>
      <c r="BR239" s="2" t="n">
        <v>5.3</v>
      </c>
      <c r="BS239" s="2" t="n">
        <v>447.4</v>
      </c>
      <c r="BT239" s="2" t="inlineStr">
        <is>
          <t>NA</t>
        </is>
      </c>
      <c r="BU239" s="2" t="n">
        <v>30.7</v>
      </c>
      <c r="BV239" s="2" t="n">
        <v>391.1</v>
      </c>
      <c r="BW239" s="2" t="n">
        <v>117.9</v>
      </c>
      <c r="BX239" s="2" t="n">
        <v>513.5</v>
      </c>
      <c r="BY239" s="2" t="n">
        <v>49.8</v>
      </c>
      <c r="BZ239" s="2" t="n">
        <v>16.7</v>
      </c>
      <c r="CA239" s="2" t="n">
        <v>66.5</v>
      </c>
      <c r="CF239" s="2" t="n">
        <v>100.7</v>
      </c>
      <c r="CG239" s="2" t="n">
        <v>180.7</v>
      </c>
      <c r="CH239" s="2" t="n">
        <v>7.3</v>
      </c>
      <c r="CN239" s="2" t="n">
        <v>34</v>
      </c>
      <c r="CO239" s="2" t="n">
        <v>134.7</v>
      </c>
      <c r="CP239" s="2" t="n">
        <v>103.9</v>
      </c>
      <c r="CQ239" s="2" t="n">
        <v>30.8</v>
      </c>
      <c r="CR239" s="2" t="inlineStr">
        <is>
          <t>NA</t>
        </is>
      </c>
      <c r="CS239" s="2" t="n">
        <v>68.69999999999999</v>
      </c>
      <c r="CT239" s="2" t="n">
        <v>35.9</v>
      </c>
      <c r="CU239" s="2" t="n">
        <v>32.8</v>
      </c>
      <c r="CV239" s="2" t="n">
        <v>49.7</v>
      </c>
      <c r="CW239" s="2" t="n">
        <v>12.5</v>
      </c>
      <c r="CX239" s="2" t="n">
        <v>37.2</v>
      </c>
      <c r="CY239" s="2" t="inlineStr">
        <is>
          <t>NA</t>
        </is>
      </c>
      <c r="CZ239" s="2" t="n">
        <v>78.2</v>
      </c>
      <c r="DA239" s="2" t="n">
        <v>34.6</v>
      </c>
      <c r="DB239" s="2" t="n">
        <v>32.6</v>
      </c>
      <c r="DC239" s="2" t="n">
        <v>2</v>
      </c>
      <c r="DI239" s="2" t="n">
        <v>621.7</v>
      </c>
      <c r="DJ239" s="2" t="n">
        <v>322</v>
      </c>
      <c r="DM239" s="2" t="n">
        <v>270.4</v>
      </c>
      <c r="DO239" s="2" t="n">
        <v>198.7</v>
      </c>
      <c r="DP239" s="2" t="n">
        <v>286.3</v>
      </c>
      <c r="DS239" s="2" t="n">
        <v>848.848</v>
      </c>
      <c r="DT239" s="2" t="n">
        <v>3634.6</v>
      </c>
      <c r="DU239" s="2" t="n">
        <v>-1086.652</v>
      </c>
      <c r="DV239" s="2" t="n">
        <v>0</v>
      </c>
      <c r="GY239" s="2" t="n">
        <v>0.9640974368296673</v>
      </c>
      <c r="GZ239" s="2" t="n">
        <v>1060.7</v>
      </c>
      <c r="HA239" s="2" t="n">
        <v>1100.2</v>
      </c>
      <c r="HF239" s="2" t="n">
        <v>1079.5</v>
      </c>
      <c r="HG239" s="2" t="n">
        <v>1042.1</v>
      </c>
      <c r="HH239" s="2" t="n">
        <v>404</v>
      </c>
      <c r="HI239" s="2" t="n">
        <v>125.4</v>
      </c>
      <c r="HJ239" s="2" t="n">
        <v>501</v>
      </c>
      <c r="HK239" s="2" t="n">
        <v>11.8</v>
      </c>
      <c r="HL239" s="2" t="n">
        <v>54.2</v>
      </c>
      <c r="HP239" s="2" t="e">
        <v>#VALUE!</v>
      </c>
      <c r="HQ239" s="2" t="n">
        <v>3.6</v>
      </c>
      <c r="HR239" s="2" t="n">
        <v>10</v>
      </c>
      <c r="HS239" s="2" t="e">
        <v>#VALUE!</v>
      </c>
      <c r="HT239" s="2" t="n">
        <v>29.7</v>
      </c>
      <c r="HW239" s="2" t="n">
        <v>313.1</v>
      </c>
      <c r="HX239" s="2" t="e">
        <v>#VALUE!</v>
      </c>
      <c r="HY239" s="2" t="n">
        <v>313.1</v>
      </c>
      <c r="HZ239" s="2" t="n">
        <v>48.9</v>
      </c>
      <c r="IA239" s="2" t="n">
        <v>231.7</v>
      </c>
      <c r="IB239" s="2" t="n">
        <v>72.09999999999999</v>
      </c>
      <c r="IC239" s="2" t="n">
        <v>159.6</v>
      </c>
      <c r="ID239" s="2" t="e">
        <v>#VALUE!</v>
      </c>
      <c r="IE239" s="2" t="e">
        <v>#VALUE!</v>
      </c>
      <c r="IF239" s="2" t="n">
        <v>8</v>
      </c>
      <c r="IG239" s="2" t="n">
        <v>19.1</v>
      </c>
      <c r="IN239" s="2" t="n">
        <v>27.5</v>
      </c>
      <c r="IO239" s="2" t="n">
        <v>28.4</v>
      </c>
      <c r="IP239" s="2" t="e">
        <v>#VALUE!</v>
      </c>
      <c r="IQ239" s="2" t="n">
        <v>44.8</v>
      </c>
      <c r="IR239" s="2" t="n">
        <v>13.6</v>
      </c>
      <c r="IS239" s="2" t="e">
        <v>#VALUE!</v>
      </c>
      <c r="IT239" s="2" t="n">
        <v>29.2</v>
      </c>
      <c r="IU239" s="2" t="e">
        <v>#VALUE!</v>
      </c>
      <c r="IV239" s="2" t="e">
        <v>#VALUE!</v>
      </c>
      <c r="IY239" s="2" t="n">
        <v>46.94877015352446</v>
      </c>
      <c r="IZ239" s="2" t="n">
        <v>-0.1912298464755438</v>
      </c>
      <c r="JB239" s="2" t="n">
        <v>11.4161118142299</v>
      </c>
      <c r="JC239" s="2" t="n">
        <v>-0.08388818577009971</v>
      </c>
      <c r="JE239" s="2" t="n">
        <v>1647.4</v>
      </c>
      <c r="JF239" s="2" t="n">
        <v>0.7334187204079156</v>
      </c>
    </row>
    <row r="240">
      <c r="A240" s="1" t="n">
        <v>36342</v>
      </c>
      <c r="B240" s="2" t="n">
        <v>3820.2</v>
      </c>
      <c r="C240" s="2" t="n">
        <v>1444.1</v>
      </c>
      <c r="D240" s="2" t="n">
        <v>149.2</v>
      </c>
      <c r="E240" s="2" t="n">
        <v>393.2</v>
      </c>
      <c r="F240" s="2" t="n">
        <v>25.8</v>
      </c>
      <c r="G240" s="2" t="inlineStr">
        <is>
          <t>NA</t>
        </is>
      </c>
      <c r="H240" s="2" t="inlineStr">
        <is>
          <t>NA</t>
        </is>
      </c>
      <c r="I240" s="2" t="inlineStr">
        <is>
          <t>NA</t>
        </is>
      </c>
      <c r="J240" s="2" t="inlineStr">
        <is>
          <t>NA</t>
        </is>
      </c>
      <c r="K240" s="2" t="n">
        <v>1451.2</v>
      </c>
      <c r="L240" s="2" t="n">
        <v>1671.2</v>
      </c>
      <c r="M240" s="2" t="n">
        <v>1441.8</v>
      </c>
      <c r="N240" s="2" t="n">
        <v>229.4</v>
      </c>
      <c r="O240" s="2" t="n">
        <v>45.9</v>
      </c>
      <c r="P240" s="2" t="n">
        <v>83.7</v>
      </c>
      <c r="Q240" s="2" t="n">
        <v>22.8</v>
      </c>
      <c r="R240" s="2" t="n">
        <v>60.9</v>
      </c>
      <c r="T240" s="2" t="n">
        <v>20.8</v>
      </c>
      <c r="U240" s="2" t="n">
        <v>40.1</v>
      </c>
      <c r="V240" s="2" t="n">
        <v>37.6</v>
      </c>
      <c r="W240" s="2" t="n">
        <v>2.5</v>
      </c>
      <c r="X240" s="2" t="inlineStr">
        <is>
          <t>NA</t>
        </is>
      </c>
      <c r="Y240" s="2" t="n">
        <v>19.1</v>
      </c>
      <c r="Z240" s="2" t="n">
        <v>174.1</v>
      </c>
      <c r="AA240" s="2" t="n">
        <v>165.8</v>
      </c>
      <c r="AB240" s="2" t="n">
        <v>8.300000000000001</v>
      </c>
      <c r="AC240" s="2" t="inlineStr">
        <is>
          <t>NA</t>
        </is>
      </c>
      <c r="AD240" s="2" t="n">
        <v>30.2</v>
      </c>
      <c r="AF240" s="2" t="n">
        <v>172.2</v>
      </c>
      <c r="AG240" s="2" t="n">
        <v>144.4</v>
      </c>
      <c r="AH240" s="2" t="n">
        <v>27.8</v>
      </c>
      <c r="AI240" s="2" t="n">
        <v>194.8</v>
      </c>
      <c r="AL240" s="2" t="n">
        <v>134.1</v>
      </c>
      <c r="AM240" s="2" t="n">
        <v>76.59999999999999</v>
      </c>
      <c r="AN240" s="2" t="n">
        <v>57.5</v>
      </c>
      <c r="AO240" s="2" t="n">
        <v>2812</v>
      </c>
      <c r="AP240" s="2" t="n">
        <v>340.1</v>
      </c>
      <c r="AQ240" s="2" t="n">
        <v>199.9</v>
      </c>
      <c r="AR240" s="2" t="n">
        <v>54.8</v>
      </c>
      <c r="AS240" s="2" t="n">
        <v>71</v>
      </c>
      <c r="AT240" s="2" t="n">
        <v>51.9</v>
      </c>
      <c r="AU240" s="2" t="n">
        <v>41.3</v>
      </c>
      <c r="AV240" s="2" t="n">
        <v>20.9</v>
      </c>
      <c r="AW240" s="2" t="n">
        <v>14.6</v>
      </c>
      <c r="AX240" s="2" t="n">
        <v>4.7</v>
      </c>
      <c r="AY240" s="2" t="inlineStr">
        <is>
          <t>NA</t>
        </is>
      </c>
      <c r="AZ240" s="2" t="inlineStr">
        <is>
          <t>NA</t>
        </is>
      </c>
      <c r="BA240" s="2" t="inlineStr">
        <is>
          <t>NA</t>
        </is>
      </c>
      <c r="BB240" s="2" t="inlineStr">
        <is>
          <t>NA</t>
        </is>
      </c>
      <c r="BD240" s="2" t="n">
        <v>151.9</v>
      </c>
      <c r="BE240" s="2" t="n">
        <v>49.2</v>
      </c>
      <c r="BH240" s="2" t="n">
        <v>323.5</v>
      </c>
      <c r="BK240" s="2" t="n">
        <v>263.6</v>
      </c>
      <c r="BL240" s="2" t="n">
        <v>3.6</v>
      </c>
      <c r="BM240" s="2" t="n">
        <v>590.7</v>
      </c>
      <c r="BN240" s="2" t="n">
        <v>218.8</v>
      </c>
      <c r="BQ240" s="2" t="n">
        <v>141.9</v>
      </c>
      <c r="BR240" s="2" t="n">
        <v>4.5</v>
      </c>
      <c r="BS240" s="2" t="n">
        <v>365.2</v>
      </c>
      <c r="BT240" s="2" t="inlineStr">
        <is>
          <t>NA</t>
        </is>
      </c>
      <c r="BU240" s="2" t="n">
        <v>25.5</v>
      </c>
      <c r="BV240" s="2" t="n">
        <v>395.3</v>
      </c>
      <c r="BW240" s="2" t="n">
        <v>112.2</v>
      </c>
      <c r="BX240" s="2" t="n">
        <v>513.1</v>
      </c>
      <c r="BY240" s="2" t="n">
        <v>57.3</v>
      </c>
      <c r="BZ240" s="2" t="n">
        <v>17.8</v>
      </c>
      <c r="CA240" s="2" t="n">
        <v>75.09999999999999</v>
      </c>
      <c r="CF240" s="2" t="n">
        <v>103.2</v>
      </c>
      <c r="CG240" s="2" t="n">
        <v>183.6</v>
      </c>
      <c r="CH240" s="2" t="n">
        <v>6.3</v>
      </c>
      <c r="CN240" s="2" t="n">
        <v>20.7</v>
      </c>
      <c r="CO240" s="2" t="n">
        <v>197.5</v>
      </c>
      <c r="CP240" s="2" t="n">
        <v>168.3</v>
      </c>
      <c r="CQ240" s="2" t="n">
        <v>29.2</v>
      </c>
      <c r="CR240" s="2" t="inlineStr">
        <is>
          <t>NA</t>
        </is>
      </c>
      <c r="CS240" s="2" t="n">
        <v>65.5</v>
      </c>
      <c r="CT240" s="2" t="n">
        <v>30.6</v>
      </c>
      <c r="CU240" s="2" t="n">
        <v>34.9</v>
      </c>
      <c r="CV240" s="2" t="n">
        <v>56.7</v>
      </c>
      <c r="CW240" s="2" t="n">
        <v>7.4</v>
      </c>
      <c r="CX240" s="2" t="n">
        <v>49.3</v>
      </c>
      <c r="CY240" s="2" t="inlineStr">
        <is>
          <t>NA</t>
        </is>
      </c>
      <c r="CZ240" s="2" t="n">
        <v>62.9</v>
      </c>
      <c r="DA240" s="2" t="n">
        <v>37.7</v>
      </c>
      <c r="DB240" s="2" t="n">
        <v>35.8</v>
      </c>
      <c r="DC240" s="2" t="n">
        <v>1.9</v>
      </c>
      <c r="DI240" s="2" t="n">
        <v>638.7</v>
      </c>
      <c r="DJ240" s="2" t="n">
        <v>306.7</v>
      </c>
      <c r="DL240" s="2" t="n">
        <v>133.8</v>
      </c>
      <c r="DM240" s="2" t="n">
        <v>275.3</v>
      </c>
      <c r="DO240" s="2" t="n">
        <v>227.3</v>
      </c>
      <c r="DP240" s="2" t="n">
        <v>266.1</v>
      </c>
      <c r="DS240" s="2" t="n">
        <v>968.0839999999999</v>
      </c>
      <c r="DT240" s="2" t="n">
        <v>3820.2</v>
      </c>
      <c r="DU240" s="2" t="n">
        <v>-1004.216</v>
      </c>
      <c r="DV240" s="2" t="n">
        <v>0</v>
      </c>
      <c r="GY240" s="2" t="n">
        <v>0.9645558086560364</v>
      </c>
      <c r="GZ240" s="2" t="n">
        <v>1058.6</v>
      </c>
      <c r="HA240" s="2" t="n">
        <v>1097.5</v>
      </c>
      <c r="HF240" s="2" t="n">
        <v>1082.9</v>
      </c>
      <c r="HG240" s="2" t="n">
        <v>1056.7</v>
      </c>
      <c r="HH240" s="2" t="n">
        <v>397.5</v>
      </c>
      <c r="HI240" s="2" t="n">
        <v>119.5</v>
      </c>
      <c r="HJ240" s="2" t="n">
        <v>527.9</v>
      </c>
      <c r="HK240" s="2" t="n">
        <v>11.8</v>
      </c>
      <c r="HL240" s="2" t="n">
        <v>46.1</v>
      </c>
      <c r="HP240" s="2" t="e">
        <v>#VALUE!</v>
      </c>
      <c r="HQ240" s="2" t="n">
        <v>3.9</v>
      </c>
      <c r="HR240" s="2" t="n">
        <v>9.4</v>
      </c>
      <c r="HS240" s="2" t="e">
        <v>#VALUE!</v>
      </c>
      <c r="HT240" s="2" t="n">
        <v>20.7</v>
      </c>
      <c r="HW240" s="2" t="n">
        <v>318.2</v>
      </c>
      <c r="HX240" s="2" t="e">
        <v>#VALUE!</v>
      </c>
      <c r="HY240" s="2" t="n">
        <v>318.2</v>
      </c>
      <c r="HZ240" s="2" t="n">
        <v>52</v>
      </c>
      <c r="IA240" s="2" t="n">
        <v>233.8</v>
      </c>
      <c r="IB240" s="2" t="n">
        <v>86</v>
      </c>
      <c r="IC240" s="2" t="n">
        <v>147.8</v>
      </c>
      <c r="ID240" s="2" t="e">
        <v>#VALUE!</v>
      </c>
      <c r="IE240" s="2" t="e">
        <v>#VALUE!</v>
      </c>
      <c r="IF240" s="2" t="n">
        <v>9</v>
      </c>
      <c r="IG240" s="2" t="n">
        <v>19</v>
      </c>
      <c r="IN240" s="2" t="n">
        <v>29.7</v>
      </c>
      <c r="IO240" s="2" t="n">
        <v>30.5</v>
      </c>
      <c r="IP240" s="2" t="e">
        <v>#VALUE!</v>
      </c>
      <c r="IQ240" s="2" t="n">
        <v>40.5</v>
      </c>
      <c r="IR240" s="2" t="n">
        <v>14.4</v>
      </c>
      <c r="IS240" s="2" t="e">
        <v>#VALUE!</v>
      </c>
      <c r="IT240" s="2" t="n">
        <v>24.1</v>
      </c>
      <c r="IU240" s="2" t="e">
        <v>#VALUE!</v>
      </c>
      <c r="IV240" s="2" t="n">
        <v>0.2</v>
      </c>
      <c r="IY240" s="2" t="n">
        <v>47.30485314904979</v>
      </c>
      <c r="IZ240" s="2" t="n">
        <v>0.03485314904978765</v>
      </c>
      <c r="JB240" s="2" t="n">
        <v>11.39626197581279</v>
      </c>
      <c r="JC240" s="2" t="n">
        <v>-0.0437380241872134</v>
      </c>
      <c r="JE240" s="2" t="n">
        <v>1671.2</v>
      </c>
      <c r="JF240" s="2" t="n">
        <v>0.7385292005744375</v>
      </c>
    </row>
    <row r="241">
      <c r="A241" s="1" t="n">
        <v>36373</v>
      </c>
      <c r="B241" s="2" t="n">
        <v>3807.2</v>
      </c>
      <c r="C241" s="2" t="n">
        <v>1251.5</v>
      </c>
      <c r="D241" s="2" t="n">
        <v>166.8</v>
      </c>
      <c r="E241" s="2" t="n">
        <v>340.3</v>
      </c>
      <c r="F241" s="2" t="n">
        <v>21.5</v>
      </c>
      <c r="G241" s="2" t="inlineStr">
        <is>
          <t>NA</t>
        </is>
      </c>
      <c r="H241" s="2" t="inlineStr">
        <is>
          <t>NA</t>
        </is>
      </c>
      <c r="I241" s="2" t="inlineStr">
        <is>
          <t>NA</t>
        </is>
      </c>
      <c r="J241" s="2" t="inlineStr">
        <is>
          <t>NA</t>
        </is>
      </c>
      <c r="K241" s="2" t="n">
        <v>1452.4</v>
      </c>
      <c r="L241" s="2" t="n">
        <v>1630.8</v>
      </c>
      <c r="M241" s="2" t="n">
        <v>1417.8</v>
      </c>
      <c r="N241" s="2" t="n">
        <v>213</v>
      </c>
      <c r="O241" s="2" t="n">
        <v>56.1</v>
      </c>
      <c r="P241" s="2" t="n">
        <v>107.8</v>
      </c>
      <c r="Q241" s="2" t="n">
        <v>39</v>
      </c>
      <c r="R241" s="2" t="n">
        <v>68.8</v>
      </c>
      <c r="T241" s="2" t="n">
        <v>17.8</v>
      </c>
      <c r="U241" s="2" t="n">
        <v>48.8</v>
      </c>
      <c r="V241" s="2" t="n">
        <v>45.9</v>
      </c>
      <c r="W241" s="2" t="n">
        <v>2.9</v>
      </c>
      <c r="X241" s="2" t="inlineStr">
        <is>
          <t>NA</t>
        </is>
      </c>
      <c r="Y241" s="2" t="inlineStr">
        <is>
          <t>NA</t>
        </is>
      </c>
      <c r="Z241" s="2" t="n">
        <v>132</v>
      </c>
      <c r="AA241" s="2" t="n">
        <v>124.5</v>
      </c>
      <c r="AB241" s="2" t="n">
        <v>7.5</v>
      </c>
      <c r="AC241" s="2" t="inlineStr">
        <is>
          <t>NA</t>
        </is>
      </c>
      <c r="AD241" s="2" t="n">
        <v>28.6</v>
      </c>
      <c r="AF241" s="2" t="n">
        <v>153.2</v>
      </c>
      <c r="AG241" s="2" t="n">
        <v>134.4</v>
      </c>
      <c r="AH241" s="2" t="n">
        <v>18.8</v>
      </c>
      <c r="AI241" s="2" t="n">
        <v>212.5</v>
      </c>
      <c r="AL241" s="2" t="n">
        <v>126.4</v>
      </c>
      <c r="AM241" s="2" t="n">
        <v>70.09999999999999</v>
      </c>
      <c r="AN241" s="2" t="n">
        <v>56.3</v>
      </c>
      <c r="AO241" s="2" t="n">
        <v>2801.3</v>
      </c>
      <c r="AP241" s="2" t="n">
        <v>238.8</v>
      </c>
      <c r="AQ241" s="2" t="n">
        <v>202.2</v>
      </c>
      <c r="AR241" s="2" t="n">
        <v>40.6</v>
      </c>
      <c r="AS241" s="2" t="n">
        <v>82.09999999999999</v>
      </c>
      <c r="AT241" s="2" t="n">
        <v>36.4</v>
      </c>
      <c r="AU241" s="2" t="n">
        <v>49.3</v>
      </c>
      <c r="AV241" s="2" t="n">
        <v>22.5</v>
      </c>
      <c r="AW241" s="2" t="n">
        <v>12.1</v>
      </c>
      <c r="AX241" s="2" t="n">
        <v>5.1</v>
      </c>
      <c r="AY241" s="2" t="inlineStr">
        <is>
          <t>NA</t>
        </is>
      </c>
      <c r="AZ241" s="2" t="inlineStr">
        <is>
          <t>NA</t>
        </is>
      </c>
      <c r="BA241" s="2" t="inlineStr">
        <is>
          <t>NA</t>
        </is>
      </c>
      <c r="BB241" s="2" t="inlineStr">
        <is>
          <t>NA</t>
        </is>
      </c>
      <c r="BD241" s="2" t="n">
        <v>147.1</v>
      </c>
      <c r="BE241" s="2" t="n">
        <v>41.5</v>
      </c>
      <c r="BH241" s="2" t="n">
        <v>329.2</v>
      </c>
      <c r="BK241" s="2" t="n">
        <v>270</v>
      </c>
      <c r="BL241" s="2" t="n">
        <v>3.8</v>
      </c>
      <c r="BM241" s="2" t="n">
        <v>603</v>
      </c>
      <c r="BN241" s="2" t="n">
        <v>243.7</v>
      </c>
      <c r="BQ241" s="2" t="n">
        <v>137.1</v>
      </c>
      <c r="BR241" s="2" t="n">
        <v>4.5</v>
      </c>
      <c r="BS241" s="2" t="n">
        <v>385.3</v>
      </c>
      <c r="BT241" s="2" t="inlineStr">
        <is>
          <t>NA</t>
        </is>
      </c>
      <c r="BU241" s="2" t="n">
        <v>29.4</v>
      </c>
      <c r="BV241" s="2" t="n">
        <v>398.7</v>
      </c>
      <c r="BW241" s="2" t="n">
        <v>111.7</v>
      </c>
      <c r="BX241" s="2" t="n">
        <v>515.1</v>
      </c>
      <c r="BY241" s="2" t="n">
        <v>53.1</v>
      </c>
      <c r="BZ241" s="2" t="n">
        <v>18</v>
      </c>
      <c r="CA241" s="2" t="n">
        <v>71.09999999999999</v>
      </c>
      <c r="CF241" s="2" t="n">
        <v>103.5</v>
      </c>
      <c r="CG241" s="2" t="n">
        <v>152.7</v>
      </c>
      <c r="CH241" s="2" t="n">
        <v>7</v>
      </c>
      <c r="CN241" s="2" t="inlineStr">
        <is>
          <t>NA</t>
        </is>
      </c>
      <c r="CO241" s="2" t="n">
        <v>191.8</v>
      </c>
      <c r="CP241" s="2" t="n">
        <v>155.1</v>
      </c>
      <c r="CQ241" s="2" t="n">
        <v>36.7</v>
      </c>
      <c r="CR241" s="2" t="inlineStr">
        <is>
          <t>NA</t>
        </is>
      </c>
      <c r="CS241" s="2" t="n">
        <v>68.90000000000001</v>
      </c>
      <c r="CT241" s="2" t="n">
        <v>34.2</v>
      </c>
      <c r="CU241" s="2" t="n">
        <v>34.7</v>
      </c>
      <c r="CV241" s="2" t="n">
        <v>53.9</v>
      </c>
      <c r="CW241" s="2" t="n">
        <v>10.9</v>
      </c>
      <c r="CX241" s="2" t="n">
        <v>43</v>
      </c>
      <c r="CY241" s="2" t="inlineStr">
        <is>
          <t>NA</t>
        </is>
      </c>
      <c r="CZ241" s="2" t="n">
        <v>85.3</v>
      </c>
      <c r="DA241" s="2" t="n">
        <v>46.7</v>
      </c>
      <c r="DB241" s="2" t="n">
        <v>44.8</v>
      </c>
      <c r="DC241" s="2" t="n">
        <v>1.9</v>
      </c>
      <c r="DI241" s="2" t="n">
        <v>507</v>
      </c>
      <c r="DJ241" s="2" t="n">
        <v>284.9</v>
      </c>
      <c r="DL241" s="2" t="n">
        <v>121.2</v>
      </c>
      <c r="DM241" s="2" t="n">
        <v>261</v>
      </c>
      <c r="DO241" s="2" t="n">
        <v>244.9</v>
      </c>
      <c r="DP241" s="2" t="n">
        <v>262.7</v>
      </c>
      <c r="DS241" s="2" t="n">
        <v>978.0170000000001</v>
      </c>
      <c r="DT241" s="2" t="n">
        <v>3807.2</v>
      </c>
      <c r="DU241" s="2" t="n">
        <v>-1147.483</v>
      </c>
      <c r="DV241" s="2" t="n">
        <v>0</v>
      </c>
      <c r="GY241" s="2" t="n">
        <v>0.9631917631917631</v>
      </c>
      <c r="GZ241" s="2" t="n">
        <v>1122.6</v>
      </c>
      <c r="HA241" s="2" t="n">
        <v>1165.5</v>
      </c>
      <c r="HF241" s="2" t="n">
        <v>1185</v>
      </c>
      <c r="HG241" s="2" t="n">
        <v>1157.3</v>
      </c>
      <c r="HH241" s="2" t="n">
        <v>444.4</v>
      </c>
      <c r="HI241" s="2" t="n">
        <v>142.8</v>
      </c>
      <c r="HJ241" s="2" t="n">
        <v>558.6</v>
      </c>
      <c r="HK241" s="2" t="n">
        <v>11.6</v>
      </c>
      <c r="HL241" s="2" t="n">
        <v>47.7</v>
      </c>
      <c r="HP241" s="2" t="e">
        <v>#VALUE!</v>
      </c>
      <c r="HQ241" s="2" t="n">
        <v>2.7</v>
      </c>
      <c r="HR241" s="2" t="n">
        <v>10</v>
      </c>
      <c r="HS241" s="2" t="e">
        <v>#VALUE!</v>
      </c>
      <c r="HT241" s="2" t="n">
        <v>24</v>
      </c>
      <c r="HW241" s="2" t="n">
        <v>322.1</v>
      </c>
      <c r="HX241" s="2" t="e">
        <v>#VALUE!</v>
      </c>
      <c r="HY241" s="2" t="n">
        <v>322.1</v>
      </c>
      <c r="HZ241" s="2" t="n">
        <v>50.4</v>
      </c>
      <c r="IA241" s="2" t="n">
        <v>242.4</v>
      </c>
      <c r="IB241" s="2" t="n">
        <v>88.3</v>
      </c>
      <c r="IC241" s="2" t="n">
        <v>154.1</v>
      </c>
      <c r="ID241" s="2" t="e">
        <v>#VALUE!</v>
      </c>
      <c r="IE241" s="2" t="e">
        <v>#VALUE!</v>
      </c>
      <c r="IF241" s="2" t="n">
        <v>8.699999999999999</v>
      </c>
      <c r="IG241" s="2" t="n">
        <v>14.1</v>
      </c>
      <c r="IN241" s="2" t="n">
        <v>44.8</v>
      </c>
      <c r="IO241" s="2" t="n">
        <v>46.2</v>
      </c>
      <c r="IP241" s="2" t="e">
        <v>#VALUE!</v>
      </c>
      <c r="IQ241" s="2" t="n">
        <v>40</v>
      </c>
      <c r="IR241" s="2" t="n">
        <v>13.3</v>
      </c>
      <c r="IS241" s="2" t="e">
        <v>#VALUE!</v>
      </c>
      <c r="IT241" s="2" t="n">
        <v>24.5</v>
      </c>
      <c r="IU241" s="2" t="e">
        <v>#VALUE!</v>
      </c>
      <c r="IV241" s="2" t="e">
        <v>#VALUE!</v>
      </c>
      <c r="IY241" s="2" t="n">
        <v>47.33399873923093</v>
      </c>
      <c r="IZ241" s="2" t="n">
        <v>0.04399873923092912</v>
      </c>
      <c r="JB241" s="2" t="n">
        <v>11.44463122504728</v>
      </c>
      <c r="JC241" s="2" t="n">
        <v>-0.04536877495272051</v>
      </c>
      <c r="JE241" s="2" t="n">
        <v>1630.8</v>
      </c>
      <c r="JF241" s="2" t="n">
        <v>0.7394769438312485</v>
      </c>
    </row>
    <row r="242">
      <c r="A242" s="1" t="n">
        <v>36404</v>
      </c>
      <c r="B242" s="2" t="n">
        <v>4013.4</v>
      </c>
      <c r="C242" s="2" t="n">
        <v>2122.6</v>
      </c>
      <c r="D242" s="2" t="n">
        <v>230.7</v>
      </c>
      <c r="E242" s="2" t="n">
        <v>563.4</v>
      </c>
      <c r="F242" s="2" t="n">
        <v>20</v>
      </c>
      <c r="G242" s="2" t="inlineStr">
        <is>
          <t>NA</t>
        </is>
      </c>
      <c r="H242" s="2" t="inlineStr">
        <is>
          <t>NA</t>
        </is>
      </c>
      <c r="I242" s="2" t="inlineStr">
        <is>
          <t>NA</t>
        </is>
      </c>
      <c r="J242" s="2" t="inlineStr">
        <is>
          <t>NA</t>
        </is>
      </c>
      <c r="K242" s="2" t="n">
        <v>1528.4</v>
      </c>
      <c r="L242" s="2" t="n">
        <v>1519.5</v>
      </c>
      <c r="M242" s="2" t="n">
        <v>1316.1</v>
      </c>
      <c r="N242" s="2" t="n">
        <v>203.4</v>
      </c>
      <c r="O242" s="2" t="n">
        <v>69.59999999999999</v>
      </c>
      <c r="P242" s="2" t="n">
        <v>76</v>
      </c>
      <c r="Q242" s="2" t="n">
        <v>15.5</v>
      </c>
      <c r="R242" s="2" t="n">
        <v>60.5</v>
      </c>
      <c r="T242" s="2" t="n">
        <v>16.3</v>
      </c>
      <c r="U242" s="2" t="n">
        <v>39.59999999999999</v>
      </c>
      <c r="V242" s="2" t="n">
        <v>36.8</v>
      </c>
      <c r="W242" s="2" t="n">
        <v>2.8</v>
      </c>
      <c r="X242" s="2" t="inlineStr">
        <is>
          <t>NA</t>
        </is>
      </c>
      <c r="Y242" s="2" t="n">
        <v>15.6</v>
      </c>
      <c r="Z242" s="2" t="n">
        <v>121.5</v>
      </c>
      <c r="AA242" s="2" t="n">
        <v>110.3</v>
      </c>
      <c r="AB242" s="2" t="n">
        <v>11.2</v>
      </c>
      <c r="AC242" s="2" t="inlineStr">
        <is>
          <t>NA</t>
        </is>
      </c>
      <c r="AD242" s="2" t="n">
        <v>31.5</v>
      </c>
      <c r="AF242" s="2" t="n">
        <v>169.3</v>
      </c>
      <c r="AG242" s="2" t="n">
        <v>148.3</v>
      </c>
      <c r="AH242" s="2" t="n">
        <v>21</v>
      </c>
      <c r="AI242" s="2" t="n">
        <v>196.3</v>
      </c>
      <c r="AL242" s="2" t="n">
        <v>135.4</v>
      </c>
      <c r="AM242" s="2" t="n">
        <v>74.59999999999999</v>
      </c>
      <c r="AN242" s="2" t="n">
        <v>60.8</v>
      </c>
      <c r="AO242" s="2" t="n">
        <v>2949.9</v>
      </c>
      <c r="AP242" s="2" t="n">
        <v>284</v>
      </c>
      <c r="AQ242" s="2" t="n">
        <v>217.9</v>
      </c>
      <c r="AR242" s="2" t="n">
        <v>46.3</v>
      </c>
      <c r="AS242" s="2" t="n">
        <v>107.5</v>
      </c>
      <c r="AT242" s="2" t="n">
        <v>24.1</v>
      </c>
      <c r="AU242" s="2" t="n">
        <v>56.9</v>
      </c>
      <c r="AV242" s="2" t="n">
        <v>21.6</v>
      </c>
      <c r="AW242" s="2" t="n">
        <v>10.8</v>
      </c>
      <c r="AX242" s="2" t="n">
        <v>1</v>
      </c>
      <c r="AY242" s="2" t="inlineStr">
        <is>
          <t>NA</t>
        </is>
      </c>
      <c r="AZ242" s="2" t="inlineStr">
        <is>
          <t>NA</t>
        </is>
      </c>
      <c r="BA242" s="2" t="inlineStr">
        <is>
          <t>NA</t>
        </is>
      </c>
      <c r="BB242" s="2" t="inlineStr">
        <is>
          <t>NA</t>
        </is>
      </c>
      <c r="BD242" s="2" t="n">
        <v>147</v>
      </c>
      <c r="BE242" s="2" t="n">
        <v>43.4</v>
      </c>
      <c r="BH242" s="2" t="n">
        <v>322.9</v>
      </c>
      <c r="BK242" s="2" t="n">
        <v>264.2</v>
      </c>
      <c r="BL242" s="2" t="n">
        <v>3.6</v>
      </c>
      <c r="BM242" s="2" t="n">
        <v>590.7</v>
      </c>
      <c r="BN242" s="2" t="n">
        <v>247.3</v>
      </c>
      <c r="BQ242" s="2" t="n">
        <v>134.3</v>
      </c>
      <c r="BR242" s="2" t="n">
        <v>4.6</v>
      </c>
      <c r="BS242" s="2" t="n">
        <v>386.2</v>
      </c>
      <c r="BT242" s="2" t="inlineStr">
        <is>
          <t>NA</t>
        </is>
      </c>
      <c r="BU242" s="2" t="n">
        <v>20.8</v>
      </c>
      <c r="BV242" s="2" t="n">
        <v>399</v>
      </c>
      <c r="BW242" s="2" t="n">
        <v>102.5</v>
      </c>
      <c r="BX242" s="2" t="n">
        <v>506</v>
      </c>
      <c r="BY242" s="2" t="n">
        <v>50.9</v>
      </c>
      <c r="BZ242" s="2" t="n">
        <v>15.3</v>
      </c>
      <c r="CA242" s="2" t="n">
        <v>66.2</v>
      </c>
      <c r="CF242" s="2" t="n">
        <v>113.6</v>
      </c>
      <c r="CG242" s="2" t="n">
        <v>146.8</v>
      </c>
      <c r="CH242" s="2" t="n">
        <v>7.5</v>
      </c>
      <c r="CN242" s="2" t="n">
        <v>16.9</v>
      </c>
      <c r="CO242" s="2" t="n">
        <v>152.1</v>
      </c>
      <c r="CP242" s="2" t="n">
        <v>103.5</v>
      </c>
      <c r="CQ242" s="2" t="n">
        <v>48.6</v>
      </c>
      <c r="CR242" s="2" t="inlineStr">
        <is>
          <t>NA</t>
        </is>
      </c>
      <c r="CS242" s="2" t="n">
        <v>73.90000000000001</v>
      </c>
      <c r="CT242" s="2" t="n">
        <v>37.5</v>
      </c>
      <c r="CU242" s="2" t="n">
        <v>36.4</v>
      </c>
      <c r="CV242" s="2" t="n">
        <v>46.5</v>
      </c>
      <c r="CW242" s="2" t="n">
        <v>10.6</v>
      </c>
      <c r="CX242" s="2" t="n">
        <v>35.9</v>
      </c>
      <c r="CY242" s="2" t="inlineStr">
        <is>
          <t>NA</t>
        </is>
      </c>
      <c r="CZ242" s="2" t="n">
        <v>73.90000000000001</v>
      </c>
      <c r="DA242" s="2" t="n">
        <v>48.40000000000001</v>
      </c>
      <c r="DB242" s="2" t="n">
        <v>46.2</v>
      </c>
      <c r="DC242" s="2" t="n">
        <v>2.2</v>
      </c>
      <c r="DI242" s="2" t="n">
        <v>646.9</v>
      </c>
      <c r="DJ242" s="2" t="n">
        <v>338.9</v>
      </c>
      <c r="DL242" s="2" t="n">
        <v>146.5</v>
      </c>
      <c r="DM242" s="2" t="n">
        <v>255.7</v>
      </c>
      <c r="DO242" s="2" t="n">
        <v>234.2</v>
      </c>
      <c r="DP242" s="2" t="n">
        <v>289.5</v>
      </c>
      <c r="DS242" s="2" t="n">
        <v>1025.003</v>
      </c>
      <c r="DT242" s="2" t="n">
        <v>4013.4</v>
      </c>
      <c r="DU242" s="2" t="n">
        <v>-1076.697</v>
      </c>
      <c r="DV242" s="2" t="n">
        <v>0</v>
      </c>
      <c r="GY242" s="2" t="n">
        <v>0.9642363510711819</v>
      </c>
      <c r="GZ242" s="2" t="n">
        <v>1116.2</v>
      </c>
      <c r="HA242" s="2" t="n">
        <v>1157.6</v>
      </c>
      <c r="HF242" s="2" t="n">
        <v>1185.7</v>
      </c>
      <c r="HG242" s="2" t="n">
        <v>1152.6</v>
      </c>
      <c r="HH242" s="2" t="n">
        <v>459.3</v>
      </c>
      <c r="HI242" s="2" t="n">
        <v>145.6</v>
      </c>
      <c r="HJ242" s="2" t="n">
        <v>536.4</v>
      </c>
      <c r="HK242" s="2" t="n">
        <v>11.3</v>
      </c>
      <c r="HL242" s="2" t="n">
        <v>50</v>
      </c>
      <c r="HP242" s="2" t="e">
        <v>#VALUE!</v>
      </c>
      <c r="HQ242" s="2" t="n">
        <v>2.3</v>
      </c>
      <c r="HR242" s="2" t="n">
        <v>9.1</v>
      </c>
      <c r="HS242" s="2" t="e">
        <v>#VALUE!</v>
      </c>
      <c r="HT242" s="2" t="n">
        <v>29.9</v>
      </c>
      <c r="HW242" s="2" t="n">
        <v>337.4</v>
      </c>
      <c r="HX242" s="2" t="e">
        <v>#VALUE!</v>
      </c>
      <c r="HY242" s="2" t="n">
        <v>337.4</v>
      </c>
      <c r="HZ242" s="2" t="n">
        <v>57.2</v>
      </c>
      <c r="IA242" s="2" t="n">
        <v>240.5</v>
      </c>
      <c r="IB242" s="2" t="n">
        <v>83.90000000000001</v>
      </c>
      <c r="IC242" s="2" t="n">
        <v>156.6</v>
      </c>
      <c r="ID242" s="2" t="e">
        <v>#VALUE!</v>
      </c>
      <c r="IE242" s="2" t="e">
        <v>#VALUE!</v>
      </c>
      <c r="IF242" s="2" t="n">
        <v>9.4</v>
      </c>
      <c r="IG242" s="2" t="n">
        <v>24.3</v>
      </c>
      <c r="IN242" s="2" t="n">
        <v>42.4</v>
      </c>
      <c r="IO242" s="2" t="n">
        <v>43.5</v>
      </c>
      <c r="IP242" s="2" t="e">
        <v>#VALUE!</v>
      </c>
      <c r="IQ242" s="2" t="n">
        <v>37.2</v>
      </c>
      <c r="IR242" s="2" t="n">
        <v>13.7</v>
      </c>
      <c r="IS242" s="2" t="e">
        <v>#VALUE!</v>
      </c>
      <c r="IT242" s="2" t="n">
        <v>21.4</v>
      </c>
      <c r="IU242" s="2" t="e">
        <v>#VALUE!</v>
      </c>
      <c r="IV242" s="2" t="e">
        <v>#VALUE!</v>
      </c>
      <c r="IY242" s="2" t="n">
        <v>47.35834952907759</v>
      </c>
      <c r="IZ242" s="2" t="n">
        <v>0.008349529077591455</v>
      </c>
      <c r="JB242" s="2" t="n">
        <v>11.4247271640006</v>
      </c>
      <c r="JC242" s="2" t="n">
        <v>-0.06527283599940148</v>
      </c>
      <c r="JE242" s="2" t="n">
        <v>1519.5</v>
      </c>
      <c r="JF242" s="2" t="n">
        <v>0.7951411648568609</v>
      </c>
    </row>
    <row r="243">
      <c r="A243" s="1" t="n">
        <v>36434</v>
      </c>
      <c r="B243" s="2" t="n">
        <v>4505.8</v>
      </c>
      <c r="C243" s="2" t="n">
        <v>4886.2</v>
      </c>
      <c r="D243" s="2" t="n">
        <v>281.6</v>
      </c>
      <c r="E243" s="2" t="n">
        <v>1247</v>
      </c>
      <c r="F243" s="2" t="n">
        <v>13.3</v>
      </c>
      <c r="G243" s="2" t="inlineStr">
        <is>
          <t>NA</t>
        </is>
      </c>
      <c r="H243" s="2" t="inlineStr">
        <is>
          <t>NA</t>
        </is>
      </c>
      <c r="I243" s="2" t="inlineStr">
        <is>
          <t>NA</t>
        </is>
      </c>
      <c r="J243" s="2" t="inlineStr">
        <is>
          <t>NA</t>
        </is>
      </c>
      <c r="K243" s="2" t="n">
        <v>1687.1</v>
      </c>
      <c r="L243" s="2" t="n">
        <v>1616.4</v>
      </c>
      <c r="M243" s="2" t="n">
        <v>1378.3</v>
      </c>
      <c r="N243" s="2" t="n">
        <v>238.1</v>
      </c>
      <c r="O243" s="2" t="n">
        <v>88.3</v>
      </c>
      <c r="P243" s="2" t="n">
        <v>81.09999999999999</v>
      </c>
      <c r="Q243" s="2" t="n">
        <v>21.8</v>
      </c>
      <c r="R243" s="2" t="n">
        <v>59.3</v>
      </c>
      <c r="T243" s="2" t="n">
        <v>13.5</v>
      </c>
      <c r="U243" s="2" t="n">
        <v>30.7</v>
      </c>
      <c r="V243" s="2" t="n">
        <v>28.8</v>
      </c>
      <c r="W243" s="2" t="n">
        <v>1.9</v>
      </c>
      <c r="X243" s="2" t="inlineStr">
        <is>
          <t>NA</t>
        </is>
      </c>
      <c r="Y243" s="2" t="inlineStr">
        <is>
          <t>NA</t>
        </is>
      </c>
      <c r="Z243" s="2" t="n">
        <v>120.1</v>
      </c>
      <c r="AA243" s="2" t="n">
        <v>106.7</v>
      </c>
      <c r="AB243" s="2" t="n">
        <v>13.4</v>
      </c>
      <c r="AC243" s="2" t="inlineStr">
        <is>
          <t>NA</t>
        </is>
      </c>
      <c r="AD243" s="2" t="n">
        <v>19.4</v>
      </c>
      <c r="AF243" s="2" t="n">
        <v>186</v>
      </c>
      <c r="AG243" s="2" t="n">
        <v>152.6</v>
      </c>
      <c r="AH243" s="2" t="n">
        <v>33.4</v>
      </c>
      <c r="AI243" s="2" t="n">
        <v>204.3</v>
      </c>
      <c r="AL243" s="2" t="n">
        <v>151.7</v>
      </c>
      <c r="AM243" s="2" t="n">
        <v>86.90000000000001</v>
      </c>
      <c r="AN243" s="2" t="n">
        <v>64.8</v>
      </c>
      <c r="AO243" s="2" t="n">
        <v>3321.3</v>
      </c>
      <c r="AP243" s="2" t="n">
        <v>409.8</v>
      </c>
      <c r="AQ243" s="2" t="n">
        <v>252.1</v>
      </c>
      <c r="AR243" s="2" t="n">
        <v>57.8</v>
      </c>
      <c r="AS243" s="2" t="n">
        <v>132.1</v>
      </c>
      <c r="AT243" s="2" t="n">
        <v>34.5</v>
      </c>
      <c r="AU243" s="2" t="n">
        <v>75</v>
      </c>
      <c r="AV243" s="2" t="n">
        <v>22.4</v>
      </c>
      <c r="AW243" s="2" t="n">
        <v>6.1</v>
      </c>
      <c r="AX243" s="2" t="n">
        <v>2.5</v>
      </c>
      <c r="AY243" s="2" t="inlineStr">
        <is>
          <t>NA</t>
        </is>
      </c>
      <c r="AZ243" s="2" t="inlineStr">
        <is>
          <t>NA</t>
        </is>
      </c>
      <c r="BA243" s="2" t="inlineStr">
        <is>
          <t>NA</t>
        </is>
      </c>
      <c r="BB243" s="2" t="inlineStr">
        <is>
          <t>NA</t>
        </is>
      </c>
      <c r="BD243" s="2" t="n">
        <v>148.6</v>
      </c>
      <c r="BE243" s="2" t="n">
        <v>42.5</v>
      </c>
      <c r="BH243" s="2" t="n">
        <v>324.9</v>
      </c>
      <c r="BK243" s="2" t="n">
        <v>255.3</v>
      </c>
      <c r="BL243" s="2" t="n">
        <v>3.7</v>
      </c>
      <c r="BM243" s="2" t="n">
        <v>584</v>
      </c>
      <c r="BN243" s="2" t="n">
        <v>254.3</v>
      </c>
      <c r="BQ243" s="2" t="n">
        <v>146.9</v>
      </c>
      <c r="BR243" s="2" t="n">
        <v>4.8</v>
      </c>
      <c r="BS243" s="2" t="n">
        <v>406.0000000000001</v>
      </c>
      <c r="BT243" s="2" t="inlineStr">
        <is>
          <t>NA</t>
        </is>
      </c>
      <c r="BU243" s="2" t="n">
        <v>19.1</v>
      </c>
      <c r="BV243" s="2" t="n">
        <v>379.7</v>
      </c>
      <c r="BW243" s="2" t="n">
        <v>105.4</v>
      </c>
      <c r="BX243" s="2" t="n">
        <v>489.5</v>
      </c>
      <c r="BY243" s="2" t="n">
        <v>55.5</v>
      </c>
      <c r="BZ243" s="2" t="n">
        <v>15.8</v>
      </c>
      <c r="CA243" s="2" t="n">
        <v>71.3</v>
      </c>
      <c r="CF243" s="2" t="n">
        <v>93.8</v>
      </c>
      <c r="CG243" s="2" t="n">
        <v>130.9</v>
      </c>
      <c r="CH243" s="2" t="n">
        <v>7</v>
      </c>
      <c r="CN243" s="2" t="n">
        <v>14.9</v>
      </c>
      <c r="CO243" s="2" t="n">
        <v>106.4</v>
      </c>
      <c r="CP243" s="2" t="n">
        <v>53.1</v>
      </c>
      <c r="CQ243" s="2" t="n">
        <v>53.3</v>
      </c>
      <c r="CR243" s="2" t="inlineStr">
        <is>
          <t>NA</t>
        </is>
      </c>
      <c r="CS243" s="2" t="n">
        <v>92.40000000000001</v>
      </c>
      <c r="CT243" s="2" t="n">
        <v>47.7</v>
      </c>
      <c r="CU243" s="2" t="n">
        <v>44.7</v>
      </c>
      <c r="CV243" s="2" t="n">
        <v>36.4</v>
      </c>
      <c r="CW243" s="2" t="n">
        <v>9.6</v>
      </c>
      <c r="CX243" s="2" t="n">
        <v>26.8</v>
      </c>
      <c r="CY243" s="2" t="inlineStr">
        <is>
          <t>NA</t>
        </is>
      </c>
      <c r="CZ243" s="2" t="n">
        <v>77.2</v>
      </c>
      <c r="DA243" s="2" t="n">
        <v>42</v>
      </c>
      <c r="DB243" s="2" t="n">
        <v>39.9</v>
      </c>
      <c r="DC243" s="2" t="n">
        <v>2.1</v>
      </c>
      <c r="DI243" s="2" t="n">
        <v>714.6</v>
      </c>
      <c r="DJ243" s="2" t="n">
        <v>376.3</v>
      </c>
      <c r="DL243" s="2" t="n">
        <v>163.5</v>
      </c>
      <c r="DM243" s="2" t="n">
        <v>279.3</v>
      </c>
      <c r="DO243" s="2" t="n">
        <v>251.1</v>
      </c>
      <c r="DP243" s="2" t="n">
        <v>308.6</v>
      </c>
      <c r="DS243" s="2" t="n">
        <v>1115.383</v>
      </c>
      <c r="DT243" s="2" t="n">
        <v>4505.8</v>
      </c>
      <c r="DU243" s="2" t="n">
        <v>-1297.017</v>
      </c>
      <c r="DV243" s="2" t="n">
        <v>0</v>
      </c>
      <c r="GY243" s="2" t="n">
        <v>0.9642742453436095</v>
      </c>
      <c r="GZ243" s="2" t="n">
        <v>1201.1</v>
      </c>
      <c r="HA243" s="2" t="n">
        <v>1245.6</v>
      </c>
      <c r="HF243" s="2" t="n">
        <v>1183</v>
      </c>
      <c r="HG243" s="2" t="n">
        <v>1152.4</v>
      </c>
      <c r="HH243" s="2" t="n">
        <v>476</v>
      </c>
      <c r="HI243" s="2" t="n">
        <v>138.4</v>
      </c>
      <c r="HJ243" s="2" t="n">
        <v>525.6</v>
      </c>
      <c r="HK243" s="2" t="n">
        <v>12.5</v>
      </c>
      <c r="HL243" s="2" t="n">
        <v>47.4</v>
      </c>
      <c r="HP243" s="2" t="e">
        <v>#VALUE!</v>
      </c>
      <c r="HQ243" s="2" t="n">
        <v>2.7</v>
      </c>
      <c r="HR243" s="2" t="n">
        <v>8.5</v>
      </c>
      <c r="HS243" s="2" t="e">
        <v>#VALUE!</v>
      </c>
      <c r="HT243" s="2" t="n">
        <v>27.6</v>
      </c>
      <c r="HW243" s="2" t="n">
        <v>304.9</v>
      </c>
      <c r="HX243" s="2" t="e">
        <v>#VALUE!</v>
      </c>
      <c r="HY243" s="2" t="n">
        <v>304.9</v>
      </c>
      <c r="HZ243" s="2" t="n">
        <v>45.1</v>
      </c>
      <c r="IA243" s="2" t="n">
        <v>223.4</v>
      </c>
      <c r="IB243" s="2" t="n">
        <v>79.40000000000001</v>
      </c>
      <c r="IC243" s="2" t="n">
        <v>144</v>
      </c>
      <c r="ID243" s="2" t="e">
        <v>#VALUE!</v>
      </c>
      <c r="IE243" s="2" t="e">
        <v>#VALUE!</v>
      </c>
      <c r="IF243" s="2" t="n">
        <v>9.9</v>
      </c>
      <c r="IG243" s="2" t="n">
        <v>21.6</v>
      </c>
      <c r="IN243" s="2" t="n">
        <v>50.4</v>
      </c>
      <c r="IO243" s="2" t="n">
        <v>51.9</v>
      </c>
      <c r="IP243" s="2" t="e">
        <v>#VALUE!</v>
      </c>
      <c r="IQ243" s="2" t="n">
        <v>45.7</v>
      </c>
      <c r="IR243" s="2" t="n">
        <v>15.7</v>
      </c>
      <c r="IS243" s="2" t="e">
        <v>#VALUE!</v>
      </c>
      <c r="IT243" s="2" t="n">
        <v>27.6</v>
      </c>
      <c r="IU243" s="2" t="e">
        <v>#VALUE!</v>
      </c>
      <c r="IV243" s="2" t="e">
        <v>#VALUE!</v>
      </c>
      <c r="IY243" s="2" t="n">
        <v>47.58400284078299</v>
      </c>
      <c r="IZ243" s="2" t="n">
        <v>0.1040028407829965</v>
      </c>
      <c r="JB243" s="2" t="n">
        <v>11.23285543077811</v>
      </c>
      <c r="JC243" s="2" t="n">
        <v>-0.06714456922189349</v>
      </c>
      <c r="JE243" s="2" t="n">
        <v>1616.4</v>
      </c>
      <c r="JF243" s="2" t="n">
        <v>0.7728495421925267</v>
      </c>
    </row>
    <row r="244">
      <c r="A244" s="1" t="n">
        <v>36465</v>
      </c>
      <c r="B244" s="2" t="n">
        <v>4283.2</v>
      </c>
      <c r="C244" s="2" t="n">
        <v>4341.1</v>
      </c>
      <c r="D244" s="2" t="n">
        <v>302.5</v>
      </c>
      <c r="E244" s="2" t="n">
        <v>1686.1</v>
      </c>
      <c r="F244" s="2" t="n">
        <v>17.5</v>
      </c>
      <c r="G244" s="2" t="inlineStr">
        <is>
          <t>NA</t>
        </is>
      </c>
      <c r="H244" s="2" t="inlineStr">
        <is>
          <t>NA</t>
        </is>
      </c>
      <c r="I244" s="2" t="inlineStr">
        <is>
          <t>NA</t>
        </is>
      </c>
      <c r="J244" s="2" t="inlineStr">
        <is>
          <t>NA</t>
        </is>
      </c>
      <c r="K244" s="2" t="n">
        <v>1596.6</v>
      </c>
      <c r="L244" s="2" t="n">
        <v>1663.6</v>
      </c>
      <c r="M244" s="2" t="n">
        <v>1422.9</v>
      </c>
      <c r="N244" s="2" t="n">
        <v>240.7</v>
      </c>
      <c r="O244" s="2" t="n">
        <v>95.40000000000001</v>
      </c>
      <c r="P244" s="2" t="n">
        <v>88.69999999999999</v>
      </c>
      <c r="Q244" s="2" t="n">
        <v>42.3</v>
      </c>
      <c r="R244" s="2" t="n">
        <v>46.4</v>
      </c>
      <c r="T244" s="2" t="n">
        <v>22.6</v>
      </c>
      <c r="U244" s="2" t="n">
        <v>26.8</v>
      </c>
      <c r="V244" s="2" t="n">
        <v>25.5</v>
      </c>
      <c r="W244" s="2" t="n">
        <v>1.3</v>
      </c>
      <c r="X244" s="2" t="inlineStr">
        <is>
          <t>NA</t>
        </is>
      </c>
      <c r="Y244" s="2" t="inlineStr">
        <is>
          <t>NA</t>
        </is>
      </c>
      <c r="Z244" s="2" t="n">
        <v>135.3</v>
      </c>
      <c r="AA244" s="2" t="n">
        <v>127.7</v>
      </c>
      <c r="AB244" s="2" t="n">
        <v>7.6</v>
      </c>
      <c r="AC244" s="2" t="inlineStr">
        <is>
          <t>NA</t>
        </is>
      </c>
      <c r="AD244" s="2" t="n">
        <v>41.9</v>
      </c>
      <c r="AF244" s="2" t="n">
        <v>198.1</v>
      </c>
      <c r="AG244" s="2" t="n">
        <v>179.4</v>
      </c>
      <c r="AH244" s="2" t="n">
        <v>18.7</v>
      </c>
      <c r="AI244" s="2" t="n">
        <v>212.3</v>
      </c>
      <c r="AL244" s="2" t="n">
        <v>175.5</v>
      </c>
      <c r="AM244" s="2" t="n">
        <v>107.5</v>
      </c>
      <c r="AN244" s="2" t="n">
        <v>68</v>
      </c>
      <c r="AO244" s="2" t="n">
        <v>3155.1</v>
      </c>
      <c r="AP244" s="2" t="n">
        <v>396.6</v>
      </c>
      <c r="AQ244" s="2" t="n">
        <v>245.3</v>
      </c>
      <c r="AR244" s="2" t="n">
        <v>63.6</v>
      </c>
      <c r="AS244" s="2" t="n">
        <v>140.8</v>
      </c>
      <c r="AT244" s="2" t="n">
        <v>34.9</v>
      </c>
      <c r="AU244" s="2" t="n">
        <v>80.8</v>
      </c>
      <c r="AV244" s="2" t="n">
        <v>22.1</v>
      </c>
      <c r="AW244" s="2" t="n">
        <v>9.6</v>
      </c>
      <c r="AX244" s="2" t="inlineStr">
        <is>
          <t>NA</t>
        </is>
      </c>
      <c r="AY244" s="2" t="inlineStr">
        <is>
          <t>NA</t>
        </is>
      </c>
      <c r="AZ244" s="2" t="inlineStr">
        <is>
          <t>NA</t>
        </is>
      </c>
      <c r="BA244" s="2" t="inlineStr">
        <is>
          <t>NA</t>
        </is>
      </c>
      <c r="BB244" s="2" t="inlineStr">
        <is>
          <t>NA</t>
        </is>
      </c>
      <c r="BD244" s="2" t="n">
        <v>134.8</v>
      </c>
      <c r="BE244" s="2" t="n">
        <v>34.3</v>
      </c>
      <c r="BH244" s="2" t="n">
        <v>318.9</v>
      </c>
      <c r="BK244" s="2" t="n">
        <v>255.7</v>
      </c>
      <c r="BL244" s="2" t="n">
        <v>3.4</v>
      </c>
      <c r="BM244" s="2" t="n">
        <v>578</v>
      </c>
      <c r="BN244" s="2" t="n">
        <v>248.6</v>
      </c>
      <c r="BQ244" s="2" t="n">
        <v>120</v>
      </c>
      <c r="BR244" s="2" t="n">
        <v>4.6</v>
      </c>
      <c r="BS244" s="2" t="n">
        <v>373.2</v>
      </c>
      <c r="BT244" s="2" t="inlineStr">
        <is>
          <t>NA</t>
        </is>
      </c>
      <c r="BU244" s="2" t="n">
        <v>22.8</v>
      </c>
      <c r="BV244" s="2" t="n">
        <v>371</v>
      </c>
      <c r="BW244" s="2" t="n">
        <v>101.3</v>
      </c>
      <c r="BX244" s="2" t="n">
        <v>476.6</v>
      </c>
      <c r="BY244" s="2" t="n">
        <v>59.2</v>
      </c>
      <c r="BZ244" s="2" t="n">
        <v>19.2</v>
      </c>
      <c r="CA244" s="2" t="n">
        <v>78.40000000000001</v>
      </c>
      <c r="CF244" s="2" t="n">
        <v>101.6</v>
      </c>
      <c r="CG244" s="2" t="n">
        <v>135.3</v>
      </c>
      <c r="CH244" s="2" t="n">
        <v>8.5</v>
      </c>
      <c r="CN244" s="2" t="n">
        <v>17.5</v>
      </c>
      <c r="CO244" s="2" t="n">
        <v>142.3</v>
      </c>
      <c r="CP244" s="2" t="n">
        <v>106.5</v>
      </c>
      <c r="CQ244" s="2" t="n">
        <v>35.8</v>
      </c>
      <c r="CR244" s="2" t="inlineStr">
        <is>
          <t>NA</t>
        </is>
      </c>
      <c r="CS244" s="2" t="n">
        <v>69.59999999999999</v>
      </c>
      <c r="CT244" s="2" t="n">
        <v>36.8</v>
      </c>
      <c r="CU244" s="2" t="n">
        <v>32.8</v>
      </c>
      <c r="CV244" s="2" t="n">
        <v>35.8</v>
      </c>
      <c r="CW244" s="2" t="n">
        <v>11.1</v>
      </c>
      <c r="CX244" s="2" t="n">
        <v>24.7</v>
      </c>
      <c r="CY244" s="2" t="inlineStr">
        <is>
          <t>NA</t>
        </is>
      </c>
      <c r="CZ244" s="2" t="n">
        <v>75.5</v>
      </c>
      <c r="DA244" s="2" t="n">
        <v>35.8</v>
      </c>
      <c r="DB244" s="2" t="n">
        <v>35</v>
      </c>
      <c r="DC244" s="2" t="n">
        <v>0.8</v>
      </c>
      <c r="DI244" s="2" t="n">
        <v>697.5</v>
      </c>
      <c r="DJ244" s="2" t="n">
        <v>367.7</v>
      </c>
      <c r="DL244" s="2" t="n">
        <v>162.5</v>
      </c>
      <c r="DM244" s="2" t="n">
        <v>261</v>
      </c>
      <c r="DO244" s="2" t="n">
        <v>240.9</v>
      </c>
      <c r="DP244" s="2" t="n">
        <v>287.1</v>
      </c>
      <c r="DS244" s="2" t="n">
        <v>1059.696</v>
      </c>
      <c r="DT244" s="2" t="n">
        <v>4283.2</v>
      </c>
      <c r="DU244" s="2" t="n">
        <v>-1206.804</v>
      </c>
      <c r="DV244" s="2" t="n">
        <v>0</v>
      </c>
      <c r="GY244" s="2" t="n">
        <v>0.9637932424804452</v>
      </c>
      <c r="GZ244" s="2" t="n">
        <v>1195.2</v>
      </c>
      <c r="HA244" s="2" t="n">
        <v>1240.1</v>
      </c>
      <c r="HF244" s="2" t="n">
        <v>1199.3</v>
      </c>
      <c r="HG244" s="2" t="n">
        <v>1165.3</v>
      </c>
      <c r="HH244" s="2" t="n">
        <v>455.4</v>
      </c>
      <c r="HI244" s="2" t="n">
        <v>139.6</v>
      </c>
      <c r="HJ244" s="2" t="n">
        <v>558</v>
      </c>
      <c r="HK244" s="2" t="n">
        <v>12.4</v>
      </c>
      <c r="HL244" s="2" t="n">
        <v>50.8</v>
      </c>
      <c r="HP244" s="2" t="e">
        <v>#VALUE!</v>
      </c>
      <c r="HQ244" s="2" t="n">
        <v>4.6</v>
      </c>
      <c r="HR244" s="2" t="n">
        <v>7.8</v>
      </c>
      <c r="HS244" s="2" t="e">
        <v>#VALUE!</v>
      </c>
      <c r="HT244" s="2" t="n">
        <v>31.5</v>
      </c>
      <c r="HW244" s="2" t="n">
        <v>315.5</v>
      </c>
      <c r="HX244" s="2" t="e">
        <v>#VALUE!</v>
      </c>
      <c r="HY244" s="2" t="n">
        <v>315.5</v>
      </c>
      <c r="HZ244" s="2" t="n">
        <v>51.6</v>
      </c>
      <c r="IA244" s="2" t="n">
        <v>227.7</v>
      </c>
      <c r="IB244" s="2" t="n">
        <v>82.7</v>
      </c>
      <c r="IC244" s="2" t="n">
        <v>145</v>
      </c>
      <c r="ID244" s="2" t="e">
        <v>#VALUE!</v>
      </c>
      <c r="IE244" s="2" t="e">
        <v>#VALUE!</v>
      </c>
      <c r="IF244" s="2" t="n">
        <v>9.199999999999999</v>
      </c>
      <c r="IG244" s="2" t="n">
        <v>21.9</v>
      </c>
      <c r="IN244" s="2" t="n">
        <v>55.6</v>
      </c>
      <c r="IO244" s="2" t="n">
        <v>57.3</v>
      </c>
      <c r="IP244" s="2" t="e">
        <v>#VALUE!</v>
      </c>
      <c r="IQ244" s="2" t="n">
        <v>46.6</v>
      </c>
      <c r="IR244" s="2" t="n">
        <v>15.4</v>
      </c>
      <c r="IS244" s="2" t="e">
        <v>#VALUE!</v>
      </c>
      <c r="IT244" s="2" t="n">
        <v>28.9</v>
      </c>
      <c r="IU244" s="2" t="e">
        <v>#VALUE!</v>
      </c>
      <c r="IV244" s="2" t="e">
        <v>#VALUE!</v>
      </c>
      <c r="IY244" s="2" t="n">
        <v>47.63354501307433</v>
      </c>
      <c r="IZ244" s="2" t="n">
        <v>0.0235450130743331</v>
      </c>
      <c r="JB244" s="2" t="n">
        <v>11.18276055285768</v>
      </c>
      <c r="JC244" s="2" t="n">
        <v>-0.08723944714232346</v>
      </c>
      <c r="JE244" s="2" t="n">
        <v>1663.6</v>
      </c>
      <c r="JF244" s="2" t="n">
        <v>0.7573310892041355</v>
      </c>
    </row>
    <row r="245">
      <c r="A245" s="1" t="n">
        <v>36495</v>
      </c>
      <c r="B245" s="2" t="n">
        <v>4289.3</v>
      </c>
      <c r="C245" s="2" t="n">
        <v>4325.8</v>
      </c>
      <c r="D245" s="2" t="n">
        <v>296.4</v>
      </c>
      <c r="E245" s="2" t="n">
        <v>1754.5</v>
      </c>
      <c r="F245" s="2" t="n">
        <v>23.5</v>
      </c>
      <c r="G245" s="2" t="inlineStr">
        <is>
          <t>NA</t>
        </is>
      </c>
      <c r="H245" s="2" t="inlineStr">
        <is>
          <t>NA</t>
        </is>
      </c>
      <c r="I245" s="2" t="inlineStr">
        <is>
          <t>NA</t>
        </is>
      </c>
      <c r="J245" s="2" t="inlineStr">
        <is>
          <t>NA</t>
        </is>
      </c>
      <c r="K245" s="2" t="n">
        <v>1599.2</v>
      </c>
      <c r="L245" s="2" t="n">
        <v>1791.1</v>
      </c>
      <c r="M245" s="2" t="n">
        <v>1516.5</v>
      </c>
      <c r="N245" s="2" t="n">
        <v>274.6</v>
      </c>
      <c r="O245" s="2" t="n">
        <v>94.2</v>
      </c>
      <c r="P245" s="2" t="n">
        <v>87.19999999999999</v>
      </c>
      <c r="Q245" s="2" t="n">
        <v>28.4</v>
      </c>
      <c r="R245" s="2" t="n">
        <v>58.8</v>
      </c>
      <c r="T245" s="2" t="n">
        <v>22.7</v>
      </c>
      <c r="U245" s="2" t="n">
        <v>21.4</v>
      </c>
      <c r="V245" s="2" t="n">
        <v>19.7</v>
      </c>
      <c r="W245" s="2" t="n">
        <v>1.7</v>
      </c>
      <c r="X245" s="2" t="inlineStr">
        <is>
          <t>NA</t>
        </is>
      </c>
      <c r="Y245" s="2" t="inlineStr">
        <is>
          <t>NA</t>
        </is>
      </c>
      <c r="Z245" s="2" t="n">
        <v>165.1</v>
      </c>
      <c r="AA245" s="2" t="n">
        <v>159.3</v>
      </c>
      <c r="AB245" s="2" t="n">
        <v>5.8</v>
      </c>
      <c r="AC245" s="2" t="inlineStr">
        <is>
          <t>NA</t>
        </is>
      </c>
      <c r="AD245" s="2" t="n">
        <v>36.6</v>
      </c>
      <c r="AF245" s="2" t="n">
        <v>193</v>
      </c>
      <c r="AG245" s="2" t="n">
        <v>176.6</v>
      </c>
      <c r="AH245" s="2" t="n">
        <v>16.4</v>
      </c>
      <c r="AI245" s="2" t="n">
        <v>218.6</v>
      </c>
      <c r="AL245" s="2" t="n">
        <v>206.6</v>
      </c>
      <c r="AM245" s="2" t="n">
        <v>99.8</v>
      </c>
      <c r="AN245" s="2" t="n">
        <v>106.8</v>
      </c>
      <c r="AO245" s="2" t="n">
        <v>3161.4</v>
      </c>
      <c r="AP245" s="2" t="n">
        <v>377.2</v>
      </c>
      <c r="AQ245" s="2" t="n">
        <v>252.1</v>
      </c>
      <c r="AR245" s="2" t="n">
        <v>59.3</v>
      </c>
      <c r="AS245" s="2" t="n">
        <v>138.3</v>
      </c>
      <c r="AT245" s="2" t="n">
        <v>22.7</v>
      </c>
      <c r="AU245" s="2" t="n">
        <v>79.2</v>
      </c>
      <c r="AV245" s="2" t="n">
        <v>21.1</v>
      </c>
      <c r="AW245" s="2" t="n">
        <v>12.9</v>
      </c>
      <c r="AX245" s="2" t="n">
        <v>2</v>
      </c>
      <c r="AY245" s="2" t="inlineStr">
        <is>
          <t>NA</t>
        </is>
      </c>
      <c r="AZ245" s="2" t="inlineStr">
        <is>
          <t>NA</t>
        </is>
      </c>
      <c r="BA245" s="2" t="inlineStr">
        <is>
          <t>NA</t>
        </is>
      </c>
      <c r="BB245" s="2" t="inlineStr">
        <is>
          <t>NA</t>
        </is>
      </c>
      <c r="BD245" s="2" t="n">
        <v>136.6</v>
      </c>
      <c r="BE245" s="2" t="n">
        <v>33.3</v>
      </c>
      <c r="BH245" s="2" t="n">
        <v>336.5</v>
      </c>
      <c r="BK245" s="2" t="n">
        <v>261.5</v>
      </c>
      <c r="BL245" s="2" t="n">
        <v>3.5</v>
      </c>
      <c r="BM245" s="2" t="n">
        <v>601.5</v>
      </c>
      <c r="BN245" s="2" t="n">
        <v>251.3</v>
      </c>
      <c r="BQ245" s="2" t="n">
        <v>149.2</v>
      </c>
      <c r="BR245" s="2" t="n">
        <v>4.6</v>
      </c>
      <c r="BS245" s="2" t="n">
        <v>405.1</v>
      </c>
      <c r="BT245" s="2" t="inlineStr">
        <is>
          <t>NA</t>
        </is>
      </c>
      <c r="BU245" s="2" t="n">
        <v>26.7</v>
      </c>
      <c r="BV245" s="2" t="n">
        <v>386</v>
      </c>
      <c r="BW245" s="2" t="n">
        <v>113.9</v>
      </c>
      <c r="BX245" s="2" t="n">
        <v>503.2</v>
      </c>
      <c r="BY245" s="2" t="n">
        <v>57.2</v>
      </c>
      <c r="BZ245" s="2" t="n">
        <v>14.5</v>
      </c>
      <c r="CA245" s="2" t="n">
        <v>71.7</v>
      </c>
      <c r="CF245" s="2" t="n">
        <v>107.8</v>
      </c>
      <c r="CG245" s="2" t="n">
        <v>121.5</v>
      </c>
      <c r="CH245" s="2" t="n">
        <v>9.1</v>
      </c>
      <c r="CN245" s="2" t="n">
        <v>36.7</v>
      </c>
      <c r="CO245" s="2" t="n">
        <v>93.7</v>
      </c>
      <c r="CP245" s="2" t="n">
        <v>53.6</v>
      </c>
      <c r="CQ245" s="2" t="n">
        <v>40.1</v>
      </c>
      <c r="CR245" s="2" t="inlineStr">
        <is>
          <t>NA</t>
        </is>
      </c>
      <c r="CS245" s="2" t="n">
        <v>71.90000000000001</v>
      </c>
      <c r="CT245" s="2" t="n">
        <v>36.5</v>
      </c>
      <c r="CU245" s="2" t="n">
        <v>35.4</v>
      </c>
      <c r="CV245" s="2" t="n">
        <v>34.2</v>
      </c>
      <c r="CW245" s="2" t="n">
        <v>12.2</v>
      </c>
      <c r="CX245" s="2" t="n">
        <v>22</v>
      </c>
      <c r="CY245" s="2" t="inlineStr">
        <is>
          <t>NA</t>
        </is>
      </c>
      <c r="CZ245" s="2" t="n">
        <v>60</v>
      </c>
      <c r="DA245" s="2" t="n">
        <v>35.2</v>
      </c>
      <c r="DB245" s="2" t="n">
        <v>33.9</v>
      </c>
      <c r="DC245" s="2" t="n">
        <v>1.3</v>
      </c>
      <c r="DI245" s="2" t="n">
        <v>659.6</v>
      </c>
      <c r="DJ245" s="2" t="n">
        <v>375.4</v>
      </c>
      <c r="DL245" s="2" t="n">
        <v>152</v>
      </c>
      <c r="DM245" s="2" t="n">
        <v>269.9</v>
      </c>
      <c r="DO245" s="2" t="n">
        <v>243.2</v>
      </c>
      <c r="DP245" s="2" t="n">
        <v>291.5</v>
      </c>
      <c r="DS245" s="2" t="n">
        <v>1093.339</v>
      </c>
      <c r="DT245" s="2" t="n">
        <v>4289.3</v>
      </c>
      <c r="DU245" s="2" t="n">
        <v>-1204.361</v>
      </c>
      <c r="DV245" s="2" t="n">
        <v>0</v>
      </c>
      <c r="GY245" s="2" t="n">
        <v>0.9642917015926237</v>
      </c>
      <c r="GZ245" s="2" t="n">
        <v>1150.4</v>
      </c>
      <c r="HA245" s="2" t="n">
        <v>1193</v>
      </c>
      <c r="HF245" s="2" t="n">
        <v>1135.6</v>
      </c>
      <c r="HG245" s="2" t="n">
        <v>1100.4</v>
      </c>
      <c r="HH245" s="2" t="n">
        <v>424.1</v>
      </c>
      <c r="HI245" s="2" t="n">
        <v>132.4</v>
      </c>
      <c r="HJ245" s="2" t="n">
        <v>531.7</v>
      </c>
      <c r="HK245" s="2" t="n">
        <v>12.2</v>
      </c>
      <c r="HL245" s="2" t="n">
        <v>52</v>
      </c>
      <c r="HP245" s="2" t="e">
        <v>#VALUE!</v>
      </c>
      <c r="HQ245" s="2" t="n">
        <v>4.2</v>
      </c>
      <c r="HR245" s="2" t="n">
        <v>7</v>
      </c>
      <c r="HS245" s="2" t="e">
        <v>#VALUE!</v>
      </c>
      <c r="HT245" s="2" t="n">
        <v>32.2</v>
      </c>
      <c r="HW245" s="2" t="n">
        <v>320.4</v>
      </c>
      <c r="HX245" s="2" t="e">
        <v>#VALUE!</v>
      </c>
      <c r="HY245" s="2" t="n">
        <v>320.4</v>
      </c>
      <c r="HZ245" s="2" t="n">
        <v>36</v>
      </c>
      <c r="IA245" s="2" t="n">
        <v>252.3</v>
      </c>
      <c r="IB245" s="2" t="n">
        <v>97.8</v>
      </c>
      <c r="IC245" s="2" t="n">
        <v>154.6</v>
      </c>
      <c r="ID245" s="2" t="e">
        <v>#VALUE!</v>
      </c>
      <c r="IE245" s="2" t="e">
        <v>#VALUE!</v>
      </c>
      <c r="IF245" s="2" t="n">
        <v>9.300000000000001</v>
      </c>
      <c r="IG245" s="2" t="n">
        <v>17.1</v>
      </c>
      <c r="IN245" s="2" t="n">
        <v>59.5</v>
      </c>
      <c r="IO245" s="2" t="n">
        <v>61.5</v>
      </c>
      <c r="IP245" s="2" t="e">
        <v>#VALUE!</v>
      </c>
      <c r="IQ245" s="2" t="n">
        <v>46.4</v>
      </c>
      <c r="IR245" s="2" t="n">
        <v>13.7</v>
      </c>
      <c r="IS245" s="2" t="e">
        <v>#VALUE!</v>
      </c>
      <c r="IT245" s="2" t="n">
        <v>30.4</v>
      </c>
      <c r="IU245" s="2" t="e">
        <v>#VALUE!</v>
      </c>
      <c r="IV245" s="2" t="e">
        <v>#VALUE!</v>
      </c>
      <c r="IY245" s="2" t="n">
        <v>47.74904996153219</v>
      </c>
      <c r="IZ245" s="2" t="n">
        <v>0.02904996153218775</v>
      </c>
      <c r="JB245" s="2" t="n">
        <v>11.18504184832024</v>
      </c>
      <c r="JC245" s="2" t="n">
        <v>-0.06495815167976104</v>
      </c>
      <c r="JE245" s="2" t="n">
        <v>1791.1</v>
      </c>
      <c r="JF245" s="2" t="n">
        <v>0.7675551337167105</v>
      </c>
    </row>
    <row r="246">
      <c r="A246" s="1" t="n">
        <v>36526</v>
      </c>
      <c r="B246" s="2" t="n">
        <v>4176.9</v>
      </c>
      <c r="C246" s="2" t="n">
        <v>4209.3</v>
      </c>
      <c r="D246" s="2" t="n">
        <v>300.2</v>
      </c>
      <c r="E246" s="2" t="n">
        <v>1574.2</v>
      </c>
      <c r="F246" s="2" t="n">
        <v>39.1</v>
      </c>
      <c r="G246" s="2" t="inlineStr">
        <is>
          <t>NA</t>
        </is>
      </c>
      <c r="H246" s="2" t="inlineStr">
        <is>
          <t>NA</t>
        </is>
      </c>
      <c r="I246" s="2" t="inlineStr">
        <is>
          <t>NA</t>
        </is>
      </c>
      <c r="J246" s="2" t="inlineStr">
        <is>
          <t>NA</t>
        </is>
      </c>
      <c r="K246" s="2" t="n">
        <v>1579.8</v>
      </c>
      <c r="L246" s="2" t="n">
        <v>1993.2</v>
      </c>
      <c r="M246" s="2" t="n">
        <v>1731.2</v>
      </c>
      <c r="N246" s="2" t="n">
        <v>262</v>
      </c>
      <c r="O246" s="2" t="n">
        <v>94.09999999999999</v>
      </c>
      <c r="P246" s="2" t="n">
        <v>83.59999999999999</v>
      </c>
      <c r="Q246" s="2" t="n">
        <v>28.2</v>
      </c>
      <c r="R246" s="2" t="n">
        <v>55.4</v>
      </c>
      <c r="T246" s="2" t="n">
        <v>35.2</v>
      </c>
      <c r="U246" s="2" t="n">
        <v>24.2</v>
      </c>
      <c r="V246" s="2" t="n">
        <v>21.3</v>
      </c>
      <c r="W246" s="2" t="n">
        <v>2.9</v>
      </c>
      <c r="X246" s="2" t="inlineStr">
        <is>
          <t>NA</t>
        </is>
      </c>
      <c r="Y246" s="2" t="n">
        <v>14.2</v>
      </c>
      <c r="Z246" s="2" t="n">
        <v>152.1</v>
      </c>
      <c r="AA246" s="2" t="n">
        <v>145.3</v>
      </c>
      <c r="AB246" s="2" t="n">
        <v>6.8</v>
      </c>
      <c r="AC246" s="2" t="inlineStr">
        <is>
          <t>NA</t>
        </is>
      </c>
      <c r="AD246" s="2" t="n">
        <v>47</v>
      </c>
      <c r="AF246" s="2" t="n">
        <v>208.8</v>
      </c>
      <c r="AG246" s="2" t="n">
        <v>185</v>
      </c>
      <c r="AH246" s="2" t="n">
        <v>23.8</v>
      </c>
      <c r="AI246" s="2" t="n">
        <v>185.7</v>
      </c>
      <c r="AL246" s="2" t="n">
        <v>206.4</v>
      </c>
      <c r="AM246" s="2" t="n">
        <v>117.7</v>
      </c>
      <c r="AN246" s="2" t="n">
        <v>88.7</v>
      </c>
      <c r="AO246" s="2" t="n">
        <v>3092.4</v>
      </c>
      <c r="AP246" s="2" t="n">
        <v>413.8</v>
      </c>
      <c r="AQ246" s="2" t="n">
        <v>240.4</v>
      </c>
      <c r="AR246" s="2" t="n">
        <v>76</v>
      </c>
      <c r="AS246" s="2" t="n">
        <v>136.3</v>
      </c>
      <c r="AT246" s="2" t="n">
        <v>25.5</v>
      </c>
      <c r="AU246" s="2" t="n">
        <v>79</v>
      </c>
      <c r="AV246" s="2" t="n">
        <v>32.3</v>
      </c>
      <c r="AW246" s="2" t="n">
        <v>21.6</v>
      </c>
      <c r="AX246" s="2" t="n">
        <v>7.4</v>
      </c>
      <c r="AY246" s="2" t="inlineStr">
        <is>
          <t>NA</t>
        </is>
      </c>
      <c r="AZ246" s="2" t="inlineStr">
        <is>
          <t>NA</t>
        </is>
      </c>
      <c r="BA246" s="2" t="inlineStr">
        <is>
          <t>NA</t>
        </is>
      </c>
      <c r="BB246" s="2" t="inlineStr">
        <is>
          <t>NA</t>
        </is>
      </c>
      <c r="BD246" s="2" t="n">
        <v>139.7</v>
      </c>
      <c r="BE246" s="2" t="n">
        <v>35.2</v>
      </c>
      <c r="BF246" s="2" t="n">
        <v>64</v>
      </c>
      <c r="BG246" s="2" t="n">
        <v>8</v>
      </c>
      <c r="BH246" s="2" t="n">
        <v>294.1</v>
      </c>
      <c r="BK246" s="2" t="n">
        <v>202</v>
      </c>
      <c r="BL246" s="2" t="n">
        <v>4</v>
      </c>
      <c r="BM246" s="2" t="n">
        <v>496.1</v>
      </c>
      <c r="BN246" s="2" t="n">
        <v>266.3</v>
      </c>
      <c r="BQ246" s="2" t="n">
        <v>114.3</v>
      </c>
      <c r="BR246" s="2" t="n">
        <v>4.9</v>
      </c>
      <c r="BS246" s="2" t="n">
        <v>385.5</v>
      </c>
      <c r="BT246" s="2" t="n">
        <v>39.2</v>
      </c>
      <c r="BU246" s="2" t="n">
        <v>27.3</v>
      </c>
      <c r="BV246" s="2" t="n">
        <v>317.3</v>
      </c>
      <c r="BW246" s="2" t="n">
        <v>102.7</v>
      </c>
      <c r="BX246" s="2" t="n">
        <v>420</v>
      </c>
      <c r="BY246" s="2" t="n">
        <v>39.6</v>
      </c>
      <c r="BZ246" s="2" t="n">
        <v>17.1</v>
      </c>
      <c r="CA246" s="2" t="n">
        <v>56.7</v>
      </c>
      <c r="CF246" s="2" t="n">
        <v>102.7</v>
      </c>
      <c r="CG246" s="2" t="n">
        <v>117.8</v>
      </c>
      <c r="CH246" s="2" t="n">
        <v>7.5</v>
      </c>
      <c r="CK246" s="2" t="n">
        <v>318.6</v>
      </c>
      <c r="CL246" s="2" t="n">
        <v>40.6</v>
      </c>
      <c r="CN246" s="2" t="n">
        <v>39.1</v>
      </c>
      <c r="CO246" s="2" t="n">
        <v>115.3</v>
      </c>
      <c r="CP246" s="2" t="n">
        <v>84.59999999999999</v>
      </c>
      <c r="CQ246" s="2" t="n">
        <v>30.7</v>
      </c>
      <c r="CR246" s="2" t="inlineStr">
        <is>
          <t>NA</t>
        </is>
      </c>
      <c r="CS246" s="2" t="n">
        <v>69.5</v>
      </c>
      <c r="CT246" s="2" t="n">
        <v>51.4</v>
      </c>
      <c r="CU246" s="2" t="n">
        <v>18.1</v>
      </c>
      <c r="CV246" s="2" t="n">
        <v>39.4</v>
      </c>
      <c r="CW246" s="2" t="n">
        <v>8.199999999999999</v>
      </c>
      <c r="CX246" s="2" t="n">
        <v>31.2</v>
      </c>
      <c r="CY246" s="2" t="inlineStr">
        <is>
          <t>NA</t>
        </is>
      </c>
      <c r="CZ246" s="2" t="n">
        <v>58.4</v>
      </c>
      <c r="DA246" s="2" t="n">
        <v>41</v>
      </c>
      <c r="DB246" s="2" t="n">
        <v>39.7</v>
      </c>
      <c r="DC246" s="2" t="n">
        <v>1.3</v>
      </c>
      <c r="DI246" s="2" t="n">
        <v>652.2</v>
      </c>
      <c r="DJ246" s="2" t="n">
        <v>368.2</v>
      </c>
      <c r="DL246" s="2" t="n">
        <v>147.5</v>
      </c>
      <c r="DM246" s="2" t="n">
        <v>271.1</v>
      </c>
      <c r="DO246" s="2" t="n">
        <v>239.7</v>
      </c>
      <c r="DP246" s="2" t="n">
        <v>288.3</v>
      </c>
      <c r="DS246" s="2" t="n">
        <v>1023.076</v>
      </c>
      <c r="DT246" s="2" t="n">
        <v>4176.9</v>
      </c>
      <c r="DU246" s="2" t="n">
        <v>-1186.824</v>
      </c>
      <c r="DV246" s="2" t="n">
        <v>0</v>
      </c>
      <c r="EA246" s="2" t="n">
        <v>982.1</v>
      </c>
      <c r="EB246" s="2" t="n">
        <v>371.8</v>
      </c>
      <c r="ED246" s="2" t="n">
        <v>167.5</v>
      </c>
      <c r="EE246" s="2" t="n">
        <v>80.5</v>
      </c>
      <c r="EG246" s="2" t="n">
        <v>191.2</v>
      </c>
      <c r="EH246" s="2" t="e">
        <v>#VALUE!</v>
      </c>
      <c r="EL246" s="2" t="n">
        <v>4209.3</v>
      </c>
      <c r="EQ246" s="2" t="n">
        <v>253.7</v>
      </c>
      <c r="ER246" s="2" t="n">
        <v>138.7</v>
      </c>
      <c r="ET246" s="2" t="n">
        <v>56.1</v>
      </c>
      <c r="EU246" s="2" t="n">
        <v>103.6</v>
      </c>
      <c r="EW246" s="2" t="n">
        <v>93.90000000000001</v>
      </c>
      <c r="EX246" s="2" t="n">
        <v>105.5</v>
      </c>
      <c r="FB246" s="2" t="n">
        <v>1579.8</v>
      </c>
      <c r="FG246" s="2" t="n">
        <v>517</v>
      </c>
      <c r="FH246" s="2" t="n">
        <v>293.2</v>
      </c>
      <c r="FJ246" s="2" t="n">
        <v>117.5</v>
      </c>
      <c r="FK246" s="2" t="n">
        <v>216.8</v>
      </c>
      <c r="FM246" s="2" t="n">
        <v>190.7</v>
      </c>
      <c r="FN246" s="2" t="n">
        <v>231.2</v>
      </c>
      <c r="FR246" s="2" t="n">
        <v>3341.1</v>
      </c>
      <c r="FW246" s="2" t="n">
        <v>252.4</v>
      </c>
      <c r="FX246" s="2" t="n">
        <v>47.8</v>
      </c>
      <c r="GA246" s="2" t="n">
        <v>56</v>
      </c>
      <c r="GC246" s="2" t="e">
        <v>#VALUE!</v>
      </c>
      <c r="GD246" s="2" t="e">
        <v>#VALUE!</v>
      </c>
      <c r="GH246" s="2" t="n">
        <v>909.7</v>
      </c>
      <c r="GM246" s="2" t="e">
        <v>#VALUE!</v>
      </c>
      <c r="GN246" s="2" t="n">
        <v>34</v>
      </c>
      <c r="GP246" s="2" t="n">
        <v>6.9</v>
      </c>
      <c r="GQ246" s="2" t="n">
        <v>17.2</v>
      </c>
      <c r="GS246" s="2" t="e">
        <v>#VALUE!</v>
      </c>
      <c r="GT246" s="2" t="e">
        <v>#VALUE!</v>
      </c>
      <c r="GX246" s="2" t="n">
        <v>489.8</v>
      </c>
      <c r="GY246" s="2" t="n">
        <v>0.9733621909597936</v>
      </c>
      <c r="GZ246" s="2" t="n">
        <v>1169.3</v>
      </c>
      <c r="HA246" s="2" t="n">
        <v>1201.3</v>
      </c>
      <c r="HF246" s="2" t="n">
        <v>1400</v>
      </c>
      <c r="HG246" s="2" t="n">
        <v>1358.3</v>
      </c>
      <c r="HH246" s="2" t="n">
        <v>631.3</v>
      </c>
      <c r="HI246" s="2" t="n">
        <v>122.9</v>
      </c>
      <c r="HJ246" s="2" t="n">
        <v>594.5</v>
      </c>
      <c r="HK246" s="2" t="n">
        <v>9.6</v>
      </c>
      <c r="HL246" s="2" t="n">
        <v>41.7</v>
      </c>
      <c r="HP246" s="2" t="e">
        <v>#VALUE!</v>
      </c>
      <c r="HQ246" s="2" t="n">
        <v>4.2</v>
      </c>
      <c r="HR246" s="2" t="n">
        <v>8</v>
      </c>
      <c r="HS246" s="2" t="e">
        <v>#VALUE!</v>
      </c>
      <c r="HT246" s="2" t="n">
        <v>23.5</v>
      </c>
      <c r="HW246" s="2" t="n">
        <v>209.2</v>
      </c>
      <c r="HX246" s="2" t="e">
        <v>#VALUE!</v>
      </c>
      <c r="HY246" s="2" t="n">
        <v>209.2</v>
      </c>
      <c r="HZ246" s="2" t="n">
        <v>19</v>
      </c>
      <c r="IA246" s="2" t="n">
        <v>161.4</v>
      </c>
      <c r="IB246" s="2" t="n">
        <v>64.90000000000001</v>
      </c>
      <c r="IC246" s="2" t="n">
        <v>96.40000000000001</v>
      </c>
      <c r="ID246" s="2" t="e">
        <v>#VALUE!</v>
      </c>
      <c r="IE246" s="2" t="e">
        <v>#VALUE!</v>
      </c>
      <c r="IF246" s="2" t="n">
        <v>9.199999999999999</v>
      </c>
      <c r="IG246" s="2" t="n">
        <v>12.6</v>
      </c>
      <c r="IN246" s="2" t="n">
        <v>61.4</v>
      </c>
      <c r="IO246" s="2" t="n">
        <v>63.5</v>
      </c>
      <c r="IP246" s="2" t="e">
        <v>#VALUE!</v>
      </c>
      <c r="IQ246" s="2" t="n">
        <v>46.8</v>
      </c>
      <c r="IR246" s="2" t="n">
        <v>14</v>
      </c>
      <c r="IS246" s="2" t="e">
        <v>#VALUE!</v>
      </c>
      <c r="IT246" s="2" t="n">
        <v>30.9</v>
      </c>
      <c r="IU246" s="2" t="e">
        <v>#VALUE!</v>
      </c>
      <c r="IV246" s="2" t="e">
        <v>#VALUE!</v>
      </c>
      <c r="IY246" s="2" t="n">
        <v>47.87473963944553</v>
      </c>
      <c r="IZ246" s="2" t="n">
        <v>0.1247396394455293</v>
      </c>
      <c r="JB246" s="2" t="n">
        <v>11.34669252316311</v>
      </c>
      <c r="JC246" s="2" t="n">
        <v>-0.003307476836887702</v>
      </c>
      <c r="JE246" s="2" t="n">
        <v>1993.2</v>
      </c>
      <c r="JF246" s="2" t="n">
        <v>0.7940006020469597</v>
      </c>
    </row>
    <row r="247">
      <c r="A247" s="1" t="n">
        <v>36557</v>
      </c>
      <c r="B247" s="2" t="n">
        <v>3763.2</v>
      </c>
      <c r="C247" s="2" t="n">
        <v>4132.5</v>
      </c>
      <c r="D247" s="2" t="n">
        <v>299.4</v>
      </c>
      <c r="E247" s="2" t="n">
        <v>1367.7</v>
      </c>
      <c r="F247" s="2" t="n">
        <v>34.6</v>
      </c>
      <c r="G247" s="2" t="inlineStr">
        <is>
          <t>NA</t>
        </is>
      </c>
      <c r="H247" s="2" t="inlineStr">
        <is>
          <t>NA</t>
        </is>
      </c>
      <c r="I247" s="2" t="inlineStr">
        <is>
          <t>NA</t>
        </is>
      </c>
      <c r="J247" s="2" t="inlineStr">
        <is>
          <t>NA</t>
        </is>
      </c>
      <c r="K247" s="2" t="n">
        <v>1417.2</v>
      </c>
      <c r="L247" s="2" t="n">
        <v>2058.7</v>
      </c>
      <c r="M247" s="2" t="n">
        <v>1802.1</v>
      </c>
      <c r="N247" s="2" t="n">
        <v>256.6</v>
      </c>
      <c r="O247" s="2" t="n">
        <v>93.09999999999999</v>
      </c>
      <c r="P247" s="2" t="n">
        <v>78.19999999999999</v>
      </c>
      <c r="Q247" s="2" t="n">
        <v>30.4</v>
      </c>
      <c r="R247" s="2" t="n">
        <v>47.8</v>
      </c>
      <c r="T247" s="2" t="n">
        <v>32.1</v>
      </c>
      <c r="U247" s="2" t="n">
        <v>21.2</v>
      </c>
      <c r="V247" s="2" t="n">
        <v>18.2</v>
      </c>
      <c r="W247" s="2" t="n">
        <v>3</v>
      </c>
      <c r="X247" s="2" t="inlineStr">
        <is>
          <t>NA</t>
        </is>
      </c>
      <c r="Y247" s="2" t="n">
        <v>16</v>
      </c>
      <c r="Z247" s="2" t="n">
        <v>200.1</v>
      </c>
      <c r="AA247" s="2" t="n">
        <v>194</v>
      </c>
      <c r="AB247" s="2" t="n">
        <v>6.1</v>
      </c>
      <c r="AC247" s="2" t="inlineStr">
        <is>
          <t>NA</t>
        </is>
      </c>
      <c r="AD247" s="2" t="n">
        <v>43.7</v>
      </c>
      <c r="AF247" s="2" t="n">
        <v>201.8</v>
      </c>
      <c r="AG247" s="2" t="n">
        <v>179</v>
      </c>
      <c r="AH247" s="2" t="n">
        <v>22.8</v>
      </c>
      <c r="AI247" s="2" t="n">
        <v>185.3</v>
      </c>
      <c r="AL247" s="2" t="n">
        <v>222.7</v>
      </c>
      <c r="AM247" s="2" t="n">
        <v>156.3</v>
      </c>
      <c r="AN247" s="2" t="n">
        <v>66.40000000000001</v>
      </c>
      <c r="AO247" s="2" t="n">
        <v>2779.3</v>
      </c>
      <c r="AP247" s="2" t="n">
        <v>418.6</v>
      </c>
      <c r="AQ247" s="2" t="n">
        <v>218.9</v>
      </c>
      <c r="AR247" s="2" t="n">
        <v>63.9</v>
      </c>
      <c r="AS247" s="2" t="n">
        <v>137.5</v>
      </c>
      <c r="AT247" s="2" t="n">
        <v>25.4</v>
      </c>
      <c r="AU247" s="2" t="n">
        <v>80.3</v>
      </c>
      <c r="AV247" s="2" t="n">
        <v>40.2</v>
      </c>
      <c r="AW247" s="2" t="n">
        <v>18.2</v>
      </c>
      <c r="AX247" s="2" t="n">
        <v>5.5</v>
      </c>
      <c r="AY247" s="2" t="inlineStr">
        <is>
          <t>NA</t>
        </is>
      </c>
      <c r="AZ247" s="2" t="inlineStr">
        <is>
          <t>NA</t>
        </is>
      </c>
      <c r="BA247" s="2" t="inlineStr">
        <is>
          <t>NA</t>
        </is>
      </c>
      <c r="BB247" s="2" t="inlineStr">
        <is>
          <t>NA</t>
        </is>
      </c>
      <c r="BD247" s="2" t="n">
        <v>154.8</v>
      </c>
      <c r="BE247" s="2" t="n">
        <v>38.6</v>
      </c>
      <c r="BF247" s="2" t="n">
        <v>67.09999999999999</v>
      </c>
      <c r="BG247" s="2" t="n">
        <v>6.3</v>
      </c>
      <c r="BH247" s="2" t="n">
        <v>312.1</v>
      </c>
      <c r="BK247" s="2" t="n">
        <v>201.6</v>
      </c>
      <c r="BL247" s="2" t="n">
        <v>3.4</v>
      </c>
      <c r="BM247" s="2" t="n">
        <v>513.7</v>
      </c>
      <c r="BN247" s="2" t="n">
        <v>293.8</v>
      </c>
      <c r="BQ247" s="2" t="n">
        <v>136.6</v>
      </c>
      <c r="BR247" s="2" t="n">
        <v>8.800000000000001</v>
      </c>
      <c r="BS247" s="2" t="n">
        <v>439.2</v>
      </c>
      <c r="BT247" s="2" t="n">
        <v>44.2</v>
      </c>
      <c r="BU247" s="2" t="n">
        <v>29</v>
      </c>
      <c r="BV247" s="2" t="n">
        <v>320.2</v>
      </c>
      <c r="BW247" s="2" t="n">
        <v>104.5</v>
      </c>
      <c r="BX247" s="2" t="n">
        <v>424.7</v>
      </c>
      <c r="BY247" s="2" t="n">
        <v>36.6</v>
      </c>
      <c r="BZ247" s="2" t="n">
        <v>21.3</v>
      </c>
      <c r="CA247" s="2" t="n">
        <v>57.90000000000001</v>
      </c>
      <c r="CF247" s="2" t="n">
        <v>106.9</v>
      </c>
      <c r="CG247" s="2" t="n">
        <v>120</v>
      </c>
      <c r="CH247" s="2" t="n">
        <v>8.5</v>
      </c>
      <c r="CK247" s="2" t="n">
        <v>324.4</v>
      </c>
      <c r="CL247" s="2" t="n">
        <v>44.5</v>
      </c>
      <c r="CN247" s="2" t="n">
        <v>41</v>
      </c>
      <c r="CO247" s="2" t="n">
        <v>91.7</v>
      </c>
      <c r="CP247" s="2" t="n">
        <v>57.1</v>
      </c>
      <c r="CQ247" s="2" t="n">
        <v>34.6</v>
      </c>
      <c r="CR247" s="2" t="inlineStr">
        <is>
          <t>NA</t>
        </is>
      </c>
      <c r="CS247" s="2" t="n">
        <v>75.40000000000001</v>
      </c>
      <c r="CT247" s="2" t="n">
        <v>56.6</v>
      </c>
      <c r="CU247" s="2" t="n">
        <v>18.8</v>
      </c>
      <c r="CV247" s="2" t="n">
        <v>61.2</v>
      </c>
      <c r="CW247" s="2" t="n">
        <v>7</v>
      </c>
      <c r="CX247" s="2" t="n">
        <v>54.2</v>
      </c>
      <c r="CY247" s="2" t="inlineStr">
        <is>
          <t>NA</t>
        </is>
      </c>
      <c r="CZ247" s="2" t="n">
        <v>59.3</v>
      </c>
      <c r="DA247" s="2" t="n">
        <v>39.5</v>
      </c>
      <c r="DB247" s="2" t="n">
        <v>38.3</v>
      </c>
      <c r="DC247" s="2" t="n">
        <v>1.2</v>
      </c>
      <c r="DI247" s="2" t="n">
        <v>584.9</v>
      </c>
      <c r="DJ247" s="2" t="n">
        <v>337.1</v>
      </c>
      <c r="DL247" s="2" t="n">
        <v>133.8</v>
      </c>
      <c r="DM247" s="2" t="n">
        <v>250.3</v>
      </c>
      <c r="DO247" s="2" t="n">
        <v>210.3</v>
      </c>
      <c r="DP247" s="2" t="n">
        <v>274.1</v>
      </c>
      <c r="DS247" s="2" t="n">
        <v>899.447</v>
      </c>
      <c r="DT247" s="2" t="n">
        <v>3763.2</v>
      </c>
      <c r="DU247" s="2" t="n">
        <v>-1073.253</v>
      </c>
      <c r="DV247" s="2" t="n">
        <v>0</v>
      </c>
      <c r="EA247" s="2" t="n">
        <v>826.7</v>
      </c>
      <c r="EB247" s="2" t="n">
        <v>348.9</v>
      </c>
      <c r="ED247" s="2" t="n">
        <v>144</v>
      </c>
      <c r="EE247" s="2" t="n">
        <v>85.7</v>
      </c>
      <c r="EG247" s="2" t="n">
        <v>164.3</v>
      </c>
      <c r="EH247" s="2" t="e">
        <v>#VALUE!</v>
      </c>
      <c r="EL247" s="2" t="n">
        <v>4132.5</v>
      </c>
      <c r="EQ247" s="2" t="n">
        <v>225.4</v>
      </c>
      <c r="ER247" s="2" t="n">
        <v>126.4</v>
      </c>
      <c r="ET247" s="2" t="n">
        <v>52</v>
      </c>
      <c r="EU247" s="2" t="n">
        <v>97</v>
      </c>
      <c r="EW247" s="2" t="n">
        <v>82.2</v>
      </c>
      <c r="EX247" s="2" t="n">
        <v>101.5</v>
      </c>
      <c r="FB247" s="2" t="n">
        <v>1417.2</v>
      </c>
      <c r="FG247" s="2" t="n">
        <v>463.6</v>
      </c>
      <c r="FH247" s="2" t="n">
        <v>267.9</v>
      </c>
      <c r="FJ247" s="2" t="n">
        <v>106.6</v>
      </c>
      <c r="FK247" s="2" t="n">
        <v>198.5</v>
      </c>
      <c r="FM247" s="2" t="n">
        <v>167.8</v>
      </c>
      <c r="FN247" s="2" t="n">
        <v>219.2</v>
      </c>
      <c r="FR247" s="2" t="n">
        <v>3005.9</v>
      </c>
      <c r="FW247" s="2" t="n">
        <v>261.5</v>
      </c>
      <c r="FX247" s="2" t="n">
        <v>57.2</v>
      </c>
      <c r="GA247" s="2" t="n">
        <v>61.5</v>
      </c>
      <c r="GC247" s="2" t="e">
        <v>#VALUE!</v>
      </c>
      <c r="GD247" s="2" t="e">
        <v>#VALUE!</v>
      </c>
      <c r="GH247" s="2" t="n">
        <v>946.4</v>
      </c>
      <c r="GM247" s="2" t="e">
        <v>#VALUE!</v>
      </c>
      <c r="GN247" s="2" t="n">
        <v>30.5</v>
      </c>
      <c r="GP247" s="2" t="n">
        <v>9.199999999999999</v>
      </c>
      <c r="GQ247" s="2" t="n">
        <v>15.4</v>
      </c>
      <c r="GS247" s="2" t="e">
        <v>#VALUE!</v>
      </c>
      <c r="GT247" s="2" t="e">
        <v>#VALUE!</v>
      </c>
      <c r="GX247" s="2" t="n">
        <v>482.5</v>
      </c>
      <c r="GY247" s="2" t="n">
        <v>0.9773725092874027</v>
      </c>
      <c r="GZ247" s="2" t="n">
        <v>1157.6</v>
      </c>
      <c r="HA247" s="2" t="n">
        <v>1184.4</v>
      </c>
      <c r="HF247" s="2" t="n">
        <v>1336.9</v>
      </c>
      <c r="HG247" s="2" t="n">
        <v>1286.3</v>
      </c>
      <c r="HH247" s="2" t="n">
        <v>586</v>
      </c>
      <c r="HI247" s="2" t="n">
        <v>130.9</v>
      </c>
      <c r="HJ247" s="2" t="n">
        <v>558.2</v>
      </c>
      <c r="HK247" s="2" t="n">
        <v>11.2</v>
      </c>
      <c r="HL247" s="2" t="n">
        <v>50.6</v>
      </c>
      <c r="HP247" s="2" t="e">
        <v>#VALUE!</v>
      </c>
      <c r="HQ247" s="2" t="n">
        <v>4.8</v>
      </c>
      <c r="HR247" s="2" t="n">
        <v>8.5</v>
      </c>
      <c r="HS247" s="2" t="e">
        <v>#VALUE!</v>
      </c>
      <c r="HT247" s="2" t="n">
        <v>28.1</v>
      </c>
      <c r="HW247" s="2" t="n">
        <v>206</v>
      </c>
      <c r="HX247" s="2" t="e">
        <v>#VALUE!</v>
      </c>
      <c r="HY247" s="2" t="n">
        <v>206</v>
      </c>
      <c r="HZ247" s="2" t="e">
        <v>#VALUE!</v>
      </c>
      <c r="IA247" s="2" t="n">
        <v>163.6</v>
      </c>
      <c r="IB247" s="2" t="n">
        <v>67.90000000000001</v>
      </c>
      <c r="IC247" s="2" t="n">
        <v>95.8</v>
      </c>
      <c r="ID247" s="2" t="e">
        <v>#VALUE!</v>
      </c>
      <c r="IE247" s="2" t="e">
        <v>#VALUE!</v>
      </c>
      <c r="IF247" s="2" t="n">
        <v>8.9</v>
      </c>
      <c r="IG247" s="2" t="e">
        <v>#VALUE!</v>
      </c>
      <c r="IN247" s="2" t="n">
        <v>60.6</v>
      </c>
      <c r="IO247" s="2" t="n">
        <v>65.09999999999999</v>
      </c>
      <c r="IP247" s="2" t="e">
        <v>#VALUE!</v>
      </c>
      <c r="IQ247" s="2" t="n">
        <v>48</v>
      </c>
      <c r="IR247" s="2" t="n">
        <v>17.5</v>
      </c>
      <c r="IS247" s="2" t="e">
        <v>#VALUE!</v>
      </c>
      <c r="IT247" s="2" t="n">
        <v>28.3</v>
      </c>
      <c r="IU247" s="2" t="e">
        <v>#VALUE!</v>
      </c>
      <c r="IV247" s="2" t="e">
        <v>#VALUE!</v>
      </c>
      <c r="IY247" s="2" t="n">
        <v>47.80293367346939</v>
      </c>
      <c r="IZ247" s="2" t="n">
        <v>0.01293367346939078</v>
      </c>
      <c r="JB247" s="2" t="n">
        <v>11.29783163265306</v>
      </c>
      <c r="JC247" s="2" t="n">
        <v>-0.1121683673469391</v>
      </c>
      <c r="JE247" s="2" t="n">
        <v>2058.7</v>
      </c>
      <c r="JF247" s="2" t="n">
        <v>0.807567396900957</v>
      </c>
    </row>
    <row r="248">
      <c r="A248" s="1" t="n">
        <v>36586</v>
      </c>
      <c r="B248" s="2" t="n">
        <v>3913.4</v>
      </c>
      <c r="C248" s="2" t="n">
        <v>3887.9</v>
      </c>
      <c r="D248" s="2" t="n">
        <v>297.7</v>
      </c>
      <c r="E248" s="2" t="n">
        <v>1098.6</v>
      </c>
      <c r="F248" s="2" t="n">
        <v>32.4</v>
      </c>
      <c r="G248" s="2" t="inlineStr">
        <is>
          <t>NA</t>
        </is>
      </c>
      <c r="H248" s="2" t="inlineStr">
        <is>
          <t>NA</t>
        </is>
      </c>
      <c r="I248" s="2" t="inlineStr">
        <is>
          <t>NA</t>
        </is>
      </c>
      <c r="J248" s="2" t="inlineStr">
        <is>
          <t>NA</t>
        </is>
      </c>
      <c r="K248" s="2" t="n">
        <v>1481.8</v>
      </c>
      <c r="L248" s="2" t="n">
        <v>2076.6</v>
      </c>
      <c r="M248" s="2" t="n">
        <v>1831.9</v>
      </c>
      <c r="N248" s="2" t="n">
        <v>244.7</v>
      </c>
      <c r="O248" s="2" t="n">
        <v>92.7</v>
      </c>
      <c r="P248" s="2" t="n">
        <v>110.2</v>
      </c>
      <c r="Q248" s="2" t="n">
        <v>25.8</v>
      </c>
      <c r="R248" s="2" t="n">
        <v>84.40000000000001</v>
      </c>
      <c r="T248" s="2" t="n">
        <v>27.4</v>
      </c>
      <c r="U248" s="2" t="n">
        <v>27.3</v>
      </c>
      <c r="V248" s="2" t="n">
        <v>25.2</v>
      </c>
      <c r="W248" s="2" t="n">
        <v>2.1</v>
      </c>
      <c r="X248" s="2" t="inlineStr">
        <is>
          <t>NA</t>
        </is>
      </c>
      <c r="Y248" s="2" t="inlineStr">
        <is>
          <t>NA</t>
        </is>
      </c>
      <c r="Z248" s="2" t="n">
        <v>206.4</v>
      </c>
      <c r="AA248" s="2" t="n">
        <v>195.3</v>
      </c>
      <c r="AB248" s="2" t="n">
        <v>11.1</v>
      </c>
      <c r="AC248" s="2" t="inlineStr">
        <is>
          <t>NA</t>
        </is>
      </c>
      <c r="AD248" s="2" t="n">
        <v>45.9</v>
      </c>
      <c r="AF248" s="2" t="n">
        <v>202</v>
      </c>
      <c r="AG248" s="2" t="n">
        <v>182.8</v>
      </c>
      <c r="AH248" s="2" t="n">
        <v>19.2</v>
      </c>
      <c r="AI248" s="2" t="n">
        <v>212.7</v>
      </c>
      <c r="AL248" s="2" t="n">
        <v>251</v>
      </c>
      <c r="AM248" s="2" t="n">
        <v>168.8</v>
      </c>
      <c r="AN248" s="2" t="n">
        <v>82.2</v>
      </c>
      <c r="AO248" s="2" t="n">
        <v>2900.4</v>
      </c>
      <c r="AP248" s="2" t="n">
        <v>311.2</v>
      </c>
      <c r="AQ248" s="2" t="n">
        <v>223.2</v>
      </c>
      <c r="AR248" s="2" t="n">
        <v>39</v>
      </c>
      <c r="AS248" s="2" t="n">
        <v>138.8</v>
      </c>
      <c r="AT248" s="2" t="n">
        <v>39.9</v>
      </c>
      <c r="AU248" s="2" t="n">
        <v>76</v>
      </c>
      <c r="AV248" s="2" t="n">
        <v>39.5</v>
      </c>
      <c r="AW248" s="2" t="n">
        <v>17.7</v>
      </c>
      <c r="AX248" s="2" t="n">
        <v>8.800000000000001</v>
      </c>
      <c r="AY248" s="2" t="inlineStr">
        <is>
          <t>NA</t>
        </is>
      </c>
      <c r="AZ248" s="2" t="inlineStr">
        <is>
          <t>NA</t>
        </is>
      </c>
      <c r="BA248" s="2" t="inlineStr">
        <is>
          <t>NA</t>
        </is>
      </c>
      <c r="BB248" s="2" t="inlineStr">
        <is>
          <t>NA</t>
        </is>
      </c>
      <c r="BD248" s="2" t="n">
        <v>160.4</v>
      </c>
      <c r="BE248" s="2" t="n">
        <v>39.2</v>
      </c>
      <c r="BF248" s="2" t="n">
        <v>69.40000000000001</v>
      </c>
      <c r="BG248" s="2" t="n">
        <v>6</v>
      </c>
      <c r="BH248" s="2" t="n">
        <v>324</v>
      </c>
      <c r="BK248" s="2" t="n">
        <v>234.7</v>
      </c>
      <c r="BL248" s="2" t="n">
        <v>4.2</v>
      </c>
      <c r="BM248" s="2" t="n">
        <v>558.6</v>
      </c>
      <c r="BN248" s="2" t="n">
        <v>332.9</v>
      </c>
      <c r="BQ248" s="2" t="n">
        <v>151.7</v>
      </c>
      <c r="BR248" s="2" t="n">
        <v>0</v>
      </c>
      <c r="BS248" s="2" t="n">
        <v>484.6</v>
      </c>
      <c r="BT248" s="2" t="n">
        <v>41.9</v>
      </c>
      <c r="BU248" s="2" t="n">
        <v>29.8</v>
      </c>
      <c r="BV248" s="2" t="n">
        <v>342</v>
      </c>
      <c r="BW248" s="2" t="n">
        <v>112.8</v>
      </c>
      <c r="BX248" s="2" t="n">
        <v>454.8</v>
      </c>
      <c r="BY248" s="2" t="n">
        <v>34.5</v>
      </c>
      <c r="BZ248" s="2" t="n">
        <v>15.8</v>
      </c>
      <c r="CA248" s="2" t="n">
        <v>50.3</v>
      </c>
      <c r="CF248" s="2" t="n">
        <v>116.2</v>
      </c>
      <c r="CG248" s="2" t="n">
        <v>125.2</v>
      </c>
      <c r="CH248" s="2" t="n">
        <v>7.7</v>
      </c>
      <c r="CK248" s="2" t="n">
        <v>350.5</v>
      </c>
      <c r="CL248" s="2" t="n">
        <v>44.3</v>
      </c>
      <c r="CN248" s="2" t="n">
        <v>36.8</v>
      </c>
      <c r="CO248" s="2" t="n">
        <v>89.2</v>
      </c>
      <c r="CP248" s="2" t="n">
        <v>67.40000000000001</v>
      </c>
      <c r="CQ248" s="2" t="n">
        <v>21.8</v>
      </c>
      <c r="CR248" s="2" t="inlineStr">
        <is>
          <t>NA</t>
        </is>
      </c>
      <c r="CS248" s="2" t="n">
        <v>53.9</v>
      </c>
      <c r="CT248" s="2" t="n">
        <v>35.3</v>
      </c>
      <c r="CU248" s="2" t="n">
        <v>18.6</v>
      </c>
      <c r="CV248" s="2" t="n">
        <v>67.8</v>
      </c>
      <c r="CW248" s="2" t="n">
        <v>13.4</v>
      </c>
      <c r="CX248" s="2" t="n">
        <v>54.4</v>
      </c>
      <c r="CY248" s="2" t="inlineStr">
        <is>
          <t>NA</t>
        </is>
      </c>
      <c r="CZ248" s="2" t="n">
        <v>71.3</v>
      </c>
      <c r="DA248" s="2" t="n">
        <v>43.3</v>
      </c>
      <c r="DB248" s="2" t="n">
        <v>41.5</v>
      </c>
      <c r="DC248" s="2" t="n">
        <v>1.8</v>
      </c>
      <c r="DI248" s="2" t="n">
        <v>596.4</v>
      </c>
      <c r="DJ248" s="2" t="n">
        <v>340.5</v>
      </c>
      <c r="DM248" s="2" t="n">
        <v>365.5</v>
      </c>
      <c r="DO248" s="2" t="n">
        <v>226.5</v>
      </c>
      <c r="DP248" s="2" t="n">
        <v>305.1</v>
      </c>
      <c r="DS248" s="2" t="n">
        <v>941.04</v>
      </c>
      <c r="DT248" s="2" t="n">
        <v>3913.4</v>
      </c>
      <c r="DU248" s="2" t="n">
        <v>-1138.36</v>
      </c>
      <c r="DV248" s="2" t="n">
        <v>0</v>
      </c>
      <c r="EA248" s="2" t="n">
        <v>733.6</v>
      </c>
      <c r="EB248" s="2" t="n">
        <v>378.1</v>
      </c>
      <c r="ED248" s="2" t="n">
        <v>155.7</v>
      </c>
      <c r="EE248" s="2" t="n">
        <v>93.7</v>
      </c>
      <c r="EG248" s="2" t="n">
        <v>158.3</v>
      </c>
      <c r="EH248" s="2" t="e">
        <v>#VALUE!</v>
      </c>
      <c r="EL248" s="2" t="n">
        <v>3887.9</v>
      </c>
      <c r="EQ248" s="2" t="n">
        <v>232.1</v>
      </c>
      <c r="ER248" s="2" t="n">
        <v>129.1</v>
      </c>
      <c r="ET248" s="2" t="e">
        <v>#VALUE!</v>
      </c>
      <c r="EU248" s="2" t="n">
        <v>102</v>
      </c>
      <c r="EW248" s="2" t="n">
        <v>87.09999999999999</v>
      </c>
      <c r="EX248" s="2" t="n">
        <v>112.2</v>
      </c>
      <c r="FB248" s="2" t="n">
        <v>1481.8</v>
      </c>
      <c r="FG248" s="2" t="n">
        <v>471.5</v>
      </c>
      <c r="FH248" s="2" t="n">
        <v>278.3</v>
      </c>
      <c r="FJ248" s="2" t="e">
        <v>#VALUE!</v>
      </c>
      <c r="FK248" s="2" t="n">
        <v>211.9</v>
      </c>
      <c r="FM248" s="2" t="n">
        <v>181.3</v>
      </c>
      <c r="FN248" s="2" t="n">
        <v>245.6</v>
      </c>
      <c r="FR248" s="2" t="n">
        <v>3132.7</v>
      </c>
      <c r="FW248" s="2" t="n">
        <v>282.5</v>
      </c>
      <c r="FX248" s="2" t="e">
        <v>#VALUE!</v>
      </c>
      <c r="GA248" s="2" t="n">
        <v>67.7</v>
      </c>
      <c r="GC248" s="2" t="e">
        <v>#VALUE!</v>
      </c>
      <c r="GD248" s="2" t="e">
        <v>#VALUE!</v>
      </c>
      <c r="GH248" s="2" t="n">
        <v>961.9</v>
      </c>
      <c r="GM248" s="2" t="e">
        <v>#VALUE!</v>
      </c>
      <c r="GN248" s="2" t="e">
        <v>#VALUE!</v>
      </c>
      <c r="GP248" s="2" t="n">
        <v>5.3</v>
      </c>
      <c r="GQ248" s="2" t="n">
        <v>12.4</v>
      </c>
      <c r="GS248" s="2" t="e">
        <v>#VALUE!</v>
      </c>
      <c r="GT248" s="2" t="e">
        <v>#VALUE!</v>
      </c>
      <c r="GX248" s="2" t="n">
        <v>350.1</v>
      </c>
      <c r="GY248" s="2" t="n">
        <v>0.9756449165402125</v>
      </c>
      <c r="GZ248" s="2" t="n">
        <v>1285.9</v>
      </c>
      <c r="HA248" s="2" t="n">
        <v>1318</v>
      </c>
      <c r="HF248" s="2" t="n">
        <v>1505</v>
      </c>
      <c r="HG248" s="2" t="n">
        <v>1455.1</v>
      </c>
      <c r="HH248" s="2" t="n">
        <v>636.7</v>
      </c>
      <c r="HI248" s="2" t="n">
        <v>151.3</v>
      </c>
      <c r="HJ248" s="2" t="n">
        <v>654.7</v>
      </c>
      <c r="HK248" s="2" t="n">
        <v>12.4</v>
      </c>
      <c r="HL248" s="2" t="n">
        <v>49.9</v>
      </c>
      <c r="HP248" s="2" t="e">
        <v>#VALUE!</v>
      </c>
      <c r="HQ248" s="2" t="n">
        <v>6.4</v>
      </c>
      <c r="HR248" s="2" t="n">
        <v>8.699999999999999</v>
      </c>
      <c r="HS248" s="2" t="e">
        <v>#VALUE!</v>
      </c>
      <c r="HT248" s="2" t="n">
        <v>28.8</v>
      </c>
      <c r="HW248" s="2" t="n">
        <v>227.5</v>
      </c>
      <c r="HX248" s="2" t="e">
        <v>#VALUE!</v>
      </c>
      <c r="HY248" s="2" t="n">
        <v>227.5</v>
      </c>
      <c r="HZ248" s="2" t="e">
        <v>#VALUE!</v>
      </c>
      <c r="IA248" s="2" t="n">
        <v>184.7</v>
      </c>
      <c r="IB248" s="2" t="n">
        <v>71.2</v>
      </c>
      <c r="IC248" s="2" t="n">
        <v>113.5</v>
      </c>
      <c r="ID248" s="2" t="e">
        <v>#VALUE!</v>
      </c>
      <c r="IE248" s="2" t="e">
        <v>#VALUE!</v>
      </c>
      <c r="IF248" s="2" t="n">
        <v>11.4</v>
      </c>
      <c r="IG248" s="2" t="e">
        <v>#VALUE!</v>
      </c>
      <c r="IN248" s="2" t="n">
        <v>69.7</v>
      </c>
      <c r="IO248" s="2" t="n">
        <v>70.8</v>
      </c>
      <c r="IP248" s="2" t="e">
        <v>#VALUE!</v>
      </c>
      <c r="IQ248" s="2" t="n">
        <v>47.1</v>
      </c>
      <c r="IR248" s="2" t="n">
        <v>13.9</v>
      </c>
      <c r="IS248" s="2" t="e">
        <v>#VALUE!</v>
      </c>
      <c r="IT248" s="2" t="n">
        <v>30.9</v>
      </c>
      <c r="IU248" s="2" t="e">
        <v>#VALUE!</v>
      </c>
      <c r="IV248" s="2" t="e">
        <v>#VALUE!</v>
      </c>
      <c r="IY248" s="2" t="n">
        <v>47.89083661266418</v>
      </c>
      <c r="IZ248" s="2" t="n">
        <v>0.1008366126641818</v>
      </c>
      <c r="JB248" s="2" t="n">
        <v>11.35943169622323</v>
      </c>
      <c r="JC248" s="2" t="n">
        <v>-0.08056830377676683</v>
      </c>
      <c r="JE248" s="2" t="n">
        <v>2076.6</v>
      </c>
      <c r="JF248" s="2" t="n">
        <v>0.7846961379177502</v>
      </c>
    </row>
    <row r="249">
      <c r="A249" s="1" t="n">
        <v>36617</v>
      </c>
      <c r="B249" s="2" t="n">
        <v>3645</v>
      </c>
      <c r="C249" s="2" t="n">
        <v>2960.2</v>
      </c>
      <c r="D249" s="2" t="n">
        <v>263.5</v>
      </c>
      <c r="E249" s="2" t="n">
        <v>864.6</v>
      </c>
      <c r="F249" s="2" t="n">
        <v>37.6</v>
      </c>
      <c r="G249" s="2" t="inlineStr">
        <is>
          <t>NA</t>
        </is>
      </c>
      <c r="H249" s="2" t="inlineStr">
        <is>
          <t>NA</t>
        </is>
      </c>
      <c r="I249" s="2" t="inlineStr">
        <is>
          <t>NA</t>
        </is>
      </c>
      <c r="J249" s="2" t="inlineStr">
        <is>
          <t>NA</t>
        </is>
      </c>
      <c r="K249" s="2" t="n">
        <v>1367.9</v>
      </c>
      <c r="L249" s="2" t="n">
        <v>2092.9</v>
      </c>
      <c r="M249" s="2" t="n">
        <v>1841.4</v>
      </c>
      <c r="N249" s="2" t="n">
        <v>251.5</v>
      </c>
      <c r="O249" s="2" t="n">
        <v>82</v>
      </c>
      <c r="P249" s="2" t="n">
        <v>122.7</v>
      </c>
      <c r="Q249" s="2" t="n">
        <v>25.9</v>
      </c>
      <c r="R249" s="2" t="n">
        <v>96.8</v>
      </c>
      <c r="T249" s="2" t="n">
        <v>31.9</v>
      </c>
      <c r="U249" s="2" t="n">
        <v>29.9</v>
      </c>
      <c r="V249" s="2" t="n">
        <v>26.2</v>
      </c>
      <c r="W249" s="2" t="n">
        <v>3.7</v>
      </c>
      <c r="X249" s="2" t="inlineStr">
        <is>
          <t>NA</t>
        </is>
      </c>
      <c r="Y249" s="2" t="n">
        <v>15.2</v>
      </c>
      <c r="Z249" s="2" t="n">
        <v>224.3</v>
      </c>
      <c r="AA249" s="2" t="n">
        <v>214.3</v>
      </c>
      <c r="AB249" s="2" t="n">
        <v>10</v>
      </c>
      <c r="AC249" s="2" t="inlineStr">
        <is>
          <t>NA</t>
        </is>
      </c>
      <c r="AD249" s="2" t="n">
        <v>40</v>
      </c>
      <c r="AF249" s="2" t="n">
        <v>197.4</v>
      </c>
      <c r="AG249" s="2" t="n">
        <v>173.8</v>
      </c>
      <c r="AH249" s="2" t="n">
        <v>23.6</v>
      </c>
      <c r="AI249" s="2" t="n">
        <v>209.9</v>
      </c>
      <c r="AL249" s="2" t="n">
        <v>267.2</v>
      </c>
      <c r="AM249" s="2" t="n">
        <v>171.2</v>
      </c>
      <c r="AN249" s="2" t="n">
        <v>96</v>
      </c>
      <c r="AO249" s="2" t="n">
        <v>2697.7</v>
      </c>
      <c r="AP249" s="2" t="n">
        <v>384.6</v>
      </c>
      <c r="AQ249" s="2" t="n">
        <v>208.4</v>
      </c>
      <c r="AR249" s="2" t="n">
        <v>56.6</v>
      </c>
      <c r="AS249" s="2" t="n">
        <v>119.2</v>
      </c>
      <c r="AT249" s="2" t="n">
        <v>63</v>
      </c>
      <c r="AU249" s="2" t="n">
        <v>67.3</v>
      </c>
      <c r="AV249" s="2" t="n">
        <v>45.8</v>
      </c>
      <c r="AW249" s="2" t="n">
        <v>20.6</v>
      </c>
      <c r="AX249" s="2" t="n">
        <v>7</v>
      </c>
      <c r="AY249" s="2" t="inlineStr">
        <is>
          <t>NA</t>
        </is>
      </c>
      <c r="AZ249" s="2" t="inlineStr">
        <is>
          <t>NA</t>
        </is>
      </c>
      <c r="BA249" s="2" t="inlineStr">
        <is>
          <t>NA</t>
        </is>
      </c>
      <c r="BB249" s="2" t="inlineStr">
        <is>
          <t>NA</t>
        </is>
      </c>
      <c r="BD249" s="2" t="n">
        <v>129.8</v>
      </c>
      <c r="BE249" s="2" t="n">
        <v>38</v>
      </c>
      <c r="BF249" s="2" t="n">
        <v>59.8</v>
      </c>
      <c r="BG249" s="2" t="n">
        <v>7.7</v>
      </c>
      <c r="BH249" s="2" t="n">
        <v>266.5</v>
      </c>
      <c r="BK249" s="2" t="n">
        <v>198.4</v>
      </c>
      <c r="BL249" s="2" t="n">
        <v>5</v>
      </c>
      <c r="BM249" s="2" t="n">
        <v>464.9</v>
      </c>
      <c r="BN249" s="2" t="n">
        <v>285.5</v>
      </c>
      <c r="BQ249" s="2" t="n">
        <v>151.4</v>
      </c>
      <c r="BR249" s="2" t="n">
        <v>4.7</v>
      </c>
      <c r="BS249" s="2" t="n">
        <v>441.6</v>
      </c>
      <c r="BT249" s="2" t="n">
        <v>40.7</v>
      </c>
      <c r="BU249" s="2" t="n">
        <v>20</v>
      </c>
      <c r="BV249" s="2" t="n">
        <v>284.7</v>
      </c>
      <c r="BW249" s="2" t="n">
        <v>93.90000000000001</v>
      </c>
      <c r="BX249" s="2" t="n">
        <v>378.6</v>
      </c>
      <c r="BY249" s="2" t="n">
        <v>33.2</v>
      </c>
      <c r="BZ249" s="2" t="n">
        <v>16.2</v>
      </c>
      <c r="CA249" s="2" t="n">
        <v>49.40000000000001</v>
      </c>
      <c r="CF249" s="2" t="n">
        <v>100.9</v>
      </c>
      <c r="CG249" s="2" t="n">
        <v>126.2</v>
      </c>
      <c r="CH249" s="2" t="n">
        <v>10.7</v>
      </c>
      <c r="CK249" s="2" t="n">
        <v>306.6</v>
      </c>
      <c r="CL249" s="2" t="n">
        <v>43.5</v>
      </c>
      <c r="CN249" s="2" t="n">
        <v>36.6</v>
      </c>
      <c r="CO249" s="2" t="n">
        <v>102.3</v>
      </c>
      <c r="CP249" s="2" t="n">
        <v>77.2</v>
      </c>
      <c r="CQ249" s="2" t="n">
        <v>25.1</v>
      </c>
      <c r="CR249" s="2" t="inlineStr">
        <is>
          <t>NA</t>
        </is>
      </c>
      <c r="CS249" s="2" t="n">
        <v>49</v>
      </c>
      <c r="CT249" s="2" t="n">
        <v>30.3</v>
      </c>
      <c r="CU249" s="2" t="n">
        <v>18.7</v>
      </c>
      <c r="CV249" s="2" t="n">
        <v>62.8</v>
      </c>
      <c r="CW249" s="2" t="n">
        <v>10</v>
      </c>
      <c r="CX249" s="2" t="n">
        <v>52.8</v>
      </c>
      <c r="CY249" s="2" t="inlineStr">
        <is>
          <t>NA</t>
        </is>
      </c>
      <c r="CZ249" s="2" t="n">
        <v>78.90000000000001</v>
      </c>
      <c r="DA249" s="2" t="n">
        <v>56.2</v>
      </c>
      <c r="DB249" s="2" t="n">
        <v>54.9</v>
      </c>
      <c r="DC249" s="2" t="n">
        <v>1.3</v>
      </c>
      <c r="DI249" s="2" t="n">
        <v>555.9</v>
      </c>
      <c r="DJ249" s="2" t="n">
        <v>309.1</v>
      </c>
      <c r="DM249" s="2" t="n">
        <v>241.1</v>
      </c>
      <c r="DO249" s="2" t="n">
        <v>203.7</v>
      </c>
      <c r="DP249" s="2" t="n">
        <v>271.5</v>
      </c>
      <c r="DS249" s="2" t="n">
        <v>872.78</v>
      </c>
      <c r="DT249" s="2" t="n">
        <v>3645</v>
      </c>
      <c r="DU249" s="2" t="n">
        <v>-1190.92</v>
      </c>
      <c r="DV249" s="2" t="n">
        <v>0</v>
      </c>
      <c r="EA249" s="2" t="n">
        <v>489.8</v>
      </c>
      <c r="EB249" s="2" t="n">
        <v>294.7</v>
      </c>
      <c r="ED249" s="2" t="n">
        <v>129.7</v>
      </c>
      <c r="EE249" s="2" t="n">
        <v>81.7</v>
      </c>
      <c r="EG249" s="2" t="n">
        <v>93.8</v>
      </c>
      <c r="EH249" s="2" t="e">
        <v>#VALUE!</v>
      </c>
      <c r="EL249" s="2" t="n">
        <v>2960.2</v>
      </c>
      <c r="EQ249" s="2" t="n">
        <v>216.1</v>
      </c>
      <c r="ER249" s="2" t="n">
        <v>117.4</v>
      </c>
      <c r="ET249" s="2" t="e">
        <v>#VALUE!</v>
      </c>
      <c r="EU249" s="2" t="n">
        <v>93.09999999999999</v>
      </c>
      <c r="EW249" s="2" t="n">
        <v>66</v>
      </c>
      <c r="EX249" s="2" t="n">
        <v>99.7</v>
      </c>
      <c r="FB249" s="2" t="n">
        <v>1367.9</v>
      </c>
      <c r="FG249" s="2" t="n">
        <v>442.3</v>
      </c>
      <c r="FH249" s="2" t="n">
        <v>246.7</v>
      </c>
      <c r="FJ249" s="2" t="e">
        <v>#VALUE!</v>
      </c>
      <c r="FK249" s="2" t="n">
        <v>192.5</v>
      </c>
      <c r="FM249" s="2" t="n">
        <v>162.4</v>
      </c>
      <c r="FN249" s="2" t="n">
        <v>217.9</v>
      </c>
      <c r="FR249" s="2" t="n">
        <v>2914.2</v>
      </c>
      <c r="FW249" s="2" t="n">
        <v>293.4</v>
      </c>
      <c r="FX249" s="2" t="e">
        <v>#VALUE!</v>
      </c>
      <c r="GA249" s="2" t="n">
        <v>64.59999999999999</v>
      </c>
      <c r="GC249" s="2" t="n">
        <v>66.7</v>
      </c>
      <c r="GD249" s="2" t="e">
        <v>#VALUE!</v>
      </c>
      <c r="GH249" s="2" t="n">
        <v>1005.3</v>
      </c>
      <c r="GM249" s="2" t="e">
        <v>#VALUE!</v>
      </c>
      <c r="GN249" s="2" t="n">
        <v>40.8</v>
      </c>
      <c r="GP249" s="2" t="n">
        <v>10.7</v>
      </c>
      <c r="GQ249" s="2" t="n">
        <v>26.1</v>
      </c>
      <c r="GS249" s="2" t="e">
        <v>#VALUE!</v>
      </c>
      <c r="GT249" s="2" t="e">
        <v>#VALUE!</v>
      </c>
      <c r="GX249" s="2" t="n">
        <v>441.2</v>
      </c>
      <c r="GY249" s="2" t="n">
        <v>0.9783387994813516</v>
      </c>
      <c r="GZ249" s="2" t="n">
        <v>1282.7</v>
      </c>
      <c r="HA249" s="2" t="n">
        <v>1311.1</v>
      </c>
      <c r="HF249" s="2" t="n">
        <v>1401.2</v>
      </c>
      <c r="HG249" s="2" t="n">
        <v>1354.7</v>
      </c>
      <c r="HH249" s="2" t="n">
        <v>604.8</v>
      </c>
      <c r="HI249" s="2" t="n">
        <v>135</v>
      </c>
      <c r="HJ249" s="2" t="n">
        <v>605.4</v>
      </c>
      <c r="HK249" s="2" t="n">
        <v>9.5</v>
      </c>
      <c r="HL249" s="2" t="n">
        <v>46.4</v>
      </c>
      <c r="HP249" s="2" t="e">
        <v>#VALUE!</v>
      </c>
      <c r="HQ249" s="2" t="n">
        <v>6.8</v>
      </c>
      <c r="HR249" s="2" t="n">
        <v>6.2</v>
      </c>
      <c r="HS249" s="2" t="e">
        <v>#VALUE!</v>
      </c>
      <c r="HT249" s="2" t="n">
        <v>27.4</v>
      </c>
      <c r="HW249" s="2" t="n">
        <v>203.1</v>
      </c>
      <c r="HX249" s="2" t="e">
        <v>#VALUE!</v>
      </c>
      <c r="HY249" s="2" t="n">
        <v>203.1</v>
      </c>
      <c r="HZ249" s="2" t="n">
        <v>14.4</v>
      </c>
      <c r="IA249" s="2" t="n">
        <v>159.2</v>
      </c>
      <c r="IB249" s="2" t="n">
        <v>65.5</v>
      </c>
      <c r="IC249" s="2" t="n">
        <v>93.59999999999999</v>
      </c>
      <c r="ID249" s="2" t="e">
        <v>#VALUE!</v>
      </c>
      <c r="IE249" s="2" t="e">
        <v>#VALUE!</v>
      </c>
      <c r="IF249" s="2" t="n">
        <v>10.1</v>
      </c>
      <c r="IG249" s="2" t="n">
        <v>13.6</v>
      </c>
      <c r="IN249" s="2" t="n">
        <v>65.7</v>
      </c>
      <c r="IO249" s="2" t="n">
        <v>70.8</v>
      </c>
      <c r="IP249" s="2" t="e">
        <v>#VALUE!</v>
      </c>
      <c r="IQ249" s="2" t="n">
        <v>40</v>
      </c>
      <c r="IR249" s="2" t="n">
        <v>13.4</v>
      </c>
      <c r="IS249" s="2" t="e">
        <v>#VALUE!</v>
      </c>
      <c r="IT249" s="2" t="n">
        <v>24.8</v>
      </c>
      <c r="IU249" s="2" t="e">
        <v>#VALUE!</v>
      </c>
      <c r="IV249" s="2" t="e">
        <v>#VALUE!</v>
      </c>
      <c r="IY249" s="2" t="n">
        <v>47.83703703703704</v>
      </c>
      <c r="IZ249" s="2" t="n">
        <v>0.06703703703703212</v>
      </c>
      <c r="JB249" s="2" t="n">
        <v>11.25843621399177</v>
      </c>
      <c r="JC249" s="2" t="n">
        <v>-0.1915637860082295</v>
      </c>
      <c r="JE249" s="2" t="n">
        <v>2092.9</v>
      </c>
      <c r="JF249" s="2" t="n">
        <v>0.7710798413684361</v>
      </c>
    </row>
    <row r="250">
      <c r="A250" s="1" t="n">
        <v>36647</v>
      </c>
      <c r="B250" s="2" t="n">
        <v>3629.4</v>
      </c>
      <c r="C250" s="2" t="n">
        <v>2360</v>
      </c>
      <c r="D250" s="2" t="n">
        <v>250.3</v>
      </c>
      <c r="E250" s="2" t="n">
        <v>611</v>
      </c>
      <c r="F250" s="2" t="n">
        <v>36</v>
      </c>
      <c r="G250" s="2" t="inlineStr">
        <is>
          <t>NA</t>
        </is>
      </c>
      <c r="H250" s="2" t="inlineStr">
        <is>
          <t>NA</t>
        </is>
      </c>
      <c r="I250" s="2" t="inlineStr">
        <is>
          <t>NA</t>
        </is>
      </c>
      <c r="J250" s="2" t="inlineStr">
        <is>
          <t>NA</t>
        </is>
      </c>
      <c r="K250" s="2" t="n">
        <v>1396</v>
      </c>
      <c r="L250" s="2" t="n">
        <v>1978.3</v>
      </c>
      <c r="M250" s="2" t="n">
        <v>1747.6</v>
      </c>
      <c r="N250" s="2" t="n">
        <v>230.7</v>
      </c>
      <c r="O250" s="2" t="n">
        <v>75.8</v>
      </c>
      <c r="P250" s="2" t="n">
        <v>123.9</v>
      </c>
      <c r="Q250" s="2" t="n">
        <v>23.4</v>
      </c>
      <c r="R250" s="2" t="n">
        <v>100.5</v>
      </c>
      <c r="T250" s="2" t="n">
        <v>30.4</v>
      </c>
      <c r="U250" s="2" t="n">
        <v>30.3</v>
      </c>
      <c r="V250" s="2" t="n">
        <v>26.2</v>
      </c>
      <c r="W250" s="2" t="n">
        <v>4.1</v>
      </c>
      <c r="X250" s="2" t="inlineStr">
        <is>
          <t>NA</t>
        </is>
      </c>
      <c r="Y250" s="2" t="n">
        <v>12.1</v>
      </c>
      <c r="Z250" s="2" t="n">
        <v>260.4</v>
      </c>
      <c r="AA250" s="2" t="n">
        <v>248</v>
      </c>
      <c r="AB250" s="2" t="n">
        <v>12.4</v>
      </c>
      <c r="AC250" s="2" t="inlineStr">
        <is>
          <t>NA</t>
        </is>
      </c>
      <c r="AD250" s="2" t="n">
        <v>33.7</v>
      </c>
      <c r="AF250" s="2" t="n">
        <v>176.7</v>
      </c>
      <c r="AG250" s="2" t="n">
        <v>149.1</v>
      </c>
      <c r="AH250" s="2" t="n">
        <v>27.6</v>
      </c>
      <c r="AI250" s="2" t="n">
        <v>211.1</v>
      </c>
      <c r="AL250" s="2" t="n">
        <v>260.8</v>
      </c>
      <c r="AM250" s="2" t="n">
        <v>170</v>
      </c>
      <c r="AN250" s="2" t="n">
        <v>90.8</v>
      </c>
      <c r="AO250" s="2" t="n">
        <v>2672.3</v>
      </c>
      <c r="AP250" s="2" t="n">
        <v>277.8</v>
      </c>
      <c r="AQ250" s="2" t="n">
        <v>210.2</v>
      </c>
      <c r="AR250" s="2" t="n">
        <v>47.2</v>
      </c>
      <c r="AS250" s="2" t="n">
        <v>109.4</v>
      </c>
      <c r="AT250" s="2" t="n">
        <v>67</v>
      </c>
      <c r="AU250" s="2" t="n">
        <v>65.90000000000001</v>
      </c>
      <c r="AV250" s="2" t="n">
        <v>35.9</v>
      </c>
      <c r="AW250" s="2" t="n">
        <v>20</v>
      </c>
      <c r="AX250" s="2" t="n">
        <v>8.5</v>
      </c>
      <c r="AY250" s="2" t="inlineStr">
        <is>
          <t>NA</t>
        </is>
      </c>
      <c r="AZ250" s="2" t="inlineStr">
        <is>
          <t>NA</t>
        </is>
      </c>
      <c r="BA250" s="2" t="inlineStr">
        <is>
          <t>NA</t>
        </is>
      </c>
      <c r="BB250" s="2" t="inlineStr">
        <is>
          <t>NA</t>
        </is>
      </c>
      <c r="BD250" s="2" t="n">
        <v>165.7</v>
      </c>
      <c r="BE250" s="2" t="n">
        <v>38.9</v>
      </c>
      <c r="BF250" s="2" t="n">
        <v>75.09999999999999</v>
      </c>
      <c r="BG250" s="2" t="n">
        <v>9.300000000000001</v>
      </c>
      <c r="BH250" s="2" t="n">
        <v>328.2</v>
      </c>
      <c r="BK250" s="2" t="n">
        <v>231.6</v>
      </c>
      <c r="BL250" s="2" t="n">
        <v>3.7</v>
      </c>
      <c r="BM250" s="2" t="n">
        <v>559.8</v>
      </c>
      <c r="BN250" s="2" t="n">
        <v>302.8</v>
      </c>
      <c r="BQ250" s="2" t="n">
        <v>154.4</v>
      </c>
      <c r="BR250" s="2" t="n">
        <v>0</v>
      </c>
      <c r="BS250" s="2" t="n">
        <v>457.2</v>
      </c>
      <c r="BT250" s="2" t="n">
        <v>32</v>
      </c>
      <c r="BU250" s="2" t="n">
        <v>22.6</v>
      </c>
      <c r="BV250" s="2" t="n">
        <v>339.1</v>
      </c>
      <c r="BW250" s="2" t="n">
        <v>115.4</v>
      </c>
      <c r="BX250" s="2" t="n">
        <v>454.5</v>
      </c>
      <c r="BY250" s="2" t="n">
        <v>39.8</v>
      </c>
      <c r="BZ250" s="2" t="n">
        <v>11.3</v>
      </c>
      <c r="CA250" s="2" t="n">
        <v>51.09999999999999</v>
      </c>
      <c r="CF250" s="2" t="n">
        <v>100.3</v>
      </c>
      <c r="CG250" s="2" t="n">
        <v>140.2</v>
      </c>
      <c r="CH250" s="2" t="n">
        <v>8.1</v>
      </c>
      <c r="CK250" s="2" t="n">
        <v>361.5</v>
      </c>
      <c r="CL250" s="2" t="n">
        <v>44.4</v>
      </c>
      <c r="CN250" s="2" t="n">
        <v>52.4</v>
      </c>
      <c r="CO250" s="2" t="n">
        <v>103.9</v>
      </c>
      <c r="CP250" s="2" t="n">
        <v>61.6</v>
      </c>
      <c r="CQ250" s="2" t="n">
        <v>42.3</v>
      </c>
      <c r="CR250" s="2" t="inlineStr">
        <is>
          <t>NA</t>
        </is>
      </c>
      <c r="CS250" s="2" t="n">
        <v>44.1</v>
      </c>
      <c r="CT250" s="2" t="n">
        <v>32.2</v>
      </c>
      <c r="CU250" s="2" t="n">
        <v>11.9</v>
      </c>
      <c r="CV250" s="2" t="n">
        <v>68.59999999999999</v>
      </c>
      <c r="CW250" s="2" t="n">
        <v>15.2</v>
      </c>
      <c r="CX250" s="2" t="n">
        <v>53.4</v>
      </c>
      <c r="CY250" s="2" t="inlineStr">
        <is>
          <t>NA</t>
        </is>
      </c>
      <c r="CZ250" s="2" t="n">
        <v>78.59999999999999</v>
      </c>
      <c r="DA250" s="2" t="n">
        <v>50.2</v>
      </c>
      <c r="DB250" s="2" t="n">
        <v>48.2</v>
      </c>
      <c r="DC250" s="2" t="n">
        <v>2</v>
      </c>
      <c r="DI250" s="2" t="n">
        <v>517.2</v>
      </c>
      <c r="DJ250" s="2" t="n">
        <v>370.8</v>
      </c>
      <c r="DM250" s="2" t="n">
        <v>250.5</v>
      </c>
      <c r="DO250" s="2" t="n">
        <v>208.2</v>
      </c>
      <c r="DP250" s="2" t="n">
        <v>261.6</v>
      </c>
      <c r="DS250" s="2" t="n">
        <v>858.068</v>
      </c>
      <c r="DT250" s="2" t="n">
        <v>3629.4</v>
      </c>
      <c r="DU250" s="2" t="n">
        <v>-1163.032</v>
      </c>
      <c r="DV250" s="2" t="n">
        <v>0</v>
      </c>
      <c r="EA250" s="2" t="n">
        <v>454.9</v>
      </c>
      <c r="EB250" s="2" t="n">
        <v>153.5</v>
      </c>
      <c r="ED250" s="2" t="n">
        <v>115.4</v>
      </c>
      <c r="EE250" s="2" t="n">
        <v>79.90000000000001</v>
      </c>
      <c r="EG250" s="2" t="n">
        <v>82.90000000000001</v>
      </c>
      <c r="EH250" s="2" t="n">
        <v>100.9</v>
      </c>
      <c r="EL250" s="2" t="n">
        <v>2360</v>
      </c>
      <c r="EQ250" s="2" t="n">
        <v>199.2</v>
      </c>
      <c r="ER250" s="2" t="n">
        <v>147.7</v>
      </c>
      <c r="ET250" s="2" t="e">
        <v>#VALUE!</v>
      </c>
      <c r="EU250" s="2" t="n">
        <v>96.7</v>
      </c>
      <c r="EW250" s="2" t="n">
        <v>81.2</v>
      </c>
      <c r="EX250" s="2" t="n">
        <v>97.09999999999999</v>
      </c>
      <c r="FB250" s="2" t="n">
        <v>1396</v>
      </c>
      <c r="FG250" s="2" t="n">
        <v>406.9</v>
      </c>
      <c r="FH250" s="2" t="n">
        <v>295.8</v>
      </c>
      <c r="FJ250" s="2" t="e">
        <v>#VALUE!</v>
      </c>
      <c r="FK250" s="2" t="n">
        <v>199.6</v>
      </c>
      <c r="FM250" s="2" t="n">
        <v>165.9</v>
      </c>
      <c r="FN250" s="2" t="n">
        <v>206.6</v>
      </c>
      <c r="FR250" s="2" t="n">
        <v>2890.6</v>
      </c>
      <c r="FW250" s="2" t="n">
        <v>268.8</v>
      </c>
      <c r="FX250" s="2" t="e">
        <v>#VALUE!</v>
      </c>
      <c r="GA250" s="2" t="n">
        <v>61.1</v>
      </c>
      <c r="GC250" s="2" t="n">
        <v>70.2</v>
      </c>
      <c r="GD250" s="2" t="e">
        <v>#VALUE!</v>
      </c>
      <c r="GH250" s="2" t="n">
        <v>955.7</v>
      </c>
      <c r="GM250" s="2" t="e">
        <v>#VALUE!</v>
      </c>
      <c r="GN250" s="2" t="n">
        <v>27.1</v>
      </c>
      <c r="GP250" s="2" t="n">
        <v>2.7</v>
      </c>
      <c r="GQ250" s="2" t="n">
        <v>16.5</v>
      </c>
      <c r="GS250" s="2" t="e">
        <v>#VALUE!</v>
      </c>
      <c r="GT250" s="2" t="e">
        <v>#VALUE!</v>
      </c>
      <c r="GX250" s="2" t="n">
        <v>325</v>
      </c>
      <c r="GY250" s="2" t="n">
        <v>0.9683743990384615</v>
      </c>
      <c r="GZ250" s="2" t="n">
        <v>1289.1</v>
      </c>
      <c r="HA250" s="2" t="n">
        <v>1331.2</v>
      </c>
      <c r="HF250" s="2" t="n">
        <v>1477.7</v>
      </c>
      <c r="HG250" s="2" t="n">
        <v>1425.3</v>
      </c>
      <c r="HH250" s="2" t="n">
        <v>662.5</v>
      </c>
      <c r="HI250" s="2" t="n">
        <v>112.6</v>
      </c>
      <c r="HJ250" s="2" t="n">
        <v>639.4</v>
      </c>
      <c r="HK250" s="2" t="n">
        <v>10.9</v>
      </c>
      <c r="HL250" s="2" t="n">
        <v>52.3</v>
      </c>
      <c r="HP250" s="2" t="e">
        <v>#VALUE!</v>
      </c>
      <c r="HQ250" s="2" t="n">
        <v>5.9</v>
      </c>
      <c r="HR250" s="2" t="n">
        <v>8.1</v>
      </c>
      <c r="HS250" s="2" t="e">
        <v>#VALUE!</v>
      </c>
      <c r="HT250" s="2" t="n">
        <v>31</v>
      </c>
      <c r="HW250" s="2" t="n">
        <v>261.4</v>
      </c>
      <c r="HX250" s="2" t="e">
        <v>#VALUE!</v>
      </c>
      <c r="HY250" s="2" t="n">
        <v>261.4</v>
      </c>
      <c r="HZ250" s="2" t="n">
        <v>49.9</v>
      </c>
      <c r="IA250" s="2" t="n">
        <v>182.7</v>
      </c>
      <c r="IB250" s="2" t="n">
        <v>68.5</v>
      </c>
      <c r="IC250" s="2" t="n">
        <v>114.2</v>
      </c>
      <c r="ID250" s="2" t="e">
        <v>#VALUE!</v>
      </c>
      <c r="IE250" s="2" t="e">
        <v>#VALUE!</v>
      </c>
      <c r="IF250" s="2" t="n">
        <v>5.7</v>
      </c>
      <c r="IG250" s="2" t="n">
        <v>16.1</v>
      </c>
      <c r="IN250" s="2" t="n">
        <v>57.7</v>
      </c>
      <c r="IO250" s="2" t="n">
        <v>59.4</v>
      </c>
      <c r="IP250" s="2" t="e">
        <v>#VALUE!</v>
      </c>
      <c r="IQ250" s="2" t="n">
        <v>50.5</v>
      </c>
      <c r="IR250" s="2" t="n">
        <v>16.5</v>
      </c>
      <c r="IS250" s="2" t="e">
        <v>#VALUE!</v>
      </c>
      <c r="IT250" s="2" t="n">
        <v>31.7</v>
      </c>
      <c r="IU250" s="2" t="e">
        <v>#VALUE!</v>
      </c>
      <c r="IV250" s="2" t="e">
        <v>#VALUE!</v>
      </c>
      <c r="IY250" s="2" t="n">
        <v>47.65250454620598</v>
      </c>
      <c r="IZ250" s="2" t="n">
        <v>-0.03749545379401553</v>
      </c>
      <c r="JB250" s="2" t="n">
        <v>11.53909737146636</v>
      </c>
      <c r="JC250" s="2" t="n">
        <v>0.0790973714663572</v>
      </c>
      <c r="JE250" s="2" t="n">
        <v>1978.3</v>
      </c>
      <c r="JF250" s="2" t="n">
        <v>0.7854339584491736</v>
      </c>
    </row>
    <row r="251">
      <c r="A251" s="1" t="n">
        <v>36678</v>
      </c>
      <c r="B251" s="2" t="n">
        <v>3538.3</v>
      </c>
      <c r="C251" s="2" t="n">
        <v>2352.5</v>
      </c>
      <c r="D251" s="2" t="n">
        <v>221.3</v>
      </c>
      <c r="E251" s="2" t="n">
        <v>370.5</v>
      </c>
      <c r="F251" s="2" t="n">
        <v>32.1</v>
      </c>
      <c r="G251" s="2" t="inlineStr">
        <is>
          <t>NA</t>
        </is>
      </c>
      <c r="H251" s="2" t="inlineStr">
        <is>
          <t>NA</t>
        </is>
      </c>
      <c r="I251" s="2" t="inlineStr">
        <is>
          <t>NA</t>
        </is>
      </c>
      <c r="J251" s="2" t="inlineStr">
        <is>
          <t>NA</t>
        </is>
      </c>
      <c r="K251" s="2" t="n">
        <v>1359.6</v>
      </c>
      <c r="L251" s="2" t="n">
        <v>2028.3</v>
      </c>
      <c r="M251" s="2" t="n">
        <v>1802.9</v>
      </c>
      <c r="N251" s="2" t="n">
        <v>225.4</v>
      </c>
      <c r="O251" s="2" t="n">
        <v>68.40000000000001</v>
      </c>
      <c r="P251" s="2" t="n">
        <v>100.9</v>
      </c>
      <c r="Q251" s="2" t="n">
        <v>18.6</v>
      </c>
      <c r="R251" s="2" t="n">
        <v>82.3</v>
      </c>
      <c r="T251" s="2" t="n">
        <v>28</v>
      </c>
      <c r="U251" s="2" t="n">
        <v>29.7</v>
      </c>
      <c r="V251" s="2" t="n">
        <v>25.7</v>
      </c>
      <c r="W251" s="2" t="n">
        <v>4</v>
      </c>
      <c r="X251" s="2" t="inlineStr">
        <is>
          <t>NA</t>
        </is>
      </c>
      <c r="Y251" s="2" t="inlineStr">
        <is>
          <t>NA</t>
        </is>
      </c>
      <c r="Z251" s="2" t="n">
        <v>272.8</v>
      </c>
      <c r="AA251" s="2" t="n">
        <v>262.1</v>
      </c>
      <c r="AB251" s="2" t="n">
        <v>10.7</v>
      </c>
      <c r="AC251" s="2" t="inlineStr">
        <is>
          <t>NA</t>
        </is>
      </c>
      <c r="AD251" s="2" t="n">
        <v>36.9</v>
      </c>
      <c r="AF251" s="2" t="n">
        <v>199</v>
      </c>
      <c r="AG251" s="2" t="n">
        <v>176.5</v>
      </c>
      <c r="AH251" s="2" t="n">
        <v>22.5</v>
      </c>
      <c r="AI251" s="2" t="n">
        <v>207.9</v>
      </c>
      <c r="AL251" s="2" t="n">
        <v>280.4</v>
      </c>
      <c r="AM251" s="2" t="n">
        <v>178.6</v>
      </c>
      <c r="AN251" s="2" t="n">
        <v>101.8</v>
      </c>
      <c r="AO251" s="2" t="n">
        <v>2636.7</v>
      </c>
      <c r="AP251" s="2" t="n">
        <v>209.8</v>
      </c>
      <c r="AQ251" s="2" t="n">
        <v>208.7</v>
      </c>
      <c r="AR251" s="2" t="n">
        <v>50.4</v>
      </c>
      <c r="AS251" s="2" t="n">
        <v>106.4</v>
      </c>
      <c r="AT251" s="2" t="n">
        <v>79.2</v>
      </c>
      <c r="AU251" s="2" t="n">
        <v>61.9</v>
      </c>
      <c r="AV251" s="2" t="n">
        <v>34.7</v>
      </c>
      <c r="AW251" s="2" t="n">
        <v>19</v>
      </c>
      <c r="AX251" s="2" t="n">
        <v>3.5</v>
      </c>
      <c r="AY251" s="2" t="inlineStr">
        <is>
          <t>NA</t>
        </is>
      </c>
      <c r="AZ251" s="2" t="inlineStr">
        <is>
          <t>NA</t>
        </is>
      </c>
      <c r="BA251" s="2" t="inlineStr">
        <is>
          <t>NA</t>
        </is>
      </c>
      <c r="BB251" s="2" t="inlineStr">
        <is>
          <t>NA</t>
        </is>
      </c>
      <c r="BD251" s="2" t="n">
        <v>155.1</v>
      </c>
      <c r="BE251" s="2" t="n">
        <v>43.1</v>
      </c>
      <c r="BF251" s="2" t="n">
        <v>70.40000000000001</v>
      </c>
      <c r="BG251" s="2" t="n">
        <v>7.8</v>
      </c>
      <c r="BH251" s="2" t="n">
        <v>309.6</v>
      </c>
      <c r="BK251" s="2" t="n">
        <v>228.7</v>
      </c>
      <c r="BL251" s="2" t="n">
        <v>3.1</v>
      </c>
      <c r="BM251" s="2" t="n">
        <v>538.3</v>
      </c>
      <c r="BN251" s="2" t="n">
        <v>294.3</v>
      </c>
      <c r="BQ251" s="2" t="n">
        <v>163.6</v>
      </c>
      <c r="BR251" s="2" t="n">
        <v>0</v>
      </c>
      <c r="BS251" s="2" t="n">
        <v>457.9</v>
      </c>
      <c r="BT251" s="2" t="n">
        <v>29.2</v>
      </c>
      <c r="BU251" s="2" t="n">
        <v>18.9</v>
      </c>
      <c r="BV251" s="2" t="n">
        <v>329.4</v>
      </c>
      <c r="BW251" s="2" t="n">
        <v>108.1</v>
      </c>
      <c r="BX251" s="2" t="n">
        <v>437.5</v>
      </c>
      <c r="BY251" s="2" t="n">
        <v>39.5</v>
      </c>
      <c r="BZ251" s="2" t="n">
        <v>12.7</v>
      </c>
      <c r="CA251" s="2" t="n">
        <v>52.2</v>
      </c>
      <c r="CF251" s="2" t="n">
        <v>105.3</v>
      </c>
      <c r="CG251" s="2" t="n">
        <v>115.9</v>
      </c>
      <c r="CH251" s="2" t="n">
        <v>6.7</v>
      </c>
      <c r="CK251" s="2" t="n">
        <v>358.9</v>
      </c>
      <c r="CL251" s="2" t="n">
        <v>42.1</v>
      </c>
      <c r="CN251" s="2" t="n">
        <v>40.5</v>
      </c>
      <c r="CO251" s="2" t="n">
        <v>137.6</v>
      </c>
      <c r="CP251" s="2" t="n">
        <v>94.40000000000001</v>
      </c>
      <c r="CQ251" s="2" t="n">
        <v>43.2</v>
      </c>
      <c r="CR251" s="2" t="inlineStr">
        <is>
          <t>NA</t>
        </is>
      </c>
      <c r="CS251" s="2" t="n">
        <v>39.5</v>
      </c>
      <c r="CT251" s="2" t="n">
        <v>25.9</v>
      </c>
      <c r="CU251" s="2" t="n">
        <v>13.6</v>
      </c>
      <c r="CV251" s="2" t="n">
        <v>65.5</v>
      </c>
      <c r="CW251" s="2" t="n">
        <v>12.6</v>
      </c>
      <c r="CX251" s="2" t="n">
        <v>52.9</v>
      </c>
      <c r="CY251" s="2" t="inlineStr">
        <is>
          <t>NA</t>
        </is>
      </c>
      <c r="CZ251" s="2" t="n">
        <v>53.9</v>
      </c>
      <c r="DA251" s="2" t="n">
        <v>68.2</v>
      </c>
      <c r="DB251" s="2" t="n">
        <v>66.8</v>
      </c>
      <c r="DC251" s="2" t="n">
        <v>1.4</v>
      </c>
      <c r="DI251" s="2" t="n">
        <v>570.2</v>
      </c>
      <c r="DJ251" s="2" t="n">
        <v>335.4</v>
      </c>
      <c r="DM251" s="2" t="n">
        <v>253.1</v>
      </c>
      <c r="DO251" s="2" t="n">
        <v>229.7</v>
      </c>
      <c r="DP251" s="2" t="n">
        <v>288.8</v>
      </c>
      <c r="DS251" s="2" t="n">
        <v>673.641</v>
      </c>
      <c r="DT251" s="2" t="n">
        <v>3538.3</v>
      </c>
      <c r="DU251" s="2" t="n">
        <v>-1187.459</v>
      </c>
      <c r="DV251" s="2" t="n">
        <v>0</v>
      </c>
      <c r="EA251" s="2" t="n">
        <v>472.4</v>
      </c>
      <c r="EB251" s="2" t="n">
        <v>128.8</v>
      </c>
      <c r="ED251" s="2" t="n">
        <v>101.9</v>
      </c>
      <c r="EE251" s="2" t="n">
        <v>93</v>
      </c>
      <c r="EG251" s="2" t="n">
        <v>69</v>
      </c>
      <c r="EH251" s="2" t="n">
        <v>67.40000000000001</v>
      </c>
      <c r="EL251" s="2" t="n">
        <v>2352.5</v>
      </c>
      <c r="EQ251" s="2" t="n">
        <v>223.9</v>
      </c>
      <c r="ER251" s="2" t="n">
        <v>129.4</v>
      </c>
      <c r="ET251" s="2" t="e">
        <v>#VALUE!</v>
      </c>
      <c r="EU251" s="2" t="n">
        <v>100.2</v>
      </c>
      <c r="EW251" s="2" t="n">
        <v>90.59999999999999</v>
      </c>
      <c r="EX251" s="2" t="n">
        <v>108.1</v>
      </c>
      <c r="FB251" s="2" t="n">
        <v>1359.6</v>
      </c>
      <c r="FG251" s="2" t="n">
        <v>455</v>
      </c>
      <c r="FH251" s="2" t="n">
        <v>270.6</v>
      </c>
      <c r="FJ251" s="2" t="e">
        <v>#VALUE!</v>
      </c>
      <c r="FK251" s="2" t="n">
        <v>206.8</v>
      </c>
      <c r="FM251" s="2" t="n">
        <v>187.6</v>
      </c>
      <c r="FN251" s="2" t="n">
        <v>234.4</v>
      </c>
      <c r="FR251" s="2" t="n">
        <v>2853.3</v>
      </c>
      <c r="FW251" s="2" t="n">
        <v>280.8</v>
      </c>
      <c r="FX251" s="2" t="e">
        <v>#VALUE!</v>
      </c>
      <c r="GA251" s="2" t="n">
        <v>76.3</v>
      </c>
      <c r="GC251" s="2" t="n">
        <v>77.3</v>
      </c>
      <c r="GD251" s="2" t="e">
        <v>#VALUE!</v>
      </c>
      <c r="GH251" s="2" t="n">
        <v>1040.2</v>
      </c>
      <c r="GM251" s="2" t="e">
        <v>#VALUE!</v>
      </c>
      <c r="GN251" s="2" t="n">
        <v>17</v>
      </c>
      <c r="GP251" s="2" t="n">
        <v>4.9</v>
      </c>
      <c r="GQ251" s="2" t="n">
        <v>11.4</v>
      </c>
      <c r="GS251" s="2" t="e">
        <v>#VALUE!</v>
      </c>
      <c r="GT251" s="2" t="e">
        <v>#VALUE!</v>
      </c>
      <c r="GX251" s="2" t="n">
        <v>260.2</v>
      </c>
      <c r="GY251" s="2" t="n">
        <v>0.969530391079001</v>
      </c>
      <c r="GZ251" s="2" t="n">
        <v>1234.6</v>
      </c>
      <c r="HA251" s="2" t="n">
        <v>1273.4</v>
      </c>
      <c r="HF251" s="2" t="n">
        <v>1413.3</v>
      </c>
      <c r="HG251" s="2" t="n">
        <v>1362.7</v>
      </c>
      <c r="HH251" s="2" t="n">
        <v>657.5</v>
      </c>
      <c r="HI251" s="2" t="n">
        <v>104.5</v>
      </c>
      <c r="HJ251" s="2" t="n">
        <v>590.2</v>
      </c>
      <c r="HK251" s="2" t="n">
        <v>10.5</v>
      </c>
      <c r="HL251" s="2" t="n">
        <v>50.6</v>
      </c>
      <c r="HP251" s="2" t="e">
        <v>#VALUE!</v>
      </c>
      <c r="HQ251" s="2" t="n">
        <v>5.6</v>
      </c>
      <c r="HR251" s="2" t="n">
        <v>7.6</v>
      </c>
      <c r="HS251" s="2" t="e">
        <v>#VALUE!</v>
      </c>
      <c r="HT251" s="2" t="n">
        <v>31.6</v>
      </c>
      <c r="HW251" s="2" t="n">
        <v>252.5</v>
      </c>
      <c r="HX251" s="2" t="e">
        <v>#VALUE!</v>
      </c>
      <c r="HY251" s="2" t="n">
        <v>252.5</v>
      </c>
      <c r="HZ251" s="2" t="n">
        <v>47.7</v>
      </c>
      <c r="IA251" s="2" t="n">
        <v>176.5</v>
      </c>
      <c r="IB251" s="2" t="n">
        <v>62.1</v>
      </c>
      <c r="IC251" s="2" t="n">
        <v>114.4</v>
      </c>
      <c r="ID251" s="2" t="e">
        <v>#VALUE!</v>
      </c>
      <c r="IE251" s="2" t="e">
        <v>#VALUE!</v>
      </c>
      <c r="IF251" s="2" t="n">
        <v>7</v>
      </c>
      <c r="IG251" s="2" t="n">
        <v>14.2</v>
      </c>
      <c r="IN251" s="2" t="n">
        <v>48.6</v>
      </c>
      <c r="IO251" s="2" t="n">
        <v>49.8</v>
      </c>
      <c r="IP251" s="2" t="e">
        <v>#VALUE!</v>
      </c>
      <c r="IQ251" s="2" t="n">
        <v>43</v>
      </c>
      <c r="IR251" s="2" t="n">
        <v>15.5</v>
      </c>
      <c r="IS251" s="2" t="n">
        <v>0.6</v>
      </c>
      <c r="IT251" s="2" t="e">
        <v>#VALUE!</v>
      </c>
      <c r="IU251" s="2" t="e">
        <v>#VALUE!</v>
      </c>
      <c r="IV251" s="2" t="e">
        <v>#VALUE!</v>
      </c>
      <c r="IY251" s="2" t="n">
        <v>48.25028968713788</v>
      </c>
      <c r="IZ251" s="2" t="n">
        <v>-0.02971031286212167</v>
      </c>
      <c r="JB251" s="2" t="n">
        <v>11.52756973687929</v>
      </c>
      <c r="JC251" s="2" t="n">
        <v>-0.0724302631207081</v>
      </c>
      <c r="JE251" s="2" t="n">
        <v>2028.3</v>
      </c>
      <c r="JF251" s="2" t="n">
        <v>0.7724000394418972</v>
      </c>
    </row>
    <row r="252">
      <c r="A252" s="1" t="n">
        <v>36708</v>
      </c>
      <c r="B252" s="2" t="n">
        <v>3906.3</v>
      </c>
      <c r="C252" s="2" t="n">
        <v>1564.4</v>
      </c>
      <c r="D252" s="2" t="n">
        <v>153.5</v>
      </c>
      <c r="E252" s="2" t="n">
        <v>274.4</v>
      </c>
      <c r="F252" s="2" t="n">
        <v>27.6</v>
      </c>
      <c r="G252" s="2" t="inlineStr">
        <is>
          <t>NA</t>
        </is>
      </c>
      <c r="H252" s="2" t="inlineStr">
        <is>
          <t>NA</t>
        </is>
      </c>
      <c r="I252" s="2" t="inlineStr">
        <is>
          <t>NA</t>
        </is>
      </c>
      <c r="J252" s="2" t="inlineStr">
        <is>
          <t>NA</t>
        </is>
      </c>
      <c r="K252" s="2" t="n">
        <v>1485.5</v>
      </c>
      <c r="L252" s="2" t="n">
        <v>2120.4</v>
      </c>
      <c r="M252" s="2" t="n">
        <v>1903.7</v>
      </c>
      <c r="N252" s="2" t="n">
        <v>216.7</v>
      </c>
      <c r="O252" s="2" t="n">
        <v>48</v>
      </c>
      <c r="P252" s="2" t="n">
        <v>79</v>
      </c>
      <c r="Q252" s="2" t="n">
        <v>14.8</v>
      </c>
      <c r="R252" s="2" t="n">
        <v>64.2</v>
      </c>
      <c r="T252" s="2" t="n">
        <v>24.1</v>
      </c>
      <c r="U252" s="2" t="n">
        <v>50.1</v>
      </c>
      <c r="V252" s="2" t="n">
        <v>44.7</v>
      </c>
      <c r="W252" s="2" t="n">
        <v>5.4</v>
      </c>
      <c r="X252" s="2" t="inlineStr">
        <is>
          <t>NA</t>
        </is>
      </c>
      <c r="Y252" s="2" t="inlineStr">
        <is>
          <t>NA</t>
        </is>
      </c>
      <c r="Z252" s="2" t="n">
        <v>229.3</v>
      </c>
      <c r="AA252" s="2" t="n">
        <v>217.3</v>
      </c>
      <c r="AB252" s="2" t="n">
        <v>12</v>
      </c>
      <c r="AC252" s="2" t="inlineStr">
        <is>
          <t>NA</t>
        </is>
      </c>
      <c r="AD252" s="2" t="n">
        <v>43.4</v>
      </c>
      <c r="AF252" s="2" t="n">
        <v>162.6</v>
      </c>
      <c r="AG252" s="2" t="n">
        <v>140.9</v>
      </c>
      <c r="AH252" s="2" t="n">
        <v>21.7</v>
      </c>
      <c r="AI252" s="2" t="n">
        <v>225.2</v>
      </c>
      <c r="AL252" s="2" t="n">
        <v>276.3</v>
      </c>
      <c r="AM252" s="2" t="n">
        <v>166.7</v>
      </c>
      <c r="AN252" s="2" t="n">
        <v>109.6</v>
      </c>
      <c r="AO252" s="2" t="n">
        <v>2890.1</v>
      </c>
      <c r="AP252" s="2" t="n">
        <v>251.8</v>
      </c>
      <c r="AQ252" s="2" t="n">
        <v>228.7</v>
      </c>
      <c r="AR252" s="2" t="n">
        <v>54</v>
      </c>
      <c r="AS252" s="2" t="n">
        <v>77.59999999999999</v>
      </c>
      <c r="AT252" s="2" t="n">
        <v>79.3</v>
      </c>
      <c r="AU252" s="2" t="n">
        <v>43.2</v>
      </c>
      <c r="AV252" s="2" t="n">
        <v>39.1</v>
      </c>
      <c r="AW252" s="2" t="n">
        <v>14.5</v>
      </c>
      <c r="AX252" s="2" t="n">
        <v>5.5</v>
      </c>
      <c r="AY252" s="2" t="inlineStr">
        <is>
          <t>NA</t>
        </is>
      </c>
      <c r="AZ252" s="2" t="inlineStr">
        <is>
          <t>NA</t>
        </is>
      </c>
      <c r="BA252" s="2" t="inlineStr">
        <is>
          <t>NA</t>
        </is>
      </c>
      <c r="BB252" s="2" t="inlineStr">
        <is>
          <t>NA</t>
        </is>
      </c>
      <c r="BD252" s="2" t="n">
        <v>147.7</v>
      </c>
      <c r="BE252" s="2" t="n">
        <v>40.1</v>
      </c>
      <c r="BF252" s="2" t="n">
        <v>63.5</v>
      </c>
      <c r="BG252" s="2" t="n">
        <v>7.7</v>
      </c>
      <c r="BH252" s="2" t="n">
        <v>289.5</v>
      </c>
      <c r="BK252" s="2" t="n">
        <v>218.8</v>
      </c>
      <c r="BL252" s="2" t="n">
        <v>2.3</v>
      </c>
      <c r="BM252" s="2" t="n">
        <v>508.2</v>
      </c>
      <c r="BN252" s="2" t="n">
        <v>283.4</v>
      </c>
      <c r="BQ252" s="2" t="n">
        <v>158.7</v>
      </c>
      <c r="BR252" s="2" t="n">
        <v>1.2</v>
      </c>
      <c r="BS252" s="2" t="n">
        <v>443.3</v>
      </c>
      <c r="BT252" s="2" t="n">
        <v>26.4</v>
      </c>
      <c r="BU252" s="2" t="n">
        <v>19.1</v>
      </c>
      <c r="BV252" s="2" t="n">
        <v>307.9</v>
      </c>
      <c r="BW252" s="2" t="n">
        <v>107.1</v>
      </c>
      <c r="BX252" s="2" t="n">
        <v>415</v>
      </c>
      <c r="BY252" s="2" t="n">
        <v>39.7</v>
      </c>
      <c r="BZ252" s="2" t="n">
        <v>14.2</v>
      </c>
      <c r="CA252" s="2" t="n">
        <v>53.90000000000001</v>
      </c>
      <c r="CF252" s="2" t="n">
        <v>99.8</v>
      </c>
      <c r="CG252" s="2" t="n">
        <v>123.6</v>
      </c>
      <c r="CH252" s="2" t="n">
        <v>10.1</v>
      </c>
      <c r="CK252" s="2" t="n">
        <v>319.7</v>
      </c>
      <c r="CL252" s="2" t="n">
        <v>41.5</v>
      </c>
      <c r="CN252" s="2" t="n">
        <v>47.2</v>
      </c>
      <c r="CO252" s="2" t="n">
        <v>164.3</v>
      </c>
      <c r="CP252" s="2" t="n">
        <v>105.8</v>
      </c>
      <c r="CQ252" s="2" t="n">
        <v>58.5</v>
      </c>
      <c r="CR252" s="2" t="inlineStr">
        <is>
          <t>NA</t>
        </is>
      </c>
      <c r="CS252" s="2" t="n">
        <v>42.5</v>
      </c>
      <c r="CT252" s="2" t="n">
        <v>24.3</v>
      </c>
      <c r="CU252" s="2" t="n">
        <v>18.2</v>
      </c>
      <c r="CV252" s="2" t="n">
        <v>74.8</v>
      </c>
      <c r="CW252" s="2" t="n">
        <v>10.7</v>
      </c>
      <c r="CX252" s="2" t="n">
        <v>64.09999999999999</v>
      </c>
      <c r="CY252" s="2" t="inlineStr">
        <is>
          <t>NA</t>
        </is>
      </c>
      <c r="CZ252" s="2" t="n">
        <v>90.09999999999999</v>
      </c>
      <c r="DA252" s="2" t="n">
        <v>39</v>
      </c>
      <c r="DB252" s="2" t="n">
        <v>38.5</v>
      </c>
      <c r="DC252" s="2" t="n">
        <v>0.5</v>
      </c>
      <c r="DI252" s="2" t="n">
        <v>585.5</v>
      </c>
      <c r="DJ252" s="2" t="n">
        <v>339.9</v>
      </c>
      <c r="DM252" s="2" t="n">
        <v>267.1</v>
      </c>
      <c r="DO252" s="2" t="n">
        <v>211.4</v>
      </c>
      <c r="DP252" s="2" t="n">
        <v>285.7</v>
      </c>
      <c r="DS252" s="2" t="n">
        <v>938.76</v>
      </c>
      <c r="DT252" s="2" t="n">
        <v>3906.3</v>
      </c>
      <c r="DU252" s="2" t="n">
        <v>-1277.94</v>
      </c>
      <c r="DV252" s="2" t="n">
        <v>0</v>
      </c>
      <c r="EA252" s="2" t="n">
        <v>274.3</v>
      </c>
      <c r="EB252" s="2" t="n">
        <v>72.09999999999999</v>
      </c>
      <c r="ED252" s="2" t="n">
        <v>50.7</v>
      </c>
      <c r="EE252" s="2" t="n">
        <v>48.7</v>
      </c>
      <c r="EG252" s="2" t="n">
        <v>63.1</v>
      </c>
      <c r="EH252" s="2" t="n">
        <v>63.3</v>
      </c>
      <c r="EL252" s="2" t="n">
        <v>1564.4</v>
      </c>
      <c r="EQ252" s="2" t="n">
        <v>228.9</v>
      </c>
      <c r="ER252" s="2" t="n">
        <v>127.7</v>
      </c>
      <c r="ET252" s="2" t="e">
        <v>#VALUE!</v>
      </c>
      <c r="EU252" s="2" t="n">
        <v>103</v>
      </c>
      <c r="EW252" s="2" t="n">
        <v>85.7</v>
      </c>
      <c r="EX252" s="2" t="n">
        <v>105.7</v>
      </c>
      <c r="FB252" s="2" t="n">
        <v>1485.5</v>
      </c>
      <c r="FG252" s="2" t="n">
        <v>466.5</v>
      </c>
      <c r="FH252" s="2" t="n">
        <v>281</v>
      </c>
      <c r="FJ252" s="2" t="e">
        <v>#VALUE!</v>
      </c>
      <c r="FK252" s="2" t="n">
        <v>212.1</v>
      </c>
      <c r="FM252" s="2" t="n">
        <v>168.3</v>
      </c>
      <c r="FN252" s="2" t="n">
        <v>228.1</v>
      </c>
      <c r="FR252" s="2" t="n">
        <v>3127.7</v>
      </c>
      <c r="FW252" s="2" t="n">
        <v>292.2</v>
      </c>
      <c r="FX252" s="2" t="e">
        <v>#VALUE!</v>
      </c>
      <c r="GA252" s="2" t="n">
        <v>90.7</v>
      </c>
      <c r="GC252" s="2" t="n">
        <v>65.3</v>
      </c>
      <c r="GD252" s="2" t="e">
        <v>#VALUE!</v>
      </c>
      <c r="GH252" s="2" t="n">
        <v>1096.4</v>
      </c>
      <c r="GM252" s="2" t="e">
        <v>#VALUE!</v>
      </c>
      <c r="GN252" s="2" t="n">
        <v>30.2</v>
      </c>
      <c r="GP252" s="2" t="n">
        <v>4.2</v>
      </c>
      <c r="GQ252" s="2" t="n">
        <v>15.1</v>
      </c>
      <c r="GS252" s="2" t="e">
        <v>#VALUE!</v>
      </c>
      <c r="GT252" s="2" t="e">
        <v>#VALUE!</v>
      </c>
      <c r="GX252" s="2" t="n">
        <v>305.8</v>
      </c>
      <c r="GY252" s="2" t="n">
        <v>0.9707953272523604</v>
      </c>
      <c r="GZ252" s="2" t="n">
        <v>1213.3</v>
      </c>
      <c r="HA252" s="2" t="n">
        <v>1249.8</v>
      </c>
      <c r="HF252" s="2" t="n">
        <v>1397.3</v>
      </c>
      <c r="HG252" s="2" t="n">
        <v>1347.9</v>
      </c>
      <c r="HH252" s="2" t="n">
        <v>651.2</v>
      </c>
      <c r="HI252" s="2" t="n">
        <v>91.09999999999999</v>
      </c>
      <c r="HJ252" s="2" t="n">
        <v>595.3</v>
      </c>
      <c r="HK252" s="2" t="n">
        <v>10.2</v>
      </c>
      <c r="HL252" s="2" t="n">
        <v>49.5</v>
      </c>
      <c r="HP252" s="2" t="e">
        <v>#VALUE!</v>
      </c>
      <c r="HQ252" s="2" t="n">
        <v>5.5</v>
      </c>
      <c r="HR252" s="2" t="n">
        <v>8.5</v>
      </c>
      <c r="HS252" s="2" t="e">
        <v>#VALUE!</v>
      </c>
      <c r="HT252" s="2" t="n">
        <v>28.1</v>
      </c>
      <c r="HW252" s="2" t="n">
        <v>234.4</v>
      </c>
      <c r="HX252" s="2" t="e">
        <v>#VALUE!</v>
      </c>
      <c r="HY252" s="2" t="n">
        <v>234.4</v>
      </c>
      <c r="HZ252" s="2" t="n">
        <v>43.4</v>
      </c>
      <c r="IA252" s="2" t="n">
        <v>167.6</v>
      </c>
      <c r="IB252" s="2" t="n">
        <v>57.3</v>
      </c>
      <c r="IC252" s="2" t="n">
        <v>110.3</v>
      </c>
      <c r="ID252" s="2" t="e">
        <v>#VALUE!</v>
      </c>
      <c r="IE252" s="2" t="e">
        <v>#VALUE!</v>
      </c>
      <c r="IF252" s="2" t="n">
        <v>7.3</v>
      </c>
      <c r="IG252" s="2" t="n">
        <v>12</v>
      </c>
      <c r="IN252" s="2" t="n">
        <v>28.7</v>
      </c>
      <c r="IO252" s="2" t="n">
        <v>29.3</v>
      </c>
      <c r="IP252" s="2" t="e">
        <v>#VALUE!</v>
      </c>
      <c r="IQ252" s="2" t="n">
        <v>46.6</v>
      </c>
      <c r="IR252" s="2" t="n">
        <v>14.6</v>
      </c>
      <c r="IS252" s="2" t="e">
        <v>#VALUE!</v>
      </c>
      <c r="IT252" s="2" t="n">
        <v>30.5</v>
      </c>
      <c r="IU252" s="2" t="e">
        <v>#VALUE!</v>
      </c>
      <c r="IV252" s="2" t="e">
        <v>#VALUE!</v>
      </c>
      <c r="IY252" s="2" t="n">
        <v>47.90415482681821</v>
      </c>
      <c r="IZ252" s="2" t="n">
        <v>0.1541548268182069</v>
      </c>
      <c r="JB252" s="2" t="n">
        <v>11.40849397127717</v>
      </c>
      <c r="JC252" s="2" t="n">
        <v>-0.05150602872283372</v>
      </c>
      <c r="JE252" s="2" t="n">
        <v>2120.4</v>
      </c>
      <c r="JF252" s="2" t="n">
        <v>0.7667812676853424</v>
      </c>
    </row>
    <row r="253">
      <c r="A253" s="1" t="n">
        <v>36739</v>
      </c>
      <c r="B253" s="2" t="n">
        <v>3655.3</v>
      </c>
      <c r="C253" s="2" t="n">
        <v>1453.7</v>
      </c>
      <c r="D253" s="2" t="n">
        <v>170.8</v>
      </c>
      <c r="E253" s="2" t="n">
        <v>220.2</v>
      </c>
      <c r="F253" s="2" t="n">
        <v>32.8</v>
      </c>
      <c r="G253" s="2" t="inlineStr">
        <is>
          <t>NA</t>
        </is>
      </c>
      <c r="H253" s="2" t="inlineStr">
        <is>
          <t>NA</t>
        </is>
      </c>
      <c r="I253" s="2" t="inlineStr">
        <is>
          <t>NA</t>
        </is>
      </c>
      <c r="J253" s="2" t="inlineStr">
        <is>
          <t>NA</t>
        </is>
      </c>
      <c r="K253" s="2" t="n">
        <v>1388</v>
      </c>
      <c r="L253" s="2" t="n">
        <v>2018.1</v>
      </c>
      <c r="M253" s="2" t="n">
        <v>1831.3</v>
      </c>
      <c r="N253" s="2" t="n">
        <v>186.8</v>
      </c>
      <c r="O253" s="2" t="n">
        <v>55.2</v>
      </c>
      <c r="P253" s="2" t="n">
        <v>60</v>
      </c>
      <c r="Q253" s="2" t="n">
        <v>15.9</v>
      </c>
      <c r="R253" s="2" t="n">
        <v>44.1</v>
      </c>
      <c r="T253" s="2" t="n">
        <v>28.8</v>
      </c>
      <c r="U253" s="2" t="n">
        <v>42.90000000000001</v>
      </c>
      <c r="V253" s="2" t="n">
        <v>38.2</v>
      </c>
      <c r="W253" s="2" t="n">
        <v>4.7</v>
      </c>
      <c r="X253" s="2" t="inlineStr">
        <is>
          <t>NA</t>
        </is>
      </c>
      <c r="Y253" s="2" t="inlineStr">
        <is>
          <t>NA</t>
        </is>
      </c>
      <c r="Z253" s="2" t="n">
        <v>204</v>
      </c>
      <c r="AA253" s="2" t="n">
        <v>191.6</v>
      </c>
      <c r="AB253" s="2" t="n">
        <v>12.4</v>
      </c>
      <c r="AC253" s="2" t="inlineStr">
        <is>
          <t>NA</t>
        </is>
      </c>
      <c r="AD253" s="2" t="n">
        <v>41.4</v>
      </c>
      <c r="AF253" s="2" t="n">
        <v>175.4</v>
      </c>
      <c r="AG253" s="2" t="n">
        <v>149.4</v>
      </c>
      <c r="AH253" s="2" t="n">
        <v>26</v>
      </c>
      <c r="AI253" s="2" t="n">
        <v>221.9</v>
      </c>
      <c r="AL253" s="2" t="n">
        <v>265.9</v>
      </c>
      <c r="AM253" s="2" t="n">
        <v>149.6</v>
      </c>
      <c r="AN253" s="2" t="n">
        <v>116.3</v>
      </c>
      <c r="AO253" s="2" t="n">
        <v>2693.6</v>
      </c>
      <c r="AP253" s="2" t="n">
        <v>177.8</v>
      </c>
      <c r="AQ253" s="2" t="n">
        <v>213.2</v>
      </c>
      <c r="AR253" s="2" t="n">
        <v>48.1</v>
      </c>
      <c r="AS253" s="2" t="n">
        <v>74.2</v>
      </c>
      <c r="AT253" s="2" t="n">
        <v>49</v>
      </c>
      <c r="AU253" s="2" t="n">
        <v>47.1</v>
      </c>
      <c r="AV253" s="2" t="n">
        <v>27.3</v>
      </c>
      <c r="AW253" s="2" t="n">
        <v>18</v>
      </c>
      <c r="AX253" s="2" t="n">
        <v>6</v>
      </c>
      <c r="AY253" s="2" t="inlineStr">
        <is>
          <t>NA</t>
        </is>
      </c>
      <c r="AZ253" s="2" t="inlineStr">
        <is>
          <t>NA</t>
        </is>
      </c>
      <c r="BA253" s="2" t="inlineStr">
        <is>
          <t>NA</t>
        </is>
      </c>
      <c r="BB253" s="2" t="inlineStr">
        <is>
          <t>NA</t>
        </is>
      </c>
      <c r="BD253" s="2" t="n">
        <v>166.6</v>
      </c>
      <c r="BE253" s="2" t="n">
        <v>38.4</v>
      </c>
      <c r="BF253" s="2" t="n">
        <v>74</v>
      </c>
      <c r="BG253" s="2" t="n">
        <v>6.7</v>
      </c>
      <c r="BH253" s="2" t="n">
        <v>326.6</v>
      </c>
      <c r="BK253" s="2" t="n">
        <v>228.7</v>
      </c>
      <c r="BL253" s="2" t="n">
        <v>2.7</v>
      </c>
      <c r="BM253" s="2" t="n">
        <v>555.3</v>
      </c>
      <c r="BN253" s="2" t="n">
        <v>256.1</v>
      </c>
      <c r="BQ253" s="2" t="n">
        <v>171.4</v>
      </c>
      <c r="BR253" s="2" t="n">
        <v>0</v>
      </c>
      <c r="BS253" s="2" t="n">
        <v>427.5</v>
      </c>
      <c r="BT253" s="2" t="n">
        <v>26.6</v>
      </c>
      <c r="BU253" s="2" t="n">
        <v>17.4</v>
      </c>
      <c r="BV253" s="2" t="n">
        <v>338</v>
      </c>
      <c r="BW253" s="2" t="n">
        <v>117.7</v>
      </c>
      <c r="BX253" s="2" t="n">
        <v>455.7</v>
      </c>
      <c r="BY253" s="2" t="n">
        <v>45.6</v>
      </c>
      <c r="BZ253" s="2" t="n">
        <v>13.5</v>
      </c>
      <c r="CA253" s="2" t="n">
        <v>59.1</v>
      </c>
      <c r="CF253" s="2" t="n">
        <v>98</v>
      </c>
      <c r="CG253" s="2" t="n">
        <v>106.3</v>
      </c>
      <c r="CH253" s="2" t="n">
        <v>6.5</v>
      </c>
      <c r="CK253" s="2" t="n">
        <v>349.2</v>
      </c>
      <c r="CL253" s="2" t="n">
        <v>44</v>
      </c>
      <c r="CN253" s="2" t="n">
        <v>48</v>
      </c>
      <c r="CO253" s="2" t="n">
        <v>161.4</v>
      </c>
      <c r="CP253" s="2" t="n">
        <v>114.3</v>
      </c>
      <c r="CQ253" s="2" t="n">
        <v>47.1</v>
      </c>
      <c r="CR253" s="2" t="inlineStr">
        <is>
          <t>NA</t>
        </is>
      </c>
      <c r="CS253" s="2" t="n">
        <v>41.3</v>
      </c>
      <c r="CT253" s="2" t="n">
        <v>24.7</v>
      </c>
      <c r="CU253" s="2" t="n">
        <v>16.6</v>
      </c>
      <c r="CV253" s="2" t="n">
        <v>59.1</v>
      </c>
      <c r="CW253" s="2" t="n">
        <v>3.4</v>
      </c>
      <c r="CX253" s="2" t="n">
        <v>55.7</v>
      </c>
      <c r="CY253" s="2" t="inlineStr">
        <is>
          <t>NA</t>
        </is>
      </c>
      <c r="CZ253" s="2" t="n">
        <v>65.5</v>
      </c>
      <c r="DA253" s="2" t="n">
        <v>41.3</v>
      </c>
      <c r="DB253" s="2" t="n">
        <v>39.7</v>
      </c>
      <c r="DC253" s="2" t="n">
        <v>1.6</v>
      </c>
      <c r="DI253" s="2" t="n">
        <v>542.7</v>
      </c>
      <c r="DJ253" s="2" t="n">
        <v>285.6</v>
      </c>
      <c r="DM253" s="2" t="n">
        <v>259.7</v>
      </c>
      <c r="DO253" s="2" t="n">
        <v>205.8</v>
      </c>
      <c r="DP253" s="2" t="n">
        <v>252.9</v>
      </c>
      <c r="DS253" s="2" t="n">
        <v>911.443</v>
      </c>
      <c r="DT253" s="2" t="n">
        <v>3655.3</v>
      </c>
      <c r="DU253" s="2" t="n">
        <v>-1197.157</v>
      </c>
      <c r="DV253" s="2" t="n">
        <v>0</v>
      </c>
      <c r="EA253" s="2" t="n">
        <v>325.9</v>
      </c>
      <c r="EB253" s="2" t="n">
        <v>66.7</v>
      </c>
      <c r="ED253" s="2" t="n">
        <v>47.4</v>
      </c>
      <c r="EE253" s="2" t="n">
        <v>61</v>
      </c>
      <c r="EG253" s="2" t="n">
        <v>63.7</v>
      </c>
      <c r="EH253" s="2" t="n">
        <v>48.1</v>
      </c>
      <c r="EL253" s="2" t="n">
        <v>1453.7</v>
      </c>
      <c r="EQ253" s="2" t="n">
        <v>211.9</v>
      </c>
      <c r="ER253" s="2" t="n">
        <v>109.6</v>
      </c>
      <c r="ET253" s="2" t="e">
        <v>#VALUE!</v>
      </c>
      <c r="EU253" s="2" t="n">
        <v>100</v>
      </c>
      <c r="EW253" s="2" t="n">
        <v>79.90000000000001</v>
      </c>
      <c r="EX253" s="2" t="n">
        <v>93.09999999999999</v>
      </c>
      <c r="FB253" s="2" t="n">
        <v>1388</v>
      </c>
      <c r="FG253" s="2" t="n">
        <v>430.5</v>
      </c>
      <c r="FH253" s="2" t="n">
        <v>230.9</v>
      </c>
      <c r="FJ253" s="2" t="e">
        <v>#VALUE!</v>
      </c>
      <c r="FK253" s="2" t="n">
        <v>209.8</v>
      </c>
      <c r="FM253" s="2" t="n">
        <v>163.4</v>
      </c>
      <c r="FN253" s="2" t="n">
        <v>200.6</v>
      </c>
      <c r="FR253" s="2" t="n">
        <v>2915.5</v>
      </c>
      <c r="FW253" s="2" t="n">
        <v>258.2</v>
      </c>
      <c r="FX253" s="2" t="e">
        <v>#VALUE!</v>
      </c>
      <c r="GA253" s="2" t="n">
        <v>94.90000000000001</v>
      </c>
      <c r="GC253" s="2" t="n">
        <v>68.5</v>
      </c>
      <c r="GD253" s="2" t="e">
        <v>#VALUE!</v>
      </c>
      <c r="GH253" s="2" t="n">
        <v>1007.9</v>
      </c>
      <c r="GM253" s="2" t="e">
        <v>#VALUE!</v>
      </c>
      <c r="GN253" s="2" t="n">
        <v>10.7</v>
      </c>
      <c r="GP253" s="2" t="n">
        <v>6.9</v>
      </c>
      <c r="GQ253" s="2" t="n">
        <v>6.7</v>
      </c>
      <c r="GS253" s="2" t="n">
        <v>4.8</v>
      </c>
      <c r="GT253" s="2" t="e">
        <v>#VALUE!</v>
      </c>
      <c r="GX253" s="2" t="n">
        <v>225.9</v>
      </c>
      <c r="GY253" s="2" t="n">
        <v>0.9629519857735626</v>
      </c>
      <c r="GZ253" s="2" t="n">
        <v>1299.6</v>
      </c>
      <c r="HA253" s="2" t="n">
        <v>1349.6</v>
      </c>
      <c r="HF253" s="2" t="n">
        <v>1529.9</v>
      </c>
      <c r="HG253" s="2" t="n">
        <v>1488.7</v>
      </c>
      <c r="HH253" s="2" t="n">
        <v>731.9</v>
      </c>
      <c r="HI253" s="2" t="n">
        <v>117.6</v>
      </c>
      <c r="HJ253" s="2" t="n">
        <v>627.1</v>
      </c>
      <c r="HK253" s="2" t="n">
        <v>12.2</v>
      </c>
      <c r="HL253" s="2" t="n">
        <v>41.2</v>
      </c>
      <c r="HP253" s="2" t="e">
        <v>#VALUE!</v>
      </c>
      <c r="HQ253" s="2" t="n">
        <v>6.6</v>
      </c>
      <c r="HR253" s="2" t="n">
        <v>6.5</v>
      </c>
      <c r="HS253" s="2" t="e">
        <v>#VALUE!</v>
      </c>
      <c r="HT253" s="2" t="n">
        <v>19.8</v>
      </c>
      <c r="HW253" s="2" t="n">
        <v>260.6</v>
      </c>
      <c r="HX253" s="2" t="e">
        <v>#VALUE!</v>
      </c>
      <c r="HY253" s="2" t="n">
        <v>260.6</v>
      </c>
      <c r="HZ253" s="2" t="n">
        <v>48.8</v>
      </c>
      <c r="IA253" s="2" t="n">
        <v>182.4</v>
      </c>
      <c r="IB253" s="2" t="n">
        <v>64.3</v>
      </c>
      <c r="IC253" s="2" t="n">
        <v>116.9</v>
      </c>
      <c r="ID253" s="2" t="e">
        <v>#VALUE!</v>
      </c>
      <c r="IE253" s="2" t="n">
        <v>1.2</v>
      </c>
      <c r="IF253" s="2" t="n">
        <v>8.199999999999999</v>
      </c>
      <c r="IG253" s="2" t="n">
        <v>13.8</v>
      </c>
      <c r="IN253" s="2" t="n">
        <v>50.7</v>
      </c>
      <c r="IO253" s="2" t="n">
        <v>53.8</v>
      </c>
      <c r="IP253" s="2" t="e">
        <v>#VALUE!</v>
      </c>
      <c r="IQ253" s="2" t="n">
        <v>53.3</v>
      </c>
      <c r="IR253" s="2" t="n">
        <v>18</v>
      </c>
      <c r="IS253" s="2" t="e">
        <v>#VALUE!</v>
      </c>
      <c r="IT253" s="2" t="n">
        <v>33.1</v>
      </c>
      <c r="IU253" s="2" t="e">
        <v>#VALUE!</v>
      </c>
      <c r="IV253" s="2" t="e">
        <v>#VALUE!</v>
      </c>
      <c r="IY253" s="2" t="n">
        <v>47.71373074713429</v>
      </c>
      <c r="IZ253" s="2" t="n">
        <v>0.003730747134291335</v>
      </c>
      <c r="JB253" s="2" t="n">
        <v>11.39167783766038</v>
      </c>
      <c r="JC253" s="2" t="n">
        <v>-0.09832216233961688</v>
      </c>
      <c r="JE253" s="2" t="n">
        <v>2018.1</v>
      </c>
      <c r="JF253" s="2" t="n">
        <v>0.8041573757494673</v>
      </c>
    </row>
    <row r="254">
      <c r="A254" s="1" t="n">
        <v>36770</v>
      </c>
      <c r="B254" s="2" t="n">
        <v>3866.6</v>
      </c>
      <c r="C254" s="2" t="n">
        <v>1702.9</v>
      </c>
      <c r="D254" s="2" t="n">
        <v>141.1</v>
      </c>
      <c r="E254" s="2" t="n">
        <v>535.6</v>
      </c>
      <c r="F254" s="2" t="n">
        <v>24.3</v>
      </c>
      <c r="G254" s="2" t="inlineStr">
        <is>
          <t>NA</t>
        </is>
      </c>
      <c r="H254" s="2" t="inlineStr">
        <is>
          <t>NA</t>
        </is>
      </c>
      <c r="I254" s="2" t="inlineStr">
        <is>
          <t>NA</t>
        </is>
      </c>
      <c r="J254" s="2" t="inlineStr">
        <is>
          <t>NA</t>
        </is>
      </c>
      <c r="K254" s="2" t="n">
        <v>1466</v>
      </c>
      <c r="L254" s="2" t="n">
        <v>1993.5</v>
      </c>
      <c r="M254" s="2" t="n">
        <v>1771.5</v>
      </c>
      <c r="N254" s="2" t="n">
        <v>222</v>
      </c>
      <c r="O254" s="2" t="n">
        <v>52</v>
      </c>
      <c r="P254" s="2" t="n">
        <v>49</v>
      </c>
      <c r="Q254" s="2" t="n">
        <v>10.8</v>
      </c>
      <c r="R254" s="2" t="n">
        <v>38.2</v>
      </c>
      <c r="T254" s="2" t="n">
        <v>21.5</v>
      </c>
      <c r="U254" s="2" t="n">
        <v>38.6</v>
      </c>
      <c r="V254" s="2" t="n">
        <v>35</v>
      </c>
      <c r="W254" s="2" t="n">
        <v>3.6</v>
      </c>
      <c r="X254" s="2" t="inlineStr">
        <is>
          <t>NA</t>
        </is>
      </c>
      <c r="Y254" s="2" t="n">
        <v>16.8</v>
      </c>
      <c r="Z254" s="2" t="n">
        <v>156.7</v>
      </c>
      <c r="AA254" s="2" t="n">
        <v>143.4</v>
      </c>
      <c r="AB254" s="2" t="n">
        <v>13.3</v>
      </c>
      <c r="AC254" s="2" t="inlineStr">
        <is>
          <t>NA</t>
        </is>
      </c>
      <c r="AD254" s="2" t="n">
        <v>32.7</v>
      </c>
      <c r="AF254" s="2" t="n">
        <v>206.3</v>
      </c>
      <c r="AG254" s="2" t="n">
        <v>177.5</v>
      </c>
      <c r="AH254" s="2" t="n">
        <v>28.8</v>
      </c>
      <c r="AI254" s="2" t="n">
        <v>206.5</v>
      </c>
      <c r="AL254" s="2" t="n">
        <v>267.3</v>
      </c>
      <c r="AM254" s="2" t="n">
        <v>143</v>
      </c>
      <c r="AN254" s="2" t="n">
        <v>124.3</v>
      </c>
      <c r="AO254" s="2" t="n">
        <v>2866.7</v>
      </c>
      <c r="AP254" s="2" t="n">
        <v>249.4</v>
      </c>
      <c r="AQ254" s="2" t="n">
        <v>223</v>
      </c>
      <c r="AR254" s="2" t="n">
        <v>43.4</v>
      </c>
      <c r="AS254" s="2" t="n">
        <v>79.2</v>
      </c>
      <c r="AT254" s="2" t="n">
        <v>20.8</v>
      </c>
      <c r="AU254" s="2" t="n">
        <v>43.2</v>
      </c>
      <c r="AV254" s="2" t="n">
        <v>12.6</v>
      </c>
      <c r="AW254" s="2" t="n">
        <v>13.8</v>
      </c>
      <c r="AX254" s="2" t="inlineStr">
        <is>
          <t>NA</t>
        </is>
      </c>
      <c r="AY254" s="2" t="inlineStr">
        <is>
          <t>NA</t>
        </is>
      </c>
      <c r="AZ254" s="2" t="inlineStr">
        <is>
          <t>NA</t>
        </is>
      </c>
      <c r="BA254" s="2" t="inlineStr">
        <is>
          <t>NA</t>
        </is>
      </c>
      <c r="BB254" s="2" t="inlineStr">
        <is>
          <t>NA</t>
        </is>
      </c>
      <c r="BD254" s="2" t="n">
        <v>152.6</v>
      </c>
      <c r="BE254" s="2" t="n">
        <v>40.2</v>
      </c>
      <c r="BF254" s="2" t="n">
        <v>64.3</v>
      </c>
      <c r="BG254" s="2" t="n">
        <v>6</v>
      </c>
      <c r="BH254" s="2" t="n">
        <v>301.1</v>
      </c>
      <c r="BK254" s="2" t="n">
        <v>220.1</v>
      </c>
      <c r="BL254" s="2" t="n">
        <v>2.6</v>
      </c>
      <c r="BM254" s="2" t="n">
        <v>521.2</v>
      </c>
      <c r="BN254" s="2" t="n">
        <v>254.4</v>
      </c>
      <c r="BQ254" s="2" t="n">
        <v>174.3</v>
      </c>
      <c r="BR254" s="2" t="n">
        <v>0</v>
      </c>
      <c r="BS254" s="2" t="n">
        <v>428.7</v>
      </c>
      <c r="BT254" s="2" t="n">
        <v>29</v>
      </c>
      <c r="BU254" s="2" t="n">
        <v>17.6</v>
      </c>
      <c r="BV254" s="2" t="n">
        <v>315.6</v>
      </c>
      <c r="BW254" s="2" t="n">
        <v>111</v>
      </c>
      <c r="BX254" s="2" t="n">
        <v>426.6</v>
      </c>
      <c r="BY254" s="2" t="n">
        <v>46.3</v>
      </c>
      <c r="BZ254" s="2" t="n">
        <v>15.1</v>
      </c>
      <c r="CA254" s="2" t="n">
        <v>61.4</v>
      </c>
      <c r="CF254" s="2" t="n">
        <v>92.09999999999999</v>
      </c>
      <c r="CG254" s="2" t="n">
        <v>102.8</v>
      </c>
      <c r="CH254" s="2" t="n">
        <v>7.3</v>
      </c>
      <c r="CK254" s="2" t="n">
        <v>316.5</v>
      </c>
      <c r="CL254" s="2" t="n">
        <v>37.6</v>
      </c>
      <c r="CN254" s="2" t="n">
        <v>31.5</v>
      </c>
      <c r="CO254" s="2" t="n">
        <v>136.4</v>
      </c>
      <c r="CP254" s="2" t="n">
        <v>85.5</v>
      </c>
      <c r="CQ254" s="2" t="n">
        <v>50.9</v>
      </c>
      <c r="CR254" s="2" t="inlineStr">
        <is>
          <t>NA</t>
        </is>
      </c>
      <c r="CS254" s="2" t="n">
        <v>54.3</v>
      </c>
      <c r="CT254" s="2" t="n">
        <v>37.9</v>
      </c>
      <c r="CU254" s="2" t="n">
        <v>16.4</v>
      </c>
      <c r="CV254" s="2" t="n">
        <v>56.7</v>
      </c>
      <c r="CW254" s="2" t="n">
        <v>6.1</v>
      </c>
      <c r="CX254" s="2" t="n">
        <v>50.6</v>
      </c>
      <c r="CY254" s="2" t="inlineStr">
        <is>
          <t>NA</t>
        </is>
      </c>
      <c r="CZ254" s="2" t="n">
        <v>48.1</v>
      </c>
      <c r="DA254" s="2" t="n">
        <v>34.5</v>
      </c>
      <c r="DB254" s="2" t="n">
        <v>32.9</v>
      </c>
      <c r="DC254" s="2" t="n">
        <v>1.6</v>
      </c>
      <c r="DI254" s="2" t="n">
        <v>631.6</v>
      </c>
      <c r="DJ254" s="2" t="n">
        <v>350.4</v>
      </c>
      <c r="DM254" s="2" t="n">
        <v>256.7</v>
      </c>
      <c r="DO254" s="2" t="n">
        <v>248.6</v>
      </c>
      <c r="DP254" s="2" t="n">
        <v>267.8</v>
      </c>
      <c r="DS254" s="2" t="n">
        <v>834.833</v>
      </c>
      <c r="DT254" s="2" t="n">
        <v>3866.6</v>
      </c>
      <c r="DU254" s="2" t="n">
        <v>-1276.667</v>
      </c>
      <c r="DV254" s="2" t="n">
        <v>0</v>
      </c>
      <c r="EA254" s="2" t="n">
        <v>474.8</v>
      </c>
      <c r="EB254" s="2" t="n">
        <v>93.90000000000001</v>
      </c>
      <c r="ED254" s="2" t="n">
        <v>70</v>
      </c>
      <c r="EE254" s="2" t="n">
        <v>101</v>
      </c>
      <c r="EG254" s="2" t="n">
        <v>57.2</v>
      </c>
      <c r="EH254" s="2" t="e">
        <v>#VALUE!</v>
      </c>
      <c r="EL254" s="2" t="n">
        <v>1702.9</v>
      </c>
      <c r="EQ254" s="2" t="n">
        <v>246.2</v>
      </c>
      <c r="ER254" s="2" t="n">
        <v>128</v>
      </c>
      <c r="ET254" s="2" t="e">
        <v>#VALUE!</v>
      </c>
      <c r="EU254" s="2" t="n">
        <v>97.90000000000001</v>
      </c>
      <c r="EW254" s="2" t="n">
        <v>95.8</v>
      </c>
      <c r="EX254" s="2" t="n">
        <v>100</v>
      </c>
      <c r="FB254" s="2" t="n">
        <v>1466</v>
      </c>
      <c r="FG254" s="2" t="n">
        <v>501.1</v>
      </c>
      <c r="FH254" s="2" t="n">
        <v>290</v>
      </c>
      <c r="FJ254" s="2" t="e">
        <v>#VALUE!</v>
      </c>
      <c r="FK254" s="2" t="n">
        <v>205</v>
      </c>
      <c r="FM254" s="2" t="n">
        <v>198.3</v>
      </c>
      <c r="FN254" s="2" t="n">
        <v>210.7</v>
      </c>
      <c r="FR254" s="2" t="n">
        <v>3097.8</v>
      </c>
      <c r="FW254" s="2" t="n">
        <v>264</v>
      </c>
      <c r="FX254" s="2" t="e">
        <v>#VALUE!</v>
      </c>
      <c r="GA254" s="2" t="n">
        <v>90.59999999999999</v>
      </c>
      <c r="GC254" s="2" t="n">
        <v>71.5</v>
      </c>
      <c r="GD254" s="2" t="e">
        <v>#VALUE!</v>
      </c>
      <c r="GH254" s="2" t="n">
        <v>993.8</v>
      </c>
      <c r="GM254" s="2" t="e">
        <v>#VALUE!</v>
      </c>
      <c r="GN254" s="2" t="n">
        <v>19.1</v>
      </c>
      <c r="GP254" s="2" t="e">
        <v>#VALUE!</v>
      </c>
      <c r="GQ254" s="2" t="n">
        <v>13.9</v>
      </c>
      <c r="GS254" s="2" t="e">
        <v>#VALUE!</v>
      </c>
      <c r="GT254" s="2" t="e">
        <v>#VALUE!</v>
      </c>
      <c r="GX254" s="2" t="n">
        <v>292.9</v>
      </c>
      <c r="GY254" s="2" t="n">
        <v>0.9715159197673553</v>
      </c>
      <c r="GZ254" s="2" t="n">
        <v>1302.9</v>
      </c>
      <c r="HA254" s="2" t="n">
        <v>1341.1</v>
      </c>
      <c r="HF254" s="2" t="n">
        <v>1444.6</v>
      </c>
      <c r="HG254" s="2" t="n">
        <v>1393.7</v>
      </c>
      <c r="HH254" s="2" t="n">
        <v>667.8</v>
      </c>
      <c r="HI254" s="2" t="n">
        <v>108.7</v>
      </c>
      <c r="HJ254" s="2" t="n">
        <v>605.9</v>
      </c>
      <c r="HK254" s="2" t="n">
        <v>11.3</v>
      </c>
      <c r="HL254" s="2" t="n">
        <v>50.9</v>
      </c>
      <c r="HP254" s="2" t="e">
        <v>#VALUE!</v>
      </c>
      <c r="HQ254" s="2" t="n">
        <v>7.7</v>
      </c>
      <c r="HR254" s="2" t="n">
        <v>7</v>
      </c>
      <c r="HS254" s="2" t="e">
        <v>#VALUE!</v>
      </c>
      <c r="HT254" s="2" t="n">
        <v>27.1</v>
      </c>
      <c r="HW254" s="2" t="n">
        <v>232.5</v>
      </c>
      <c r="HX254" s="2" t="e">
        <v>#VALUE!</v>
      </c>
      <c r="HY254" s="2" t="n">
        <v>232.5</v>
      </c>
      <c r="HZ254" s="2" t="n">
        <v>40.6</v>
      </c>
      <c r="IA254" s="2" t="n">
        <v>167.2</v>
      </c>
      <c r="IB254" s="2" t="n">
        <v>62.5</v>
      </c>
      <c r="IC254" s="2" t="n">
        <v>104.7</v>
      </c>
      <c r="ID254" s="2" t="e">
        <v>#VALUE!</v>
      </c>
      <c r="IE254" s="2" t="e">
        <v>#VALUE!</v>
      </c>
      <c r="IF254" s="2" t="n">
        <v>7.1</v>
      </c>
      <c r="IG254" s="2" t="n">
        <v>13.9</v>
      </c>
      <c r="IN254" s="2" t="n">
        <v>42.9</v>
      </c>
      <c r="IO254" s="2" t="n">
        <v>43.9</v>
      </c>
      <c r="IP254" s="2" t="e">
        <v>#VALUE!</v>
      </c>
      <c r="IQ254" s="2" t="n">
        <v>39.7</v>
      </c>
      <c r="IR254" s="2" t="n">
        <v>14.8</v>
      </c>
      <c r="IS254" s="2" t="e">
        <v>#VALUE!</v>
      </c>
      <c r="IT254" s="2" t="n">
        <v>22.6</v>
      </c>
      <c r="IU254" s="2" t="e">
        <v>#VALUE!</v>
      </c>
      <c r="IV254" s="2" t="e">
        <v>#VALUE!</v>
      </c>
      <c r="IY254" s="2" t="n">
        <v>47.94444731805721</v>
      </c>
      <c r="IZ254" s="2" t="n">
        <v>0.5544473180572069</v>
      </c>
      <c r="JB254" s="2" t="n">
        <v>11.37433404024207</v>
      </c>
      <c r="JC254" s="2" t="n">
        <v>-0.06566595975792566</v>
      </c>
      <c r="JE254" s="2" t="n">
        <v>1993.5</v>
      </c>
      <c r="JF254" s="2" t="n">
        <v>0.8123335841484826</v>
      </c>
    </row>
    <row r="255">
      <c r="A255" s="1" t="n">
        <v>36800</v>
      </c>
      <c r="B255" s="2" t="n">
        <v>4473.9</v>
      </c>
      <c r="C255" s="2" t="n">
        <v>5383.4</v>
      </c>
      <c r="D255" s="2" t="n">
        <v>265.9</v>
      </c>
      <c r="E255" s="2" t="n">
        <v>1317</v>
      </c>
      <c r="F255" s="2" t="n">
        <v>28</v>
      </c>
      <c r="G255" s="2" t="inlineStr">
        <is>
          <t>NA</t>
        </is>
      </c>
      <c r="H255" s="2" t="inlineStr">
        <is>
          <t>NA</t>
        </is>
      </c>
      <c r="I255" s="2" t="inlineStr">
        <is>
          <t>NA</t>
        </is>
      </c>
      <c r="J255" s="2" t="inlineStr">
        <is>
          <t>NA</t>
        </is>
      </c>
      <c r="K255" s="2" t="n">
        <v>1672.7</v>
      </c>
      <c r="L255" s="2" t="n">
        <v>2060.8</v>
      </c>
      <c r="M255" s="2" t="n">
        <v>1873.6</v>
      </c>
      <c r="N255" s="2" t="n">
        <v>187.2</v>
      </c>
      <c r="O255" s="2" t="n">
        <v>84.8</v>
      </c>
      <c r="P255" s="2" t="n">
        <v>66.40000000000001</v>
      </c>
      <c r="Q255" s="2" t="n">
        <v>17.4</v>
      </c>
      <c r="R255" s="2" t="n">
        <v>49</v>
      </c>
      <c r="T255" s="2" t="n">
        <v>25.4</v>
      </c>
      <c r="U255" s="2" t="n">
        <v>27.2</v>
      </c>
      <c r="V255" s="2" t="n">
        <v>25</v>
      </c>
      <c r="W255" s="2" t="n">
        <v>2.2</v>
      </c>
      <c r="X255" s="2" t="inlineStr">
        <is>
          <t>NA</t>
        </is>
      </c>
      <c r="Y255" s="2" t="inlineStr">
        <is>
          <t>NA</t>
        </is>
      </c>
      <c r="Z255" s="2" t="n">
        <v>195.9</v>
      </c>
      <c r="AA255" s="2" t="n">
        <v>187.4</v>
      </c>
      <c r="AB255" s="2" t="n">
        <v>8.5</v>
      </c>
      <c r="AC255" s="2" t="inlineStr">
        <is>
          <t>NA</t>
        </is>
      </c>
      <c r="AD255" s="2" t="n">
        <v>70.2</v>
      </c>
      <c r="AF255" s="2" t="n">
        <v>202.4</v>
      </c>
      <c r="AG255" s="2" t="n">
        <v>174.8</v>
      </c>
      <c r="AH255" s="2" t="n">
        <v>27.6</v>
      </c>
      <c r="AI255" s="2" t="n">
        <v>206.5</v>
      </c>
      <c r="AL255" s="2" t="n">
        <v>258.9</v>
      </c>
      <c r="AM255" s="2" t="n">
        <v>137.2</v>
      </c>
      <c r="AN255" s="2" t="n">
        <v>121.7</v>
      </c>
      <c r="AO255" s="2" t="n">
        <v>3321.5</v>
      </c>
      <c r="AP255" s="2" t="n">
        <v>280.5</v>
      </c>
      <c r="AQ255" s="2" t="n">
        <v>252.4</v>
      </c>
      <c r="AR255" s="2" t="n">
        <v>36.9</v>
      </c>
      <c r="AS255" s="2" t="n">
        <v>134.9</v>
      </c>
      <c r="AT255" s="2" t="n">
        <v>31.6</v>
      </c>
      <c r="AU255" s="2" t="n">
        <v>71</v>
      </c>
      <c r="AV255" s="2" t="n">
        <v>15.6</v>
      </c>
      <c r="AW255" s="2" t="n">
        <v>15.7</v>
      </c>
      <c r="AX255" s="2" t="n">
        <v>6.3</v>
      </c>
      <c r="AY255" s="2" t="inlineStr">
        <is>
          <t>NA</t>
        </is>
      </c>
      <c r="AZ255" s="2" t="inlineStr">
        <is>
          <t>NA</t>
        </is>
      </c>
      <c r="BA255" s="2" t="inlineStr">
        <is>
          <t>NA</t>
        </is>
      </c>
      <c r="BB255" s="2" t="inlineStr">
        <is>
          <t>NA</t>
        </is>
      </c>
      <c r="BD255" s="2" t="n">
        <v>161.1</v>
      </c>
      <c r="BE255" s="2" t="n">
        <v>33.4</v>
      </c>
      <c r="BF255" s="2" t="n">
        <v>70</v>
      </c>
      <c r="BG255" s="2" t="n">
        <v>7.5</v>
      </c>
      <c r="BH255" s="2" t="n">
        <v>329</v>
      </c>
      <c r="BK255" s="2" t="n">
        <v>226.9</v>
      </c>
      <c r="BL255" s="2" t="n">
        <v>2.6</v>
      </c>
      <c r="BM255" s="2" t="n">
        <v>555.9</v>
      </c>
      <c r="BN255" s="2" t="n">
        <v>223.8</v>
      </c>
      <c r="BQ255" s="2" t="n">
        <v>134.3</v>
      </c>
      <c r="BR255" s="2" t="n">
        <v>0</v>
      </c>
      <c r="BS255" s="2" t="n">
        <v>358.1</v>
      </c>
      <c r="BT255" s="2" t="n">
        <v>30.9</v>
      </c>
      <c r="BU255" s="2" t="n">
        <v>16.4</v>
      </c>
      <c r="BV255" s="2" t="n">
        <v>322.9</v>
      </c>
      <c r="BW255" s="2" t="n">
        <v>119.7</v>
      </c>
      <c r="BX255" s="2" t="n">
        <v>442.5</v>
      </c>
      <c r="BY255" s="2" t="n">
        <v>49.4</v>
      </c>
      <c r="BZ255" s="2" t="n">
        <v>16.1</v>
      </c>
      <c r="CA255" s="2" t="n">
        <v>65.5</v>
      </c>
      <c r="CF255" s="2" t="n">
        <v>98.3</v>
      </c>
      <c r="CG255" s="2" t="n">
        <v>91.40000000000001</v>
      </c>
      <c r="CH255" s="2" t="n">
        <v>7</v>
      </c>
      <c r="CK255" s="2" t="n">
        <v>328</v>
      </c>
      <c r="CL255" s="2" t="n">
        <v>32.4</v>
      </c>
      <c r="CN255" s="2" t="n">
        <v>44.1</v>
      </c>
      <c r="CO255" s="2" t="n">
        <v>178.1</v>
      </c>
      <c r="CP255" s="2" t="n">
        <v>103.8</v>
      </c>
      <c r="CQ255" s="2" t="n">
        <v>74.3</v>
      </c>
      <c r="CR255" s="2" t="inlineStr">
        <is>
          <t>NA</t>
        </is>
      </c>
      <c r="CS255" s="2" t="n">
        <v>58.7</v>
      </c>
      <c r="CT255" s="2" t="n">
        <v>40.6</v>
      </c>
      <c r="CU255" s="2" t="n">
        <v>18.1</v>
      </c>
      <c r="CV255" s="2" t="n">
        <v>61.6</v>
      </c>
      <c r="CW255" s="2" t="n">
        <v>5.5</v>
      </c>
      <c r="CX255" s="2" t="n">
        <v>56.1</v>
      </c>
      <c r="CY255" s="2" t="inlineStr">
        <is>
          <t>NA</t>
        </is>
      </c>
      <c r="CZ255" s="2" t="n">
        <v>85</v>
      </c>
      <c r="DA255" s="2" t="n">
        <v>31.9</v>
      </c>
      <c r="DB255" s="2" t="n">
        <v>30</v>
      </c>
      <c r="DC255" s="2" t="n">
        <v>1.9</v>
      </c>
      <c r="DI255" s="2" t="n">
        <v>733.1</v>
      </c>
      <c r="DJ255" s="2" t="n">
        <v>381.4</v>
      </c>
      <c r="DL255" s="2" t="n">
        <v>162.5</v>
      </c>
      <c r="DM255" s="2" t="n">
        <v>293.2</v>
      </c>
      <c r="DO255" s="2" t="n">
        <v>274.3</v>
      </c>
      <c r="DP255" s="2" t="n">
        <v>322</v>
      </c>
      <c r="DS255" s="2" t="n">
        <v>988.672</v>
      </c>
      <c r="DT255" s="2" t="n">
        <v>4473.9</v>
      </c>
      <c r="DU255" s="2" t="n">
        <v>-1318.728</v>
      </c>
      <c r="DV255" s="2" t="n">
        <v>0</v>
      </c>
      <c r="EA255" s="2" t="e">
        <v>#VALUE!</v>
      </c>
      <c r="EB255" s="2" t="n">
        <v>725.4</v>
      </c>
      <c r="ED255" s="2" t="e">
        <v>#VALUE!</v>
      </c>
      <c r="EE255" s="2" t="n">
        <v>151.8</v>
      </c>
      <c r="EG255" s="2" t="n">
        <v>215.1</v>
      </c>
      <c r="EH255" s="2" t="e">
        <v>#VALUE!</v>
      </c>
      <c r="EL255" s="2" t="n">
        <v>5383.4</v>
      </c>
      <c r="EQ255" s="2" t="n">
        <v>277.5</v>
      </c>
      <c r="ER255" s="2" t="n">
        <v>141.4</v>
      </c>
      <c r="ET255" s="2" t="n">
        <v>60.7</v>
      </c>
      <c r="EU255" s="2" t="n">
        <v>113.5</v>
      </c>
      <c r="EW255" s="2" t="n">
        <v>104.6</v>
      </c>
      <c r="EX255" s="2" t="n">
        <v>116.7</v>
      </c>
      <c r="FB255" s="2" t="n">
        <v>1672.7</v>
      </c>
      <c r="FG255" s="2" t="n">
        <v>583.7</v>
      </c>
      <c r="FH255" s="2" t="n">
        <v>312.1</v>
      </c>
      <c r="FJ255" s="2" t="e">
        <v>#VALUE!</v>
      </c>
      <c r="FK255" s="2" t="n">
        <v>235.2</v>
      </c>
      <c r="FM255" s="2" t="n">
        <v>218.9</v>
      </c>
      <c r="FN255" s="2" t="n">
        <v>253.8</v>
      </c>
      <c r="FR255" s="2" t="n">
        <v>3582.7</v>
      </c>
      <c r="FW255" s="2" t="n">
        <v>276.8</v>
      </c>
      <c r="FX255" s="2" t="e">
        <v>#VALUE!</v>
      </c>
      <c r="GA255" s="2" t="n">
        <v>83.7</v>
      </c>
      <c r="GC255" s="2" t="e">
        <v>#VALUE!</v>
      </c>
      <c r="GD255" s="2" t="e">
        <v>#VALUE!</v>
      </c>
      <c r="GH255" s="2" t="n">
        <v>1039.2</v>
      </c>
      <c r="GM255" s="2" t="n">
        <v>116.9</v>
      </c>
      <c r="GN255" s="2" t="n">
        <v>17.4</v>
      </c>
      <c r="GP255" s="2" t="n">
        <v>6.1</v>
      </c>
      <c r="GQ255" s="2" t="n">
        <v>23.6</v>
      </c>
      <c r="GS255" s="2" t="e">
        <v>#VALUE!</v>
      </c>
      <c r="GT255" s="2" t="e">
        <v>#VALUE!</v>
      </c>
      <c r="GX255" s="2" t="n">
        <v>317.4</v>
      </c>
      <c r="GY255" s="2" t="n">
        <v>0.9696693751751191</v>
      </c>
      <c r="GZ255" s="2" t="n">
        <v>1384.3</v>
      </c>
      <c r="HA255" s="2" t="n">
        <v>1427.6</v>
      </c>
      <c r="HF255" s="2" t="n">
        <v>1610.4</v>
      </c>
      <c r="HG255" s="2" t="n">
        <v>1560.1</v>
      </c>
      <c r="HH255" s="2" t="n">
        <v>738.1</v>
      </c>
      <c r="HI255" s="2" t="n">
        <v>138.1</v>
      </c>
      <c r="HJ255" s="2" t="n">
        <v>672.2</v>
      </c>
      <c r="HK255" s="2" t="n">
        <v>11.7</v>
      </c>
      <c r="HL255" s="2" t="n">
        <v>50.3</v>
      </c>
      <c r="HP255" s="2" t="e">
        <v>#VALUE!</v>
      </c>
      <c r="HQ255" s="2" t="n">
        <v>6.3</v>
      </c>
      <c r="HR255" s="2" t="n">
        <v>7.9</v>
      </c>
      <c r="HS255" s="2" t="e">
        <v>#VALUE!</v>
      </c>
      <c r="HT255" s="2" t="n">
        <v>28.6</v>
      </c>
      <c r="HW255" s="2" t="n">
        <v>257.8</v>
      </c>
      <c r="HX255" s="2" t="e">
        <v>#VALUE!</v>
      </c>
      <c r="HY255" s="2" t="n">
        <v>257.8</v>
      </c>
      <c r="HZ255" s="2" t="n">
        <v>51.1</v>
      </c>
      <c r="IA255" s="2" t="n">
        <v>183.5</v>
      </c>
      <c r="IB255" s="2" t="n">
        <v>65.7</v>
      </c>
      <c r="IC255" s="2" t="n">
        <v>117.8</v>
      </c>
      <c r="ID255" s="2" t="e">
        <v>#VALUE!</v>
      </c>
      <c r="IE255" s="2" t="e">
        <v>#VALUE!</v>
      </c>
      <c r="IF255" s="2" t="n">
        <v>8.6</v>
      </c>
      <c r="IG255" s="2" t="n">
        <v>9.5</v>
      </c>
      <c r="IN255" s="2" t="n">
        <v>61.4</v>
      </c>
      <c r="IO255" s="2" t="n">
        <v>63.6</v>
      </c>
      <c r="IP255" s="2" t="e">
        <v>#VALUE!</v>
      </c>
      <c r="IQ255" s="2" t="n">
        <v>42</v>
      </c>
      <c r="IR255" s="2" t="n">
        <v>18.2</v>
      </c>
      <c r="IS255" s="2" t="e">
        <v>#VALUE!</v>
      </c>
      <c r="IT255" s="2" t="n">
        <v>21.5</v>
      </c>
      <c r="IU255" s="2" t="e">
        <v>#VALUE!</v>
      </c>
      <c r="IV255" s="2" t="e">
        <v>#VALUE!</v>
      </c>
      <c r="IY255" s="2" t="n">
        <v>47.92999396499699</v>
      </c>
      <c r="IZ255" s="2" t="n">
        <v>0.1499939649969875</v>
      </c>
      <c r="JB255" s="2" t="n">
        <v>11.21638838597197</v>
      </c>
      <c r="JC255" s="2" t="n">
        <v>-0.07361161402802807</v>
      </c>
      <c r="JE255" s="2" t="n">
        <v>2060.8</v>
      </c>
      <c r="JF255" s="2" t="n">
        <v>0.8451936141304349</v>
      </c>
    </row>
    <row r="256">
      <c r="A256" s="1" t="n">
        <v>36831</v>
      </c>
      <c r="B256" s="2" t="n">
        <v>4293.6</v>
      </c>
      <c r="C256" s="2" t="n">
        <v>5002.9</v>
      </c>
      <c r="D256" s="2" t="n">
        <v>252.3</v>
      </c>
      <c r="E256" s="2" t="n">
        <v>1754.1</v>
      </c>
      <c r="F256" s="2" t="n">
        <v>19.2</v>
      </c>
      <c r="G256" s="2" t="inlineStr">
        <is>
          <t>NA</t>
        </is>
      </c>
      <c r="H256" s="2" t="inlineStr">
        <is>
          <t>NA</t>
        </is>
      </c>
      <c r="I256" s="2" t="inlineStr">
        <is>
          <t>NA</t>
        </is>
      </c>
      <c r="J256" s="2" t="inlineStr">
        <is>
          <t>NA</t>
        </is>
      </c>
      <c r="K256" s="2" t="n">
        <v>1590.8</v>
      </c>
      <c r="L256" s="2" t="n">
        <v>2163.4</v>
      </c>
      <c r="M256" s="2" t="n">
        <v>1957.7</v>
      </c>
      <c r="N256" s="2" t="n">
        <v>205.7</v>
      </c>
      <c r="O256" s="2" t="n">
        <v>76.5</v>
      </c>
      <c r="P256" s="2" t="n">
        <v>75.09999999999999</v>
      </c>
      <c r="Q256" s="2" t="n">
        <v>20.7</v>
      </c>
      <c r="R256" s="2" t="n">
        <v>54.4</v>
      </c>
      <c r="T256" s="2" t="n">
        <v>16.4</v>
      </c>
      <c r="U256" s="2" t="n">
        <v>24.9</v>
      </c>
      <c r="V256" s="2" t="n">
        <v>23</v>
      </c>
      <c r="W256" s="2" t="n">
        <v>1.9</v>
      </c>
      <c r="X256" s="2" t="inlineStr">
        <is>
          <t>NA</t>
        </is>
      </c>
      <c r="Y256" s="2" t="inlineStr">
        <is>
          <t>NA</t>
        </is>
      </c>
      <c r="Z256" s="2" t="n">
        <v>245.2</v>
      </c>
      <c r="AA256" s="2" t="n">
        <v>225.7</v>
      </c>
      <c r="AB256" s="2" t="n">
        <v>19.5</v>
      </c>
      <c r="AC256" s="2" t="inlineStr">
        <is>
          <t>NA</t>
        </is>
      </c>
      <c r="AD256" s="2" t="n">
        <v>52.6</v>
      </c>
      <c r="AF256" s="2" t="n">
        <v>148.5</v>
      </c>
      <c r="AG256" s="2" t="n">
        <v>116.8</v>
      </c>
      <c r="AH256" s="2" t="n">
        <v>31.7</v>
      </c>
      <c r="AI256" s="2" t="n">
        <v>190.3</v>
      </c>
      <c r="AL256" s="2" t="n">
        <v>241.8</v>
      </c>
      <c r="AM256" s="2" t="n">
        <v>119.4</v>
      </c>
      <c r="AN256" s="2" t="n">
        <v>122.4</v>
      </c>
      <c r="AO256" s="2" t="n">
        <v>3197.7</v>
      </c>
      <c r="AP256" s="2" t="n">
        <v>315.1</v>
      </c>
      <c r="AQ256" s="2" t="n">
        <v>235.1</v>
      </c>
      <c r="AR256" s="2" t="n">
        <v>28.8</v>
      </c>
      <c r="AS256" s="2" t="n">
        <v>120.9</v>
      </c>
      <c r="AT256" s="2" t="n">
        <v>38.6</v>
      </c>
      <c r="AU256" s="2" t="n">
        <v>68.2</v>
      </c>
      <c r="AV256" s="2" t="n">
        <v>16.4</v>
      </c>
      <c r="AW256" s="2" t="n">
        <v>10.5</v>
      </c>
      <c r="AX256" s="2" t="n">
        <v>1.4</v>
      </c>
      <c r="AY256" s="2" t="inlineStr">
        <is>
          <t>NA</t>
        </is>
      </c>
      <c r="AZ256" s="2" t="inlineStr">
        <is>
          <t>NA</t>
        </is>
      </c>
      <c r="BA256" s="2" t="inlineStr">
        <is>
          <t>NA</t>
        </is>
      </c>
      <c r="BB256" s="2" t="inlineStr">
        <is>
          <t>NA</t>
        </is>
      </c>
      <c r="BD256" s="2" t="n">
        <v>147.1</v>
      </c>
      <c r="BE256" s="2" t="n">
        <v>36</v>
      </c>
      <c r="BF256" s="2" t="n">
        <v>65.90000000000001</v>
      </c>
      <c r="BG256" s="2" t="n">
        <v>6.8</v>
      </c>
      <c r="BH256" s="2" t="n">
        <v>307.2</v>
      </c>
      <c r="BK256" s="2" t="n">
        <v>217.9</v>
      </c>
      <c r="BL256" s="2" t="n">
        <v>2.4</v>
      </c>
      <c r="BM256" s="2" t="n">
        <v>525.1</v>
      </c>
      <c r="BN256" s="2" t="n">
        <v>221.7</v>
      </c>
      <c r="BQ256" s="2" t="n">
        <v>138.8</v>
      </c>
      <c r="BR256" s="2" t="n">
        <v>7.7</v>
      </c>
      <c r="BS256" s="2" t="n">
        <v>368.2</v>
      </c>
      <c r="BT256" s="2" t="n">
        <v>29.3</v>
      </c>
      <c r="BU256" s="2" t="n">
        <v>16.9</v>
      </c>
      <c r="BV256" s="2" t="n">
        <v>323.5</v>
      </c>
      <c r="BW256" s="2" t="n">
        <v>118.8</v>
      </c>
      <c r="BX256" s="2" t="n">
        <v>442.3</v>
      </c>
      <c r="BY256" s="2" t="n">
        <v>56.4</v>
      </c>
      <c r="BZ256" s="2" t="n">
        <v>17.5</v>
      </c>
      <c r="CA256" s="2" t="n">
        <v>73.90000000000001</v>
      </c>
      <c r="CF256" s="2" t="n">
        <v>97.59999999999999</v>
      </c>
      <c r="CG256" s="2" t="n">
        <v>98</v>
      </c>
      <c r="CH256" s="2" t="n">
        <v>7.7</v>
      </c>
      <c r="CK256" s="2" t="n">
        <v>319.5</v>
      </c>
      <c r="CL256" s="2" t="n">
        <v>33.3</v>
      </c>
      <c r="CN256" s="2" t="n">
        <v>44.2</v>
      </c>
      <c r="CO256" s="2" t="n">
        <v>165.4</v>
      </c>
      <c r="CP256" s="2" t="n">
        <v>118.4</v>
      </c>
      <c r="CQ256" s="2" t="n">
        <v>47</v>
      </c>
      <c r="CR256" s="2" t="inlineStr">
        <is>
          <t>NA</t>
        </is>
      </c>
      <c r="CS256" s="2" t="n">
        <v>87.10000000000001</v>
      </c>
      <c r="CT256" s="2" t="n">
        <v>65.90000000000001</v>
      </c>
      <c r="CU256" s="2" t="n">
        <v>21.2</v>
      </c>
      <c r="CV256" s="2" t="n">
        <v>67.8</v>
      </c>
      <c r="CW256" s="2" t="n">
        <v>15.9</v>
      </c>
      <c r="CX256" s="2" t="n">
        <v>51.9</v>
      </c>
      <c r="CY256" s="2" t="inlineStr">
        <is>
          <t>NA</t>
        </is>
      </c>
      <c r="CZ256" s="2" t="n">
        <v>89</v>
      </c>
      <c r="DA256" s="2" t="n">
        <v>27.3</v>
      </c>
      <c r="DB256" s="2" t="n">
        <v>25.8</v>
      </c>
      <c r="DC256" s="2" t="n">
        <v>1.5</v>
      </c>
      <c r="DI256" s="2" t="n">
        <v>695.8</v>
      </c>
      <c r="DJ256" s="2" t="n">
        <v>389.7</v>
      </c>
      <c r="DL256" s="2" t="n">
        <v>143.2</v>
      </c>
      <c r="DM256" s="2" t="n">
        <v>268.3</v>
      </c>
      <c r="DO256" s="2" t="n">
        <v>265.1</v>
      </c>
      <c r="DP256" s="2" t="n">
        <v>308</v>
      </c>
      <c r="DS256" s="2" t="n">
        <v>938.253</v>
      </c>
      <c r="DT256" s="2" t="n">
        <v>4293.6</v>
      </c>
      <c r="DU256" s="2" t="n">
        <v>-1285.247</v>
      </c>
      <c r="DV256" s="2" t="n">
        <v>0</v>
      </c>
      <c r="EA256" s="2" t="e">
        <v>#VALUE!</v>
      </c>
      <c r="EB256" s="2" t="n">
        <v>601.5</v>
      </c>
      <c r="ED256" s="2" t="e">
        <v>#VALUE!</v>
      </c>
      <c r="EE256" s="2" t="n">
        <v>99.09999999999999</v>
      </c>
      <c r="EG256" s="2" t="n">
        <v>192</v>
      </c>
      <c r="EH256" s="2" t="e">
        <v>#VALUE!</v>
      </c>
      <c r="EL256" s="2" t="n">
        <v>5002.9</v>
      </c>
      <c r="EQ256" s="2" t="n">
        <v>259.1</v>
      </c>
      <c r="ER256" s="2" t="n">
        <v>144.5</v>
      </c>
      <c r="ET256" s="2" t="n">
        <v>54.2</v>
      </c>
      <c r="EU256" s="2" t="n">
        <v>103.7</v>
      </c>
      <c r="EW256" s="2" t="n">
        <v>100.4</v>
      </c>
      <c r="EX256" s="2" t="n">
        <v>107.1</v>
      </c>
      <c r="FB256" s="2" t="n">
        <v>1590.8</v>
      </c>
      <c r="FG256" s="2" t="n">
        <v>550.7</v>
      </c>
      <c r="FH256" s="2" t="n">
        <v>319.5</v>
      </c>
      <c r="FJ256" s="2" t="n">
        <v>130.8</v>
      </c>
      <c r="FK256" s="2" t="n">
        <v>220.6</v>
      </c>
      <c r="FM256" s="2" t="n">
        <v>210.1</v>
      </c>
      <c r="FN256" s="2" t="n">
        <v>244.9</v>
      </c>
      <c r="FR256" s="2" t="n">
        <v>3441.5</v>
      </c>
      <c r="FW256" s="2" t="n">
        <v>283.2</v>
      </c>
      <c r="FX256" s="2" t="e">
        <v>#VALUE!</v>
      </c>
      <c r="GA256" s="2" t="n">
        <v>85.59999999999999</v>
      </c>
      <c r="GC256" s="2" t="n">
        <v>89.8</v>
      </c>
      <c r="GD256" s="2" t="e">
        <v>#VALUE!</v>
      </c>
      <c r="GH256" s="2" t="n">
        <v>1048.9</v>
      </c>
      <c r="GM256" s="2" t="n">
        <v>157.2</v>
      </c>
      <c r="GN256" s="2" t="n">
        <v>14</v>
      </c>
      <c r="GP256" s="2" t="n">
        <v>9.5</v>
      </c>
      <c r="GQ256" s="2" t="n">
        <v>15.3</v>
      </c>
      <c r="GS256" s="2" t="e">
        <v>#VALUE!</v>
      </c>
      <c r="GT256" s="2" t="e">
        <v>#VALUE!</v>
      </c>
      <c r="GX256" s="2" t="n">
        <v>343.8</v>
      </c>
      <c r="GY256" s="2" t="n">
        <v>0.9703217036701405</v>
      </c>
      <c r="GZ256" s="2" t="n">
        <v>1284.9</v>
      </c>
      <c r="HA256" s="2" t="n">
        <v>1324.2</v>
      </c>
      <c r="HF256" s="2" t="n">
        <v>1475</v>
      </c>
      <c r="HG256" s="2" t="n">
        <v>1423.1</v>
      </c>
      <c r="HH256" s="2" t="n">
        <v>689.9</v>
      </c>
      <c r="HI256" s="2" t="n">
        <v>124.4</v>
      </c>
      <c r="HJ256" s="2" t="n">
        <v>596.8</v>
      </c>
      <c r="HK256" s="2" t="n">
        <v>12</v>
      </c>
      <c r="HL256" s="2" t="n">
        <v>51.9</v>
      </c>
      <c r="HP256" s="2" t="e">
        <v>#VALUE!</v>
      </c>
      <c r="HQ256" s="2" t="n">
        <v>5.4</v>
      </c>
      <c r="HR256" s="2" t="n">
        <v>8.300000000000001</v>
      </c>
      <c r="HS256" s="2" t="e">
        <v>#VALUE!</v>
      </c>
      <c r="HT256" s="2" t="n">
        <v>31.9</v>
      </c>
      <c r="HW256" s="2" t="n">
        <v>252.9</v>
      </c>
      <c r="HX256" s="2" t="e">
        <v>#VALUE!</v>
      </c>
      <c r="HY256" s="2" t="n">
        <v>252.9</v>
      </c>
      <c r="HZ256" s="2" t="n">
        <v>45.7</v>
      </c>
      <c r="IA256" s="2" t="n">
        <v>183.6</v>
      </c>
      <c r="IB256" s="2" t="n">
        <v>67.7</v>
      </c>
      <c r="IC256" s="2" t="n">
        <v>115.9</v>
      </c>
      <c r="ID256" s="2" t="e">
        <v>#VALUE!</v>
      </c>
      <c r="IE256" s="2" t="e">
        <v>#VALUE!</v>
      </c>
      <c r="IF256" s="2" t="n">
        <v>9</v>
      </c>
      <c r="IG256" s="2" t="n">
        <v>8.4</v>
      </c>
      <c r="IN256" s="2" t="n">
        <v>58.9</v>
      </c>
      <c r="IO256" s="2" t="n">
        <v>60.2</v>
      </c>
      <c r="IP256" s="2" t="e">
        <v>#VALUE!</v>
      </c>
      <c r="IQ256" s="2" t="n">
        <v>42.1</v>
      </c>
      <c r="IR256" s="2" t="n">
        <v>15.8</v>
      </c>
      <c r="IS256" s="2" t="e">
        <v>#VALUE!</v>
      </c>
      <c r="IT256" s="2" t="n">
        <v>24.1</v>
      </c>
      <c r="IU256" s="2" t="e">
        <v>#VALUE!</v>
      </c>
      <c r="IV256" s="2" t="e">
        <v>#VALUE!</v>
      </c>
      <c r="IY256" s="2" t="n">
        <v>47.97093348239239</v>
      </c>
      <c r="IZ256" s="2" t="n">
        <v>0.2009334823923865</v>
      </c>
      <c r="JB256" s="2" t="n">
        <v>11.1151481274455</v>
      </c>
      <c r="JC256" s="2" t="n">
        <v>-0.06485187255450064</v>
      </c>
      <c r="JE256" s="2" t="n">
        <v>2163.4</v>
      </c>
      <c r="JF256" s="2" t="n">
        <v>0.8238730701673291</v>
      </c>
    </row>
    <row r="257">
      <c r="A257" s="1" t="n">
        <v>36861</v>
      </c>
      <c r="B257" s="2" t="n">
        <v>4268.4</v>
      </c>
      <c r="C257" s="2" t="n">
        <v>4133.9</v>
      </c>
      <c r="D257" s="2" t="n">
        <v>241.5</v>
      </c>
      <c r="E257" s="2" t="n">
        <v>1957.2</v>
      </c>
      <c r="F257" s="2" t="n">
        <v>17.6</v>
      </c>
      <c r="G257" s="2" t="inlineStr">
        <is>
          <t>NA</t>
        </is>
      </c>
      <c r="H257" s="2" t="inlineStr">
        <is>
          <t>NA</t>
        </is>
      </c>
      <c r="I257" s="2" t="inlineStr">
        <is>
          <t>NA</t>
        </is>
      </c>
      <c r="J257" s="2" t="inlineStr">
        <is>
          <t>NA</t>
        </is>
      </c>
      <c r="K257" s="2" t="n">
        <v>1579</v>
      </c>
      <c r="L257" s="2" t="n">
        <v>2271.6</v>
      </c>
      <c r="M257" s="2" t="n">
        <v>2033.5</v>
      </c>
      <c r="N257" s="2" t="n">
        <v>238.1</v>
      </c>
      <c r="O257" s="2" t="n">
        <v>73.3</v>
      </c>
      <c r="P257" s="2" t="n">
        <v>92.90000000000001</v>
      </c>
      <c r="Q257" s="2" t="n">
        <v>25.6</v>
      </c>
      <c r="R257" s="2" t="n">
        <v>67.3</v>
      </c>
      <c r="T257" s="2" t="n">
        <v>15.2</v>
      </c>
      <c r="U257" s="2" t="n">
        <v>26.4</v>
      </c>
      <c r="V257" s="2" t="n">
        <v>24.5</v>
      </c>
      <c r="W257" s="2" t="n">
        <v>1.9</v>
      </c>
      <c r="X257" s="2" t="inlineStr">
        <is>
          <t>NA</t>
        </is>
      </c>
      <c r="Y257" s="2" t="n">
        <v>21.4</v>
      </c>
      <c r="Z257" s="2" t="n">
        <v>243.5</v>
      </c>
      <c r="AA257" s="2" t="n">
        <v>226.4</v>
      </c>
      <c r="AB257" s="2" t="n">
        <v>17.1</v>
      </c>
      <c r="AC257" s="2" t="inlineStr">
        <is>
          <t>NA</t>
        </is>
      </c>
      <c r="AD257" s="2" t="n">
        <v>54.2</v>
      </c>
      <c r="AF257" s="2" t="n">
        <v>148.9</v>
      </c>
      <c r="AG257" s="2" t="n">
        <v>124.6</v>
      </c>
      <c r="AH257" s="2" t="n">
        <v>24.3</v>
      </c>
      <c r="AI257" s="2" t="n">
        <v>194.5</v>
      </c>
      <c r="AL257" s="2" t="n">
        <v>248.9</v>
      </c>
      <c r="AM257" s="2" t="n">
        <v>134.2</v>
      </c>
      <c r="AN257" s="2" t="n">
        <v>114.7</v>
      </c>
      <c r="AO257" s="2" t="n">
        <v>3161</v>
      </c>
      <c r="AP257" s="2" t="n">
        <v>384.6</v>
      </c>
      <c r="AQ257" s="2" t="n">
        <v>238.4</v>
      </c>
      <c r="AR257" s="2" t="n">
        <v>39.1</v>
      </c>
      <c r="AS257" s="2" t="n">
        <v>116.9</v>
      </c>
      <c r="AT257" s="2" t="n">
        <v>35.3</v>
      </c>
      <c r="AU257" s="2" t="n">
        <v>63.5</v>
      </c>
      <c r="AV257" s="2" t="n">
        <v>14.3</v>
      </c>
      <c r="AW257" s="2" t="n">
        <v>10</v>
      </c>
      <c r="AX257" s="2" t="n">
        <v>1.6</v>
      </c>
      <c r="AY257" s="2" t="inlineStr">
        <is>
          <t>NA</t>
        </is>
      </c>
      <c r="AZ257" s="2" t="inlineStr">
        <is>
          <t>NA</t>
        </is>
      </c>
      <c r="BA257" s="2" t="inlineStr">
        <is>
          <t>NA</t>
        </is>
      </c>
      <c r="BB257" s="2" t="inlineStr">
        <is>
          <t>NA</t>
        </is>
      </c>
      <c r="BD257" s="2" t="n">
        <v>144.4</v>
      </c>
      <c r="BE257" s="2" t="n">
        <v>36.7</v>
      </c>
      <c r="BF257" s="2" t="n">
        <v>63.1</v>
      </c>
      <c r="BG257" s="2" t="n">
        <v>6.9</v>
      </c>
      <c r="BH257" s="2" t="n">
        <v>285.5</v>
      </c>
      <c r="BK257" s="2" t="n">
        <v>204.1</v>
      </c>
      <c r="BL257" s="2" t="n">
        <v>2.4</v>
      </c>
      <c r="BM257" s="2" t="n">
        <v>489.6</v>
      </c>
      <c r="BN257" s="2" t="n">
        <v>210</v>
      </c>
      <c r="BQ257" s="2" t="n">
        <v>120.7</v>
      </c>
      <c r="BR257" s="2" t="n">
        <v>0</v>
      </c>
      <c r="BS257" s="2" t="n">
        <v>330.7</v>
      </c>
      <c r="BT257" s="2" t="n">
        <v>25.6</v>
      </c>
      <c r="BU257" s="2" t="n">
        <v>16.2</v>
      </c>
      <c r="BV257" s="2" t="n">
        <v>317.6</v>
      </c>
      <c r="BW257" s="2" t="n">
        <v>97.2</v>
      </c>
      <c r="BX257" s="2" t="n">
        <v>414.8</v>
      </c>
      <c r="BY257" s="2" t="n">
        <v>45.4</v>
      </c>
      <c r="BZ257" s="2" t="n">
        <v>13.5</v>
      </c>
      <c r="CA257" s="2" t="n">
        <v>58.9</v>
      </c>
      <c r="CF257" s="2" t="n">
        <v>87.7</v>
      </c>
      <c r="CG257" s="2" t="n">
        <v>106.6</v>
      </c>
      <c r="CH257" s="2" t="n">
        <v>7.8</v>
      </c>
      <c r="CK257" s="2" t="n">
        <v>312.3</v>
      </c>
      <c r="CL257" s="2" t="n">
        <v>34.8</v>
      </c>
      <c r="CN257" s="2" t="n">
        <v>47.4</v>
      </c>
      <c r="CO257" s="2" t="n">
        <v>245.5</v>
      </c>
      <c r="CP257" s="2" t="n">
        <v>170.1</v>
      </c>
      <c r="CQ257" s="2" t="n">
        <v>75.40000000000001</v>
      </c>
      <c r="CR257" s="2" t="inlineStr">
        <is>
          <t>NA</t>
        </is>
      </c>
      <c r="CS257" s="2" t="n">
        <v>61.6</v>
      </c>
      <c r="CT257" s="2" t="n">
        <v>39.7</v>
      </c>
      <c r="CU257" s="2" t="n">
        <v>21.9</v>
      </c>
      <c r="CV257" s="2" t="n">
        <v>71.90000000000001</v>
      </c>
      <c r="CW257" s="2" t="n">
        <v>16.1</v>
      </c>
      <c r="CX257" s="2" t="n">
        <v>55.8</v>
      </c>
      <c r="CY257" s="2" t="inlineStr">
        <is>
          <t>NA</t>
        </is>
      </c>
      <c r="CZ257" s="2" t="n">
        <v>97.3</v>
      </c>
      <c r="DA257" s="2" t="n">
        <v>19</v>
      </c>
      <c r="DB257" s="2" t="n">
        <v>17.2</v>
      </c>
      <c r="DC257" s="2" t="n">
        <v>1.8</v>
      </c>
      <c r="DI257" s="2" t="n">
        <v>725.9</v>
      </c>
      <c r="DJ257" s="2" t="n">
        <v>392.5</v>
      </c>
      <c r="DM257" s="2" t="n">
        <v>285</v>
      </c>
      <c r="DO257" s="2" t="n">
        <v>242.2</v>
      </c>
      <c r="DP257" s="2" t="n">
        <v>315.3</v>
      </c>
      <c r="DS257" s="2" t="n">
        <v>936.792</v>
      </c>
      <c r="DT257" s="2" t="n">
        <v>4268.4</v>
      </c>
      <c r="DU257" s="2" t="n">
        <v>-1370.708</v>
      </c>
      <c r="DV257" s="2" t="n">
        <v>0</v>
      </c>
      <c r="EA257" s="2" t="e">
        <v>#VALUE!</v>
      </c>
      <c r="EB257" s="2" t="n">
        <v>549.4</v>
      </c>
      <c r="ED257" s="2" t="n">
        <v>78</v>
      </c>
      <c r="EE257" s="2" t="n">
        <v>43.4</v>
      </c>
      <c r="EG257" s="2" t="n">
        <v>125.7</v>
      </c>
      <c r="EH257" s="2" t="e">
        <v>#VALUE!</v>
      </c>
      <c r="EL257" s="2" t="n">
        <v>4133.9</v>
      </c>
      <c r="EQ257" s="2" t="n">
        <v>272.6</v>
      </c>
      <c r="ER257" s="2" t="n">
        <v>138</v>
      </c>
      <c r="EU257" s="2" t="n">
        <v>109.1</v>
      </c>
      <c r="EW257" s="2" t="n">
        <v>92.09999999999999</v>
      </c>
      <c r="EX257" s="2" t="n">
        <v>111.2</v>
      </c>
      <c r="FB257" s="2" t="n">
        <v>1579</v>
      </c>
      <c r="FG257" s="2" t="n">
        <v>574.7</v>
      </c>
      <c r="FH257" s="2" t="n">
        <v>313.8</v>
      </c>
      <c r="FJ257" s="2" t="n">
        <v>115.6</v>
      </c>
      <c r="FK257" s="2" t="n">
        <v>228</v>
      </c>
      <c r="FM257" s="2" t="n">
        <v>191.6</v>
      </c>
      <c r="FN257" s="2" t="n">
        <v>249.9</v>
      </c>
      <c r="FR257" s="2" t="n">
        <v>3407.2</v>
      </c>
      <c r="FW257" s="2" t="n">
        <v>332.2</v>
      </c>
      <c r="FX257" s="2" t="e">
        <v>#VALUE!</v>
      </c>
      <c r="GA257" s="2" t="n">
        <v>91.59999999999999</v>
      </c>
      <c r="GC257" s="2" t="n">
        <v>88</v>
      </c>
      <c r="GD257" s="2" t="e">
        <v>#VALUE!</v>
      </c>
      <c r="GH257" s="2" t="n">
        <v>1165.5</v>
      </c>
      <c r="GM257" s="2" t="n">
        <v>131</v>
      </c>
      <c r="GN257" s="2" t="n">
        <v>30</v>
      </c>
      <c r="GQ257" s="2" t="n">
        <v>24.4</v>
      </c>
      <c r="GS257" s="2" t="e">
        <v>#VALUE!</v>
      </c>
      <c r="GT257" s="2" t="e">
        <v>#VALUE!</v>
      </c>
      <c r="GX257" s="2" t="n">
        <v>423.7</v>
      </c>
      <c r="GY257" s="2" t="n">
        <v>0.970145689037497</v>
      </c>
      <c r="GZ257" s="2" t="n">
        <v>1218.6</v>
      </c>
      <c r="HA257" s="2" t="n">
        <v>1256.1</v>
      </c>
      <c r="HF257" s="2" t="n">
        <v>1408.3</v>
      </c>
      <c r="HG257" s="2" t="n">
        <v>1361.1</v>
      </c>
      <c r="HH257" s="2" t="n">
        <v>649.8</v>
      </c>
      <c r="HI257" s="2" t="n">
        <v>127.9</v>
      </c>
      <c r="HJ257" s="2" t="n">
        <v>572.3</v>
      </c>
      <c r="HK257" s="2" t="n">
        <v>11.1</v>
      </c>
      <c r="HL257" s="2" t="n">
        <v>47.3</v>
      </c>
      <c r="HP257" s="2" t="e">
        <v>#VALUE!</v>
      </c>
      <c r="HQ257" s="2" t="n">
        <v>7.6</v>
      </c>
      <c r="HR257" s="2" t="n">
        <v>7.4</v>
      </c>
      <c r="HS257" s="2" t="e">
        <v>#VALUE!</v>
      </c>
      <c r="HT257" s="2" t="n">
        <v>27.9</v>
      </c>
      <c r="HW257" s="2" t="n">
        <v>240.2</v>
      </c>
      <c r="HX257" s="2" t="e">
        <v>#VALUE!</v>
      </c>
      <c r="HY257" s="2" t="n">
        <v>240.2</v>
      </c>
      <c r="HZ257" s="2" t="n">
        <v>46.6</v>
      </c>
      <c r="IA257" s="2" t="n">
        <v>173.6</v>
      </c>
      <c r="IB257" s="2" t="n">
        <v>66.8</v>
      </c>
      <c r="IC257" s="2" t="n">
        <v>106.9</v>
      </c>
      <c r="ID257" s="2" t="e">
        <v>#VALUE!</v>
      </c>
      <c r="IE257" s="2" t="e">
        <v>#VALUE!</v>
      </c>
      <c r="IF257" s="2" t="n">
        <v>8.5</v>
      </c>
      <c r="IG257" s="2" t="n">
        <v>6.5</v>
      </c>
      <c r="IN257" s="2" t="n">
        <v>57.9</v>
      </c>
      <c r="IO257" s="2" t="n">
        <v>59.7</v>
      </c>
      <c r="IP257" s="2" t="e">
        <v>#VALUE!</v>
      </c>
      <c r="IQ257" s="2" t="n">
        <v>39.9</v>
      </c>
      <c r="IR257" s="2" t="n">
        <v>15.4</v>
      </c>
      <c r="IS257" s="2" t="e">
        <v>#VALUE!</v>
      </c>
      <c r="IT257" s="2" t="n">
        <v>22.4</v>
      </c>
      <c r="IU257" s="2" t="e">
        <v>#VALUE!</v>
      </c>
      <c r="IV257" s="2" t="e">
        <v>#VALUE!</v>
      </c>
      <c r="IY257" s="2" t="n">
        <v>47.78464998594321</v>
      </c>
      <c r="IZ257" s="2" t="n">
        <v>0.07464998594321059</v>
      </c>
      <c r="JB257" s="2" t="n">
        <v>11.09783525442789</v>
      </c>
      <c r="JC257" s="2" t="n">
        <v>-0.1121647455721124</v>
      </c>
      <c r="JE257" s="2" t="n">
        <v>2271.6</v>
      </c>
      <c r="JF257" s="2" t="n">
        <v>0.7975981686916711</v>
      </c>
    </row>
    <row r="258">
      <c r="A258" s="1" t="n">
        <v>36892</v>
      </c>
      <c r="B258" s="2" t="n">
        <v>4401.8</v>
      </c>
      <c r="C258" s="2" t="n">
        <v>4286.1</v>
      </c>
      <c r="D258" s="2" t="n">
        <v>295.2</v>
      </c>
      <c r="E258" s="2" t="n">
        <v>1811.2</v>
      </c>
      <c r="F258" s="2" t="n">
        <v>20.9</v>
      </c>
      <c r="G258" s="2" t="inlineStr">
        <is>
          <t>NA</t>
        </is>
      </c>
      <c r="H258" s="2" t="inlineStr">
        <is>
          <t>NA</t>
        </is>
      </c>
      <c r="I258" s="2" t="inlineStr">
        <is>
          <t>NA</t>
        </is>
      </c>
      <c r="J258" s="2" t="inlineStr">
        <is>
          <t>NA</t>
        </is>
      </c>
      <c r="K258" s="2" t="n">
        <v>1642.3</v>
      </c>
      <c r="L258" s="2" t="n">
        <v>2436.8</v>
      </c>
      <c r="M258" s="2" t="n">
        <v>2197.7</v>
      </c>
      <c r="N258" s="2" t="n">
        <v>239.1</v>
      </c>
      <c r="O258" s="2" t="n">
        <v>89.09999999999999</v>
      </c>
      <c r="P258" s="2" t="n">
        <v>106.3</v>
      </c>
      <c r="Q258" s="2" t="n">
        <v>32</v>
      </c>
      <c r="R258" s="2" t="n">
        <v>74.3</v>
      </c>
      <c r="T258" s="2" t="n">
        <v>17.3</v>
      </c>
      <c r="U258" s="2" t="n">
        <v>46.163</v>
      </c>
      <c r="V258" s="2" t="n">
        <v>42.8</v>
      </c>
      <c r="W258" s="2" t="n">
        <v>3.363</v>
      </c>
      <c r="X258" s="2" t="inlineStr">
        <is>
          <t>NA</t>
        </is>
      </c>
      <c r="Y258" s="2" t="inlineStr">
        <is>
          <t>NA</t>
        </is>
      </c>
      <c r="Z258" s="2" t="n">
        <v>269.327</v>
      </c>
      <c r="AA258" s="2" t="n">
        <v>249.553</v>
      </c>
      <c r="AB258" s="2" t="n">
        <v>19.774</v>
      </c>
      <c r="AC258" s="2" t="inlineStr">
        <is>
          <t>NA</t>
        </is>
      </c>
      <c r="AD258" s="2" t="n">
        <v>56.8</v>
      </c>
      <c r="AF258" s="2" t="n">
        <v>107.755</v>
      </c>
      <c r="AG258" s="2" t="n">
        <v>75.355</v>
      </c>
      <c r="AH258" s="2" t="n">
        <v>32.4</v>
      </c>
      <c r="AI258" s="2" t="n">
        <v>199</v>
      </c>
      <c r="AL258" s="2" t="n">
        <v>236.6</v>
      </c>
      <c r="AM258" s="2" t="n">
        <v>125.6</v>
      </c>
      <c r="AN258" s="2" t="n">
        <v>111</v>
      </c>
      <c r="AO258" s="2" t="n">
        <v>3282.6</v>
      </c>
      <c r="AP258" s="2" t="n">
        <v>298.1</v>
      </c>
      <c r="AQ258" s="2" t="n">
        <v>239</v>
      </c>
      <c r="AR258" s="2" t="n">
        <v>35.8</v>
      </c>
      <c r="AS258" s="2" t="n">
        <v>141.2</v>
      </c>
      <c r="AT258" s="2" t="n">
        <v>35.4</v>
      </c>
      <c r="AU258" s="2" t="n">
        <v>78.09999999999999</v>
      </c>
      <c r="AV258" s="2" t="n">
        <v>18.9</v>
      </c>
      <c r="AW258" s="2" t="n">
        <v>11.7</v>
      </c>
      <c r="AX258" s="2" t="n">
        <v>1.1</v>
      </c>
      <c r="AY258" s="2" t="inlineStr">
        <is>
          <t>NA</t>
        </is>
      </c>
      <c r="AZ258" s="2" t="inlineStr">
        <is>
          <t>NA</t>
        </is>
      </c>
      <c r="BA258" s="2" t="inlineStr">
        <is>
          <t>NA</t>
        </is>
      </c>
      <c r="BB258" s="2" t="inlineStr">
        <is>
          <t>NA</t>
        </is>
      </c>
      <c r="BD258" s="2" t="n">
        <v>137.3</v>
      </c>
      <c r="BE258" s="2" t="n">
        <v>30.7</v>
      </c>
      <c r="BF258" s="2" t="n">
        <v>63.6</v>
      </c>
      <c r="BG258" s="2" t="n">
        <v>6.8</v>
      </c>
      <c r="BH258" s="2" t="n">
        <v>296.7</v>
      </c>
      <c r="BK258" s="2" t="n">
        <v>185.2</v>
      </c>
      <c r="BL258" s="2" t="n">
        <v>0</v>
      </c>
      <c r="BM258" s="2" t="n">
        <v>481.9</v>
      </c>
      <c r="BN258" s="2" t="n">
        <v>226.3</v>
      </c>
      <c r="BQ258" s="2" t="n">
        <v>64.3</v>
      </c>
      <c r="BR258" s="2" t="n">
        <v>0.5</v>
      </c>
      <c r="BS258" s="2" t="n">
        <v>291.1</v>
      </c>
      <c r="BT258" s="2" t="n">
        <v>27.3</v>
      </c>
      <c r="BU258" s="2" t="n">
        <v>14.928</v>
      </c>
      <c r="BV258" s="2" t="n">
        <v>326.7</v>
      </c>
      <c r="BW258" s="2" t="n">
        <v>105.8</v>
      </c>
      <c r="BX258" s="2" t="n">
        <v>432.5</v>
      </c>
      <c r="BY258" s="2" t="n">
        <v>42.5</v>
      </c>
      <c r="BZ258" s="2" t="n">
        <v>7.7</v>
      </c>
      <c r="CA258" s="2" t="n">
        <v>50.2</v>
      </c>
      <c r="CF258" s="2" t="n">
        <v>94.923</v>
      </c>
      <c r="CG258" s="2" t="n">
        <v>107.6</v>
      </c>
      <c r="CH258" s="2" t="n">
        <v>10.1</v>
      </c>
      <c r="CK258" s="2" t="n">
        <v>320.1</v>
      </c>
      <c r="CL258" s="2" t="n">
        <v>32.8</v>
      </c>
      <c r="CN258" s="2" t="n">
        <v>49.738</v>
      </c>
      <c r="CO258" s="2" t="n">
        <v>280.1</v>
      </c>
      <c r="CP258" s="2" t="n">
        <v>182</v>
      </c>
      <c r="CQ258" s="2" t="n">
        <v>98.09999999999999</v>
      </c>
      <c r="CR258" s="2" t="inlineStr">
        <is>
          <t>NA</t>
        </is>
      </c>
      <c r="CS258" s="2" t="n">
        <v>47.8</v>
      </c>
      <c r="CT258" s="2" t="n">
        <v>28.7</v>
      </c>
      <c r="CU258" s="2" t="n">
        <v>19.1</v>
      </c>
      <c r="CV258" s="2" t="n">
        <v>58.371</v>
      </c>
      <c r="CW258" s="2" t="n">
        <v>18.275</v>
      </c>
      <c r="CX258" s="2" t="n">
        <v>40.096</v>
      </c>
      <c r="CY258" s="2" t="inlineStr">
        <is>
          <t>NA</t>
        </is>
      </c>
      <c r="CZ258" s="2" t="n">
        <v>108.5</v>
      </c>
      <c r="DA258" s="2" t="n">
        <v>25.693</v>
      </c>
      <c r="DB258" s="2" t="n">
        <v>24.561</v>
      </c>
      <c r="DC258" s="2" t="n">
        <v>1.132</v>
      </c>
      <c r="DI258" s="2" t="n">
        <v>749.3</v>
      </c>
      <c r="DJ258" s="2" t="n">
        <v>398.6</v>
      </c>
      <c r="DM258" s="2" t="n">
        <v>281.7</v>
      </c>
      <c r="DO258" s="2" t="n">
        <v>265.1</v>
      </c>
      <c r="DP258" s="2" t="n">
        <v>299.8</v>
      </c>
      <c r="DS258" s="2" t="n">
        <v>979.422</v>
      </c>
      <c r="DT258" s="2" t="n">
        <v>4401.8</v>
      </c>
      <c r="DU258" s="2" t="n">
        <v>-1427.878</v>
      </c>
      <c r="DV258" s="2" t="n">
        <v>0</v>
      </c>
      <c r="EA258" s="2" t="n">
        <v>1115.5</v>
      </c>
      <c r="EB258" s="2" t="n">
        <v>607.9</v>
      </c>
      <c r="EE258" s="2" t="n">
        <v>77.40000000000001</v>
      </c>
      <c r="EG258" s="2" t="n">
        <v>152</v>
      </c>
      <c r="EH258" s="2" t="e">
        <v>#VALUE!</v>
      </c>
      <c r="EL258" s="2" t="n">
        <v>4286.1</v>
      </c>
      <c r="EQ258" s="2" t="n">
        <v>284.3</v>
      </c>
      <c r="ER258" s="2" t="n">
        <v>147.6</v>
      </c>
      <c r="EU258" s="2" t="n">
        <v>107.9</v>
      </c>
      <c r="EW258" s="2" t="n">
        <v>101.2</v>
      </c>
      <c r="EX258" s="2" t="n">
        <v>107.8</v>
      </c>
      <c r="FB258" s="2" t="n">
        <v>1642.3</v>
      </c>
      <c r="FG258" s="2" t="n">
        <v>597.9</v>
      </c>
      <c r="FH258" s="2" t="n">
        <v>318.3</v>
      </c>
      <c r="FK258" s="2" t="n">
        <v>226.3</v>
      </c>
      <c r="FM258" s="2" t="n">
        <v>211.9</v>
      </c>
      <c r="FN258" s="2" t="n">
        <v>241.9</v>
      </c>
      <c r="FR258" s="2" t="n">
        <v>3532.7</v>
      </c>
      <c r="FW258" s="2" t="n">
        <v>336.8</v>
      </c>
      <c r="FX258" s="2" t="e">
        <v>#VALUE!</v>
      </c>
      <c r="GA258" s="2" t="n">
        <v>81.3</v>
      </c>
      <c r="GC258" s="2" t="n">
        <v>77.90000000000001</v>
      </c>
      <c r="GD258" s="2" t="e">
        <v>#VALUE!</v>
      </c>
      <c r="GH258" s="2" t="n">
        <v>1140.7</v>
      </c>
      <c r="GM258" s="2" t="e">
        <v>#VALUE!</v>
      </c>
      <c r="GN258" s="2" t="n">
        <v>20.1</v>
      </c>
      <c r="GQ258" s="2" t="n">
        <v>18.1</v>
      </c>
      <c r="GS258" s="2" t="e">
        <v>#VALUE!</v>
      </c>
      <c r="GT258" s="2" t="e">
        <v>#VALUE!</v>
      </c>
      <c r="GX258" s="2" t="n">
        <v>334</v>
      </c>
      <c r="GY258" s="2" t="n">
        <v>0.9496574796877489</v>
      </c>
      <c r="GZ258" s="2" t="n">
        <v>1192.2</v>
      </c>
      <c r="HA258" s="2" t="n">
        <v>1255.4</v>
      </c>
      <c r="HF258" s="2" t="n">
        <v>1351.5</v>
      </c>
      <c r="HG258" s="2" t="n">
        <v>1306.1</v>
      </c>
      <c r="HH258" s="2" t="n">
        <v>632.5</v>
      </c>
      <c r="HI258" s="2" t="n">
        <v>86.7</v>
      </c>
      <c r="HJ258" s="2" t="n">
        <v>578.2</v>
      </c>
      <c r="HK258" s="2" t="n">
        <v>8.699999999999999</v>
      </c>
      <c r="HL258" s="2" t="n">
        <v>45.5</v>
      </c>
      <c r="HP258" s="2" t="e">
        <v>#VALUE!</v>
      </c>
      <c r="HQ258" s="2" t="n">
        <v>3.4</v>
      </c>
      <c r="HR258" s="2" t="n">
        <v>6.4</v>
      </c>
      <c r="HS258" s="2" t="e">
        <v>#VALUE!</v>
      </c>
      <c r="HT258" s="2" t="n">
        <v>30.6</v>
      </c>
      <c r="HW258" s="2" t="n">
        <v>247.5</v>
      </c>
      <c r="HX258" s="2" t="e">
        <v>#VALUE!</v>
      </c>
      <c r="HY258" s="2" t="n">
        <v>247.5</v>
      </c>
      <c r="HZ258" s="2" t="n">
        <v>49</v>
      </c>
      <c r="IA258" s="2" t="n">
        <v>176.8</v>
      </c>
      <c r="IB258" s="2" t="n">
        <v>67.3</v>
      </c>
      <c r="IC258" s="2" t="n">
        <v>109.5</v>
      </c>
      <c r="ID258" s="2" t="e">
        <v>#VALUE!</v>
      </c>
      <c r="IE258" s="2" t="e">
        <v>#VALUE!</v>
      </c>
      <c r="IF258" s="2" t="n">
        <v>8.699999999999999</v>
      </c>
      <c r="IG258" s="2" t="e">
        <v>#VALUE!</v>
      </c>
      <c r="IN258" s="2" t="n">
        <v>64</v>
      </c>
      <c r="IO258" s="2" t="n">
        <v>65.8</v>
      </c>
      <c r="IP258" s="2" t="e">
        <v>#VALUE!</v>
      </c>
      <c r="IQ258" s="2" t="n">
        <v>34.3</v>
      </c>
      <c r="IR258" s="2" t="n">
        <v>13.6</v>
      </c>
      <c r="IS258" s="2" t="n">
        <v>0.7</v>
      </c>
      <c r="IT258" s="2" t="e">
        <v>#VALUE!</v>
      </c>
      <c r="IU258" s="2" t="e">
        <v>#VALUE!</v>
      </c>
      <c r="IV258" s="2" t="e">
        <v>#VALUE!</v>
      </c>
      <c r="IY258" s="2" t="n">
        <v>48.00218092598482</v>
      </c>
      <c r="IZ258" s="2" t="n">
        <v>0.8021809259848212</v>
      </c>
      <c r="JB258" s="2" t="n">
        <v>11.19292107774092</v>
      </c>
      <c r="JC258" s="2" t="n">
        <v>0.0829210777409255</v>
      </c>
      <c r="JE258" s="2" t="n">
        <v>2436.8</v>
      </c>
      <c r="JF258" s="2" t="n">
        <v>0.795650032829941</v>
      </c>
    </row>
    <row r="259">
      <c r="A259" s="1" t="n">
        <v>36923</v>
      </c>
      <c r="B259" s="2" t="n">
        <v>3867.9</v>
      </c>
      <c r="C259" s="2" t="n">
        <v>3799.1</v>
      </c>
      <c r="D259" s="2" t="n">
        <v>268.7</v>
      </c>
      <c r="E259" s="2" t="n">
        <v>1591</v>
      </c>
      <c r="F259" s="2" t="n">
        <v>18.8</v>
      </c>
      <c r="G259" s="2" t="inlineStr">
        <is>
          <t>NA</t>
        </is>
      </c>
      <c r="H259" s="2" t="inlineStr">
        <is>
          <t>NA</t>
        </is>
      </c>
      <c r="I259" s="2" t="inlineStr">
        <is>
          <t>NA</t>
        </is>
      </c>
      <c r="J259" s="2" t="inlineStr">
        <is>
          <t>NA</t>
        </is>
      </c>
      <c r="K259" s="2" t="n">
        <v>1435.7</v>
      </c>
      <c r="L259" s="2" t="n">
        <v>2522.7</v>
      </c>
      <c r="M259" s="2" t="n">
        <v>2311.3</v>
      </c>
      <c r="N259" s="2" t="n">
        <v>211.4</v>
      </c>
      <c r="O259" s="2" t="n">
        <v>81.59999999999999</v>
      </c>
      <c r="P259" s="2" t="n">
        <v>128</v>
      </c>
      <c r="Q259" s="2" t="n">
        <v>38</v>
      </c>
      <c r="R259" s="2" t="n">
        <v>90</v>
      </c>
      <c r="T259" s="2" t="n">
        <v>15.7</v>
      </c>
      <c r="U259" s="2" t="n">
        <v>45.642</v>
      </c>
      <c r="V259" s="2" t="n">
        <v>42.464</v>
      </c>
      <c r="W259" s="2" t="n">
        <v>3.178</v>
      </c>
      <c r="X259" s="2" t="inlineStr">
        <is>
          <t>NA</t>
        </is>
      </c>
      <c r="Y259" s="2" t="inlineStr">
        <is>
          <t>NA</t>
        </is>
      </c>
      <c r="Z259" s="2" t="n">
        <v>261.6</v>
      </c>
      <c r="AA259" s="2" t="n">
        <v>245.4</v>
      </c>
      <c r="AB259" s="2" t="n">
        <v>16.2</v>
      </c>
      <c r="AC259" s="2" t="inlineStr">
        <is>
          <t>NA</t>
        </is>
      </c>
      <c r="AD259" s="2" t="n">
        <v>52.1</v>
      </c>
      <c r="AF259" s="2" t="n">
        <v>84.134</v>
      </c>
      <c r="AG259" s="2" t="n">
        <v>51.11</v>
      </c>
      <c r="AH259" s="2" t="n">
        <v>33.024</v>
      </c>
      <c r="AI259" s="2" t="n">
        <v>180.5</v>
      </c>
      <c r="AL259" s="2" t="n">
        <v>228.898</v>
      </c>
      <c r="AM259" s="2" t="n">
        <v>140.8</v>
      </c>
      <c r="AN259" s="2" t="n">
        <v>88.098</v>
      </c>
      <c r="AO259" s="2" t="n">
        <v>2870.9</v>
      </c>
      <c r="AP259" s="2" t="n">
        <v>285.6</v>
      </c>
      <c r="AQ259" s="2" t="n">
        <v>212.1</v>
      </c>
      <c r="AR259" s="2" t="n">
        <v>40.2</v>
      </c>
      <c r="AS259" s="2" t="n">
        <v>124.1</v>
      </c>
      <c r="AT259" s="2" t="n">
        <v>49.3</v>
      </c>
      <c r="AU259" s="2" t="n">
        <v>72.5</v>
      </c>
      <c r="AV259" s="2" t="n">
        <v>30.7</v>
      </c>
      <c r="AW259" s="2" t="n">
        <v>10.5</v>
      </c>
      <c r="AX259" s="2" t="n">
        <v>2.1</v>
      </c>
      <c r="AY259" s="2" t="inlineStr">
        <is>
          <t>NA</t>
        </is>
      </c>
      <c r="AZ259" s="2" t="inlineStr">
        <is>
          <t>NA</t>
        </is>
      </c>
      <c r="BA259" s="2" t="inlineStr">
        <is>
          <t>NA</t>
        </is>
      </c>
      <c r="BB259" s="2" t="inlineStr">
        <is>
          <t>NA</t>
        </is>
      </c>
      <c r="BD259" s="2" t="n">
        <v>119.1</v>
      </c>
      <c r="BE259" s="2" t="n">
        <v>37.9</v>
      </c>
      <c r="BF259" s="2" t="n">
        <v>59.5</v>
      </c>
      <c r="BG259" s="2" t="n">
        <v>9.1</v>
      </c>
      <c r="BH259" s="2" t="n">
        <v>272.2</v>
      </c>
      <c r="BK259" s="2" t="n">
        <v>174</v>
      </c>
      <c r="BL259" s="2" t="n">
        <v>3.1</v>
      </c>
      <c r="BM259" s="2" t="n">
        <v>449.3</v>
      </c>
      <c r="BN259" s="2" t="n">
        <v>197.3</v>
      </c>
      <c r="BQ259" s="2" t="n">
        <v>81.3</v>
      </c>
      <c r="BR259" s="2" t="n">
        <v>4.5</v>
      </c>
      <c r="BS259" s="2" t="n">
        <v>283.1</v>
      </c>
      <c r="BT259" s="2" t="n">
        <v>21.3</v>
      </c>
      <c r="BU259" s="2" t="n">
        <v>14.866</v>
      </c>
      <c r="BV259" s="2" t="n">
        <v>320.2</v>
      </c>
      <c r="BW259" s="2" t="n">
        <v>101.3</v>
      </c>
      <c r="BX259" s="2" t="n">
        <v>421.9</v>
      </c>
      <c r="BY259" s="2" t="n">
        <v>39.9</v>
      </c>
      <c r="BZ259" s="2" t="n">
        <v>7.7</v>
      </c>
      <c r="CA259" s="2" t="n">
        <v>47.6</v>
      </c>
      <c r="CF259" s="2" t="n">
        <v>83.90000000000001</v>
      </c>
      <c r="CG259" s="2" t="n">
        <v>107.3</v>
      </c>
      <c r="CH259" s="2" t="n">
        <v>11.9</v>
      </c>
      <c r="CK259" s="2" t="n">
        <v>286.8</v>
      </c>
      <c r="CL259" s="2" t="n">
        <v>36.4</v>
      </c>
      <c r="CN259" s="2" t="n">
        <v>30.4</v>
      </c>
      <c r="CO259" s="2" t="n">
        <v>357.658</v>
      </c>
      <c r="CP259" s="2" t="n">
        <v>236.658</v>
      </c>
      <c r="CQ259" s="2" t="n">
        <v>121</v>
      </c>
      <c r="CR259" s="2" t="inlineStr">
        <is>
          <t>NA</t>
        </is>
      </c>
      <c r="CS259" s="2" t="n">
        <v>48.09999999999999</v>
      </c>
      <c r="CT259" s="2" t="n">
        <v>30.4</v>
      </c>
      <c r="CU259" s="2" t="n">
        <v>17.7</v>
      </c>
      <c r="CV259" s="2" t="n">
        <v>50.01900000000001</v>
      </c>
      <c r="CW259" s="2" t="n">
        <v>15.255</v>
      </c>
      <c r="CX259" s="2" t="n">
        <v>34.764</v>
      </c>
      <c r="CY259" s="2" t="inlineStr">
        <is>
          <t>NA</t>
        </is>
      </c>
      <c r="CZ259" s="2" t="n">
        <v>142.9</v>
      </c>
      <c r="DA259" s="2" t="n">
        <v>24.433</v>
      </c>
      <c r="DB259" s="2" t="n">
        <v>23.13</v>
      </c>
      <c r="DC259" s="2" t="n">
        <v>1.303</v>
      </c>
      <c r="DI259" s="2" t="n">
        <v>603.9</v>
      </c>
      <c r="DJ259" s="2" t="n">
        <v>361.5</v>
      </c>
      <c r="DM259" s="2" t="n">
        <v>247.7</v>
      </c>
      <c r="DO259" s="2" t="n">
        <v>243</v>
      </c>
      <c r="DP259" s="2" t="n">
        <v>274.9</v>
      </c>
      <c r="DS259" s="2" t="n">
        <v>880.478</v>
      </c>
      <c r="DT259" s="2" t="n">
        <v>3867.9</v>
      </c>
      <c r="DU259" s="2" t="n">
        <v>-1256.422</v>
      </c>
      <c r="DV259" s="2" t="n">
        <v>0</v>
      </c>
      <c r="EA259" s="2" t="n">
        <v>791</v>
      </c>
      <c r="EB259" s="2" t="n">
        <v>569.3</v>
      </c>
      <c r="EE259" s="2" t="n">
        <v>46.3</v>
      </c>
      <c r="EG259" s="2" t="n">
        <v>106.6</v>
      </c>
      <c r="EH259" s="2" t="e">
        <v>#VALUE!</v>
      </c>
      <c r="EL259" s="2" t="n">
        <v>3799.1</v>
      </c>
      <c r="EQ259" s="2" t="n">
        <v>227</v>
      </c>
      <c r="ER259" s="2" t="n">
        <v>132.7</v>
      </c>
      <c r="EU259" s="2" t="n">
        <v>97.2</v>
      </c>
      <c r="EW259" s="2" t="n">
        <v>92.2</v>
      </c>
      <c r="EX259" s="2" t="n">
        <v>99.5</v>
      </c>
      <c r="FB259" s="2" t="n">
        <v>1435.7</v>
      </c>
      <c r="FG259" s="2" t="n">
        <v>484.3</v>
      </c>
      <c r="FH259" s="2" t="n">
        <v>288.5</v>
      </c>
      <c r="FK259" s="2" t="n">
        <v>205</v>
      </c>
      <c r="FM259" s="2" t="n">
        <v>195.2</v>
      </c>
      <c r="FN259" s="2" t="n">
        <v>218.8</v>
      </c>
      <c r="FR259" s="2" t="n">
        <v>3093.3</v>
      </c>
      <c r="FW259" s="2" t="n">
        <v>334.9</v>
      </c>
      <c r="FX259" s="2" t="e">
        <v>#VALUE!</v>
      </c>
      <c r="GA259" s="2" t="n">
        <v>71.2</v>
      </c>
      <c r="GC259" s="2" t="n">
        <v>67.2</v>
      </c>
      <c r="GD259" s="2" t="e">
        <v>#VALUE!</v>
      </c>
      <c r="GH259" s="2" t="n">
        <v>1183.4</v>
      </c>
      <c r="GM259" s="2" t="n">
        <v>93.40000000000001</v>
      </c>
      <c r="GN259" s="2" t="n">
        <v>16.2</v>
      </c>
      <c r="GQ259" s="2" t="n">
        <v>16.3</v>
      </c>
      <c r="GS259" s="2" t="e">
        <v>#VALUE!</v>
      </c>
      <c r="GT259" s="2" t="e">
        <v>#VALUE!</v>
      </c>
      <c r="GX259" s="2" t="n">
        <v>325.7</v>
      </c>
      <c r="GY259" s="2" t="n">
        <v>0.960270993643359</v>
      </c>
      <c r="GZ259" s="2" t="n">
        <v>1148.1</v>
      </c>
      <c r="HA259" s="2" t="n">
        <v>1195.6</v>
      </c>
      <c r="HF259" s="2" t="n">
        <v>1297.9</v>
      </c>
      <c r="HG259" s="2" t="n">
        <v>1254.5</v>
      </c>
      <c r="HH259" s="2" t="n">
        <v>588.2</v>
      </c>
      <c r="HI259" s="2" t="n">
        <v>89.40000000000001</v>
      </c>
      <c r="HJ259" s="2" t="n">
        <v>567.5</v>
      </c>
      <c r="HK259" s="2" t="n">
        <v>9.5</v>
      </c>
      <c r="HL259" s="2" t="n">
        <v>43.4</v>
      </c>
      <c r="HP259" s="2" t="e">
        <v>#VALUE!</v>
      </c>
      <c r="HQ259" s="2" t="n">
        <v>3.6</v>
      </c>
      <c r="HR259" s="2" t="n">
        <v>6.9</v>
      </c>
      <c r="HS259" s="2" t="e">
        <v>#VALUE!</v>
      </c>
      <c r="HT259" s="2" t="n">
        <v>28.1</v>
      </c>
      <c r="HW259" s="2" t="n">
        <v>232</v>
      </c>
      <c r="HX259" s="2" t="e">
        <v>#VALUE!</v>
      </c>
      <c r="HY259" s="2" t="n">
        <v>232</v>
      </c>
      <c r="HZ259" s="2" t="n">
        <v>55.9</v>
      </c>
      <c r="IA259" s="2" t="n">
        <v>155.4</v>
      </c>
      <c r="IB259" s="2" t="n">
        <v>54.6</v>
      </c>
      <c r="IC259" s="2" t="n">
        <v>100.5</v>
      </c>
      <c r="ID259" s="2" t="e">
        <v>#VALUE!</v>
      </c>
      <c r="IE259" s="2" t="n">
        <v>0.3</v>
      </c>
      <c r="IF259" s="2" t="n">
        <v>7.6</v>
      </c>
      <c r="IG259" s="2" t="e">
        <v>#VALUE!</v>
      </c>
      <c r="IN259" s="2" t="n">
        <v>57.8</v>
      </c>
      <c r="IO259" s="2" t="n">
        <v>59.5</v>
      </c>
      <c r="IP259" s="2" t="e">
        <v>#VALUE!</v>
      </c>
      <c r="IQ259" s="2" t="n">
        <v>32.6</v>
      </c>
      <c r="IR259" s="2" t="n">
        <v>13.1</v>
      </c>
      <c r="IS259" s="2" t="e">
        <v>#VALUE!</v>
      </c>
      <c r="IT259" s="2" t="n">
        <v>16.9</v>
      </c>
      <c r="IU259" s="2" t="e">
        <v>#VALUE!</v>
      </c>
      <c r="IV259" s="2" t="e">
        <v>#VALUE!</v>
      </c>
      <c r="IY259" s="2" t="n">
        <v>47.82440083766384</v>
      </c>
      <c r="IZ259" s="2" t="n">
        <v>-0.105599162336155</v>
      </c>
      <c r="JB259" s="2" t="n">
        <v>11.1354998836578</v>
      </c>
      <c r="JC259" s="2" t="n">
        <v>-0.1145001163422013</v>
      </c>
      <c r="JE259" s="2" t="n">
        <v>2522.7</v>
      </c>
      <c r="JF259" s="2" t="n">
        <v>0.7634225234867403</v>
      </c>
    </row>
    <row r="260">
      <c r="A260" s="1" t="n">
        <v>36951</v>
      </c>
      <c r="B260" s="2" t="n">
        <v>4252.9</v>
      </c>
      <c r="C260" s="2" t="n">
        <v>3604.7</v>
      </c>
      <c r="D260" s="2" t="n">
        <v>261.9</v>
      </c>
      <c r="E260" s="2" t="n">
        <v>1323.9</v>
      </c>
      <c r="F260" s="2" t="n">
        <v>23.7</v>
      </c>
      <c r="G260" s="2" t="inlineStr">
        <is>
          <t>NA</t>
        </is>
      </c>
      <c r="H260" s="2" t="inlineStr">
        <is>
          <t>NA</t>
        </is>
      </c>
      <c r="I260" s="2" t="inlineStr">
        <is>
          <t>NA</t>
        </is>
      </c>
      <c r="J260" s="2" t="inlineStr">
        <is>
          <t>NA</t>
        </is>
      </c>
      <c r="K260" s="2" t="n">
        <v>1602.4</v>
      </c>
      <c r="L260" s="2" t="n">
        <v>2549.6</v>
      </c>
      <c r="M260" s="2" t="n">
        <v>2349.7</v>
      </c>
      <c r="N260" s="2" t="n">
        <v>199.9</v>
      </c>
      <c r="O260" s="2" t="n">
        <v>79.59999999999999</v>
      </c>
      <c r="P260" s="2" t="n">
        <v>132.5</v>
      </c>
      <c r="Q260" s="2" t="n">
        <v>46.3</v>
      </c>
      <c r="R260" s="2" t="n">
        <v>86.2</v>
      </c>
      <c r="T260" s="2" t="n">
        <v>20.1</v>
      </c>
      <c r="U260" s="2" t="n">
        <v>48.344</v>
      </c>
      <c r="V260" s="2" t="n">
        <v>46.5</v>
      </c>
      <c r="W260" s="2" t="n">
        <v>1.844</v>
      </c>
      <c r="X260" s="2" t="inlineStr">
        <is>
          <t>NA</t>
        </is>
      </c>
      <c r="Y260" s="2" t="n">
        <v>17.924</v>
      </c>
      <c r="Z260" s="2" t="n">
        <v>341.513</v>
      </c>
      <c r="AA260" s="2" t="n">
        <v>323.445</v>
      </c>
      <c r="AB260" s="2" t="n">
        <v>18.068</v>
      </c>
      <c r="AC260" s="2" t="inlineStr">
        <is>
          <t>NA</t>
        </is>
      </c>
      <c r="AD260" s="2" t="n">
        <v>52.9</v>
      </c>
      <c r="AF260" s="2" t="n">
        <v>73.66</v>
      </c>
      <c r="AG260" s="2" t="n">
        <v>41.498</v>
      </c>
      <c r="AH260" s="2" t="n">
        <v>32.162</v>
      </c>
      <c r="AI260" s="2" t="n">
        <v>201.6</v>
      </c>
      <c r="AL260" s="2" t="n">
        <v>177.635</v>
      </c>
      <c r="AM260" s="2" t="n">
        <v>115.89</v>
      </c>
      <c r="AN260" s="2" t="n">
        <v>61.745</v>
      </c>
      <c r="AO260" s="2" t="n">
        <v>3178.7</v>
      </c>
      <c r="AP260" s="2" t="n">
        <v>270.8</v>
      </c>
      <c r="AQ260" s="2" t="n">
        <v>233.8</v>
      </c>
      <c r="AR260" s="2" t="n">
        <v>38.3</v>
      </c>
      <c r="AS260" s="2" t="n">
        <v>125.5</v>
      </c>
      <c r="AT260" s="2" t="n">
        <v>72.5</v>
      </c>
      <c r="AU260" s="2" t="n">
        <v>69.7</v>
      </c>
      <c r="AV260" s="2" t="n">
        <v>31.8</v>
      </c>
      <c r="AW260" s="2" t="n">
        <v>12.8</v>
      </c>
      <c r="AX260" s="2" t="n">
        <v>2.1</v>
      </c>
      <c r="AY260" s="2" t="inlineStr">
        <is>
          <t>NA</t>
        </is>
      </c>
      <c r="AZ260" s="2" t="inlineStr">
        <is>
          <t>NA</t>
        </is>
      </c>
      <c r="BA260" s="2" t="inlineStr">
        <is>
          <t>NA</t>
        </is>
      </c>
      <c r="BB260" s="2" t="inlineStr">
        <is>
          <t>NA</t>
        </is>
      </c>
      <c r="BD260" s="2" t="n">
        <v>140.4</v>
      </c>
      <c r="BE260" s="2" t="n">
        <v>33.9</v>
      </c>
      <c r="BF260" s="2" t="n">
        <v>69.09999999999999</v>
      </c>
      <c r="BG260" s="2" t="n">
        <v>10.6</v>
      </c>
      <c r="BH260" s="2" t="n">
        <v>278.6</v>
      </c>
      <c r="BK260" s="2" t="n">
        <v>191.9</v>
      </c>
      <c r="BL260" s="2" t="n">
        <v>4.2</v>
      </c>
      <c r="BM260" s="2" t="n">
        <v>474.7</v>
      </c>
      <c r="BN260" s="2" t="n">
        <v>214.8</v>
      </c>
      <c r="BQ260" s="2" t="n">
        <v>96.7</v>
      </c>
      <c r="BR260" s="2" t="n">
        <v>3.9</v>
      </c>
      <c r="BS260" s="2" t="n">
        <v>315.4</v>
      </c>
      <c r="BT260" s="2" t="n">
        <v>24.9</v>
      </c>
      <c r="BU260" s="2" t="n">
        <v>18.1</v>
      </c>
      <c r="BV260" s="2" t="n">
        <v>312</v>
      </c>
      <c r="BW260" s="2" t="n">
        <v>98.40000000000001</v>
      </c>
      <c r="BX260" s="2" t="n">
        <v>410.7</v>
      </c>
      <c r="BY260" s="2" t="n">
        <v>44.9</v>
      </c>
      <c r="BZ260" s="2" t="n">
        <v>9.9</v>
      </c>
      <c r="CA260" s="2" t="n">
        <v>54.8</v>
      </c>
      <c r="CF260" s="2" t="n">
        <v>103.702</v>
      </c>
      <c r="CG260" s="2" t="n">
        <v>123.9</v>
      </c>
      <c r="CH260" s="2" t="n">
        <v>11.4</v>
      </c>
      <c r="CK260" s="2" t="n">
        <v>361.3</v>
      </c>
      <c r="CL260" s="2" t="n">
        <v>50.2</v>
      </c>
      <c r="CN260" s="2" t="n">
        <v>48</v>
      </c>
      <c r="CO260" s="2" t="n">
        <v>276.416</v>
      </c>
      <c r="CP260" s="2" t="n">
        <v>182.616</v>
      </c>
      <c r="CQ260" s="2" t="n">
        <v>93.8</v>
      </c>
      <c r="CR260" s="2" t="inlineStr">
        <is>
          <t>NA</t>
        </is>
      </c>
      <c r="CS260" s="2" t="n">
        <v>50.8</v>
      </c>
      <c r="CT260" s="2" t="n">
        <v>31.6</v>
      </c>
      <c r="CU260" s="2" t="n">
        <v>19.2</v>
      </c>
      <c r="CV260" s="2" t="n">
        <v>41.974</v>
      </c>
      <c r="CW260" s="2" t="n">
        <v>11.425</v>
      </c>
      <c r="CX260" s="2" t="n">
        <v>30.549</v>
      </c>
      <c r="CY260" s="2" t="inlineStr">
        <is>
          <t>NA</t>
        </is>
      </c>
      <c r="CZ260" s="2" t="n">
        <v>114.521</v>
      </c>
      <c r="DA260" s="2" t="n">
        <v>27.357</v>
      </c>
      <c r="DB260" s="2" t="n">
        <v>26.218</v>
      </c>
      <c r="DC260" s="2" t="n">
        <v>1.139</v>
      </c>
      <c r="DI260" s="2" t="n">
        <v>734.9</v>
      </c>
      <c r="DJ260" s="2" t="n">
        <v>393.6</v>
      </c>
      <c r="DM260" s="2" t="n">
        <v>263</v>
      </c>
      <c r="DO260" s="2" t="n">
        <v>251.3</v>
      </c>
      <c r="DP260" s="2" t="n">
        <v>277</v>
      </c>
      <c r="DS260" s="2" t="n">
        <v>983.2809999999999</v>
      </c>
      <c r="DT260" s="2" t="n">
        <v>4252.9</v>
      </c>
      <c r="DU260" s="2" t="n">
        <v>-1349.819</v>
      </c>
      <c r="DV260" s="2" t="n">
        <v>0</v>
      </c>
      <c r="EA260" s="2" t="n">
        <v>665.3</v>
      </c>
      <c r="EB260" s="2" t="n">
        <v>494.3</v>
      </c>
      <c r="EE260" s="2" t="n">
        <v>55.7</v>
      </c>
      <c r="EG260" s="2" t="n">
        <v>125.1</v>
      </c>
      <c r="EH260" s="2" t="e">
        <v>#VALUE!</v>
      </c>
      <c r="EL260" s="2" t="n">
        <v>3604.7</v>
      </c>
      <c r="EQ260" s="2" t="n">
        <v>281.6</v>
      </c>
      <c r="ER260" s="2" t="n">
        <v>147.8</v>
      </c>
      <c r="EU260" s="2" t="n">
        <v>100.9</v>
      </c>
      <c r="EW260" s="2" t="n">
        <v>96.7</v>
      </c>
      <c r="EX260" s="2" t="n">
        <v>99.3</v>
      </c>
      <c r="FB260" s="2" t="n">
        <v>1602.4</v>
      </c>
      <c r="FG260" s="2" t="n">
        <v>592.1</v>
      </c>
      <c r="FH260" s="2" t="n">
        <v>315.8</v>
      </c>
      <c r="FK260" s="2" t="n">
        <v>210</v>
      </c>
      <c r="FM260" s="2" t="n">
        <v>201</v>
      </c>
      <c r="FN260" s="2" t="n">
        <v>221.4</v>
      </c>
      <c r="FR260" s="2" t="n">
        <v>3421.1</v>
      </c>
      <c r="FW260" s="2" t="n">
        <v>361.5</v>
      </c>
      <c r="FX260" s="2" t="e">
        <v>#VALUE!</v>
      </c>
      <c r="GA260" s="2" t="n">
        <v>60.2</v>
      </c>
      <c r="GC260" s="2" t="n">
        <v>68.59999999999999</v>
      </c>
      <c r="GD260" s="2" t="e">
        <v>#VALUE!</v>
      </c>
      <c r="GH260" s="2" t="n">
        <v>1210.4</v>
      </c>
      <c r="GM260" s="2" t="n">
        <v>108.7</v>
      </c>
      <c r="GN260" s="2" t="n">
        <v>24.3</v>
      </c>
      <c r="GQ260" s="2" t="n">
        <v>10.9</v>
      </c>
      <c r="GS260" s="2" t="n">
        <v>8.699999999999999</v>
      </c>
      <c r="GT260" s="2" t="e">
        <v>#VALUE!</v>
      </c>
      <c r="GX260" s="2" t="n">
        <v>309.1</v>
      </c>
      <c r="GY260" s="2" t="n">
        <v>0.9590755897929706</v>
      </c>
      <c r="GZ260" s="2" t="n">
        <v>1195.2</v>
      </c>
      <c r="HA260" s="2" t="n">
        <v>1246.2</v>
      </c>
      <c r="HF260" s="2" t="n">
        <v>1465.4</v>
      </c>
      <c r="HG260" s="2" t="n">
        <v>1421.2</v>
      </c>
      <c r="HH260" s="2" t="n">
        <v>655.2</v>
      </c>
      <c r="HI260" s="2" t="n">
        <v>100.9</v>
      </c>
      <c r="HJ260" s="2" t="n">
        <v>655</v>
      </c>
      <c r="HK260" s="2" t="n">
        <v>10.2</v>
      </c>
      <c r="HL260" s="2" t="n">
        <v>44.2</v>
      </c>
      <c r="HP260" s="2" t="e">
        <v>#VALUE!</v>
      </c>
      <c r="HQ260" s="2" t="n">
        <v>3.2</v>
      </c>
      <c r="HR260" s="2" t="n">
        <v>5</v>
      </c>
      <c r="HS260" s="2" t="e">
        <v>#VALUE!</v>
      </c>
      <c r="HT260" s="2" t="n">
        <v>32.2</v>
      </c>
      <c r="HW260" s="2" t="n">
        <v>251.2</v>
      </c>
      <c r="HX260" s="2" t="e">
        <v>#VALUE!</v>
      </c>
      <c r="HY260" s="2" t="n">
        <v>251.2</v>
      </c>
      <c r="HZ260" s="2" t="n">
        <v>53.7</v>
      </c>
      <c r="IA260" s="2" t="n">
        <v>176.8</v>
      </c>
      <c r="IB260" s="2" t="n">
        <v>63.8</v>
      </c>
      <c r="IC260" s="2" t="n">
        <v>112.4</v>
      </c>
      <c r="ID260" s="2" t="e">
        <v>#VALUE!</v>
      </c>
      <c r="IE260" s="2" t="n">
        <v>0.5</v>
      </c>
      <c r="IF260" s="2" t="e">
        <v>#VALUE!</v>
      </c>
      <c r="IG260" s="2" t="e">
        <v>#VALUE!</v>
      </c>
      <c r="IN260" s="2" t="n">
        <v>55.6</v>
      </c>
      <c r="IO260" s="2" t="n">
        <v>57.4</v>
      </c>
      <c r="IP260" s="2" t="e">
        <v>#VALUE!</v>
      </c>
      <c r="IQ260" s="2" t="n">
        <v>37.9</v>
      </c>
      <c r="IR260" s="2" t="n">
        <v>14.8</v>
      </c>
      <c r="IS260" s="2" t="e">
        <v>#VALUE!</v>
      </c>
      <c r="IT260" s="2" t="n">
        <v>20.4</v>
      </c>
      <c r="IU260" s="2" t="e">
        <v>#VALUE!</v>
      </c>
      <c r="IV260" s="2" t="e">
        <v>#VALUE!</v>
      </c>
      <c r="IY260" s="2" t="n">
        <v>48.14361964776976</v>
      </c>
      <c r="IZ260" s="2" t="n">
        <v>0.1036196477697615</v>
      </c>
      <c r="JB260" s="2" t="n">
        <v>11.30334595217381</v>
      </c>
      <c r="JC260" s="2" t="n">
        <v>-0.06665404782618722</v>
      </c>
      <c r="JE260" s="2" t="n">
        <v>2549.6</v>
      </c>
      <c r="JF260" s="2" t="n">
        <v>0.7632852212111704</v>
      </c>
    </row>
    <row r="261">
      <c r="A261" s="1" t="n">
        <v>36982</v>
      </c>
      <c r="B261" s="2" t="n">
        <v>3931.6</v>
      </c>
      <c r="C261" s="2" t="n">
        <v>2835.7</v>
      </c>
      <c r="D261" s="2" t="n">
        <v>186</v>
      </c>
      <c r="E261" s="2" t="n">
        <v>1167.4</v>
      </c>
      <c r="F261" s="2" t="n">
        <v>18.9</v>
      </c>
      <c r="G261" s="2" t="inlineStr">
        <is>
          <t>NA</t>
        </is>
      </c>
      <c r="H261" s="2" t="inlineStr">
        <is>
          <t>NA</t>
        </is>
      </c>
      <c r="I261" s="2" t="inlineStr">
        <is>
          <t>NA</t>
        </is>
      </c>
      <c r="J261" s="2" t="inlineStr">
        <is>
          <t>NA</t>
        </is>
      </c>
      <c r="K261" s="2" t="n">
        <v>1485.2</v>
      </c>
      <c r="L261" s="2" t="n">
        <v>2542.862</v>
      </c>
      <c r="M261" s="2" t="n">
        <v>2358.8</v>
      </c>
      <c r="N261" s="2" t="n">
        <v>184.062</v>
      </c>
      <c r="O261" s="2" t="n">
        <v>57.1</v>
      </c>
      <c r="P261" s="2" t="n">
        <v>125.1</v>
      </c>
      <c r="Q261" s="2" t="n">
        <v>45.6</v>
      </c>
      <c r="R261" s="2" t="n">
        <v>79.5</v>
      </c>
      <c r="T261" s="2" t="n">
        <v>15.3</v>
      </c>
      <c r="U261" s="2" t="n">
        <v>48.417</v>
      </c>
      <c r="V261" s="2" t="n">
        <v>45.208</v>
      </c>
      <c r="W261" s="2" t="n">
        <v>3.209</v>
      </c>
      <c r="X261" s="2" t="inlineStr">
        <is>
          <t>NA</t>
        </is>
      </c>
      <c r="Y261" s="2" t="n">
        <v>16.26</v>
      </c>
      <c r="Z261" s="2" t="n">
        <v>337.068</v>
      </c>
      <c r="AA261" s="2" t="n">
        <v>310.562</v>
      </c>
      <c r="AB261" s="2" t="n">
        <v>26.506</v>
      </c>
      <c r="AC261" s="2" t="inlineStr">
        <is>
          <t>NA</t>
        </is>
      </c>
      <c r="AD261" s="2" t="n">
        <v>59.2</v>
      </c>
      <c r="AF261" s="2" t="n">
        <v>61.532</v>
      </c>
      <c r="AG261" s="2" t="n">
        <v>38.544</v>
      </c>
      <c r="AH261" s="2" t="n">
        <v>22.988</v>
      </c>
      <c r="AI261" s="2" t="n">
        <v>200.7</v>
      </c>
      <c r="AL261" s="2" t="n">
        <v>172.012</v>
      </c>
      <c r="AM261" s="2" t="n">
        <v>111.29</v>
      </c>
      <c r="AN261" s="2" t="n">
        <v>60.722</v>
      </c>
      <c r="AO261" s="2" t="n">
        <v>2941.8</v>
      </c>
      <c r="AP261" s="2" t="n">
        <v>273.6</v>
      </c>
      <c r="AQ261" s="2" t="n">
        <v>210.5</v>
      </c>
      <c r="AR261" s="2" t="n">
        <v>39.7</v>
      </c>
      <c r="AS261" s="2" t="n">
        <v>88.59999999999999</v>
      </c>
      <c r="AT261" s="2" t="n">
        <v>78.3</v>
      </c>
      <c r="AU261" s="2" t="n">
        <v>49.1</v>
      </c>
      <c r="AV261" s="2" t="n">
        <v>23.4</v>
      </c>
      <c r="AW261" s="2" t="n">
        <v>10.8</v>
      </c>
      <c r="AX261" s="2" t="n">
        <v>2</v>
      </c>
      <c r="AY261" s="2" t="inlineStr">
        <is>
          <t>NA</t>
        </is>
      </c>
      <c r="AZ261" s="2" t="inlineStr">
        <is>
          <t>NA</t>
        </is>
      </c>
      <c r="BA261" s="2" t="inlineStr">
        <is>
          <t>NA</t>
        </is>
      </c>
      <c r="BB261" s="2" t="inlineStr">
        <is>
          <t>NA</t>
        </is>
      </c>
      <c r="BD261" s="2" t="n">
        <v>122.9</v>
      </c>
      <c r="BE261" s="2" t="n">
        <v>40.8</v>
      </c>
      <c r="BF261" s="2" t="n">
        <v>61.8</v>
      </c>
      <c r="BG261" s="2" t="n">
        <v>7.2</v>
      </c>
      <c r="BH261" s="2" t="n">
        <v>256.7</v>
      </c>
      <c r="BK261" s="2" t="n">
        <v>193.1</v>
      </c>
      <c r="BL261" s="2" t="n">
        <v>4</v>
      </c>
      <c r="BM261" s="2" t="n">
        <v>453.8</v>
      </c>
      <c r="BN261" s="2" t="n">
        <v>163.8</v>
      </c>
      <c r="BQ261" s="2" t="n">
        <v>110.8</v>
      </c>
      <c r="BR261" s="2" t="n">
        <v>5.5</v>
      </c>
      <c r="BS261" s="2" t="n">
        <v>280.1</v>
      </c>
      <c r="BT261" s="2" t="n">
        <v>22.9</v>
      </c>
      <c r="BU261" s="2" t="n">
        <v>13.9</v>
      </c>
      <c r="BV261" s="2" t="n">
        <v>289.8</v>
      </c>
      <c r="BW261" s="2" t="n">
        <v>93.8</v>
      </c>
      <c r="BX261" s="2" t="n">
        <v>383.8</v>
      </c>
      <c r="BY261" s="2" t="n">
        <v>45.9</v>
      </c>
      <c r="BZ261" s="2" t="n">
        <v>8.5</v>
      </c>
      <c r="CA261" s="2" t="n">
        <v>54.4</v>
      </c>
      <c r="CF261" s="2" t="n">
        <v>99.732</v>
      </c>
      <c r="CG261" s="2" t="n">
        <v>129.4</v>
      </c>
      <c r="CH261" s="2" t="n">
        <v>13.6</v>
      </c>
      <c r="CK261" s="2" t="n">
        <v>309.1</v>
      </c>
      <c r="CL261" s="2" t="n">
        <v>48.9</v>
      </c>
      <c r="CN261" s="2" t="n">
        <v>46.6</v>
      </c>
      <c r="CO261" s="2" t="n">
        <v>286.875</v>
      </c>
      <c r="CP261" s="2" t="n">
        <v>184.984</v>
      </c>
      <c r="CQ261" s="2" t="n">
        <v>101.891</v>
      </c>
      <c r="CR261" s="2" t="inlineStr">
        <is>
          <t>NA</t>
        </is>
      </c>
      <c r="CS261" s="2" t="n">
        <v>39.3</v>
      </c>
      <c r="CT261" s="2" t="n">
        <v>22.4</v>
      </c>
      <c r="CU261" s="2" t="n">
        <v>16.9</v>
      </c>
      <c r="CV261" s="2" t="n">
        <v>43.781</v>
      </c>
      <c r="CW261" s="2" t="n">
        <v>15.99</v>
      </c>
      <c r="CX261" s="2" t="n">
        <v>27.791</v>
      </c>
      <c r="CY261" s="2" t="inlineStr">
        <is>
          <t>NA</t>
        </is>
      </c>
      <c r="CZ261" s="2" t="n">
        <v>123.3</v>
      </c>
      <c r="DA261" s="2" t="n">
        <v>31.181</v>
      </c>
      <c r="DB261" s="2" t="n">
        <v>29.768</v>
      </c>
      <c r="DC261" s="2" t="n">
        <v>1.413</v>
      </c>
      <c r="DI261" s="2" t="n">
        <v>684.6</v>
      </c>
      <c r="DJ261" s="2" t="n">
        <v>371.7</v>
      </c>
      <c r="DM261" s="2" t="n">
        <v>248.6</v>
      </c>
      <c r="DO261" s="2" t="n">
        <v>193.3</v>
      </c>
      <c r="DP261" s="2" t="n">
        <v>245.8</v>
      </c>
      <c r="DS261" s="2" t="n">
        <v>2020</v>
      </c>
      <c r="DT261" s="2" t="n">
        <v>3931.6</v>
      </c>
      <c r="DU261" s="2" t="n">
        <v>-167.5999999999999</v>
      </c>
      <c r="DV261" s="2" t="n">
        <v>0</v>
      </c>
      <c r="EA261" s="2" t="n">
        <v>303.2</v>
      </c>
      <c r="EB261" s="2" t="n">
        <v>373.3</v>
      </c>
      <c r="EE261" s="2" t="n">
        <v>62.2</v>
      </c>
      <c r="EG261" s="2" t="n">
        <v>137.3</v>
      </c>
      <c r="EH261" s="2" t="e">
        <v>#VALUE!</v>
      </c>
      <c r="EL261" s="2" t="n">
        <v>2835.7</v>
      </c>
      <c r="EQ261" s="2" t="n">
        <v>261.2</v>
      </c>
      <c r="ER261" s="2" t="n">
        <v>259.5</v>
      </c>
      <c r="EU261" s="2" t="n">
        <v>96.59999999999999</v>
      </c>
      <c r="EW261" s="2" t="n">
        <v>73</v>
      </c>
      <c r="EX261" s="2" t="n">
        <v>87.90000000000001</v>
      </c>
      <c r="FB261" s="2" t="n">
        <v>1485.2</v>
      </c>
      <c r="FG261" s="2" t="n">
        <v>546.2</v>
      </c>
      <c r="FH261" s="2" t="n">
        <v>296.9</v>
      </c>
      <c r="FK261" s="2" t="e">
        <v>#VALUE!</v>
      </c>
      <c r="FM261" s="2" t="n">
        <v>156</v>
      </c>
      <c r="FN261" s="2" t="n">
        <v>197.3</v>
      </c>
      <c r="FR261" s="2" t="n">
        <v>3161.2</v>
      </c>
      <c r="FW261" s="2" t="n">
        <v>381.9</v>
      </c>
      <c r="FX261" s="2" t="e">
        <v>#VALUE!</v>
      </c>
      <c r="GA261" s="2" t="n">
        <v>42.1</v>
      </c>
      <c r="GC261" s="2" t="n">
        <v>68.7</v>
      </c>
      <c r="GD261" s="2" t="e">
        <v>#VALUE!</v>
      </c>
      <c r="GH261" s="2" t="n">
        <v>1207.3</v>
      </c>
      <c r="GM261" s="2" t="n">
        <v>134.7</v>
      </c>
      <c r="GN261" s="2" t="n">
        <v>18.8</v>
      </c>
      <c r="GQ261" s="2" t="n">
        <v>31</v>
      </c>
      <c r="GS261" s="2" t="e">
        <v>#VALUE!</v>
      </c>
      <c r="GT261" s="2" t="e">
        <v>#VALUE!</v>
      </c>
      <c r="GX261" s="2" t="n">
        <v>313.3</v>
      </c>
      <c r="GY261" s="2" t="n">
        <v>0.9638009049773756</v>
      </c>
      <c r="GZ261" s="2" t="n">
        <v>1150.2</v>
      </c>
      <c r="HA261" s="2" t="n">
        <v>1193.4</v>
      </c>
      <c r="HF261" s="2" t="n">
        <v>1363.5</v>
      </c>
      <c r="HG261" s="2" t="n">
        <v>1320.6</v>
      </c>
      <c r="HH261" s="2" t="n">
        <v>623.4</v>
      </c>
      <c r="HI261" s="2" t="n">
        <v>102.7</v>
      </c>
      <c r="HJ261" s="2" t="n">
        <v>584</v>
      </c>
      <c r="HK261" s="2" t="n">
        <v>10.6</v>
      </c>
      <c r="HL261" s="2" t="n">
        <v>42.9</v>
      </c>
      <c r="HP261" s="2" t="e">
        <v>#VALUE!</v>
      </c>
      <c r="HQ261" s="2" t="n">
        <v>3.7</v>
      </c>
      <c r="HR261" s="2" t="n">
        <v>6.1</v>
      </c>
      <c r="HS261" s="2" t="e">
        <v>#VALUE!</v>
      </c>
      <c r="HT261" s="2" t="n">
        <v>27.2</v>
      </c>
      <c r="HW261" s="2" t="n">
        <v>243.5</v>
      </c>
      <c r="HX261" s="2" t="e">
        <v>#VALUE!</v>
      </c>
      <c r="HY261" s="2" t="n">
        <v>243.5</v>
      </c>
      <c r="HZ261" s="2" t="e">
        <v>#VALUE!</v>
      </c>
      <c r="IA261" s="2" t="n">
        <v>169.4</v>
      </c>
      <c r="IB261" s="2" t="n">
        <v>58.2</v>
      </c>
      <c r="IC261" s="2" t="n">
        <v>110.3</v>
      </c>
      <c r="ID261" s="2" t="e">
        <v>#VALUE!</v>
      </c>
      <c r="IE261" s="2" t="n">
        <v>0.8</v>
      </c>
      <c r="IF261" s="2" t="n">
        <v>7.1</v>
      </c>
      <c r="IG261" s="2" t="e">
        <v>#VALUE!</v>
      </c>
      <c r="IN261" s="2" t="n">
        <v>34.4</v>
      </c>
      <c r="IO261" s="2" t="n">
        <v>35.9</v>
      </c>
      <c r="IP261" s="2" t="e">
        <v>#VALUE!</v>
      </c>
      <c r="IQ261" s="2" t="n">
        <v>28.3</v>
      </c>
      <c r="IR261" s="2" t="n">
        <v>12.6</v>
      </c>
      <c r="IS261" s="2" t="e">
        <v>#VALUE!</v>
      </c>
      <c r="IT261" s="2" t="n">
        <v>13.9</v>
      </c>
      <c r="IU261" s="2" t="e">
        <v>#VALUE!</v>
      </c>
      <c r="IV261" s="2" t="e">
        <v>#VALUE!</v>
      </c>
      <c r="IY261" s="2" t="n">
        <v>48.10713195645539</v>
      </c>
      <c r="IZ261" s="2" t="n">
        <v>0.1171319564553883</v>
      </c>
      <c r="JB261" s="2" t="n">
        <v>11.33279072133483</v>
      </c>
      <c r="JC261" s="2" t="n">
        <v>-0.05720927866517478</v>
      </c>
      <c r="JE261" s="2" t="n">
        <v>2542.862</v>
      </c>
      <c r="JF261" s="2" t="n">
        <v>0.7830330548806816</v>
      </c>
    </row>
    <row r="262">
      <c r="A262" s="1" t="n">
        <v>37012</v>
      </c>
      <c r="B262" s="2" t="n">
        <v>3980.1</v>
      </c>
      <c r="C262" s="2" t="n">
        <v>2571.5</v>
      </c>
      <c r="D262" s="2" t="n">
        <v>228.3</v>
      </c>
      <c r="E262" s="2" t="n">
        <v>902.1</v>
      </c>
      <c r="F262" s="2" t="n">
        <v>15.6</v>
      </c>
      <c r="G262" s="2" t="inlineStr">
        <is>
          <t>NA</t>
        </is>
      </c>
      <c r="H262" s="2" t="inlineStr">
        <is>
          <t>NA</t>
        </is>
      </c>
      <c r="I262" s="2" t="inlineStr">
        <is>
          <t>NA</t>
        </is>
      </c>
      <c r="J262" s="2" t="inlineStr">
        <is>
          <t>NA</t>
        </is>
      </c>
      <c r="K262" s="2" t="n">
        <v>1478.6</v>
      </c>
      <c r="L262" s="2" t="n">
        <v>2695.6</v>
      </c>
      <c r="M262" s="2" t="n">
        <v>2494.6</v>
      </c>
      <c r="N262" s="2" t="n">
        <v>201</v>
      </c>
      <c r="O262" s="2" t="n">
        <v>70</v>
      </c>
      <c r="P262" s="2" t="n">
        <v>114.809</v>
      </c>
      <c r="Q262" s="2" t="n">
        <v>42.6</v>
      </c>
      <c r="R262" s="2" t="n">
        <v>72.209</v>
      </c>
      <c r="T262" s="2" t="n">
        <v>12.4</v>
      </c>
      <c r="U262" s="2" t="n">
        <v>42.837</v>
      </c>
      <c r="V262" s="2" t="n">
        <v>40.299</v>
      </c>
      <c r="W262" s="2" t="n">
        <v>2.538</v>
      </c>
      <c r="X262" s="2" t="inlineStr">
        <is>
          <t>NA</t>
        </is>
      </c>
      <c r="Y262" s="2" t="n">
        <v>16.576</v>
      </c>
      <c r="Z262" s="2" t="n">
        <v>235.745</v>
      </c>
      <c r="AA262" s="2" t="n">
        <v>205.648</v>
      </c>
      <c r="AB262" s="2" t="n">
        <v>30.097</v>
      </c>
      <c r="AC262" s="2" t="inlineStr">
        <is>
          <t>NA</t>
        </is>
      </c>
      <c r="AD262" s="2" t="n">
        <v>42.9</v>
      </c>
      <c r="AF262" s="2" t="n">
        <v>56.761</v>
      </c>
      <c r="AG262" s="2" t="n">
        <v>34.712</v>
      </c>
      <c r="AH262" s="2" t="n">
        <v>22.049</v>
      </c>
      <c r="AI262" s="2" t="n">
        <v>206.2</v>
      </c>
      <c r="AL262" s="2" t="n">
        <v>152.546</v>
      </c>
      <c r="AM262" s="2" t="n">
        <v>105.078</v>
      </c>
      <c r="AN262" s="2" t="n">
        <v>47.468</v>
      </c>
      <c r="AO262" s="2" t="n">
        <v>2973.2</v>
      </c>
      <c r="AP262" s="2" t="n">
        <v>247.8</v>
      </c>
      <c r="AQ262" s="2" t="n">
        <v>207.8</v>
      </c>
      <c r="AR262" s="2" t="n">
        <v>39.1</v>
      </c>
      <c r="AS262" s="2" t="n">
        <v>106.2</v>
      </c>
      <c r="AT262" s="2" t="n">
        <v>108.5</v>
      </c>
      <c r="AU262" s="2" t="n">
        <v>60</v>
      </c>
      <c r="AV262" s="2" t="n">
        <v>22.6</v>
      </c>
      <c r="AW262" s="2" t="n">
        <v>8.4</v>
      </c>
      <c r="AX262" s="2" t="n">
        <v>1.5</v>
      </c>
      <c r="AY262" s="2" t="inlineStr">
        <is>
          <t>NA</t>
        </is>
      </c>
      <c r="AZ262" s="2" t="inlineStr">
        <is>
          <t>NA</t>
        </is>
      </c>
      <c r="BA262" s="2" t="inlineStr">
        <is>
          <t>NA</t>
        </is>
      </c>
      <c r="BB262" s="2" t="inlineStr">
        <is>
          <t>NA</t>
        </is>
      </c>
      <c r="BD262" s="2" t="n">
        <v>161.5</v>
      </c>
      <c r="BE262" s="2" t="n">
        <v>39.3</v>
      </c>
      <c r="BF262" s="2" t="n">
        <v>70</v>
      </c>
      <c r="BG262" s="2" t="n">
        <v>6.9</v>
      </c>
      <c r="BH262" s="2" t="n">
        <v>295.4</v>
      </c>
      <c r="BK262" s="2" t="n">
        <v>211.1</v>
      </c>
      <c r="BL262" s="2" t="n">
        <v>3.6</v>
      </c>
      <c r="BM262" s="2" t="n">
        <v>510.1</v>
      </c>
      <c r="BN262" s="2" t="n">
        <v>173.2</v>
      </c>
      <c r="BQ262" s="2" t="n">
        <v>87.59999999999999</v>
      </c>
      <c r="BR262" s="2" t="n">
        <v>0</v>
      </c>
      <c r="BS262" s="2" t="n">
        <v>260.8</v>
      </c>
      <c r="BT262" s="2" t="n">
        <v>22.3</v>
      </c>
      <c r="BU262" s="2" t="n">
        <v>13.6</v>
      </c>
      <c r="BV262" s="2" t="n">
        <v>321.1</v>
      </c>
      <c r="BW262" s="2" t="n">
        <v>105.8</v>
      </c>
      <c r="BX262" s="2" t="n">
        <v>423.3</v>
      </c>
      <c r="BY262" s="2" t="n">
        <v>41.9</v>
      </c>
      <c r="BZ262" s="2" t="n">
        <v>7.5</v>
      </c>
      <c r="CA262" s="2" t="n">
        <v>49.4</v>
      </c>
      <c r="CF262" s="2" t="n">
        <v>99.90900000000001</v>
      </c>
      <c r="CG262" s="2" t="n">
        <v>159.3</v>
      </c>
      <c r="CH262" s="2" t="n">
        <v>11.8</v>
      </c>
      <c r="CK262" s="2" t="n">
        <v>347.8</v>
      </c>
      <c r="CL262" s="2" t="n">
        <v>42</v>
      </c>
      <c r="CN262" s="2" t="n">
        <v>58</v>
      </c>
      <c r="CO262" s="2" t="n">
        <v>196.818</v>
      </c>
      <c r="CP262" s="2" t="n">
        <v>116.018</v>
      </c>
      <c r="CQ262" s="2" t="n">
        <v>80.8</v>
      </c>
      <c r="CR262" s="2" t="inlineStr">
        <is>
          <t>NA</t>
        </is>
      </c>
      <c r="CS262" s="2" t="n">
        <v>44.9</v>
      </c>
      <c r="CT262" s="2" t="n">
        <v>22.7</v>
      </c>
      <c r="CU262" s="2" t="n">
        <v>22.2</v>
      </c>
      <c r="CV262" s="2" t="n">
        <v>35.701</v>
      </c>
      <c r="CW262" s="2" t="n">
        <v>13.744</v>
      </c>
      <c r="CX262" s="2" t="n">
        <v>21.957</v>
      </c>
      <c r="CY262" s="2" t="inlineStr">
        <is>
          <t>NA</t>
        </is>
      </c>
      <c r="CZ262" s="2" t="n">
        <v>108.61</v>
      </c>
      <c r="DA262" s="2" t="n">
        <v>34.496</v>
      </c>
      <c r="DB262" s="2" t="n">
        <v>33.078</v>
      </c>
      <c r="DC262" s="2" t="n">
        <v>1.418</v>
      </c>
      <c r="DI262" s="2" t="n">
        <v>642.1</v>
      </c>
      <c r="DJ262" s="2" t="n">
        <v>389.5</v>
      </c>
      <c r="DM262" s="2" t="n">
        <v>278.1</v>
      </c>
      <c r="DO262" s="2" t="n">
        <v>260.6</v>
      </c>
      <c r="DP262" s="2" t="n">
        <v>275</v>
      </c>
      <c r="DS262" s="2" t="n">
        <v>1970.134</v>
      </c>
      <c r="DT262" s="2" t="n">
        <v>3980.1</v>
      </c>
      <c r="DU262" s="2" t="n">
        <v>-164.6660000000002</v>
      </c>
      <c r="DV262" s="2" t="n">
        <v>0</v>
      </c>
      <c r="EA262" s="2" t="n">
        <v>278.6</v>
      </c>
      <c r="EB262" s="2" t="n">
        <v>292.4</v>
      </c>
      <c r="EE262" s="2" t="n">
        <v>73.2</v>
      </c>
      <c r="EG262" s="2" t="n">
        <v>112.9</v>
      </c>
      <c r="EH262" s="2" t="e">
        <v>#VALUE!</v>
      </c>
      <c r="EL262" s="2" t="n">
        <v>2571.5</v>
      </c>
      <c r="EQ262" s="2" t="n">
        <v>247.1</v>
      </c>
      <c r="ER262" s="2" t="n">
        <v>139</v>
      </c>
      <c r="EU262" s="2" t="n">
        <v>106.4</v>
      </c>
      <c r="EW262" s="2" t="n">
        <v>99.7</v>
      </c>
      <c r="EX262" s="2" t="n">
        <v>99.3</v>
      </c>
      <c r="FB262" s="2" t="n">
        <v>1478.6</v>
      </c>
      <c r="FG262" s="2" t="n">
        <v>516.5</v>
      </c>
      <c r="FH262" s="2" t="n">
        <v>310.4</v>
      </c>
      <c r="FK262" s="2" t="n">
        <v>222.4</v>
      </c>
      <c r="FM262" s="2" t="n">
        <v>211</v>
      </c>
      <c r="FN262" s="2" t="n">
        <v>218.3</v>
      </c>
      <c r="FR262" s="2" t="n">
        <v>3189.6</v>
      </c>
      <c r="FW262" s="2" t="n">
        <v>402</v>
      </c>
      <c r="FX262" s="2" t="e">
        <v>#VALUE!</v>
      </c>
      <c r="GA262" s="2" t="n">
        <v>39.7</v>
      </c>
      <c r="GC262" s="2" t="n">
        <v>71.40000000000001</v>
      </c>
      <c r="GD262" s="2" t="e">
        <v>#VALUE!</v>
      </c>
      <c r="GH262" s="2" t="n">
        <v>1298.7</v>
      </c>
      <c r="GM262" s="2" t="n">
        <v>101.5</v>
      </c>
      <c r="GN262" s="2" t="n">
        <v>24.8</v>
      </c>
      <c r="GQ262" s="2" t="e">
        <v>#VALUE!</v>
      </c>
      <c r="GS262" s="2" t="e">
        <v>#VALUE!</v>
      </c>
      <c r="GT262" s="2" t="e">
        <v>#VALUE!</v>
      </c>
      <c r="GX262" s="2" t="n">
        <v>286.9</v>
      </c>
      <c r="GY262" s="2" t="n">
        <v>0.9583726786276362</v>
      </c>
      <c r="GZ262" s="2" t="n">
        <v>1217.9</v>
      </c>
      <c r="HA262" s="2" t="n">
        <v>1270.8</v>
      </c>
      <c r="HF262" s="2" t="n">
        <v>1422.3</v>
      </c>
      <c r="HG262" s="2" t="n">
        <v>1386.5</v>
      </c>
      <c r="HH262" s="2" t="n">
        <v>681.7</v>
      </c>
      <c r="HI262" s="2" t="n">
        <v>99.09999999999999</v>
      </c>
      <c r="HJ262" s="2" t="n">
        <v>594.5</v>
      </c>
      <c r="HK262" s="2" t="n">
        <v>11.1</v>
      </c>
      <c r="HL262" s="2" t="n">
        <v>35.8</v>
      </c>
      <c r="HP262" s="2" t="e">
        <v>#VALUE!</v>
      </c>
      <c r="HQ262" s="2" t="n">
        <v>4.5</v>
      </c>
      <c r="HR262" s="2" t="n">
        <v>8.6</v>
      </c>
      <c r="HS262" s="2" t="e">
        <v>#VALUE!</v>
      </c>
      <c r="HT262" s="2" t="n">
        <v>18.3</v>
      </c>
      <c r="HW262" s="2" t="n">
        <v>270</v>
      </c>
      <c r="HX262" s="2" t="e">
        <v>#VALUE!</v>
      </c>
      <c r="HY262" s="2" t="n">
        <v>270</v>
      </c>
      <c r="HZ262" s="2" t="e">
        <v>#VALUE!</v>
      </c>
      <c r="IA262" s="2" t="n">
        <v>197</v>
      </c>
      <c r="IB262" s="2" t="n">
        <v>70.3</v>
      </c>
      <c r="IC262" s="2" t="n">
        <v>126.3</v>
      </c>
      <c r="ID262" s="2" t="e">
        <v>#VALUE!</v>
      </c>
      <c r="IE262" s="2" t="n">
        <v>0.4</v>
      </c>
      <c r="IF262" s="2" t="n">
        <v>7.3</v>
      </c>
      <c r="IG262" s="2" t="e">
        <v>#VALUE!</v>
      </c>
      <c r="IN262" s="2" t="n">
        <v>42.4</v>
      </c>
      <c r="IO262" s="2" t="n">
        <v>43.6</v>
      </c>
      <c r="IP262" s="2" t="e">
        <v>#VALUE!</v>
      </c>
      <c r="IQ262" s="2" t="n">
        <v>31.8</v>
      </c>
      <c r="IR262" s="2" t="n">
        <v>13.2</v>
      </c>
      <c r="IS262" s="2" t="e">
        <v>#VALUE!</v>
      </c>
      <c r="IT262" s="2" t="n">
        <v>16.7</v>
      </c>
      <c r="IU262" s="2" t="e">
        <v>#VALUE!</v>
      </c>
      <c r="IV262" s="2" t="e">
        <v>#VALUE!</v>
      </c>
      <c r="IY262" s="2" t="n">
        <v>47.95356900580388</v>
      </c>
      <c r="IZ262" s="2" t="n">
        <v>-0.1264309941961201</v>
      </c>
      <c r="JB262" s="2" t="n">
        <v>11.14494610688174</v>
      </c>
      <c r="JC262" s="2" t="n">
        <v>-0.1850538931182637</v>
      </c>
      <c r="JE262" s="2" t="n">
        <v>2695.6</v>
      </c>
      <c r="JF262" s="2" t="n">
        <v>0.7643760201810359</v>
      </c>
    </row>
    <row r="263">
      <c r="A263" s="1" t="n">
        <v>37043</v>
      </c>
      <c r="B263" s="2" t="n">
        <v>3840.3</v>
      </c>
      <c r="C263" s="2" t="n">
        <v>2366.3</v>
      </c>
      <c r="D263" s="2" t="n">
        <v>241.9</v>
      </c>
      <c r="E263" s="2" t="n">
        <v>649.5</v>
      </c>
      <c r="F263" s="2" t="n">
        <v>22.1</v>
      </c>
      <c r="G263" s="2" t="inlineStr">
        <is>
          <t>NA</t>
        </is>
      </c>
      <c r="H263" s="2" t="inlineStr">
        <is>
          <t>NA</t>
        </is>
      </c>
      <c r="I263" s="2" t="inlineStr">
        <is>
          <t>NA</t>
        </is>
      </c>
      <c r="J263" s="2" t="inlineStr">
        <is>
          <t>NA</t>
        </is>
      </c>
      <c r="K263" s="2" t="n">
        <v>1448.8</v>
      </c>
      <c r="L263" s="2" t="n">
        <v>2776.429</v>
      </c>
      <c r="M263" s="2" t="n">
        <v>2587.1</v>
      </c>
      <c r="N263" s="2" t="n">
        <v>189.329</v>
      </c>
      <c r="O263" s="2" t="n">
        <v>69.8</v>
      </c>
      <c r="P263" s="2" t="n">
        <v>126.916</v>
      </c>
      <c r="Q263" s="2" t="n">
        <v>45.3</v>
      </c>
      <c r="R263" s="2" t="n">
        <v>81.616</v>
      </c>
      <c r="T263" s="2" t="n">
        <v>19.1</v>
      </c>
      <c r="U263" s="2" t="n">
        <v>40.047</v>
      </c>
      <c r="V263" s="2" t="n">
        <v>36.55</v>
      </c>
      <c r="W263" s="2" t="n">
        <v>3.497</v>
      </c>
      <c r="X263" s="2" t="inlineStr">
        <is>
          <t>NA</t>
        </is>
      </c>
      <c r="Y263" s="2" t="inlineStr">
        <is>
          <t>NA</t>
        </is>
      </c>
      <c r="Z263" s="2" t="n">
        <v>181.28</v>
      </c>
      <c r="AA263" s="2" t="n">
        <v>153.518</v>
      </c>
      <c r="AB263" s="2" t="n">
        <v>27.762</v>
      </c>
      <c r="AC263" s="2" t="inlineStr">
        <is>
          <t>NA</t>
        </is>
      </c>
      <c r="AD263" s="2" t="n">
        <v>38.9</v>
      </c>
      <c r="AF263" s="2" t="n">
        <v>75.586</v>
      </c>
      <c r="AG263" s="2" t="n">
        <v>58.2</v>
      </c>
      <c r="AH263" s="2" t="n">
        <v>17.386</v>
      </c>
      <c r="AI263" s="2" t="n">
        <v>204</v>
      </c>
      <c r="AL263" s="2" t="n">
        <v>119.97</v>
      </c>
      <c r="AM263" s="2" t="n">
        <v>61.735</v>
      </c>
      <c r="AN263" s="2" t="n">
        <v>58.235</v>
      </c>
      <c r="AO263" s="2" t="n">
        <v>2884.9</v>
      </c>
      <c r="AP263" s="2" t="n">
        <v>298.6</v>
      </c>
      <c r="AQ263" s="2" t="n">
        <v>206.7</v>
      </c>
      <c r="AR263" s="2" t="n">
        <v>42.7</v>
      </c>
      <c r="AS263" s="2" t="n">
        <v>119.5</v>
      </c>
      <c r="AT263" s="2" t="n">
        <v>122.6</v>
      </c>
      <c r="AU263" s="2" t="n">
        <v>64.8</v>
      </c>
      <c r="AV263" s="2" t="n">
        <v>32</v>
      </c>
      <c r="AW263" s="2" t="n">
        <v>12.6</v>
      </c>
      <c r="AX263" s="2" t="n">
        <v>2.1</v>
      </c>
      <c r="AY263" s="2" t="inlineStr">
        <is>
          <t>NA</t>
        </is>
      </c>
      <c r="AZ263" s="2" t="inlineStr">
        <is>
          <t>NA</t>
        </is>
      </c>
      <c r="BA263" s="2" t="inlineStr">
        <is>
          <t>NA</t>
        </is>
      </c>
      <c r="BB263" s="2" t="inlineStr">
        <is>
          <t>NA</t>
        </is>
      </c>
      <c r="BD263" s="2" t="n">
        <v>149.9</v>
      </c>
      <c r="BE263" s="2" t="n">
        <v>41</v>
      </c>
      <c r="BF263" s="2" t="n">
        <v>64.5</v>
      </c>
      <c r="BG263" s="2" t="n">
        <v>6.3</v>
      </c>
      <c r="BH263" s="2" t="n">
        <v>267</v>
      </c>
      <c r="BK263" s="2" t="n">
        <v>195.6</v>
      </c>
      <c r="BL263" s="2" t="n">
        <v>1.7</v>
      </c>
      <c r="BM263" s="2" t="n">
        <v>464.4</v>
      </c>
      <c r="BN263" s="2" t="n">
        <v>168.5</v>
      </c>
      <c r="BQ263" s="2" t="n">
        <v>91.2</v>
      </c>
      <c r="BR263" s="2" t="n">
        <v>0</v>
      </c>
      <c r="BS263" s="2" t="n">
        <v>259.7</v>
      </c>
      <c r="BT263" s="2" t="n">
        <v>20</v>
      </c>
      <c r="BU263" s="2" t="n">
        <v>10.5</v>
      </c>
      <c r="BV263" s="2" t="n">
        <v>279.9</v>
      </c>
      <c r="BW263" s="2" t="n">
        <v>98.5</v>
      </c>
      <c r="BX263" s="2" t="n">
        <v>374.4</v>
      </c>
      <c r="BY263" s="2" t="n">
        <v>44.9</v>
      </c>
      <c r="BZ263" s="2" t="n">
        <v>7.6</v>
      </c>
      <c r="CA263" s="2" t="n">
        <v>52.5</v>
      </c>
      <c r="CF263" s="2" t="n">
        <v>95.06100000000001</v>
      </c>
      <c r="CG263" s="2" t="n">
        <v>122.1</v>
      </c>
      <c r="CH263" s="2" t="n">
        <v>18.4</v>
      </c>
      <c r="CK263" s="2" t="n">
        <v>357.3</v>
      </c>
      <c r="CL263" s="2" t="n">
        <v>49.4</v>
      </c>
      <c r="CN263" s="2" t="n">
        <v>42.006</v>
      </c>
      <c r="CO263" s="2" t="n">
        <v>257.62</v>
      </c>
      <c r="CP263" s="2" t="n">
        <v>157.92</v>
      </c>
      <c r="CQ263" s="2" t="n">
        <v>99.7</v>
      </c>
      <c r="CR263" s="2" t="inlineStr">
        <is>
          <t>NA</t>
        </is>
      </c>
      <c r="CS263" s="2" t="n">
        <v>29.1</v>
      </c>
      <c r="CT263" s="2" t="n">
        <v>19.8</v>
      </c>
      <c r="CU263" s="2" t="n">
        <v>9.300000000000001</v>
      </c>
      <c r="CV263" s="2" t="n">
        <v>31.308</v>
      </c>
      <c r="CW263" s="2" t="n">
        <v>12.093</v>
      </c>
      <c r="CX263" s="2" t="n">
        <v>19.215</v>
      </c>
      <c r="CY263" s="2" t="inlineStr">
        <is>
          <t>NA</t>
        </is>
      </c>
      <c r="CZ263" s="2" t="n">
        <v>117.622</v>
      </c>
      <c r="DA263" s="2" t="n">
        <v>24.129</v>
      </c>
      <c r="DB263" s="2" t="n">
        <v>22.206</v>
      </c>
      <c r="DC263" s="2" t="n">
        <v>1.923</v>
      </c>
      <c r="DI263" s="2" t="n">
        <v>574</v>
      </c>
      <c r="DJ263" s="2" t="n">
        <v>349.5</v>
      </c>
      <c r="DM263" s="2" t="n">
        <v>269.2</v>
      </c>
      <c r="DO263" s="2" t="n">
        <v>252.7</v>
      </c>
      <c r="DP263" s="2" t="n">
        <v>303.5</v>
      </c>
      <c r="DS263" s="2" t="n">
        <v>1947.595</v>
      </c>
      <c r="DT263" s="2" t="n">
        <v>3840.3</v>
      </c>
      <c r="DU263" s="2" t="n">
        <v>-143.8050000000003</v>
      </c>
      <c r="DV263" s="2" t="n">
        <v>0</v>
      </c>
      <c r="EA263" s="2" t="n">
        <v>278.4</v>
      </c>
      <c r="EB263" s="2" t="n">
        <v>200.7</v>
      </c>
      <c r="EE263" s="2" t="n">
        <v>80.2</v>
      </c>
      <c r="EG263" s="2" t="n">
        <v>90.5</v>
      </c>
      <c r="EH263" s="2" t="e">
        <v>#VALUE!</v>
      </c>
      <c r="EL263" s="2" t="n">
        <v>2366.3</v>
      </c>
      <c r="EQ263" s="2" t="n">
        <v>219.4</v>
      </c>
      <c r="ER263" s="2" t="n">
        <v>125.1</v>
      </c>
      <c r="EU263" s="2" t="n">
        <v>104.5</v>
      </c>
      <c r="EW263" s="2" t="n">
        <v>98.7</v>
      </c>
      <c r="EX263" s="2" t="n">
        <v>110.6</v>
      </c>
      <c r="FB263" s="2" t="n">
        <v>1448.8</v>
      </c>
      <c r="FG263" s="2" t="n">
        <v>461.8</v>
      </c>
      <c r="FH263" s="2" t="n">
        <v>284</v>
      </c>
      <c r="FK263" s="2" t="n">
        <v>218.1</v>
      </c>
      <c r="FM263" s="2" t="n">
        <v>208.3</v>
      </c>
      <c r="FN263" s="2" t="n">
        <v>243.7</v>
      </c>
      <c r="FR263" s="2" t="n">
        <v>3100.1</v>
      </c>
      <c r="FW263" s="2" t="n">
        <v>411.8</v>
      </c>
      <c r="FX263" s="2" t="e">
        <v>#VALUE!</v>
      </c>
      <c r="GA263" s="2" t="n">
        <v>35.4</v>
      </c>
      <c r="GC263" s="2" t="n">
        <v>78.40000000000001</v>
      </c>
      <c r="GD263" s="2" t="e">
        <v>#VALUE!</v>
      </c>
      <c r="GH263" s="2" t="n">
        <v>1252.4</v>
      </c>
      <c r="GM263" s="2" t="n">
        <v>126.2</v>
      </c>
      <c r="GN263" s="2" t="n">
        <v>21.7</v>
      </c>
      <c r="GQ263" s="2" t="n">
        <v>19.2</v>
      </c>
      <c r="GS263" s="2" t="e">
        <v>#VALUE!</v>
      </c>
      <c r="GT263" s="2" t="e">
        <v>#VALUE!</v>
      </c>
      <c r="GX263" s="2" t="n">
        <v>341.3</v>
      </c>
      <c r="GY263" s="2" t="n">
        <v>0.9714753331774609</v>
      </c>
      <c r="GZ263" s="2" t="n">
        <v>1246.5</v>
      </c>
      <c r="HA263" s="2" t="n">
        <v>1283.1</v>
      </c>
      <c r="HF263" s="2" t="n">
        <v>1466.3</v>
      </c>
      <c r="HG263" s="2" t="n">
        <v>1422.3</v>
      </c>
      <c r="HH263" s="2" t="n">
        <v>679.4</v>
      </c>
      <c r="HI263" s="2" t="n">
        <v>101.7</v>
      </c>
      <c r="HJ263" s="2" t="n">
        <v>630.9</v>
      </c>
      <c r="HK263" s="2" t="n">
        <v>10.4</v>
      </c>
      <c r="HL263" s="2" t="n">
        <v>44</v>
      </c>
      <c r="HP263" s="2" t="e">
        <v>#VALUE!</v>
      </c>
      <c r="HQ263" s="2" t="n">
        <v>4.6</v>
      </c>
      <c r="HR263" s="2" t="n">
        <v>7.8</v>
      </c>
      <c r="HS263" s="2" t="e">
        <v>#VALUE!</v>
      </c>
      <c r="HT263" s="2" t="n">
        <v>25.5</v>
      </c>
      <c r="HW263" s="2" t="n">
        <v>222</v>
      </c>
      <c r="HX263" s="2" t="e">
        <v>#VALUE!</v>
      </c>
      <c r="HY263" s="2" t="n">
        <v>222</v>
      </c>
      <c r="HZ263" s="2" t="e">
        <v>#VALUE!</v>
      </c>
      <c r="IA263" s="2" t="n">
        <v>154.1</v>
      </c>
      <c r="IB263" s="2" t="n">
        <v>41</v>
      </c>
      <c r="IC263" s="2" t="n">
        <v>112.2</v>
      </c>
      <c r="ID263" s="2" t="e">
        <v>#VALUE!</v>
      </c>
      <c r="IE263" s="2" t="n">
        <v>0.9</v>
      </c>
      <c r="IF263" s="2" t="n">
        <v>6.8</v>
      </c>
      <c r="IG263" s="2" t="e">
        <v>#VALUE!</v>
      </c>
      <c r="IN263" s="2" t="n">
        <v>50.016</v>
      </c>
      <c r="IO263" s="2" t="n">
        <v>51.4</v>
      </c>
      <c r="IP263" s="2" t="e">
        <v>#VALUE!</v>
      </c>
      <c r="IQ263" s="2" t="n">
        <v>34.5</v>
      </c>
      <c r="IR263" s="2" t="n">
        <v>14</v>
      </c>
      <c r="IS263" s="2" t="e">
        <v>#VALUE!</v>
      </c>
      <c r="IT263" s="2" t="n">
        <v>18.6</v>
      </c>
      <c r="IU263" s="2" t="e">
        <v>#VALUE!</v>
      </c>
      <c r="IV263" s="2" t="e">
        <v>#VALUE!</v>
      </c>
      <c r="IY263" s="2" t="n">
        <v>48.30247636903366</v>
      </c>
      <c r="IZ263" s="2" t="n">
        <v>0.0424763690336647</v>
      </c>
      <c r="JB263" s="2" t="n">
        <v>11.31786579173502</v>
      </c>
      <c r="JC263" s="2" t="n">
        <v>-0.132134208264981</v>
      </c>
      <c r="JE263" s="2" t="n">
        <v>2776.429</v>
      </c>
      <c r="JF263" s="2" t="n">
        <v>0.7335880009897606</v>
      </c>
    </row>
    <row r="264">
      <c r="A264" s="1" t="n">
        <v>37073</v>
      </c>
      <c r="B264" s="2" t="n">
        <v>4008.9</v>
      </c>
      <c r="C264" s="2" t="n">
        <v>2057.3</v>
      </c>
      <c r="D264" s="2" t="n">
        <v>199.2</v>
      </c>
      <c r="E264" s="2" t="n">
        <v>427.1</v>
      </c>
      <c r="F264" s="2" t="n">
        <v>20</v>
      </c>
      <c r="G264" s="2" t="inlineStr">
        <is>
          <t>NA</t>
        </is>
      </c>
      <c r="H264" s="2" t="inlineStr">
        <is>
          <t>NA</t>
        </is>
      </c>
      <c r="I264" s="2" t="inlineStr">
        <is>
          <t>NA</t>
        </is>
      </c>
      <c r="J264" s="2" t="inlineStr">
        <is>
          <t>NA</t>
        </is>
      </c>
      <c r="K264" s="2" t="n">
        <v>1525.6</v>
      </c>
      <c r="L264" s="2" t="n">
        <v>2743.975</v>
      </c>
      <c r="M264" s="2" t="n">
        <v>2566.8</v>
      </c>
      <c r="N264" s="2" t="n">
        <v>177.175</v>
      </c>
      <c r="O264" s="2" t="n">
        <v>58.9</v>
      </c>
      <c r="P264" s="2" t="n">
        <v>114.047</v>
      </c>
      <c r="Q264" s="2" t="n">
        <v>36</v>
      </c>
      <c r="R264" s="2" t="n">
        <v>78.047</v>
      </c>
      <c r="T264" s="2" t="n">
        <v>16.3</v>
      </c>
      <c r="U264" s="2" t="n">
        <v>31.033</v>
      </c>
      <c r="V264" s="2" t="n">
        <v>28.4</v>
      </c>
      <c r="W264" s="2" t="n">
        <v>2.633</v>
      </c>
      <c r="X264" s="2" t="inlineStr">
        <is>
          <t>NA</t>
        </is>
      </c>
      <c r="Y264" s="2" t="inlineStr">
        <is>
          <t>NA</t>
        </is>
      </c>
      <c r="Z264" s="2" t="n">
        <v>158.92</v>
      </c>
      <c r="AA264" s="2" t="n">
        <v>126.128</v>
      </c>
      <c r="AB264" s="2" t="n">
        <v>32.792</v>
      </c>
      <c r="AC264" s="2" t="inlineStr">
        <is>
          <t>NA</t>
        </is>
      </c>
      <c r="AD264" s="2" t="n">
        <v>20.6</v>
      </c>
      <c r="AF264" s="2" t="n">
        <v>77.42400000000001</v>
      </c>
      <c r="AG264" s="2" t="n">
        <v>63.758</v>
      </c>
      <c r="AH264" s="2" t="n">
        <v>13.666</v>
      </c>
      <c r="AI264" s="2" t="n">
        <v>205.7</v>
      </c>
      <c r="AL264" s="2" t="n">
        <v>140.516</v>
      </c>
      <c r="AM264" s="2" t="n">
        <v>80.804</v>
      </c>
      <c r="AN264" s="2" t="n">
        <v>59.712</v>
      </c>
      <c r="AO264" s="2" t="n">
        <v>3043.1</v>
      </c>
      <c r="AP264" s="2" t="n">
        <v>297.9</v>
      </c>
      <c r="AQ264" s="2" t="n">
        <v>213.5</v>
      </c>
      <c r="AR264" s="2" t="n">
        <v>40.2</v>
      </c>
      <c r="AS264" s="2" t="n">
        <v>94.90000000000001</v>
      </c>
      <c r="AT264" s="2" t="n">
        <v>103</v>
      </c>
      <c r="AU264" s="2" t="n">
        <v>57.5</v>
      </c>
      <c r="AV264" s="2" t="n">
        <v>36.4</v>
      </c>
      <c r="AW264" s="2" t="n">
        <v>10.9</v>
      </c>
      <c r="AX264" s="2" t="n">
        <v>2.6</v>
      </c>
      <c r="AY264" s="2" t="inlineStr">
        <is>
          <t>NA</t>
        </is>
      </c>
      <c r="AZ264" s="2" t="inlineStr">
        <is>
          <t>NA</t>
        </is>
      </c>
      <c r="BA264" s="2" t="inlineStr">
        <is>
          <t>NA</t>
        </is>
      </c>
      <c r="BB264" s="2" t="inlineStr">
        <is>
          <t>NA</t>
        </is>
      </c>
      <c r="BD264" s="2" t="n">
        <v>152.5</v>
      </c>
      <c r="BE264" s="2" t="n">
        <v>40.5</v>
      </c>
      <c r="BF264" s="2" t="n">
        <v>65.59999999999999</v>
      </c>
      <c r="BG264" s="2" t="n">
        <v>5.9</v>
      </c>
      <c r="BH264" s="2" t="n">
        <v>282.1</v>
      </c>
      <c r="BK264" s="2" t="n">
        <v>198.9</v>
      </c>
      <c r="BL264" s="2" t="n">
        <v>2.1</v>
      </c>
      <c r="BM264" s="2" t="n">
        <v>483.1</v>
      </c>
      <c r="BN264" s="2" t="n">
        <v>164.3</v>
      </c>
      <c r="BQ264" s="2" t="n">
        <v>95.3</v>
      </c>
      <c r="BR264" s="2" t="n">
        <v>0</v>
      </c>
      <c r="BS264" s="2" t="n">
        <v>259.6</v>
      </c>
      <c r="BT264" s="2" t="n">
        <v>18.6</v>
      </c>
      <c r="BU264" s="2" t="n">
        <v>12.6</v>
      </c>
      <c r="BV264" s="2" t="n">
        <v>305.9</v>
      </c>
      <c r="BW264" s="2" t="n">
        <v>97.3</v>
      </c>
      <c r="BX264" s="2" t="n">
        <v>399.6</v>
      </c>
      <c r="BY264" s="2" t="n">
        <v>47.3</v>
      </c>
      <c r="BZ264" s="2" t="n">
        <v>7.7</v>
      </c>
      <c r="CA264" s="2" t="n">
        <v>55</v>
      </c>
      <c r="CF264" s="2" t="n">
        <v>95.5</v>
      </c>
      <c r="CG264" s="2" t="n">
        <v>149.2</v>
      </c>
      <c r="CH264" s="2" t="n">
        <v>12.1</v>
      </c>
      <c r="CK264" s="2" t="n">
        <v>340.5</v>
      </c>
      <c r="CL264" s="2" t="n">
        <v>43.8</v>
      </c>
      <c r="CN264" s="2" t="n">
        <v>49.063</v>
      </c>
      <c r="CO264" s="2" t="n">
        <v>260.855</v>
      </c>
      <c r="CP264" s="2" t="n">
        <v>175.545</v>
      </c>
      <c r="CQ264" s="2" t="n">
        <v>85.31</v>
      </c>
      <c r="CR264" s="2" t="inlineStr">
        <is>
          <t>NA</t>
        </is>
      </c>
      <c r="CS264" s="2" t="n">
        <v>30.2</v>
      </c>
      <c r="CT264" s="2" t="n">
        <v>18.6</v>
      </c>
      <c r="CU264" s="2" t="n">
        <v>11.6</v>
      </c>
      <c r="CV264" s="2" t="n">
        <v>39.024</v>
      </c>
      <c r="CW264" s="2" t="n">
        <v>21.899</v>
      </c>
      <c r="CX264" s="2" t="n">
        <v>17.125</v>
      </c>
      <c r="CY264" s="2" t="inlineStr">
        <is>
          <t>NA</t>
        </is>
      </c>
      <c r="CZ264" s="2" t="n">
        <v>126.804</v>
      </c>
      <c r="DA264" s="2" t="n">
        <v>21.334</v>
      </c>
      <c r="DB264" s="2" t="n">
        <v>20.26</v>
      </c>
      <c r="DC264" s="2" t="n">
        <v>1.074</v>
      </c>
      <c r="DI264" s="2" t="n">
        <v>544.9</v>
      </c>
      <c r="DJ264" s="2" t="n">
        <v>340.7</v>
      </c>
      <c r="DM264" s="2" t="n">
        <v>289.2</v>
      </c>
      <c r="DO264" s="2" t="n">
        <v>229.5</v>
      </c>
      <c r="DP264" s="2" t="n">
        <v>299.1</v>
      </c>
      <c r="DS264" s="2" t="n">
        <v>2149.176</v>
      </c>
      <c r="DT264" s="2" t="n">
        <v>4008.9</v>
      </c>
      <c r="DU264" s="2" t="n">
        <v>-156.3240000000001</v>
      </c>
      <c r="DV264" s="2" t="n">
        <v>0</v>
      </c>
      <c r="EA264" s="2" t="n">
        <v>272.5</v>
      </c>
      <c r="EB264" s="2" t="n">
        <v>162</v>
      </c>
      <c r="EE264" s="2" t="n">
        <v>86.09999999999999</v>
      </c>
      <c r="EG264" s="2" t="n">
        <v>80.5</v>
      </c>
      <c r="EH264" s="2" t="e">
        <v>#VALUE!</v>
      </c>
      <c r="EL264" s="2" t="n">
        <v>2057.3</v>
      </c>
      <c r="EQ264" s="2" t="n">
        <v>210</v>
      </c>
      <c r="ER264" s="2" t="n">
        <v>122.9</v>
      </c>
      <c r="EU264" s="2" t="n">
        <v>109.9</v>
      </c>
      <c r="EW264" s="2" t="n">
        <v>86.8</v>
      </c>
      <c r="EX264" s="2" t="n">
        <v>108.8</v>
      </c>
      <c r="FB264" s="2" t="n">
        <v>1525.6</v>
      </c>
      <c r="FG264" s="2" t="n">
        <v>435.5</v>
      </c>
      <c r="FH264" s="2" t="n">
        <v>271.2</v>
      </c>
      <c r="FK264" s="2" t="n">
        <v>232.3</v>
      </c>
      <c r="FM264" s="2" t="n">
        <v>185</v>
      </c>
      <c r="FN264" s="2" t="n">
        <v>239.8</v>
      </c>
      <c r="FR264" s="2" t="n">
        <v>3264.4</v>
      </c>
      <c r="FW264" s="2" t="n">
        <v>404.2</v>
      </c>
      <c r="FX264" s="2" t="e">
        <v>#VALUE!</v>
      </c>
      <c r="GA264" s="2" t="n">
        <v>37.4</v>
      </c>
      <c r="GC264" s="2" t="n">
        <v>63.6</v>
      </c>
      <c r="GD264" s="2" t="e">
        <v>#VALUE!</v>
      </c>
      <c r="GH264" s="2" t="n">
        <v>1279.4</v>
      </c>
      <c r="GM264" s="2" t="e">
        <v>#VALUE!</v>
      </c>
      <c r="GN264" s="2" t="n">
        <v>22.6</v>
      </c>
      <c r="GQ264" s="2" t="e">
        <v>#VALUE!</v>
      </c>
      <c r="GS264" s="2" t="e">
        <v>#VALUE!</v>
      </c>
      <c r="GT264" s="2" t="e">
        <v>#VALUE!</v>
      </c>
      <c r="GX264" s="2" t="n">
        <v>338.1</v>
      </c>
      <c r="GY264" s="2" t="n">
        <v>0.9633317576617034</v>
      </c>
      <c r="GZ264" s="2" t="n">
        <v>1222.757</v>
      </c>
      <c r="HA264" s="2" t="n">
        <v>1269.3</v>
      </c>
      <c r="HF264" s="2" t="n">
        <v>1492.5</v>
      </c>
      <c r="HG264" s="2" t="n">
        <v>1442.9</v>
      </c>
      <c r="HH264" s="2" t="n">
        <v>682.3</v>
      </c>
      <c r="HI264" s="2" t="n">
        <v>97.7</v>
      </c>
      <c r="HJ264" s="2" t="n">
        <v>652.6</v>
      </c>
      <c r="HK264" s="2" t="n">
        <v>10.3</v>
      </c>
      <c r="HL264" s="2" t="n">
        <v>49.6</v>
      </c>
      <c r="HP264" s="2" t="e">
        <v>#VALUE!</v>
      </c>
      <c r="HQ264" s="2" t="n">
        <v>4.6</v>
      </c>
      <c r="HR264" s="2" t="n">
        <v>12.8</v>
      </c>
      <c r="HS264" s="2" t="e">
        <v>#VALUE!</v>
      </c>
      <c r="HT264" s="2" t="n">
        <v>26.2</v>
      </c>
      <c r="HW264" s="2" t="n">
        <v>261.2</v>
      </c>
      <c r="HX264" s="2" t="e">
        <v>#VALUE!</v>
      </c>
      <c r="HY264" s="2" t="n">
        <v>261.2</v>
      </c>
      <c r="HZ264" s="2" t="n">
        <v>49</v>
      </c>
      <c r="IA264" s="2" t="n">
        <v>191.9</v>
      </c>
      <c r="IB264" s="2" t="n">
        <v>64.3</v>
      </c>
      <c r="IC264" s="2" t="n">
        <v>127.1</v>
      </c>
      <c r="ID264" s="2" t="e">
        <v>#VALUE!</v>
      </c>
      <c r="IE264" s="2" t="n">
        <v>0.4</v>
      </c>
      <c r="IF264" s="2" t="n">
        <v>8</v>
      </c>
      <c r="IG264" s="2" t="e">
        <v>#VALUE!</v>
      </c>
      <c r="IN264" s="2" t="n">
        <v>42.7</v>
      </c>
      <c r="IO264" s="2" t="n">
        <v>42.8</v>
      </c>
      <c r="IP264" s="2" t="e">
        <v>#VALUE!</v>
      </c>
      <c r="IQ264" s="2" t="n">
        <v>34.8</v>
      </c>
      <c r="IR264" s="2" t="n">
        <v>15.9</v>
      </c>
      <c r="IS264" s="2" t="e">
        <v>#VALUE!</v>
      </c>
      <c r="IT264" s="2" t="n">
        <v>17.1</v>
      </c>
      <c r="IU264" s="2" t="e">
        <v>#VALUE!</v>
      </c>
      <c r="IV264" s="2" t="e">
        <v>#VALUE!</v>
      </c>
      <c r="IY264" s="2" t="n">
        <v>48.74055227119658</v>
      </c>
      <c r="IZ264" s="2" t="n">
        <v>0.7205522711965813</v>
      </c>
      <c r="JB264" s="2" t="n">
        <v>11.41659806929582</v>
      </c>
      <c r="JC264" s="2" t="n">
        <v>0.04659806929581656</v>
      </c>
      <c r="JE264" s="2" t="n">
        <v>2743.975</v>
      </c>
      <c r="JF264" s="2" t="n">
        <v>0.8504775007060923</v>
      </c>
    </row>
    <row r="265">
      <c r="A265" s="1" t="n">
        <v>37104</v>
      </c>
      <c r="B265" s="2" t="n">
        <v>4004.1</v>
      </c>
      <c r="C265" s="2" t="n">
        <v>1681.5</v>
      </c>
      <c r="D265" s="2" t="n">
        <v>186.8</v>
      </c>
      <c r="E265" s="2" t="n">
        <v>356.1</v>
      </c>
      <c r="F265" s="2" t="n">
        <v>19.8</v>
      </c>
      <c r="G265" s="2" t="inlineStr">
        <is>
          <t>NA</t>
        </is>
      </c>
      <c r="H265" s="2" t="inlineStr">
        <is>
          <t>NA</t>
        </is>
      </c>
      <c r="I265" s="2" t="inlineStr">
        <is>
          <t>NA</t>
        </is>
      </c>
      <c r="J265" s="2" t="inlineStr">
        <is>
          <t>NA</t>
        </is>
      </c>
      <c r="K265" s="2" t="n">
        <v>1506.1</v>
      </c>
      <c r="L265" s="2" t="n">
        <v>2675.4</v>
      </c>
      <c r="M265" s="2" t="n">
        <v>2503.6</v>
      </c>
      <c r="N265" s="2" t="n">
        <v>171.8</v>
      </c>
      <c r="O265" s="2" t="n">
        <v>60.7</v>
      </c>
      <c r="P265" s="2" t="n">
        <v>97.83000000000001</v>
      </c>
      <c r="Q265" s="2" t="n">
        <v>21.9</v>
      </c>
      <c r="R265" s="2" t="n">
        <v>75.93000000000001</v>
      </c>
      <c r="T265" s="2" t="n">
        <v>16.7</v>
      </c>
      <c r="U265" s="2" t="n">
        <v>22.817</v>
      </c>
      <c r="V265" s="2" t="n">
        <v>18.165</v>
      </c>
      <c r="W265" s="2" t="n">
        <v>4.652</v>
      </c>
      <c r="X265" s="2" t="inlineStr">
        <is>
          <t>NA</t>
        </is>
      </c>
      <c r="Y265" s="2" t="inlineStr">
        <is>
          <t>NA</t>
        </is>
      </c>
      <c r="Z265" s="2" t="n">
        <v>160.509</v>
      </c>
      <c r="AA265" s="2" t="n">
        <v>130.866</v>
      </c>
      <c r="AB265" s="2" t="n">
        <v>29.643</v>
      </c>
      <c r="AC265" s="2" t="inlineStr">
        <is>
          <t>NA</t>
        </is>
      </c>
      <c r="AD265" s="2" t="n">
        <v>29.2</v>
      </c>
      <c r="AF265" s="2" t="n">
        <v>93.3</v>
      </c>
      <c r="AG265" s="2" t="n">
        <v>70.735</v>
      </c>
      <c r="AH265" s="2" t="n">
        <v>22.565</v>
      </c>
      <c r="AI265" s="2" t="n">
        <v>211.1</v>
      </c>
      <c r="AL265" s="2" t="n">
        <v>175.84</v>
      </c>
      <c r="AM265" s="2" t="n">
        <v>103</v>
      </c>
      <c r="AN265" s="2" t="n">
        <v>72.84</v>
      </c>
      <c r="AO265" s="2" t="n">
        <v>2981.1</v>
      </c>
      <c r="AP265" s="2" t="n">
        <v>236.3</v>
      </c>
      <c r="AQ265" s="2" t="n">
        <v>222.5</v>
      </c>
      <c r="AR265" s="2" t="n">
        <v>37.6</v>
      </c>
      <c r="AS265" s="2" t="n">
        <v>89</v>
      </c>
      <c r="AT265" s="2" t="n">
        <v>65.90000000000001</v>
      </c>
      <c r="AU265" s="2" t="n">
        <v>52.2</v>
      </c>
      <c r="AV265" s="2" t="n">
        <v>32.6</v>
      </c>
      <c r="AW265" s="2" t="n">
        <v>10.4</v>
      </c>
      <c r="AX265" s="2" t="n">
        <v>1.6</v>
      </c>
      <c r="AY265" s="2" t="inlineStr">
        <is>
          <t>NA</t>
        </is>
      </c>
      <c r="AZ265" s="2" t="inlineStr">
        <is>
          <t>NA</t>
        </is>
      </c>
      <c r="BA265" s="2" t="inlineStr">
        <is>
          <t>NA</t>
        </is>
      </c>
      <c r="BB265" s="2" t="inlineStr">
        <is>
          <t>NA</t>
        </is>
      </c>
      <c r="BD265" s="2" t="n">
        <v>176.7</v>
      </c>
      <c r="BE265" s="2" t="n">
        <v>43.8</v>
      </c>
      <c r="BF265" s="2" t="n">
        <v>68</v>
      </c>
      <c r="BG265" s="2" t="n">
        <v>6.4</v>
      </c>
      <c r="BH265" s="2" t="n">
        <v>306.9</v>
      </c>
      <c r="BK265" s="2" t="n">
        <v>217.1</v>
      </c>
      <c r="BL265" s="2" t="n">
        <v>13.3</v>
      </c>
      <c r="BM265" s="2" t="n">
        <v>537.2</v>
      </c>
      <c r="BN265" s="2" t="n">
        <v>199</v>
      </c>
      <c r="BQ265" s="2" t="n">
        <v>93.59999999999999</v>
      </c>
      <c r="BR265" s="2" t="n">
        <v>0</v>
      </c>
      <c r="BS265" s="2" t="n">
        <v>292.6</v>
      </c>
      <c r="BT265" s="2" t="n">
        <v>18.7</v>
      </c>
      <c r="BU265" s="2" t="n">
        <v>11.8</v>
      </c>
      <c r="BV265" s="2" t="n">
        <v>325.6</v>
      </c>
      <c r="BW265" s="2" t="n">
        <v>111.4</v>
      </c>
      <c r="BX265" s="2" t="n">
        <v>446.2</v>
      </c>
      <c r="BY265" s="2" t="n">
        <v>47.4</v>
      </c>
      <c r="BZ265" s="2" t="n">
        <v>8.4</v>
      </c>
      <c r="CA265" s="2" t="n">
        <v>55.8</v>
      </c>
      <c r="CF265" s="2" t="n">
        <v>105.406</v>
      </c>
      <c r="CG265" s="2" t="n">
        <v>137.1</v>
      </c>
      <c r="CH265" s="2" t="n">
        <v>20.5</v>
      </c>
      <c r="CK265" s="2" t="n">
        <v>367.6</v>
      </c>
      <c r="CL265" s="2" t="n">
        <v>41.9</v>
      </c>
      <c r="CN265" s="2" t="n">
        <v>41.272</v>
      </c>
      <c r="CO265" s="2" t="n">
        <v>246.424</v>
      </c>
      <c r="CP265" s="2" t="n">
        <v>175.583</v>
      </c>
      <c r="CQ265" s="2" t="n">
        <v>70.84099999999999</v>
      </c>
      <c r="CR265" s="2" t="inlineStr">
        <is>
          <t>NA</t>
        </is>
      </c>
      <c r="CS265" s="2" t="n">
        <v>22.9</v>
      </c>
      <c r="CT265" s="2" t="n">
        <v>13</v>
      </c>
      <c r="CU265" s="2" t="n">
        <v>9.9</v>
      </c>
      <c r="CV265" s="2" t="n">
        <v>33.261</v>
      </c>
      <c r="CW265" s="2" t="n">
        <v>14.898</v>
      </c>
      <c r="CX265" s="2" t="n">
        <v>18.363</v>
      </c>
      <c r="CY265" s="2" t="inlineStr">
        <is>
          <t>NA</t>
        </is>
      </c>
      <c r="CZ265" s="2" t="n">
        <v>129.669</v>
      </c>
      <c r="DA265" s="2" t="n">
        <v>17.75</v>
      </c>
      <c r="DB265" s="2" t="n">
        <v>16.5</v>
      </c>
      <c r="DC265" s="2" t="n">
        <v>1.25</v>
      </c>
      <c r="DI265" s="2" t="n">
        <v>545.9</v>
      </c>
      <c r="DJ265" s="2" t="n">
        <v>332.1</v>
      </c>
      <c r="DM265" s="2" t="n">
        <v>287.5</v>
      </c>
      <c r="DO265" s="2" t="n">
        <v>230.3</v>
      </c>
      <c r="DP265" s="2" t="n">
        <v>281.1</v>
      </c>
      <c r="DS265" s="2" t="n">
        <v>2151.498</v>
      </c>
      <c r="DT265" s="2" t="n">
        <v>4004.1</v>
      </c>
      <c r="DU265" s="2" t="n">
        <v>-175.7019999999998</v>
      </c>
      <c r="DV265" s="2" t="n">
        <v>0</v>
      </c>
      <c r="EA265" s="2" t="n">
        <v>234.1</v>
      </c>
      <c r="EB265" s="2" t="n">
        <v>89.5</v>
      </c>
      <c r="EE265" s="2" t="n">
        <v>73.2</v>
      </c>
      <c r="EG265" s="2" t="n">
        <v>74.90000000000001</v>
      </c>
      <c r="EH265" s="2" t="n">
        <v>76.5</v>
      </c>
      <c r="EL265" s="2" t="n">
        <v>1681.5</v>
      </c>
      <c r="EQ265" s="2" t="n">
        <v>211.2</v>
      </c>
      <c r="ER265" s="2" t="n">
        <v>117.5</v>
      </c>
      <c r="EU265" s="2" t="n">
        <v>109</v>
      </c>
      <c r="EW265" s="2" t="n">
        <v>87.59999999999999</v>
      </c>
      <c r="EX265" s="2" t="n">
        <v>102.1</v>
      </c>
      <c r="FB265" s="2" t="n">
        <v>1506.1</v>
      </c>
      <c r="FG265" s="2" t="n">
        <v>437.6</v>
      </c>
      <c r="FH265" s="2" t="n">
        <v>262.6</v>
      </c>
      <c r="FK265" s="2" t="n">
        <v>232</v>
      </c>
      <c r="FM265" s="2" t="n">
        <v>185</v>
      </c>
      <c r="FN265" s="2" t="n">
        <v>225.4</v>
      </c>
      <c r="FR265" s="2" t="n">
        <v>3211.4</v>
      </c>
      <c r="FW265" s="2" t="n">
        <v>408.8</v>
      </c>
      <c r="FX265" s="2" t="e">
        <v>#VALUE!</v>
      </c>
      <c r="GA265" s="2" t="n">
        <v>40.5</v>
      </c>
      <c r="GC265" s="2" t="n">
        <v>66.2</v>
      </c>
      <c r="GD265" s="2" t="e">
        <v>#VALUE!</v>
      </c>
      <c r="GH265" s="2" t="n">
        <v>1190.6</v>
      </c>
      <c r="GM265" s="2" t="n">
        <v>91.59999999999999</v>
      </c>
      <c r="GN265" s="2" t="n">
        <v>11.6</v>
      </c>
      <c r="GQ265" s="2" t="e">
        <v>#VALUE!</v>
      </c>
      <c r="GS265" s="2" t="e">
        <v>#VALUE!</v>
      </c>
      <c r="GT265" s="2" t="e">
        <v>#VALUE!</v>
      </c>
      <c r="GX265" s="2" t="n">
        <v>274</v>
      </c>
      <c r="GY265" s="2" t="n">
        <v>0.9762561138283681</v>
      </c>
      <c r="GZ265" s="2" t="n">
        <v>1317.36</v>
      </c>
      <c r="HA265" s="2" t="n">
        <v>1349.4</v>
      </c>
      <c r="HF265" s="2" t="n">
        <v>1545.1</v>
      </c>
      <c r="HG265" s="2" t="n">
        <v>1507.7</v>
      </c>
      <c r="HH265" s="2" t="n">
        <v>739.1</v>
      </c>
      <c r="HI265" s="2" t="n">
        <v>115.2</v>
      </c>
      <c r="HJ265" s="2" t="n">
        <v>644</v>
      </c>
      <c r="HK265" s="2" t="n">
        <v>9.4</v>
      </c>
      <c r="HL265" s="2" t="n">
        <v>37.5</v>
      </c>
      <c r="HP265" s="2" t="e">
        <v>#VALUE!</v>
      </c>
      <c r="HQ265" s="2" t="n">
        <v>4.8</v>
      </c>
      <c r="HR265" s="2" t="n">
        <v>7.9</v>
      </c>
      <c r="HS265" s="2" t="e">
        <v>#VALUE!</v>
      </c>
      <c r="HT265" s="2" t="n">
        <v>20.2</v>
      </c>
      <c r="HW265" s="2" t="n">
        <v>282.3</v>
      </c>
      <c r="HX265" s="2" t="e">
        <v>#VALUE!</v>
      </c>
      <c r="HY265" s="2" t="n">
        <v>282.3</v>
      </c>
      <c r="HZ265" s="2" t="n">
        <v>52.4</v>
      </c>
      <c r="IA265" s="2" t="n">
        <v>206.1</v>
      </c>
      <c r="IB265" s="2" t="n">
        <v>61.9</v>
      </c>
      <c r="IC265" s="2" t="n">
        <v>132.2</v>
      </c>
      <c r="ID265" s="2" t="e">
        <v>#VALUE!</v>
      </c>
      <c r="IE265" s="2" t="n">
        <v>12</v>
      </c>
      <c r="IF265" s="2" t="n">
        <v>8.800000000000001</v>
      </c>
      <c r="IG265" s="2" t="e">
        <v>#VALUE!</v>
      </c>
      <c r="IN265" s="2" t="n">
        <v>49.369</v>
      </c>
      <c r="IO265" s="2" t="n">
        <v>49.6</v>
      </c>
      <c r="IP265" s="2" t="e">
        <v>#VALUE!</v>
      </c>
      <c r="IQ265" s="2" t="n">
        <v>34.1</v>
      </c>
      <c r="IR265" s="2" t="n">
        <v>15.3</v>
      </c>
      <c r="IS265" s="2" t="e">
        <v>#VALUE!</v>
      </c>
      <c r="IT265" s="2" t="n">
        <v>17.2</v>
      </c>
      <c r="IU265" s="2" t="e">
        <v>#VALUE!</v>
      </c>
      <c r="IV265" s="2" t="e">
        <v>#VALUE!</v>
      </c>
      <c r="IY265" s="2" t="n">
        <v>48.00479508503783</v>
      </c>
      <c r="IZ265" s="2" t="n">
        <v>-0.005204914962163798</v>
      </c>
      <c r="JB265" s="2" t="n">
        <v>11.28418371169551</v>
      </c>
      <c r="JC265" s="2" t="n">
        <v>-0.135816288304488</v>
      </c>
      <c r="JE265" s="2" t="n">
        <v>2675.4</v>
      </c>
      <c r="JF265" s="2" t="n">
        <v>0.8556892427300591</v>
      </c>
    </row>
    <row r="266">
      <c r="A266" s="1" t="n">
        <v>37135</v>
      </c>
      <c r="B266" s="2" t="n">
        <v>3846.8</v>
      </c>
      <c r="C266" s="2" t="n">
        <v>1228.3</v>
      </c>
      <c r="D266" s="2" t="n">
        <v>147.6</v>
      </c>
      <c r="E266" s="2" t="n">
        <v>360.5</v>
      </c>
      <c r="F266" s="2" t="n">
        <v>15.4</v>
      </c>
      <c r="G266" s="2" t="inlineStr">
        <is>
          <t>NA</t>
        </is>
      </c>
      <c r="H266" s="2" t="inlineStr">
        <is>
          <t>NA</t>
        </is>
      </c>
      <c r="I266" s="2" t="inlineStr">
        <is>
          <t>NA</t>
        </is>
      </c>
      <c r="J266" s="2" t="inlineStr">
        <is>
          <t>NA</t>
        </is>
      </c>
      <c r="K266" s="2" t="n">
        <v>1452.5</v>
      </c>
      <c r="L266" s="2" t="n">
        <v>2767</v>
      </c>
      <c r="M266" s="2" t="n">
        <v>2581.8</v>
      </c>
      <c r="N266" s="2" t="n">
        <v>185.2</v>
      </c>
      <c r="O266" s="2" t="n">
        <v>45.4</v>
      </c>
      <c r="P266" s="2" t="n">
        <v>93</v>
      </c>
      <c r="Q266" s="2" t="n">
        <v>19.7</v>
      </c>
      <c r="R266" s="2" t="n">
        <v>73.3</v>
      </c>
      <c r="T266" s="2" t="n">
        <v>12.9</v>
      </c>
      <c r="U266" s="2" t="n">
        <v>24.26</v>
      </c>
      <c r="V266" s="2" t="n">
        <v>22.398</v>
      </c>
      <c r="W266" s="2" t="n">
        <v>1.862</v>
      </c>
      <c r="X266" s="2" t="inlineStr">
        <is>
          <t>NA</t>
        </is>
      </c>
      <c r="Y266" s="2" t="inlineStr">
        <is>
          <t>NA</t>
        </is>
      </c>
      <c r="Z266" s="2" t="n">
        <v>136.111</v>
      </c>
      <c r="AA266" s="2" t="n">
        <v>102.884</v>
      </c>
      <c r="AB266" s="2" t="n">
        <v>33.227</v>
      </c>
      <c r="AC266" s="2" t="inlineStr">
        <is>
          <t>NA</t>
        </is>
      </c>
      <c r="AD266" s="2" t="n">
        <v>10.785</v>
      </c>
      <c r="AF266" s="2" t="n">
        <v>109.783</v>
      </c>
      <c r="AG266" s="2" t="n">
        <v>93.364</v>
      </c>
      <c r="AH266" s="2" t="n">
        <v>16.419</v>
      </c>
      <c r="AI266" s="2" t="n">
        <v>203.2</v>
      </c>
      <c r="AL266" s="2" t="n">
        <v>116.605</v>
      </c>
      <c r="AM266" s="2" t="n">
        <v>82.16500000000001</v>
      </c>
      <c r="AN266" s="2" t="n">
        <v>34.44</v>
      </c>
      <c r="AO266" s="2" t="n">
        <v>2867</v>
      </c>
      <c r="AP266" s="2" t="n">
        <v>342.3</v>
      </c>
      <c r="AQ266" s="2" t="n">
        <v>209.8</v>
      </c>
      <c r="AR266" s="2" t="n">
        <v>41</v>
      </c>
      <c r="AS266" s="2" t="n">
        <v>75.90000000000001</v>
      </c>
      <c r="AT266" s="2" t="n">
        <v>39.9</v>
      </c>
      <c r="AU266" s="2" t="n">
        <v>39.8</v>
      </c>
      <c r="AV266" s="2" t="n">
        <v>27.6</v>
      </c>
      <c r="AW266" s="2" t="n">
        <v>8</v>
      </c>
      <c r="AX266" s="2" t="n">
        <v>2</v>
      </c>
      <c r="AY266" s="2" t="inlineStr">
        <is>
          <t>NA</t>
        </is>
      </c>
      <c r="AZ266" s="2" t="inlineStr">
        <is>
          <t>NA</t>
        </is>
      </c>
      <c r="BA266" s="2" t="inlineStr">
        <is>
          <t>NA</t>
        </is>
      </c>
      <c r="BB266" s="2" t="inlineStr">
        <is>
          <t>NA</t>
        </is>
      </c>
      <c r="BD266" s="2" t="n">
        <v>151.2</v>
      </c>
      <c r="BE266" s="2" t="n">
        <v>49.1</v>
      </c>
      <c r="BF266" s="2" t="n">
        <v>60.2</v>
      </c>
      <c r="BG266" s="2" t="n">
        <v>7.4</v>
      </c>
      <c r="BH266" s="2" t="n">
        <v>279.3</v>
      </c>
      <c r="BK266" s="2" t="n">
        <v>199.9</v>
      </c>
      <c r="BL266" s="2" t="n">
        <v>0</v>
      </c>
      <c r="BM266" s="2" t="n">
        <v>479.2</v>
      </c>
      <c r="BN266" s="2" t="n">
        <v>220.9</v>
      </c>
      <c r="BQ266" s="2" t="n">
        <v>90.2</v>
      </c>
      <c r="BR266" s="2" t="n">
        <v>0</v>
      </c>
      <c r="BS266" s="2" t="n">
        <v>311.1</v>
      </c>
      <c r="BT266" s="2" t="n">
        <v>20.6</v>
      </c>
      <c r="BU266" s="2" t="n">
        <v>13.8</v>
      </c>
      <c r="BV266" s="2" t="n">
        <v>290</v>
      </c>
      <c r="BW266" s="2" t="n">
        <v>92.3</v>
      </c>
      <c r="BX266" s="2" t="n">
        <v>382.3</v>
      </c>
      <c r="BY266" s="2" t="n">
        <v>44</v>
      </c>
      <c r="BZ266" s="2" t="n">
        <v>8.6</v>
      </c>
      <c r="CA266" s="2" t="n">
        <v>52.6</v>
      </c>
      <c r="CF266" s="2" t="n">
        <v>92.973</v>
      </c>
      <c r="CG266" s="2" t="n">
        <v>124.1</v>
      </c>
      <c r="CH266" s="2" t="n">
        <v>21.5</v>
      </c>
      <c r="CK266" s="2" t="n">
        <v>328.5</v>
      </c>
      <c r="CL266" s="2" t="n">
        <v>46.7</v>
      </c>
      <c r="CN266" s="2" t="n">
        <v>33.647</v>
      </c>
      <c r="CO266" s="2" t="n">
        <v>259.705</v>
      </c>
      <c r="CP266" s="2" t="n">
        <v>176.818</v>
      </c>
      <c r="CQ266" s="2" t="n">
        <v>82.887</v>
      </c>
      <c r="CR266" s="2" t="inlineStr">
        <is>
          <t>NA</t>
        </is>
      </c>
      <c r="CS266" s="2" t="n">
        <v>38.6</v>
      </c>
      <c r="CT266" s="2" t="n">
        <v>25</v>
      </c>
      <c r="CU266" s="2" t="n">
        <v>13.6</v>
      </c>
      <c r="CV266" s="2" t="n">
        <v>60.631</v>
      </c>
      <c r="CW266" s="2" t="inlineStr">
        <is>
          <t>NA</t>
        </is>
      </c>
      <c r="CX266" s="2" t="inlineStr">
        <is>
          <t>NA</t>
        </is>
      </c>
      <c r="CY266" s="2" t="inlineStr">
        <is>
          <t>NA</t>
        </is>
      </c>
      <c r="CZ266" s="2" t="n">
        <v>154.563</v>
      </c>
      <c r="DA266" s="2" t="n">
        <v>21.205</v>
      </c>
      <c r="DB266" s="2" t="n">
        <v>20.03</v>
      </c>
      <c r="DC266" s="2" t="n">
        <v>1.175</v>
      </c>
      <c r="DI266" s="2" t="n">
        <v>654.3</v>
      </c>
      <c r="DJ266" s="2" t="n">
        <v>364.5</v>
      </c>
      <c r="DM266" s="2" t="n">
        <v>229.5</v>
      </c>
      <c r="DO266" s="2" t="n">
        <v>232</v>
      </c>
      <c r="DP266" s="2" t="n">
        <v>253.3</v>
      </c>
      <c r="DS266" s="2" t="n">
        <v>1963.948</v>
      </c>
      <c r="DT266" s="2" t="n">
        <v>3846.8</v>
      </c>
      <c r="DU266" s="2" t="n">
        <v>-149.2520000000004</v>
      </c>
      <c r="DV266" s="2" t="n">
        <v>0</v>
      </c>
      <c r="EA266" s="2" t="n">
        <v>198.4</v>
      </c>
      <c r="EB266" s="2" t="n">
        <v>154.3</v>
      </c>
      <c r="EE266" s="2" t="e">
        <v>#VALUE!</v>
      </c>
      <c r="EG266" s="2" t="n">
        <v>47.7</v>
      </c>
      <c r="EH266" s="2" t="n">
        <v>56.2</v>
      </c>
      <c r="EL266" s="2" t="n">
        <v>1228.3</v>
      </c>
      <c r="EQ266" s="2" t="n">
        <v>249.9</v>
      </c>
      <c r="ER266" s="2" t="n">
        <v>134.6</v>
      </c>
      <c r="EU266" s="2" t="n">
        <v>88.2</v>
      </c>
      <c r="EW266" s="2" t="n">
        <v>90.09999999999999</v>
      </c>
      <c r="EX266" s="2" t="n">
        <v>92.3</v>
      </c>
      <c r="FB266" s="2" t="n">
        <v>1452.5</v>
      </c>
      <c r="FG266" s="2" t="n">
        <v>518.6</v>
      </c>
      <c r="FH266" s="2" t="n">
        <v>287.5</v>
      </c>
      <c r="FK266" s="2" t="n">
        <v>190.8</v>
      </c>
      <c r="FM266" s="2" t="n">
        <v>183.9</v>
      </c>
      <c r="FN266" s="2" t="n">
        <v>200.7</v>
      </c>
      <c r="FR266" s="2" t="n">
        <v>3084.8</v>
      </c>
      <c r="FW266" s="2" t="n">
        <v>400.2</v>
      </c>
      <c r="FX266" s="2" t="e">
        <v>#VALUE!</v>
      </c>
      <c r="GA266" s="2" t="n">
        <v>50.9</v>
      </c>
      <c r="GC266" s="2" t="n">
        <v>62</v>
      </c>
      <c r="GD266" s="2" t="e">
        <v>#VALUE!</v>
      </c>
      <c r="GH266" s="2" t="n">
        <v>1202</v>
      </c>
      <c r="GM266" s="2" t="n">
        <v>95.2</v>
      </c>
      <c r="GN266" s="2" t="n">
        <v>25</v>
      </c>
      <c r="GQ266" s="2" t="n">
        <v>23.1</v>
      </c>
      <c r="GS266" s="2" t="e">
        <v>#VALUE!</v>
      </c>
      <c r="GT266" s="2" t="e">
        <v>#VALUE!</v>
      </c>
      <c r="GX266" s="2" t="n">
        <v>383.3</v>
      </c>
      <c r="GY266" s="2" t="n">
        <v>0.9674710051546392</v>
      </c>
      <c r="GZ266" s="2" t="n">
        <v>1201.212</v>
      </c>
      <c r="HA266" s="2" t="n">
        <v>1241.6</v>
      </c>
      <c r="HF266" s="2" t="n">
        <v>1409.4</v>
      </c>
      <c r="HG266" s="2" t="n">
        <v>1366</v>
      </c>
      <c r="HH266" s="2" t="n">
        <v>684.8</v>
      </c>
      <c r="HI266" s="2" t="n">
        <v>109.8</v>
      </c>
      <c r="HJ266" s="2" t="n">
        <v>561.5</v>
      </c>
      <c r="HK266" s="2" t="n">
        <v>9.9</v>
      </c>
      <c r="HL266" s="2" t="n">
        <v>43.4</v>
      </c>
      <c r="HP266" s="2" t="e">
        <v>#VALUE!</v>
      </c>
      <c r="HQ266" s="2" t="n">
        <v>3.3</v>
      </c>
      <c r="HR266" s="2" t="n">
        <v>6.5</v>
      </c>
      <c r="HS266" s="2" t="e">
        <v>#VALUE!</v>
      </c>
      <c r="HT266" s="2" t="n">
        <v>24</v>
      </c>
      <c r="HW266" s="2" t="n">
        <v>246.3</v>
      </c>
      <c r="HX266" s="2" t="e">
        <v>#VALUE!</v>
      </c>
      <c r="HY266" s="2" t="n">
        <v>246.3</v>
      </c>
      <c r="HZ266" s="2" t="n">
        <v>49.7</v>
      </c>
      <c r="IA266" s="2" t="n">
        <v>175.3</v>
      </c>
      <c r="IB266" s="2" t="n">
        <v>65.09999999999999</v>
      </c>
      <c r="IC266" s="2" t="n">
        <v>110.3</v>
      </c>
      <c r="ID266" s="2" t="e">
        <v>#VALUE!</v>
      </c>
      <c r="IE266" s="2" t="e">
        <v>#VALUE!</v>
      </c>
      <c r="IF266" s="2" t="n">
        <v>7.7</v>
      </c>
      <c r="IG266" s="2" t="e">
        <v>#VALUE!</v>
      </c>
      <c r="IN266" s="2" t="n">
        <v>32.2</v>
      </c>
      <c r="IO266" s="2" t="n">
        <v>32.4</v>
      </c>
      <c r="IP266" s="2" t="e">
        <v>#VALUE!</v>
      </c>
      <c r="IQ266" s="2" t="n">
        <v>34.2</v>
      </c>
      <c r="IR266" s="2" t="n">
        <v>16.4</v>
      </c>
      <c r="IS266" s="2" t="e">
        <v>#VALUE!</v>
      </c>
      <c r="IT266" s="2" t="n">
        <v>16</v>
      </c>
      <c r="IU266" s="2" t="e">
        <v>#VALUE!</v>
      </c>
      <c r="IV266" s="2" t="e">
        <v>#VALUE!</v>
      </c>
      <c r="IY266" s="2" t="n">
        <v>47.99001767703027</v>
      </c>
      <c r="IZ266" s="2" t="n">
        <v>0.1100176770302639</v>
      </c>
      <c r="JB266" s="2" t="n">
        <v>11.3275969637101</v>
      </c>
      <c r="JC266" s="2" t="n">
        <v>-0.1224030362899011</v>
      </c>
      <c r="JE266" s="2" t="n">
        <v>2767</v>
      </c>
      <c r="JF266" s="2" t="n">
        <v>0.8275941452837008</v>
      </c>
    </row>
    <row r="267">
      <c r="A267" s="1" t="n">
        <v>37165</v>
      </c>
      <c r="B267" s="2" t="n">
        <v>4507</v>
      </c>
      <c r="C267" s="2" t="n">
        <v>4434.8</v>
      </c>
      <c r="D267" s="2" t="n">
        <v>267.5</v>
      </c>
      <c r="E267" s="2" t="n">
        <v>1116.4</v>
      </c>
      <c r="F267" s="2" t="n">
        <v>21.7</v>
      </c>
      <c r="G267" s="2" t="inlineStr">
        <is>
          <t>NA</t>
        </is>
      </c>
      <c r="H267" s="2" t="inlineStr">
        <is>
          <t>NA</t>
        </is>
      </c>
      <c r="I267" s="2" t="inlineStr">
        <is>
          <t>NA</t>
        </is>
      </c>
      <c r="J267" s="2" t="inlineStr">
        <is>
          <t>NA</t>
        </is>
      </c>
      <c r="K267" s="2" t="n">
        <v>1680.1</v>
      </c>
      <c r="L267" s="2" t="n">
        <v>2606.64</v>
      </c>
      <c r="M267" s="2" t="n">
        <v>2435.2</v>
      </c>
      <c r="N267" s="2" t="n">
        <v>171.44</v>
      </c>
      <c r="O267" s="2" t="n">
        <v>82.59999999999999</v>
      </c>
      <c r="P267" s="2" t="n">
        <v>114.5</v>
      </c>
      <c r="Q267" s="2" t="n">
        <v>23.2</v>
      </c>
      <c r="R267" s="2" t="n">
        <v>91.3</v>
      </c>
      <c r="T267" s="2" t="n">
        <v>18.1</v>
      </c>
      <c r="U267" s="2" t="n">
        <v>21.822</v>
      </c>
      <c r="V267" s="2" t="n">
        <v>20.192</v>
      </c>
      <c r="W267" s="2" t="n">
        <v>1.63</v>
      </c>
      <c r="X267" s="2" t="inlineStr">
        <is>
          <t>NA</t>
        </is>
      </c>
      <c r="Y267" s="2" t="inlineStr">
        <is>
          <t>NA</t>
        </is>
      </c>
      <c r="Z267" s="2" t="n">
        <v>130.721</v>
      </c>
      <c r="AA267" s="2" t="n">
        <v>110.841</v>
      </c>
      <c r="AB267" s="2" t="n">
        <v>19.88</v>
      </c>
      <c r="AC267" s="2" t="inlineStr">
        <is>
          <t>NA</t>
        </is>
      </c>
      <c r="AD267" s="2" t="n">
        <v>26.195</v>
      </c>
      <c r="AF267" s="2" t="n">
        <v>86.78399999999999</v>
      </c>
      <c r="AG267" s="2" t="n">
        <v>71.72199999999999</v>
      </c>
      <c r="AH267" s="2" t="n">
        <v>15.062</v>
      </c>
      <c r="AI267" s="2" t="n">
        <v>196</v>
      </c>
      <c r="AL267" s="2" t="n">
        <v>145.765</v>
      </c>
      <c r="AM267" s="2" t="n">
        <v>81.90000000000001</v>
      </c>
      <c r="AN267" s="2" t="n">
        <v>63.865</v>
      </c>
      <c r="AO267" s="2" t="n">
        <v>3305.1</v>
      </c>
      <c r="AP267" s="2" t="n">
        <v>264</v>
      </c>
      <c r="AQ267" s="2" t="n">
        <v>229.3</v>
      </c>
      <c r="AR267" s="2" t="n">
        <v>41.5</v>
      </c>
      <c r="AS267" s="2" t="n">
        <v>123.7</v>
      </c>
      <c r="AT267" s="2" t="n">
        <v>40.9</v>
      </c>
      <c r="AU267" s="2" t="n">
        <v>76.2</v>
      </c>
      <c r="AV267" s="2" t="n">
        <v>40.4</v>
      </c>
      <c r="AW267" s="2" t="n">
        <v>11.6</v>
      </c>
      <c r="AX267" s="2" t="n">
        <v>1.3</v>
      </c>
      <c r="AY267" s="2" t="inlineStr">
        <is>
          <t>NA</t>
        </is>
      </c>
      <c r="AZ267" s="2" t="inlineStr">
        <is>
          <t>NA</t>
        </is>
      </c>
      <c r="BA267" s="2" t="inlineStr">
        <is>
          <t>NA</t>
        </is>
      </c>
      <c r="BB267" s="2" t="inlineStr">
        <is>
          <t>NA</t>
        </is>
      </c>
      <c r="BD267" s="2" t="n">
        <v>168.6</v>
      </c>
      <c r="BE267" s="2" t="n">
        <v>39.7</v>
      </c>
      <c r="BF267" s="2" t="n">
        <v>70.59999999999999</v>
      </c>
      <c r="BG267" s="2" t="n">
        <v>7.1</v>
      </c>
      <c r="BH267" s="2" t="n">
        <v>318.5</v>
      </c>
      <c r="BK267" s="2" t="n">
        <v>209.8</v>
      </c>
      <c r="BL267" s="2" t="n">
        <v>0</v>
      </c>
      <c r="BM267" s="2" t="n">
        <v>528.2</v>
      </c>
      <c r="BN267" s="2" t="n">
        <v>226.4</v>
      </c>
      <c r="BQ267" s="2" t="n">
        <v>88.5</v>
      </c>
      <c r="BR267" s="2" t="n">
        <v>0</v>
      </c>
      <c r="BS267" s="2" t="n">
        <v>314.9</v>
      </c>
      <c r="BT267" s="2" t="n">
        <v>25.7</v>
      </c>
      <c r="BU267" s="2" t="n">
        <v>13.1</v>
      </c>
      <c r="BV267" s="2" t="n">
        <v>336.5</v>
      </c>
      <c r="BW267" s="2" t="n">
        <v>97.8</v>
      </c>
      <c r="BX267" s="2" t="n">
        <v>434.3</v>
      </c>
      <c r="BY267" s="2" t="n">
        <v>45.8</v>
      </c>
      <c r="BZ267" s="2" t="n">
        <v>10.8</v>
      </c>
      <c r="CA267" s="2" t="n">
        <v>56.59999999999999</v>
      </c>
      <c r="CF267" s="2" t="n">
        <v>99.06999999999999</v>
      </c>
      <c r="CG267" s="2" t="n">
        <v>113.7</v>
      </c>
      <c r="CH267" s="2" t="n">
        <v>16.8</v>
      </c>
      <c r="CK267" s="2" t="n">
        <v>364.6</v>
      </c>
      <c r="CL267" s="2" t="n">
        <v>44.7</v>
      </c>
      <c r="CN267" s="2" t="n">
        <v>47.926</v>
      </c>
      <c r="CO267" s="2" t="n">
        <v>236.33</v>
      </c>
      <c r="CP267" s="2" t="n">
        <v>167.83</v>
      </c>
      <c r="CQ267" s="2" t="n">
        <v>68.5</v>
      </c>
      <c r="CR267" s="2" t="inlineStr">
        <is>
          <t>NA</t>
        </is>
      </c>
      <c r="CS267" s="2" t="n">
        <v>32.40000000000001</v>
      </c>
      <c r="CT267" s="2" t="n">
        <v>20.1</v>
      </c>
      <c r="CU267" s="2" t="n">
        <v>12.3</v>
      </c>
      <c r="CV267" s="2" t="n">
        <v>52.415</v>
      </c>
      <c r="CW267" s="2" t="inlineStr">
        <is>
          <t>NA</t>
        </is>
      </c>
      <c r="CX267" s="2" t="inlineStr">
        <is>
          <t>NA</t>
        </is>
      </c>
      <c r="CY267" s="2" t="inlineStr">
        <is>
          <t>NA</t>
        </is>
      </c>
      <c r="CZ267" s="2" t="n">
        <v>120.1</v>
      </c>
      <c r="DA267" s="2" t="n">
        <v>21.12</v>
      </c>
      <c r="DB267" s="2" t="n">
        <v>18.922</v>
      </c>
      <c r="DC267" s="2" t="n">
        <v>2.198</v>
      </c>
      <c r="DI267" s="2" t="n">
        <v>742.1</v>
      </c>
      <c r="DJ267" s="2" t="n">
        <v>403.9</v>
      </c>
      <c r="DM267" s="2" t="n">
        <v>285.4</v>
      </c>
      <c r="DO267" s="2" t="n">
        <v>246.5</v>
      </c>
      <c r="DP267" s="2" t="n">
        <v>325.4</v>
      </c>
      <c r="DS267" s="2" t="n">
        <v>2295.119</v>
      </c>
      <c r="DT267" s="2" t="n">
        <v>4507</v>
      </c>
      <c r="DU267" s="2" t="n">
        <v>-208.5810000000001</v>
      </c>
      <c r="DV267" s="2" t="n">
        <v>0</v>
      </c>
      <c r="EA267" s="2" t="n">
        <v>633.8</v>
      </c>
      <c r="EB267" s="2" t="n">
        <v>690.5</v>
      </c>
      <c r="EE267" s="2" t="e">
        <v>#VALUE!</v>
      </c>
      <c r="EG267" s="2" t="n">
        <v>264.3</v>
      </c>
      <c r="EH267" s="2" t="n">
        <v>347.8</v>
      </c>
      <c r="EL267" s="2" t="n">
        <v>4434.8</v>
      </c>
      <c r="EQ267" s="2" t="n">
        <v>287.6</v>
      </c>
      <c r="ER267" s="2" t="n">
        <v>148.4</v>
      </c>
      <c r="EU267" s="2" t="n">
        <v>109.3</v>
      </c>
      <c r="EW267" s="2" t="n">
        <v>92.5</v>
      </c>
      <c r="EX267" s="2" t="n">
        <v>119</v>
      </c>
      <c r="FB267" s="2" t="n">
        <v>1680.1</v>
      </c>
      <c r="FG267" s="2" t="n">
        <v>575.5</v>
      </c>
      <c r="FH267" s="2" t="n">
        <v>303.6</v>
      </c>
      <c r="FK267" s="2" t="e">
        <v>#VALUE!</v>
      </c>
      <c r="FM267" s="2" t="e">
        <v>#VALUE!</v>
      </c>
      <c r="FN267" s="2" t="n">
        <v>253.4</v>
      </c>
      <c r="FR267" s="2" t="n">
        <v>3543.5</v>
      </c>
      <c r="FW267" s="2" t="n">
        <v>403.5</v>
      </c>
      <c r="FX267" s="2" t="e">
        <v>#VALUE!</v>
      </c>
      <c r="GA267" s="2" t="n">
        <v>51.7</v>
      </c>
      <c r="GC267" s="2" t="n">
        <v>56.2</v>
      </c>
      <c r="GD267" s="2" t="e">
        <v>#VALUE!</v>
      </c>
      <c r="GH267" s="2" t="n">
        <v>1188.3</v>
      </c>
      <c r="GM267" s="2" t="n">
        <v>114</v>
      </c>
      <c r="GN267" s="2" t="n">
        <v>10.7</v>
      </c>
      <c r="GQ267" s="2" t="e">
        <v>#VALUE!</v>
      </c>
      <c r="GS267" s="2" t="e">
        <v>#VALUE!</v>
      </c>
      <c r="GT267" s="2" t="e">
        <v>#VALUE!</v>
      </c>
      <c r="GX267" s="2" t="n">
        <v>305.5</v>
      </c>
      <c r="GY267" s="2" t="n">
        <v>0.9726842475386779</v>
      </c>
      <c r="GZ267" s="2" t="n">
        <v>1383.157</v>
      </c>
      <c r="HA267" s="2" t="n">
        <v>1422</v>
      </c>
      <c r="HF267" s="2" t="n">
        <v>1686.7</v>
      </c>
      <c r="HG267" s="2" t="n">
        <v>1639.3</v>
      </c>
      <c r="HH267" s="2" t="n">
        <v>800.2</v>
      </c>
      <c r="HI267" s="2" t="n">
        <v>136.7</v>
      </c>
      <c r="HJ267" s="2" t="n">
        <v>690.9</v>
      </c>
      <c r="HK267" s="2" t="n">
        <v>11.5</v>
      </c>
      <c r="HL267" s="2" t="n">
        <v>47.4</v>
      </c>
      <c r="HP267" s="2" t="e">
        <v>#VALUE!</v>
      </c>
      <c r="HQ267" s="2" t="n">
        <v>6.4</v>
      </c>
      <c r="HR267" s="2" t="n">
        <v>5.8</v>
      </c>
      <c r="HS267" s="2" t="e">
        <v>#VALUE!</v>
      </c>
      <c r="HT267" s="2" t="e">
        <v>#VALUE!</v>
      </c>
      <c r="HW267" s="2" t="n">
        <v>285.1</v>
      </c>
      <c r="HX267" s="2" t="e">
        <v>#VALUE!</v>
      </c>
      <c r="HY267" s="2" t="n">
        <v>285.1</v>
      </c>
      <c r="HZ267" s="2" t="n">
        <v>49.6</v>
      </c>
      <c r="IA267" s="2" t="n">
        <v>210.9</v>
      </c>
      <c r="IB267" s="2" t="n">
        <v>80.5</v>
      </c>
      <c r="IC267" s="2" t="n">
        <v>130.4</v>
      </c>
      <c r="ID267" s="2" t="e">
        <v>#VALUE!</v>
      </c>
      <c r="IE267" s="2" t="e">
        <v>#VALUE!</v>
      </c>
      <c r="IF267" s="2" t="n">
        <v>10.4</v>
      </c>
      <c r="IG267" s="2" t="e">
        <v>#VALUE!</v>
      </c>
      <c r="IN267" s="2" t="n">
        <v>59</v>
      </c>
      <c r="IO267" s="2" t="n">
        <v>59.4</v>
      </c>
      <c r="IP267" s="2" t="e">
        <v>#VALUE!</v>
      </c>
      <c r="IQ267" s="2" t="n">
        <v>44.2</v>
      </c>
      <c r="IR267" s="2" t="n">
        <v>19.5</v>
      </c>
      <c r="IS267" s="2" t="e">
        <v>#VALUE!</v>
      </c>
      <c r="IT267" s="2" t="n">
        <v>22.6</v>
      </c>
      <c r="IU267" s="2" t="e">
        <v>#VALUE!</v>
      </c>
      <c r="IV267" s="2" t="e">
        <v>#VALUE!</v>
      </c>
      <c r="IY267" s="2" t="n">
        <v>47.05214111382295</v>
      </c>
      <c r="IZ267" s="2" t="n">
        <v>-0.3378588861770524</v>
      </c>
      <c r="JB267" s="2" t="n">
        <v>11.18327046816064</v>
      </c>
      <c r="JC267" s="2" t="n">
        <v>-0.09672953183935995</v>
      </c>
      <c r="JE267" s="2" t="n">
        <v>2606.64</v>
      </c>
      <c r="JF267" s="2" t="n">
        <v>0.8363137986066355</v>
      </c>
    </row>
    <row r="268">
      <c r="A268" s="1" t="n">
        <v>37196</v>
      </c>
      <c r="B268" s="2" t="n">
        <v>4472.4</v>
      </c>
      <c r="C268" s="2" t="n">
        <v>4100.5</v>
      </c>
      <c r="D268" s="2" t="n">
        <v>287</v>
      </c>
      <c r="E268" s="2" t="n">
        <v>1821.5</v>
      </c>
      <c r="F268" s="2" t="n">
        <v>26.7</v>
      </c>
      <c r="G268" s="2" t="inlineStr">
        <is>
          <t>NA</t>
        </is>
      </c>
      <c r="H268" s="2" t="inlineStr">
        <is>
          <t>NA</t>
        </is>
      </c>
      <c r="I268" s="2" t="inlineStr">
        <is>
          <t>NA</t>
        </is>
      </c>
      <c r="J268" s="2" t="inlineStr">
        <is>
          <t>NA</t>
        </is>
      </c>
      <c r="K268" s="2" t="n">
        <v>1629</v>
      </c>
      <c r="L268" s="2" t="n">
        <v>2684.541</v>
      </c>
      <c r="M268" s="2" t="n">
        <v>2503.1</v>
      </c>
      <c r="N268" s="2" t="n">
        <v>181.441</v>
      </c>
      <c r="O268" s="2" t="n">
        <v>89.40000000000001</v>
      </c>
      <c r="P268" s="2" t="n">
        <v>113.058</v>
      </c>
      <c r="Q268" s="2" t="n">
        <v>26.6</v>
      </c>
      <c r="R268" s="2" t="n">
        <v>86.458</v>
      </c>
      <c r="T268" s="2" t="n">
        <v>15.4</v>
      </c>
      <c r="U268" s="2" t="n">
        <v>17.1</v>
      </c>
      <c r="V268" s="2" t="n">
        <v>15.9</v>
      </c>
      <c r="W268" s="2" t="n">
        <v>1.2</v>
      </c>
      <c r="X268" s="2" t="inlineStr">
        <is>
          <t>NA</t>
        </is>
      </c>
      <c r="Y268" s="2" t="inlineStr">
        <is>
          <t>NA</t>
        </is>
      </c>
      <c r="Z268" s="2" t="n">
        <v>138.828</v>
      </c>
      <c r="AA268" s="2" t="n">
        <v>119.859</v>
      </c>
      <c r="AB268" s="2" t="n">
        <v>18.969</v>
      </c>
      <c r="AC268" s="2" t="inlineStr">
        <is>
          <t>NA</t>
        </is>
      </c>
      <c r="AD268" s="2" t="inlineStr">
        <is>
          <t>NA</t>
        </is>
      </c>
      <c r="AF268" s="2" t="n">
        <v>70.155</v>
      </c>
      <c r="AG268" s="2" t="n">
        <v>52.512</v>
      </c>
      <c r="AH268" s="2" t="n">
        <v>17.643</v>
      </c>
      <c r="AI268" s="2" t="n">
        <v>203.3</v>
      </c>
      <c r="AL268" s="2" t="n">
        <v>127.906</v>
      </c>
      <c r="AM268" s="2" t="n">
        <v>91.465</v>
      </c>
      <c r="AN268" s="2" t="n">
        <v>36.441</v>
      </c>
      <c r="AO268" s="2" t="n">
        <v>3292.6</v>
      </c>
      <c r="AP268" s="2" t="n">
        <v>267</v>
      </c>
      <c r="AQ268" s="2" t="n">
        <v>246.1</v>
      </c>
      <c r="AR268" s="2" t="n">
        <v>35.9</v>
      </c>
      <c r="AS268" s="2" t="n">
        <v>131.7</v>
      </c>
      <c r="AT268" s="2" t="n">
        <v>47.9</v>
      </c>
      <c r="AU268" s="2" t="n">
        <v>77.2</v>
      </c>
      <c r="AV268" s="2" t="n">
        <v>45.2</v>
      </c>
      <c r="AW268" s="2" t="n">
        <v>11.2</v>
      </c>
      <c r="AX268" s="2" t="n">
        <v>2.1</v>
      </c>
      <c r="AY268" s="2" t="inlineStr">
        <is>
          <t>NA</t>
        </is>
      </c>
      <c r="AZ268" s="2" t="inlineStr">
        <is>
          <t>NA</t>
        </is>
      </c>
      <c r="BA268" s="2" t="inlineStr">
        <is>
          <t>NA</t>
        </is>
      </c>
      <c r="BB268" s="2" t="inlineStr">
        <is>
          <t>NA</t>
        </is>
      </c>
      <c r="BD268" s="2" t="n">
        <v>159.2</v>
      </c>
      <c r="BE268" s="2" t="n">
        <v>36.4</v>
      </c>
      <c r="BF268" s="2" t="n">
        <v>64.5</v>
      </c>
      <c r="BG268" s="2" t="n">
        <v>6.3</v>
      </c>
      <c r="BH268" s="2" t="n">
        <v>299.8</v>
      </c>
      <c r="BK268" s="2" t="n">
        <v>213.9</v>
      </c>
      <c r="BL268" s="2" t="n">
        <v>0</v>
      </c>
      <c r="BM268" s="2" t="n">
        <v>513.6</v>
      </c>
      <c r="BN268" s="2" t="n">
        <v>254.5</v>
      </c>
      <c r="BQ268" s="2" t="n">
        <v>83.5</v>
      </c>
      <c r="BR268" s="2" t="n">
        <v>0</v>
      </c>
      <c r="BS268" s="2" t="n">
        <v>338</v>
      </c>
      <c r="BT268" s="2" t="n">
        <v>24.9</v>
      </c>
      <c r="BU268" s="2" t="n">
        <v>11.8</v>
      </c>
      <c r="BV268" s="2" t="n">
        <v>311.1</v>
      </c>
      <c r="BW268" s="2" t="n">
        <v>95.09999999999999</v>
      </c>
      <c r="BX268" s="2" t="n">
        <v>406.2</v>
      </c>
      <c r="BY268" s="2" t="n">
        <v>49.9</v>
      </c>
      <c r="BZ268" s="2" t="n">
        <v>12.1</v>
      </c>
      <c r="CA268" s="2" t="n">
        <v>62</v>
      </c>
      <c r="CF268" s="2" t="n">
        <v>100.657</v>
      </c>
      <c r="CG268" s="2" t="n">
        <v>130.5</v>
      </c>
      <c r="CH268" s="2" t="n">
        <v>16.5</v>
      </c>
      <c r="CK268" s="2" t="n">
        <v>334.2</v>
      </c>
      <c r="CL268" s="2" t="n">
        <v>46</v>
      </c>
      <c r="CN268" s="2" t="n">
        <v>42.429</v>
      </c>
      <c r="CO268" s="2" t="n">
        <v>231.191</v>
      </c>
      <c r="CP268" s="2" t="n">
        <v>184.3</v>
      </c>
      <c r="CQ268" s="2" t="n">
        <v>46.891</v>
      </c>
      <c r="CR268" s="2" t="inlineStr">
        <is>
          <t>NA</t>
        </is>
      </c>
      <c r="CS268" s="2" t="n">
        <v>29.7</v>
      </c>
      <c r="CT268" s="2" t="n">
        <v>17.3</v>
      </c>
      <c r="CU268" s="2" t="n">
        <v>12.4</v>
      </c>
      <c r="CV268" s="2" t="n">
        <v>38.249</v>
      </c>
      <c r="CW268" s="2" t="inlineStr">
        <is>
          <t>NA</t>
        </is>
      </c>
      <c r="CX268" s="2" t="inlineStr">
        <is>
          <t>NA</t>
        </is>
      </c>
      <c r="CY268" s="2" t="inlineStr">
        <is>
          <t>NA</t>
        </is>
      </c>
      <c r="CZ268" s="2" t="n">
        <v>110.987</v>
      </c>
      <c r="DA268" s="2" t="n">
        <v>20.116</v>
      </c>
      <c r="DB268" s="2" t="n">
        <v>19.063</v>
      </c>
      <c r="DC268" s="2" t="n">
        <v>1.053</v>
      </c>
      <c r="DI268" s="2" t="n">
        <v>706.2</v>
      </c>
      <c r="DJ268" s="2" t="n">
        <v>403.3</v>
      </c>
      <c r="DM268" s="2" t="n">
        <v>279.1</v>
      </c>
      <c r="DO268" s="2" t="n">
        <v>252.5</v>
      </c>
      <c r="DP268" s="2" t="n">
        <v>318</v>
      </c>
      <c r="DS268" s="2" t="n">
        <v>2267.812</v>
      </c>
      <c r="DT268" s="2" t="n">
        <v>4472.4</v>
      </c>
      <c r="DU268" s="2" t="n">
        <v>-245.4879999999994</v>
      </c>
      <c r="DV268" s="2" t="n">
        <v>0</v>
      </c>
      <c r="EA268" s="2" t="e">
        <v>#VALUE!</v>
      </c>
      <c r="EB268" s="2" t="n">
        <v>666.2</v>
      </c>
      <c r="EE268" s="2" t="n">
        <v>81.3</v>
      </c>
      <c r="EG268" s="2" t="n">
        <v>209.9</v>
      </c>
      <c r="EH268" s="2" t="n">
        <v>322.3</v>
      </c>
      <c r="EL268" s="2" t="n">
        <v>4100.5</v>
      </c>
      <c r="EQ268" s="2" t="n">
        <v>263.4</v>
      </c>
      <c r="ER268" s="2" t="n">
        <v>137.7</v>
      </c>
      <c r="EU268" s="2" t="n">
        <v>101.3</v>
      </c>
      <c r="EW268" s="2" t="n">
        <v>92.59999999999999</v>
      </c>
      <c r="EX268" s="2" t="n">
        <v>114.9</v>
      </c>
      <c r="FB268" s="2" t="n">
        <v>1629</v>
      </c>
      <c r="FG268" s="2" t="n">
        <v>566.8</v>
      </c>
      <c r="FH268" s="2" t="n">
        <v>320.4</v>
      </c>
      <c r="FK268" s="2" t="n">
        <v>220.4</v>
      </c>
      <c r="FM268" s="2" t="n">
        <v>200.7</v>
      </c>
      <c r="FN268" s="2" t="n">
        <v>251.3</v>
      </c>
      <c r="FR268" s="2" t="n">
        <v>3547.9</v>
      </c>
      <c r="FW268" s="2" t="n">
        <v>415.7</v>
      </c>
      <c r="FX268" s="2" t="e">
        <v>#VALUE!</v>
      </c>
      <c r="GA268" s="2" t="n">
        <v>41.9</v>
      </c>
      <c r="GC268" s="2" t="n">
        <v>61</v>
      </c>
      <c r="GD268" s="2" t="e">
        <v>#VALUE!</v>
      </c>
      <c r="GH268" s="2" t="n">
        <v>1313.2</v>
      </c>
      <c r="GM268" s="2" t="n">
        <v>115.7</v>
      </c>
      <c r="GN268" s="2" t="n">
        <v>15</v>
      </c>
      <c r="GQ268" s="2" t="e">
        <v>#VALUE!</v>
      </c>
      <c r="GS268" s="2" t="e">
        <v>#VALUE!</v>
      </c>
      <c r="GT268" s="2" t="e">
        <v>#VALUE!</v>
      </c>
      <c r="GX268" s="2" t="n">
        <v>303</v>
      </c>
      <c r="GY268" s="2" t="n">
        <v>0.9731439583184641</v>
      </c>
      <c r="GZ268" s="2" t="n">
        <v>1363.472</v>
      </c>
      <c r="HA268" s="2" t="n">
        <v>1401.1</v>
      </c>
      <c r="HF268" s="2" t="n">
        <v>1624.3</v>
      </c>
      <c r="HG268" s="2" t="n">
        <v>1584.1</v>
      </c>
      <c r="HH268" s="2" t="n">
        <v>757.9</v>
      </c>
      <c r="HI268" s="2" t="n">
        <v>134.6</v>
      </c>
      <c r="HJ268" s="2" t="n">
        <v>680.1</v>
      </c>
      <c r="HK268" s="2" t="n">
        <v>11.5</v>
      </c>
      <c r="HL268" s="2" t="n">
        <v>40.2</v>
      </c>
      <c r="HP268" s="2" t="e">
        <v>#VALUE!</v>
      </c>
      <c r="HQ268" s="2" t="n">
        <v>3.4</v>
      </c>
      <c r="HR268" s="2" t="n">
        <v>7.4</v>
      </c>
      <c r="HS268" s="2" t="e">
        <v>#VALUE!</v>
      </c>
      <c r="HT268" s="2" t="n">
        <v>23.9</v>
      </c>
      <c r="HW268" s="2" t="n">
        <v>251.7</v>
      </c>
      <c r="HX268" s="2" t="e">
        <v>#VALUE!</v>
      </c>
      <c r="HY268" s="2" t="n">
        <v>251.7</v>
      </c>
      <c r="HZ268" s="2" t="n">
        <v>40.3</v>
      </c>
      <c r="IA268" s="2" t="n">
        <v>191</v>
      </c>
      <c r="IB268" s="2" t="n">
        <v>71.5</v>
      </c>
      <c r="IC268" s="2" t="n">
        <v>119.4</v>
      </c>
      <c r="ID268" s="2" t="e">
        <v>#VALUE!</v>
      </c>
      <c r="IE268" s="2" t="e">
        <v>#VALUE!</v>
      </c>
      <c r="IF268" s="2" t="e">
        <v>#VALUE!</v>
      </c>
      <c r="IG268" s="2" t="e">
        <v>#VALUE!</v>
      </c>
      <c r="IN268" s="2" t="n">
        <v>63.597</v>
      </c>
      <c r="IO268" s="2" t="n">
        <v>63.9</v>
      </c>
      <c r="IP268" s="2" t="e">
        <v>#VALUE!</v>
      </c>
      <c r="IQ268" s="2" t="n">
        <v>49.7</v>
      </c>
      <c r="IR268" s="2" t="n">
        <v>18.1</v>
      </c>
      <c r="IS268" s="2" t="e">
        <v>#VALUE!</v>
      </c>
      <c r="IT268" s="2" t="n">
        <v>29.6</v>
      </c>
      <c r="IU268" s="2" t="e">
        <v>#VALUE!</v>
      </c>
      <c r="IV268" s="2" t="e">
        <v>#VALUE!</v>
      </c>
      <c r="IY268" s="2" t="n">
        <v>47.47383954923531</v>
      </c>
      <c r="IZ268" s="2" t="n">
        <v>-0.08616045076468737</v>
      </c>
      <c r="JB268" s="2" t="n">
        <v>10.9270190501744</v>
      </c>
      <c r="JC268" s="2" t="n">
        <v>-0.122980949825596</v>
      </c>
      <c r="JE268" s="2" t="n">
        <v>2684.541</v>
      </c>
      <c r="JF268" s="2" t="n">
        <v>0.8324287094143841</v>
      </c>
    </row>
    <row r="269">
      <c r="A269" s="1" t="n">
        <v>37226</v>
      </c>
      <c r="B269" s="2" t="n">
        <v>4603.3</v>
      </c>
      <c r="C269" s="2" t="n">
        <v>3628.6</v>
      </c>
      <c r="D269" s="2" t="n">
        <v>273.1</v>
      </c>
      <c r="E269" s="2" t="n">
        <v>1953.5</v>
      </c>
      <c r="F269" s="2" t="n">
        <v>28.2</v>
      </c>
      <c r="G269" s="2" t="inlineStr">
        <is>
          <t>NA</t>
        </is>
      </c>
      <c r="H269" s="2" t="inlineStr">
        <is>
          <t>NA</t>
        </is>
      </c>
      <c r="I269" s="2" t="inlineStr">
        <is>
          <t>NA</t>
        </is>
      </c>
      <c r="J269" s="2" t="inlineStr">
        <is>
          <t>NA</t>
        </is>
      </c>
      <c r="K269" s="2" t="n">
        <v>1696.4</v>
      </c>
      <c r="L269" s="2" t="n">
        <v>2723.786</v>
      </c>
      <c r="M269" s="2" t="n">
        <v>2513.8</v>
      </c>
      <c r="N269" s="2" t="n">
        <v>209.986</v>
      </c>
      <c r="O269" s="2" t="n">
        <v>84.90000000000001</v>
      </c>
      <c r="P269" s="2" t="n">
        <v>109.9</v>
      </c>
      <c r="Q269" s="2" t="n">
        <v>24</v>
      </c>
      <c r="R269" s="2" t="n">
        <v>85.90000000000001</v>
      </c>
      <c r="T269" s="2" t="n">
        <v>25.6</v>
      </c>
      <c r="U269" s="2" t="n">
        <v>9.985000000000001</v>
      </c>
      <c r="V269" s="2" t="n">
        <v>8.300000000000001</v>
      </c>
      <c r="W269" s="2" t="n">
        <v>1.685</v>
      </c>
      <c r="X269" s="2" t="inlineStr">
        <is>
          <t>NA</t>
        </is>
      </c>
      <c r="Y269" s="2" t="inlineStr">
        <is>
          <t>NA</t>
        </is>
      </c>
      <c r="Z269" s="2" t="n">
        <v>123.385</v>
      </c>
      <c r="AA269" s="2" t="n">
        <v>106.392</v>
      </c>
      <c r="AB269" s="2" t="n">
        <v>16.993</v>
      </c>
      <c r="AC269" s="2" t="inlineStr">
        <is>
          <t>NA</t>
        </is>
      </c>
      <c r="AD269" s="2" t="inlineStr">
        <is>
          <t>NA</t>
        </is>
      </c>
      <c r="AF269" s="2" t="n">
        <v>60.312</v>
      </c>
      <c r="AG269" s="2" t="n">
        <v>43.957</v>
      </c>
      <c r="AH269" s="2" t="n">
        <v>16.355</v>
      </c>
      <c r="AI269" s="2" t="n">
        <v>206.5</v>
      </c>
      <c r="AL269" s="2" t="n">
        <v>124.786</v>
      </c>
      <c r="AM269" s="2" t="n">
        <v>102.158</v>
      </c>
      <c r="AN269" s="2" t="n">
        <v>22.628</v>
      </c>
      <c r="AO269" s="2" t="n">
        <v>3397.5</v>
      </c>
      <c r="AP269" s="2" t="n">
        <v>332.1</v>
      </c>
      <c r="AQ269" s="2" t="n">
        <v>257.8</v>
      </c>
      <c r="AR269" s="2" t="n">
        <v>61.6</v>
      </c>
      <c r="AS269" s="2" t="n">
        <v>123.3</v>
      </c>
      <c r="AT269" s="2" t="n">
        <v>47.1</v>
      </c>
      <c r="AU269" s="2" t="n">
        <v>76</v>
      </c>
      <c r="AV269" s="2" t="n">
        <v>60.7</v>
      </c>
      <c r="AW269" s="2" t="n">
        <v>16.9</v>
      </c>
      <c r="AX269" s="2" t="n">
        <v>2.9</v>
      </c>
      <c r="AY269" s="2" t="inlineStr">
        <is>
          <t>NA</t>
        </is>
      </c>
      <c r="AZ269" s="2" t="inlineStr">
        <is>
          <t>NA</t>
        </is>
      </c>
      <c r="BA269" s="2" t="inlineStr">
        <is>
          <t>NA</t>
        </is>
      </c>
      <c r="BB269" s="2" t="inlineStr">
        <is>
          <t>NA</t>
        </is>
      </c>
      <c r="BD269" s="2" t="n">
        <v>152.3</v>
      </c>
      <c r="BE269" s="2" t="n">
        <v>40.3</v>
      </c>
      <c r="BF269" s="2" t="n">
        <v>62.5</v>
      </c>
      <c r="BG269" s="2" t="n">
        <v>6.3</v>
      </c>
      <c r="BH269" s="2" t="n">
        <v>295.4</v>
      </c>
      <c r="BK269" s="2" t="n">
        <v>259.7</v>
      </c>
      <c r="BL269" s="2" t="n">
        <v>0</v>
      </c>
      <c r="BM269" s="2" t="n">
        <v>555.1</v>
      </c>
      <c r="BN269" s="2" t="n">
        <v>237.4</v>
      </c>
      <c r="BQ269" s="2" t="n">
        <v>78.40000000000001</v>
      </c>
      <c r="BR269" s="2" t="n">
        <v>0</v>
      </c>
      <c r="BS269" s="2" t="n">
        <v>315.8</v>
      </c>
      <c r="BT269" s="2" t="n">
        <v>23.5</v>
      </c>
      <c r="BU269" s="2" t="n">
        <v>13.6</v>
      </c>
      <c r="BV269" s="2" t="n">
        <v>322.2</v>
      </c>
      <c r="BW269" s="2" t="n">
        <v>79.3</v>
      </c>
      <c r="BX269" s="2" t="n">
        <v>401.5</v>
      </c>
      <c r="BY269" s="2" t="n">
        <v>44.6</v>
      </c>
      <c r="BZ269" s="2" t="n">
        <v>7.4</v>
      </c>
      <c r="CA269" s="2" t="n">
        <v>52</v>
      </c>
      <c r="CF269" s="2" t="n">
        <v>86.51300000000001</v>
      </c>
      <c r="CG269" s="2" t="n">
        <v>128.5</v>
      </c>
      <c r="CH269" s="2" t="n">
        <v>18.8</v>
      </c>
      <c r="CK269" s="2" t="n">
        <v>330.1</v>
      </c>
      <c r="CL269" s="2" t="n">
        <v>48.2</v>
      </c>
      <c r="CN269" s="2" t="n">
        <v>49.107</v>
      </c>
      <c r="CO269" s="2" t="n">
        <v>245.864</v>
      </c>
      <c r="CP269" s="2" t="n">
        <v>178.965</v>
      </c>
      <c r="CQ269" s="2" t="n">
        <v>66.899</v>
      </c>
      <c r="CR269" s="2" t="inlineStr">
        <is>
          <t>NA</t>
        </is>
      </c>
      <c r="CS269" s="2" t="n">
        <v>33.4</v>
      </c>
      <c r="CT269" s="2" t="n">
        <v>19.9</v>
      </c>
      <c r="CU269" s="2" t="n">
        <v>13.5</v>
      </c>
      <c r="CV269" s="2" t="n">
        <v>30.84</v>
      </c>
      <c r="CW269" s="2" t="inlineStr">
        <is>
          <t>NA</t>
        </is>
      </c>
      <c r="CX269" s="2" t="inlineStr">
        <is>
          <t>NA</t>
        </is>
      </c>
      <c r="CY269" s="2" t="inlineStr">
        <is>
          <t>NA</t>
        </is>
      </c>
      <c r="CZ269" s="2" t="n">
        <v>121.251</v>
      </c>
      <c r="DA269" s="2" t="n">
        <v>16.271</v>
      </c>
      <c r="DB269" s="2" t="n">
        <v>14.738</v>
      </c>
      <c r="DC269" s="2" t="n">
        <v>1.533</v>
      </c>
      <c r="DI269" s="2" t="n">
        <v>731.2</v>
      </c>
      <c r="DJ269" s="2" t="n">
        <v>394.8</v>
      </c>
      <c r="DM269" s="2" t="n">
        <v>274.7</v>
      </c>
      <c r="DO269" s="2" t="n">
        <v>259.3</v>
      </c>
      <c r="DP269" s="2" t="n">
        <v>328.6</v>
      </c>
      <c r="DS269" s="2" t="n">
        <v>2363.956</v>
      </c>
      <c r="DT269" s="2" t="n">
        <v>4603.3</v>
      </c>
      <c r="DU269" s="2" t="n">
        <v>-250.7439999999997</v>
      </c>
      <c r="DV269" s="2" t="n">
        <v>0</v>
      </c>
      <c r="EA269" s="2" t="n">
        <v>591.1</v>
      </c>
      <c r="EB269" s="2" t="n">
        <v>595.7</v>
      </c>
      <c r="EE269" s="2" t="n">
        <v>63.5</v>
      </c>
      <c r="EG269" s="2" t="n">
        <v>171.7</v>
      </c>
      <c r="EH269" s="2" t="n">
        <v>347.5</v>
      </c>
      <c r="EL269" s="2" t="n">
        <v>3628.6</v>
      </c>
      <c r="EQ269" s="2" t="n">
        <v>275.3</v>
      </c>
      <c r="ER269" s="2" t="n">
        <v>145.1</v>
      </c>
      <c r="EU269" s="2" t="n">
        <v>103.5</v>
      </c>
      <c r="EW269" s="2" t="n">
        <v>97.09999999999999</v>
      </c>
      <c r="EX269" s="2" t="n">
        <v>120.1</v>
      </c>
      <c r="FB269" s="2" t="n">
        <v>1696.4</v>
      </c>
      <c r="FG269" s="2" t="n">
        <v>579.3</v>
      </c>
      <c r="FH269" s="2" t="n">
        <v>312.8</v>
      </c>
      <c r="FK269" s="2" t="n">
        <v>218.7</v>
      </c>
      <c r="FM269" s="2" t="e">
        <v>#VALUE!</v>
      </c>
      <c r="FN269" s="2" t="n">
        <v>258.6</v>
      </c>
      <c r="FR269" s="2" t="n">
        <v>3664.5</v>
      </c>
      <c r="FW269" s="2" t="n">
        <v>407.7</v>
      </c>
      <c r="FX269" s="2" t="e">
        <v>#VALUE!</v>
      </c>
      <c r="GA269" s="2" t="e">
        <v>#VALUE!</v>
      </c>
      <c r="GC269" s="2" t="n">
        <v>57.3</v>
      </c>
      <c r="GD269" s="2" t="e">
        <v>#VALUE!</v>
      </c>
      <c r="GH269" s="2" t="n">
        <v>1322.7</v>
      </c>
      <c r="GM269" s="2" t="n">
        <v>120.9</v>
      </c>
      <c r="GN269" s="2" t="n">
        <v>15.6</v>
      </c>
      <c r="GQ269" s="2" t="n">
        <v>23.2</v>
      </c>
      <c r="GS269" s="2" t="e">
        <v>#VALUE!</v>
      </c>
      <c r="GT269" s="2" t="e">
        <v>#VALUE!</v>
      </c>
      <c r="GX269" s="2" t="n">
        <v>393.7</v>
      </c>
      <c r="GY269" s="2" t="n">
        <v>0.9762333359019804</v>
      </c>
      <c r="GZ269" s="2" t="n">
        <v>1266.858</v>
      </c>
      <c r="HA269" s="2" t="n">
        <v>1297.7</v>
      </c>
      <c r="HF269" s="2" t="n">
        <v>1485.7</v>
      </c>
      <c r="HG269" s="2" t="n">
        <v>1448</v>
      </c>
      <c r="HH269" s="2" t="n">
        <v>709.8</v>
      </c>
      <c r="HI269" s="2" t="n">
        <v>123.2</v>
      </c>
      <c r="HJ269" s="2" t="n">
        <v>604.7</v>
      </c>
      <c r="HK269" s="2" t="n">
        <v>10.2</v>
      </c>
      <c r="HL269" s="2" t="n">
        <v>37.7</v>
      </c>
      <c r="HP269" s="2" t="e">
        <v>#VALUE!</v>
      </c>
      <c r="HQ269" s="2" t="n">
        <v>5.1</v>
      </c>
      <c r="HR269" s="2" t="n">
        <v>4.4</v>
      </c>
      <c r="HS269" s="2" t="e">
        <v>#VALUE!</v>
      </c>
      <c r="HT269" s="2" t="n">
        <v>23.9</v>
      </c>
      <c r="HW269" s="2" t="n">
        <v>237.1</v>
      </c>
      <c r="HX269" s="2" t="e">
        <v>#VALUE!</v>
      </c>
      <c r="HY269" s="2" t="n">
        <v>237.1</v>
      </c>
      <c r="HZ269" s="2" t="n">
        <v>38.2</v>
      </c>
      <c r="IA269" s="2" t="n">
        <v>182.6</v>
      </c>
      <c r="IB269" s="2" t="n">
        <v>70.8</v>
      </c>
      <c r="IC269" s="2" t="n">
        <v>111.8</v>
      </c>
      <c r="ID269" s="2" t="e">
        <v>#VALUE!</v>
      </c>
      <c r="IE269" s="2" t="e">
        <v>#VALUE!</v>
      </c>
      <c r="IF269" s="2" t="e">
        <v>#VALUE!</v>
      </c>
      <c r="IG269" s="2" t="e">
        <v>#VALUE!</v>
      </c>
      <c r="IN269" s="2" t="n">
        <v>61.268</v>
      </c>
      <c r="IO269" s="2" t="n">
        <v>61.6</v>
      </c>
      <c r="IP269" s="2" t="e">
        <v>#VALUE!</v>
      </c>
      <c r="IQ269" s="2" t="n">
        <v>44.4</v>
      </c>
      <c r="IR269" s="2" t="n">
        <v>19</v>
      </c>
      <c r="IS269" s="2" t="e">
        <v>#VALUE!</v>
      </c>
      <c r="IT269" s="2" t="n">
        <v>23.6</v>
      </c>
      <c r="IU269" s="2" t="e">
        <v>#VALUE!</v>
      </c>
      <c r="IV269" s="2" t="e">
        <v>#VALUE!</v>
      </c>
      <c r="IY269" s="2" t="n">
        <v>47.64364694892794</v>
      </c>
      <c r="IZ269" s="2" t="n">
        <v>0.0536469489279412</v>
      </c>
      <c r="JB269" s="2" t="n">
        <v>11.05554710750983</v>
      </c>
      <c r="JC269" s="2" t="n">
        <v>-0.0944528924901693</v>
      </c>
      <c r="JE269" s="2" t="n">
        <v>2723.786</v>
      </c>
      <c r="JF269" s="2" t="n">
        <v>0.8526312272696901</v>
      </c>
    </row>
    <row r="270">
      <c r="A270" s="1" t="n">
        <v>37257</v>
      </c>
      <c r="B270" s="2" t="n">
        <v>4653.7</v>
      </c>
      <c r="C270" s="2" t="n">
        <v>3888.2</v>
      </c>
      <c r="D270" s="2" t="n">
        <v>281.3</v>
      </c>
      <c r="E270" s="2" t="n">
        <v>1806.9</v>
      </c>
      <c r="F270" s="2" t="n">
        <v>30.3</v>
      </c>
      <c r="G270" s="2" t="inlineStr">
        <is>
          <t>NA</t>
        </is>
      </c>
      <c r="H270" s="2" t="inlineStr">
        <is>
          <t>NA</t>
        </is>
      </c>
      <c r="I270" s="2" t="inlineStr">
        <is>
          <t>NA</t>
        </is>
      </c>
      <c r="J270" s="2" t="inlineStr">
        <is>
          <t>NA</t>
        </is>
      </c>
      <c r="K270" s="2" t="n">
        <v>1706.7</v>
      </c>
      <c r="L270" s="2" t="n">
        <v>2923.7</v>
      </c>
      <c r="M270" s="2" t="n">
        <v>2701.1</v>
      </c>
      <c r="N270" s="2" t="n">
        <v>222.6</v>
      </c>
      <c r="O270" s="2" t="n">
        <v>87.5</v>
      </c>
      <c r="P270" s="2" t="n">
        <v>124.881</v>
      </c>
      <c r="Q270" s="2" t="n">
        <v>27.173</v>
      </c>
      <c r="R270" s="2" t="n">
        <v>97.708</v>
      </c>
      <c r="T270" s="2" t="n">
        <v>24.8</v>
      </c>
      <c r="U270" s="2" t="n">
        <v>14.607</v>
      </c>
      <c r="V270" s="2" t="n">
        <v>11.186</v>
      </c>
      <c r="W270" s="2" t="n">
        <v>3.421</v>
      </c>
      <c r="X270" s="2" t="inlineStr">
        <is>
          <t>NA</t>
        </is>
      </c>
      <c r="Y270" s="2" t="n">
        <v>16.463</v>
      </c>
      <c r="Z270" s="2" t="n">
        <v>102.62</v>
      </c>
      <c r="AA270" s="2" t="n">
        <v>76.614</v>
      </c>
      <c r="AB270" s="2" t="n">
        <v>26.006</v>
      </c>
      <c r="AC270" s="2" t="inlineStr">
        <is>
          <t>NA</t>
        </is>
      </c>
      <c r="AD270" s="2" t="inlineStr">
        <is>
          <t>NA</t>
        </is>
      </c>
      <c r="AF270" s="2" t="n">
        <v>75.11699999999999</v>
      </c>
      <c r="AG270" s="2" t="n">
        <v>57.717</v>
      </c>
      <c r="AH270" s="2" t="n">
        <v>17.4</v>
      </c>
      <c r="AI270" s="2" t="n">
        <v>200.1</v>
      </c>
      <c r="AL270" s="2" t="n">
        <v>158.035</v>
      </c>
      <c r="AM270" s="2" t="n">
        <v>106.155</v>
      </c>
      <c r="AN270" s="2" t="n">
        <v>51.88</v>
      </c>
      <c r="AO270" s="2" t="n">
        <v>3444.1</v>
      </c>
      <c r="AP270" s="2" t="n">
        <v>246.3</v>
      </c>
      <c r="AQ270" s="2" t="n">
        <v>259.1</v>
      </c>
      <c r="AR270" s="2" t="n">
        <v>43.3</v>
      </c>
      <c r="AS270" s="2" t="n">
        <v>129</v>
      </c>
      <c r="AT270" s="2" t="n">
        <v>42.9</v>
      </c>
      <c r="AU270" s="2" t="n">
        <v>75</v>
      </c>
      <c r="AV270" s="2" t="n">
        <v>57.5</v>
      </c>
      <c r="AW270" s="2" t="n">
        <v>16.2</v>
      </c>
      <c r="AX270" s="2" t="inlineStr">
        <is>
          <t>NA</t>
        </is>
      </c>
      <c r="AY270" s="2" t="inlineStr">
        <is>
          <t>NA</t>
        </is>
      </c>
      <c r="AZ270" s="2" t="inlineStr">
        <is>
          <t>NA</t>
        </is>
      </c>
      <c r="BA270" s="2" t="inlineStr">
        <is>
          <t>NA</t>
        </is>
      </c>
      <c r="BB270" s="2" t="inlineStr">
        <is>
          <t>NA</t>
        </is>
      </c>
      <c r="BD270" s="2" t="n">
        <v>162.667</v>
      </c>
      <c r="BE270" s="2" t="n">
        <v>40.878</v>
      </c>
      <c r="BF270" s="2" t="n">
        <v>67.3</v>
      </c>
      <c r="BG270" s="2" t="n">
        <v>6.5</v>
      </c>
      <c r="BH270" s="2" t="n">
        <v>324.8</v>
      </c>
      <c r="BK270" s="2" t="n">
        <v>246.9</v>
      </c>
      <c r="BL270" s="2" t="n">
        <v>0</v>
      </c>
      <c r="BM270" s="2" t="n">
        <v>571.7</v>
      </c>
      <c r="BN270" s="2" t="n">
        <v>274.4</v>
      </c>
      <c r="BQ270" s="2" t="n">
        <v>84.90000000000001</v>
      </c>
      <c r="BR270" s="2" t="n">
        <v>0</v>
      </c>
      <c r="BS270" s="2" t="n">
        <v>359.3</v>
      </c>
      <c r="BT270" s="2" t="n">
        <v>23.6</v>
      </c>
      <c r="BU270" s="2" t="n">
        <v>18.1</v>
      </c>
      <c r="BV270" s="2" t="n">
        <v>337</v>
      </c>
      <c r="BW270" s="2" t="n">
        <v>86.3</v>
      </c>
      <c r="BX270" s="2" t="n">
        <v>423.3</v>
      </c>
      <c r="BY270" s="2" t="n">
        <v>43.7</v>
      </c>
      <c r="BZ270" s="2" t="n">
        <v>7.7</v>
      </c>
      <c r="CA270" s="2" t="n">
        <v>51.40000000000001</v>
      </c>
      <c r="CF270" s="2" t="n">
        <v>101.812</v>
      </c>
      <c r="CG270" s="2" t="n">
        <v>124.2</v>
      </c>
      <c r="CH270" s="2" t="n">
        <v>19.6</v>
      </c>
      <c r="CK270" s="2" t="n">
        <v>365.9</v>
      </c>
      <c r="CL270" s="2" t="n">
        <v>54.8</v>
      </c>
      <c r="CN270" s="2" t="n">
        <v>49.479</v>
      </c>
      <c r="CO270" s="2" t="n">
        <v>238.827</v>
      </c>
      <c r="CP270" s="2" t="n">
        <v>164.02</v>
      </c>
      <c r="CQ270" s="2" t="n">
        <v>74.807</v>
      </c>
      <c r="CR270" s="2" t="inlineStr">
        <is>
          <t>NA</t>
        </is>
      </c>
      <c r="CS270" s="2" t="n">
        <v>36.6</v>
      </c>
      <c r="CT270" s="2" t="n">
        <v>21.6</v>
      </c>
      <c r="CU270" s="2" t="n">
        <v>15</v>
      </c>
      <c r="CV270" s="2" t="n">
        <v>28.629</v>
      </c>
      <c r="CW270" s="2" t="inlineStr">
        <is>
          <t>NA</t>
        </is>
      </c>
      <c r="CX270" s="2" t="inlineStr">
        <is>
          <t>NA</t>
        </is>
      </c>
      <c r="CY270" s="2" t="inlineStr">
        <is>
          <t>NA</t>
        </is>
      </c>
      <c r="CZ270" s="2" t="n">
        <v>100.303</v>
      </c>
      <c r="DA270" s="2" t="n">
        <v>15.503</v>
      </c>
      <c r="DB270" s="2" t="n">
        <v>13.711</v>
      </c>
      <c r="DC270" s="2" t="n">
        <v>1.792</v>
      </c>
      <c r="DI270" s="2" t="n">
        <v>736.8</v>
      </c>
      <c r="DJ270" s="2" t="n">
        <v>401.8</v>
      </c>
      <c r="DM270" s="2" t="n">
        <v>282</v>
      </c>
      <c r="DO270" s="2" t="n">
        <v>253.4</v>
      </c>
      <c r="DP270" s="2" t="n">
        <v>328.3</v>
      </c>
      <c r="DS270" s="2" t="n">
        <v>2404.252</v>
      </c>
      <c r="DT270" s="2" t="n">
        <v>4653.7</v>
      </c>
      <c r="DU270" s="2" t="n">
        <v>-247.1480000000001</v>
      </c>
      <c r="DV270" s="2" t="n">
        <v>0</v>
      </c>
      <c r="EA270" s="2" t="n">
        <v>610.5</v>
      </c>
      <c r="EB270" s="2" t="n">
        <v>660</v>
      </c>
      <c r="EE270" s="2" t="n">
        <v>112.4</v>
      </c>
      <c r="EG270" s="2" t="n">
        <v>194.2</v>
      </c>
      <c r="EH270" s="2" t="n">
        <v>406.3</v>
      </c>
      <c r="EL270" s="2" t="n">
        <v>3888.2</v>
      </c>
      <c r="EQ270" s="2" t="n">
        <v>279.2</v>
      </c>
      <c r="ER270" s="2" t="n">
        <v>138.3</v>
      </c>
      <c r="EU270" s="2" t="n">
        <v>105</v>
      </c>
      <c r="EW270" s="2" t="n">
        <v>93</v>
      </c>
      <c r="EX270" s="2" t="n">
        <v>119.6</v>
      </c>
      <c r="FB270" s="2" t="n">
        <v>1706.7</v>
      </c>
      <c r="FG270" s="2" t="n">
        <v>582.4</v>
      </c>
      <c r="FH270" s="2" t="n">
        <v>321.4</v>
      </c>
      <c r="FK270" s="2" t="n">
        <v>225.1</v>
      </c>
      <c r="FM270" s="2" t="n">
        <v>202.4</v>
      </c>
      <c r="FN270" s="2" t="n">
        <v>260</v>
      </c>
      <c r="FR270" s="2" t="n">
        <v>3712.8</v>
      </c>
      <c r="FW270" s="2" t="n">
        <v>435.3</v>
      </c>
      <c r="FX270" s="2" t="e">
        <v>#VALUE!</v>
      </c>
      <c r="GA270" s="2" t="n">
        <v>68</v>
      </c>
      <c r="GC270" s="2" t="n">
        <v>46.3</v>
      </c>
      <c r="GD270" s="2" t="e">
        <v>#VALUE!</v>
      </c>
      <c r="GH270" s="2" t="n">
        <v>1427.4</v>
      </c>
      <c r="GM270" s="2" t="n">
        <v>110.3</v>
      </c>
      <c r="GN270" s="2" t="n">
        <v>14</v>
      </c>
      <c r="GQ270" s="2" t="n">
        <v>13.5</v>
      </c>
      <c r="GS270" s="2" t="e">
        <v>#VALUE!</v>
      </c>
      <c r="GT270" s="2" t="e">
        <v>#VALUE!</v>
      </c>
      <c r="GX270" s="2" t="n">
        <v>289.7</v>
      </c>
      <c r="GY270" s="2" t="n">
        <v>0.9733599367838799</v>
      </c>
      <c r="GZ270" s="2" t="n">
        <v>1231.787</v>
      </c>
      <c r="HA270" s="2" t="n">
        <v>1265.5</v>
      </c>
      <c r="HF270" s="2" t="n">
        <v>1467.5</v>
      </c>
      <c r="HG270" s="2" t="n">
        <v>1424.3</v>
      </c>
      <c r="HH270" s="2" t="n">
        <v>664.8</v>
      </c>
      <c r="HI270" s="2" t="n">
        <v>100.6</v>
      </c>
      <c r="HJ270" s="2" t="n">
        <v>649.1</v>
      </c>
      <c r="HK270" s="2" t="n">
        <v>9.699999999999999</v>
      </c>
      <c r="HL270" s="2" t="n">
        <v>43.2</v>
      </c>
      <c r="HP270" s="2" t="e">
        <v>#VALUE!</v>
      </c>
      <c r="HQ270" s="2" t="n">
        <v>4.9</v>
      </c>
      <c r="HR270" s="2" t="n">
        <v>8.300000000000001</v>
      </c>
      <c r="HS270" s="2" t="e">
        <v>#VALUE!</v>
      </c>
      <c r="HT270" s="2" t="n">
        <v>24.6</v>
      </c>
      <c r="HW270" s="2" t="n">
        <v>259.2</v>
      </c>
      <c r="HX270" s="2" t="e">
        <v>#VALUE!</v>
      </c>
      <c r="HY270" s="2" t="n">
        <v>259.2</v>
      </c>
      <c r="HZ270" s="2" t="n">
        <v>42.4</v>
      </c>
      <c r="IA270" s="2" t="n">
        <v>198.6</v>
      </c>
      <c r="IB270" s="2" t="n">
        <v>75.40000000000001</v>
      </c>
      <c r="IC270" s="2" t="n">
        <v>123.2</v>
      </c>
      <c r="ID270" s="2" t="e">
        <v>#VALUE!</v>
      </c>
      <c r="IE270" s="2" t="e">
        <v>#VALUE!</v>
      </c>
      <c r="IF270" s="2" t="e">
        <v>#VALUE!</v>
      </c>
      <c r="IG270" s="2" t="e">
        <v>#VALUE!</v>
      </c>
      <c r="IN270" s="2" t="n">
        <v>64.85899999999999</v>
      </c>
      <c r="IO270" s="2" t="n">
        <v>65.2</v>
      </c>
      <c r="IP270" s="2" t="e">
        <v>#VALUE!</v>
      </c>
      <c r="IQ270" s="2" t="n">
        <v>39</v>
      </c>
      <c r="IR270" s="2" t="n">
        <v>17</v>
      </c>
      <c r="IS270" s="2" t="e">
        <v>#VALUE!</v>
      </c>
      <c r="IT270" s="2" t="n">
        <v>20.4</v>
      </c>
      <c r="IU270" s="2" t="e">
        <v>#VALUE!</v>
      </c>
      <c r="IV270" s="2" t="e">
        <v>#VALUE!</v>
      </c>
      <c r="IY270" s="2" t="n">
        <v>47.74523497432151</v>
      </c>
      <c r="IZ270" s="2" t="n">
        <v>0.01523497432150833</v>
      </c>
      <c r="JB270" s="2" t="n">
        <v>11.00221329264886</v>
      </c>
      <c r="JC270" s="2" t="n">
        <v>-0.1277867073511398</v>
      </c>
      <c r="JE270" s="2" t="n">
        <v>2923.7</v>
      </c>
      <c r="JF270" s="2" t="n">
        <v>0.8405000513048535</v>
      </c>
    </row>
    <row r="271">
      <c r="A271" s="1" t="n">
        <v>37288</v>
      </c>
      <c r="B271" s="2" t="n">
        <v>4170.9</v>
      </c>
      <c r="C271" s="2" t="n">
        <v>3846.5</v>
      </c>
      <c r="D271" s="2" t="n">
        <v>253.2</v>
      </c>
      <c r="E271" s="2" t="n">
        <v>1574.5</v>
      </c>
      <c r="F271" s="2" t="n">
        <v>29.8</v>
      </c>
      <c r="G271" s="2" t="inlineStr">
        <is>
          <t>NA</t>
        </is>
      </c>
      <c r="H271" s="2" t="inlineStr">
        <is>
          <t>NA</t>
        </is>
      </c>
      <c r="I271" s="2" t="inlineStr">
        <is>
          <t>NA</t>
        </is>
      </c>
      <c r="J271" s="2" t="inlineStr">
        <is>
          <t>NA</t>
        </is>
      </c>
      <c r="K271" s="2" t="n">
        <v>1543.7</v>
      </c>
      <c r="L271" s="2" t="n">
        <v>2801.716</v>
      </c>
      <c r="M271" s="2" t="n">
        <v>2591.9</v>
      </c>
      <c r="N271" s="2" t="n">
        <v>209.816</v>
      </c>
      <c r="O271" s="2" t="n">
        <v>78.3</v>
      </c>
      <c r="P271" s="2" t="n">
        <v>120.307</v>
      </c>
      <c r="Q271" s="2" t="n">
        <v>31.297</v>
      </c>
      <c r="R271" s="2" t="n">
        <v>89.01000000000001</v>
      </c>
      <c r="T271" s="2" t="n">
        <v>25.5</v>
      </c>
      <c r="U271" s="2" t="n">
        <v>11.859</v>
      </c>
      <c r="V271" s="2" t="n">
        <v>10.296</v>
      </c>
      <c r="W271" s="2" t="n">
        <v>1.563</v>
      </c>
      <c r="X271" s="2" t="inlineStr">
        <is>
          <t>NA</t>
        </is>
      </c>
      <c r="Y271" s="2" t="inlineStr">
        <is>
          <t>NA</t>
        </is>
      </c>
      <c r="Z271" s="2" t="n">
        <v>116.553</v>
      </c>
      <c r="AA271" s="2" t="n">
        <v>116.553</v>
      </c>
      <c r="AB271" s="2" t="inlineStr">
        <is>
          <t>NA</t>
        </is>
      </c>
      <c r="AC271" s="2" t="inlineStr">
        <is>
          <t>NA</t>
        </is>
      </c>
      <c r="AD271" s="2" t="inlineStr">
        <is>
          <t>NA</t>
        </is>
      </c>
      <c r="AF271" s="2" t="n">
        <v>73.94800000000001</v>
      </c>
      <c r="AG271" s="2" t="n">
        <v>51.372</v>
      </c>
      <c r="AH271" s="2" t="n">
        <v>22.576</v>
      </c>
      <c r="AI271" s="2" t="n">
        <v>183.8</v>
      </c>
      <c r="AL271" s="2" t="n">
        <v>157.734</v>
      </c>
      <c r="AM271" s="2" t="n">
        <v>104.158</v>
      </c>
      <c r="AN271" s="2" t="n">
        <v>53.576</v>
      </c>
      <c r="AO271" s="2" t="n">
        <v>3079.4</v>
      </c>
      <c r="AP271" s="2" t="n">
        <v>229.2</v>
      </c>
      <c r="AQ271" s="2" t="n">
        <v>233.8</v>
      </c>
      <c r="AR271" s="2" t="n">
        <v>42.9</v>
      </c>
      <c r="AS271" s="2" t="n">
        <v>112.5</v>
      </c>
      <c r="AT271" s="2" t="n">
        <v>36.6</v>
      </c>
      <c r="AU271" s="2" t="n">
        <v>70.8</v>
      </c>
      <c r="AV271" s="2" t="n">
        <v>49.9</v>
      </c>
      <c r="AW271" s="2" t="n">
        <v>16.3</v>
      </c>
      <c r="AX271" s="2" t="n">
        <v>1</v>
      </c>
      <c r="AY271" s="2" t="inlineStr">
        <is>
          <t>NA</t>
        </is>
      </c>
      <c r="AZ271" s="2" t="inlineStr">
        <is>
          <t>NA</t>
        </is>
      </c>
      <c r="BA271" s="2" t="inlineStr">
        <is>
          <t>NA</t>
        </is>
      </c>
      <c r="BB271" s="2" t="inlineStr">
        <is>
          <t>NA</t>
        </is>
      </c>
      <c r="BD271" s="2" t="n">
        <v>160</v>
      </c>
      <c r="BE271" s="2" t="n">
        <v>33.8</v>
      </c>
      <c r="BF271" s="2" t="n">
        <v>61.9</v>
      </c>
      <c r="BG271" s="2" t="n">
        <v>7.1</v>
      </c>
      <c r="BH271" s="2" t="n">
        <v>306.5</v>
      </c>
      <c r="BK271" s="2" t="n">
        <v>231.1</v>
      </c>
      <c r="BL271" s="2" t="n">
        <v>0</v>
      </c>
      <c r="BM271" s="2" t="n">
        <v>537.6</v>
      </c>
      <c r="BN271" s="2" t="n">
        <v>283.9</v>
      </c>
      <c r="BQ271" s="2" t="n">
        <v>92.40000000000001</v>
      </c>
      <c r="BR271" s="2" t="n">
        <v>0</v>
      </c>
      <c r="BS271" s="2" t="n">
        <v>376.3</v>
      </c>
      <c r="BT271" s="2" t="n">
        <v>21.2</v>
      </c>
      <c r="BU271" s="2" t="n">
        <v>16.5</v>
      </c>
      <c r="BV271" s="2" t="n">
        <v>305.1</v>
      </c>
      <c r="BW271" s="2" t="n">
        <v>80.8</v>
      </c>
      <c r="BX271" s="2" t="n">
        <v>385.9</v>
      </c>
      <c r="BY271" s="2" t="n">
        <v>41.7</v>
      </c>
      <c r="BZ271" s="2" t="n">
        <v>5.29</v>
      </c>
      <c r="CA271" s="2" t="n">
        <v>46.99</v>
      </c>
      <c r="CF271" s="2" t="n">
        <v>93.3</v>
      </c>
      <c r="CG271" s="2" t="n">
        <v>148.3</v>
      </c>
      <c r="CH271" s="2" t="n">
        <v>19.8</v>
      </c>
      <c r="CK271" s="2" t="n">
        <v>339.4</v>
      </c>
      <c r="CL271" s="2" t="n">
        <v>62.9</v>
      </c>
      <c r="CN271" s="2" t="n">
        <v>29.651</v>
      </c>
      <c r="CO271" s="2" t="n">
        <v>249.605</v>
      </c>
      <c r="CP271" s="2" t="n">
        <v>191.367</v>
      </c>
      <c r="CQ271" s="2" t="n">
        <v>58.238</v>
      </c>
      <c r="CR271" s="2" t="inlineStr">
        <is>
          <t>NA</t>
        </is>
      </c>
      <c r="CS271" s="2" t="n">
        <v>27</v>
      </c>
      <c r="CT271" s="2" t="n">
        <v>13.2</v>
      </c>
      <c r="CU271" s="2" t="n">
        <v>13.8</v>
      </c>
      <c r="CV271" s="2" t="n">
        <v>36.652</v>
      </c>
      <c r="CW271" s="2" t="inlineStr">
        <is>
          <t>NA</t>
        </is>
      </c>
      <c r="CX271" s="2" t="inlineStr">
        <is>
          <t>NA</t>
        </is>
      </c>
      <c r="CY271" s="2" t="inlineStr">
        <is>
          <t>NA</t>
        </is>
      </c>
      <c r="CZ271" s="2" t="n">
        <v>131.299</v>
      </c>
      <c r="DA271" s="2" t="n">
        <v>12.74</v>
      </c>
      <c r="DB271" s="2" t="n">
        <v>12.162</v>
      </c>
      <c r="DC271" s="2" t="n">
        <v>0.578</v>
      </c>
      <c r="DI271" s="2" t="n">
        <v>653.9</v>
      </c>
      <c r="DJ271" s="2" t="n">
        <v>367.4</v>
      </c>
      <c r="DM271" s="2" t="n">
        <v>246.8</v>
      </c>
      <c r="DO271" s="2" t="n">
        <v>234.7</v>
      </c>
      <c r="DP271" s="2" t="n">
        <v>295.3</v>
      </c>
      <c r="DS271" s="2" t="n">
        <v>2149.485</v>
      </c>
      <c r="DT271" s="2" t="n">
        <v>4170.9</v>
      </c>
      <c r="DU271" s="2" t="n">
        <v>-223.3149999999996</v>
      </c>
      <c r="DV271" s="2" t="n">
        <v>0</v>
      </c>
      <c r="EA271" s="2" t="n">
        <v>559.8</v>
      </c>
      <c r="EB271" s="2" t="n">
        <v>618.7</v>
      </c>
      <c r="EE271" s="2" t="n">
        <v>100.2</v>
      </c>
      <c r="EG271" s="2" t="n">
        <v>190.6</v>
      </c>
      <c r="EH271" s="2" t="n">
        <v>369.8</v>
      </c>
      <c r="EL271" s="2" t="n">
        <v>3846.5</v>
      </c>
      <c r="EQ271" s="2" t="n">
        <v>248.5</v>
      </c>
      <c r="ER271" s="2" t="n">
        <v>133.9</v>
      </c>
      <c r="EU271" s="2" t="n">
        <v>93</v>
      </c>
      <c r="EW271" s="2" t="n">
        <v>86.8</v>
      </c>
      <c r="EX271" s="2" t="n">
        <v>109</v>
      </c>
      <c r="FB271" s="2" t="n">
        <v>1543.7</v>
      </c>
      <c r="FG271" s="2" t="n">
        <v>515.2</v>
      </c>
      <c r="FH271" s="2" t="n">
        <v>293.6</v>
      </c>
      <c r="FK271" s="2" t="n">
        <v>199.2</v>
      </c>
      <c r="FM271" s="2" t="n">
        <v>186.9</v>
      </c>
      <c r="FN271" s="2" t="n">
        <v>234.4</v>
      </c>
      <c r="FR271" s="2" t="n">
        <v>3321.7</v>
      </c>
      <c r="FW271" s="2" t="n">
        <v>426.5</v>
      </c>
      <c r="FX271" s="2" t="e">
        <v>#VALUE!</v>
      </c>
      <c r="GA271" s="2" t="n">
        <v>45.3</v>
      </c>
      <c r="GC271" s="2" t="n">
        <v>38.7</v>
      </c>
      <c r="GD271" s="2" t="e">
        <v>#VALUE!</v>
      </c>
      <c r="GH271" s="2" t="n">
        <v>1377.4</v>
      </c>
      <c r="GM271" s="2" t="n">
        <v>66.59999999999999</v>
      </c>
      <c r="GN271" s="2" t="n">
        <v>13.4</v>
      </c>
      <c r="GQ271" s="2" t="n">
        <v>12.7</v>
      </c>
      <c r="GS271" s="2" t="n">
        <v>8.9</v>
      </c>
      <c r="GT271" s="2" t="n">
        <v>9.199999999999999</v>
      </c>
      <c r="GX271" s="2" t="n">
        <v>272</v>
      </c>
      <c r="GY271" s="2" t="n">
        <v>0.9727649958915365</v>
      </c>
      <c r="GZ271" s="2" t="n">
        <v>1183.855</v>
      </c>
      <c r="HA271" s="2" t="n">
        <v>1217</v>
      </c>
      <c r="HF271" s="2" t="n">
        <v>1395.8</v>
      </c>
      <c r="HG271" s="2" t="n">
        <v>1350.9</v>
      </c>
      <c r="HH271" s="2" t="n">
        <v>650.7</v>
      </c>
      <c r="HI271" s="2" t="n">
        <v>84.90000000000001</v>
      </c>
      <c r="HJ271" s="2" t="n">
        <v>605.7</v>
      </c>
      <c r="HK271" s="2" t="n">
        <v>9.6</v>
      </c>
      <c r="HL271" s="2" t="n">
        <v>44.9</v>
      </c>
      <c r="HP271" s="2" t="e">
        <v>#VALUE!</v>
      </c>
      <c r="HQ271" s="2" t="n">
        <v>5</v>
      </c>
      <c r="HR271" s="2" t="n">
        <v>8.5</v>
      </c>
      <c r="HS271" s="2" t="e">
        <v>#VALUE!</v>
      </c>
      <c r="HT271" s="2" t="n">
        <v>26.4</v>
      </c>
      <c r="HW271" s="2" t="n">
        <v>237</v>
      </c>
      <c r="HX271" s="2" t="e">
        <v>#VALUE!</v>
      </c>
      <c r="HY271" s="2" t="n">
        <v>237</v>
      </c>
      <c r="HZ271" s="2" t="n">
        <v>39.3</v>
      </c>
      <c r="IA271" s="2" t="n">
        <v>179.3</v>
      </c>
      <c r="IB271" s="2" t="n">
        <v>75.3</v>
      </c>
      <c r="IC271" s="2" t="n">
        <v>104</v>
      </c>
      <c r="ID271" s="2" t="e">
        <v>#VALUE!</v>
      </c>
      <c r="IE271" s="2" t="e">
        <v>#VALUE!</v>
      </c>
      <c r="IF271" s="2" t="e">
        <v>#VALUE!</v>
      </c>
      <c r="IG271" s="2" t="e">
        <v>#VALUE!</v>
      </c>
      <c r="IN271" s="2" t="n">
        <v>58.04</v>
      </c>
      <c r="IO271" s="2" t="n">
        <v>58.3</v>
      </c>
      <c r="IP271" s="2" t="e">
        <v>#VALUE!</v>
      </c>
      <c r="IQ271" s="2" t="n">
        <v>40.5</v>
      </c>
      <c r="IR271" s="2" t="n">
        <v>18.4</v>
      </c>
      <c r="IS271" s="2" t="e">
        <v>#VALUE!</v>
      </c>
      <c r="IT271" s="2" t="n">
        <v>20.3</v>
      </c>
      <c r="IU271" s="2" t="e">
        <v>#VALUE!</v>
      </c>
      <c r="IV271" s="2" t="e">
        <v>#VALUE!</v>
      </c>
      <c r="IY271" s="2" t="n">
        <v>47.66165575775013</v>
      </c>
      <c r="IZ271" s="2" t="n">
        <v>0.07165575775012911</v>
      </c>
      <c r="JB271" s="2" t="n">
        <v>11.10335898726894</v>
      </c>
      <c r="JC271" s="2" t="n">
        <v>-0.08664101273106439</v>
      </c>
      <c r="JE271" s="2" t="n">
        <v>2801.716</v>
      </c>
      <c r="JF271" s="2" t="n">
        <v>0.8233743177395567</v>
      </c>
    </row>
    <row r="272">
      <c r="A272" s="1" t="n">
        <v>37316</v>
      </c>
      <c r="B272" s="2" t="n">
        <v>4493.8</v>
      </c>
      <c r="C272" s="2" t="n">
        <v>3385.2</v>
      </c>
      <c r="D272" s="2" t="n">
        <v>251.8</v>
      </c>
      <c r="E272" s="2" t="n">
        <v>1315.2</v>
      </c>
      <c r="F272" s="2" t="n">
        <v>38.6</v>
      </c>
      <c r="G272" s="2" t="inlineStr">
        <is>
          <t>NA</t>
        </is>
      </c>
      <c r="H272" s="2" t="inlineStr">
        <is>
          <t>NA</t>
        </is>
      </c>
      <c r="I272" s="2" t="inlineStr">
        <is>
          <t>NA</t>
        </is>
      </c>
      <c r="J272" s="2" t="inlineStr">
        <is>
          <t>NA</t>
        </is>
      </c>
      <c r="K272" s="2" t="n">
        <v>1661.9</v>
      </c>
      <c r="L272" s="2" t="n">
        <v>2916.9</v>
      </c>
      <c r="M272" s="2" t="n">
        <v>2704.5</v>
      </c>
      <c r="N272" s="2" t="n">
        <v>212.4</v>
      </c>
      <c r="O272" s="2" t="n">
        <v>78.2</v>
      </c>
      <c r="P272" s="2" t="n">
        <v>106.925</v>
      </c>
      <c r="Q272" s="2" t="n">
        <v>24.664</v>
      </c>
      <c r="R272" s="2" t="n">
        <v>82.261</v>
      </c>
      <c r="T272" s="2" t="n">
        <v>32.8</v>
      </c>
      <c r="U272" s="2" t="n">
        <v>26.272</v>
      </c>
      <c r="V272" s="2" t="n">
        <v>24.1</v>
      </c>
      <c r="W272" s="2" t="n">
        <v>2.172</v>
      </c>
      <c r="X272" s="2" t="inlineStr">
        <is>
          <t>NA</t>
        </is>
      </c>
      <c r="Y272" s="2" t="inlineStr">
        <is>
          <t>NA</t>
        </is>
      </c>
      <c r="Z272" s="2" t="n">
        <v>118.965</v>
      </c>
      <c r="AA272" s="2" t="n">
        <v>104.012</v>
      </c>
      <c r="AB272" s="2" t="n">
        <v>14.953</v>
      </c>
      <c r="AC272" s="2" t="inlineStr">
        <is>
          <t>NA</t>
        </is>
      </c>
      <c r="AD272" s="2" t="inlineStr">
        <is>
          <t>NA</t>
        </is>
      </c>
      <c r="AF272" s="2" t="n">
        <v>78.625</v>
      </c>
      <c r="AG272" s="2" t="n">
        <v>49.677</v>
      </c>
      <c r="AH272" s="2" t="n">
        <v>28.948</v>
      </c>
      <c r="AI272" s="2" t="n">
        <v>187.1</v>
      </c>
      <c r="AL272" s="2" t="n">
        <v>151.684</v>
      </c>
      <c r="AM272" s="2" t="n">
        <v>107.977</v>
      </c>
      <c r="AN272" s="2" t="n">
        <v>43.707</v>
      </c>
      <c r="AO272" s="2" t="n">
        <v>3335.6</v>
      </c>
      <c r="AP272" s="2" t="n">
        <v>292.6</v>
      </c>
      <c r="AQ272" s="2" t="n">
        <v>254.1</v>
      </c>
      <c r="AR272" s="2" t="n">
        <v>43.8</v>
      </c>
      <c r="AS272" s="2" t="n">
        <v>115</v>
      </c>
      <c r="AT272" s="2" t="n">
        <v>33.5</v>
      </c>
      <c r="AU272" s="2" t="n">
        <v>67.2</v>
      </c>
      <c r="AV272" s="2" t="n">
        <v>44.7</v>
      </c>
      <c r="AW272" s="2" t="n">
        <v>20.9</v>
      </c>
      <c r="AX272" s="2" t="n">
        <v>1.2</v>
      </c>
      <c r="AY272" s="2" t="inlineStr">
        <is>
          <t>NA</t>
        </is>
      </c>
      <c r="AZ272" s="2" t="inlineStr">
        <is>
          <t>NA</t>
        </is>
      </c>
      <c r="BA272" s="2" t="inlineStr">
        <is>
          <t>NA</t>
        </is>
      </c>
      <c r="BB272" s="2" t="inlineStr">
        <is>
          <t>NA</t>
        </is>
      </c>
      <c r="BD272" s="2" t="n">
        <v>140.86</v>
      </c>
      <c r="BE272" s="2" t="n">
        <v>31.576</v>
      </c>
      <c r="BF272" s="2" t="n">
        <v>62.6</v>
      </c>
      <c r="BG272" s="2" t="n">
        <v>6.9</v>
      </c>
      <c r="BH272" s="2" t="n">
        <v>288.5</v>
      </c>
      <c r="BK272" s="2" t="n">
        <v>246.2</v>
      </c>
      <c r="BL272" s="2" t="n">
        <v>0</v>
      </c>
      <c r="BM272" s="2" t="n">
        <v>534.7</v>
      </c>
      <c r="BN272" s="2" t="n">
        <v>246.8</v>
      </c>
      <c r="BQ272" s="2" t="n">
        <v>98.2</v>
      </c>
      <c r="BR272" s="2" t="n">
        <v>0</v>
      </c>
      <c r="BS272" s="2" t="n">
        <v>345</v>
      </c>
      <c r="BT272" s="2" t="n">
        <v>20.8</v>
      </c>
      <c r="BU272" s="2" t="n">
        <v>16.6</v>
      </c>
      <c r="BV272" s="2" t="n">
        <v>298.4</v>
      </c>
      <c r="BW272" s="2" t="n">
        <v>79.133</v>
      </c>
      <c r="BX272" s="2" t="n">
        <v>377.5</v>
      </c>
      <c r="BY272" s="2" t="n">
        <v>43.6</v>
      </c>
      <c r="BZ272" s="2" t="n">
        <v>7.7</v>
      </c>
      <c r="CA272" s="2" t="n">
        <v>51.3</v>
      </c>
      <c r="CF272" s="2" t="n">
        <v>105.518</v>
      </c>
      <c r="CG272" s="2" t="n">
        <v>165.6</v>
      </c>
      <c r="CH272" s="2" t="n">
        <v>21.5</v>
      </c>
      <c r="CK272" s="2" t="n">
        <v>352.7</v>
      </c>
      <c r="CL272" s="2" t="n">
        <v>54.3</v>
      </c>
      <c r="CN272" s="2" t="n">
        <v>47.015</v>
      </c>
      <c r="CO272" s="2" t="n">
        <v>251.332</v>
      </c>
      <c r="CP272" s="2" t="n">
        <v>175.413</v>
      </c>
      <c r="CQ272" s="2" t="n">
        <v>75.919</v>
      </c>
      <c r="CR272" s="2" t="inlineStr">
        <is>
          <t>NA</t>
        </is>
      </c>
      <c r="CS272" s="2" t="n">
        <v>33.399</v>
      </c>
      <c r="CV272" s="2" t="n">
        <v>29.644</v>
      </c>
      <c r="CW272" s="2" t="inlineStr">
        <is>
          <t>NA</t>
        </is>
      </c>
      <c r="CX272" s="2" t="inlineStr">
        <is>
          <t>NA</t>
        </is>
      </c>
      <c r="CY272" s="2" t="inlineStr">
        <is>
          <t>NA</t>
        </is>
      </c>
      <c r="CZ272" s="2" t="n">
        <v>125.219</v>
      </c>
      <c r="DA272" s="2" t="n">
        <v>11.698</v>
      </c>
      <c r="DB272" s="2" t="inlineStr">
        <is>
          <t>NA</t>
        </is>
      </c>
      <c r="DC272" s="2" t="inlineStr">
        <is>
          <t>NA</t>
        </is>
      </c>
      <c r="DI272" s="2" t="n">
        <v>698.6</v>
      </c>
      <c r="DJ272" s="2" t="n">
        <v>398.9</v>
      </c>
      <c r="DM272" s="2" t="n">
        <v>271.9</v>
      </c>
      <c r="DO272" s="2" t="n">
        <v>251.7</v>
      </c>
      <c r="DP272" s="2" t="n">
        <v>317.5</v>
      </c>
      <c r="DS272" s="2" t="n">
        <v>2330.25</v>
      </c>
      <c r="DT272" s="2" t="n">
        <v>4493.8</v>
      </c>
      <c r="DU272" s="2" t="n">
        <v>-224.9499999999998</v>
      </c>
      <c r="DV272" s="2" t="n">
        <v>0</v>
      </c>
      <c r="EA272" s="2" t="n">
        <v>426.6</v>
      </c>
      <c r="EB272" s="2" t="n">
        <v>603.3</v>
      </c>
      <c r="EE272" s="2" t="n">
        <v>87.8</v>
      </c>
      <c r="EG272" s="2" t="n">
        <v>178.2</v>
      </c>
      <c r="EH272" s="2" t="n">
        <v>349.9</v>
      </c>
      <c r="EL272" s="2" t="n">
        <v>3385.2</v>
      </c>
      <c r="EQ272" s="2" t="n">
        <v>261.6</v>
      </c>
      <c r="ER272" s="2" t="n">
        <v>136.9</v>
      </c>
      <c r="EU272" s="2" t="n">
        <v>102.8</v>
      </c>
      <c r="EW272" s="2" t="n">
        <v>95</v>
      </c>
      <c r="EX272" s="2" t="n">
        <v>118.6</v>
      </c>
      <c r="FB272" s="2" t="n">
        <v>1661.9</v>
      </c>
      <c r="FG272" s="2" t="n">
        <v>551</v>
      </c>
      <c r="FH272" s="2" t="n">
        <v>318.2</v>
      </c>
      <c r="FK272" s="2" t="e">
        <v>#VALUE!</v>
      </c>
      <c r="FM272" s="2" t="n">
        <v>205.3</v>
      </c>
      <c r="FN272" s="2" t="n">
        <v>254.4</v>
      </c>
      <c r="FR272" s="2" t="n">
        <v>3598.3</v>
      </c>
      <c r="FW272" s="2" t="n">
        <v>440.2</v>
      </c>
      <c r="FX272" s="2" t="e">
        <v>#VALUE!</v>
      </c>
      <c r="GA272" s="2" t="n">
        <v>46.7</v>
      </c>
      <c r="GC272" s="2" t="n">
        <v>46.3</v>
      </c>
      <c r="GD272" s="2" t="e">
        <v>#VALUE!</v>
      </c>
      <c r="GH272" s="2" t="n">
        <v>1399.5</v>
      </c>
      <c r="GM272" s="2" t="n">
        <v>68.3</v>
      </c>
      <c r="GN272" s="2" t="n">
        <v>30.7</v>
      </c>
      <c r="GQ272" s="2" t="e">
        <v>#VALUE!</v>
      </c>
      <c r="GS272" s="2" t="n">
        <v>12.4</v>
      </c>
      <c r="GT272" s="2" t="e">
        <v>#VALUE!</v>
      </c>
      <c r="GX272" s="2" t="n">
        <v>336.5</v>
      </c>
      <c r="GY272" s="2" t="n">
        <v>0.9787431010376038</v>
      </c>
      <c r="GZ272" s="2" t="n">
        <v>1330.014</v>
      </c>
      <c r="HA272" s="2" t="n">
        <v>1358.9</v>
      </c>
      <c r="HF272" s="2" t="n">
        <v>1568.7</v>
      </c>
      <c r="HG272" s="2" t="n">
        <v>1529.5</v>
      </c>
      <c r="HH272" s="2" t="n">
        <v>719.8</v>
      </c>
      <c r="HI272" s="2" t="n">
        <v>100.1</v>
      </c>
      <c r="HJ272" s="2" t="n">
        <v>699.1</v>
      </c>
      <c r="HK272" s="2" t="n">
        <v>10.5</v>
      </c>
      <c r="HL272" s="2" t="n">
        <v>39.2</v>
      </c>
      <c r="HP272" s="2" t="e">
        <v>#VALUE!</v>
      </c>
      <c r="HQ272" s="2" t="n">
        <v>4.4</v>
      </c>
      <c r="HR272" s="2" t="n">
        <v>7.9</v>
      </c>
      <c r="HS272" s="2" t="e">
        <v>#VALUE!</v>
      </c>
      <c r="HT272" s="2" t="n">
        <v>21.7</v>
      </c>
      <c r="HW272" s="2" t="n">
        <v>242.2</v>
      </c>
      <c r="HX272" s="2" t="e">
        <v>#VALUE!</v>
      </c>
      <c r="HY272" s="2" t="n">
        <v>242.2</v>
      </c>
      <c r="HZ272" s="2" t="n">
        <v>46</v>
      </c>
      <c r="IA272" s="2" t="n">
        <v>177.8</v>
      </c>
      <c r="IB272" s="2" t="n">
        <v>68.59999999999999</v>
      </c>
      <c r="IC272" s="2" t="n">
        <v>109.2</v>
      </c>
      <c r="ID272" s="2" t="e">
        <v>#VALUE!</v>
      </c>
      <c r="IE272" s="2" t="e">
        <v>#VALUE!</v>
      </c>
      <c r="IF272" s="2" t="e">
        <v>#VALUE!</v>
      </c>
      <c r="IG272" s="2" t="e">
        <v>#VALUE!</v>
      </c>
      <c r="IN272" s="2" t="n">
        <v>58.529</v>
      </c>
      <c r="IO272" s="2" t="n">
        <v>58.9</v>
      </c>
      <c r="IP272" s="2" t="e">
        <v>#VALUE!</v>
      </c>
      <c r="IQ272" s="2" t="n">
        <v>47.1</v>
      </c>
      <c r="IR272" s="2" t="n">
        <v>16.1</v>
      </c>
      <c r="IS272" s="2" t="e">
        <v>#VALUE!</v>
      </c>
      <c r="IT272" s="2" t="n">
        <v>29.1</v>
      </c>
      <c r="IU272" s="2" t="e">
        <v>#VALUE!</v>
      </c>
      <c r="IV272" s="2" t="e">
        <v>#VALUE!</v>
      </c>
      <c r="IY272" s="2" t="n">
        <v>47.9287017668788</v>
      </c>
      <c r="IZ272" s="2" t="n">
        <v>0.03870176687880189</v>
      </c>
      <c r="JB272" s="2" t="n">
        <v>11.09461925319329</v>
      </c>
      <c r="JC272" s="2" t="n">
        <v>-0.1653807468067114</v>
      </c>
      <c r="JE272" s="2" t="n">
        <v>2916.9</v>
      </c>
      <c r="JF272" s="2" t="n">
        <v>0.8244752991189276</v>
      </c>
    </row>
    <row r="273">
      <c r="A273" s="1" t="n">
        <v>37347</v>
      </c>
      <c r="B273" s="2" t="n">
        <v>4176.1</v>
      </c>
      <c r="C273" s="2" t="n">
        <v>3127.3</v>
      </c>
      <c r="D273" s="2" t="n">
        <v>243</v>
      </c>
      <c r="E273" s="2" t="n">
        <v>1086.7</v>
      </c>
      <c r="F273" s="2" t="n">
        <v>34.1</v>
      </c>
      <c r="G273" s="2" t="inlineStr">
        <is>
          <t>NA</t>
        </is>
      </c>
      <c r="H273" s="2" t="inlineStr">
        <is>
          <t>NA</t>
        </is>
      </c>
      <c r="I273" s="2" t="inlineStr">
        <is>
          <t>NA</t>
        </is>
      </c>
      <c r="J273" s="2" t="inlineStr">
        <is>
          <t>NA</t>
        </is>
      </c>
      <c r="K273" s="2" t="n">
        <v>1550.6</v>
      </c>
      <c r="L273" s="2" t="n">
        <v>2793.517</v>
      </c>
      <c r="M273" s="2" t="n">
        <v>2597.9</v>
      </c>
      <c r="N273" s="2" t="n">
        <v>195.617</v>
      </c>
      <c r="O273" s="2" t="n">
        <v>74.59999999999999</v>
      </c>
      <c r="P273" s="2" t="n">
        <v>110.291</v>
      </c>
      <c r="Q273" s="2" t="n">
        <v>27.156</v>
      </c>
      <c r="R273" s="2" t="n">
        <v>83.13500000000001</v>
      </c>
      <c r="T273" s="2" t="n">
        <v>28.5</v>
      </c>
      <c r="U273" s="2" t="n">
        <v>33.429</v>
      </c>
      <c r="V273" s="2" t="n">
        <v>31.5</v>
      </c>
      <c r="W273" s="2" t="n">
        <v>1.929</v>
      </c>
      <c r="X273" s="2" t="inlineStr">
        <is>
          <t>NA</t>
        </is>
      </c>
      <c r="Y273" s="2" t="inlineStr">
        <is>
          <t>NA</t>
        </is>
      </c>
      <c r="Z273" s="2" t="n">
        <v>124.009</v>
      </c>
      <c r="AA273" s="2" t="n">
        <v>108.215</v>
      </c>
      <c r="AB273" s="2" t="n">
        <v>15.794</v>
      </c>
      <c r="AC273" s="2" t="inlineStr">
        <is>
          <t>NA</t>
        </is>
      </c>
      <c r="AD273" s="2" t="inlineStr">
        <is>
          <t>NA</t>
        </is>
      </c>
      <c r="AF273" s="2" t="n">
        <v>92.45</v>
      </c>
      <c r="AG273" s="2" t="n">
        <v>68.464</v>
      </c>
      <c r="AH273" s="2" t="n">
        <v>23.986</v>
      </c>
      <c r="AI273" s="2" t="n">
        <v>189.4</v>
      </c>
      <c r="AL273" s="2" t="n">
        <v>163</v>
      </c>
      <c r="AM273" s="2" t="n">
        <v>119.5</v>
      </c>
      <c r="AN273" s="2" t="n">
        <v>43.5</v>
      </c>
      <c r="AO273" s="2" t="n">
        <v>3081.8</v>
      </c>
      <c r="AP273" s="2" t="n">
        <v>209.1</v>
      </c>
      <c r="AQ273" s="2" t="n">
        <v>233.9</v>
      </c>
      <c r="AR273" s="2" t="n">
        <v>44.6</v>
      </c>
      <c r="AS273" s="2" t="n">
        <v>109.2</v>
      </c>
      <c r="AT273" s="2" t="n">
        <v>45.4</v>
      </c>
      <c r="AU273" s="2" t="n">
        <v>66.5</v>
      </c>
      <c r="AV273" s="2" t="n">
        <v>49.2</v>
      </c>
      <c r="AW273" s="2" t="n">
        <v>19.1</v>
      </c>
      <c r="AX273" s="2" t="n">
        <v>0.9</v>
      </c>
      <c r="AY273" s="2" t="inlineStr">
        <is>
          <t>NA</t>
        </is>
      </c>
      <c r="AZ273" s="2" t="inlineStr">
        <is>
          <t>NA</t>
        </is>
      </c>
      <c r="BA273" s="2" t="inlineStr">
        <is>
          <t>NA</t>
        </is>
      </c>
      <c r="BB273" s="2" t="inlineStr">
        <is>
          <t>NA</t>
        </is>
      </c>
      <c r="BD273" s="2" t="n">
        <v>145.134</v>
      </c>
      <c r="BE273" s="2" t="n">
        <v>32.29</v>
      </c>
      <c r="BF273" s="2" t="n">
        <v>66</v>
      </c>
      <c r="BG273" s="2" t="n">
        <v>10.7</v>
      </c>
      <c r="BH273" s="2" t="n">
        <v>298.2</v>
      </c>
      <c r="BK273" s="2" t="n">
        <v>251.5</v>
      </c>
      <c r="BL273" s="2" t="n">
        <v>0</v>
      </c>
      <c r="BM273" s="2" t="n">
        <v>549.7</v>
      </c>
      <c r="BN273" s="2" t="n">
        <v>234.9</v>
      </c>
      <c r="BQ273" s="2" t="n">
        <v>92.40000000000001</v>
      </c>
      <c r="BR273" s="2" t="n">
        <v>0</v>
      </c>
      <c r="BS273" s="2" t="n">
        <v>327.3</v>
      </c>
      <c r="BT273" s="2" t="n">
        <v>22.8</v>
      </c>
      <c r="BU273" s="2" t="n">
        <v>20.5</v>
      </c>
      <c r="BV273" s="2" t="n">
        <v>310.1</v>
      </c>
      <c r="BW273" s="2" t="n">
        <v>81.66500000000001</v>
      </c>
      <c r="BX273" s="2" t="n">
        <v>391.8</v>
      </c>
      <c r="BY273" s="2" t="n">
        <v>44.7</v>
      </c>
      <c r="BZ273" s="2" t="n">
        <v>9.458</v>
      </c>
      <c r="CA273" s="2" t="n">
        <v>54.158</v>
      </c>
      <c r="CF273" s="2" t="n">
        <v>104.18</v>
      </c>
      <c r="CG273" s="2" t="n">
        <v>177.4</v>
      </c>
      <c r="CH273" s="2" t="n">
        <v>22.7</v>
      </c>
      <c r="CK273" s="2" t="n">
        <v>360</v>
      </c>
      <c r="CL273" s="2" t="n">
        <v>54.8</v>
      </c>
      <c r="CN273" s="2" t="n">
        <v>53.5</v>
      </c>
      <c r="CO273" s="2" t="n">
        <v>233.3</v>
      </c>
      <c r="CP273" s="2" t="n">
        <v>161.1</v>
      </c>
      <c r="CQ273" s="2" t="n">
        <v>72.2</v>
      </c>
      <c r="CR273" s="2" t="inlineStr">
        <is>
          <t>NA</t>
        </is>
      </c>
      <c r="CS273" s="2" t="n">
        <v>32.34</v>
      </c>
      <c r="CV273" s="2" t="n">
        <v>32.1</v>
      </c>
      <c r="CW273" s="2" t="inlineStr">
        <is>
          <t>NA</t>
        </is>
      </c>
      <c r="CX273" s="2" t="inlineStr">
        <is>
          <t>NA</t>
        </is>
      </c>
      <c r="CY273" s="2" t="inlineStr">
        <is>
          <t>NA</t>
        </is>
      </c>
      <c r="CZ273" s="2" t="n">
        <v>119</v>
      </c>
      <c r="DA273" s="2" t="n">
        <v>11.9</v>
      </c>
      <c r="DB273" s="2" t="inlineStr">
        <is>
          <t>NA</t>
        </is>
      </c>
      <c r="DC273" s="2" t="inlineStr">
        <is>
          <t>NA</t>
        </is>
      </c>
      <c r="DI273" s="2" t="n">
        <v>648.3</v>
      </c>
      <c r="DJ273" s="2" t="n">
        <v>344.8</v>
      </c>
      <c r="DM273" s="2" t="n">
        <v>255.5</v>
      </c>
      <c r="DO273" s="2" t="n">
        <v>249.8</v>
      </c>
      <c r="DP273" s="2" t="n">
        <v>278.5</v>
      </c>
      <c r="DS273" s="2" t="n">
        <v>2201.523</v>
      </c>
      <c r="DT273" s="2" t="n">
        <v>4176.1</v>
      </c>
      <c r="DU273" s="2" t="n">
        <v>-197.6770000000006</v>
      </c>
      <c r="DV273" s="2" t="n">
        <v>0</v>
      </c>
      <c r="EA273" s="2" t="n">
        <v>340.2</v>
      </c>
      <c r="EB273" s="2" t="n">
        <v>561.5</v>
      </c>
      <c r="EE273" s="2" t="n">
        <v>97.2</v>
      </c>
      <c r="EG273" s="2" t="n">
        <v>125.5</v>
      </c>
      <c r="EH273" s="2" t="e">
        <v>#VALUE!</v>
      </c>
      <c r="EL273" s="2" t="n">
        <v>3127.3</v>
      </c>
      <c r="EQ273" s="2" t="n">
        <v>248.8</v>
      </c>
      <c r="ER273" s="2" t="n">
        <v>117.2</v>
      </c>
      <c r="EU273" s="2" t="n">
        <v>99.2</v>
      </c>
      <c r="EW273" s="2" t="n">
        <v>94.2</v>
      </c>
      <c r="EX273" s="2" t="n">
        <v>101.3</v>
      </c>
      <c r="FB273" s="2" t="n">
        <v>1550.6</v>
      </c>
      <c r="FG273" s="2" t="n">
        <v>513.9</v>
      </c>
      <c r="FH273" s="2" t="n">
        <v>274.4</v>
      </c>
      <c r="FK273" s="2" t="n">
        <v>202.7</v>
      </c>
      <c r="FM273" s="2" t="n">
        <v>199</v>
      </c>
      <c r="FN273" s="2" t="n">
        <v>221.1</v>
      </c>
      <c r="FR273" s="2" t="n">
        <v>3325.337</v>
      </c>
      <c r="FW273" s="2" t="n">
        <v>433.3</v>
      </c>
      <c r="FX273" s="2" t="e">
        <v>#VALUE!</v>
      </c>
      <c r="GA273" s="2" t="n">
        <v>44.5</v>
      </c>
      <c r="GC273" s="2" t="n">
        <v>45</v>
      </c>
      <c r="GD273" s="2" t="e">
        <v>#VALUE!</v>
      </c>
      <c r="GH273" s="2" t="n">
        <v>1393.3</v>
      </c>
      <c r="GM273" s="2" t="n">
        <v>48.4</v>
      </c>
      <c r="GN273" s="2" t="n">
        <v>22.4</v>
      </c>
      <c r="GQ273" s="2" t="n">
        <v>17</v>
      </c>
      <c r="GS273" s="2" t="e">
        <v>#VALUE!</v>
      </c>
      <c r="GT273" s="2" t="e">
        <v>#VALUE!</v>
      </c>
      <c r="GX273" s="2" t="n">
        <v>253.771</v>
      </c>
      <c r="GY273" s="2" t="n">
        <v>0.974612611230439</v>
      </c>
      <c r="GZ273" s="2" t="n">
        <v>1270.505</v>
      </c>
      <c r="HA273" s="2" t="n">
        <v>1303.6</v>
      </c>
      <c r="HF273" s="2" t="n">
        <v>1503.2</v>
      </c>
      <c r="HG273" s="2" t="n">
        <v>1459.2</v>
      </c>
      <c r="HH273" s="2" t="n">
        <v>695.2</v>
      </c>
      <c r="HI273" s="2" t="n">
        <v>100</v>
      </c>
      <c r="HJ273" s="2" t="n">
        <v>653</v>
      </c>
      <c r="HK273" s="2" t="n">
        <v>10.9</v>
      </c>
      <c r="HL273" s="2" t="n">
        <v>44</v>
      </c>
      <c r="HP273" s="2" t="e">
        <v>#VALUE!</v>
      </c>
      <c r="HQ273" s="2" t="n">
        <v>4.3</v>
      </c>
      <c r="HR273" s="2" t="n">
        <v>7.6</v>
      </c>
      <c r="HS273" s="2" t="e">
        <v>#VALUE!</v>
      </c>
      <c r="HT273" s="2" t="n">
        <v>25.6</v>
      </c>
      <c r="HW273" s="2" t="n">
        <v>252.8</v>
      </c>
      <c r="HX273" s="2" t="e">
        <v>#VALUE!</v>
      </c>
      <c r="HY273" s="2" t="n">
        <v>252.8</v>
      </c>
      <c r="HZ273" s="2" t="n">
        <v>43.7</v>
      </c>
      <c r="IA273" s="2" t="n">
        <v>190.6</v>
      </c>
      <c r="IB273" s="2" t="n">
        <v>70.8</v>
      </c>
      <c r="IC273" s="2" t="n">
        <v>119.8</v>
      </c>
      <c r="ID273" s="2" t="e">
        <v>#VALUE!</v>
      </c>
      <c r="IE273" s="2" t="e">
        <v>#VALUE!</v>
      </c>
      <c r="IF273" s="2" t="e">
        <v>#VALUE!</v>
      </c>
      <c r="IG273" s="2" t="e">
        <v>#VALUE!</v>
      </c>
      <c r="IN273" s="2" t="n">
        <v>56.225</v>
      </c>
      <c r="IO273" s="2" t="n">
        <v>56.6</v>
      </c>
      <c r="IP273" s="2" t="e">
        <v>#VALUE!</v>
      </c>
      <c r="IQ273" s="2" t="n">
        <v>45.7</v>
      </c>
      <c r="IR273" s="2" t="n">
        <v>17.8</v>
      </c>
      <c r="IS273" s="2" t="e">
        <v>#VALUE!</v>
      </c>
      <c r="IT273" s="2" t="n">
        <v>25.8</v>
      </c>
      <c r="IU273" s="2" t="e">
        <v>#VALUE!</v>
      </c>
      <c r="IV273" s="2" t="e">
        <v>#VALUE!</v>
      </c>
      <c r="IY273" s="2" t="n">
        <v>47.63822705394985</v>
      </c>
      <c r="IZ273" s="2" t="n">
        <v>0.02822705394985547</v>
      </c>
      <c r="JB273" s="2" t="n">
        <v>11.13910107516582</v>
      </c>
      <c r="JC273" s="2" t="n">
        <v>-0.1408989248341772</v>
      </c>
      <c r="JE273" s="2" t="n">
        <v>2793.517</v>
      </c>
      <c r="JF273" s="2" t="n">
        <v>0.817921637849349</v>
      </c>
    </row>
    <row r="274">
      <c r="A274" s="1" t="n">
        <v>37377</v>
      </c>
      <c r="B274" s="2" t="n">
        <v>4218.6</v>
      </c>
      <c r="C274" s="2" t="n">
        <v>2646.9</v>
      </c>
      <c r="D274" s="2" t="n">
        <v>233.3</v>
      </c>
      <c r="E274" s="2" t="n">
        <v>820.2</v>
      </c>
      <c r="F274" s="2" t="n">
        <v>38.6</v>
      </c>
      <c r="G274" s="2" t="inlineStr">
        <is>
          <t>NA</t>
        </is>
      </c>
      <c r="H274" s="2" t="inlineStr">
        <is>
          <t>NA</t>
        </is>
      </c>
      <c r="I274" s="2" t="inlineStr">
        <is>
          <t>NA</t>
        </is>
      </c>
      <c r="J274" s="2" t="inlineStr">
        <is>
          <t>NA</t>
        </is>
      </c>
      <c r="K274" s="2" t="n">
        <v>1574</v>
      </c>
      <c r="L274" s="2" t="n">
        <v>2889.4</v>
      </c>
      <c r="M274" s="2" t="n">
        <v>2699.2</v>
      </c>
      <c r="N274" s="2" t="n">
        <v>190.2</v>
      </c>
      <c r="O274" s="2" t="n">
        <v>74.5</v>
      </c>
      <c r="P274" s="2" t="n">
        <v>97.655</v>
      </c>
      <c r="Q274" s="2" t="n">
        <v>22.555</v>
      </c>
      <c r="R274" s="2" t="n">
        <v>75.09999999999999</v>
      </c>
      <c r="T274" s="2" t="n">
        <v>33.8</v>
      </c>
      <c r="U274" s="2" t="n">
        <v>36.903</v>
      </c>
      <c r="V274" s="2" t="n">
        <v>33</v>
      </c>
      <c r="W274" s="2" t="n">
        <v>3.903</v>
      </c>
      <c r="X274" s="2" t="inlineStr">
        <is>
          <t>NA</t>
        </is>
      </c>
      <c r="Y274" s="2" t="inlineStr">
        <is>
          <t>NA</t>
        </is>
      </c>
      <c r="Z274" s="2" t="n">
        <v>113.827</v>
      </c>
      <c r="AA274" s="2" t="n">
        <v>99.646</v>
      </c>
      <c r="AB274" s="2" t="n">
        <v>14.181</v>
      </c>
      <c r="AC274" s="2" t="inlineStr">
        <is>
          <t>NA</t>
        </is>
      </c>
      <c r="AD274" s="2" t="inlineStr">
        <is>
          <t>NA</t>
        </is>
      </c>
      <c r="AF274" s="2" t="n">
        <v>96.59999999999999</v>
      </c>
      <c r="AG274" s="2" t="n">
        <v>75</v>
      </c>
      <c r="AH274" s="2" t="n">
        <v>21.6</v>
      </c>
      <c r="AI274" s="2" t="n">
        <v>219.8</v>
      </c>
      <c r="AL274" s="2" t="n">
        <v>164.5</v>
      </c>
      <c r="AM274" s="2" t="n">
        <v>118.2</v>
      </c>
      <c r="AN274" s="2" t="n">
        <v>46.3</v>
      </c>
      <c r="AO274" s="2" t="n">
        <v>3106.6</v>
      </c>
      <c r="AP274" s="2" t="n">
        <v>175.8</v>
      </c>
      <c r="AQ274" s="2" t="n">
        <v>237.6</v>
      </c>
      <c r="AR274" s="2" t="n">
        <v>36.9</v>
      </c>
      <c r="AS274" s="2" t="n">
        <v>107.9</v>
      </c>
      <c r="AT274" s="2" t="n">
        <v>60.3</v>
      </c>
      <c r="AU274" s="2" t="n">
        <v>63</v>
      </c>
      <c r="AV274" s="2" t="n">
        <v>44.6</v>
      </c>
      <c r="AW274" s="2" t="n">
        <v>20.7</v>
      </c>
      <c r="AX274" s="2" t="n">
        <v>0.5</v>
      </c>
      <c r="AY274" s="2" t="inlineStr">
        <is>
          <t>NA</t>
        </is>
      </c>
      <c r="AZ274" s="2" t="inlineStr">
        <is>
          <t>NA</t>
        </is>
      </c>
      <c r="BA274" s="2" t="inlineStr">
        <is>
          <t>NA</t>
        </is>
      </c>
      <c r="BB274" s="2" t="inlineStr">
        <is>
          <t>NA</t>
        </is>
      </c>
      <c r="BD274" s="2" t="n">
        <v>168.34</v>
      </c>
      <c r="BE274" s="2" t="n">
        <v>33.506</v>
      </c>
      <c r="BF274" s="2" t="n">
        <v>71.5</v>
      </c>
      <c r="BG274" s="2" t="n">
        <v>9.9</v>
      </c>
      <c r="BH274" s="2" t="n">
        <v>321.1</v>
      </c>
      <c r="BK274" s="2" t="n">
        <v>271.3</v>
      </c>
      <c r="BL274" s="2" t="n">
        <v>0</v>
      </c>
      <c r="BM274" s="2" t="n">
        <v>592.4</v>
      </c>
      <c r="BN274" s="2" t="n">
        <v>231.5</v>
      </c>
      <c r="BQ274" s="2" t="n">
        <v>101.2</v>
      </c>
      <c r="BR274" s="2" t="n">
        <v>0</v>
      </c>
      <c r="BS274" s="2" t="n">
        <v>332.7</v>
      </c>
      <c r="BT274" s="2" t="n">
        <v>23.8</v>
      </c>
      <c r="BU274" s="2" t="n">
        <v>22.5</v>
      </c>
      <c r="BV274" s="2" t="n">
        <v>335.2</v>
      </c>
      <c r="BW274" s="2" t="n">
        <v>96.40300000000001</v>
      </c>
      <c r="BX274" s="2" t="n">
        <v>431.6</v>
      </c>
      <c r="BY274" s="2" t="n">
        <v>50.8</v>
      </c>
      <c r="BZ274" s="2" t="n">
        <v>10.096</v>
      </c>
      <c r="CA274" s="2" t="n">
        <v>60.896</v>
      </c>
      <c r="CF274" s="2" t="n">
        <v>95.40000000000001</v>
      </c>
      <c r="CG274" s="2" t="n">
        <v>190.4</v>
      </c>
      <c r="CH274" s="2" t="n">
        <v>20.9</v>
      </c>
      <c r="CK274" s="2" t="n">
        <v>396.2</v>
      </c>
      <c r="CL274" s="2" t="n">
        <v>59.4</v>
      </c>
      <c r="CN274" s="2" t="n">
        <v>32.283</v>
      </c>
      <c r="CO274" s="2" t="n">
        <v>231.647</v>
      </c>
      <c r="CP274" s="2" t="n">
        <v>171.429</v>
      </c>
      <c r="CQ274" s="2" t="n">
        <v>60.218</v>
      </c>
      <c r="CR274" s="2" t="inlineStr">
        <is>
          <t>NA</t>
        </is>
      </c>
      <c r="CS274" s="2" t="n">
        <v>31.112</v>
      </c>
      <c r="CV274" s="2" t="n">
        <v>54.254</v>
      </c>
      <c r="CW274" s="2" t="inlineStr">
        <is>
          <t>NA</t>
        </is>
      </c>
      <c r="CX274" s="2" t="inlineStr">
        <is>
          <t>NA</t>
        </is>
      </c>
      <c r="CY274" s="2" t="inlineStr">
        <is>
          <t>NA</t>
        </is>
      </c>
      <c r="CZ274" s="2" t="n">
        <v>129.194</v>
      </c>
      <c r="DA274" s="2" t="n">
        <v>14.039</v>
      </c>
      <c r="DB274" s="2" t="inlineStr">
        <is>
          <t>NA</t>
        </is>
      </c>
      <c r="DC274" s="2" t="inlineStr">
        <is>
          <t>NA</t>
        </is>
      </c>
      <c r="DI274" s="2" t="n">
        <v>610.5</v>
      </c>
      <c r="DJ274" s="2" t="n">
        <v>391.4</v>
      </c>
      <c r="DM274" s="2" t="n">
        <v>265.4</v>
      </c>
      <c r="DO274" s="2" t="n">
        <v>251</v>
      </c>
      <c r="DP274" s="2" t="n">
        <v>256.3</v>
      </c>
      <c r="DS274" s="2" t="n">
        <v>2221.118</v>
      </c>
      <c r="DT274" s="2" t="n">
        <v>4218.6</v>
      </c>
      <c r="DU274" s="2" t="n">
        <v>-222.8820000000005</v>
      </c>
      <c r="DV274" s="2" t="n">
        <v>0</v>
      </c>
      <c r="EA274" s="2" t="n">
        <v>294.5</v>
      </c>
      <c r="EB274" s="2" t="n">
        <v>403.6</v>
      </c>
      <c r="EE274" s="2" t="n">
        <v>94.2</v>
      </c>
      <c r="EG274" s="2" t="n">
        <v>122.4</v>
      </c>
      <c r="EH274" s="2" t="n">
        <v>281.5</v>
      </c>
      <c r="EL274" s="2" t="n">
        <v>2646.9</v>
      </c>
      <c r="EQ274" s="2" t="n">
        <v>234.4</v>
      </c>
      <c r="ER274" s="2" t="n">
        <v>144.5</v>
      </c>
      <c r="EU274" s="2" t="n">
        <v>99.7</v>
      </c>
      <c r="EW274" s="2" t="n">
        <v>93.2</v>
      </c>
      <c r="EX274" s="2" t="n">
        <v>94.90000000000001</v>
      </c>
      <c r="FB274" s="2" t="n">
        <v>1574</v>
      </c>
      <c r="FG274" s="2" t="n">
        <v>481.4</v>
      </c>
      <c r="FH274" s="2" t="n">
        <v>309.8</v>
      </c>
      <c r="FK274" s="2" t="n">
        <v>214.3</v>
      </c>
      <c r="FM274" s="2" t="n">
        <v>199.7</v>
      </c>
      <c r="FN274" s="2" t="n">
        <v>201.7</v>
      </c>
      <c r="FR274" s="2" t="n">
        <v>3352.8</v>
      </c>
      <c r="FW274" s="2" t="n">
        <v>425.6</v>
      </c>
      <c r="FX274" s="2" t="e">
        <v>#VALUE!</v>
      </c>
      <c r="GA274" s="2" t="n">
        <v>29.3</v>
      </c>
      <c r="GC274" s="2" t="n">
        <v>50</v>
      </c>
      <c r="GD274" s="2" t="e">
        <v>#VALUE!</v>
      </c>
      <c r="GH274" s="2" t="n">
        <v>1395.9</v>
      </c>
      <c r="GM274" s="2" t="n">
        <v>42.9</v>
      </c>
      <c r="GN274" s="2" t="n">
        <v>17</v>
      </c>
      <c r="GQ274" s="2" t="e">
        <v>#VALUE!</v>
      </c>
      <c r="GS274" s="2" t="e">
        <v>#VALUE!</v>
      </c>
      <c r="GT274" s="2" t="e">
        <v>#VALUE!</v>
      </c>
      <c r="GX274" s="2" t="n">
        <v>212.7</v>
      </c>
      <c r="GY274" s="2" t="n">
        <v>0.9769300361881784</v>
      </c>
      <c r="GZ274" s="2" t="n">
        <v>1295.8</v>
      </c>
      <c r="HA274" s="2" t="n">
        <v>1326.4</v>
      </c>
      <c r="HF274" s="2" t="n">
        <v>1549</v>
      </c>
      <c r="HG274" s="2" t="n">
        <v>1503.4</v>
      </c>
      <c r="HH274" s="2" t="n">
        <v>718.6</v>
      </c>
      <c r="HI274" s="2" t="n">
        <v>85.09999999999999</v>
      </c>
      <c r="HJ274" s="2" t="n">
        <v>689.2</v>
      </c>
      <c r="HK274" s="2" t="n">
        <v>10.6</v>
      </c>
      <c r="HL274" s="2" t="n">
        <v>45.5</v>
      </c>
      <c r="HP274" s="2" t="e">
        <v>#VALUE!</v>
      </c>
      <c r="HQ274" s="2" t="n">
        <v>5.7</v>
      </c>
      <c r="HR274" s="2" t="n">
        <v>8</v>
      </c>
      <c r="HS274" s="2" t="e">
        <v>#VALUE!</v>
      </c>
      <c r="HT274" s="2" t="n">
        <v>25.7</v>
      </c>
      <c r="HW274" s="2" t="n">
        <v>276.9</v>
      </c>
      <c r="HX274" s="2" t="e">
        <v>#VALUE!</v>
      </c>
      <c r="HY274" s="2" t="n">
        <v>276.9</v>
      </c>
      <c r="HZ274" s="2" t="n">
        <v>53.2</v>
      </c>
      <c r="IA274" s="2" t="n">
        <v>201.8</v>
      </c>
      <c r="IB274" s="2" t="n">
        <v>78.40000000000001</v>
      </c>
      <c r="IC274" s="2" t="n">
        <v>123.4</v>
      </c>
      <c r="ID274" s="2" t="e">
        <v>#VALUE!</v>
      </c>
      <c r="IE274" s="2" t="e">
        <v>#VALUE!</v>
      </c>
      <c r="IF274" s="2" t="e">
        <v>#VALUE!</v>
      </c>
      <c r="IG274" s="2" t="e">
        <v>#VALUE!</v>
      </c>
      <c r="IN274" s="2" t="n">
        <v>56.663</v>
      </c>
      <c r="IO274" s="2" t="n">
        <v>56.9</v>
      </c>
      <c r="IP274" s="2" t="e">
        <v>#VALUE!</v>
      </c>
      <c r="IQ274" s="2" t="n">
        <v>41</v>
      </c>
      <c r="IR274" s="2" t="n">
        <v>12.3</v>
      </c>
      <c r="IS274" s="2" t="e">
        <v>#VALUE!</v>
      </c>
      <c r="IT274" s="2" t="n">
        <v>27.1</v>
      </c>
      <c r="IU274" s="2" t="e">
        <v>#VALUE!</v>
      </c>
      <c r="IV274" s="2" t="e">
        <v>#VALUE!</v>
      </c>
      <c r="IY274" s="2" t="n">
        <v>47.56364670743848</v>
      </c>
      <c r="IZ274" s="2" t="n">
        <v>0.06364670743847967</v>
      </c>
      <c r="JB274" s="2" t="n">
        <v>11.19328687242213</v>
      </c>
      <c r="JC274" s="2" t="n">
        <v>-0.08671312757786964</v>
      </c>
      <c r="JE274" s="2" t="n">
        <v>2889.4</v>
      </c>
      <c r="JF274" s="2" t="n">
        <v>0.838241503426317</v>
      </c>
    </row>
    <row r="275">
      <c r="A275" s="1" t="n">
        <v>37408</v>
      </c>
      <c r="B275" s="2" t="n">
        <v>4037.7</v>
      </c>
      <c r="C275" s="2" t="n">
        <v>2036.7</v>
      </c>
      <c r="D275" s="2" t="n">
        <v>200.3</v>
      </c>
      <c r="E275" s="2" t="n">
        <v>548.5</v>
      </c>
      <c r="F275" s="2" t="n">
        <v>27.9</v>
      </c>
      <c r="G275" s="2" t="inlineStr">
        <is>
          <t>NA</t>
        </is>
      </c>
      <c r="H275" s="2" t="inlineStr">
        <is>
          <t>NA</t>
        </is>
      </c>
      <c r="I275" s="2" t="inlineStr">
        <is>
          <t>NA</t>
        </is>
      </c>
      <c r="J275" s="2" t="inlineStr">
        <is>
          <t>NA</t>
        </is>
      </c>
      <c r="K275" s="2" t="n">
        <v>1506.1</v>
      </c>
      <c r="L275" s="2" t="n">
        <v>2658.342</v>
      </c>
      <c r="M275" s="2" t="n">
        <v>2451.8</v>
      </c>
      <c r="N275" s="2" t="n">
        <v>206.542</v>
      </c>
      <c r="O275" s="2" t="n">
        <v>61.8</v>
      </c>
      <c r="P275" s="2" t="n">
        <v>82.657</v>
      </c>
      <c r="Q275" s="2" t="n">
        <v>24.22</v>
      </c>
      <c r="R275" s="2" t="n">
        <v>58.437</v>
      </c>
      <c r="T275" s="2" t="n">
        <v>24.3</v>
      </c>
      <c r="U275" s="2" t="n">
        <v>32.659</v>
      </c>
      <c r="V275" s="2" t="n">
        <v>29.3</v>
      </c>
      <c r="W275" s="2" t="n">
        <v>3.359</v>
      </c>
      <c r="X275" s="2" t="inlineStr">
        <is>
          <t>NA</t>
        </is>
      </c>
      <c r="Y275" s="2" t="inlineStr">
        <is>
          <t>NA</t>
        </is>
      </c>
      <c r="Z275" s="2" t="n">
        <v>64.7</v>
      </c>
      <c r="AA275" s="2" t="n">
        <v>64.7</v>
      </c>
      <c r="AB275" s="2" t="inlineStr">
        <is>
          <t>NA</t>
        </is>
      </c>
      <c r="AC275" s="2" t="inlineStr">
        <is>
          <t>NA</t>
        </is>
      </c>
      <c r="AD275" s="2" t="inlineStr">
        <is>
          <t>NA</t>
        </is>
      </c>
      <c r="AF275" s="2" t="n">
        <v>75.423</v>
      </c>
      <c r="AG275" s="2" t="n">
        <v>53.376</v>
      </c>
      <c r="AH275" s="2" t="n">
        <v>22.047</v>
      </c>
      <c r="AI275" s="2" t="n">
        <v>227.3</v>
      </c>
      <c r="AL275" s="2" t="n">
        <v>168.362</v>
      </c>
      <c r="AM275" s="2" t="n">
        <v>111.303</v>
      </c>
      <c r="AN275" s="2" t="n">
        <v>57.059</v>
      </c>
      <c r="AO275" s="2" t="n">
        <v>2970</v>
      </c>
      <c r="AP275" s="2" t="n">
        <v>294.4</v>
      </c>
      <c r="AQ275" s="2" t="n">
        <v>224.2</v>
      </c>
      <c r="AR275" s="2" t="n">
        <v>49</v>
      </c>
      <c r="AS275" s="2" t="n">
        <v>96.3</v>
      </c>
      <c r="AT275" s="2" t="n">
        <v>68.40000000000001</v>
      </c>
      <c r="AU275" s="2" t="n">
        <v>55.6</v>
      </c>
      <c r="AV275" s="2" t="n">
        <v>35.8</v>
      </c>
      <c r="AW275" s="2" t="n">
        <v>15.7</v>
      </c>
      <c r="AX275" s="2" t="inlineStr">
        <is>
          <t>NA</t>
        </is>
      </c>
      <c r="AY275" s="2" t="inlineStr">
        <is>
          <t>NA</t>
        </is>
      </c>
      <c r="AZ275" s="2" t="inlineStr">
        <is>
          <t>NA</t>
        </is>
      </c>
      <c r="BA275" s="2" t="inlineStr">
        <is>
          <t>NA</t>
        </is>
      </c>
      <c r="BB275" s="2" t="inlineStr">
        <is>
          <t>NA</t>
        </is>
      </c>
      <c r="BD275" s="2" t="n">
        <v>145.074</v>
      </c>
      <c r="BE275" s="2" t="n">
        <v>35.538</v>
      </c>
      <c r="BF275" s="2" t="n">
        <v>63.3</v>
      </c>
      <c r="BG275" s="2" t="n">
        <v>8.300000000000001</v>
      </c>
      <c r="BH275" s="2" t="n">
        <v>279.6</v>
      </c>
      <c r="BK275" s="2" t="n">
        <v>240.7</v>
      </c>
      <c r="BL275" s="2" t="n">
        <v>0</v>
      </c>
      <c r="BM275" s="2" t="n">
        <v>520.2</v>
      </c>
      <c r="BN275" s="2" t="n">
        <v>252.3</v>
      </c>
      <c r="BQ275" s="2" t="n">
        <v>102.1</v>
      </c>
      <c r="BR275" s="2" t="n">
        <v>0</v>
      </c>
      <c r="BS275" s="2" t="n">
        <v>354.4</v>
      </c>
      <c r="BT275" s="2" t="n">
        <v>19.9</v>
      </c>
      <c r="BU275" s="2" t="n">
        <v>18.888</v>
      </c>
      <c r="BV275" s="2" t="n">
        <v>296.9</v>
      </c>
      <c r="BW275" s="2" t="n">
        <v>87.2</v>
      </c>
      <c r="BX275" s="2" t="n">
        <v>384.1</v>
      </c>
      <c r="BY275" s="2" t="n">
        <v>51.1</v>
      </c>
      <c r="BZ275" s="2" t="n">
        <v>8.800000000000001</v>
      </c>
      <c r="CA275" s="2" t="n">
        <v>59.90000000000001</v>
      </c>
      <c r="CF275" s="2" t="n">
        <v>88.47199999999999</v>
      </c>
      <c r="CG275" s="2" t="n">
        <v>175.4</v>
      </c>
      <c r="CH275" s="2" t="n">
        <v>18.6</v>
      </c>
      <c r="CK275" s="2" t="n">
        <v>349.4</v>
      </c>
      <c r="CL275" s="2" t="n">
        <v>55.9</v>
      </c>
      <c r="CN275" s="2" t="n">
        <v>31.369</v>
      </c>
      <c r="CO275" s="2" t="n">
        <v>303.25</v>
      </c>
      <c r="CP275" s="2" t="n">
        <v>224.034</v>
      </c>
      <c r="CQ275" s="2" t="n">
        <v>79.21599999999999</v>
      </c>
      <c r="CR275" s="2" t="inlineStr">
        <is>
          <t>NA</t>
        </is>
      </c>
      <c r="CS275" s="2" t="n">
        <v>27.795</v>
      </c>
      <c r="CV275" s="2" t="n">
        <v>50.77</v>
      </c>
      <c r="CW275" s="2" t="inlineStr">
        <is>
          <t>NA</t>
        </is>
      </c>
      <c r="CX275" s="2" t="inlineStr">
        <is>
          <t>NA</t>
        </is>
      </c>
      <c r="CY275" s="2" t="inlineStr">
        <is>
          <t>NA</t>
        </is>
      </c>
      <c r="CZ275" s="2" t="n">
        <v>102.429</v>
      </c>
      <c r="DA275" s="2" t="n">
        <v>10.029</v>
      </c>
      <c r="DB275" s="2" t="inlineStr">
        <is>
          <t>NA</t>
        </is>
      </c>
      <c r="DC275" s="2" t="inlineStr">
        <is>
          <t>NA</t>
        </is>
      </c>
      <c r="DI275" s="2" t="n">
        <v>558.3</v>
      </c>
      <c r="DJ275" s="2" t="n">
        <v>369.3</v>
      </c>
      <c r="DM275" s="2" t="n">
        <v>274.4</v>
      </c>
      <c r="DO275" s="2" t="n">
        <v>240.1</v>
      </c>
      <c r="DP275" s="2" t="n">
        <v>303.3</v>
      </c>
      <c r="DS275" s="2" t="n">
        <v>2113.161</v>
      </c>
      <c r="DT275" s="2" t="n">
        <v>4037.7</v>
      </c>
      <c r="DU275" s="2" t="n">
        <v>-179.1390000000001</v>
      </c>
      <c r="DV275" s="2" t="n">
        <v>0</v>
      </c>
      <c r="EA275" s="2" t="n">
        <v>264</v>
      </c>
      <c r="EB275" s="2" t="n">
        <v>283.3</v>
      </c>
      <c r="EE275" s="2" t="e">
        <v>#VALUE!</v>
      </c>
      <c r="EG275" s="2" t="n">
        <v>80.40000000000001</v>
      </c>
      <c r="EH275" s="2" t="n">
        <v>200</v>
      </c>
      <c r="EL275" s="2" t="n">
        <v>2036.7</v>
      </c>
      <c r="EQ275" s="2" t="n">
        <v>210.5</v>
      </c>
      <c r="ER275" s="2" t="n">
        <v>135.4</v>
      </c>
      <c r="EU275" s="2" t="n">
        <v>106.8</v>
      </c>
      <c r="EW275" s="2" t="n">
        <v>89.2</v>
      </c>
      <c r="EX275" s="2" t="n">
        <v>111.6</v>
      </c>
      <c r="FB275" s="2" t="n">
        <v>1506.1</v>
      </c>
      <c r="FG275" s="2" t="n">
        <v>439.7</v>
      </c>
      <c r="FH275" s="2" t="n">
        <v>291.3</v>
      </c>
      <c r="FK275" s="2" t="n">
        <v>219.4</v>
      </c>
      <c r="FM275" s="2" t="n">
        <v>191.1</v>
      </c>
      <c r="FN275" s="2" t="n">
        <v>239.7</v>
      </c>
      <c r="FR275" s="2" t="n">
        <v>3202.9</v>
      </c>
      <c r="FW275" s="2" t="n">
        <v>388.5</v>
      </c>
      <c r="FX275" s="2" t="e">
        <v>#VALUE!</v>
      </c>
      <c r="GA275" s="2" t="n">
        <v>32.8</v>
      </c>
      <c r="GC275" s="2" t="n">
        <v>49.9</v>
      </c>
      <c r="GD275" s="2" t="e">
        <v>#VALUE!</v>
      </c>
      <c r="GH275" s="2" t="n">
        <v>1386.6</v>
      </c>
      <c r="GM275" s="2" t="n">
        <v>58.8</v>
      </c>
      <c r="GN275" s="2" t="n">
        <v>32</v>
      </c>
      <c r="GQ275" s="2" t="n">
        <v>29.8</v>
      </c>
      <c r="GS275" s="2" t="e">
        <v>#VALUE!</v>
      </c>
      <c r="GT275" s="2" t="e">
        <v>#VALUE!</v>
      </c>
      <c r="GX275" s="2" t="n">
        <v>343.3</v>
      </c>
      <c r="GY275" s="2" t="n">
        <v>0.9750636074511587</v>
      </c>
      <c r="GZ275" s="2" t="n">
        <v>1287.669</v>
      </c>
      <c r="HA275" s="2" t="n">
        <v>1320.6</v>
      </c>
      <c r="HF275" s="2" t="n">
        <v>1492.4</v>
      </c>
      <c r="HG275" s="2" t="n">
        <v>1447.3</v>
      </c>
      <c r="HH275" s="2" t="n">
        <v>698.3</v>
      </c>
      <c r="HI275" s="2" t="n">
        <v>92.09999999999999</v>
      </c>
      <c r="HJ275" s="2" t="n">
        <v>646.1</v>
      </c>
      <c r="HK275" s="2" t="n">
        <v>10.7</v>
      </c>
      <c r="HL275" s="2" t="n">
        <v>45.1</v>
      </c>
      <c r="HP275" s="2" t="e">
        <v>#VALUE!</v>
      </c>
      <c r="HQ275" s="2" t="n">
        <v>4.1</v>
      </c>
      <c r="HR275" s="2" t="n">
        <v>7.1</v>
      </c>
      <c r="HS275" s="2" t="e">
        <v>#VALUE!</v>
      </c>
      <c r="HT275" s="2" t="n">
        <v>28.3</v>
      </c>
      <c r="HW275" s="2" t="n">
        <v>253.1</v>
      </c>
      <c r="HX275" s="2" t="e">
        <v>#VALUE!</v>
      </c>
      <c r="HY275" s="2" t="n">
        <v>253.1</v>
      </c>
      <c r="HZ275" s="2" t="n">
        <v>42.8</v>
      </c>
      <c r="IA275" s="2" t="n">
        <v>188.8</v>
      </c>
      <c r="IB275" s="2" t="n">
        <v>69.7</v>
      </c>
      <c r="IC275" s="2" t="n">
        <v>119.1</v>
      </c>
      <c r="ID275" s="2" t="e">
        <v>#VALUE!</v>
      </c>
      <c r="IE275" s="2" t="e">
        <v>#VALUE!</v>
      </c>
      <c r="IF275" s="2" t="e">
        <v>#VALUE!</v>
      </c>
      <c r="IG275" s="2" t="e">
        <v>#VALUE!</v>
      </c>
      <c r="IN275" s="2" t="n">
        <v>45.176</v>
      </c>
      <c r="IO275" s="2" t="n">
        <v>45.2</v>
      </c>
      <c r="IP275" s="2" t="e">
        <v>#VALUE!</v>
      </c>
      <c r="IQ275" s="2" t="n">
        <v>50</v>
      </c>
      <c r="IR275" s="2" t="n">
        <v>13.5</v>
      </c>
      <c r="IS275" s="2" t="e">
        <v>#VALUE!</v>
      </c>
      <c r="IT275" s="2" t="n">
        <v>34.6</v>
      </c>
      <c r="IU275" s="2" t="e">
        <v>#VALUE!</v>
      </c>
      <c r="IV275" s="2" t="e">
        <v>#VALUE!</v>
      </c>
      <c r="IY275" s="2" t="n">
        <v>47.4656363771454</v>
      </c>
      <c r="IZ275" s="2" t="n">
        <v>0.03563637714540135</v>
      </c>
      <c r="JB275" s="2" t="n">
        <v>11.19028159595809</v>
      </c>
      <c r="JC275" s="2" t="n">
        <v>-0.1097184040419066</v>
      </c>
      <c r="JE275" s="2" t="n">
        <v>2658.342</v>
      </c>
      <c r="JF275" s="2" t="n">
        <v>0.8321607979710662</v>
      </c>
    </row>
    <row r="276">
      <c r="A276" s="1" t="n">
        <v>37438</v>
      </c>
      <c r="B276" s="2" t="n">
        <v>3894.9</v>
      </c>
      <c r="C276" s="2" t="n">
        <v>1962</v>
      </c>
      <c r="D276" s="2" t="n">
        <v>166.3</v>
      </c>
      <c r="E276" s="2" t="n">
        <v>399.6</v>
      </c>
      <c r="F276" s="2" t="n">
        <v>25.4</v>
      </c>
      <c r="G276" s="2" t="inlineStr">
        <is>
          <t>NA</t>
        </is>
      </c>
      <c r="H276" s="2" t="inlineStr">
        <is>
          <t>NA</t>
        </is>
      </c>
      <c r="I276" s="2" t="inlineStr">
        <is>
          <t>NA</t>
        </is>
      </c>
      <c r="J276" s="2" t="inlineStr">
        <is>
          <t>NA</t>
        </is>
      </c>
      <c r="K276" s="2" t="n">
        <v>1461.2</v>
      </c>
      <c r="L276" s="2" t="n">
        <v>2529.4</v>
      </c>
      <c r="M276" s="2" t="n">
        <v>2350.3</v>
      </c>
      <c r="N276" s="2" t="n">
        <v>179.1</v>
      </c>
      <c r="O276" s="2" t="n">
        <v>50.6</v>
      </c>
      <c r="P276" s="2" t="n">
        <v>60.249</v>
      </c>
      <c r="Q276" s="2" t="n">
        <v>9.849</v>
      </c>
      <c r="R276" s="2" t="n">
        <v>50.4</v>
      </c>
      <c r="T276" s="2" t="n">
        <v>22.6</v>
      </c>
      <c r="U276" s="2" t="inlineStr">
        <is>
          <t>NA</t>
        </is>
      </c>
      <c r="V276" s="2" t="inlineStr">
        <is>
          <t>NA</t>
        </is>
      </c>
      <c r="W276" s="2" t="inlineStr">
        <is>
          <t>NA</t>
        </is>
      </c>
      <c r="X276" s="2" t="inlineStr">
        <is>
          <t>NA</t>
        </is>
      </c>
      <c r="Y276" s="2" t="n">
        <v>10.724</v>
      </c>
      <c r="Z276" s="2" t="n">
        <v>39.515</v>
      </c>
      <c r="AA276" s="2" t="n">
        <v>29.911</v>
      </c>
      <c r="AB276" s="2" t="n">
        <v>9.603999999999999</v>
      </c>
      <c r="AC276" s="2" t="inlineStr">
        <is>
          <t>NA</t>
        </is>
      </c>
      <c r="AD276" s="2" t="inlineStr">
        <is>
          <t>NA</t>
        </is>
      </c>
      <c r="AF276" s="2" t="n">
        <v>56.601</v>
      </c>
      <c r="AG276" s="2" t="n">
        <v>33.8</v>
      </c>
      <c r="AH276" s="2" t="n">
        <v>22.801</v>
      </c>
      <c r="AI276" s="2" t="n">
        <v>220.2</v>
      </c>
      <c r="AL276" s="2" t="n">
        <v>164.8</v>
      </c>
      <c r="AM276" s="2" t="n">
        <v>88.59999999999999</v>
      </c>
      <c r="AN276" s="2" t="n">
        <v>76.2</v>
      </c>
      <c r="AO276" s="2" t="n">
        <v>2862.8</v>
      </c>
      <c r="AP276" s="2" t="n">
        <v>168.4</v>
      </c>
      <c r="AQ276" s="2" t="n">
        <v>222.6</v>
      </c>
      <c r="AR276" s="2" t="n">
        <v>33.9</v>
      </c>
      <c r="AS276" s="2" t="n">
        <v>73.7</v>
      </c>
      <c r="AT276" s="2" t="n">
        <v>63.1</v>
      </c>
      <c r="AU276" s="2" t="n">
        <v>52.2</v>
      </c>
      <c r="AV276" s="2" t="n">
        <v>31.5</v>
      </c>
      <c r="AW276" s="2" t="n">
        <v>13.8</v>
      </c>
      <c r="AX276" s="2" t="inlineStr">
        <is>
          <t>NA</t>
        </is>
      </c>
      <c r="AY276" s="2" t="inlineStr">
        <is>
          <t>NA</t>
        </is>
      </c>
      <c r="AZ276" s="2" t="inlineStr">
        <is>
          <t>NA</t>
        </is>
      </c>
      <c r="BA276" s="2" t="inlineStr">
        <is>
          <t>NA</t>
        </is>
      </c>
      <c r="BB276" s="2" t="inlineStr">
        <is>
          <t>NA</t>
        </is>
      </c>
      <c r="BD276" s="2" t="n">
        <v>179.595</v>
      </c>
      <c r="BE276" s="2" t="n">
        <v>29.116</v>
      </c>
      <c r="BF276" s="2" t="n">
        <v>68.40000000000001</v>
      </c>
      <c r="BG276" s="2" t="n">
        <v>6.9</v>
      </c>
      <c r="BH276" s="2" t="n">
        <v>315.4</v>
      </c>
      <c r="BK276" s="2" t="n">
        <v>215.3</v>
      </c>
      <c r="BL276" s="2" t="n">
        <v>0</v>
      </c>
      <c r="BM276" s="2" t="n">
        <v>530.7</v>
      </c>
      <c r="BN276" s="2" t="n">
        <v>293.5</v>
      </c>
      <c r="BQ276" s="2" t="n">
        <v>95.09999999999999</v>
      </c>
      <c r="BR276" s="2" t="n">
        <v>0</v>
      </c>
      <c r="BS276" s="2" t="n">
        <v>388.6</v>
      </c>
      <c r="BT276" s="2" t="n">
        <v>19.8</v>
      </c>
      <c r="BU276" s="2" t="n">
        <v>18.4</v>
      </c>
      <c r="BV276" s="2" t="n">
        <v>342.2</v>
      </c>
      <c r="BW276" s="2" t="n">
        <v>96.962</v>
      </c>
      <c r="BX276" s="2" t="n">
        <v>439.2</v>
      </c>
      <c r="BY276" s="2" t="n">
        <v>55.4</v>
      </c>
      <c r="BZ276" s="2" t="n">
        <v>9.442</v>
      </c>
      <c r="CA276" s="2" t="n">
        <v>64.842</v>
      </c>
      <c r="CF276" s="2" t="n">
        <v>94.70999999999999</v>
      </c>
      <c r="CG276" s="2" t="n">
        <v>161.8</v>
      </c>
      <c r="CH276" s="2" t="n">
        <v>18.4</v>
      </c>
      <c r="CK276" s="2" t="n">
        <v>377.9</v>
      </c>
      <c r="CL276" s="2" t="n">
        <v>57.4</v>
      </c>
      <c r="CN276" s="2" t="n">
        <v>44.4</v>
      </c>
      <c r="CO276" s="2" t="n">
        <v>301.644</v>
      </c>
      <c r="CP276" s="2" t="n">
        <v>207.428</v>
      </c>
      <c r="CQ276" s="2" t="n">
        <v>94.21599999999999</v>
      </c>
      <c r="CR276" s="2" t="inlineStr">
        <is>
          <t>NA</t>
        </is>
      </c>
      <c r="CS276" s="2" t="n">
        <v>17.663</v>
      </c>
      <c r="CV276" s="2" t="n">
        <v>57.312</v>
      </c>
      <c r="CW276" s="2" t="inlineStr">
        <is>
          <t>NA</t>
        </is>
      </c>
      <c r="CX276" s="2" t="inlineStr">
        <is>
          <t>NA</t>
        </is>
      </c>
      <c r="CY276" s="2" t="inlineStr">
        <is>
          <t>NA</t>
        </is>
      </c>
      <c r="CZ276" s="2" t="n">
        <v>132.364</v>
      </c>
      <c r="DA276" s="2" t="n">
        <v>7.973</v>
      </c>
      <c r="DB276" s="2" t="inlineStr">
        <is>
          <t>NA</t>
        </is>
      </c>
      <c r="DC276" s="2" t="inlineStr">
        <is>
          <t>NA</t>
        </is>
      </c>
      <c r="DI276" s="2" t="n">
        <v>533.4</v>
      </c>
      <c r="DJ276" s="2" t="n">
        <v>363.1</v>
      </c>
      <c r="DM276" s="2" t="n">
        <v>226.4</v>
      </c>
      <c r="DO276" s="2" t="n">
        <v>169.5</v>
      </c>
      <c r="DP276" s="2" t="n">
        <v>262.6</v>
      </c>
      <c r="DS276" s="2" t="n">
        <v>2157.57</v>
      </c>
      <c r="DT276" s="2" t="n">
        <v>3894.9</v>
      </c>
      <c r="DU276" s="2" t="n">
        <v>-182.3299999999999</v>
      </c>
      <c r="DV276" s="2" t="n">
        <v>0</v>
      </c>
      <c r="EA276" s="2" t="n">
        <v>314.8</v>
      </c>
      <c r="EB276" s="2" t="n">
        <v>199</v>
      </c>
      <c r="EE276" s="2" t="n">
        <v>94.59999999999999</v>
      </c>
      <c r="EG276" s="2" t="n">
        <v>133</v>
      </c>
      <c r="EH276" s="2" t="n">
        <v>177.5</v>
      </c>
      <c r="EL276" s="2" t="n">
        <v>1962</v>
      </c>
      <c r="EQ276" s="2" t="n">
        <v>206.1</v>
      </c>
      <c r="ER276" s="2" t="n">
        <v>132.9</v>
      </c>
      <c r="EU276" s="2" t="n">
        <v>86.5</v>
      </c>
      <c r="EW276" s="2" t="n">
        <v>63.8</v>
      </c>
      <c r="EX276" s="2" t="n">
        <v>97.7</v>
      </c>
      <c r="FB276" s="2" t="n">
        <v>1461.2</v>
      </c>
      <c r="FG276" s="2" t="n">
        <v>422</v>
      </c>
      <c r="FH276" s="2" t="n">
        <v>286.3</v>
      </c>
      <c r="FK276" s="2" t="n">
        <v>182.4</v>
      </c>
      <c r="FM276" s="2" t="n">
        <v>136.4</v>
      </c>
      <c r="FN276" s="2" t="n">
        <v>207.2</v>
      </c>
      <c r="FR276" s="2" t="n">
        <v>3094.3</v>
      </c>
      <c r="FW276" s="2" t="n">
        <v>347.6</v>
      </c>
      <c r="FX276" s="2" t="e">
        <v>#VALUE!</v>
      </c>
      <c r="GA276" s="2" t="n">
        <v>57.9</v>
      </c>
      <c r="GC276" s="2" t="n">
        <v>54.8</v>
      </c>
      <c r="GD276" s="2" t="e">
        <v>#VALUE!</v>
      </c>
      <c r="GH276" s="2" t="n">
        <v>1329.4</v>
      </c>
      <c r="GM276" s="2" t="n">
        <v>39.3</v>
      </c>
      <c r="GN276" s="2" t="n">
        <v>28.1</v>
      </c>
      <c r="GQ276" s="2" t="n">
        <v>14.8</v>
      </c>
      <c r="GS276" s="2" t="e">
        <v>#VALUE!</v>
      </c>
      <c r="GT276" s="2" t="e">
        <v>#VALUE!</v>
      </c>
      <c r="GX276" s="2" t="n">
        <v>202.4</v>
      </c>
      <c r="GY276" s="2" t="n">
        <v>0.9721291501675295</v>
      </c>
      <c r="GZ276" s="2" t="n">
        <v>1276.6</v>
      </c>
      <c r="HA276" s="2" t="n">
        <v>1313.2</v>
      </c>
      <c r="HF276" s="2" t="n">
        <v>1493.8</v>
      </c>
      <c r="HG276" s="2" t="n">
        <v>1447</v>
      </c>
      <c r="HH276" s="2" t="n">
        <v>698.8</v>
      </c>
      <c r="HI276" s="2" t="n">
        <v>84.90000000000001</v>
      </c>
      <c r="HJ276" s="2" t="n">
        <v>654</v>
      </c>
      <c r="HK276" s="2" t="n">
        <v>9.300000000000001</v>
      </c>
      <c r="HL276" s="2" t="n">
        <v>46.8</v>
      </c>
      <c r="HP276" s="2" t="e">
        <v>#VALUE!</v>
      </c>
      <c r="HQ276" s="2" t="n">
        <v>5.2</v>
      </c>
      <c r="HR276" s="2" t="n">
        <v>7.4</v>
      </c>
      <c r="HS276" s="2" t="e">
        <v>#VALUE!</v>
      </c>
      <c r="HT276" s="2" t="n">
        <v>27.4</v>
      </c>
      <c r="HW276" s="2" t="n">
        <v>265.9</v>
      </c>
      <c r="HX276" s="2" t="e">
        <v>#VALUE!</v>
      </c>
      <c r="HY276" s="2" t="n">
        <v>265.9</v>
      </c>
      <c r="HZ276" s="2" t="n">
        <v>40.5</v>
      </c>
      <c r="IA276" s="2" t="n">
        <v>203</v>
      </c>
      <c r="IB276" s="2" t="n">
        <v>75</v>
      </c>
      <c r="IC276" s="2" t="n">
        <v>128</v>
      </c>
      <c r="ID276" s="2" t="e">
        <v>#VALUE!</v>
      </c>
      <c r="IE276" s="2" t="e">
        <v>#VALUE!</v>
      </c>
      <c r="IF276" s="2" t="e">
        <v>#VALUE!</v>
      </c>
      <c r="IG276" s="2" t="e">
        <v>#VALUE!</v>
      </c>
      <c r="IN276" s="2" t="n">
        <v>36.819</v>
      </c>
      <c r="IO276" s="2" t="n">
        <v>37.1</v>
      </c>
      <c r="IP276" s="2" t="e">
        <v>#VALUE!</v>
      </c>
      <c r="IQ276" s="2" t="n">
        <v>45</v>
      </c>
      <c r="IR276" s="2" t="n">
        <v>14.2</v>
      </c>
      <c r="IS276" s="2" t="e">
        <v>#VALUE!</v>
      </c>
      <c r="IT276" s="2" t="n">
        <v>29.3</v>
      </c>
      <c r="IU276" s="2" t="e">
        <v>#VALUE!</v>
      </c>
      <c r="IV276" s="2" t="e">
        <v>#VALUE!</v>
      </c>
      <c r="IY276" s="2" t="n">
        <v>47.52984672263729</v>
      </c>
      <c r="IZ276" s="2" t="n">
        <v>0.03984672263729294</v>
      </c>
      <c r="JB276" s="2" t="n">
        <v>11.2547177077717</v>
      </c>
      <c r="JC276" s="2" t="n">
        <v>-0.1052822922282992</v>
      </c>
      <c r="JE276" s="2" t="n">
        <v>2529.4</v>
      </c>
      <c r="JF276" s="2" t="n">
        <v>0.8452913734482486</v>
      </c>
    </row>
    <row r="277">
      <c r="A277" s="1" t="n">
        <v>37469</v>
      </c>
      <c r="B277" s="2" t="n">
        <v>3917.1</v>
      </c>
      <c r="C277" s="2" t="n">
        <v>1391.1</v>
      </c>
      <c r="D277" s="2" t="n">
        <v>195.1</v>
      </c>
      <c r="E277" s="2" t="n">
        <v>294.1</v>
      </c>
      <c r="F277" s="2" t="n">
        <v>30.8</v>
      </c>
      <c r="G277" s="2" t="inlineStr">
        <is>
          <t>NA</t>
        </is>
      </c>
      <c r="H277" s="2" t="inlineStr">
        <is>
          <t>NA</t>
        </is>
      </c>
      <c r="I277" s="2" t="inlineStr">
        <is>
          <t>NA</t>
        </is>
      </c>
      <c r="J277" s="2" t="inlineStr">
        <is>
          <t>NA</t>
        </is>
      </c>
      <c r="K277" s="2" t="n">
        <v>1474.8</v>
      </c>
      <c r="L277" s="2" t="n">
        <v>2521.712</v>
      </c>
      <c r="M277" s="2" t="n">
        <v>2338.234</v>
      </c>
      <c r="N277" s="2" t="n">
        <v>183.478</v>
      </c>
      <c r="O277" s="2" t="n">
        <v>60.2</v>
      </c>
      <c r="P277" s="2" t="n">
        <v>46.117</v>
      </c>
      <c r="Q277" s="2" t="n">
        <v>9.583</v>
      </c>
      <c r="R277" s="2" t="n">
        <v>36.534</v>
      </c>
      <c r="T277" s="2" t="n">
        <v>27.7</v>
      </c>
      <c r="U277" s="2" t="inlineStr">
        <is>
          <t>NA</t>
        </is>
      </c>
      <c r="V277" s="2" t="inlineStr">
        <is>
          <t>NA</t>
        </is>
      </c>
      <c r="W277" s="2" t="inlineStr">
        <is>
          <t>NA</t>
        </is>
      </c>
      <c r="X277" s="2" t="inlineStr">
        <is>
          <t>NA</t>
        </is>
      </c>
      <c r="Y277" s="2" t="inlineStr">
        <is>
          <t>NA</t>
        </is>
      </c>
      <c r="Z277" s="2" t="n">
        <v>20.052</v>
      </c>
      <c r="AA277" s="2" t="n">
        <v>12.306</v>
      </c>
      <c r="AB277" s="2" t="n">
        <v>7.746</v>
      </c>
      <c r="AC277" s="2" t="inlineStr">
        <is>
          <t>NA</t>
        </is>
      </c>
      <c r="AD277" s="2" t="inlineStr">
        <is>
          <t>NA</t>
        </is>
      </c>
      <c r="AF277" s="2" t="n">
        <v>54.056</v>
      </c>
      <c r="AG277" s="2" t="n">
        <v>33.774</v>
      </c>
      <c r="AH277" s="2" t="n">
        <v>20.282</v>
      </c>
      <c r="AI277" s="2" t="n">
        <v>217</v>
      </c>
      <c r="AL277" s="2" t="n">
        <v>141.1</v>
      </c>
      <c r="AM277" s="2" t="n">
        <v>76.2</v>
      </c>
      <c r="AN277" s="2" t="n">
        <v>64.90000000000001</v>
      </c>
      <c r="AO277" s="2" t="n">
        <v>2881.8</v>
      </c>
      <c r="AP277" s="2" t="n">
        <v>222</v>
      </c>
      <c r="AQ277" s="2" t="n">
        <v>224.9</v>
      </c>
      <c r="AR277" s="2" t="n">
        <v>34.6</v>
      </c>
      <c r="AS277" s="2" t="n">
        <v>92.40000000000001</v>
      </c>
      <c r="AT277" s="2" t="n">
        <v>67.5</v>
      </c>
      <c r="AU277" s="2" t="n">
        <v>61.5</v>
      </c>
      <c r="AV277" s="2" t="n">
        <v>32.9</v>
      </c>
      <c r="AW277" s="2" t="n">
        <v>16.4</v>
      </c>
      <c r="AX277" s="2" t="inlineStr">
        <is>
          <t>NA</t>
        </is>
      </c>
      <c r="AY277" s="2" t="inlineStr">
        <is>
          <t>NA</t>
        </is>
      </c>
      <c r="AZ277" s="2" t="inlineStr">
        <is>
          <t>NA</t>
        </is>
      </c>
      <c r="BA277" s="2" t="inlineStr">
        <is>
          <t>NA</t>
        </is>
      </c>
      <c r="BB277" s="2" t="inlineStr">
        <is>
          <t>NA</t>
        </is>
      </c>
      <c r="BD277" s="2" t="n">
        <v>186.89</v>
      </c>
      <c r="BE277" s="2" t="n">
        <v>24.854</v>
      </c>
      <c r="BF277" s="2" t="n">
        <v>68.2</v>
      </c>
      <c r="BG277" s="2" t="n">
        <v>8.699999999999999</v>
      </c>
      <c r="BH277" s="2" t="n">
        <v>324</v>
      </c>
      <c r="BK277" s="2" t="n">
        <v>220.1</v>
      </c>
      <c r="BL277" s="2" t="n">
        <v>0</v>
      </c>
      <c r="BM277" s="2" t="n">
        <v>544.1</v>
      </c>
      <c r="BN277" s="2" t="n">
        <v>257.7</v>
      </c>
      <c r="BQ277" s="2" t="n">
        <v>81.59999999999999</v>
      </c>
      <c r="BR277" s="2" t="n">
        <v>0</v>
      </c>
      <c r="BS277" s="2" t="n">
        <v>339.3</v>
      </c>
      <c r="BT277" s="2" t="n">
        <v>20.3</v>
      </c>
      <c r="BU277" s="2" t="n">
        <v>12.039</v>
      </c>
      <c r="BV277" s="2" t="n">
        <v>345.5</v>
      </c>
      <c r="BW277" s="2" t="n">
        <v>100.404</v>
      </c>
      <c r="BX277" s="2" t="n">
        <v>445.9</v>
      </c>
      <c r="BY277" s="2" t="n">
        <v>59.5</v>
      </c>
      <c r="BZ277" s="2" t="n">
        <v>10.733</v>
      </c>
      <c r="CA277" s="2" t="n">
        <v>70.233</v>
      </c>
      <c r="CF277" s="2" t="n">
        <v>103.4</v>
      </c>
      <c r="CG277" s="2" t="n">
        <v>155.1</v>
      </c>
      <c r="CH277" s="2" t="n">
        <v>16</v>
      </c>
      <c r="CK277" s="2" t="n">
        <v>369.7</v>
      </c>
      <c r="CL277" s="2" t="n">
        <v>50.4</v>
      </c>
      <c r="CN277" s="2" t="n">
        <v>43.133</v>
      </c>
      <c r="CO277" s="2" t="n">
        <v>245.754</v>
      </c>
      <c r="CP277" s="2" t="n">
        <v>179.292</v>
      </c>
      <c r="CQ277" s="2" t="n">
        <v>66.462</v>
      </c>
      <c r="CR277" s="2" t="inlineStr">
        <is>
          <t>NA</t>
        </is>
      </c>
      <c r="CS277" s="2" t="n">
        <v>12.778</v>
      </c>
      <c r="CV277" s="2" t="n">
        <v>71.346</v>
      </c>
      <c r="CW277" s="2" t="inlineStr">
        <is>
          <t>NA</t>
        </is>
      </c>
      <c r="CX277" s="2" t="inlineStr">
        <is>
          <t>NA</t>
        </is>
      </c>
      <c r="CY277" s="2" t="inlineStr">
        <is>
          <t>NA</t>
        </is>
      </c>
      <c r="CZ277" s="2" t="n">
        <v>137.216</v>
      </c>
      <c r="DA277" s="2" t="n">
        <v>7.6</v>
      </c>
      <c r="DB277" s="2" t="inlineStr">
        <is>
          <t>NA</t>
        </is>
      </c>
      <c r="DC277" s="2" t="inlineStr">
        <is>
          <t>NA</t>
        </is>
      </c>
      <c r="DI277" s="2" t="n">
        <v>624.8</v>
      </c>
      <c r="DJ277" s="2" t="n">
        <v>288.4</v>
      </c>
      <c r="DM277" s="2" t="n">
        <v>280.3</v>
      </c>
      <c r="DO277" s="2" t="n">
        <v>241.9</v>
      </c>
      <c r="DP277" s="2" t="n">
        <v>274.9</v>
      </c>
      <c r="DS277" s="2" t="n">
        <v>2058.895</v>
      </c>
      <c r="DT277" s="2" t="n">
        <v>3917.1</v>
      </c>
      <c r="DU277" s="2" t="n">
        <v>-147.9049999999997</v>
      </c>
      <c r="DV277" s="2" t="n">
        <v>0</v>
      </c>
      <c r="EA277" s="2" t="n">
        <v>201.2</v>
      </c>
      <c r="EB277" s="2" t="n">
        <v>121.3</v>
      </c>
      <c r="EE277" s="2" t="e">
        <v>#VALUE!</v>
      </c>
      <c r="EG277" s="2" t="n">
        <v>85.59999999999999</v>
      </c>
      <c r="EH277" s="2" t="n">
        <v>130.6</v>
      </c>
      <c r="EL277" s="2" t="n">
        <v>1391.1</v>
      </c>
      <c r="EQ277" s="2" t="n">
        <v>238.9</v>
      </c>
      <c r="ER277" s="2" t="n">
        <v>107.1</v>
      </c>
      <c r="EU277" s="2" t="n">
        <v>107.2</v>
      </c>
      <c r="EW277" s="2" t="n">
        <v>87.8</v>
      </c>
      <c r="EX277" s="2" t="n">
        <v>103.6</v>
      </c>
      <c r="FB277" s="2" t="n">
        <v>1474.8</v>
      </c>
      <c r="FG277" s="2" t="n">
        <v>495</v>
      </c>
      <c r="FH277" s="2" t="n">
        <v>229.5</v>
      </c>
      <c r="FK277" s="2" t="n">
        <v>224.6</v>
      </c>
      <c r="FM277" s="2" t="n">
        <v>190.3</v>
      </c>
      <c r="FN277" s="2" t="n">
        <v>220.7</v>
      </c>
      <c r="FR277" s="2" t="n">
        <v>3115.1</v>
      </c>
      <c r="FW277" s="2" t="n">
        <v>396.2</v>
      </c>
      <c r="FX277" s="2" t="e">
        <v>#VALUE!</v>
      </c>
      <c r="GA277" s="2" t="e">
        <v>#VALUE!</v>
      </c>
      <c r="GC277" s="2" t="n">
        <v>56</v>
      </c>
      <c r="GD277" s="2" t="e">
        <v>#VALUE!</v>
      </c>
      <c r="GH277" s="2" t="n">
        <v>1355.3</v>
      </c>
      <c r="GM277" s="2" t="n">
        <v>54.9</v>
      </c>
      <c r="GN277" s="2" t="n">
        <v>17.9</v>
      </c>
      <c r="GQ277" s="2" t="e">
        <v>#VALUE!</v>
      </c>
      <c r="GS277" s="2" t="e">
        <v>#VALUE!</v>
      </c>
      <c r="GT277" s="2" t="e">
        <v>#VALUE!</v>
      </c>
      <c r="GX277" s="2" t="n">
        <v>256.5</v>
      </c>
      <c r="GY277" s="2" t="n">
        <v>0.9718264874099383</v>
      </c>
      <c r="GZ277" s="2" t="n">
        <v>1308.37</v>
      </c>
      <c r="HA277" s="2" t="n">
        <v>1346.3</v>
      </c>
      <c r="HF277" s="2" t="n">
        <v>1545.6</v>
      </c>
      <c r="HG277" s="2" t="n">
        <v>1504.2</v>
      </c>
      <c r="HH277" s="2" t="n">
        <v>731</v>
      </c>
      <c r="HI277" s="2" t="n">
        <v>100.4</v>
      </c>
      <c r="HJ277" s="2" t="n">
        <v>662.8</v>
      </c>
      <c r="HK277" s="2" t="n">
        <v>9.9</v>
      </c>
      <c r="HL277" s="2" t="n">
        <v>41.4</v>
      </c>
      <c r="HP277" s="2" t="e">
        <v>#VALUE!</v>
      </c>
      <c r="HQ277" s="2" t="n">
        <v>5.7</v>
      </c>
      <c r="HR277" s="2" t="n">
        <v>6.5</v>
      </c>
      <c r="HS277" s="2" t="e">
        <v>#VALUE!</v>
      </c>
      <c r="HT277" s="2" t="n">
        <v>22.3</v>
      </c>
      <c r="HW277" s="2" t="n">
        <v>276.8</v>
      </c>
      <c r="HX277" s="2" t="e">
        <v>#VALUE!</v>
      </c>
      <c r="HY277" s="2" t="n">
        <v>276.8</v>
      </c>
      <c r="HZ277" s="2" t="n">
        <v>52.3</v>
      </c>
      <c r="IA277" s="2" t="n">
        <v>202.1</v>
      </c>
      <c r="IB277" s="2" t="n">
        <v>75.8</v>
      </c>
      <c r="IC277" s="2" t="n">
        <v>126.2</v>
      </c>
      <c r="ID277" s="2" t="e">
        <v>#VALUE!</v>
      </c>
      <c r="IE277" s="2" t="e">
        <v>#VALUE!</v>
      </c>
      <c r="IF277" s="2" t="e">
        <v>#VALUE!</v>
      </c>
      <c r="IG277" s="2" t="e">
        <v>#VALUE!</v>
      </c>
      <c r="IN277" s="2" t="n">
        <v>52.719</v>
      </c>
      <c r="IO277" s="2" t="n">
        <v>53</v>
      </c>
      <c r="IP277" s="2" t="e">
        <v>#VALUE!</v>
      </c>
      <c r="IQ277" s="2" t="n">
        <v>46.5</v>
      </c>
      <c r="IR277" s="2" t="n">
        <v>17.4</v>
      </c>
      <c r="IS277" s="2" t="e">
        <v>#VALUE!</v>
      </c>
      <c r="IT277" s="2" t="n">
        <v>27.4</v>
      </c>
      <c r="IU277" s="2" t="e">
        <v>#VALUE!</v>
      </c>
      <c r="IV277" s="2" t="e">
        <v>#VALUE!</v>
      </c>
      <c r="IY277" s="2" t="n">
        <v>47.58673508462894</v>
      </c>
      <c r="IZ277" s="2" t="n">
        <v>0.06673508462893807</v>
      </c>
      <c r="JB277" s="2" t="n">
        <v>11.29509075591637</v>
      </c>
      <c r="JC277" s="2" t="n">
        <v>-0.07490924408363142</v>
      </c>
      <c r="JE277" s="2" t="n">
        <v>2521.712</v>
      </c>
      <c r="JF277" s="2" t="n">
        <v>0.8130559714987279</v>
      </c>
    </row>
    <row r="278">
      <c r="A278" s="1" t="n">
        <v>37500</v>
      </c>
      <c r="B278" s="2" t="n">
        <v>3670.3</v>
      </c>
      <c r="C278" s="2" t="n">
        <v>1088.6</v>
      </c>
      <c r="D278" s="2" t="n">
        <v>131.4</v>
      </c>
      <c r="E278" s="2" t="n">
        <v>330</v>
      </c>
      <c r="F278" s="2" t="n">
        <v>30.1</v>
      </c>
      <c r="G278" s="2" t="inlineStr">
        <is>
          <t>NA</t>
        </is>
      </c>
      <c r="H278" s="2" t="inlineStr">
        <is>
          <t>NA</t>
        </is>
      </c>
      <c r="I278" s="2" t="inlineStr">
        <is>
          <t>NA</t>
        </is>
      </c>
      <c r="J278" s="2" t="inlineStr">
        <is>
          <t>NA</t>
        </is>
      </c>
      <c r="K278" s="2" t="n">
        <v>1413.8</v>
      </c>
      <c r="L278" s="2" t="n">
        <v>2358.6</v>
      </c>
      <c r="M278" s="2" t="n">
        <v>2176.1</v>
      </c>
      <c r="N278" s="2" t="n">
        <v>182.5</v>
      </c>
      <c r="O278" s="2" t="n">
        <v>53.7</v>
      </c>
      <c r="P278" s="2" t="n">
        <v>39.453</v>
      </c>
      <c r="Q278" s="2" t="n">
        <v>9.253</v>
      </c>
      <c r="R278" s="2" t="n">
        <v>30.2</v>
      </c>
      <c r="T278" s="2" t="n">
        <v>27.2</v>
      </c>
      <c r="U278" s="2" t="inlineStr">
        <is>
          <t>NA</t>
        </is>
      </c>
      <c r="V278" s="2" t="inlineStr">
        <is>
          <t>NA</t>
        </is>
      </c>
      <c r="W278" s="2" t="inlineStr">
        <is>
          <t>NA</t>
        </is>
      </c>
      <c r="X278" s="2" t="inlineStr">
        <is>
          <t>NA</t>
        </is>
      </c>
      <c r="Y278" s="2" t="n">
        <v>11.849</v>
      </c>
      <c r="Z278" s="2" t="n">
        <v>22.812</v>
      </c>
      <c r="AA278" s="2" t="n">
        <v>14.779</v>
      </c>
      <c r="AB278" s="2" t="n">
        <v>8.032999999999999</v>
      </c>
      <c r="AC278" s="2" t="inlineStr">
        <is>
          <t>NA</t>
        </is>
      </c>
      <c r="AD278" s="2" t="inlineStr">
        <is>
          <t>NA</t>
        </is>
      </c>
      <c r="AF278" s="2" t="n">
        <v>52.41</v>
      </c>
      <c r="AG278" s="2" t="n">
        <v>33.3</v>
      </c>
      <c r="AH278" s="2" t="n">
        <v>19.11</v>
      </c>
      <c r="AI278" s="2" t="n">
        <v>211</v>
      </c>
      <c r="AL278" s="2" t="n">
        <v>104.065</v>
      </c>
      <c r="AM278" s="2" t="n">
        <v>52.745</v>
      </c>
      <c r="AN278" s="2" t="n">
        <v>51.32</v>
      </c>
      <c r="AO278" s="2" t="n">
        <v>2692.4</v>
      </c>
      <c r="AP278" s="2" t="n">
        <v>208.5</v>
      </c>
      <c r="AQ278" s="2" t="n">
        <v>218.9</v>
      </c>
      <c r="AR278" s="2" t="n">
        <v>31.5</v>
      </c>
      <c r="AS278" s="2" t="n">
        <v>79.3</v>
      </c>
      <c r="AT278" s="2" t="n">
        <v>62.4</v>
      </c>
      <c r="AU278" s="2" t="n">
        <v>48.5</v>
      </c>
      <c r="AV278" s="2" t="n">
        <v>24.5</v>
      </c>
      <c r="AW278" s="2" t="n">
        <v>16.3</v>
      </c>
      <c r="AX278" s="2" t="inlineStr">
        <is>
          <t>NA</t>
        </is>
      </c>
      <c r="AY278" s="2" t="inlineStr">
        <is>
          <t>NA</t>
        </is>
      </c>
      <c r="AZ278" s="2" t="inlineStr">
        <is>
          <t>NA</t>
        </is>
      </c>
      <c r="BA278" s="2" t="inlineStr">
        <is>
          <t>NA</t>
        </is>
      </c>
      <c r="BB278" s="2" t="inlineStr">
        <is>
          <t>NA</t>
        </is>
      </c>
      <c r="BD278" s="2" t="n">
        <v>163.054</v>
      </c>
      <c r="BE278" s="2" t="n">
        <v>24.417</v>
      </c>
      <c r="BF278" s="2" t="n">
        <v>63.1</v>
      </c>
      <c r="BG278" s="2" t="n">
        <v>7.7</v>
      </c>
      <c r="BH278" s="2" t="n">
        <v>295.2</v>
      </c>
      <c r="BK278" s="2" t="n">
        <v>208.9</v>
      </c>
      <c r="BL278" s="2" t="n">
        <v>0</v>
      </c>
      <c r="BM278" s="2" t="n">
        <v>504</v>
      </c>
      <c r="BN278" s="2" t="n">
        <v>257.4</v>
      </c>
      <c r="BQ278" s="2" t="n">
        <v>71.90000000000001</v>
      </c>
      <c r="BR278" s="2" t="n">
        <v>0</v>
      </c>
      <c r="BS278" s="2" t="n">
        <v>329.3</v>
      </c>
      <c r="BT278" s="2" t="n">
        <v>20.3</v>
      </c>
      <c r="BU278" s="2" t="n">
        <v>10.488</v>
      </c>
      <c r="BV278" s="2" t="n">
        <v>319</v>
      </c>
      <c r="BW278" s="2" t="n">
        <v>91.2</v>
      </c>
      <c r="BX278" s="2" t="n">
        <v>410.2</v>
      </c>
      <c r="BY278" s="2" t="n">
        <v>56.3</v>
      </c>
      <c r="BZ278" s="2" t="n">
        <v>11.915</v>
      </c>
      <c r="CA278" s="2" t="n">
        <v>68.215</v>
      </c>
      <c r="CF278" s="2" t="n">
        <v>91.413</v>
      </c>
      <c r="CG278" s="2" t="n">
        <v>160.2</v>
      </c>
      <c r="CH278" s="2" t="n">
        <v>13.3</v>
      </c>
      <c r="CK278" s="2" t="n">
        <v>337.5</v>
      </c>
      <c r="CL278" s="2" t="n">
        <v>51.6</v>
      </c>
      <c r="CN278" s="2" t="n">
        <v>33.173</v>
      </c>
      <c r="CO278" s="2" t="n">
        <v>226.503</v>
      </c>
      <c r="CP278" s="2" t="n">
        <v>153.287</v>
      </c>
      <c r="CQ278" s="2" t="n">
        <v>73.21599999999999</v>
      </c>
      <c r="CR278" s="2" t="inlineStr">
        <is>
          <t>NA</t>
        </is>
      </c>
      <c r="CS278" s="2" t="n">
        <v>21.837</v>
      </c>
      <c r="CV278" s="2" t="n">
        <v>53.118</v>
      </c>
      <c r="CW278" s="2" t="inlineStr">
        <is>
          <t>NA</t>
        </is>
      </c>
      <c r="CX278" s="2" t="inlineStr">
        <is>
          <t>NA</t>
        </is>
      </c>
      <c r="CY278" s="2" t="inlineStr">
        <is>
          <t>NA</t>
        </is>
      </c>
      <c r="CZ278" s="2" t="n">
        <v>92.572</v>
      </c>
      <c r="DA278" s="2" t="n">
        <v>8.212</v>
      </c>
      <c r="DB278" s="2" t="inlineStr">
        <is>
          <t>NA</t>
        </is>
      </c>
      <c r="DC278" s="2" t="inlineStr">
        <is>
          <t>NA</t>
        </is>
      </c>
      <c r="DI278" s="2" t="n">
        <v>567.1</v>
      </c>
      <c r="DJ278" s="2" t="n">
        <v>302.2</v>
      </c>
      <c r="DM278" s="2" t="n">
        <v>258.8</v>
      </c>
      <c r="DO278" s="2" t="n">
        <v>219.3</v>
      </c>
      <c r="DP278" s="2" t="n">
        <v>279.4</v>
      </c>
      <c r="DS278" s="2" t="n">
        <v>1882.65</v>
      </c>
      <c r="DT278" s="2" t="n">
        <v>3670.3</v>
      </c>
      <c r="DU278" s="2" t="n">
        <v>-160.8500000000004</v>
      </c>
      <c r="DV278" s="2" t="n">
        <v>0</v>
      </c>
      <c r="EA278" s="2" t="n">
        <v>182.9</v>
      </c>
      <c r="EB278" s="2" t="n">
        <v>118.1</v>
      </c>
      <c r="EE278" s="2" t="e">
        <v>#VALUE!</v>
      </c>
      <c r="EG278" s="2" t="n">
        <v>54.5</v>
      </c>
      <c r="EH278" s="2" t="n">
        <v>84.3</v>
      </c>
      <c r="EL278" s="2" t="n">
        <v>1088.6</v>
      </c>
      <c r="EQ278" s="2" t="n">
        <v>212.6</v>
      </c>
      <c r="ER278" s="2" t="n">
        <v>114.7</v>
      </c>
      <c r="EU278" s="2" t="n">
        <v>102.2</v>
      </c>
      <c r="EW278" s="2" t="n">
        <v>82.90000000000001</v>
      </c>
      <c r="EX278" s="2" t="n">
        <v>107.8</v>
      </c>
      <c r="FB278" s="2" t="n">
        <v>1413.8</v>
      </c>
      <c r="FG278" s="2" t="n">
        <v>453.1</v>
      </c>
      <c r="FH278" s="2" t="n">
        <v>238</v>
      </c>
      <c r="FK278" s="2" t="n">
        <v>209.1</v>
      </c>
      <c r="FM278" s="2" t="n">
        <v>122.6</v>
      </c>
      <c r="FN278" s="2" t="n">
        <v>224.3</v>
      </c>
      <c r="FR278" s="2" t="n">
        <v>2918.9</v>
      </c>
      <c r="FW278" s="2" t="n">
        <v>365.4</v>
      </c>
      <c r="FX278" s="2" t="e">
        <v>#VALUE!</v>
      </c>
      <c r="GA278" s="2" t="e">
        <v>#VALUE!</v>
      </c>
      <c r="GC278" s="2" t="n">
        <v>47.4</v>
      </c>
      <c r="GD278" s="2" t="e">
        <v>#VALUE!</v>
      </c>
      <c r="GH278" s="2" t="n">
        <v>1244.6</v>
      </c>
      <c r="GM278" s="2" t="n">
        <v>47.3</v>
      </c>
      <c r="GN278" s="2" t="n">
        <v>19.8</v>
      </c>
      <c r="GQ278" s="2" t="e">
        <v>#VALUE!</v>
      </c>
      <c r="GS278" s="2" t="e">
        <v>#VALUE!</v>
      </c>
      <c r="GT278" s="2" t="e">
        <v>#VALUE!</v>
      </c>
      <c r="GX278" s="2" t="n">
        <v>240</v>
      </c>
      <c r="GY278" s="2" t="n">
        <v>0.9765322233385962</v>
      </c>
      <c r="GZ278" s="2" t="n">
        <v>1360.7</v>
      </c>
      <c r="HA278" s="2" t="n">
        <v>1393.4</v>
      </c>
      <c r="HF278" s="2" t="n">
        <v>1525.3</v>
      </c>
      <c r="HG278" s="2" t="n">
        <v>1482.6</v>
      </c>
      <c r="HH278" s="2" t="n">
        <v>727.9</v>
      </c>
      <c r="HI278" s="2" t="n">
        <v>98.8</v>
      </c>
      <c r="HJ278" s="2" t="n">
        <v>645.3</v>
      </c>
      <c r="HK278" s="2" t="n">
        <v>10.6</v>
      </c>
      <c r="HL278" s="2" t="n">
        <v>42.7</v>
      </c>
      <c r="HP278" s="2" t="e">
        <v>#VALUE!</v>
      </c>
      <c r="HQ278" s="2" t="n">
        <v>5.8</v>
      </c>
      <c r="HR278" s="2" t="n">
        <v>5.4</v>
      </c>
      <c r="HS278" s="2" t="e">
        <v>#VALUE!</v>
      </c>
      <c r="HT278" s="2" t="n">
        <v>26.3</v>
      </c>
      <c r="HW278" s="2" t="n">
        <v>257.7</v>
      </c>
      <c r="HX278" s="2" t="e">
        <v>#VALUE!</v>
      </c>
      <c r="HY278" s="2" t="n">
        <v>257.7</v>
      </c>
      <c r="HZ278" s="2" t="n">
        <v>52.5</v>
      </c>
      <c r="IA278" s="2" t="n">
        <v>183</v>
      </c>
      <c r="IB278" s="2" t="n">
        <v>74.90000000000001</v>
      </c>
      <c r="IC278" s="2" t="n">
        <v>108.1</v>
      </c>
      <c r="ID278" s="2" t="e">
        <v>#VALUE!</v>
      </c>
      <c r="IE278" s="2" t="e">
        <v>#VALUE!</v>
      </c>
      <c r="IF278" s="2" t="e">
        <v>#VALUE!</v>
      </c>
      <c r="IG278" s="2" t="e">
        <v>#VALUE!</v>
      </c>
      <c r="IN278" s="2" t="n">
        <v>47.134</v>
      </c>
      <c r="IO278" s="2" t="n">
        <v>47.5</v>
      </c>
      <c r="IP278" s="2" t="e">
        <v>#VALUE!</v>
      </c>
      <c r="IQ278" s="2" t="n">
        <v>46.2</v>
      </c>
      <c r="IR278" s="2" t="n">
        <v>16.8</v>
      </c>
      <c r="IS278" s="2" t="e">
        <v>#VALUE!</v>
      </c>
      <c r="IT278" s="2" t="n">
        <v>27.5</v>
      </c>
      <c r="IU278" s="2" t="e">
        <v>#VALUE!</v>
      </c>
      <c r="IV278" s="2" t="e">
        <v>#VALUE!</v>
      </c>
      <c r="IY278" s="2" t="n">
        <v>47.59229490777321</v>
      </c>
      <c r="IZ278" s="2" t="n">
        <v>-0.1977050922267907</v>
      </c>
      <c r="JB278" s="2" t="n">
        <v>11.55600359643626</v>
      </c>
      <c r="JC278" s="2" t="n">
        <v>0.06600359643625886</v>
      </c>
      <c r="JE278" s="2" t="n">
        <v>2358.6</v>
      </c>
      <c r="JF278" s="2" t="n">
        <v>0.8060858136182482</v>
      </c>
    </row>
    <row r="279">
      <c r="A279" s="1" t="n">
        <v>37530</v>
      </c>
      <c r="B279" s="2" t="n">
        <v>4484</v>
      </c>
      <c r="C279" s="2" t="n">
        <v>3436</v>
      </c>
      <c r="D279" s="2" t="n">
        <v>207.8</v>
      </c>
      <c r="E279" s="2" t="n">
        <v>881.7</v>
      </c>
      <c r="F279" s="2" t="n">
        <v>30.6</v>
      </c>
      <c r="G279" s="2" t="inlineStr">
        <is>
          <t>NA</t>
        </is>
      </c>
      <c r="H279" s="2" t="inlineStr">
        <is>
          <t>NA</t>
        </is>
      </c>
      <c r="I279" s="2" t="inlineStr">
        <is>
          <t>NA</t>
        </is>
      </c>
      <c r="J279" s="2" t="inlineStr">
        <is>
          <t>NA</t>
        </is>
      </c>
      <c r="K279" s="2" t="n">
        <v>1692.6</v>
      </c>
      <c r="L279" s="2" t="n">
        <v>2280.1</v>
      </c>
      <c r="M279" s="2" t="n">
        <v>2098</v>
      </c>
      <c r="N279" s="2" t="n">
        <v>182.1</v>
      </c>
      <c r="O279" s="2" t="n">
        <v>62.8</v>
      </c>
      <c r="P279" s="2" t="n">
        <v>32.023</v>
      </c>
      <c r="Q279" s="2" t="n">
        <v>4.823</v>
      </c>
      <c r="R279" s="2" t="n">
        <v>27.2</v>
      </c>
      <c r="T279" s="2" t="n">
        <v>26.5</v>
      </c>
      <c r="U279" s="2" t="n">
        <v>53.845</v>
      </c>
      <c r="V279" s="2" t="n">
        <v>51.217</v>
      </c>
      <c r="W279" s="2" t="n">
        <v>2.628</v>
      </c>
      <c r="X279" s="2" t="inlineStr">
        <is>
          <t>NA</t>
        </is>
      </c>
      <c r="Y279" s="2" t="n">
        <v>12.815</v>
      </c>
      <c r="Z279" s="2" t="n">
        <v>13.05</v>
      </c>
      <c r="AA279" s="2" t="n">
        <v>9.752000000000001</v>
      </c>
      <c r="AB279" s="2" t="n">
        <v>3.298</v>
      </c>
      <c r="AC279" s="2" t="inlineStr">
        <is>
          <t>NA</t>
        </is>
      </c>
      <c r="AD279" s="2" t="inlineStr">
        <is>
          <t>NA</t>
        </is>
      </c>
      <c r="AF279" s="2" t="n">
        <v>42.595</v>
      </c>
      <c r="AG279" s="2" t="n">
        <v>19.752</v>
      </c>
      <c r="AH279" s="2" t="n">
        <v>22.843</v>
      </c>
      <c r="AI279" s="2" t="n">
        <v>218.6</v>
      </c>
      <c r="AL279" s="2" t="n">
        <v>123.565</v>
      </c>
      <c r="AM279" s="2" t="n">
        <v>70.66500000000001</v>
      </c>
      <c r="AN279" s="2" t="n">
        <v>52.9</v>
      </c>
      <c r="AO279" s="2" t="n">
        <v>3258.1</v>
      </c>
      <c r="AP279" s="2" t="n">
        <v>257.6</v>
      </c>
      <c r="AQ279" s="2" t="n">
        <v>241.3</v>
      </c>
      <c r="AR279" s="2" t="n">
        <v>27.6</v>
      </c>
      <c r="AS279" s="2" t="n">
        <v>95.5</v>
      </c>
      <c r="AT279" s="2" t="n">
        <v>50.7</v>
      </c>
      <c r="AU279" s="2" t="n">
        <v>60.2</v>
      </c>
      <c r="AV279" s="2" t="n">
        <v>17.1</v>
      </c>
      <c r="AW279" s="2" t="n">
        <v>16.6</v>
      </c>
      <c r="AX279" s="2" t="n">
        <v>1.4</v>
      </c>
      <c r="AY279" s="2" t="inlineStr">
        <is>
          <t>NA</t>
        </is>
      </c>
      <c r="AZ279" s="2" t="inlineStr">
        <is>
          <t>NA</t>
        </is>
      </c>
      <c r="BA279" s="2" t="inlineStr">
        <is>
          <t>NA</t>
        </is>
      </c>
      <c r="BB279" s="2" t="inlineStr">
        <is>
          <t>NA</t>
        </is>
      </c>
      <c r="BD279" s="2" t="n">
        <v>194.549</v>
      </c>
      <c r="BE279" s="2" t="n">
        <v>24.269</v>
      </c>
      <c r="BF279" s="2" t="n">
        <v>70.2</v>
      </c>
      <c r="BG279" s="2" t="n">
        <v>6.1</v>
      </c>
      <c r="BH279" s="2" t="n">
        <v>335.4</v>
      </c>
      <c r="BK279" s="2" t="n">
        <v>222.8</v>
      </c>
      <c r="BL279" s="2" t="n">
        <v>0</v>
      </c>
      <c r="BM279" s="2" t="n">
        <v>558.2</v>
      </c>
      <c r="BN279" s="2" t="n">
        <v>226.8</v>
      </c>
      <c r="BQ279" s="2" t="n">
        <v>76.90000000000001</v>
      </c>
      <c r="BR279" s="2" t="n">
        <v>0</v>
      </c>
      <c r="BS279" s="2" t="n">
        <v>303.7</v>
      </c>
      <c r="BT279" s="2" t="n">
        <v>24.4</v>
      </c>
      <c r="BU279" s="2" t="n">
        <v>14.574</v>
      </c>
      <c r="BV279" s="2" t="n">
        <v>360.8</v>
      </c>
      <c r="BW279" s="2" t="n">
        <v>102.737</v>
      </c>
      <c r="BX279" s="2" t="n">
        <v>463.5</v>
      </c>
      <c r="BY279" s="2" t="n">
        <v>58.8</v>
      </c>
      <c r="BZ279" s="2" t="n">
        <v>10.82</v>
      </c>
      <c r="CA279" s="2" t="n">
        <v>69.62</v>
      </c>
      <c r="CF279" s="2" t="n">
        <v>102.7</v>
      </c>
      <c r="CG279" s="2" t="n">
        <v>154.2</v>
      </c>
      <c r="CH279" s="2" t="n">
        <v>16.5</v>
      </c>
      <c r="CK279" s="2" t="n">
        <v>349.8</v>
      </c>
      <c r="CL279" s="2" t="n">
        <v>50.7</v>
      </c>
      <c r="CN279" s="2" t="n">
        <v>44.785</v>
      </c>
      <c r="CO279" s="2" t="n">
        <v>273.812</v>
      </c>
      <c r="CP279" s="2" t="n">
        <v>192.382</v>
      </c>
      <c r="CQ279" s="2" t="n">
        <v>81.43000000000001</v>
      </c>
      <c r="CR279" s="2" t="inlineStr">
        <is>
          <t>NA</t>
        </is>
      </c>
      <c r="CS279" s="2" t="n">
        <v>30.1</v>
      </c>
      <c r="CV279" s="2" t="n">
        <v>52.52</v>
      </c>
      <c r="CW279" s="2" t="inlineStr">
        <is>
          <t>NA</t>
        </is>
      </c>
      <c r="CX279" s="2" t="inlineStr">
        <is>
          <t>NA</t>
        </is>
      </c>
      <c r="CY279" s="2" t="inlineStr">
        <is>
          <t>NA</t>
        </is>
      </c>
      <c r="CZ279" s="2" t="n">
        <v>106.062</v>
      </c>
      <c r="DA279" s="2" t="n">
        <v>6.151</v>
      </c>
      <c r="DB279" s="2" t="n">
        <v>5.668</v>
      </c>
      <c r="DC279" s="2" t="n">
        <v>0.483</v>
      </c>
      <c r="DI279" s="2" t="n">
        <v>706.3</v>
      </c>
      <c r="DJ279" s="2" t="n">
        <v>399.5</v>
      </c>
      <c r="DM279" s="2" t="n">
        <v>270.4</v>
      </c>
      <c r="DO279" s="2" t="n">
        <v>264.2</v>
      </c>
      <c r="DP279" s="2" t="n">
        <v>320.5</v>
      </c>
      <c r="DS279" s="2" t="n">
        <v>2307.553</v>
      </c>
      <c r="DT279" s="2" t="n">
        <v>4484</v>
      </c>
      <c r="DU279" s="2" t="n">
        <v>-215.5470000000005</v>
      </c>
      <c r="DV279" s="2" t="n">
        <v>0</v>
      </c>
      <c r="EA279" s="2" t="n">
        <v>763.5</v>
      </c>
      <c r="EB279" s="2" t="n">
        <v>693.5</v>
      </c>
      <c r="EE279" s="2" t="e">
        <v>#VALUE!</v>
      </c>
      <c r="EG279" s="2" t="n">
        <v>183.1</v>
      </c>
      <c r="EH279" s="2" t="n">
        <v>244</v>
      </c>
      <c r="EL279" s="2" t="n">
        <v>3436</v>
      </c>
      <c r="EQ279" s="2" t="n">
        <v>272.1</v>
      </c>
      <c r="ER279" s="2" t="n">
        <v>148.2</v>
      </c>
      <c r="EU279" s="2" t="n">
        <v>103.1</v>
      </c>
      <c r="EW279" s="2" t="n">
        <v>101.3</v>
      </c>
      <c r="EX279" s="2" t="n">
        <v>121.5</v>
      </c>
      <c r="FB279" s="2" t="n">
        <v>1692.6</v>
      </c>
      <c r="FG279" s="2" t="n">
        <v>551</v>
      </c>
      <c r="FH279" s="2" t="n">
        <v>310</v>
      </c>
      <c r="FK279" s="2" t="n">
        <v>213.3</v>
      </c>
      <c r="FM279" s="2" t="n">
        <v>208.2</v>
      </c>
      <c r="FN279" s="2" t="n">
        <v>249.8</v>
      </c>
      <c r="FR279" s="2" t="n">
        <v>3508.4</v>
      </c>
      <c r="FW279" s="2" t="n">
        <v>373.8</v>
      </c>
      <c r="FX279" s="2" t="e">
        <v>#VALUE!</v>
      </c>
      <c r="GA279" s="2" t="n">
        <v>52.1</v>
      </c>
      <c r="GC279" s="2" t="n">
        <v>30</v>
      </c>
      <c r="GD279" s="2" t="e">
        <v>#VALUE!</v>
      </c>
      <c r="GH279" s="2" t="n">
        <v>1256.2</v>
      </c>
      <c r="GM279" s="2" t="n">
        <v>93.3</v>
      </c>
      <c r="GN279" s="2" t="e">
        <v>#VALUE!</v>
      </c>
      <c r="GQ279" s="2" t="e">
        <v>#VALUE!</v>
      </c>
      <c r="GS279" s="2" t="n">
        <v>7.6</v>
      </c>
      <c r="GT279" s="2" t="e">
        <v>#VALUE!</v>
      </c>
      <c r="GX279" s="2" t="n">
        <v>285.2</v>
      </c>
      <c r="GY279" s="2" t="n">
        <v>0.9731197211422443</v>
      </c>
      <c r="GZ279" s="2" t="n">
        <v>1451.7</v>
      </c>
      <c r="HA279" s="2" t="n">
        <v>1491.8</v>
      </c>
      <c r="HB279" s="2" t="n">
        <v>-48.26817843420008</v>
      </c>
      <c r="HD279" s="2" t="n">
        <v>1661.0318215658</v>
      </c>
      <c r="HF279" s="2" t="n">
        <v>1709.3</v>
      </c>
      <c r="HG279" s="2" t="n">
        <v>1663.7</v>
      </c>
      <c r="HH279" s="2" t="n">
        <v>818.8</v>
      </c>
      <c r="HI279" s="2" t="n">
        <v>126.9</v>
      </c>
      <c r="HJ279" s="2" t="n">
        <v>707</v>
      </c>
      <c r="HK279" s="2" t="n">
        <v>10.9</v>
      </c>
      <c r="HL279" s="2" t="n">
        <v>45.6</v>
      </c>
      <c r="HP279" s="2" t="e">
        <v>#VALUE!</v>
      </c>
      <c r="HQ279" s="2" t="n">
        <v>4.6</v>
      </c>
      <c r="HR279" s="2" t="n">
        <v>6.2</v>
      </c>
      <c r="HS279" s="2" t="e">
        <v>#VALUE!</v>
      </c>
      <c r="HT279" s="2" t="n">
        <v>28.9</v>
      </c>
      <c r="HW279" s="2" t="n">
        <v>295</v>
      </c>
      <c r="HX279" s="2" t="e">
        <v>#VALUE!</v>
      </c>
      <c r="HY279" s="2" t="n">
        <v>295</v>
      </c>
      <c r="HZ279" s="2" t="n">
        <v>54.8</v>
      </c>
      <c r="IA279" s="2" t="n">
        <v>216.9</v>
      </c>
      <c r="IB279" s="2" t="n">
        <v>80.59999999999999</v>
      </c>
      <c r="IC279" s="2" t="n">
        <v>136.3</v>
      </c>
      <c r="ID279" s="2" t="e">
        <v>#VALUE!</v>
      </c>
      <c r="IE279" s="2" t="e">
        <v>#VALUE!</v>
      </c>
      <c r="IF279" s="2" t="n">
        <v>5.3</v>
      </c>
      <c r="IG279" s="2" t="e">
        <v>#VALUE!</v>
      </c>
      <c r="IN279" s="2" t="n">
        <v>48.296</v>
      </c>
      <c r="IO279" s="2" t="n">
        <v>48.5</v>
      </c>
      <c r="IP279" s="2" t="e">
        <v>#VALUE!</v>
      </c>
      <c r="IQ279" s="2" t="n">
        <v>41.4</v>
      </c>
      <c r="IR279" s="2" t="n">
        <v>19</v>
      </c>
      <c r="IS279" s="2" t="e">
        <v>#VALUE!</v>
      </c>
      <c r="IT279" s="2" t="n">
        <v>20.1</v>
      </c>
      <c r="IU279" s="2" t="e">
        <v>#VALUE!</v>
      </c>
      <c r="IV279" s="2" t="e">
        <v>#VALUE!</v>
      </c>
      <c r="IY279" s="2" t="n">
        <v>46.82515611061552</v>
      </c>
      <c r="IZ279" s="2" t="n">
        <v>-0.0348438893844758</v>
      </c>
      <c r="JB279" s="2" t="n">
        <v>11.3242640499554</v>
      </c>
      <c r="JC279" s="2" t="n">
        <v>-0.105735950044604</v>
      </c>
      <c r="JE279" s="2" t="n">
        <v>2280.1</v>
      </c>
      <c r="JF279" s="2" t="n">
        <v>0.8272049471514407</v>
      </c>
    </row>
    <row r="280">
      <c r="A280" s="1" t="n">
        <v>37561</v>
      </c>
      <c r="B280" s="2" t="n">
        <v>4370.9</v>
      </c>
      <c r="C280" s="2" t="n">
        <v>3404.8</v>
      </c>
      <c r="D280" s="2" t="n">
        <v>242.5</v>
      </c>
      <c r="E280" s="2" t="n">
        <v>1341.5</v>
      </c>
      <c r="F280" s="2" t="n">
        <v>28.5</v>
      </c>
      <c r="G280" s="2" t="inlineStr">
        <is>
          <t>NA</t>
        </is>
      </c>
      <c r="H280" s="2" t="inlineStr">
        <is>
          <t>NA</t>
        </is>
      </c>
      <c r="I280" s="2" t="inlineStr">
        <is>
          <t>NA</t>
        </is>
      </c>
      <c r="J280" s="2" t="inlineStr">
        <is>
          <t>NA</t>
        </is>
      </c>
      <c r="K280" s="2" t="n">
        <v>1631.5</v>
      </c>
      <c r="L280" s="2" t="n">
        <v>2326.097</v>
      </c>
      <c r="M280" s="2" t="n">
        <v>2114.1</v>
      </c>
      <c r="N280" s="2" t="n">
        <v>211.997</v>
      </c>
      <c r="O280" s="2" t="n">
        <v>71.7</v>
      </c>
      <c r="P280" s="2" t="n">
        <v>40.191</v>
      </c>
      <c r="Q280" s="2" t="n">
        <v>9.545999999999999</v>
      </c>
      <c r="R280" s="2" t="n">
        <v>30.645</v>
      </c>
      <c r="T280" s="2" t="n">
        <v>24.9</v>
      </c>
      <c r="U280" s="2" t="n">
        <v>52.45999999999999</v>
      </c>
      <c r="V280" s="2" t="n">
        <v>48.8</v>
      </c>
      <c r="W280" s="2" t="n">
        <v>3.66</v>
      </c>
      <c r="X280" s="2" t="inlineStr">
        <is>
          <t>NA</t>
        </is>
      </c>
      <c r="Y280" s="2" t="inlineStr">
        <is>
          <t>NA</t>
        </is>
      </c>
      <c r="Z280" s="2" t="n">
        <v>32.242</v>
      </c>
      <c r="AA280" s="2" t="n">
        <v>23.8</v>
      </c>
      <c r="AB280" s="2" t="n">
        <v>8.442</v>
      </c>
      <c r="AC280" s="2" t="inlineStr">
        <is>
          <t>NA</t>
        </is>
      </c>
      <c r="AD280" s="2" t="inlineStr">
        <is>
          <t>NA</t>
        </is>
      </c>
      <c r="AF280" s="2" t="n">
        <v>67.76400000000001</v>
      </c>
      <c r="AG280" s="2" t="n">
        <v>44.926</v>
      </c>
      <c r="AH280" s="2" t="n">
        <v>22.838</v>
      </c>
      <c r="AI280" s="2" t="n">
        <v>195</v>
      </c>
      <c r="AL280" s="2" t="n">
        <v>139.906</v>
      </c>
      <c r="AM280" s="2" t="n">
        <v>74.006</v>
      </c>
      <c r="AN280" s="2" t="n">
        <v>65.90000000000001</v>
      </c>
      <c r="AO280" s="2" t="n">
        <v>3188.9</v>
      </c>
      <c r="AP280" s="2" t="n">
        <v>337.5</v>
      </c>
      <c r="AQ280" s="2" t="n">
        <v>235.8</v>
      </c>
      <c r="AR280" s="2" t="n">
        <v>34.2</v>
      </c>
      <c r="AS280" s="2" t="n">
        <v>112.6</v>
      </c>
      <c r="AT280" s="2" t="n">
        <v>58.6</v>
      </c>
      <c r="AU280" s="2" t="n">
        <v>66.2</v>
      </c>
      <c r="AV280" s="2" t="n">
        <v>23.4</v>
      </c>
      <c r="AW280" s="2" t="n">
        <v>15.5</v>
      </c>
      <c r="AX280" s="2" t="n">
        <v>1.9</v>
      </c>
      <c r="AY280" s="2" t="inlineStr">
        <is>
          <t>NA</t>
        </is>
      </c>
      <c r="AZ280" s="2" t="inlineStr">
        <is>
          <t>NA</t>
        </is>
      </c>
      <c r="BA280" s="2" t="inlineStr">
        <is>
          <t>NA</t>
        </is>
      </c>
      <c r="BB280" s="2" t="inlineStr">
        <is>
          <t>NA</t>
        </is>
      </c>
      <c r="BD280" s="2" t="n">
        <v>171.6</v>
      </c>
      <c r="BE280" s="2" t="n">
        <v>27.2</v>
      </c>
      <c r="BF280" s="2" t="n">
        <v>63.6</v>
      </c>
      <c r="BG280" s="2" t="n">
        <v>6.1</v>
      </c>
      <c r="BH280" s="2" t="n">
        <v>310.6</v>
      </c>
      <c r="BK280" s="2" t="n">
        <v>209.1</v>
      </c>
      <c r="BL280" s="2" t="n">
        <v>0</v>
      </c>
      <c r="BM280" s="2" t="n">
        <v>519.7</v>
      </c>
      <c r="BN280" s="2" t="n">
        <v>223.4</v>
      </c>
      <c r="BQ280" s="2" t="n">
        <v>79.5</v>
      </c>
      <c r="BR280" s="2" t="n">
        <v>0</v>
      </c>
      <c r="BS280" s="2" t="n">
        <v>302.9</v>
      </c>
      <c r="BT280" s="2" t="n">
        <v>22.5</v>
      </c>
      <c r="BU280" s="2" t="n">
        <v>11.283</v>
      </c>
      <c r="BV280" s="2" t="n">
        <v>329.3</v>
      </c>
      <c r="BW280" s="2" t="n">
        <v>91.14100000000001</v>
      </c>
      <c r="BX280" s="2" t="n">
        <v>420.5</v>
      </c>
      <c r="BY280" s="2" t="n">
        <v>66.40000000000001</v>
      </c>
      <c r="BZ280" s="2" t="n">
        <v>16.871</v>
      </c>
      <c r="CA280" s="2" t="n">
        <v>83.271</v>
      </c>
      <c r="CF280" s="2" t="n">
        <v>86.3</v>
      </c>
      <c r="CG280" s="2" t="n">
        <v>155.6</v>
      </c>
      <c r="CH280" s="2" t="n">
        <v>18.7</v>
      </c>
      <c r="CK280" s="2" t="n">
        <v>305.8</v>
      </c>
      <c r="CL280" s="2" t="n">
        <v>51.2</v>
      </c>
      <c r="CN280" s="2" t="n">
        <v>42.4</v>
      </c>
      <c r="CO280" s="2" t="n">
        <v>264.115</v>
      </c>
      <c r="CP280" s="2" t="n">
        <v>171.626</v>
      </c>
      <c r="CQ280" s="2" t="n">
        <v>92.489</v>
      </c>
      <c r="CR280" s="2" t="inlineStr">
        <is>
          <t>NA</t>
        </is>
      </c>
      <c r="CS280" s="2" t="n">
        <v>28.9</v>
      </c>
      <c r="CV280" s="2" t="n">
        <v>66.387</v>
      </c>
      <c r="CW280" s="2" t="inlineStr">
        <is>
          <t>NA</t>
        </is>
      </c>
      <c r="CX280" s="2" t="inlineStr">
        <is>
          <t>NA</t>
        </is>
      </c>
      <c r="CY280" s="2" t="inlineStr">
        <is>
          <t>NA</t>
        </is>
      </c>
      <c r="CZ280" s="2" t="n">
        <v>70.532</v>
      </c>
      <c r="DA280" s="2" t="n">
        <v>9.204000000000001</v>
      </c>
      <c r="DB280" s="2" t="n">
        <v>8.365</v>
      </c>
      <c r="DC280" s="2" t="n">
        <v>0.839</v>
      </c>
      <c r="DI280" s="2" t="n">
        <v>695.5</v>
      </c>
      <c r="DJ280" s="2" t="n">
        <v>379.6</v>
      </c>
      <c r="DM280" s="2" t="n">
        <v>266.1</v>
      </c>
      <c r="DO280" s="2" t="n">
        <v>252.3</v>
      </c>
      <c r="DP280" s="2" t="n">
        <v>304.8</v>
      </c>
      <c r="DS280" s="2" t="n">
        <v>2245.012</v>
      </c>
      <c r="DT280" s="2" t="n">
        <v>4370.9</v>
      </c>
      <c r="DU280" s="2" t="n">
        <v>-227.5879999999997</v>
      </c>
      <c r="DV280" s="2" t="n">
        <v>0</v>
      </c>
      <c r="EA280" s="2" t="n">
        <v>735.1</v>
      </c>
      <c r="EB280" s="2" t="n">
        <v>594.9</v>
      </c>
      <c r="EE280" s="2" t="e">
        <v>#VALUE!</v>
      </c>
      <c r="EG280" s="2" t="n">
        <v>179.1</v>
      </c>
      <c r="EH280" s="2" t="n">
        <v>264.3</v>
      </c>
      <c r="EL280" s="2" t="n">
        <v>3404.8</v>
      </c>
      <c r="EQ280" s="2" t="n">
        <v>263.2</v>
      </c>
      <c r="ER280" s="2" t="n">
        <v>136.3</v>
      </c>
      <c r="EU280" s="2" t="n">
        <v>101.4</v>
      </c>
      <c r="EW280" s="2" t="n">
        <v>96.90000000000001</v>
      </c>
      <c r="EX280" s="2" t="n">
        <v>113.2</v>
      </c>
      <c r="FB280" s="2" t="n">
        <v>1631.5</v>
      </c>
      <c r="FG280" s="2" t="n">
        <v>543.7</v>
      </c>
      <c r="FH280" s="2" t="n">
        <v>293.4</v>
      </c>
      <c r="FK280" s="2" t="n">
        <v>208.3</v>
      </c>
      <c r="FM280" s="2" t="n">
        <v>198.4</v>
      </c>
      <c r="FN280" s="2" t="n">
        <v>239.2</v>
      </c>
      <c r="FR280" s="2" t="n">
        <v>3434.4</v>
      </c>
      <c r="FW280" s="2" t="n">
        <v>404</v>
      </c>
      <c r="FX280" s="2" t="e">
        <v>#VALUE!</v>
      </c>
      <c r="GA280" s="2" t="n">
        <v>50.7</v>
      </c>
      <c r="GC280" s="2" t="n">
        <v>49.5</v>
      </c>
      <c r="GD280" s="2" t="e">
        <v>#VALUE!</v>
      </c>
      <c r="GH280" s="2" t="n">
        <v>1298.8</v>
      </c>
      <c r="GM280" s="2" t="n">
        <v>61.4</v>
      </c>
      <c r="GN280" s="2" t="e">
        <v>#VALUE!</v>
      </c>
      <c r="GQ280" s="2" t="n">
        <v>26</v>
      </c>
      <c r="GS280" s="2" t="n">
        <v>11.4</v>
      </c>
      <c r="GT280" s="2" t="e">
        <v>#VALUE!</v>
      </c>
      <c r="GX280" s="2" t="n">
        <v>371.7</v>
      </c>
      <c r="GY280" s="2" t="n">
        <v>0.9766761911565112</v>
      </c>
      <c r="GZ280" s="2" t="n">
        <v>1367.249</v>
      </c>
      <c r="HA280" s="2" t="n">
        <v>1399.9</v>
      </c>
      <c r="HB280" s="2" t="n">
        <v>-193.4574466441998</v>
      </c>
      <c r="HD280" s="2" t="n">
        <v>1393.7425533558</v>
      </c>
      <c r="HF280" s="2" t="n">
        <v>1587.2</v>
      </c>
      <c r="HG280" s="2" t="n">
        <v>1544.2</v>
      </c>
      <c r="HH280" s="2" t="n">
        <v>763.8</v>
      </c>
      <c r="HI280" s="2" t="n">
        <v>121.7</v>
      </c>
      <c r="HJ280" s="2" t="n">
        <v>649.5</v>
      </c>
      <c r="HK280" s="2" t="n">
        <v>9.199999999999999</v>
      </c>
      <c r="HL280" s="2" t="n">
        <v>42.9</v>
      </c>
      <c r="HP280" s="2" t="e">
        <v>#VALUE!</v>
      </c>
      <c r="HQ280" s="2" t="n">
        <v>3.3</v>
      </c>
      <c r="HR280" s="2" t="n">
        <v>5.4</v>
      </c>
      <c r="HS280" s="2" t="e">
        <v>#VALUE!</v>
      </c>
      <c r="HT280" s="2" t="n">
        <v>28.5</v>
      </c>
      <c r="HW280" s="2" t="n">
        <v>262.5</v>
      </c>
      <c r="HX280" s="2" t="e">
        <v>#VALUE!</v>
      </c>
      <c r="HY280" s="2" t="n">
        <v>262.5</v>
      </c>
      <c r="HZ280" s="2" t="e">
        <v>#VALUE!</v>
      </c>
      <c r="IA280" s="2" t="n">
        <v>186.6</v>
      </c>
      <c r="IB280" s="2" t="n">
        <v>73.09999999999999</v>
      </c>
      <c r="IC280" s="2" t="n">
        <v>113.5</v>
      </c>
      <c r="ID280" s="2" t="e">
        <v>#VALUE!</v>
      </c>
      <c r="IE280" s="2" t="e">
        <v>#VALUE!</v>
      </c>
      <c r="IF280" s="2" t="n">
        <v>7.6</v>
      </c>
      <c r="IG280" s="2" t="e">
        <v>#VALUE!</v>
      </c>
      <c r="IN280" s="2" t="n">
        <v>59.172</v>
      </c>
      <c r="IO280" s="2" t="n">
        <v>59.5</v>
      </c>
      <c r="IP280" s="2" t="e">
        <v>#VALUE!</v>
      </c>
      <c r="IQ280" s="2" t="n">
        <v>38.6</v>
      </c>
      <c r="IR280" s="2" t="n">
        <v>17.2</v>
      </c>
      <c r="IS280" s="2" t="e">
        <v>#VALUE!</v>
      </c>
      <c r="IT280" s="2" t="n">
        <v>19.8</v>
      </c>
      <c r="IU280" s="2" t="e">
        <v>#VALUE!</v>
      </c>
      <c r="IV280" s="2" t="e">
        <v>#VALUE!</v>
      </c>
      <c r="IY280" s="2" t="n">
        <v>47.01137065592899</v>
      </c>
      <c r="IZ280" s="2" t="n">
        <v>0.07137065592899461</v>
      </c>
      <c r="JB280" s="2" t="n">
        <v>11.19792262463108</v>
      </c>
      <c r="JC280" s="2" t="n">
        <v>-0.1420773753689168</v>
      </c>
      <c r="JE280" s="2" t="n">
        <v>2326.097</v>
      </c>
      <c r="JF280" s="2" t="n">
        <v>0.7935997509992061</v>
      </c>
    </row>
    <row r="281">
      <c r="A281" s="1" t="n">
        <v>37591</v>
      </c>
      <c r="B281" s="2" t="n">
        <v>4505.1</v>
      </c>
      <c r="C281" s="2" t="n">
        <v>3181.3</v>
      </c>
      <c r="D281" s="2" t="n">
        <v>236.6</v>
      </c>
      <c r="E281" s="2" t="n">
        <v>1540</v>
      </c>
      <c r="F281" s="2" t="n">
        <v>23.5</v>
      </c>
      <c r="G281" s="2" t="inlineStr">
        <is>
          <t>NA</t>
        </is>
      </c>
      <c r="H281" s="2" t="inlineStr">
        <is>
          <t>NA</t>
        </is>
      </c>
      <c r="I281" s="2" t="inlineStr">
        <is>
          <t>NA</t>
        </is>
      </c>
      <c r="J281" s="2" t="inlineStr">
        <is>
          <t>NA</t>
        </is>
      </c>
      <c r="K281" s="2" t="n">
        <v>1696</v>
      </c>
      <c r="L281" s="2" t="n">
        <v>2398</v>
      </c>
      <c r="M281" s="2" t="n">
        <v>2196.2</v>
      </c>
      <c r="N281" s="2" t="n">
        <v>201.8</v>
      </c>
      <c r="O281" s="2" t="n">
        <v>67.90000000000001</v>
      </c>
      <c r="P281" s="2" t="n">
        <v>37.675</v>
      </c>
      <c r="Q281" s="2" t="n">
        <v>6.775</v>
      </c>
      <c r="R281" s="2" t="n">
        <v>30.9</v>
      </c>
      <c r="T281" s="2" t="n">
        <v>20.2</v>
      </c>
      <c r="U281" s="2" t="n">
        <v>56.508</v>
      </c>
      <c r="V281" s="2" t="n">
        <v>53</v>
      </c>
      <c r="W281" s="2" t="n">
        <v>3.508</v>
      </c>
      <c r="X281" s="2" t="inlineStr">
        <is>
          <t>NA</t>
        </is>
      </c>
      <c r="Y281" s="2" t="inlineStr">
        <is>
          <t>NA</t>
        </is>
      </c>
      <c r="Z281" s="2" t="n">
        <v>73.381</v>
      </c>
      <c r="AA281" s="2" t="n">
        <v>61.301</v>
      </c>
      <c r="AB281" s="2" t="n">
        <v>12.08</v>
      </c>
      <c r="AC281" s="2" t="inlineStr">
        <is>
          <t>NA</t>
        </is>
      </c>
      <c r="AD281" s="2" t="inlineStr">
        <is>
          <t>NA</t>
        </is>
      </c>
      <c r="AF281" s="2" t="n">
        <v>80.401</v>
      </c>
      <c r="AG281" s="2" t="n">
        <v>56.1</v>
      </c>
      <c r="AH281" s="2" t="n">
        <v>24.301</v>
      </c>
      <c r="AI281" s="2" t="n">
        <v>212.3</v>
      </c>
      <c r="AL281" s="2" t="n">
        <v>103.1</v>
      </c>
      <c r="AM281" s="2" t="n">
        <v>35</v>
      </c>
      <c r="AN281" s="2" t="n">
        <v>68.09999999999999</v>
      </c>
      <c r="AO281" s="2" t="n">
        <v>3290.5</v>
      </c>
      <c r="AP281" s="2" t="n">
        <v>303</v>
      </c>
      <c r="AQ281" s="2" t="n">
        <v>236.3</v>
      </c>
      <c r="AR281" s="2" t="n">
        <v>34</v>
      </c>
      <c r="AS281" s="2" t="n">
        <v>108</v>
      </c>
      <c r="AT281" s="2" t="n">
        <v>44.4</v>
      </c>
      <c r="AU281" s="2" t="n">
        <v>64.7</v>
      </c>
      <c r="AV281" s="2" t="n">
        <v>22.8</v>
      </c>
      <c r="AW281" s="2" t="n">
        <v>12.9</v>
      </c>
      <c r="AX281" s="2" t="inlineStr">
        <is>
          <t>NA</t>
        </is>
      </c>
      <c r="AY281" s="2" t="inlineStr">
        <is>
          <t>NA</t>
        </is>
      </c>
      <c r="AZ281" s="2" t="inlineStr">
        <is>
          <t>NA</t>
        </is>
      </c>
      <c r="BA281" s="2" t="inlineStr">
        <is>
          <t>NA</t>
        </is>
      </c>
      <c r="BB281" s="2" t="inlineStr">
        <is>
          <t>NA</t>
        </is>
      </c>
      <c r="BD281" s="2" t="n">
        <v>156.376</v>
      </c>
      <c r="BE281" s="2" t="n">
        <v>25.266</v>
      </c>
      <c r="BF281" s="2" t="n">
        <v>62.3</v>
      </c>
      <c r="BG281" s="2" t="n">
        <v>5.7</v>
      </c>
      <c r="BH281" s="2" t="n">
        <v>290.3</v>
      </c>
      <c r="BK281" s="2" t="n">
        <v>208.1</v>
      </c>
      <c r="BL281" s="2" t="n">
        <v>0</v>
      </c>
      <c r="BM281" s="2" t="n">
        <v>498.4</v>
      </c>
      <c r="BN281" s="2" t="n">
        <v>188.5</v>
      </c>
      <c r="BQ281" s="2" t="n">
        <v>53.9</v>
      </c>
      <c r="BR281" s="2" t="n">
        <v>0</v>
      </c>
      <c r="BS281" s="2" t="n">
        <v>242.4</v>
      </c>
      <c r="BT281" s="2" t="n">
        <v>22.4</v>
      </c>
      <c r="BU281" s="2" t="n">
        <v>10.527</v>
      </c>
      <c r="BV281" s="2" t="n">
        <v>319.7</v>
      </c>
      <c r="BW281" s="2" t="n">
        <v>92.09999999999999</v>
      </c>
      <c r="BX281" s="2" t="n">
        <v>411.8</v>
      </c>
      <c r="BY281" s="2" t="n">
        <v>61.6</v>
      </c>
      <c r="BZ281" s="2" t="n">
        <v>10.6</v>
      </c>
      <c r="CA281" s="2" t="n">
        <v>72.2</v>
      </c>
      <c r="CF281" s="2" t="n">
        <v>101.4</v>
      </c>
      <c r="CG281" s="2" t="n">
        <v>160.4</v>
      </c>
      <c r="CH281" s="2" t="n">
        <v>20.1</v>
      </c>
      <c r="CK281" s="2" t="n">
        <v>315.6</v>
      </c>
      <c r="CL281" s="2" t="n">
        <v>45</v>
      </c>
      <c r="CN281" s="2" t="n">
        <v>41.656</v>
      </c>
      <c r="CO281" s="2" t="n">
        <v>195.3</v>
      </c>
      <c r="CP281" s="2" t="n">
        <v>132.4</v>
      </c>
      <c r="CQ281" s="2" t="n">
        <v>62.9</v>
      </c>
      <c r="CR281" s="2" t="inlineStr">
        <is>
          <t>NA</t>
        </is>
      </c>
      <c r="CS281" s="2" t="n">
        <v>31.89</v>
      </c>
      <c r="CV281" s="2" t="n">
        <v>71.922</v>
      </c>
      <c r="CW281" s="2" t="inlineStr">
        <is>
          <t>NA</t>
        </is>
      </c>
      <c r="CX281" s="2" t="inlineStr">
        <is>
          <t>NA</t>
        </is>
      </c>
      <c r="CY281" s="2" t="inlineStr">
        <is>
          <t>NA</t>
        </is>
      </c>
      <c r="CZ281" s="2" t="n">
        <v>62.955</v>
      </c>
      <c r="DA281" s="2" t="n">
        <v>9.164</v>
      </c>
      <c r="DB281" s="2" t="n">
        <v>8.093999999999999</v>
      </c>
      <c r="DC281" s="2" t="n">
        <v>1.07</v>
      </c>
      <c r="DI281" s="2" t="n">
        <v>729.8</v>
      </c>
      <c r="DJ281" s="2" t="n">
        <v>393</v>
      </c>
      <c r="DM281" s="2" t="n">
        <v>281.5</v>
      </c>
      <c r="DO281" s="2" t="n">
        <v>264.7</v>
      </c>
      <c r="DP281" s="2" t="n">
        <v>304.3</v>
      </c>
      <c r="DS281" s="2" t="n">
        <v>2322.973</v>
      </c>
      <c r="DT281" s="2" t="n">
        <v>4505.1</v>
      </c>
      <c r="DU281" s="2" t="n">
        <v>-208.8270000000002</v>
      </c>
      <c r="DV281" s="2" t="n">
        <v>0</v>
      </c>
      <c r="EA281" s="2" t="n">
        <v>655.5</v>
      </c>
      <c r="EB281" s="2" t="n">
        <v>584.9</v>
      </c>
      <c r="EE281" s="2" t="e">
        <v>#VALUE!</v>
      </c>
      <c r="EG281" s="2" t="n">
        <v>150.2</v>
      </c>
      <c r="EH281" s="2" t="n">
        <v>277.2</v>
      </c>
      <c r="EL281" s="2" t="n">
        <v>3181.3</v>
      </c>
      <c r="EQ281" s="2" t="n">
        <v>278.1</v>
      </c>
      <c r="ER281" s="2" t="n">
        <v>140.2</v>
      </c>
      <c r="EU281" s="2" t="n">
        <v>106.3</v>
      </c>
      <c r="EW281" s="2" t="n">
        <v>101.2</v>
      </c>
      <c r="EX281" s="2" t="n">
        <v>114.6</v>
      </c>
      <c r="FB281" s="2" t="n">
        <v>1696</v>
      </c>
      <c r="FG281" s="2" t="n">
        <v>575.4</v>
      </c>
      <c r="FH281" s="2" t="n">
        <v>310.1</v>
      </c>
      <c r="FK281" s="2" t="n">
        <v>218.6</v>
      </c>
      <c r="FM281" s="2" t="n">
        <v>208.9</v>
      </c>
      <c r="FN281" s="2" t="n">
        <v>239.8</v>
      </c>
      <c r="FR281" s="2" t="n">
        <v>3536.1</v>
      </c>
      <c r="FW281" s="2" t="n">
        <v>420.8</v>
      </c>
      <c r="FX281" s="2" t="e">
        <v>#VALUE!</v>
      </c>
      <c r="GA281" s="2" t="n">
        <v>54.9</v>
      </c>
      <c r="GC281" s="2" t="n">
        <v>72.5</v>
      </c>
      <c r="GD281" s="2" t="e">
        <v>#VALUE!</v>
      </c>
      <c r="GH281" s="2" t="n">
        <v>1370.3</v>
      </c>
      <c r="GM281" s="2" t="n">
        <v>90.8</v>
      </c>
      <c r="GN281" s="2" t="e">
        <v>#VALUE!</v>
      </c>
      <c r="GQ281" s="2" t="n">
        <v>20.7</v>
      </c>
      <c r="GS281" s="2" t="n">
        <v>6.7</v>
      </c>
      <c r="GT281" s="2" t="e">
        <v>#VALUE!</v>
      </c>
      <c r="GX281" s="2" t="n">
        <v>337</v>
      </c>
      <c r="GY281" s="2" t="n">
        <v>0.9728714844049352</v>
      </c>
      <c r="GZ281" s="2" t="n">
        <v>1269.5</v>
      </c>
      <c r="HA281" s="2" t="n">
        <v>1304.9</v>
      </c>
      <c r="HB281" s="2" t="n">
        <v>-46.33345889580005</v>
      </c>
      <c r="HD281" s="2" t="n">
        <v>1416.6665411042</v>
      </c>
      <c r="HF281" s="2" t="n">
        <v>1463</v>
      </c>
      <c r="HG281" s="2" t="n">
        <v>1428.9</v>
      </c>
      <c r="HH281" s="2" t="n">
        <v>678.7</v>
      </c>
      <c r="HI281" s="2" t="n">
        <v>116.5</v>
      </c>
      <c r="HJ281" s="2" t="n">
        <v>624.8</v>
      </c>
      <c r="HK281" s="2" t="n">
        <v>8.800000000000001</v>
      </c>
      <c r="HL281" s="2" t="n">
        <v>34.1</v>
      </c>
      <c r="HP281" s="2" t="e">
        <v>#VALUE!</v>
      </c>
      <c r="HQ281" s="2" t="n">
        <v>4</v>
      </c>
      <c r="HR281" s="2" t="n">
        <v>4.8</v>
      </c>
      <c r="HS281" s="2" t="e">
        <v>#VALUE!</v>
      </c>
      <c r="HT281" s="2" t="n">
        <v>20.4</v>
      </c>
      <c r="HW281" s="2" t="n">
        <v>252.3</v>
      </c>
      <c r="HX281" s="2" t="e">
        <v>#VALUE!</v>
      </c>
      <c r="HY281" s="2" t="n">
        <v>252.3</v>
      </c>
      <c r="HZ281" s="2" t="e">
        <v>#VALUE!</v>
      </c>
      <c r="IA281" s="2" t="n">
        <v>185.8</v>
      </c>
      <c r="IB281" s="2" t="n">
        <v>65.8</v>
      </c>
      <c r="IC281" s="2" t="n">
        <v>120</v>
      </c>
      <c r="ID281" s="2" t="e">
        <v>#VALUE!</v>
      </c>
      <c r="IE281" s="2" t="e">
        <v>#VALUE!</v>
      </c>
      <c r="IF281" s="2" t="e">
        <v>#VALUE!</v>
      </c>
      <c r="IG281" s="2" t="e">
        <v>#VALUE!</v>
      </c>
      <c r="IN281" s="2" t="n">
        <v>55.687</v>
      </c>
      <c r="IO281" s="2" t="n">
        <v>56</v>
      </c>
      <c r="IP281" s="2" t="e">
        <v>#VALUE!</v>
      </c>
      <c r="IQ281" s="2" t="n">
        <v>37.7</v>
      </c>
      <c r="IR281" s="2" t="n">
        <v>15.5</v>
      </c>
      <c r="IS281" s="2" t="e">
        <v>#VALUE!</v>
      </c>
      <c r="IT281" s="2" t="n">
        <v>20.8</v>
      </c>
      <c r="IU281" s="2" t="e">
        <v>#VALUE!</v>
      </c>
      <c r="IV281" s="2" t="e">
        <v>#VALUE!</v>
      </c>
      <c r="IY281" s="2" t="n">
        <v>46.97076646467337</v>
      </c>
      <c r="IZ281" s="2" t="n">
        <v>-0.04923353532663555</v>
      </c>
      <c r="JB281" s="2" t="n">
        <v>11.2938669507891</v>
      </c>
      <c r="JC281" s="2" t="n">
        <v>-0.1161330492108963</v>
      </c>
      <c r="JE281" s="2" t="n">
        <v>2398</v>
      </c>
      <c r="JF281" s="2" t="n">
        <v>0.8200241868223519</v>
      </c>
    </row>
    <row r="282">
      <c r="A282" s="1" t="n">
        <v>37622</v>
      </c>
      <c r="B282" s="2" t="n">
        <v>4280.8</v>
      </c>
      <c r="C282" s="2" t="n">
        <v>3275.5</v>
      </c>
      <c r="D282" s="2" t="n">
        <v>274.5</v>
      </c>
      <c r="E282" s="2" t="n">
        <v>1471.6</v>
      </c>
      <c r="F282" s="2" t="n">
        <v>24.6</v>
      </c>
      <c r="G282" s="2" t="inlineStr">
        <is>
          <t>NA</t>
        </is>
      </c>
      <c r="H282" s="2" t="inlineStr">
        <is>
          <t>NA</t>
        </is>
      </c>
      <c r="I282" s="2" t="inlineStr">
        <is>
          <t>NA</t>
        </is>
      </c>
      <c r="J282" s="2" t="inlineStr">
        <is>
          <t>NA</t>
        </is>
      </c>
      <c r="K282" s="2" t="n">
        <v>1612.8</v>
      </c>
      <c r="L282" s="2" t="n">
        <v>2394.8</v>
      </c>
      <c r="M282" s="2" t="n">
        <v>2185.2</v>
      </c>
      <c r="N282" s="2" t="n">
        <v>209.6</v>
      </c>
      <c r="O282" s="2" t="n">
        <v>80.8</v>
      </c>
      <c r="P282" s="2" t="n">
        <v>45.59999999999999</v>
      </c>
      <c r="Q282" s="2" t="n">
        <v>8.699999999999999</v>
      </c>
      <c r="R282" s="2" t="n">
        <v>36.9</v>
      </c>
      <c r="T282" s="2" t="n">
        <v>24</v>
      </c>
      <c r="U282" s="2" t="n">
        <v>75.09999999999999</v>
      </c>
      <c r="V282" s="2" t="n">
        <v>69.3</v>
      </c>
      <c r="W282" s="2" t="n">
        <v>5.8</v>
      </c>
      <c r="X282" s="2" t="inlineStr">
        <is>
          <t>NA</t>
        </is>
      </c>
      <c r="Y282" s="2" t="inlineStr">
        <is>
          <t>NA</t>
        </is>
      </c>
      <c r="Z282" s="2" t="n">
        <v>58.59999999999999</v>
      </c>
      <c r="AA282" s="2" t="n">
        <v>47.9</v>
      </c>
      <c r="AB282" s="2" t="n">
        <v>10.7</v>
      </c>
      <c r="AC282" s="2" t="inlineStr">
        <is>
          <t>NA</t>
        </is>
      </c>
      <c r="AD282" s="2" t="inlineStr">
        <is>
          <t>NA</t>
        </is>
      </c>
      <c r="AF282" s="2" t="n">
        <v>74.59999999999999</v>
      </c>
      <c r="AG282" s="2" t="n">
        <v>50.8</v>
      </c>
      <c r="AH282" s="2" t="n">
        <v>23.8</v>
      </c>
      <c r="AI282" s="2" t="n">
        <v>206.8</v>
      </c>
      <c r="AL282" s="2" t="n">
        <v>138.7</v>
      </c>
      <c r="AM282" s="2" t="n">
        <v>81.90349470822871</v>
      </c>
      <c r="AN282" s="2" t="n">
        <v>56.79650529177128</v>
      </c>
      <c r="AO282" s="2" t="n">
        <v>3127.5</v>
      </c>
      <c r="AP282" s="2" t="n">
        <v>264.8</v>
      </c>
      <c r="AQ282" s="2" t="n">
        <v>230.9</v>
      </c>
      <c r="AR282" s="2" t="n">
        <v>34.3</v>
      </c>
      <c r="AS282" s="2" t="n">
        <v>123</v>
      </c>
      <c r="AT282" s="2" t="n">
        <v>38</v>
      </c>
      <c r="AU282" s="2" t="n">
        <v>77.90000000000001</v>
      </c>
      <c r="AV282" s="2" t="n">
        <v>25.8</v>
      </c>
      <c r="AW282" s="2" t="n">
        <v>14.8</v>
      </c>
      <c r="AX282" s="2" t="n">
        <v>2.5</v>
      </c>
      <c r="AY282" s="2" t="inlineStr">
        <is>
          <t>NA</t>
        </is>
      </c>
      <c r="AZ282" s="2" t="inlineStr">
        <is>
          <t>NA</t>
        </is>
      </c>
      <c r="BA282" s="2" t="inlineStr">
        <is>
          <t>NA</t>
        </is>
      </c>
      <c r="BB282" s="2" t="inlineStr">
        <is>
          <t>NA</t>
        </is>
      </c>
      <c r="BD282" s="2" t="n">
        <v>172.8</v>
      </c>
      <c r="BE282" s="2" t="n">
        <v>30.4</v>
      </c>
      <c r="BF282" s="2" t="n">
        <v>65</v>
      </c>
      <c r="BG282" s="2" t="n">
        <v>7.7</v>
      </c>
      <c r="BH282" s="2" t="n">
        <v>321</v>
      </c>
      <c r="BI282" s="2" t="n">
        <v>101.9</v>
      </c>
      <c r="BJ282" s="2" t="n">
        <v>114.8</v>
      </c>
      <c r="BK282" s="2" t="n">
        <v>216.7</v>
      </c>
      <c r="BL282" s="2" t="n">
        <v>0</v>
      </c>
      <c r="BM282" s="2" t="n">
        <v>537.7</v>
      </c>
      <c r="BN282" s="2" t="n">
        <v>238.5</v>
      </c>
      <c r="BO282" s="2" t="n">
        <v>35.6</v>
      </c>
      <c r="BP282" s="2" t="n">
        <v>39.4</v>
      </c>
      <c r="BQ282" s="2" t="n">
        <v>75</v>
      </c>
      <c r="BR282" s="2" t="n">
        <v>0</v>
      </c>
      <c r="BS282" s="2" t="n">
        <v>313.5</v>
      </c>
      <c r="BT282" s="2" t="n">
        <v>23.2</v>
      </c>
      <c r="BU282" s="2" t="n">
        <v>14</v>
      </c>
      <c r="BV282" s="2" t="inlineStr">
        <is>
          <t>NA</t>
        </is>
      </c>
      <c r="BW282" s="2" t="inlineStr">
        <is>
          <t>NA</t>
        </is>
      </c>
      <c r="BX282" s="2" t="n">
        <v>386.6</v>
      </c>
      <c r="BY282" s="2" t="inlineStr">
        <is>
          <t>NA</t>
        </is>
      </c>
      <c r="BZ282" s="2" t="inlineStr">
        <is>
          <t>NA</t>
        </is>
      </c>
      <c r="CA282" s="2" t="n">
        <v>55.2</v>
      </c>
      <c r="CB282" s="2" t="n">
        <v>78.5</v>
      </c>
      <c r="CC282" s="2" t="n">
        <v>11.345</v>
      </c>
      <c r="CD282" s="2" t="n">
        <v>85.7</v>
      </c>
      <c r="CE282" s="2" t="n">
        <v>9.4</v>
      </c>
      <c r="CF282" s="2" t="n">
        <v>108.3</v>
      </c>
      <c r="CG282" s="2" t="n">
        <v>176</v>
      </c>
      <c r="CH282" s="2" t="n">
        <v>20</v>
      </c>
      <c r="CK282" s="2" t="n">
        <v>168.1</v>
      </c>
      <c r="CL282" s="2" t="n">
        <v>22.1</v>
      </c>
      <c r="CN282" s="2" t="n">
        <v>43.6</v>
      </c>
      <c r="CO282" s="2" t="n">
        <v>191.6</v>
      </c>
      <c r="CP282" s="2" t="n">
        <v>127.2</v>
      </c>
      <c r="CQ282" s="2" t="n">
        <v>64.40000000000001</v>
      </c>
      <c r="CR282" s="2" t="inlineStr">
        <is>
          <t>NA</t>
        </is>
      </c>
      <c r="CS282" s="2" t="n">
        <v>32.6</v>
      </c>
      <c r="CV282" s="2" t="n">
        <v>86.3</v>
      </c>
      <c r="CW282" s="2" t="inlineStr">
        <is>
          <t>NA</t>
        </is>
      </c>
      <c r="CX282" s="2" t="inlineStr">
        <is>
          <t>NA</t>
        </is>
      </c>
      <c r="CY282" s="2" t="inlineStr">
        <is>
          <t>NA</t>
        </is>
      </c>
      <c r="CZ282" s="2" t="n">
        <v>76.59999999999999</v>
      </c>
      <c r="DA282" s="2" t="n">
        <v>11.7</v>
      </c>
      <c r="DB282" s="2" t="inlineStr">
        <is>
          <t>NA</t>
        </is>
      </c>
      <c r="DC282" s="2" t="inlineStr">
        <is>
          <t>NA</t>
        </is>
      </c>
      <c r="DI282" s="2" t="n">
        <v>662.7</v>
      </c>
      <c r="DJ282" s="2" t="n">
        <v>373.8</v>
      </c>
      <c r="DM282" s="2" t="n">
        <v>275.3</v>
      </c>
      <c r="DO282" s="2" t="n">
        <v>266.4</v>
      </c>
      <c r="DP282" s="2" t="n">
        <v>287.9</v>
      </c>
      <c r="DS282" s="2" t="n">
        <v>2223.308</v>
      </c>
      <c r="DT282" s="2" t="n">
        <v>4280.8</v>
      </c>
      <c r="DU282" s="2" t="n">
        <v>-191.3920000000003</v>
      </c>
      <c r="DV282" s="2" t="n">
        <v>0</v>
      </c>
      <c r="EA282" s="2" t="n">
        <v>555.6</v>
      </c>
      <c r="EB282" s="2" t="n">
        <v>631.8</v>
      </c>
      <c r="EE282" s="2" t="e">
        <v>#VALUE!</v>
      </c>
      <c r="EG282" s="2" t="n">
        <v>117.4</v>
      </c>
      <c r="EH282" s="2" t="n">
        <v>289.6</v>
      </c>
      <c r="EL282" s="2" t="n">
        <v>3275.5</v>
      </c>
      <c r="EQ282" s="2" t="n">
        <v>252.3</v>
      </c>
      <c r="ER282" s="2" t="n">
        <v>137</v>
      </c>
      <c r="EU282" s="2" t="n">
        <v>105.5</v>
      </c>
      <c r="EW282" s="2" t="n">
        <v>101.9</v>
      </c>
      <c r="EX282" s="2" t="n">
        <v>109</v>
      </c>
      <c r="FB282" s="2" t="n">
        <v>1612.8</v>
      </c>
      <c r="FG282" s="2" t="n">
        <v>521.8</v>
      </c>
      <c r="FH282" s="2" t="n">
        <v>294.7</v>
      </c>
      <c r="FK282" s="2" t="n">
        <v>214.7</v>
      </c>
      <c r="FM282" s="2" t="n">
        <v>211.2</v>
      </c>
      <c r="FN282" s="2" t="n">
        <v>225.2</v>
      </c>
      <c r="FR282" s="2" t="n">
        <v>3367.3</v>
      </c>
      <c r="FW282" s="2" t="n">
        <v>410.2</v>
      </c>
      <c r="FX282" s="2" t="n">
        <v>136.8</v>
      </c>
      <c r="GA282" s="2" t="n">
        <v>63.3</v>
      </c>
      <c r="GC282" s="2" t="n">
        <v>71.09999999999999</v>
      </c>
      <c r="GD282" s="2" t="e">
        <v>#VALUE!</v>
      </c>
      <c r="GH282" s="2" t="n">
        <v>1420.2</v>
      </c>
      <c r="GM282" s="2" t="n">
        <v>89.09999999999999</v>
      </c>
      <c r="GN282" s="2" t="e">
        <v>#VALUE!</v>
      </c>
      <c r="GQ282" s="2" t="n">
        <v>13</v>
      </c>
      <c r="GS282" s="2" t="e">
        <v>#VALUE!</v>
      </c>
      <c r="GT282" s="2" t="e">
        <v>#VALUE!</v>
      </c>
      <c r="GX282" s="2" t="n">
        <v>299.1</v>
      </c>
      <c r="GY282" s="2" t="n">
        <v>0.9763435738667937</v>
      </c>
      <c r="GZ282" s="2" t="n">
        <v>1229.9</v>
      </c>
      <c r="HA282" s="2" t="n">
        <v>1259.7</v>
      </c>
      <c r="HB282" s="2" t="n">
        <v>-77.44478648459926</v>
      </c>
      <c r="HD282" s="2" t="n">
        <v>1342.055213515401</v>
      </c>
      <c r="HF282" s="2" t="n">
        <v>1419.5</v>
      </c>
      <c r="HG282" s="2" t="n">
        <v>1387</v>
      </c>
      <c r="HH282" s="2" t="n">
        <v>680.2</v>
      </c>
      <c r="HI282" s="2" t="n">
        <v>92.5</v>
      </c>
      <c r="HJ282" s="2" t="n">
        <v>605.7</v>
      </c>
      <c r="HK282" s="2" t="n">
        <v>8.6</v>
      </c>
      <c r="HL282" s="2" t="n">
        <v>32.5</v>
      </c>
      <c r="HP282" s="2" t="e">
        <v>#VALUE!</v>
      </c>
      <c r="HQ282" s="2" t="n">
        <v>3.6</v>
      </c>
      <c r="HR282" s="2" t="n">
        <v>6.3</v>
      </c>
      <c r="HS282" s="2" t="e">
        <v>#VALUE!</v>
      </c>
      <c r="HT282" s="2" t="n">
        <v>16.6</v>
      </c>
      <c r="HW282" s="2" t="n">
        <v>245.5</v>
      </c>
      <c r="HX282" s="2" t="e">
        <v>#VALUE!</v>
      </c>
      <c r="HY282" s="2" t="n">
        <v>245.5</v>
      </c>
      <c r="HZ282" s="2" t="n">
        <v>50.2</v>
      </c>
      <c r="IA282" s="2" t="n">
        <v>177.8</v>
      </c>
      <c r="IB282" s="2" t="n">
        <v>74.7</v>
      </c>
      <c r="IC282" s="2" t="n">
        <v>48.3</v>
      </c>
      <c r="ID282" s="2" t="e">
        <v>#VALUE!</v>
      </c>
      <c r="IE282" s="2" t="n">
        <v>48.3</v>
      </c>
      <c r="IF282" s="2" t="e">
        <v>#VALUE!</v>
      </c>
      <c r="IG282" s="2" t="e">
        <v>#VALUE!</v>
      </c>
      <c r="IL282" s="2" t="n">
        <v>17.5</v>
      </c>
      <c r="IN282" s="2" t="n">
        <v>66.5</v>
      </c>
      <c r="IO282" s="2" t="n">
        <v>66.8</v>
      </c>
      <c r="IP282" s="2" t="e">
        <v>#VALUE!</v>
      </c>
      <c r="IQ282" s="2" t="n">
        <v>42</v>
      </c>
      <c r="IR282" s="2" t="n">
        <v>15.3</v>
      </c>
      <c r="IS282" s="2" t="e">
        <v>#VALUE!</v>
      </c>
      <c r="IT282" s="2" t="n">
        <v>25.3</v>
      </c>
      <c r="IU282" s="2" t="e">
        <v>#VALUE!</v>
      </c>
      <c r="IV282" s="2" t="e">
        <v>#VALUE!</v>
      </c>
      <c r="IY282" s="2" t="n">
        <v>47.07157540646608</v>
      </c>
      <c r="IZ282" s="2" t="n">
        <v>0.05157540646607828</v>
      </c>
      <c r="JB282" s="2" t="n">
        <v>11.30256026910858</v>
      </c>
      <c r="JC282" s="2" t="n">
        <v>-0.04743973089142095</v>
      </c>
      <c r="JE282" s="2" t="n">
        <v>2394.8</v>
      </c>
      <c r="JF282" s="2" t="n">
        <v>0.8035485217972274</v>
      </c>
    </row>
    <row r="283">
      <c r="A283" s="1" t="n">
        <v>37653</v>
      </c>
      <c r="B283" s="2" t="n">
        <v>3875</v>
      </c>
      <c r="C283" s="2" t="n">
        <v>3086.5</v>
      </c>
      <c r="D283" s="2" t="n">
        <v>224.5</v>
      </c>
      <c r="E283" s="2" t="n">
        <v>1311.4</v>
      </c>
      <c r="F283" s="2" t="n">
        <v>24.2</v>
      </c>
      <c r="G283" s="2" t="inlineStr">
        <is>
          <t>NA</t>
        </is>
      </c>
      <c r="H283" s="2" t="inlineStr">
        <is>
          <t>NA</t>
        </is>
      </c>
      <c r="I283" s="2" t="inlineStr">
        <is>
          <t>NA</t>
        </is>
      </c>
      <c r="J283" s="2" t="inlineStr">
        <is>
          <t>NA</t>
        </is>
      </c>
      <c r="K283" s="2" t="n">
        <v>1473.6</v>
      </c>
      <c r="L283" s="2" t="n">
        <v>2271.4</v>
      </c>
      <c r="M283" s="2" t="n">
        <v>2062.8</v>
      </c>
      <c r="N283" s="2" t="n">
        <v>208.6</v>
      </c>
      <c r="O283" s="2" t="n">
        <v>65.59999999999999</v>
      </c>
      <c r="P283" s="2" t="n">
        <v>57.59999999999999</v>
      </c>
      <c r="Q283" s="2" t="n">
        <v>9.300000000000001</v>
      </c>
      <c r="R283" s="2" t="n">
        <v>48.3</v>
      </c>
      <c r="T283" s="2" t="n">
        <v>20.9</v>
      </c>
      <c r="U283" s="2" t="n">
        <v>91.10000000000001</v>
      </c>
      <c r="V283" s="2" t="n">
        <v>81.90000000000001</v>
      </c>
      <c r="W283" s="2" t="n">
        <v>9.199999999999999</v>
      </c>
      <c r="X283" s="2" t="inlineStr">
        <is>
          <t>NA</t>
        </is>
      </c>
      <c r="Y283" s="2" t="inlineStr">
        <is>
          <t>NA</t>
        </is>
      </c>
      <c r="Z283" s="2" t="n">
        <v>54.6</v>
      </c>
      <c r="AA283" s="2" t="inlineStr">
        <is>
          <t>NA</t>
        </is>
      </c>
      <c r="AB283" s="2" t="inlineStr">
        <is>
          <t>NA</t>
        </is>
      </c>
      <c r="AC283" s="2" t="inlineStr">
        <is>
          <t>NA</t>
        </is>
      </c>
      <c r="AD283" s="2" t="inlineStr">
        <is>
          <t>NA</t>
        </is>
      </c>
      <c r="AF283" s="2" t="n">
        <v>53.3</v>
      </c>
      <c r="AG283" s="2" t="n">
        <v>31.5</v>
      </c>
      <c r="AH283" s="2" t="n">
        <v>21.8</v>
      </c>
      <c r="AI283" s="2" t="n">
        <v>181.7</v>
      </c>
      <c r="AL283" s="2" t="n">
        <v>133.7</v>
      </c>
      <c r="AM283" s="2" t="n">
        <v>76.29603871904152</v>
      </c>
      <c r="AN283" s="2" t="n">
        <v>57.40396128095847</v>
      </c>
      <c r="AO283" s="2" t="n">
        <v>2838.8</v>
      </c>
      <c r="AP283" s="2" t="n">
        <v>221.1</v>
      </c>
      <c r="AQ283" s="2" t="n">
        <v>209.7</v>
      </c>
      <c r="AR283" s="2" t="n">
        <v>38.4</v>
      </c>
      <c r="AS283" s="2" t="n">
        <v>100.3</v>
      </c>
      <c r="AT283" s="2" t="n">
        <v>33.4</v>
      </c>
      <c r="AU283" s="2" t="n">
        <v>63.2</v>
      </c>
      <c r="AV283" s="2" t="n">
        <v>25.6</v>
      </c>
      <c r="AW283" s="2" t="n">
        <v>13.1</v>
      </c>
      <c r="AX283" s="2" t="n">
        <v>2.1</v>
      </c>
      <c r="AY283" s="2" t="inlineStr">
        <is>
          <t>NA</t>
        </is>
      </c>
      <c r="AZ283" s="2" t="inlineStr">
        <is>
          <t>NA</t>
        </is>
      </c>
      <c r="BA283" s="2" t="inlineStr">
        <is>
          <t>NA</t>
        </is>
      </c>
      <c r="BB283" s="2" t="inlineStr">
        <is>
          <t>NA</t>
        </is>
      </c>
      <c r="BD283" s="2" t="n">
        <v>154.9</v>
      </c>
      <c r="BE283" s="2" t="n">
        <v>30.3</v>
      </c>
      <c r="BF283" s="2" t="n">
        <v>61.9</v>
      </c>
      <c r="BG283" s="2" t="n">
        <v>9.300000000000001</v>
      </c>
      <c r="BH283" s="2" t="n">
        <v>284.7</v>
      </c>
      <c r="BI283" s="2" t="n">
        <v>91.40000000000001</v>
      </c>
      <c r="BJ283" s="2" t="n">
        <v>99.09999999999999</v>
      </c>
      <c r="BK283" s="2" t="n">
        <v>190.5</v>
      </c>
      <c r="BL283" s="2" t="n">
        <v>0</v>
      </c>
      <c r="BM283" s="2" t="n">
        <v>475.2</v>
      </c>
      <c r="BN283" s="2" t="n">
        <v>242.9</v>
      </c>
      <c r="BO283" s="2" t="n">
        <v>51.8</v>
      </c>
      <c r="BP283" s="2" t="n">
        <v>39.5</v>
      </c>
      <c r="BQ283" s="2" t="n">
        <v>91.3</v>
      </c>
      <c r="BR283" s="2" t="n">
        <v>0</v>
      </c>
      <c r="BS283" s="2" t="n">
        <v>334.2</v>
      </c>
      <c r="BT283" s="2" t="n">
        <v>21.9</v>
      </c>
      <c r="BU283" s="2" t="n">
        <v>18.7</v>
      </c>
      <c r="BV283" s="2" t="inlineStr">
        <is>
          <t>NA</t>
        </is>
      </c>
      <c r="BW283" s="2" t="inlineStr">
        <is>
          <t>NA</t>
        </is>
      </c>
      <c r="BX283" s="2" t="n">
        <v>334.2</v>
      </c>
      <c r="BY283" s="2" t="inlineStr">
        <is>
          <t>NA</t>
        </is>
      </c>
      <c r="BZ283" s="2" t="inlineStr">
        <is>
          <t>NA</t>
        </is>
      </c>
      <c r="CA283" s="2" t="n">
        <v>49.3</v>
      </c>
      <c r="CB283" s="2" t="n">
        <v>68.7</v>
      </c>
      <c r="CC283" s="2" t="inlineStr">
        <is>
          <t>NA</t>
        </is>
      </c>
      <c r="CD283" s="2" t="n">
        <v>74.5</v>
      </c>
      <c r="CE283" s="2" t="n">
        <v>9.300000000000001</v>
      </c>
      <c r="CF283" s="2" t="n">
        <v>88.90000000000001</v>
      </c>
      <c r="CG283" s="2" t="n">
        <v>167.3</v>
      </c>
      <c r="CH283" s="2" t="n">
        <v>18.582</v>
      </c>
      <c r="CK283" s="2" t="n">
        <v>167.5</v>
      </c>
      <c r="CL283" s="2" t="n">
        <v>20.5</v>
      </c>
      <c r="CN283" s="2" t="n">
        <v>43</v>
      </c>
      <c r="CO283" s="2" t="n">
        <v>212.4</v>
      </c>
      <c r="CP283" s="2" t="n">
        <v>161.1</v>
      </c>
      <c r="CQ283" s="2" t="n">
        <v>51.3</v>
      </c>
      <c r="CR283" s="2" t="inlineStr">
        <is>
          <t>NA</t>
        </is>
      </c>
      <c r="CS283" s="2" t="n">
        <v>28</v>
      </c>
      <c r="CV283" s="2" t="n">
        <v>86.3</v>
      </c>
      <c r="CW283" s="2" t="inlineStr">
        <is>
          <t>NA</t>
        </is>
      </c>
      <c r="CX283" s="2" t="inlineStr">
        <is>
          <t>NA</t>
        </is>
      </c>
      <c r="CY283" s="2" t="inlineStr">
        <is>
          <t>NA</t>
        </is>
      </c>
      <c r="CZ283" s="2" t="n">
        <v>74.2</v>
      </c>
      <c r="DA283" s="2" t="n">
        <v>11.6</v>
      </c>
      <c r="DB283" s="2" t="inlineStr">
        <is>
          <t>NA</t>
        </is>
      </c>
      <c r="DC283" s="2" t="inlineStr">
        <is>
          <t>NA</t>
        </is>
      </c>
      <c r="DI283" s="2" t="n">
        <v>628.7</v>
      </c>
      <c r="DJ283" s="2" t="n">
        <v>348</v>
      </c>
      <c r="DM283" s="2" t="n">
        <v>244.3</v>
      </c>
      <c r="DO283" s="2" t="n">
        <v>184.6</v>
      </c>
      <c r="DP283" s="2" t="n">
        <v>237.4</v>
      </c>
      <c r="DS283" s="2" t="n">
        <v>2053.095</v>
      </c>
      <c r="DT283" s="2" t="n">
        <v>3875</v>
      </c>
      <c r="DU283" s="2" t="n">
        <v>-178.9050000000002</v>
      </c>
      <c r="DV283" s="2" t="n">
        <v>0</v>
      </c>
      <c r="EA283" s="2" t="n">
        <v>486.1</v>
      </c>
      <c r="EB283" s="2" t="n">
        <v>616.3</v>
      </c>
      <c r="EE283" s="2" t="e">
        <v>#VALUE!</v>
      </c>
      <c r="EG283" s="2" t="n">
        <v>168.2</v>
      </c>
      <c r="EH283" s="2" t="n">
        <v>299.5</v>
      </c>
      <c r="EL283" s="2" t="n">
        <v>3086.5</v>
      </c>
      <c r="EQ283" s="2" t="n">
        <v>242.2</v>
      </c>
      <c r="ER283" s="2" t="n">
        <v>131.9</v>
      </c>
      <c r="EU283" s="2" t="n">
        <v>92.5</v>
      </c>
      <c r="EW283" s="2" t="n">
        <v>70.5</v>
      </c>
      <c r="EX283" s="2" t="n">
        <v>89.59999999999999</v>
      </c>
      <c r="FB283" s="2" t="n">
        <v>1473.6</v>
      </c>
      <c r="FG283" s="2" t="n">
        <v>495.4</v>
      </c>
      <c r="FH283" s="2" t="n">
        <v>275.4</v>
      </c>
      <c r="FK283" s="2" t="n">
        <v>191</v>
      </c>
      <c r="FM283" s="2" t="n">
        <v>147.2</v>
      </c>
      <c r="FN283" s="2" t="n">
        <v>188.1</v>
      </c>
      <c r="FR283" s="2" t="n">
        <v>3056.6</v>
      </c>
      <c r="FW283" s="2" t="n">
        <v>419.6</v>
      </c>
      <c r="FX283" s="2" t="e">
        <v>#VALUE!</v>
      </c>
      <c r="GA283" s="2" t="n">
        <v>45.3</v>
      </c>
      <c r="GC283" s="2" t="n">
        <v>69.5</v>
      </c>
      <c r="GD283" s="2" t="e">
        <v>#VALUE!</v>
      </c>
      <c r="GH283" s="2" t="n">
        <v>1410.2</v>
      </c>
      <c r="GM283" s="2" t="n">
        <v>54.8</v>
      </c>
      <c r="GN283" s="2" t="e">
        <v>#VALUE!</v>
      </c>
      <c r="GQ283" s="2" t="e">
        <v>#VALUE!</v>
      </c>
      <c r="GS283" s="2" t="e">
        <v>#VALUE!</v>
      </c>
      <c r="GT283" s="2" t="e">
        <v>#VALUE!</v>
      </c>
      <c r="GX283" s="2" t="n">
        <v>259.5</v>
      </c>
      <c r="GY283" s="2" t="n">
        <v>0.9747715694994744</v>
      </c>
      <c r="GZ283" s="2" t="n">
        <v>1205.5</v>
      </c>
      <c r="HA283" s="2" t="n">
        <v>1236.7</v>
      </c>
      <c r="HB283" s="2" t="n">
        <v>-85.18378423000058</v>
      </c>
      <c r="HD283" s="2" t="n">
        <v>1281.816215769999</v>
      </c>
      <c r="HF283" s="2" t="n">
        <v>1367</v>
      </c>
      <c r="HG283" s="2" t="n">
        <v>1327.9</v>
      </c>
      <c r="HH283" s="2" t="n">
        <v>630.4</v>
      </c>
      <c r="HI283" s="2" t="n">
        <v>91.59999999999999</v>
      </c>
      <c r="HJ283" s="2" t="n">
        <v>597.2</v>
      </c>
      <c r="HK283" s="2" t="n">
        <v>8.800000000000001</v>
      </c>
      <c r="HL283" s="2" t="n">
        <v>39.1</v>
      </c>
      <c r="HP283" s="2" t="e">
        <v>#VALUE!</v>
      </c>
      <c r="HQ283" s="2" t="n">
        <v>5.2</v>
      </c>
      <c r="HR283" s="2" t="n">
        <v>7.6</v>
      </c>
      <c r="HS283" s="2" t="e">
        <v>#VALUE!</v>
      </c>
      <c r="HT283" s="2" t="n">
        <v>18.2</v>
      </c>
      <c r="HW283" s="2" t="n">
        <v>304.7</v>
      </c>
      <c r="HX283" s="2" t="e">
        <v>#VALUE!</v>
      </c>
      <c r="HY283" s="2" t="n">
        <v>304.7</v>
      </c>
      <c r="HZ283" s="2" t="n">
        <v>82.5</v>
      </c>
      <c r="IA283" s="2" t="n">
        <v>201.8</v>
      </c>
      <c r="IB283" s="2" t="n">
        <v>83.7</v>
      </c>
      <c r="IC283" s="2" t="n">
        <v>49.3</v>
      </c>
      <c r="ID283" s="2" t="e">
        <v>#VALUE!</v>
      </c>
      <c r="IE283" s="2" t="n">
        <v>49.3</v>
      </c>
      <c r="IF283" s="2" t="e">
        <v>#VALUE!</v>
      </c>
      <c r="IG283" s="2" t="e">
        <v>#VALUE!</v>
      </c>
      <c r="IL283" s="2" t="n">
        <v>20.39999999999998</v>
      </c>
      <c r="IN283" s="2" t="n">
        <v>55.6</v>
      </c>
      <c r="IO283" s="2" t="n">
        <v>55.8</v>
      </c>
      <c r="IP283" s="2" t="e">
        <v>#VALUE!</v>
      </c>
      <c r="IQ283" s="2" t="n">
        <v>42.4</v>
      </c>
      <c r="IR283" s="2" t="n">
        <v>13.2</v>
      </c>
      <c r="IS283" s="2" t="e">
        <v>#VALUE!</v>
      </c>
      <c r="IT283" s="2" t="n">
        <v>27.7</v>
      </c>
      <c r="IU283" s="2" t="e">
        <v>#VALUE!</v>
      </c>
      <c r="IV283" s="2" t="e">
        <v>#VALUE!</v>
      </c>
      <c r="IY283" s="2" t="n">
        <v>47.20258064516129</v>
      </c>
      <c r="IZ283" s="2" t="n">
        <v>0.4125806451612917</v>
      </c>
      <c r="JB283" s="2" t="n">
        <v>11.40851612903226</v>
      </c>
      <c r="JC283" s="2" t="n">
        <v>-0.06148387096774321</v>
      </c>
      <c r="JE283" s="2" t="n">
        <v>2271.4</v>
      </c>
      <c r="JF283" s="2" t="n">
        <v>0.807159020868187</v>
      </c>
    </row>
    <row r="284">
      <c r="A284" s="1" t="n">
        <v>37681</v>
      </c>
      <c r="B284" s="2" t="n">
        <v>4282.5</v>
      </c>
      <c r="C284" s="2" t="n">
        <v>2746.1</v>
      </c>
      <c r="D284" s="2" t="n">
        <v>230.4</v>
      </c>
      <c r="E284" s="2" t="n">
        <v>1093.2</v>
      </c>
      <c r="F284" s="2" t="n">
        <v>28.3</v>
      </c>
      <c r="G284" s="2" t="inlineStr">
        <is>
          <t>NA</t>
        </is>
      </c>
      <c r="H284" s="2" t="inlineStr">
        <is>
          <t>NA</t>
        </is>
      </c>
      <c r="I284" s="2" t="inlineStr">
        <is>
          <t>NA</t>
        </is>
      </c>
      <c r="J284" s="2" t="inlineStr">
        <is>
          <t>NA</t>
        </is>
      </c>
      <c r="K284" s="2" t="n">
        <v>1633.3</v>
      </c>
      <c r="L284" s="2" t="n">
        <v>2257.7</v>
      </c>
      <c r="M284" s="2" t="n">
        <v>2041.8</v>
      </c>
      <c r="N284" s="2" t="n">
        <v>215.9</v>
      </c>
      <c r="O284" s="2" t="n">
        <v>66.7</v>
      </c>
      <c r="P284" s="2" t="n">
        <v>72.3</v>
      </c>
      <c r="Q284" s="2" t="n">
        <v>8.9</v>
      </c>
      <c r="R284" s="2" t="n">
        <v>63.4</v>
      </c>
      <c r="T284" s="2" t="n">
        <v>24.2</v>
      </c>
      <c r="U284" s="2" t="n">
        <v>95</v>
      </c>
      <c r="V284" s="2" t="n">
        <v>87</v>
      </c>
      <c r="W284" s="2" t="n">
        <v>8</v>
      </c>
      <c r="X284" s="2" t="inlineStr">
        <is>
          <t>NA</t>
        </is>
      </c>
      <c r="Y284" s="2" t="inlineStr">
        <is>
          <t>NA</t>
        </is>
      </c>
      <c r="Z284" s="2" t="n">
        <v>50.8</v>
      </c>
      <c r="AA284" s="2" t="inlineStr">
        <is>
          <t>NA</t>
        </is>
      </c>
      <c r="AB284" s="2" t="inlineStr">
        <is>
          <t>NA</t>
        </is>
      </c>
      <c r="AC284" s="2" t="inlineStr">
        <is>
          <t>NA</t>
        </is>
      </c>
      <c r="AD284" s="2" t="n">
        <v>35.2</v>
      </c>
      <c r="AF284" s="2" t="n">
        <v>73.3</v>
      </c>
      <c r="AG284" s="2" t="n">
        <v>45.9</v>
      </c>
      <c r="AH284" s="2" t="n">
        <v>27.4</v>
      </c>
      <c r="AI284" s="2" t="n">
        <v>206</v>
      </c>
      <c r="AL284" s="2" t="n">
        <v>97.19999999999999</v>
      </c>
      <c r="AM284" s="2" t="n">
        <v>47.9</v>
      </c>
      <c r="AN284" s="2" t="n">
        <v>49.3</v>
      </c>
      <c r="AO284" s="2" t="n">
        <v>3127.1</v>
      </c>
      <c r="AP284" s="2" t="n">
        <v>293.4</v>
      </c>
      <c r="AQ284" s="2" t="n">
        <v>231.1</v>
      </c>
      <c r="AR284" s="2" t="n">
        <v>42.3</v>
      </c>
      <c r="AS284" s="2" t="n">
        <v>96.7</v>
      </c>
      <c r="AT284" s="2" t="n">
        <v>32.7</v>
      </c>
      <c r="AU284" s="2" t="n">
        <v>66.59999999999999</v>
      </c>
      <c r="AV284" s="2" t="n">
        <v>26.2</v>
      </c>
      <c r="AW284" s="2" t="n">
        <v>15.7</v>
      </c>
      <c r="AX284" s="2" t="n">
        <v>3.3</v>
      </c>
      <c r="AY284" s="2" t="inlineStr">
        <is>
          <t>NA</t>
        </is>
      </c>
      <c r="AZ284" s="2" t="inlineStr">
        <is>
          <t>NA</t>
        </is>
      </c>
      <c r="BA284" s="2" t="inlineStr">
        <is>
          <t>NA</t>
        </is>
      </c>
      <c r="BB284" s="2" t="inlineStr">
        <is>
          <t>NA</t>
        </is>
      </c>
      <c r="BD284" s="2" t="n">
        <v>162.5</v>
      </c>
      <c r="BE284" s="2" t="n">
        <v>24.9</v>
      </c>
      <c r="BF284" s="2" t="n">
        <v>65.7</v>
      </c>
      <c r="BG284" s="2" t="n">
        <v>5.8</v>
      </c>
      <c r="BH284" s="2" t="n">
        <v>304.5</v>
      </c>
      <c r="BI284" s="2" t="n">
        <v>110.2</v>
      </c>
      <c r="BJ284" s="2" t="n">
        <v>101.7</v>
      </c>
      <c r="BK284" s="2" t="n">
        <v>211.9</v>
      </c>
      <c r="BL284" s="2" t="n">
        <v>0</v>
      </c>
      <c r="BM284" s="2" t="n">
        <v>516.4</v>
      </c>
      <c r="BN284" s="2" t="n">
        <v>246.532</v>
      </c>
      <c r="BO284" s="2" t="n">
        <v>52.5</v>
      </c>
      <c r="BP284" s="2" t="n">
        <v>38.7</v>
      </c>
      <c r="BQ284" s="2" t="n">
        <v>91.2</v>
      </c>
      <c r="BR284" s="2" t="n">
        <v>0</v>
      </c>
      <c r="BS284" s="2" t="n">
        <v>337.732</v>
      </c>
      <c r="BT284" s="2" t="n">
        <v>21</v>
      </c>
      <c r="BU284" s="2" t="n">
        <v>15.3</v>
      </c>
      <c r="BV284" s="2" t="inlineStr">
        <is>
          <t>NA</t>
        </is>
      </c>
      <c r="BW284" s="2" t="inlineStr">
        <is>
          <t>NA</t>
        </is>
      </c>
      <c r="BX284" s="2" t="n">
        <v>357.4</v>
      </c>
      <c r="BY284" s="2" t="inlineStr">
        <is>
          <t>NA</t>
        </is>
      </c>
      <c r="BZ284" s="2" t="inlineStr">
        <is>
          <t>NA</t>
        </is>
      </c>
      <c r="CA284" s="2" t="n">
        <v>48.4</v>
      </c>
      <c r="CB284" s="2" t="n">
        <v>73.3</v>
      </c>
      <c r="CC284" s="2" t="n">
        <v>11.89</v>
      </c>
      <c r="CD284" s="2" t="n">
        <v>71.09999999999999</v>
      </c>
      <c r="CE284" s="2" t="n">
        <v>9.4</v>
      </c>
      <c r="CF284" s="2" t="n">
        <v>111.5</v>
      </c>
      <c r="CG284" s="2" t="n">
        <v>156.3</v>
      </c>
      <c r="CH284" s="2" t="n">
        <v>20.43</v>
      </c>
      <c r="CK284" s="2" t="n">
        <v>185.8</v>
      </c>
      <c r="CL284" s="2" t="n">
        <v>24.5</v>
      </c>
      <c r="CN284" s="2" t="n">
        <v>50.4</v>
      </c>
      <c r="CO284" s="2" t="n">
        <v>223.2</v>
      </c>
      <c r="CP284" s="2" t="n">
        <v>148.7</v>
      </c>
      <c r="CQ284" s="2" t="n">
        <v>74.5</v>
      </c>
      <c r="CR284" s="2" t="inlineStr">
        <is>
          <t>NA</t>
        </is>
      </c>
      <c r="CS284" s="2" t="n">
        <v>34.9</v>
      </c>
      <c r="CV284" s="2" t="n">
        <v>103.2</v>
      </c>
      <c r="CW284" s="2" t="inlineStr">
        <is>
          <t>NA</t>
        </is>
      </c>
      <c r="CX284" s="2" t="inlineStr">
        <is>
          <t>NA</t>
        </is>
      </c>
      <c r="CY284" s="2" t="inlineStr">
        <is>
          <t>NA</t>
        </is>
      </c>
      <c r="CZ284" s="2" t="n">
        <v>95.7</v>
      </c>
      <c r="DA284" s="2" t="n">
        <v>8.800000000000001</v>
      </c>
      <c r="DB284" s="2" t="inlineStr">
        <is>
          <t>NA</t>
        </is>
      </c>
      <c r="DC284" s="2" t="inlineStr">
        <is>
          <t>NA</t>
        </is>
      </c>
      <c r="DI284" s="2" t="n">
        <v>695.6</v>
      </c>
      <c r="DJ284" s="2" t="n">
        <v>367.7</v>
      </c>
      <c r="DM284" s="2" t="n">
        <v>277.7</v>
      </c>
      <c r="DO284" s="2" t="n">
        <v>236.5</v>
      </c>
      <c r="DP284" s="2" t="n">
        <v>269.7</v>
      </c>
      <c r="DS284" s="2" t="n">
        <v>2255.101</v>
      </c>
      <c r="DT284" s="2" t="n">
        <v>4282.5</v>
      </c>
      <c r="DU284" s="2" t="n">
        <v>-180.1989999999996</v>
      </c>
      <c r="DV284" s="2" t="n">
        <v>0</v>
      </c>
      <c r="EA284" s="2" t="n">
        <v>385</v>
      </c>
      <c r="EB284" s="2" t="n">
        <v>594.5</v>
      </c>
      <c r="EE284" s="2" t="e">
        <v>#VALUE!</v>
      </c>
      <c r="EG284" s="2" t="n">
        <v>147.3</v>
      </c>
      <c r="EH284" s="2" t="n">
        <v>299.2</v>
      </c>
      <c r="EL284" s="2" t="n">
        <v>2746.1</v>
      </c>
      <c r="EQ284" s="2" t="n">
        <v>268.9</v>
      </c>
      <c r="ER284" s="2" t="n">
        <v>140.5</v>
      </c>
      <c r="EU284" s="2" t="n">
        <v>102.8</v>
      </c>
      <c r="EW284" s="2" t="n">
        <v>95</v>
      </c>
      <c r="EX284" s="2" t="n">
        <v>118.6</v>
      </c>
      <c r="FB284" s="2" t="n">
        <v>1633.3</v>
      </c>
      <c r="FG284" s="2" t="n">
        <v>546.8</v>
      </c>
      <c r="FH284" s="2" t="n">
        <v>291.6</v>
      </c>
      <c r="FK284" s="2" t="n">
        <v>217.3</v>
      </c>
      <c r="FM284" s="2" t="n">
        <v>188.2</v>
      </c>
      <c r="FN284" s="2" t="n">
        <v>212.2</v>
      </c>
      <c r="FR284" s="2" t="n">
        <v>3369.7</v>
      </c>
      <c r="FW284" s="2" t="n">
        <v>410</v>
      </c>
      <c r="FX284" s="2" t="e">
        <v>#VALUE!</v>
      </c>
      <c r="GA284" s="2" t="n">
        <v>46.7</v>
      </c>
      <c r="GC284" s="2" t="n">
        <v>64</v>
      </c>
      <c r="GD284" s="2" t="e">
        <v>#VALUE!</v>
      </c>
      <c r="GH284" s="2" t="n">
        <v>1382.6</v>
      </c>
      <c r="GM284" s="2" t="n">
        <v>57.1</v>
      </c>
      <c r="GN284" s="2" t="e">
        <v>#VALUE!</v>
      </c>
      <c r="GQ284" s="2" t="n">
        <v>25.6</v>
      </c>
      <c r="GS284" s="2" t="e">
        <v>#VALUE!</v>
      </c>
      <c r="GT284" s="2" t="e">
        <v>#VALUE!</v>
      </c>
      <c r="GX284" s="2" t="n">
        <v>335.7</v>
      </c>
      <c r="GY284" s="2" t="n">
        <v>0.9756861575178998</v>
      </c>
      <c r="GZ284" s="2" t="n">
        <v>1308.2</v>
      </c>
      <c r="HA284" s="2" t="n">
        <v>1340.8</v>
      </c>
      <c r="HB284" s="2" t="n">
        <v>-111.7914175296</v>
      </c>
      <c r="HD284" s="2" t="n">
        <v>1376.8085824704</v>
      </c>
      <c r="HF284" s="2" t="n">
        <v>1488.6</v>
      </c>
      <c r="HG284" s="2" t="n">
        <v>1452.3</v>
      </c>
      <c r="HH284" s="2" t="n">
        <v>689.4</v>
      </c>
      <c r="HI284" s="2" t="n">
        <v>85.8</v>
      </c>
      <c r="HJ284" s="2" t="n">
        <v>666.7</v>
      </c>
      <c r="HK284" s="2" t="n">
        <v>10.4</v>
      </c>
      <c r="HL284" s="2" t="n">
        <v>36.3</v>
      </c>
      <c r="HP284" s="2" t="e">
        <v>#VALUE!</v>
      </c>
      <c r="HQ284" s="2" t="n">
        <v>5.7</v>
      </c>
      <c r="HR284" s="2" t="n">
        <v>7.5</v>
      </c>
      <c r="HS284" s="2" t="e">
        <v>#VALUE!</v>
      </c>
      <c r="HT284" s="2" t="n">
        <v>14.8</v>
      </c>
      <c r="HW284" s="2" t="n">
        <v>276.6</v>
      </c>
      <c r="HX284" s="2" t="e">
        <v>#VALUE!</v>
      </c>
      <c r="HY284" s="2" t="n">
        <v>276.6</v>
      </c>
      <c r="HZ284" s="2" t="n">
        <v>52.5</v>
      </c>
      <c r="IA284" s="2" t="n">
        <v>203</v>
      </c>
      <c r="IB284" s="2" t="n">
        <v>82</v>
      </c>
      <c r="IC284" s="2" t="n">
        <v>51.6</v>
      </c>
      <c r="ID284" s="2" t="e">
        <v>#VALUE!</v>
      </c>
      <c r="IE284" s="2" t="n">
        <v>51.6</v>
      </c>
      <c r="IF284" s="2" t="e">
        <v>#VALUE!</v>
      </c>
      <c r="IG284" s="2" t="e">
        <v>#VALUE!</v>
      </c>
      <c r="IL284" s="2" t="n">
        <v>21.10000000000002</v>
      </c>
      <c r="IN284" s="2" t="n">
        <v>56.8</v>
      </c>
      <c r="IO284" s="2" t="n">
        <v>57.1</v>
      </c>
      <c r="IP284" s="2" t="e">
        <v>#VALUE!</v>
      </c>
      <c r="IQ284" s="2" t="n">
        <v>38.1</v>
      </c>
      <c r="IR284" s="2" t="n">
        <v>12.2</v>
      </c>
      <c r="IS284" s="2" t="e">
        <v>#VALUE!</v>
      </c>
      <c r="IT284" s="2" t="n">
        <v>24.3</v>
      </c>
      <c r="IU284" s="2" t="e">
        <v>#VALUE!</v>
      </c>
      <c r="IV284" s="2" t="e">
        <v>#VALUE!</v>
      </c>
      <c r="IY284" s="2" t="n">
        <v>47.05008756567425</v>
      </c>
      <c r="IZ284" s="2" t="n">
        <v>-0.04991243432574777</v>
      </c>
      <c r="JB284" s="2" t="n">
        <v>11.44168126094571</v>
      </c>
      <c r="JC284" s="2" t="n">
        <v>-0.02831873905429205</v>
      </c>
      <c r="JE284" s="2" t="n">
        <v>2257.7</v>
      </c>
      <c r="JF284" s="2" t="n">
        <v>0.7794733578420517</v>
      </c>
    </row>
    <row r="285">
      <c r="A285" s="1" t="n">
        <v>37712</v>
      </c>
      <c r="B285" s="2" t="n">
        <v>3809.9</v>
      </c>
      <c r="C285" s="2" t="n">
        <v>2748</v>
      </c>
      <c r="D285" s="2" t="n">
        <v>241.5</v>
      </c>
      <c r="E285" s="2" t="n">
        <v>862.6</v>
      </c>
      <c r="F285" s="2" t="n">
        <v>29.8</v>
      </c>
      <c r="G285" s="2" t="inlineStr">
        <is>
          <t>NA</t>
        </is>
      </c>
      <c r="H285" s="2" t="inlineStr">
        <is>
          <t>NA</t>
        </is>
      </c>
      <c r="I285" s="2" t="inlineStr">
        <is>
          <t>NA</t>
        </is>
      </c>
      <c r="J285" s="2" t="inlineStr">
        <is>
          <t>NA</t>
        </is>
      </c>
      <c r="K285" s="2" t="n">
        <v>1447.5</v>
      </c>
      <c r="L285" s="2" t="n">
        <v>2120.7</v>
      </c>
      <c r="M285" s="2" t="n">
        <v>1916.5</v>
      </c>
      <c r="N285" s="2" t="n">
        <v>204.2</v>
      </c>
      <c r="O285" s="2" t="n">
        <v>71</v>
      </c>
      <c r="P285" s="2" t="n">
        <v>83.2</v>
      </c>
      <c r="Q285" s="2" t="n">
        <v>9.699999999999999</v>
      </c>
      <c r="R285" s="2" t="n">
        <v>73.5</v>
      </c>
      <c r="T285" s="2" t="n">
        <v>25.5</v>
      </c>
      <c r="U285" s="2" t="n">
        <v>74.90000000000001</v>
      </c>
      <c r="V285" s="2" t="n">
        <v>68.5</v>
      </c>
      <c r="W285" s="2" t="n">
        <v>6.4</v>
      </c>
      <c r="X285" s="2" t="inlineStr">
        <is>
          <t>NA</t>
        </is>
      </c>
      <c r="Y285" s="2" t="inlineStr">
        <is>
          <t>NA</t>
        </is>
      </c>
      <c r="Z285" s="2" t="n">
        <v>37.3</v>
      </c>
      <c r="AA285" s="2" t="inlineStr">
        <is>
          <t>NA</t>
        </is>
      </c>
      <c r="AB285" s="2" t="inlineStr">
        <is>
          <t>NA</t>
        </is>
      </c>
      <c r="AC285" s="2" t="inlineStr">
        <is>
          <t>NA</t>
        </is>
      </c>
      <c r="AD285" s="2" t="n">
        <v>24.3</v>
      </c>
      <c r="AF285" s="2" t="n">
        <v>92</v>
      </c>
      <c r="AG285" s="2" t="n">
        <v>74.8</v>
      </c>
      <c r="AH285" s="2" t="n">
        <v>17.2</v>
      </c>
      <c r="AI285" s="2" t="n">
        <v>199.7</v>
      </c>
      <c r="AL285" s="2" t="n">
        <v>99.80000000000001</v>
      </c>
      <c r="AM285" s="2" t="n">
        <v>59.1</v>
      </c>
      <c r="AN285" s="2" t="n">
        <v>40.7</v>
      </c>
      <c r="AO285" s="2" t="n">
        <v>2789.9</v>
      </c>
      <c r="AP285" s="2" t="n">
        <v>227.3</v>
      </c>
      <c r="AQ285" s="2" t="n">
        <v>204.8</v>
      </c>
      <c r="AR285" s="2" t="n">
        <v>36.2</v>
      </c>
      <c r="AS285" s="2" t="n">
        <v>108.9</v>
      </c>
      <c r="AT285" s="2" t="n">
        <v>60.4</v>
      </c>
      <c r="AU285" s="2" t="n">
        <v>66.8</v>
      </c>
      <c r="AV285" s="2" t="n">
        <v>27.2</v>
      </c>
      <c r="AW285" s="2" t="n">
        <v>16.1</v>
      </c>
      <c r="AX285" s="2" t="n">
        <v>1.7</v>
      </c>
      <c r="AY285" s="2" t="inlineStr">
        <is>
          <t>NA</t>
        </is>
      </c>
      <c r="AZ285" s="2" t="inlineStr">
        <is>
          <t>NA</t>
        </is>
      </c>
      <c r="BA285" s="2" t="inlineStr">
        <is>
          <t>NA</t>
        </is>
      </c>
      <c r="BB285" s="2" t="inlineStr">
        <is>
          <t>NA</t>
        </is>
      </c>
      <c r="BD285" s="2" t="n">
        <v>164.4</v>
      </c>
      <c r="BE285" s="2" t="n">
        <v>20.2</v>
      </c>
      <c r="BF285" s="2" t="n">
        <v>61.8</v>
      </c>
      <c r="BG285" s="2" t="n">
        <v>7.3</v>
      </c>
      <c r="BH285" s="2" t="n">
        <v>303.6</v>
      </c>
      <c r="BI285" s="2" t="n">
        <v>107.9</v>
      </c>
      <c r="BJ285" s="2" t="n">
        <v>99.5</v>
      </c>
      <c r="BK285" s="2" t="n">
        <v>207.4</v>
      </c>
      <c r="BL285" s="2" t="n">
        <v>0</v>
      </c>
      <c r="BM285" s="2" t="n">
        <v>511</v>
      </c>
      <c r="BN285" s="2" t="n">
        <v>231.874</v>
      </c>
      <c r="BO285" s="2" t="n">
        <v>51</v>
      </c>
      <c r="BP285" s="2" t="n">
        <v>29.8</v>
      </c>
      <c r="BQ285" s="2" t="n">
        <v>80.8</v>
      </c>
      <c r="BR285" s="2" t="n">
        <v>0</v>
      </c>
      <c r="BS285" s="2" t="n">
        <v>312.674</v>
      </c>
      <c r="BT285" s="2" t="n">
        <v>19.8</v>
      </c>
      <c r="BU285" s="2" t="n">
        <v>14.2</v>
      </c>
      <c r="BV285" s="2" t="inlineStr">
        <is>
          <t>NA</t>
        </is>
      </c>
      <c r="BW285" s="2" t="inlineStr">
        <is>
          <t>NA</t>
        </is>
      </c>
      <c r="BX285" s="2" t="n">
        <v>371.2</v>
      </c>
      <c r="BY285" s="2" t="inlineStr">
        <is>
          <t>NA</t>
        </is>
      </c>
      <c r="BZ285" s="2" t="inlineStr">
        <is>
          <t>NA</t>
        </is>
      </c>
      <c r="CA285" s="2" t="n">
        <v>44</v>
      </c>
      <c r="CB285" s="2" t="n">
        <v>73.09999999999999</v>
      </c>
      <c r="CC285" s="2" t="inlineStr">
        <is>
          <t>NA</t>
        </is>
      </c>
      <c r="CD285" s="2" t="n">
        <v>76.2</v>
      </c>
      <c r="CE285" s="2" t="n">
        <v>14.4</v>
      </c>
      <c r="CF285" s="2" t="n">
        <v>108.4</v>
      </c>
      <c r="CG285" s="2" t="n">
        <v>173.4</v>
      </c>
      <c r="CH285" s="2" t="n">
        <v>19.652</v>
      </c>
      <c r="CK285" s="2" t="n">
        <v>169.1</v>
      </c>
      <c r="CL285" s="2" t="n">
        <v>20.8</v>
      </c>
      <c r="CN285" s="2" t="n">
        <v>47.3</v>
      </c>
      <c r="CO285" s="2" t="n">
        <v>222.1</v>
      </c>
      <c r="CP285" s="2" t="n">
        <v>142.7</v>
      </c>
      <c r="CQ285" s="2" t="n">
        <v>79.40000000000001</v>
      </c>
      <c r="CR285" s="2" t="inlineStr">
        <is>
          <t>NA</t>
        </is>
      </c>
      <c r="CS285" s="2" t="n">
        <v>33.692</v>
      </c>
      <c r="CT285" s="2" t="n">
        <v>19.155</v>
      </c>
      <c r="CU285" s="2" t="n">
        <v>14.537</v>
      </c>
      <c r="CV285" s="2" t="n">
        <v>79</v>
      </c>
      <c r="CW285" s="2" t="inlineStr">
        <is>
          <t>NA</t>
        </is>
      </c>
      <c r="CX285" s="2" t="inlineStr">
        <is>
          <t>NA</t>
        </is>
      </c>
      <c r="CY285" s="2" t="inlineStr">
        <is>
          <t>NA</t>
        </is>
      </c>
      <c r="CZ285" s="2" t="n">
        <v>71.09999999999999</v>
      </c>
      <c r="DA285" s="2" t="n">
        <v>11</v>
      </c>
      <c r="DB285" s="2" t="inlineStr">
        <is>
          <t>NA</t>
        </is>
      </c>
      <c r="DC285" s="2" t="inlineStr">
        <is>
          <t>NA</t>
        </is>
      </c>
      <c r="DI285" s="2" t="n">
        <v>574.2</v>
      </c>
      <c r="DJ285" s="2" t="n">
        <v>329.1</v>
      </c>
      <c r="DM285" s="2" t="n">
        <v>232.2</v>
      </c>
      <c r="DO285" s="2" t="n">
        <v>224.5</v>
      </c>
      <c r="DP285" s="2" t="n">
        <v>237.1</v>
      </c>
      <c r="DS285" s="2" t="n">
        <v>2051.556</v>
      </c>
      <c r="DT285" s="2" t="n">
        <v>3809.9</v>
      </c>
      <c r="DU285" s="2" t="n">
        <v>-161.2440000000001</v>
      </c>
      <c r="DV285" s="2" t="n">
        <v>0</v>
      </c>
      <c r="EA285" s="2" t="n">
        <v>403.6</v>
      </c>
      <c r="EB285" s="2" t="n">
        <v>556.8</v>
      </c>
      <c r="EE285" s="2" t="e">
        <v>#VALUE!</v>
      </c>
      <c r="EG285" s="2" t="n">
        <v>166.5</v>
      </c>
      <c r="EH285" s="2" t="n">
        <v>300.7</v>
      </c>
      <c r="EL285" s="2" t="n">
        <v>2748</v>
      </c>
      <c r="EQ285" s="2" t="n">
        <v>222.2</v>
      </c>
      <c r="ER285" s="2" t="n">
        <v>125</v>
      </c>
      <c r="EU285" s="2" t="n">
        <v>99.2</v>
      </c>
      <c r="EW285" s="2" t="n">
        <v>94.2</v>
      </c>
      <c r="EX285" s="2" t="n">
        <v>101.3</v>
      </c>
      <c r="FB285" s="2" t="n">
        <v>1447.5</v>
      </c>
      <c r="FG285" s="2" t="n">
        <v>452.4</v>
      </c>
      <c r="FH285" s="2" t="n">
        <v>260</v>
      </c>
      <c r="FK285" s="2" t="n">
        <v>182.9</v>
      </c>
      <c r="FM285" s="2" t="n">
        <v>178.7</v>
      </c>
      <c r="FN285" s="2" t="n">
        <v>186</v>
      </c>
      <c r="FR285" s="2" t="n">
        <v>3007</v>
      </c>
      <c r="FW285" s="2" t="n">
        <v>375.3</v>
      </c>
      <c r="FX285" s="2" t="e">
        <v>#VALUE!</v>
      </c>
      <c r="GA285" s="2" t="n">
        <v>44.5</v>
      </c>
      <c r="GC285" s="2" t="n">
        <v>61.8</v>
      </c>
      <c r="GD285" s="2" t="e">
        <v>#VALUE!</v>
      </c>
      <c r="GH285" s="2" t="n">
        <v>1322.8</v>
      </c>
      <c r="GM285" s="2" t="n">
        <v>35.6</v>
      </c>
      <c r="GN285" s="2" t="e">
        <v>#VALUE!</v>
      </c>
      <c r="GQ285" s="2" t="n">
        <v>15.6</v>
      </c>
      <c r="GS285" s="2" t="e">
        <v>#VALUE!</v>
      </c>
      <c r="GT285" s="2" t="e">
        <v>#VALUE!</v>
      </c>
      <c r="GX285" s="2" t="n">
        <v>263.5</v>
      </c>
      <c r="GY285" s="2" t="n">
        <v>0.9740116553787999</v>
      </c>
      <c r="GZ285" s="2" t="n">
        <v>1236.8</v>
      </c>
      <c r="HA285" s="2" t="n">
        <v>1269.8</v>
      </c>
      <c r="HB285" s="2" t="n">
        <v>-116.0685255567998</v>
      </c>
      <c r="HD285" s="2" t="n">
        <v>1376.1314744432</v>
      </c>
      <c r="HF285" s="2" t="n">
        <v>1492.2</v>
      </c>
      <c r="HG285" s="2" t="n">
        <v>1449.5</v>
      </c>
      <c r="HH285" s="2" t="n">
        <v>672</v>
      </c>
      <c r="HI285" s="2" t="n">
        <v>91.2</v>
      </c>
      <c r="HJ285" s="2" t="n">
        <v>675.7</v>
      </c>
      <c r="HK285" s="2" t="n">
        <v>10.6</v>
      </c>
      <c r="HL285" s="2" t="n">
        <v>42.7</v>
      </c>
      <c r="HP285" s="2" t="e">
        <v>#VALUE!</v>
      </c>
      <c r="HQ285" s="2" t="n">
        <v>7.6</v>
      </c>
      <c r="HR285" s="2" t="n">
        <v>8.1</v>
      </c>
      <c r="HS285" s="2" t="e">
        <v>#VALUE!</v>
      </c>
      <c r="HT285" s="2" t="n">
        <v>19</v>
      </c>
      <c r="HW285" s="2" t="n">
        <v>249.8</v>
      </c>
      <c r="HX285" s="2" t="e">
        <v>#VALUE!</v>
      </c>
      <c r="HY285" s="2" t="n">
        <v>249.8</v>
      </c>
      <c r="HZ285" s="2" t="n">
        <v>47.4</v>
      </c>
      <c r="IA285" s="2" t="n">
        <v>183</v>
      </c>
      <c r="IB285" s="2" t="n">
        <v>85.09999999999999</v>
      </c>
      <c r="IC285" s="2" t="n">
        <v>54.7</v>
      </c>
      <c r="ID285" s="2" t="e">
        <v>#VALUE!</v>
      </c>
      <c r="IE285" s="2" t="n">
        <v>54.7</v>
      </c>
      <c r="IF285" s="2" t="e">
        <v>#VALUE!</v>
      </c>
      <c r="IG285" s="2" t="e">
        <v>#VALUE!</v>
      </c>
      <c r="IL285" s="2" t="n">
        <v>19.40000000000001</v>
      </c>
      <c r="IN285" s="2" t="n">
        <v>58.9</v>
      </c>
      <c r="IO285" s="2" t="n">
        <v>59.2</v>
      </c>
      <c r="IP285" s="2" t="e">
        <v>#VALUE!</v>
      </c>
      <c r="IQ285" s="2" t="n">
        <v>39</v>
      </c>
      <c r="IR285" s="2" t="n">
        <v>14.6</v>
      </c>
      <c r="IS285" s="2" t="e">
        <v>#VALUE!</v>
      </c>
      <c r="IT285" s="2" t="n">
        <v>22.8</v>
      </c>
      <c r="IU285" s="2" t="e">
        <v>#VALUE!</v>
      </c>
      <c r="IV285" s="2" t="e">
        <v>#VALUE!</v>
      </c>
      <c r="IY285" s="2" t="n">
        <v>47.16186776555816</v>
      </c>
      <c r="IZ285" s="2" t="n">
        <v>0.1618677655581564</v>
      </c>
      <c r="JB285" s="2" t="n">
        <v>11.39793695372582</v>
      </c>
      <c r="JC285" s="2" t="n">
        <v>-0.04206304627417978</v>
      </c>
      <c r="JE285" s="2" t="n">
        <v>2120.7</v>
      </c>
      <c r="JF285" s="2" t="n">
        <v>0.798137407459801</v>
      </c>
    </row>
    <row r="286">
      <c r="A286" s="1" t="n">
        <v>37742</v>
      </c>
      <c r="B286" s="2" t="n">
        <v>3893.2</v>
      </c>
      <c r="C286" s="2" t="n">
        <v>2279.4</v>
      </c>
      <c r="D286" s="2" t="n">
        <v>203.6</v>
      </c>
      <c r="E286" s="2" t="n">
        <v>665.9</v>
      </c>
      <c r="F286" s="2" t="n">
        <v>30.8</v>
      </c>
      <c r="G286" s="2" t="inlineStr">
        <is>
          <t>NA</t>
        </is>
      </c>
      <c r="H286" s="2" t="inlineStr">
        <is>
          <t>NA</t>
        </is>
      </c>
      <c r="I286" s="2" t="inlineStr">
        <is>
          <t>NA</t>
        </is>
      </c>
      <c r="J286" s="2" t="inlineStr">
        <is>
          <t>NA</t>
        </is>
      </c>
      <c r="K286" s="2" t="n">
        <v>1483.9</v>
      </c>
      <c r="L286" s="2" t="n">
        <v>2052.6</v>
      </c>
      <c r="M286" s="2" t="n">
        <v>1841.8</v>
      </c>
      <c r="N286" s="2" t="n">
        <v>210.8</v>
      </c>
      <c r="O286" s="2" t="n">
        <v>59.9</v>
      </c>
      <c r="P286" s="2" t="n">
        <v>84.2</v>
      </c>
      <c r="Q286" s="2" t="n">
        <v>8.199999999999999</v>
      </c>
      <c r="R286" s="2" t="n">
        <v>76</v>
      </c>
      <c r="T286" s="2" t="n">
        <v>25.7</v>
      </c>
      <c r="U286" s="2" t="n">
        <v>74.39999999999999</v>
      </c>
      <c r="V286" s="2" t="n">
        <v>67.8</v>
      </c>
      <c r="W286" s="2" t="n">
        <v>6.6</v>
      </c>
      <c r="X286" s="2" t="inlineStr">
        <is>
          <t>NA</t>
        </is>
      </c>
      <c r="Y286" s="2" t="inlineStr">
        <is>
          <t>NA</t>
        </is>
      </c>
      <c r="Z286" s="2" t="n">
        <v>40.2</v>
      </c>
      <c r="AA286" s="2" t="inlineStr">
        <is>
          <t>NA</t>
        </is>
      </c>
      <c r="AB286" s="2" t="inlineStr">
        <is>
          <t>NA</t>
        </is>
      </c>
      <c r="AC286" s="2" t="inlineStr">
        <is>
          <t>NA</t>
        </is>
      </c>
      <c r="AD286" s="2" t="n">
        <v>48.4</v>
      </c>
      <c r="AF286" s="2" t="n">
        <v>89.59999999999999</v>
      </c>
      <c r="AG286" s="2" t="n">
        <v>68.8</v>
      </c>
      <c r="AH286" s="2" t="n">
        <v>20.8</v>
      </c>
      <c r="AI286" s="2" t="n">
        <v>203.6</v>
      </c>
      <c r="AL286" s="2" t="n">
        <v>89.90000000000001</v>
      </c>
      <c r="AM286" s="2" t="n">
        <v>65.3</v>
      </c>
      <c r="AN286" s="2" t="n">
        <v>24.6</v>
      </c>
      <c r="AO286" s="2" t="n">
        <v>2842.3</v>
      </c>
      <c r="AP286" s="2" t="n">
        <v>272.3</v>
      </c>
      <c r="AQ286" s="2" t="n">
        <v>213.4</v>
      </c>
      <c r="AR286" s="2" t="n">
        <v>35.6</v>
      </c>
      <c r="AS286" s="2" t="n">
        <v>89.8</v>
      </c>
      <c r="AT286" s="2" t="n">
        <v>69.59999999999999</v>
      </c>
      <c r="AU286" s="2" t="n">
        <v>56.4</v>
      </c>
      <c r="AV286" s="2" t="n">
        <v>18.7</v>
      </c>
      <c r="AW286" s="2" t="n">
        <v>16.6</v>
      </c>
      <c r="AX286" s="2" t="n">
        <v>1.8</v>
      </c>
      <c r="AY286" s="2" t="inlineStr">
        <is>
          <t>NA</t>
        </is>
      </c>
      <c r="AZ286" s="2" t="inlineStr">
        <is>
          <t>NA</t>
        </is>
      </c>
      <c r="BA286" s="2" t="inlineStr">
        <is>
          <t>NA</t>
        </is>
      </c>
      <c r="BB286" s="2" t="inlineStr">
        <is>
          <t>NA</t>
        </is>
      </c>
      <c r="BD286" s="2" t="n">
        <v>183.8</v>
      </c>
      <c r="BE286" s="2" t="n">
        <v>21.4</v>
      </c>
      <c r="BF286" s="2" t="n">
        <v>64.7</v>
      </c>
      <c r="BG286" s="2" t="n">
        <v>9.4</v>
      </c>
      <c r="BH286" s="2" t="n">
        <v>320.4</v>
      </c>
      <c r="BI286" s="2" t="n">
        <v>112.8</v>
      </c>
      <c r="BJ286" s="2" t="n">
        <v>103.5</v>
      </c>
      <c r="BK286" s="2" t="n">
        <v>216.3</v>
      </c>
      <c r="BL286" s="2" t="n">
        <v>0</v>
      </c>
      <c r="BM286" s="2" t="n">
        <v>536.7</v>
      </c>
      <c r="BN286" s="2" t="n">
        <v>209.392</v>
      </c>
      <c r="BO286" s="2" t="n">
        <v>50.4</v>
      </c>
      <c r="BP286" s="2" t="n">
        <v>38.2</v>
      </c>
      <c r="BQ286" s="2" t="n">
        <v>88.59999999999999</v>
      </c>
      <c r="BR286" s="2" t="n">
        <v>0</v>
      </c>
      <c r="BS286" s="2" t="n">
        <v>297.992</v>
      </c>
      <c r="BT286" s="2" t="n">
        <v>20.5</v>
      </c>
      <c r="BU286" s="2" t="n">
        <v>10.5</v>
      </c>
      <c r="BV286" s="2" t="inlineStr">
        <is>
          <t>NA</t>
        </is>
      </c>
      <c r="BW286" s="2" t="inlineStr">
        <is>
          <t>NA</t>
        </is>
      </c>
      <c r="BX286" s="2" t="n">
        <v>397.1</v>
      </c>
      <c r="BY286" s="2" t="inlineStr">
        <is>
          <t>NA</t>
        </is>
      </c>
      <c r="BZ286" s="2" t="inlineStr">
        <is>
          <t>NA</t>
        </is>
      </c>
      <c r="CA286" s="2" t="n">
        <v>43.2</v>
      </c>
      <c r="CB286" s="2" t="n">
        <v>76</v>
      </c>
      <c r="CC286" s="2" t="n">
        <v>13.091</v>
      </c>
      <c r="CD286" s="2" t="n">
        <v>81.5</v>
      </c>
      <c r="CE286" s="2" t="n">
        <v>10.5</v>
      </c>
      <c r="CF286" s="2" t="n">
        <v>100.3</v>
      </c>
      <c r="CG286" s="2" t="n">
        <v>166.9</v>
      </c>
      <c r="CH286" s="2" t="n">
        <v>15.8</v>
      </c>
      <c r="CK286" s="2" t="n">
        <v>175.6</v>
      </c>
      <c r="CL286" s="2" t="n">
        <v>20.2</v>
      </c>
      <c r="CN286" s="2" t="n">
        <v>52.5</v>
      </c>
      <c r="CO286" s="2" t="n">
        <v>184.3</v>
      </c>
      <c r="CP286" s="2" t="n">
        <v>116.3</v>
      </c>
      <c r="CQ286" s="2" t="n">
        <v>68</v>
      </c>
      <c r="CR286" s="2" t="inlineStr">
        <is>
          <t>NA</t>
        </is>
      </c>
      <c r="CS286" s="2" t="n">
        <v>30.2</v>
      </c>
      <c r="CV286" s="2" t="n">
        <v>74.5</v>
      </c>
      <c r="CW286" s="2" t="inlineStr">
        <is>
          <t>NA</t>
        </is>
      </c>
      <c r="CX286" s="2" t="inlineStr">
        <is>
          <t>NA</t>
        </is>
      </c>
      <c r="CY286" s="2" t="inlineStr">
        <is>
          <t>NA</t>
        </is>
      </c>
      <c r="CZ286" s="2" t="n">
        <v>73.3</v>
      </c>
      <c r="DA286" s="2" t="n">
        <v>11.6</v>
      </c>
      <c r="DB286" s="2" t="inlineStr">
        <is>
          <t>NA</t>
        </is>
      </c>
      <c r="DC286" s="2" t="inlineStr">
        <is>
          <t>NA</t>
        </is>
      </c>
      <c r="DI286" s="2" t="n">
        <v>523.3</v>
      </c>
      <c r="DJ286" s="2" t="n">
        <v>331.8</v>
      </c>
      <c r="DM286" s="2" t="n">
        <v>258.6</v>
      </c>
      <c r="DO286" s="2" t="n">
        <v>212.6</v>
      </c>
      <c r="DP286" s="2" t="n">
        <v>253.7</v>
      </c>
      <c r="DS286" s="2" t="n">
        <v>2135.519</v>
      </c>
      <c r="DT286" s="2" t="n">
        <v>3893.2</v>
      </c>
      <c r="DU286" s="2" t="n">
        <v>-177.6810000000005</v>
      </c>
      <c r="DV286" s="2" t="n">
        <v>0</v>
      </c>
      <c r="EA286" s="2" t="n">
        <v>353.4</v>
      </c>
      <c r="EB286" s="2" t="n">
        <v>429.5</v>
      </c>
      <c r="EE286" s="2" t="e">
        <v>#VALUE!</v>
      </c>
      <c r="EG286" s="2" t="n">
        <v>123.2</v>
      </c>
      <c r="EH286" s="2" t="n">
        <v>243.8</v>
      </c>
      <c r="EL286" s="2" t="n">
        <v>2279.4</v>
      </c>
      <c r="EQ286" s="2" t="n">
        <v>204.5</v>
      </c>
      <c r="ER286" s="2" t="n">
        <v>123.1</v>
      </c>
      <c r="EU286" s="2" t="n">
        <v>101.5</v>
      </c>
      <c r="EW286" s="2" t="n">
        <v>81.2</v>
      </c>
      <c r="EX286" s="2" t="n">
        <v>96.90000000000001</v>
      </c>
      <c r="FB286" s="2" t="n">
        <v>1483.9</v>
      </c>
      <c r="FG286" s="2" t="n">
        <v>416.3</v>
      </c>
      <c r="FH286" s="2" t="n">
        <v>245.5</v>
      </c>
      <c r="FK286" s="2" t="n">
        <v>205.4</v>
      </c>
      <c r="FM286" s="2" t="n">
        <v>169.1</v>
      </c>
      <c r="FN286" s="2" t="n">
        <v>159</v>
      </c>
      <c r="FR286" s="2" t="n">
        <v>3007.8</v>
      </c>
      <c r="FW286" s="2" t="n">
        <v>324.1</v>
      </c>
      <c r="FX286" s="2" t="e">
        <v>#VALUE!</v>
      </c>
      <c r="GA286" s="2" t="n">
        <v>31.8</v>
      </c>
      <c r="GC286" s="2" t="n">
        <v>61.9</v>
      </c>
      <c r="GD286" s="2" t="e">
        <v>#VALUE!</v>
      </c>
      <c r="GH286" s="2" t="n">
        <v>1222.6</v>
      </c>
      <c r="GM286" s="2" t="n">
        <v>26.9</v>
      </c>
      <c r="GN286" s="2" t="e">
        <v>#VALUE!</v>
      </c>
      <c r="GQ286" s="2" t="n">
        <v>25.3</v>
      </c>
      <c r="GS286" s="2" t="n">
        <v>7.4</v>
      </c>
      <c r="GT286" s="2" t="e">
        <v>#VALUE!</v>
      </c>
      <c r="GX286" s="2" t="n">
        <v>302.7</v>
      </c>
      <c r="GY286" s="2" t="n">
        <v>0.9733163913595935</v>
      </c>
      <c r="GZ286" s="2" t="n">
        <v>1378.8</v>
      </c>
      <c r="HA286" s="2" t="n">
        <v>1416.6</v>
      </c>
      <c r="HB286" s="2" t="n">
        <v>-106.2172753479999</v>
      </c>
      <c r="HD286" s="2" t="n">
        <v>1445.882724652</v>
      </c>
      <c r="HF286" s="2" t="n">
        <v>1552.1</v>
      </c>
      <c r="HG286" s="2" t="n">
        <v>1506.8</v>
      </c>
      <c r="HH286" s="2" t="n">
        <v>687.9</v>
      </c>
      <c r="HI286" s="2" t="n">
        <v>87.2</v>
      </c>
      <c r="HJ286" s="2" t="n">
        <v>721.1</v>
      </c>
      <c r="HK286" s="2" t="n">
        <v>10.5</v>
      </c>
      <c r="HL286" s="2" t="n">
        <v>45.3</v>
      </c>
      <c r="HP286" s="2" t="e">
        <v>#VALUE!</v>
      </c>
      <c r="HQ286" s="2" t="n">
        <v>5.2</v>
      </c>
      <c r="HR286" s="2" t="n">
        <v>7.5</v>
      </c>
      <c r="HS286" s="2" t="e">
        <v>#VALUE!</v>
      </c>
      <c r="HT286" s="2" t="n">
        <v>25.9</v>
      </c>
      <c r="HW286" s="2" t="n">
        <v>256.5</v>
      </c>
      <c r="HX286" s="2" t="e">
        <v>#VALUE!</v>
      </c>
      <c r="HY286" s="2" t="n">
        <v>256.5</v>
      </c>
      <c r="HZ286" s="2" t="n">
        <v>48.9</v>
      </c>
      <c r="IA286" s="2" t="n">
        <v>186.2</v>
      </c>
      <c r="IB286" s="2" t="n">
        <v>84.7</v>
      </c>
      <c r="IC286" s="2" t="n">
        <v>55</v>
      </c>
      <c r="ID286" s="2" t="e">
        <v>#VALUE!</v>
      </c>
      <c r="IE286" s="2" t="n">
        <v>55</v>
      </c>
      <c r="IF286" s="2" t="e">
        <v>#VALUE!</v>
      </c>
      <c r="IG286" s="2" t="e">
        <v>#VALUE!</v>
      </c>
      <c r="IL286" s="2" t="n">
        <v>21.40000000000001</v>
      </c>
      <c r="IN286" s="2" t="n">
        <v>49.4</v>
      </c>
      <c r="IO286" s="2" t="n">
        <v>49.7</v>
      </c>
      <c r="IP286" s="2" t="e">
        <v>#VALUE!</v>
      </c>
      <c r="IQ286" s="2" t="n">
        <v>36</v>
      </c>
      <c r="IR286" s="2" t="n">
        <v>14.5</v>
      </c>
      <c r="IS286" s="2" t="e">
        <v>#VALUE!</v>
      </c>
      <c r="IT286" s="2" t="n">
        <v>19.9</v>
      </c>
      <c r="IU286" s="2" t="e">
        <v>#VALUE!</v>
      </c>
      <c r="IV286" s="2" t="e">
        <v>#VALUE!</v>
      </c>
      <c r="IY286" s="2" t="n">
        <v>47.09287989314703</v>
      </c>
      <c r="IZ286" s="2" t="n">
        <v>-0.02712010685296917</v>
      </c>
      <c r="JB286" s="2" t="n">
        <v>11.43455255316963</v>
      </c>
      <c r="JC286" s="2" t="n">
        <v>-0.06544744683037074</v>
      </c>
      <c r="JE286" s="2" t="n">
        <v>2052.6</v>
      </c>
      <c r="JF286" s="2" t="n">
        <v>0.7674047549449479</v>
      </c>
    </row>
    <row r="287">
      <c r="A287" s="1" t="n">
        <v>37773</v>
      </c>
      <c r="B287" s="2" t="n">
        <v>3641.4</v>
      </c>
      <c r="C287" s="2" t="n">
        <v>1946.1</v>
      </c>
      <c r="D287" s="2" t="n">
        <v>179.4</v>
      </c>
      <c r="E287" s="2" t="n">
        <v>448.8</v>
      </c>
      <c r="F287" s="2" t="n">
        <v>26.4</v>
      </c>
      <c r="G287" s="2" t="inlineStr">
        <is>
          <t>NA</t>
        </is>
      </c>
      <c r="H287" s="2" t="inlineStr">
        <is>
          <t>NA</t>
        </is>
      </c>
      <c r="I287" s="2" t="inlineStr">
        <is>
          <t>NA</t>
        </is>
      </c>
      <c r="J287" s="2" t="inlineStr">
        <is>
          <t>NA</t>
        </is>
      </c>
      <c r="K287" s="2" t="n">
        <v>1391</v>
      </c>
      <c r="L287" s="2" t="n">
        <v>1928.5</v>
      </c>
      <c r="M287" s="2" t="n">
        <v>1706.4</v>
      </c>
      <c r="N287" s="2" t="n">
        <v>222.1</v>
      </c>
      <c r="O287" s="2" t="n">
        <v>52.8</v>
      </c>
      <c r="P287" s="2" t="n">
        <v>91.3</v>
      </c>
      <c r="Q287" s="2" t="n">
        <v>8.199999999999999</v>
      </c>
      <c r="R287" s="2" t="n">
        <v>83.09999999999999</v>
      </c>
      <c r="T287" s="2" t="n">
        <v>23.2</v>
      </c>
      <c r="U287" s="2" t="n">
        <v>68.59999999999999</v>
      </c>
      <c r="V287" s="2" t="n">
        <v>62.6</v>
      </c>
      <c r="W287" s="2" t="n">
        <v>6</v>
      </c>
      <c r="X287" s="2" t="inlineStr">
        <is>
          <t>NA</t>
        </is>
      </c>
      <c r="Y287" s="2" t="inlineStr">
        <is>
          <t>NA</t>
        </is>
      </c>
      <c r="Z287" s="2" t="n">
        <v>29.8</v>
      </c>
      <c r="AA287" s="2" t="inlineStr">
        <is>
          <t>NA</t>
        </is>
      </c>
      <c r="AB287" s="2" t="inlineStr">
        <is>
          <t>NA</t>
        </is>
      </c>
      <c r="AC287" s="2" t="inlineStr">
        <is>
          <t>NA</t>
        </is>
      </c>
      <c r="AD287" s="2" t="n">
        <v>35.7</v>
      </c>
      <c r="AF287" s="2" t="n">
        <v>74.8</v>
      </c>
      <c r="AG287" s="2" t="n">
        <v>57.3</v>
      </c>
      <c r="AH287" s="2" t="n">
        <v>17.5</v>
      </c>
      <c r="AI287" s="2" t="n">
        <v>207.1</v>
      </c>
      <c r="AL287" s="2" t="n">
        <v>112.8</v>
      </c>
      <c r="AM287" s="2" t="n">
        <v>77.90000000000001</v>
      </c>
      <c r="AN287" s="2" t="n">
        <v>34.9</v>
      </c>
      <c r="AO287" s="2" t="n">
        <v>2676.8</v>
      </c>
      <c r="AP287" s="2" t="n">
        <v>234.2</v>
      </c>
      <c r="AQ287" s="2" t="n">
        <v>196.6</v>
      </c>
      <c r="AR287" s="2" t="n">
        <v>37.4</v>
      </c>
      <c r="AS287" s="2" t="n">
        <v>81.40000000000001</v>
      </c>
      <c r="AT287" s="2" t="n">
        <v>67.2</v>
      </c>
      <c r="AU287" s="2" t="n">
        <v>57.5</v>
      </c>
      <c r="AV287" s="2" t="n">
        <v>26.2</v>
      </c>
      <c r="AW287" s="2" t="n">
        <v>14.8</v>
      </c>
      <c r="AX287" s="2" t="n">
        <v>3</v>
      </c>
      <c r="AY287" s="2" t="inlineStr">
        <is>
          <t>NA</t>
        </is>
      </c>
      <c r="AZ287" s="2" t="inlineStr">
        <is>
          <t>NA</t>
        </is>
      </c>
      <c r="BA287" s="2" t="inlineStr">
        <is>
          <t>NA</t>
        </is>
      </c>
      <c r="BB287" s="2" t="inlineStr">
        <is>
          <t>NA</t>
        </is>
      </c>
      <c r="BD287" s="2" t="n">
        <v>183.1</v>
      </c>
      <c r="BE287" s="2" t="n">
        <v>27.6</v>
      </c>
      <c r="BF287" s="2" t="n">
        <v>64.5</v>
      </c>
      <c r="BG287" s="2" t="n">
        <v>8.5</v>
      </c>
      <c r="BH287" s="2" t="n">
        <v>320.3</v>
      </c>
      <c r="BI287" s="2" t="n">
        <v>112.2</v>
      </c>
      <c r="BJ287" s="2" t="n">
        <v>102.3</v>
      </c>
      <c r="BK287" s="2" t="n">
        <v>214.5</v>
      </c>
      <c r="BL287" s="2" t="n">
        <v>0</v>
      </c>
      <c r="BM287" s="2" t="n">
        <v>534.8</v>
      </c>
      <c r="BN287" s="2" t="n">
        <v>170.142</v>
      </c>
      <c r="BO287" s="2" t="n">
        <v>48.1</v>
      </c>
      <c r="BP287" s="2" t="n">
        <v>32.1</v>
      </c>
      <c r="BQ287" s="2" t="n">
        <v>80.2</v>
      </c>
      <c r="BR287" s="2" t="n">
        <v>0</v>
      </c>
      <c r="BS287" s="2" t="n">
        <v>250.342</v>
      </c>
      <c r="BT287" s="2" t="n">
        <v>18.8</v>
      </c>
      <c r="BU287" s="2" t="n">
        <v>11.7</v>
      </c>
      <c r="BV287" s="2" t="inlineStr">
        <is>
          <t>NA</t>
        </is>
      </c>
      <c r="BW287" s="2" t="inlineStr">
        <is>
          <t>NA</t>
        </is>
      </c>
      <c r="BX287" s="2" t="n">
        <v>391</v>
      </c>
      <c r="BY287" s="2" t="inlineStr">
        <is>
          <t>NA</t>
        </is>
      </c>
      <c r="BZ287" s="2" t="inlineStr">
        <is>
          <t>NA</t>
        </is>
      </c>
      <c r="CA287" s="2" t="n">
        <v>44.6</v>
      </c>
      <c r="CB287" s="2" t="n">
        <v>76.90000000000001</v>
      </c>
      <c r="CC287" s="2" t="inlineStr">
        <is>
          <t>NA</t>
        </is>
      </c>
      <c r="CD287" s="2" t="n">
        <v>77.2</v>
      </c>
      <c r="CE287" s="2" t="n">
        <v>9.199999999999999</v>
      </c>
      <c r="CF287" s="2" t="n">
        <v>91.09999999999999</v>
      </c>
      <c r="CG287" s="2" t="n">
        <v>180.2</v>
      </c>
      <c r="CH287" s="2" t="n">
        <v>14.499</v>
      </c>
      <c r="CK287" s="2" t="n">
        <v>193.9</v>
      </c>
      <c r="CL287" s="2" t="n">
        <v>21.3</v>
      </c>
      <c r="CN287" s="2" t="n">
        <v>55.8</v>
      </c>
      <c r="CO287" s="2" t="n">
        <v>155.1</v>
      </c>
      <c r="CP287" s="2" t="n">
        <v>111.4</v>
      </c>
      <c r="CQ287" s="2" t="n">
        <v>43.7</v>
      </c>
      <c r="CR287" s="2" t="inlineStr">
        <is>
          <t>NA</t>
        </is>
      </c>
      <c r="CS287" s="2" t="n">
        <v>29.5</v>
      </c>
      <c r="CV287" s="2" t="n">
        <v>55.9</v>
      </c>
      <c r="CW287" s="2" t="inlineStr">
        <is>
          <t>NA</t>
        </is>
      </c>
      <c r="CX287" s="2" t="inlineStr">
        <is>
          <t>NA</t>
        </is>
      </c>
      <c r="CY287" s="2" t="inlineStr">
        <is>
          <t>NA</t>
        </is>
      </c>
      <c r="CZ287" s="2" t="n">
        <v>34.7</v>
      </c>
      <c r="DA287" s="2" t="n">
        <v>10.8</v>
      </c>
      <c r="DB287" s="2" t="inlineStr">
        <is>
          <t>NA</t>
        </is>
      </c>
      <c r="DC287" s="2" t="inlineStr">
        <is>
          <t>NA</t>
        </is>
      </c>
      <c r="DI287" s="2" t="n">
        <v>500.6</v>
      </c>
      <c r="DJ287" s="2" t="n">
        <v>352.3</v>
      </c>
      <c r="DM287" s="2" t="n">
        <v>251.9</v>
      </c>
      <c r="DO287" s="2" t="n">
        <v>229.6</v>
      </c>
      <c r="DP287" s="2" t="n">
        <v>242.8</v>
      </c>
      <c r="DS287" s="2" t="n">
        <v>1907.652</v>
      </c>
      <c r="DT287" s="2" t="n">
        <v>3641.4</v>
      </c>
      <c r="DU287" s="2" t="n">
        <v>-156.5480000000002</v>
      </c>
      <c r="DV287" s="2" t="n">
        <v>0</v>
      </c>
      <c r="EA287" s="2" t="n">
        <v>297.5</v>
      </c>
      <c r="EB287" s="2" t="n">
        <v>241.5</v>
      </c>
      <c r="EE287" s="2" t="e">
        <v>#VALUE!</v>
      </c>
      <c r="EG287" s="2" t="n">
        <v>66.09999999999999</v>
      </c>
      <c r="EH287" s="2" t="n">
        <v>195.1</v>
      </c>
      <c r="EL287" s="2" t="n">
        <v>1946.1</v>
      </c>
      <c r="EQ287" s="2" t="n">
        <v>196.5</v>
      </c>
      <c r="ER287" s="2" t="n">
        <v>131.4</v>
      </c>
      <c r="EU287" s="2" t="n">
        <v>97.3</v>
      </c>
      <c r="EW287" s="2" t="n">
        <v>90.7</v>
      </c>
      <c r="EX287" s="2" t="n">
        <v>92.5</v>
      </c>
      <c r="FB287" s="2" t="n">
        <v>1391</v>
      </c>
      <c r="FG287" s="2" t="n">
        <v>395.8</v>
      </c>
      <c r="FH287" s="2" t="n">
        <v>275.4</v>
      </c>
      <c r="FK287" s="2" t="n">
        <v>199.9</v>
      </c>
      <c r="FM287" s="2" t="n">
        <v>181.5</v>
      </c>
      <c r="FN287" s="2" t="n">
        <v>193.6</v>
      </c>
      <c r="FR287" s="2" t="n">
        <v>2882.1</v>
      </c>
      <c r="FW287" s="2" t="n">
        <v>282.1</v>
      </c>
      <c r="FX287" s="2" t="e">
        <v>#VALUE!</v>
      </c>
      <c r="GA287" s="2" t="n">
        <v>20.8</v>
      </c>
      <c r="GC287" s="2" t="n">
        <v>54.3</v>
      </c>
      <c r="GD287" s="2" t="e">
        <v>#VALUE!</v>
      </c>
      <c r="GH287" s="2" t="n">
        <v>1141.1</v>
      </c>
      <c r="GM287" s="2" t="n">
        <v>27.5</v>
      </c>
      <c r="GN287" s="2" t="e">
        <v>#VALUE!</v>
      </c>
      <c r="GQ287" s="2" t="n">
        <v>24.6</v>
      </c>
      <c r="GS287" s="2" t="n">
        <v>8.9</v>
      </c>
      <c r="GT287" s="2" t="e">
        <v>#VALUE!</v>
      </c>
      <c r="GX287" s="2" t="n">
        <v>271.6</v>
      </c>
      <c r="GY287" s="2" t="n">
        <v>0.9726553839331904</v>
      </c>
      <c r="GZ287" s="2" t="n">
        <v>1316.1</v>
      </c>
      <c r="HA287" s="2" t="n">
        <v>1353.1</v>
      </c>
      <c r="HB287" s="2" t="n">
        <v>-68.04653667980006</v>
      </c>
      <c r="HD287" s="2" t="n">
        <v>1423.2534633202</v>
      </c>
      <c r="HF287" s="2" t="n">
        <v>1491.3</v>
      </c>
      <c r="HG287" s="2" t="n">
        <v>1440.1</v>
      </c>
      <c r="HH287" s="2" t="n">
        <v>646.9</v>
      </c>
      <c r="HI287" s="2" t="n">
        <v>87.40000000000001</v>
      </c>
      <c r="HJ287" s="2" t="n">
        <v>695.4</v>
      </c>
      <c r="HK287" s="2" t="n">
        <v>10.4</v>
      </c>
      <c r="HL287" s="2" t="n">
        <v>51.2</v>
      </c>
      <c r="HP287" s="2" t="e">
        <v>#VALUE!</v>
      </c>
      <c r="HQ287" s="2" t="n">
        <v>6.3</v>
      </c>
      <c r="HR287" s="2" t="n">
        <v>8.6</v>
      </c>
      <c r="HS287" s="2" t="e">
        <v>#VALUE!</v>
      </c>
      <c r="HT287" s="2" t="n">
        <v>27</v>
      </c>
      <c r="HW287" s="2" t="n">
        <v>237.7</v>
      </c>
      <c r="HX287" s="2" t="e">
        <v>#VALUE!</v>
      </c>
      <c r="HY287" s="2" t="n">
        <v>237.7</v>
      </c>
      <c r="HZ287" s="2" t="n">
        <v>34.1</v>
      </c>
      <c r="IA287" s="2" t="n">
        <v>232.2</v>
      </c>
      <c r="IB287" s="2" t="n">
        <v>86</v>
      </c>
      <c r="IC287" s="2" t="n">
        <v>53.5</v>
      </c>
      <c r="ID287" s="2" t="e">
        <v>#VALUE!</v>
      </c>
      <c r="IE287" s="2" t="n">
        <v>53.5</v>
      </c>
      <c r="IF287" s="2" t="e">
        <v>#VALUE!</v>
      </c>
      <c r="IG287" s="2" t="e">
        <v>#VALUE!</v>
      </c>
      <c r="IL287" s="2" t="n">
        <v>-28.59999999999999</v>
      </c>
      <c r="IN287" s="2" t="n">
        <v>42.4</v>
      </c>
      <c r="IO287" s="2" t="n">
        <v>42.4</v>
      </c>
      <c r="IP287" s="2" t="e">
        <v>#VALUE!</v>
      </c>
      <c r="IQ287" s="2" t="n">
        <v>36.2</v>
      </c>
      <c r="IR287" s="2" t="n">
        <v>12.3</v>
      </c>
      <c r="IS287" s="2" t="n">
        <v>0.1</v>
      </c>
      <c r="IT287" s="2" t="e">
        <v>#VALUE!</v>
      </c>
      <c r="IU287" s="2" t="e">
        <v>#VALUE!</v>
      </c>
      <c r="IV287" s="2" t="e">
        <v>#VALUE!</v>
      </c>
      <c r="IY287" s="2" t="n">
        <v>47.34552644587247</v>
      </c>
      <c r="IZ287" s="2" t="n">
        <v>0.005526445872462205</v>
      </c>
      <c r="JB287" s="2" t="n">
        <v>11.45987806887461</v>
      </c>
      <c r="JC287" s="2" t="n">
        <v>-0.1401219311253925</v>
      </c>
      <c r="JE287" s="2" t="n">
        <v>1928.5</v>
      </c>
      <c r="JF287" s="2" t="n">
        <v>0.7605595022037853</v>
      </c>
    </row>
    <row r="288">
      <c r="A288" s="1" t="n">
        <v>37803</v>
      </c>
      <c r="B288" s="2" t="n">
        <v>3877.9</v>
      </c>
      <c r="C288" s="2" t="n">
        <v>1667.7</v>
      </c>
      <c r="D288" s="2" t="n">
        <v>127.4</v>
      </c>
      <c r="E288" s="2" t="n">
        <v>346.6</v>
      </c>
      <c r="F288" s="2" t="n">
        <v>27.2</v>
      </c>
      <c r="G288" s="2" t="inlineStr">
        <is>
          <t>NA</t>
        </is>
      </c>
      <c r="H288" s="2" t="inlineStr">
        <is>
          <t>NA</t>
        </is>
      </c>
      <c r="I288" s="2" t="inlineStr">
        <is>
          <t>NA</t>
        </is>
      </c>
      <c r="J288" s="2" t="inlineStr">
        <is>
          <t>NA</t>
        </is>
      </c>
      <c r="K288" s="2" t="n">
        <v>1482.4</v>
      </c>
      <c r="L288" s="2" t="n">
        <v>1795.6</v>
      </c>
      <c r="M288" s="2" t="n">
        <v>1595.9</v>
      </c>
      <c r="N288" s="2" t="n">
        <v>199.7</v>
      </c>
      <c r="O288" s="2" t="n">
        <v>39.9</v>
      </c>
      <c r="P288" s="2" t="n">
        <v>64.2</v>
      </c>
      <c r="Q288" s="2" t="n">
        <v>9.6</v>
      </c>
      <c r="R288" s="2" t="n">
        <v>54.6</v>
      </c>
      <c r="T288" s="2" t="n">
        <v>23.9</v>
      </c>
      <c r="U288" s="2" t="n">
        <v>77</v>
      </c>
      <c r="V288" s="2" t="n">
        <v>73.7</v>
      </c>
      <c r="W288" s="2" t="n">
        <v>3.3</v>
      </c>
      <c r="X288" s="2" t="inlineStr">
        <is>
          <t>NA</t>
        </is>
      </c>
      <c r="Y288" s="2" t="inlineStr">
        <is>
          <t>NA</t>
        </is>
      </c>
      <c r="Z288" s="2" t="n">
        <v>51.5</v>
      </c>
      <c r="AA288" s="2" t="inlineStr">
        <is>
          <t>NA</t>
        </is>
      </c>
      <c r="AB288" s="2" t="inlineStr">
        <is>
          <t>NA</t>
        </is>
      </c>
      <c r="AC288" s="2" t="inlineStr">
        <is>
          <t>NA</t>
        </is>
      </c>
      <c r="AD288" s="2" t="n">
        <v>47.3</v>
      </c>
      <c r="AF288" s="2" t="n">
        <v>51.2</v>
      </c>
      <c r="AG288" s="2" t="n">
        <v>30.7</v>
      </c>
      <c r="AH288" s="2" t="n">
        <v>20.5</v>
      </c>
      <c r="AI288" s="2" t="n">
        <v>216.5</v>
      </c>
      <c r="AL288" s="2" t="n">
        <v>98.40000000000001</v>
      </c>
      <c r="AM288" s="2" t="n">
        <v>55.7</v>
      </c>
      <c r="AN288" s="2" t="n">
        <v>42.7</v>
      </c>
      <c r="AO288" s="2" t="n">
        <v>2851</v>
      </c>
      <c r="AP288" s="2" t="n">
        <v>196</v>
      </c>
      <c r="AQ288" s="2" t="n">
        <v>213.4</v>
      </c>
      <c r="AR288" s="2" t="n">
        <v>32.3</v>
      </c>
      <c r="AS288" s="2" t="n">
        <v>63</v>
      </c>
      <c r="AT288" s="2" t="n">
        <v>51.7</v>
      </c>
      <c r="AU288" s="2" t="n">
        <v>40.6</v>
      </c>
      <c r="AV288" s="2" t="n">
        <v>21.5</v>
      </c>
      <c r="AW288" s="2" t="n">
        <v>14.5</v>
      </c>
      <c r="AX288" s="2" t="n">
        <v>3.6</v>
      </c>
      <c r="AY288" s="2" t="inlineStr">
        <is>
          <t>NA</t>
        </is>
      </c>
      <c r="AZ288" s="2" t="inlineStr">
        <is>
          <t>NA</t>
        </is>
      </c>
      <c r="BA288" s="2" t="inlineStr">
        <is>
          <t>NA</t>
        </is>
      </c>
      <c r="BB288" s="2" t="inlineStr">
        <is>
          <t>NA</t>
        </is>
      </c>
      <c r="BD288" s="2" t="n">
        <v>186.7</v>
      </c>
      <c r="BE288" s="2" t="n">
        <v>35</v>
      </c>
      <c r="BF288" s="2" t="n">
        <v>68.2</v>
      </c>
      <c r="BG288" s="2" t="n">
        <v>8.1</v>
      </c>
      <c r="BH288" s="2" t="n">
        <v>337.8</v>
      </c>
      <c r="BI288" s="2" t="n">
        <v>112.4</v>
      </c>
      <c r="BJ288" s="2" t="n">
        <v>108.8</v>
      </c>
      <c r="BK288" s="2" t="n">
        <v>221.2</v>
      </c>
      <c r="BL288" s="2" t="n">
        <v>0</v>
      </c>
      <c r="BM288" s="2" t="n">
        <v>559</v>
      </c>
      <c r="BN288" s="2" t="n">
        <v>218.287</v>
      </c>
      <c r="BO288" s="2" t="n">
        <v>62.9</v>
      </c>
      <c r="BP288" s="2" t="n">
        <v>36.8</v>
      </c>
      <c r="BQ288" s="2" t="n">
        <v>99.69999999999999</v>
      </c>
      <c r="BR288" s="2" t="n">
        <v>0</v>
      </c>
      <c r="BS288" s="2" t="n">
        <v>317.987</v>
      </c>
      <c r="BT288" s="2" t="n">
        <v>21.7</v>
      </c>
      <c r="BU288" s="2" t="n">
        <v>9.699999999999999</v>
      </c>
      <c r="BV288" s="2" t="inlineStr">
        <is>
          <t>NA</t>
        </is>
      </c>
      <c r="BW288" s="2" t="inlineStr">
        <is>
          <t>NA</t>
        </is>
      </c>
      <c r="BX288" s="2" t="n">
        <v>402.4</v>
      </c>
      <c r="BY288" s="2" t="inlineStr">
        <is>
          <t>NA</t>
        </is>
      </c>
      <c r="BZ288" s="2" t="inlineStr">
        <is>
          <t>NA</t>
        </is>
      </c>
      <c r="CA288" s="2" t="n">
        <v>41.4</v>
      </c>
      <c r="CB288" s="2" t="n">
        <v>79.2</v>
      </c>
      <c r="CC288" s="2" t="inlineStr">
        <is>
          <t>NA</t>
        </is>
      </c>
      <c r="CD288" s="2" t="n">
        <v>81.7</v>
      </c>
      <c r="CE288" s="2" t="n">
        <v>8.699999999999999</v>
      </c>
      <c r="CF288" s="2" t="n">
        <v>109.2</v>
      </c>
      <c r="CG288" s="2" t="n">
        <v>199.3</v>
      </c>
      <c r="CH288" s="2" t="n">
        <v>13.5</v>
      </c>
      <c r="CK288" s="2" t="n">
        <v>197.6</v>
      </c>
      <c r="CL288" s="2" t="n">
        <v>21.9</v>
      </c>
      <c r="CN288" s="2" t="n">
        <v>39.4</v>
      </c>
      <c r="CO288" s="2" t="n">
        <v>198.2</v>
      </c>
      <c r="CP288" s="2" t="n">
        <v>134.9</v>
      </c>
      <c r="CQ288" s="2" t="n">
        <v>63.3</v>
      </c>
      <c r="CR288" s="2" t="inlineStr">
        <is>
          <t>NA</t>
        </is>
      </c>
      <c r="CS288" s="2" t="n">
        <v>27.1</v>
      </c>
      <c r="CV288" s="2" t="n">
        <v>43.4</v>
      </c>
      <c r="CW288" s="2" t="inlineStr">
        <is>
          <t>NA</t>
        </is>
      </c>
      <c r="CX288" s="2" t="inlineStr">
        <is>
          <t>NA</t>
        </is>
      </c>
      <c r="CY288" s="2" t="inlineStr">
        <is>
          <t>NA</t>
        </is>
      </c>
      <c r="CZ288" s="2" t="n">
        <v>52.4</v>
      </c>
      <c r="DA288" s="2" t="n">
        <v>11.5</v>
      </c>
      <c r="DB288" s="2" t="inlineStr">
        <is>
          <t>NA</t>
        </is>
      </c>
      <c r="DC288" s="2" t="inlineStr">
        <is>
          <t>NA</t>
        </is>
      </c>
      <c r="DI288" s="2" t="n">
        <v>562.4</v>
      </c>
      <c r="DJ288" s="2" t="n">
        <v>334.6</v>
      </c>
      <c r="DM288" s="2" t="n">
        <v>272.9</v>
      </c>
      <c r="DO288" s="2" t="n">
        <v>220.6</v>
      </c>
      <c r="DP288" s="2" t="n">
        <v>226.7</v>
      </c>
      <c r="DS288" s="2" t="n">
        <v>2144.725</v>
      </c>
      <c r="DT288" s="2" t="n">
        <v>3877.9</v>
      </c>
      <c r="DU288" s="2" t="n">
        <v>-115.9749999999999</v>
      </c>
      <c r="DV288" s="2" t="n">
        <v>0</v>
      </c>
      <c r="EA288" s="2" t="n">
        <v>271.6</v>
      </c>
      <c r="EB288" s="2" t="n">
        <v>149.6</v>
      </c>
      <c r="EE288" s="2" t="e">
        <v>#VALUE!</v>
      </c>
      <c r="EG288" s="2" t="n">
        <v>80.09999999999999</v>
      </c>
      <c r="EH288" s="2" t="n">
        <v>181.3</v>
      </c>
      <c r="EL288" s="2" t="n">
        <v>1667.7</v>
      </c>
      <c r="EQ288" s="2" t="n">
        <v>217</v>
      </c>
      <c r="ER288" s="2" t="n">
        <v>124.5</v>
      </c>
      <c r="EU288" s="2" t="n">
        <v>107.6</v>
      </c>
      <c r="EW288" s="2" t="n">
        <v>87.09999999999999</v>
      </c>
      <c r="EX288" s="2" t="n">
        <v>87.3</v>
      </c>
      <c r="FB288" s="2" t="n">
        <v>1482.4</v>
      </c>
      <c r="FG288" s="2" t="n">
        <v>450</v>
      </c>
      <c r="FH288" s="2" t="n">
        <v>263.7</v>
      </c>
      <c r="FK288" s="2" t="n">
        <v>215.3</v>
      </c>
      <c r="FM288" s="2" t="n">
        <v>178.6</v>
      </c>
      <c r="FN288" s="2" t="n">
        <v>182</v>
      </c>
      <c r="FR288" s="2" t="n">
        <v>3073.6</v>
      </c>
      <c r="FW288" s="2" t="n">
        <v>263.5</v>
      </c>
      <c r="FX288" s="2" t="e">
        <v>#VALUE!</v>
      </c>
      <c r="GA288" s="2" t="n">
        <v>29.6</v>
      </c>
      <c r="GC288" s="2" t="n">
        <v>56.3</v>
      </c>
      <c r="GD288" s="2" t="e">
        <v>#VALUE!</v>
      </c>
      <c r="GH288" s="2" t="n">
        <v>1063.8</v>
      </c>
      <c r="GM288" s="2" t="n">
        <v>25.8</v>
      </c>
      <c r="GN288" s="2" t="n">
        <v>33.5</v>
      </c>
      <c r="GQ288" s="2" t="n">
        <v>15.8</v>
      </c>
      <c r="GS288" s="2" t="n">
        <v>5.1</v>
      </c>
      <c r="GT288" s="2" t="e">
        <v>#VALUE!</v>
      </c>
      <c r="GX288" s="2" t="n">
        <v>228.4</v>
      </c>
      <c r="GY288" s="2" t="n">
        <v>0.9727080820265379</v>
      </c>
      <c r="GZ288" s="2" t="n">
        <v>1290.2</v>
      </c>
      <c r="HA288" s="2" t="n">
        <v>1326.4</v>
      </c>
      <c r="HB288" s="2" t="n">
        <v>-123.9618671438004</v>
      </c>
      <c r="HD288" s="2" t="n">
        <v>1385.638132856199</v>
      </c>
      <c r="HF288" s="2" t="n">
        <v>1509.6</v>
      </c>
      <c r="HG288" s="2" t="n">
        <v>1459.2</v>
      </c>
      <c r="HH288" s="2" t="n">
        <v>684.9</v>
      </c>
      <c r="HI288" s="2" t="n">
        <v>87.90000000000001</v>
      </c>
      <c r="HJ288" s="2" t="n">
        <v>676.1</v>
      </c>
      <c r="HK288" s="2" t="n">
        <v>10.3</v>
      </c>
      <c r="HL288" s="2" t="n">
        <v>50.5</v>
      </c>
      <c r="HP288" s="2" t="e">
        <v>#VALUE!</v>
      </c>
      <c r="HQ288" s="2" t="n">
        <v>6.7</v>
      </c>
      <c r="HR288" s="2" t="n">
        <v>7.8</v>
      </c>
      <c r="HS288" s="2" t="e">
        <v>#VALUE!</v>
      </c>
      <c r="HT288" s="2" t="n">
        <v>28.4</v>
      </c>
      <c r="HW288" s="2" t="n">
        <v>255.2</v>
      </c>
      <c r="HX288" s="2" t="e">
        <v>#VALUE!</v>
      </c>
      <c r="HY288" s="2" t="n">
        <v>255.2</v>
      </c>
      <c r="HZ288" s="2" t="n">
        <v>47.5</v>
      </c>
      <c r="IA288" s="2" t="n">
        <v>187.7</v>
      </c>
      <c r="IB288" s="2" t="n">
        <v>83</v>
      </c>
      <c r="IC288" s="2" t="n">
        <v>60.5</v>
      </c>
      <c r="ID288" s="2" t="e">
        <v>#VALUE!</v>
      </c>
      <c r="IE288" s="2" t="n">
        <v>60.5</v>
      </c>
      <c r="IF288" s="2" t="e">
        <v>#VALUE!</v>
      </c>
      <c r="IG288" s="2" t="e">
        <v>#VALUE!</v>
      </c>
      <c r="IL288" s="2" t="n">
        <v>20</v>
      </c>
      <c r="IN288" s="2" t="n">
        <v>31.7</v>
      </c>
      <c r="IO288" s="2" t="n">
        <v>31.9</v>
      </c>
      <c r="IP288" s="2" t="e">
        <v>#VALUE!</v>
      </c>
      <c r="IQ288" s="2" t="n">
        <v>36.6</v>
      </c>
      <c r="IR288" s="2" t="n">
        <v>12.2</v>
      </c>
      <c r="IS288" s="2" t="e">
        <v>#VALUE!</v>
      </c>
      <c r="IT288" s="2" t="n">
        <v>22.7</v>
      </c>
      <c r="IU288" s="2" t="e">
        <v>#VALUE!</v>
      </c>
      <c r="IV288" s="2" t="e">
        <v>#VALUE!</v>
      </c>
      <c r="IY288" s="2" t="n">
        <v>47.41329069857397</v>
      </c>
      <c r="IZ288" s="2" t="n">
        <v>0.1332906985739655</v>
      </c>
      <c r="JB288" s="2" t="n">
        <v>11.4680626112071</v>
      </c>
      <c r="JC288" s="2" t="n">
        <v>-0.08193738879290535</v>
      </c>
      <c r="JE288" s="2" t="n">
        <v>1795.6</v>
      </c>
      <c r="JF288" s="2" t="n">
        <v>0.716649587881488</v>
      </c>
    </row>
    <row r="289">
      <c r="A289" s="1" t="n">
        <v>37834</v>
      </c>
      <c r="B289" s="2" t="n">
        <v>3752.8</v>
      </c>
      <c r="C289" s="2" t="n">
        <v>1059.7</v>
      </c>
      <c r="D289" s="2" t="n">
        <v>141</v>
      </c>
      <c r="E289" s="2" t="n">
        <v>306</v>
      </c>
      <c r="F289" s="2" t="n">
        <v>19.9</v>
      </c>
      <c r="G289" s="2" t="inlineStr">
        <is>
          <t>NA</t>
        </is>
      </c>
      <c r="H289" s="2" t="inlineStr">
        <is>
          <t>NA</t>
        </is>
      </c>
      <c r="I289" s="2" t="inlineStr">
        <is>
          <t>NA</t>
        </is>
      </c>
      <c r="J289" s="2" t="inlineStr">
        <is>
          <t>NA</t>
        </is>
      </c>
      <c r="K289" s="2" t="n">
        <v>1440.4</v>
      </c>
      <c r="L289" s="2" t="n">
        <v>1657.9</v>
      </c>
      <c r="M289" s="2" t="n">
        <v>1459.9</v>
      </c>
      <c r="N289" s="2" t="n">
        <v>198</v>
      </c>
      <c r="O289" s="2" t="n">
        <v>45</v>
      </c>
      <c r="P289" s="2" t="n">
        <v>50.7</v>
      </c>
      <c r="Q289" s="2" t="n">
        <v>5.8</v>
      </c>
      <c r="R289" s="2" t="n">
        <v>44.9</v>
      </c>
      <c r="T289" s="2" t="n">
        <v>17.3</v>
      </c>
      <c r="U289" s="2" t="n">
        <v>60.90000000000001</v>
      </c>
      <c r="V289" s="2" t="n">
        <v>54.7</v>
      </c>
      <c r="W289" s="2" t="n">
        <v>6.2</v>
      </c>
      <c r="X289" s="2" t="inlineStr">
        <is>
          <t>NA</t>
        </is>
      </c>
      <c r="Y289" s="2" t="inlineStr">
        <is>
          <t>NA</t>
        </is>
      </c>
      <c r="Z289" s="2" t="n">
        <v>39.4</v>
      </c>
      <c r="AA289" s="2" t="inlineStr">
        <is>
          <t>NA</t>
        </is>
      </c>
      <c r="AB289" s="2" t="inlineStr">
        <is>
          <t>NA</t>
        </is>
      </c>
      <c r="AC289" s="2" t="inlineStr">
        <is>
          <t>NA</t>
        </is>
      </c>
      <c r="AD289" s="2" t="n">
        <v>46.9</v>
      </c>
      <c r="AF289" s="2" t="n">
        <v>42.1</v>
      </c>
      <c r="AG289" s="2" t="n">
        <v>20.3</v>
      </c>
      <c r="AH289" s="2" t="n">
        <v>21.8</v>
      </c>
      <c r="AI289" s="2" t="n">
        <v>202.5</v>
      </c>
      <c r="AL289" s="2" t="n">
        <v>129.2</v>
      </c>
      <c r="AM289" s="2" t="n">
        <v>88.5</v>
      </c>
      <c r="AN289" s="2" t="n">
        <v>40.7</v>
      </c>
      <c r="AO289" s="2" t="n">
        <v>2759.6</v>
      </c>
      <c r="AP289" s="2" t="n">
        <v>229.5</v>
      </c>
      <c r="AQ289" s="2" t="n">
        <v>207</v>
      </c>
      <c r="AR289" s="2" t="n">
        <v>37.4</v>
      </c>
      <c r="AS289" s="2" t="n">
        <v>74.90000000000001</v>
      </c>
      <c r="AT289" s="2" t="n">
        <v>49.7</v>
      </c>
      <c r="AU289" s="2" t="n">
        <v>45.7</v>
      </c>
      <c r="AV289" s="2" t="n">
        <v>19.8</v>
      </c>
      <c r="AW289" s="2" t="n">
        <v>10.9</v>
      </c>
      <c r="AX289" s="2" t="inlineStr">
        <is>
          <t>NA</t>
        </is>
      </c>
      <c r="AY289" s="2" t="inlineStr">
        <is>
          <t>NA</t>
        </is>
      </c>
      <c r="AZ289" s="2" t="inlineStr">
        <is>
          <t>NA</t>
        </is>
      </c>
      <c r="BA289" s="2" t="inlineStr">
        <is>
          <t>NA</t>
        </is>
      </c>
      <c r="BB289" s="2" t="inlineStr">
        <is>
          <t>NA</t>
        </is>
      </c>
      <c r="BD289" s="2" t="n">
        <v>169.7</v>
      </c>
      <c r="BE289" s="2" t="n">
        <v>27.7</v>
      </c>
      <c r="BF289" s="2" t="n">
        <v>64.90000000000001</v>
      </c>
      <c r="BG289" s="2" t="n">
        <v>8.199999999999999</v>
      </c>
      <c r="BH289" s="2" t="n">
        <v>306.7</v>
      </c>
      <c r="BI289" s="2" t="n">
        <v>111.1</v>
      </c>
      <c r="BJ289" s="2" t="n">
        <v>106.8</v>
      </c>
      <c r="BK289" s="2" t="n">
        <v>217.9</v>
      </c>
      <c r="BL289" s="2" t="n">
        <v>0</v>
      </c>
      <c r="BM289" s="2" t="n">
        <v>524.5999999999999</v>
      </c>
      <c r="BN289" s="2" t="n">
        <v>197.022</v>
      </c>
      <c r="BO289" s="2" t="n">
        <v>62.7</v>
      </c>
      <c r="BP289" s="2" t="n">
        <v>23.8</v>
      </c>
      <c r="BQ289" s="2" t="n">
        <v>86.5</v>
      </c>
      <c r="BR289" s="2" t="n">
        <v>0</v>
      </c>
      <c r="BS289" s="2" t="n">
        <v>283.522</v>
      </c>
      <c r="BT289" s="2" t="n">
        <v>18.6</v>
      </c>
      <c r="BU289" s="2" t="n">
        <v>8.4</v>
      </c>
      <c r="BV289" s="2" t="inlineStr">
        <is>
          <t>NA</t>
        </is>
      </c>
      <c r="BW289" s="2" t="inlineStr">
        <is>
          <t>NA</t>
        </is>
      </c>
      <c r="BX289" s="2" t="n">
        <v>378.4</v>
      </c>
      <c r="BY289" s="2" t="inlineStr">
        <is>
          <t>NA</t>
        </is>
      </c>
      <c r="BZ289" s="2" t="inlineStr">
        <is>
          <t>NA</t>
        </is>
      </c>
      <c r="CA289" s="2" t="n">
        <v>46.1</v>
      </c>
      <c r="CB289" s="2" t="n">
        <v>75.2</v>
      </c>
      <c r="CC289" s="2" t="inlineStr">
        <is>
          <t>NA</t>
        </is>
      </c>
      <c r="CD289" s="2" t="n">
        <v>79.2</v>
      </c>
      <c r="CE289" s="2" t="n">
        <v>11</v>
      </c>
      <c r="CF289" s="2" t="n">
        <v>100.5</v>
      </c>
      <c r="CG289" s="2" t="n">
        <v>209.7</v>
      </c>
      <c r="CH289" s="2" t="n">
        <v>13.865</v>
      </c>
      <c r="CK289" s="2" t="n">
        <v>182.2</v>
      </c>
      <c r="CL289" s="2" t="n">
        <v>17.7</v>
      </c>
      <c r="CN289" s="2" t="n">
        <v>51.7</v>
      </c>
      <c r="CO289" s="2" t="n">
        <v>191.9</v>
      </c>
      <c r="CP289" s="2" t="n">
        <v>126.1</v>
      </c>
      <c r="CQ289" s="2" t="n">
        <v>65.8</v>
      </c>
      <c r="CR289" s="2" t="inlineStr">
        <is>
          <t>NA</t>
        </is>
      </c>
      <c r="CS289" s="2" t="n">
        <v>21.4</v>
      </c>
      <c r="CV289" s="2" t="n">
        <v>49.8</v>
      </c>
      <c r="CW289" s="2" t="inlineStr">
        <is>
          <t>NA</t>
        </is>
      </c>
      <c r="CX289" s="2" t="inlineStr">
        <is>
          <t>NA</t>
        </is>
      </c>
      <c r="CY289" s="2" t="inlineStr">
        <is>
          <t>NA</t>
        </is>
      </c>
      <c r="CZ289" s="2" t="n">
        <v>43.2</v>
      </c>
      <c r="DA289" s="2" t="n">
        <v>8.699999999999999</v>
      </c>
      <c r="DB289" s="2" t="inlineStr">
        <is>
          <t>NA</t>
        </is>
      </c>
      <c r="DC289" s="2" t="inlineStr">
        <is>
          <t>NA</t>
        </is>
      </c>
      <c r="DI289" s="2" t="n">
        <v>582.4</v>
      </c>
      <c r="DJ289" s="2" t="n">
        <v>311.7</v>
      </c>
      <c r="DM289" s="2" t="n">
        <v>281.5</v>
      </c>
      <c r="DO289" s="2" t="n">
        <v>159.4</v>
      </c>
      <c r="DP289" s="2" t="n">
        <v>257.4</v>
      </c>
      <c r="DS289" s="2" t="n">
        <v>2006.216</v>
      </c>
      <c r="DT289" s="2" t="n">
        <v>3752.8</v>
      </c>
      <c r="DU289" s="2" t="n">
        <v>-154.1840000000002</v>
      </c>
      <c r="DV289" s="2" t="n">
        <v>0</v>
      </c>
      <c r="EA289" s="2" t="n">
        <v>136.5</v>
      </c>
      <c r="EB289" s="2" t="n">
        <v>99.2</v>
      </c>
      <c r="EE289" s="2" t="e">
        <v>#VALUE!</v>
      </c>
      <c r="EG289" s="2" t="n">
        <v>47.8</v>
      </c>
      <c r="EH289" s="2" t="n">
        <v>99.09999999999999</v>
      </c>
      <c r="EL289" s="2" t="n">
        <v>1059.7</v>
      </c>
      <c r="EQ289" s="2" t="n">
        <v>228.5</v>
      </c>
      <c r="ER289" s="2" t="n">
        <v>118.9</v>
      </c>
      <c r="EU289" s="2" t="n">
        <v>108.5</v>
      </c>
      <c r="EW289" s="2" t="n">
        <v>61.2</v>
      </c>
      <c r="EX289" s="2" t="n">
        <v>98.59999999999999</v>
      </c>
      <c r="FB289" s="2" t="n">
        <v>1440.4</v>
      </c>
      <c r="FG289" s="2" t="n">
        <v>464</v>
      </c>
      <c r="FH289" s="2" t="n">
        <v>247.1</v>
      </c>
      <c r="FK289" s="2" t="n">
        <v>222.9</v>
      </c>
      <c r="FM289" s="2" t="n">
        <v>127.3</v>
      </c>
      <c r="FN289" s="2" t="n">
        <v>205.2</v>
      </c>
      <c r="FR289" s="2" t="n">
        <v>2975.3</v>
      </c>
      <c r="FW289" s="2" t="n">
        <v>265.5</v>
      </c>
      <c r="FX289" s="2" t="n">
        <v>143.1</v>
      </c>
      <c r="GA289" s="2" t="n">
        <v>39.1</v>
      </c>
      <c r="GC289" s="2" t="n">
        <v>44.2</v>
      </c>
      <c r="GD289" s="2" t="e">
        <v>#VALUE!</v>
      </c>
      <c r="GH289" s="2" t="n">
        <v>947.2</v>
      </c>
      <c r="GM289" s="2" t="n">
        <v>46.8</v>
      </c>
      <c r="GN289" s="2" t="n">
        <v>27.6</v>
      </c>
      <c r="GQ289" s="2" t="n">
        <v>32.4</v>
      </c>
      <c r="GS289" s="2" t="e">
        <v>#VALUE!</v>
      </c>
      <c r="GT289" s="2" t="e">
        <v>#VALUE!</v>
      </c>
      <c r="GX289" s="2" t="n">
        <v>266.9</v>
      </c>
      <c r="GY289" s="2" t="n">
        <v>0.972122031860535</v>
      </c>
      <c r="GZ289" s="2" t="n">
        <v>1293.7</v>
      </c>
      <c r="HA289" s="2" t="n">
        <v>1330.8</v>
      </c>
      <c r="HB289" s="2" t="n">
        <v>-23.61263849900001</v>
      </c>
      <c r="HD289" s="2" t="n">
        <v>1467.087361501</v>
      </c>
      <c r="HF289" s="2" t="n">
        <v>1490.7</v>
      </c>
      <c r="HG289" s="2" t="n">
        <v>1443.9</v>
      </c>
      <c r="HH289" s="2" t="n">
        <v>696.9</v>
      </c>
      <c r="HI289" s="2" t="n">
        <v>91.40000000000001</v>
      </c>
      <c r="HJ289" s="2" t="n">
        <v>645.4</v>
      </c>
      <c r="HK289" s="2" t="n">
        <v>10.1</v>
      </c>
      <c r="HL289" s="2" t="n">
        <v>46.8</v>
      </c>
      <c r="HP289" s="2" t="e">
        <v>#VALUE!</v>
      </c>
      <c r="HQ289" s="2" t="n">
        <v>6.6</v>
      </c>
      <c r="HR289" s="2" t="n">
        <v>8.300000000000001</v>
      </c>
      <c r="HS289" s="2" t="e">
        <v>#VALUE!</v>
      </c>
      <c r="HT289" s="2" t="n">
        <v>23.3</v>
      </c>
      <c r="HW289" s="2" t="n">
        <v>270</v>
      </c>
      <c r="HX289" s="2" t="e">
        <v>#VALUE!</v>
      </c>
      <c r="HY289" s="2" t="n">
        <v>270</v>
      </c>
      <c r="HZ289" s="2" t="n">
        <v>45.2</v>
      </c>
      <c r="IA289" s="2" t="n">
        <v>203</v>
      </c>
      <c r="IB289" s="2" t="n">
        <v>82.5</v>
      </c>
      <c r="IC289" s="2" t="n">
        <v>54.5</v>
      </c>
      <c r="ID289" s="2" t="e">
        <v>#VALUE!</v>
      </c>
      <c r="IE289" s="2" t="n">
        <v>54.5</v>
      </c>
      <c r="IF289" s="2" t="e">
        <v>#VALUE!</v>
      </c>
      <c r="IG289" s="2" t="e">
        <v>#VALUE!</v>
      </c>
      <c r="IL289" s="2" t="n">
        <v>21.80000000000001</v>
      </c>
      <c r="IN289" s="2" t="n">
        <v>38.5</v>
      </c>
      <c r="IO289" s="2" t="n">
        <v>38.7</v>
      </c>
      <c r="IP289" s="2" t="e">
        <v>#VALUE!</v>
      </c>
      <c r="IQ289" s="2" t="n">
        <v>38.6</v>
      </c>
      <c r="IR289" s="2" t="n">
        <v>14</v>
      </c>
      <c r="IS289" s="2" t="e">
        <v>#VALUE!</v>
      </c>
      <c r="IT289" s="2" t="n">
        <v>22.9</v>
      </c>
      <c r="IU289" s="2" t="e">
        <v>#VALUE!</v>
      </c>
      <c r="IV289" s="2" t="e">
        <v>#VALUE!</v>
      </c>
      <c r="IY289" s="2" t="n">
        <v>47.43018546152206</v>
      </c>
      <c r="IZ289" s="2" t="n">
        <v>0.2601854615220631</v>
      </c>
      <c r="JB289" s="2" t="n">
        <v>11.51460243018546</v>
      </c>
      <c r="JC289" s="2" t="n">
        <v>-0.05539756981453792</v>
      </c>
      <c r="JE289" s="2" t="n">
        <v>1657.9</v>
      </c>
      <c r="JF289" s="2" t="n">
        <v>0.7349050003015862</v>
      </c>
    </row>
    <row r="290">
      <c r="A290" s="1" t="n">
        <v>37865</v>
      </c>
      <c r="B290" s="2" t="n">
        <v>3829.1</v>
      </c>
      <c r="C290" s="2" t="n">
        <v>956.3</v>
      </c>
      <c r="D290" s="2" t="n">
        <v>100.1</v>
      </c>
      <c r="E290" s="2" t="n">
        <v>446</v>
      </c>
      <c r="F290" s="2" t="n">
        <v>29.7</v>
      </c>
      <c r="G290" s="2" t="inlineStr">
        <is>
          <t>NA</t>
        </is>
      </c>
      <c r="H290" s="2" t="inlineStr">
        <is>
          <t>NA</t>
        </is>
      </c>
      <c r="I290" s="2" t="inlineStr">
        <is>
          <t>NA</t>
        </is>
      </c>
      <c r="J290" s="2" t="inlineStr">
        <is>
          <t>NA</t>
        </is>
      </c>
      <c r="K290" s="2" t="n">
        <v>1445.2</v>
      </c>
      <c r="L290" s="2" t="n">
        <v>1488.7</v>
      </c>
      <c r="M290" s="2" t="n">
        <v>1282.4</v>
      </c>
      <c r="N290" s="2" t="n">
        <v>206.3</v>
      </c>
      <c r="O290" s="2" t="n">
        <v>41.1</v>
      </c>
      <c r="P290" s="2" t="n">
        <v>36.9</v>
      </c>
      <c r="Q290" s="2" t="n">
        <v>8.1</v>
      </c>
      <c r="R290" s="2" t="n">
        <v>28.8</v>
      </c>
      <c r="T290" s="2" t="n">
        <v>18.3</v>
      </c>
      <c r="U290" s="2" t="n">
        <v>52.4</v>
      </c>
      <c r="V290" s="2" t="n">
        <v>50.6</v>
      </c>
      <c r="W290" s="2" t="n">
        <v>1.8</v>
      </c>
      <c r="X290" s="2" t="inlineStr">
        <is>
          <t>NA</t>
        </is>
      </c>
      <c r="Y290" s="2" t="inlineStr">
        <is>
          <t>NA</t>
        </is>
      </c>
      <c r="Z290" s="2" t="n">
        <v>26.9</v>
      </c>
      <c r="AA290" s="2" t="inlineStr">
        <is>
          <t>NA</t>
        </is>
      </c>
      <c r="AB290" s="2" t="inlineStr">
        <is>
          <t>NA</t>
        </is>
      </c>
      <c r="AC290" s="2" t="inlineStr">
        <is>
          <t>NA</t>
        </is>
      </c>
      <c r="AD290" s="2" t="n">
        <v>29.3</v>
      </c>
      <c r="AF290" s="2" t="n">
        <v>68.40000000000001</v>
      </c>
      <c r="AG290" s="2" t="n">
        <v>51.1</v>
      </c>
      <c r="AH290" s="2" t="n">
        <v>17.3</v>
      </c>
      <c r="AI290" s="2" t="n">
        <v>203.2</v>
      </c>
      <c r="AL290" s="2" t="n">
        <v>119.4</v>
      </c>
      <c r="AM290" s="2" t="n">
        <v>81.5</v>
      </c>
      <c r="AN290" s="2" t="n">
        <v>37.9</v>
      </c>
      <c r="AO290" s="2" t="n">
        <v>2813.7</v>
      </c>
      <c r="AP290" s="2" t="n">
        <v>192.4</v>
      </c>
      <c r="AQ290" s="2" t="n">
        <v>209.9</v>
      </c>
      <c r="AR290" s="2" t="n">
        <v>27.6</v>
      </c>
      <c r="AS290" s="2" t="n">
        <v>60.9</v>
      </c>
      <c r="AT290" s="2" t="n">
        <v>35.4</v>
      </c>
      <c r="AU290" s="2" t="n">
        <v>37.2</v>
      </c>
      <c r="AV290" s="2" t="n">
        <v>9.5</v>
      </c>
      <c r="AW290" s="2" t="n">
        <v>11.7</v>
      </c>
      <c r="AX290" s="2" t="inlineStr">
        <is>
          <t>NA</t>
        </is>
      </c>
      <c r="AY290" s="2" t="inlineStr">
        <is>
          <t>NA</t>
        </is>
      </c>
      <c r="AZ290" s="2" t="inlineStr">
        <is>
          <t>NA</t>
        </is>
      </c>
      <c r="BA290" s="2" t="inlineStr">
        <is>
          <t>NA</t>
        </is>
      </c>
      <c r="BB290" s="2" t="inlineStr">
        <is>
          <t>NA</t>
        </is>
      </c>
      <c r="BD290" s="2" t="n">
        <v>167.5</v>
      </c>
      <c r="BE290" s="2" t="n">
        <v>26</v>
      </c>
      <c r="BF290" s="2" t="n">
        <v>63.1</v>
      </c>
      <c r="BG290" s="2" t="n">
        <v>8.5</v>
      </c>
      <c r="BH290" s="2" t="n">
        <v>322.7</v>
      </c>
      <c r="BI290" s="2" t="n">
        <v>112.8</v>
      </c>
      <c r="BJ290" s="2" t="n">
        <v>101.5</v>
      </c>
      <c r="BK290" s="2" t="n">
        <v>214.3</v>
      </c>
      <c r="BL290" s="2" t="n">
        <v>0</v>
      </c>
      <c r="BM290" s="2" t="n">
        <v>537</v>
      </c>
      <c r="BN290" s="2" t="n">
        <v>181.666</v>
      </c>
      <c r="BO290" s="2" t="n">
        <v>42.9</v>
      </c>
      <c r="BP290" s="2" t="n">
        <v>39.2</v>
      </c>
      <c r="BQ290" s="2" t="n">
        <v>82.09999999999999</v>
      </c>
      <c r="BR290" s="2" t="n">
        <v>0</v>
      </c>
      <c r="BS290" s="2" t="n">
        <v>263.766</v>
      </c>
      <c r="BT290" s="2" t="n">
        <v>19</v>
      </c>
      <c r="BU290" s="2" t="n">
        <v>9.300000000000001</v>
      </c>
      <c r="BV290" s="2" t="inlineStr">
        <is>
          <t>NA</t>
        </is>
      </c>
      <c r="BW290" s="2" t="inlineStr">
        <is>
          <t>NA</t>
        </is>
      </c>
      <c r="BX290" s="2" t="n">
        <v>379.3</v>
      </c>
      <c r="BY290" s="2" t="inlineStr">
        <is>
          <t>NA</t>
        </is>
      </c>
      <c r="BZ290" s="2" t="inlineStr">
        <is>
          <t>NA</t>
        </is>
      </c>
      <c r="CA290" s="2" t="n">
        <v>46.1</v>
      </c>
      <c r="CB290" s="2" t="n">
        <v>77.09999999999999</v>
      </c>
      <c r="CC290" s="2" t="inlineStr">
        <is>
          <t>NA</t>
        </is>
      </c>
      <c r="CD290" s="2" t="n">
        <v>81.40000000000001</v>
      </c>
      <c r="CE290" s="2" t="n">
        <v>11.6</v>
      </c>
      <c r="CF290" s="2" t="n">
        <v>96.59999999999999</v>
      </c>
      <c r="CG290" s="2" t="n">
        <v>210.8</v>
      </c>
      <c r="CH290" s="2" t="n">
        <v>13.117</v>
      </c>
      <c r="CK290" s="2" t="n">
        <v>183.2</v>
      </c>
      <c r="CL290" s="2" t="n">
        <v>16.9</v>
      </c>
      <c r="CN290" s="2" t="n">
        <v>34.2</v>
      </c>
      <c r="CO290" s="2" t="n">
        <v>216.3</v>
      </c>
      <c r="CP290" s="2" t="n">
        <v>154.6</v>
      </c>
      <c r="CQ290" s="2" t="n">
        <v>61.7</v>
      </c>
      <c r="CR290" s="2" t="inlineStr">
        <is>
          <t>NA</t>
        </is>
      </c>
      <c r="CS290" s="2" t="n">
        <v>33.4</v>
      </c>
      <c r="CV290" s="2" t="n">
        <v>48.7</v>
      </c>
      <c r="CW290" s="2" t="inlineStr">
        <is>
          <t>NA</t>
        </is>
      </c>
      <c r="CX290" s="2" t="inlineStr">
        <is>
          <t>NA</t>
        </is>
      </c>
      <c r="CY290" s="2" t="inlineStr">
        <is>
          <t>NA</t>
        </is>
      </c>
      <c r="CZ290" s="2" t="n">
        <v>59.5</v>
      </c>
      <c r="DA290" s="2" t="n">
        <v>10.3</v>
      </c>
      <c r="DB290" s="2" t="inlineStr">
        <is>
          <t>NA</t>
        </is>
      </c>
      <c r="DC290" s="2" t="inlineStr">
        <is>
          <t>NA</t>
        </is>
      </c>
      <c r="DI290" s="2" t="n">
        <v>553.2</v>
      </c>
      <c r="DJ290" s="2" t="n">
        <v>369.5</v>
      </c>
      <c r="DM290" s="2" t="n">
        <v>268.7</v>
      </c>
      <c r="DO290" s="2" t="n">
        <v>155.1</v>
      </c>
      <c r="DP290" s="2" t="n">
        <v>241.4</v>
      </c>
      <c r="DS290" s="2" t="n">
        <v>2088.815</v>
      </c>
      <c r="DT290" s="2" t="n">
        <v>3829.1</v>
      </c>
      <c r="DU290" s="2" t="n">
        <v>-152.3849999999998</v>
      </c>
      <c r="DV290" s="2" t="n">
        <v>0</v>
      </c>
      <c r="EA290" s="2" t="n">
        <v>159.5</v>
      </c>
      <c r="EB290" s="2" t="n">
        <v>49</v>
      </c>
      <c r="EE290" s="2" t="e">
        <v>#VALUE!</v>
      </c>
      <c r="EG290" s="2" t="n">
        <v>27.4</v>
      </c>
      <c r="EH290" s="2" t="n">
        <v>54.1</v>
      </c>
      <c r="EL290" s="2" t="n">
        <v>956.3</v>
      </c>
      <c r="EQ290" s="2" t="n">
        <v>210.9</v>
      </c>
      <c r="ER290" s="2" t="n">
        <v>134.8</v>
      </c>
      <c r="EU290" s="2" t="n">
        <v>102.7</v>
      </c>
      <c r="EW290" s="2" t="n">
        <v>59.5</v>
      </c>
      <c r="EX290" s="2" t="n">
        <v>88.09999999999999</v>
      </c>
      <c r="FB290" s="2" t="n">
        <v>1445.2</v>
      </c>
      <c r="FG290" s="2" t="n">
        <v>438.8</v>
      </c>
      <c r="FH290" s="2" t="n">
        <v>291.9</v>
      </c>
      <c r="FK290" s="2" t="n">
        <v>213.6</v>
      </c>
      <c r="FM290" s="2" t="n">
        <v>124.2</v>
      </c>
      <c r="FN290" s="2" t="n">
        <v>194.1</v>
      </c>
      <c r="FR290" s="2" t="n">
        <v>3032.1</v>
      </c>
      <c r="FW290" s="2" t="n">
        <v>211.6</v>
      </c>
      <c r="FX290" s="2" t="n">
        <v>106.5</v>
      </c>
      <c r="GA290" s="2" t="n">
        <v>28</v>
      </c>
      <c r="GC290" s="2" t="n">
        <v>47.8</v>
      </c>
      <c r="GD290" s="2" t="e">
        <v>#VALUE!</v>
      </c>
      <c r="GH290" s="2" t="n">
        <v>796.4</v>
      </c>
      <c r="GM290" s="2" t="n">
        <v>37.6</v>
      </c>
      <c r="GN290" s="2" t="n">
        <v>20.7</v>
      </c>
      <c r="GQ290" s="2" t="n">
        <v>21.1</v>
      </c>
      <c r="GS290" s="2" t="n">
        <v>4.1</v>
      </c>
      <c r="GT290" s="2" t="e">
        <v>#VALUE!</v>
      </c>
      <c r="GX290" s="2" t="n">
        <v>219.9</v>
      </c>
      <c r="GY290" s="2" t="n">
        <v>0.9756627553237723</v>
      </c>
      <c r="GZ290" s="2" t="n">
        <v>1347</v>
      </c>
      <c r="HA290" s="2" t="n">
        <v>1380.6</v>
      </c>
      <c r="HB290" s="2" t="n">
        <v>-65.56429826319959</v>
      </c>
      <c r="HD290" s="2" t="n">
        <v>1512.335701736801</v>
      </c>
      <c r="HF290" s="2" t="n">
        <v>1577.9</v>
      </c>
      <c r="HG290" s="2" t="n">
        <v>1525.7</v>
      </c>
      <c r="HH290" s="2" t="n">
        <v>752.8</v>
      </c>
      <c r="HI290" s="2" t="n">
        <v>98.59999999999999</v>
      </c>
      <c r="HJ290" s="2" t="n">
        <v>664.6</v>
      </c>
      <c r="HK290" s="2" t="n">
        <v>9.699999999999999</v>
      </c>
      <c r="HL290" s="2" t="n">
        <v>52.3</v>
      </c>
      <c r="HP290" s="2" t="e">
        <v>#VALUE!</v>
      </c>
      <c r="HQ290" s="2" t="n">
        <v>6.4</v>
      </c>
      <c r="HR290" s="2" t="n">
        <v>9</v>
      </c>
      <c r="HS290" s="2" t="e">
        <v>#VALUE!</v>
      </c>
      <c r="HT290" s="2" t="n">
        <v>29.9</v>
      </c>
      <c r="HW290" s="2" t="n">
        <v>274.3</v>
      </c>
      <c r="HX290" s="2" t="e">
        <v>#VALUE!</v>
      </c>
      <c r="HY290" s="2" t="n">
        <v>274.3</v>
      </c>
      <c r="HZ290" s="2" t="n">
        <v>45.8</v>
      </c>
      <c r="IA290" s="2" t="n">
        <v>208.8</v>
      </c>
      <c r="IB290" s="2" t="n">
        <v>84.2</v>
      </c>
      <c r="IC290" s="2" t="n">
        <v>56.5</v>
      </c>
      <c r="ID290" s="2" t="e">
        <v>#VALUE!</v>
      </c>
      <c r="IE290" s="2" t="n">
        <v>56.5</v>
      </c>
      <c r="IF290" s="2" t="e">
        <v>#VALUE!</v>
      </c>
      <c r="IG290" s="2" t="e">
        <v>#VALUE!</v>
      </c>
      <c r="IL290" s="2" t="n">
        <v>19.69999999999999</v>
      </c>
      <c r="IN290" s="2" t="n">
        <v>34.6</v>
      </c>
      <c r="IO290" s="2" t="n">
        <v>34.9</v>
      </c>
      <c r="IP290" s="2" t="e">
        <v>#VALUE!</v>
      </c>
      <c r="IQ290" s="2" t="n">
        <v>40.3</v>
      </c>
      <c r="IR290" s="2" t="n">
        <v>13.5</v>
      </c>
      <c r="IS290" s="2" t="n">
        <v>0.8</v>
      </c>
      <c r="IT290" s="2" t="n">
        <v>25.1</v>
      </c>
      <c r="IU290" s="2" t="e">
        <v>#VALUE!</v>
      </c>
      <c r="IV290" s="2" t="e">
        <v>#VALUE!</v>
      </c>
      <c r="IY290" s="2" t="n">
        <v>47.3782350944086</v>
      </c>
      <c r="IZ290" s="2" t="n">
        <v>0.2982350944086036</v>
      </c>
      <c r="JB290" s="2" t="n">
        <v>11.32276514063357</v>
      </c>
      <c r="JC290" s="2" t="n">
        <v>-0.07723485936643115</v>
      </c>
      <c r="JE290" s="2" t="n">
        <v>1488.7</v>
      </c>
      <c r="JF290" s="2" t="n">
        <v>0.7255592127359441</v>
      </c>
    </row>
    <row r="291">
      <c r="A291" s="1" t="n">
        <v>37895</v>
      </c>
      <c r="B291" s="2" t="n">
        <v>4384.6</v>
      </c>
      <c r="C291" s="2" t="n">
        <v>3896.1</v>
      </c>
      <c r="D291" s="2" t="n">
        <v>251.6</v>
      </c>
      <c r="E291" s="2" t="n">
        <v>896.5</v>
      </c>
      <c r="F291" s="2" t="n">
        <v>37.5</v>
      </c>
      <c r="G291" s="2" t="inlineStr">
        <is>
          <t>NA</t>
        </is>
      </c>
      <c r="H291" s="2" t="inlineStr">
        <is>
          <t>NA</t>
        </is>
      </c>
      <c r="I291" s="2" t="inlineStr">
        <is>
          <t>NA</t>
        </is>
      </c>
      <c r="J291" s="2" t="inlineStr">
        <is>
          <t>NA</t>
        </is>
      </c>
      <c r="K291" s="2" t="n">
        <v>1630.8</v>
      </c>
      <c r="L291" s="2" t="n">
        <v>1411.8</v>
      </c>
      <c r="M291" s="2" t="n">
        <v>1236.8</v>
      </c>
      <c r="N291" s="2" t="n">
        <v>175</v>
      </c>
      <c r="O291" s="2" t="n">
        <v>77.5</v>
      </c>
      <c r="P291" s="2" t="n">
        <v>50.9</v>
      </c>
      <c r="Q291" s="2" t="n">
        <v>6</v>
      </c>
      <c r="R291" s="2" t="n">
        <v>44.9</v>
      </c>
      <c r="T291" s="2" t="n">
        <v>24.1</v>
      </c>
      <c r="U291" s="2" t="n">
        <v>34.9</v>
      </c>
      <c r="V291" s="2" t="n">
        <v>32.4</v>
      </c>
      <c r="W291" s="2" t="n">
        <v>2.5</v>
      </c>
      <c r="X291" s="2" t="inlineStr">
        <is>
          <t>NA</t>
        </is>
      </c>
      <c r="Y291" s="2" t="inlineStr">
        <is>
          <t>NA</t>
        </is>
      </c>
      <c r="Z291" s="2" t="n">
        <v>47.7</v>
      </c>
      <c r="AA291" s="2" t="inlineStr">
        <is>
          <t>NA</t>
        </is>
      </c>
      <c r="AB291" s="2" t="inlineStr">
        <is>
          <t>NA</t>
        </is>
      </c>
      <c r="AC291" s="2" t="inlineStr">
        <is>
          <t>NA</t>
        </is>
      </c>
      <c r="AD291" s="2" t="n">
        <v>55</v>
      </c>
      <c r="AF291" s="2" t="n">
        <v>61</v>
      </c>
      <c r="AG291" s="2" t="n">
        <v>46.3</v>
      </c>
      <c r="AH291" s="2" t="n">
        <v>14.7</v>
      </c>
      <c r="AI291" s="2" t="n">
        <v>209.1</v>
      </c>
      <c r="AL291" s="2" t="n">
        <v>127.3</v>
      </c>
      <c r="AM291" s="2" t="n">
        <v>84.7</v>
      </c>
      <c r="AN291" s="2" t="n">
        <v>42.6</v>
      </c>
      <c r="AO291" s="2" t="n">
        <v>3232.8</v>
      </c>
      <c r="AP291" s="2" t="n">
        <v>284.7</v>
      </c>
      <c r="AQ291" s="2" t="n">
        <v>229.3</v>
      </c>
      <c r="AR291" s="2" t="n">
        <v>33.2</v>
      </c>
      <c r="AS291" s="2" t="n">
        <v>112.3</v>
      </c>
      <c r="AT291" s="2" t="n">
        <v>39.5</v>
      </c>
      <c r="AU291" s="2" t="n">
        <v>70.5</v>
      </c>
      <c r="AV291" s="2" t="n">
        <v>12.2</v>
      </c>
      <c r="AW291" s="2" t="n">
        <v>16.5</v>
      </c>
      <c r="AX291" s="2" t="n">
        <v>6</v>
      </c>
      <c r="AY291" s="2" t="inlineStr">
        <is>
          <t>NA</t>
        </is>
      </c>
      <c r="AZ291" s="2" t="inlineStr">
        <is>
          <t>NA</t>
        </is>
      </c>
      <c r="BA291" s="2" t="inlineStr">
        <is>
          <t>NA</t>
        </is>
      </c>
      <c r="BB291" s="2" t="inlineStr">
        <is>
          <t>NA</t>
        </is>
      </c>
      <c r="BD291" s="2" t="n">
        <v>154.9</v>
      </c>
      <c r="BE291" s="2" t="n">
        <v>20.5</v>
      </c>
      <c r="BF291" s="2" t="n">
        <v>70</v>
      </c>
      <c r="BG291" s="2" t="n">
        <v>9.9</v>
      </c>
      <c r="BH291" s="2" t="n">
        <v>324.5</v>
      </c>
      <c r="BI291" s="2" t="n">
        <v>113.7</v>
      </c>
      <c r="BJ291" s="2" t="n">
        <v>106.8</v>
      </c>
      <c r="BK291" s="2" t="n">
        <v>220.5</v>
      </c>
      <c r="BL291" s="2" t="n">
        <v>0</v>
      </c>
      <c r="BM291" s="2" t="n">
        <v>545</v>
      </c>
      <c r="BN291" s="2" t="n">
        <v>184.463</v>
      </c>
      <c r="BO291" s="2" t="n">
        <v>50.8</v>
      </c>
      <c r="BP291" s="2" t="n">
        <v>41.4</v>
      </c>
      <c r="BQ291" s="2" t="n">
        <v>92.19999999999999</v>
      </c>
      <c r="BR291" s="2" t="n">
        <v>0</v>
      </c>
      <c r="BS291" s="2" t="n">
        <v>276.663</v>
      </c>
      <c r="BT291" s="2" t="n">
        <v>22.4</v>
      </c>
      <c r="BU291" s="2" t="n">
        <v>10.3</v>
      </c>
      <c r="BV291" s="2" t="inlineStr">
        <is>
          <t>NA</t>
        </is>
      </c>
      <c r="BW291" s="2" t="inlineStr">
        <is>
          <t>NA</t>
        </is>
      </c>
      <c r="BX291" s="2" t="n">
        <v>458.9</v>
      </c>
      <c r="BY291" s="2" t="inlineStr">
        <is>
          <t>NA</t>
        </is>
      </c>
      <c r="BZ291" s="2" t="inlineStr">
        <is>
          <t>NA</t>
        </is>
      </c>
      <c r="CA291" s="2" t="n">
        <v>46.2</v>
      </c>
      <c r="CB291" s="2" t="n">
        <v>79.09999999999999</v>
      </c>
      <c r="CC291" s="2" t="inlineStr">
        <is>
          <t>NA</t>
        </is>
      </c>
      <c r="CD291" s="2" t="n">
        <v>87</v>
      </c>
      <c r="CE291" s="2" t="n">
        <v>9.800000000000001</v>
      </c>
      <c r="CF291" s="2" t="n">
        <v>101.9</v>
      </c>
      <c r="CG291" s="2" t="n">
        <v>207.3</v>
      </c>
      <c r="CH291" s="2" t="n">
        <v>20.075</v>
      </c>
      <c r="CK291" s="2" t="n">
        <v>192.2</v>
      </c>
      <c r="CL291" s="2" t="n">
        <v>25.8</v>
      </c>
      <c r="CN291" s="2" t="n">
        <v>54.8</v>
      </c>
      <c r="CO291" s="2" t="n">
        <v>188.8</v>
      </c>
      <c r="CP291" s="2" t="n">
        <v>141.2</v>
      </c>
      <c r="CQ291" s="2" t="n">
        <v>47.6</v>
      </c>
      <c r="CR291" s="2" t="inlineStr">
        <is>
          <t>NA</t>
        </is>
      </c>
      <c r="CS291" s="2" t="n">
        <v>41.3</v>
      </c>
      <c r="CV291" s="2" t="n">
        <v>47.6</v>
      </c>
      <c r="CW291" s="2" t="inlineStr">
        <is>
          <t>NA</t>
        </is>
      </c>
      <c r="CX291" s="2" t="inlineStr">
        <is>
          <t>NA</t>
        </is>
      </c>
      <c r="CY291" s="2" t="inlineStr">
        <is>
          <t>NA</t>
        </is>
      </c>
      <c r="CZ291" s="2" t="n">
        <v>63.8</v>
      </c>
      <c r="DA291" s="2" t="n">
        <v>11</v>
      </c>
      <c r="DB291" s="2" t="inlineStr">
        <is>
          <t>NA</t>
        </is>
      </c>
      <c r="DC291" s="2" t="inlineStr">
        <is>
          <t>NA</t>
        </is>
      </c>
      <c r="DI291" s="2" t="n">
        <v>701.2</v>
      </c>
      <c r="DJ291" s="2" t="n">
        <v>405.8</v>
      </c>
      <c r="DM291" s="2" t="n">
        <v>290.2</v>
      </c>
      <c r="DO291" s="2" t="n">
        <v>193.4</v>
      </c>
      <c r="DP291" s="2" t="n">
        <v>312.8</v>
      </c>
      <c r="DS291" s="2" t="n">
        <v>2299.468</v>
      </c>
      <c r="DT291" s="2" t="n">
        <v>4384.6</v>
      </c>
      <c r="DU291" s="2" t="n">
        <v>-181.732</v>
      </c>
      <c r="DV291" s="2" t="n">
        <v>0</v>
      </c>
      <c r="EA291" s="2" t="n">
        <v>748</v>
      </c>
      <c r="EB291" s="2" t="n">
        <v>645.4</v>
      </c>
      <c r="EE291" s="2" t="n">
        <v>157.4</v>
      </c>
      <c r="EG291" s="2" t="n">
        <v>213.7</v>
      </c>
      <c r="EH291" s="2" t="n">
        <v>337</v>
      </c>
      <c r="EL291" s="2" t="n">
        <v>3896.1</v>
      </c>
      <c r="EQ291" s="2" t="n">
        <v>267.4</v>
      </c>
      <c r="ER291" s="2" t="n">
        <v>147.9</v>
      </c>
      <c r="EU291" s="2" t="n">
        <v>111.1</v>
      </c>
      <c r="EW291" s="2" t="n">
        <v>72.5</v>
      </c>
      <c r="EX291" s="2" t="n">
        <v>109.5</v>
      </c>
      <c r="FB291" s="2" t="n">
        <v>1630.8</v>
      </c>
      <c r="FG291" s="2" t="n">
        <v>554.7</v>
      </c>
      <c r="FH291" s="2" t="n">
        <v>318.9</v>
      </c>
      <c r="FK291" s="2" t="n">
        <v>230.1</v>
      </c>
      <c r="FM291" s="2" t="n">
        <v>153.5</v>
      </c>
      <c r="FN291" s="2" t="n">
        <v>253.7</v>
      </c>
      <c r="FR291" s="2" t="n">
        <v>3471.8</v>
      </c>
      <c r="FW291" s="2" t="n">
        <v>223.1</v>
      </c>
      <c r="FX291" s="2" t="e">
        <v>#VALUE!</v>
      </c>
      <c r="GA291" s="2" t="n">
        <v>34.7</v>
      </c>
      <c r="GC291" s="2" t="n">
        <v>54.4</v>
      </c>
      <c r="GD291" s="2" t="e">
        <v>#VALUE!</v>
      </c>
      <c r="GH291" s="2" t="n">
        <v>766.5</v>
      </c>
      <c r="GM291" s="2" t="n">
        <v>71.09999999999999</v>
      </c>
      <c r="GN291" s="2" t="n">
        <v>22.6</v>
      </c>
      <c r="GQ291" s="2" t="n">
        <v>23.3</v>
      </c>
      <c r="GS291" s="2" t="n">
        <v>3.1</v>
      </c>
      <c r="GT291" s="2" t="e">
        <v>#VALUE!</v>
      </c>
      <c r="GX291" s="2" t="n">
        <v>317.8</v>
      </c>
      <c r="GY291" s="2" t="n">
        <v>0.9759002381953201</v>
      </c>
      <c r="GZ291" s="2" t="n">
        <v>1393</v>
      </c>
      <c r="HA291" s="2" t="n">
        <v>1427.4</v>
      </c>
      <c r="HB291" s="2" t="n">
        <v>-102.1124749785999</v>
      </c>
      <c r="HC291" s="2" t="n">
        <v>-102.4442965443998</v>
      </c>
      <c r="HD291" s="2" t="n">
        <v>1558.5875250214</v>
      </c>
      <c r="HE291" s="2" t="n">
        <v>-48.59999999999991</v>
      </c>
      <c r="HF291" s="2" t="n">
        <v>1660.7</v>
      </c>
      <c r="HG291" s="2" t="n">
        <v>1603.7</v>
      </c>
      <c r="HH291" s="2" t="n">
        <v>785</v>
      </c>
      <c r="HI291" s="2" t="n">
        <v>109.8</v>
      </c>
      <c r="HJ291" s="2" t="n">
        <v>699</v>
      </c>
      <c r="HK291" s="2" t="n">
        <v>10</v>
      </c>
      <c r="HL291" s="2" t="n">
        <v>57</v>
      </c>
      <c r="HP291" s="2" t="e">
        <v>#VALUE!</v>
      </c>
      <c r="HQ291" s="2" t="n">
        <v>6.6</v>
      </c>
      <c r="HR291" s="2" t="n">
        <v>6.6</v>
      </c>
      <c r="HS291" s="2" t="e">
        <v>#VALUE!</v>
      </c>
      <c r="HT291" s="2" t="n">
        <v>36</v>
      </c>
      <c r="HW291" s="2" t="n">
        <v>269.9</v>
      </c>
      <c r="HX291" s="2" t="e">
        <v>#VALUE!</v>
      </c>
      <c r="HY291" s="2" t="n">
        <v>269.9</v>
      </c>
      <c r="HZ291" s="2" t="n">
        <v>38.1</v>
      </c>
      <c r="IA291" s="2" t="n">
        <v>210.6</v>
      </c>
      <c r="IB291" s="2" t="n">
        <v>82.8</v>
      </c>
      <c r="IC291" s="2" t="n">
        <v>54.9</v>
      </c>
      <c r="ID291" s="2" t="e">
        <v>#VALUE!</v>
      </c>
      <c r="IE291" s="2" t="n">
        <v>54.9</v>
      </c>
      <c r="IF291" s="2" t="e">
        <v>#VALUE!</v>
      </c>
      <c r="IG291" s="2" t="e">
        <v>#VALUE!</v>
      </c>
      <c r="IL291" s="2" t="n">
        <v>21.19999999999999</v>
      </c>
      <c r="IN291" s="2" t="n">
        <v>59.8</v>
      </c>
      <c r="IO291" s="2" t="n">
        <v>60.1</v>
      </c>
      <c r="IP291" s="2" t="e">
        <v>#VALUE!</v>
      </c>
      <c r="IQ291" s="2" t="n">
        <v>39.1</v>
      </c>
      <c r="IR291" s="2" t="n">
        <v>16</v>
      </c>
      <c r="IS291" s="2" t="n">
        <v>0.8</v>
      </c>
      <c r="IT291" s="2" t="e">
        <v>#VALUE!</v>
      </c>
      <c r="IU291" s="2" t="e">
        <v>#VALUE!</v>
      </c>
      <c r="IV291" s="2" t="e">
        <v>#VALUE!</v>
      </c>
      <c r="IY291" s="2" t="n">
        <v>47.37627149568947</v>
      </c>
      <c r="IZ291" s="2" t="n">
        <v>0.1762714956894627</v>
      </c>
      <c r="JB291" s="2" t="n">
        <v>11.15814441454181</v>
      </c>
      <c r="JC291" s="2" t="n">
        <v>-0.06185558545819525</v>
      </c>
      <c r="JE291" s="2" t="n">
        <v>1411.8</v>
      </c>
      <c r="JF291" s="2" t="n">
        <v>0.7392215611276385</v>
      </c>
    </row>
    <row r="292">
      <c r="A292" s="1" t="n">
        <v>37926</v>
      </c>
      <c r="B292" s="2" t="n">
        <v>4368.4</v>
      </c>
      <c r="C292" s="2" t="n">
        <v>3628.5</v>
      </c>
      <c r="D292" s="2" t="n">
        <v>254.8</v>
      </c>
      <c r="E292" s="2" t="n">
        <v>1379.4</v>
      </c>
      <c r="F292" s="2" t="n">
        <v>18</v>
      </c>
      <c r="G292" s="2" t="inlineStr">
        <is>
          <t>NA</t>
        </is>
      </c>
      <c r="H292" s="2" t="inlineStr">
        <is>
          <t>NA</t>
        </is>
      </c>
      <c r="I292" s="2" t="inlineStr">
        <is>
          <t>NA</t>
        </is>
      </c>
      <c r="J292" s="2" t="inlineStr">
        <is>
          <t>NA</t>
        </is>
      </c>
      <c r="K292" s="2" t="n">
        <v>1610.6</v>
      </c>
      <c r="L292" s="2" t="n">
        <v>1505.2</v>
      </c>
      <c r="M292" s="2" t="n">
        <v>1306</v>
      </c>
      <c r="N292" s="2" t="n">
        <v>199.2</v>
      </c>
      <c r="O292" s="2" t="n">
        <v>78.2</v>
      </c>
      <c r="P292" s="2" t="n">
        <v>57.9</v>
      </c>
      <c r="Q292" s="2" t="n">
        <v>7.9</v>
      </c>
      <c r="R292" s="2" t="n">
        <v>50</v>
      </c>
      <c r="T292" s="2" t="n">
        <v>15.6</v>
      </c>
      <c r="U292" s="2" t="n">
        <v>22.3</v>
      </c>
      <c r="V292" s="2" t="n">
        <v>20.2</v>
      </c>
      <c r="W292" s="2" t="n">
        <v>2.1</v>
      </c>
      <c r="X292" s="2" t="inlineStr">
        <is>
          <t>NA</t>
        </is>
      </c>
      <c r="Y292" s="2" t="inlineStr">
        <is>
          <t>NA</t>
        </is>
      </c>
      <c r="Z292" s="2" t="n">
        <v>91.8</v>
      </c>
      <c r="AA292" s="2" t="n">
        <v>82.3</v>
      </c>
      <c r="AB292" s="2" t="n">
        <v>9.5</v>
      </c>
      <c r="AC292" s="2" t="inlineStr">
        <is>
          <t>NA</t>
        </is>
      </c>
      <c r="AD292" s="2" t="n">
        <v>48.3</v>
      </c>
      <c r="AF292" s="2" t="n">
        <v>65</v>
      </c>
      <c r="AG292" s="2" t="n">
        <v>51.6</v>
      </c>
      <c r="AH292" s="2" t="n">
        <v>13.4</v>
      </c>
      <c r="AI292" s="2" t="n">
        <v>196.5</v>
      </c>
      <c r="AL292" s="2" t="n">
        <v>137.8</v>
      </c>
      <c r="AM292" s="2" t="n">
        <v>84.09999999999999</v>
      </c>
      <c r="AN292" s="2" t="n">
        <v>53.7</v>
      </c>
      <c r="AO292" s="2" t="n">
        <v>3221.9</v>
      </c>
      <c r="AP292" s="2" t="n">
        <v>364.5</v>
      </c>
      <c r="AQ292" s="2" t="n">
        <v>244.1</v>
      </c>
      <c r="AR292" s="2" t="n">
        <v>52.5</v>
      </c>
      <c r="AS292" s="2" t="n">
        <v>111</v>
      </c>
      <c r="AT292" s="2" t="n">
        <v>50.7</v>
      </c>
      <c r="AU292" s="2" t="n">
        <v>71.2</v>
      </c>
      <c r="AV292" s="2" t="n">
        <v>22.8</v>
      </c>
      <c r="AW292" s="2" t="n">
        <v>10.2</v>
      </c>
      <c r="AX292" s="2" t="inlineStr">
        <is>
          <t>NA</t>
        </is>
      </c>
      <c r="AY292" s="2" t="inlineStr">
        <is>
          <t>NA</t>
        </is>
      </c>
      <c r="AZ292" s="2" t="inlineStr">
        <is>
          <t>NA</t>
        </is>
      </c>
      <c r="BA292" s="2" t="inlineStr">
        <is>
          <t>NA</t>
        </is>
      </c>
      <c r="BB292" s="2" t="inlineStr">
        <is>
          <t>NA</t>
        </is>
      </c>
      <c r="BD292" s="2" t="n">
        <v>126.6</v>
      </c>
      <c r="BE292" s="2" t="n">
        <v>17.8</v>
      </c>
      <c r="BF292" s="2" t="n">
        <v>64.8</v>
      </c>
      <c r="BG292" s="2" t="n">
        <v>8.699999999999999</v>
      </c>
      <c r="BH292" s="2" t="n">
        <v>262.1</v>
      </c>
      <c r="BI292" s="2" t="n">
        <v>104.5</v>
      </c>
      <c r="BJ292" s="2" t="n">
        <v>104.1</v>
      </c>
      <c r="BK292" s="2" t="n">
        <v>208.6</v>
      </c>
      <c r="BL292" s="2" t="n">
        <v>0</v>
      </c>
      <c r="BM292" s="2" t="n">
        <v>470.7</v>
      </c>
      <c r="BN292" s="2" t="n">
        <v>189.128</v>
      </c>
      <c r="BO292" s="2" t="n">
        <v>48.6</v>
      </c>
      <c r="BP292" s="2" t="n">
        <v>34.4</v>
      </c>
      <c r="BQ292" s="2" t="n">
        <v>83</v>
      </c>
      <c r="BR292" s="2" t="n">
        <v>0</v>
      </c>
      <c r="BS292" s="2" t="n">
        <v>272.128</v>
      </c>
      <c r="BT292" s="2" t="n">
        <v>20.3</v>
      </c>
      <c r="BU292" s="2" t="n">
        <v>12.2</v>
      </c>
      <c r="BV292" s="2" t="inlineStr">
        <is>
          <t>NA</t>
        </is>
      </c>
      <c r="BW292" s="2" t="inlineStr">
        <is>
          <t>NA</t>
        </is>
      </c>
      <c r="BX292" s="2" t="n">
        <v>357.7</v>
      </c>
      <c r="BY292" s="2" t="inlineStr">
        <is>
          <t>NA</t>
        </is>
      </c>
      <c r="BZ292" s="2" t="inlineStr">
        <is>
          <t>NA</t>
        </is>
      </c>
      <c r="CA292" s="2" t="n">
        <v>44.9</v>
      </c>
      <c r="CB292" s="2" t="n">
        <v>62.5</v>
      </c>
      <c r="CC292" s="2" t="inlineStr">
        <is>
          <t>NA</t>
        </is>
      </c>
      <c r="CD292" s="2" t="n">
        <v>71</v>
      </c>
      <c r="CE292" s="2" t="n">
        <v>11.5</v>
      </c>
      <c r="CF292" s="2" t="n">
        <v>87.90000000000001</v>
      </c>
      <c r="CG292" s="2" t="n">
        <v>203</v>
      </c>
      <c r="CH292" s="2" t="n">
        <v>19.57</v>
      </c>
      <c r="CK292" s="2" t="n">
        <v>160.5</v>
      </c>
      <c r="CL292" s="2" t="n">
        <v>18.8</v>
      </c>
      <c r="CN292" s="2" t="n">
        <v>54.6</v>
      </c>
      <c r="CO292" s="2" t="n">
        <v>186.1</v>
      </c>
      <c r="CP292" s="2" t="n">
        <v>136</v>
      </c>
      <c r="CQ292" s="2" t="n">
        <v>50.1</v>
      </c>
      <c r="CR292" s="2" t="inlineStr">
        <is>
          <t>NA</t>
        </is>
      </c>
      <c r="CS292" s="2" t="n">
        <v>37.012</v>
      </c>
      <c r="CT292" s="2" t="n">
        <v>23.5</v>
      </c>
      <c r="CU292" s="2" t="n">
        <v>13.512</v>
      </c>
      <c r="CV292" s="2" t="n">
        <v>58.4</v>
      </c>
      <c r="CW292" s="2" t="inlineStr">
        <is>
          <t>NA</t>
        </is>
      </c>
      <c r="CX292" s="2" t="inlineStr">
        <is>
          <t>NA</t>
        </is>
      </c>
      <c r="CY292" s="2" t="inlineStr">
        <is>
          <t>NA</t>
        </is>
      </c>
      <c r="CZ292" s="2" t="n">
        <v>49.7</v>
      </c>
      <c r="DA292" s="2" t="n">
        <v>8.5</v>
      </c>
      <c r="DB292" s="2" t="inlineStr">
        <is>
          <t>NA</t>
        </is>
      </c>
      <c r="DC292" s="2" t="inlineStr">
        <is>
          <t>NA</t>
        </is>
      </c>
      <c r="DI292" s="2" t="n">
        <v>692.4</v>
      </c>
      <c r="DJ292" s="2" t="n">
        <v>391.3</v>
      </c>
      <c r="DM292" s="2" t="n">
        <v>265.9</v>
      </c>
      <c r="DO292" s="2" t="n">
        <v>196.2</v>
      </c>
      <c r="DP292" s="2" t="n">
        <v>311.3</v>
      </c>
      <c r="DS292" s="2" t="n">
        <v>2313.12</v>
      </c>
      <c r="DT292" s="2" t="n">
        <v>4368.4</v>
      </c>
      <c r="DU292" s="2" t="n">
        <v>-198.1800000000003</v>
      </c>
      <c r="DV292" s="2" t="n">
        <v>0</v>
      </c>
      <c r="EA292" s="2" t="n">
        <v>731.7</v>
      </c>
      <c r="EB292" s="2" t="n">
        <v>557.3</v>
      </c>
      <c r="EE292" s="2" t="n">
        <v>102.3</v>
      </c>
      <c r="EG292" s="2" t="n">
        <v>182.3</v>
      </c>
      <c r="EH292" s="2" t="e">
        <v>#VALUE!</v>
      </c>
      <c r="EL292" s="2" t="n">
        <v>3628.5</v>
      </c>
      <c r="EQ292" s="2" t="n">
        <v>262.2</v>
      </c>
      <c r="ER292" s="2" t="n">
        <v>140.8</v>
      </c>
      <c r="EU292" s="2" t="n">
        <v>100.3</v>
      </c>
      <c r="EW292" s="2" t="n">
        <v>73</v>
      </c>
      <c r="EX292" s="2" t="n">
        <v>108.6</v>
      </c>
      <c r="FB292" s="2" t="n">
        <v>1610.6</v>
      </c>
      <c r="FG292" s="2" t="n">
        <v>548.4</v>
      </c>
      <c r="FH292" s="2" t="n">
        <v>309.6</v>
      </c>
      <c r="FK292" s="2" t="n">
        <v>212.4</v>
      </c>
      <c r="FM292" s="2" t="n">
        <v>155.5</v>
      </c>
      <c r="FN292" s="2" t="n">
        <v>250.5</v>
      </c>
      <c r="FR292" s="2" t="n">
        <v>3474.6</v>
      </c>
      <c r="FW292" s="2" t="n">
        <v>259.9</v>
      </c>
      <c r="FX292" s="2" t="e">
        <v>#VALUE!</v>
      </c>
      <c r="GA292" s="2" t="n">
        <v>35</v>
      </c>
      <c r="GC292" s="2" t="n">
        <v>61.1</v>
      </c>
      <c r="GD292" s="2" t="e">
        <v>#VALUE!</v>
      </c>
      <c r="GH292" s="2" t="n">
        <v>847.5</v>
      </c>
      <c r="GM292" s="2" t="n">
        <v>67.09999999999999</v>
      </c>
      <c r="GN292" s="2" t="n">
        <v>49.6</v>
      </c>
      <c r="GQ292" s="2" t="n">
        <v>39.8</v>
      </c>
      <c r="GS292" s="2" t="e">
        <v>#VALUE!</v>
      </c>
      <c r="GT292" s="2" t="e">
        <v>#VALUE!</v>
      </c>
      <c r="GX292" s="2" t="n">
        <v>432.4</v>
      </c>
      <c r="GY292" s="2" t="n">
        <v>0.9777118460091178</v>
      </c>
      <c r="GZ292" s="2" t="n">
        <v>1351.1</v>
      </c>
      <c r="HA292" s="2" t="n">
        <v>1381.9</v>
      </c>
      <c r="HB292" s="2" t="n">
        <v>-135.9643484442006</v>
      </c>
      <c r="HC292" s="2" t="n">
        <v>15.69309819999921</v>
      </c>
      <c r="HD292" s="2" t="n">
        <v>1409.435651555799</v>
      </c>
      <c r="HE292" s="2" t="n">
        <v>-41.79999999999995</v>
      </c>
      <c r="HF292" s="2" t="n">
        <v>1545.4</v>
      </c>
      <c r="HG292" s="2" t="n">
        <v>1496.1</v>
      </c>
      <c r="HH292" s="2" t="n">
        <v>712.1</v>
      </c>
      <c r="HI292" s="2" t="n">
        <v>100.5</v>
      </c>
      <c r="HJ292" s="2" t="n">
        <v>675.2</v>
      </c>
      <c r="HK292" s="2" t="n">
        <v>8.4</v>
      </c>
      <c r="HL292" s="2" t="n">
        <v>49.3</v>
      </c>
      <c r="HP292" s="2" t="e">
        <v>#VALUE!</v>
      </c>
      <c r="HQ292" s="2" t="n">
        <v>4.2</v>
      </c>
      <c r="HR292" s="2" t="n">
        <v>7.2</v>
      </c>
      <c r="HS292" s="2" t="e">
        <v>#VALUE!</v>
      </c>
      <c r="HT292" s="2" t="n">
        <v>30.8</v>
      </c>
      <c r="HW292" s="2" t="n">
        <v>274.5</v>
      </c>
      <c r="HX292" s="2" t="e">
        <v>#VALUE!</v>
      </c>
      <c r="HY292" s="2" t="n">
        <v>274.5</v>
      </c>
      <c r="HZ292" s="2" t="n">
        <v>41.6</v>
      </c>
      <c r="IA292" s="2" t="n">
        <v>212.9</v>
      </c>
      <c r="IB292" s="2" t="n">
        <v>73.59999999999999</v>
      </c>
      <c r="IC292" s="2" t="n">
        <v>47.6</v>
      </c>
      <c r="ID292" s="2" t="e">
        <v>#VALUE!</v>
      </c>
      <c r="IE292" s="2" t="n">
        <v>47.6</v>
      </c>
      <c r="IF292" s="2" t="e">
        <v>#VALUE!</v>
      </c>
      <c r="IG292" s="2" t="e">
        <v>#VALUE!</v>
      </c>
      <c r="IL292" s="2" t="n">
        <v>20</v>
      </c>
      <c r="IN292" s="2" t="n">
        <v>63.5</v>
      </c>
      <c r="IO292" s="2" t="n">
        <v>63.8</v>
      </c>
      <c r="IP292" s="2" t="e">
        <v>#VALUE!</v>
      </c>
      <c r="IQ292" s="2" t="n">
        <v>45.2</v>
      </c>
      <c r="IR292" s="2" t="n">
        <v>15.2</v>
      </c>
      <c r="IS292" s="2" t="e">
        <v>#VALUE!</v>
      </c>
      <c r="IT292" s="2" t="e">
        <v>#VALUE!</v>
      </c>
      <c r="IU292" s="2" t="e">
        <v>#VALUE!</v>
      </c>
      <c r="IV292" s="2" t="e">
        <v>#VALUE!</v>
      </c>
      <c r="IY292" s="2" t="n">
        <v>47.60553062906328</v>
      </c>
      <c r="IZ292" s="2" t="n">
        <v>0.1155306290632794</v>
      </c>
      <c r="JB292" s="2" t="n">
        <v>11.06080029301346</v>
      </c>
      <c r="JC292" s="2" t="n">
        <v>-0.06919970698653977</v>
      </c>
      <c r="JE292" s="2" t="n">
        <v>1505.2</v>
      </c>
      <c r="JF292" s="2" t="n">
        <v>0.7481955886260961</v>
      </c>
    </row>
    <row r="293">
      <c r="A293" s="1" t="n">
        <v>37956</v>
      </c>
      <c r="B293" s="2" t="n">
        <v>4374.7</v>
      </c>
      <c r="C293" s="2" t="n">
        <v>3651.2</v>
      </c>
      <c r="D293" s="2" t="n">
        <v>252</v>
      </c>
      <c r="E293" s="2" t="n">
        <v>1629.9</v>
      </c>
      <c r="F293" s="2" t="n">
        <v>15.4</v>
      </c>
      <c r="G293" s="2" t="inlineStr">
        <is>
          <t>NA</t>
        </is>
      </c>
      <c r="H293" s="2" t="inlineStr">
        <is>
          <t>NA</t>
        </is>
      </c>
      <c r="I293" s="2" t="inlineStr">
        <is>
          <t>NA</t>
        </is>
      </c>
      <c r="J293" s="2" t="inlineStr">
        <is>
          <t>NA</t>
        </is>
      </c>
      <c r="K293" s="2" t="n">
        <v>1604.6</v>
      </c>
      <c r="L293" s="2" t="n">
        <v>1579.7</v>
      </c>
      <c r="M293" s="2" t="n">
        <v>1389.8</v>
      </c>
      <c r="N293" s="2" t="n">
        <v>189.9</v>
      </c>
      <c r="O293" s="2" t="n">
        <v>79</v>
      </c>
      <c r="P293" s="2" t="n">
        <v>70.90000000000001</v>
      </c>
      <c r="Q293" s="2" t="n">
        <v>9.800000000000001</v>
      </c>
      <c r="R293" s="2" t="n">
        <v>61.1</v>
      </c>
      <c r="T293" s="2" t="n">
        <v>13.2</v>
      </c>
      <c r="U293" s="2" t="n">
        <v>24.8</v>
      </c>
      <c r="V293" s="2" t="n">
        <v>23</v>
      </c>
      <c r="W293" s="2" t="n">
        <v>1.8</v>
      </c>
      <c r="X293" s="2" t="inlineStr">
        <is>
          <t>NA</t>
        </is>
      </c>
      <c r="Y293" s="2" t="inlineStr">
        <is>
          <t>NA</t>
        </is>
      </c>
      <c r="Z293" s="2" t="n">
        <v>122.2</v>
      </c>
      <c r="AA293" s="2" t="n">
        <v>112.9</v>
      </c>
      <c r="AB293" s="2" t="n">
        <v>9.300000000000001</v>
      </c>
      <c r="AC293" s="2" t="inlineStr">
        <is>
          <t>NA</t>
        </is>
      </c>
      <c r="AD293" s="2" t="n">
        <v>35.8</v>
      </c>
      <c r="AF293" s="2" t="n">
        <v>79.59999999999999</v>
      </c>
      <c r="AG293" s="2" t="n">
        <v>63.5</v>
      </c>
      <c r="AH293" s="2" t="n">
        <v>16.1</v>
      </c>
      <c r="AI293" s="2" t="n">
        <v>193.2</v>
      </c>
      <c r="AL293" s="2" t="n">
        <v>159.4</v>
      </c>
      <c r="AM293" s="2" t="n">
        <v>67.5</v>
      </c>
      <c r="AN293" s="2" t="n">
        <v>91.90000000000001</v>
      </c>
      <c r="AO293" s="2" t="n">
        <v>3239.6</v>
      </c>
      <c r="AP293" s="2" t="n">
        <v>239.7</v>
      </c>
      <c r="AQ293" s="2" t="n">
        <v>244.1</v>
      </c>
      <c r="AR293" s="2" t="n">
        <v>41</v>
      </c>
      <c r="AS293" s="2" t="n">
        <v>112.5</v>
      </c>
      <c r="AT293" s="2" t="n">
        <v>42.4</v>
      </c>
      <c r="AU293" s="2" t="n">
        <v>70.90000000000001</v>
      </c>
      <c r="AV293" s="2" t="n">
        <v>23.9</v>
      </c>
      <c r="AW293" s="2" t="n">
        <v>8.699999999999999</v>
      </c>
      <c r="AX293" s="2" t="inlineStr">
        <is>
          <t>NA</t>
        </is>
      </c>
      <c r="AY293" s="2" t="inlineStr">
        <is>
          <t>NA</t>
        </is>
      </c>
      <c r="AZ293" s="2" t="inlineStr">
        <is>
          <t>NA</t>
        </is>
      </c>
      <c r="BA293" s="2" t="inlineStr">
        <is>
          <t>NA</t>
        </is>
      </c>
      <c r="BB293" s="2" t="inlineStr">
        <is>
          <t>NA</t>
        </is>
      </c>
      <c r="BD293" s="2" t="n">
        <v>138.7</v>
      </c>
      <c r="BE293" s="2" t="n">
        <v>23.6</v>
      </c>
      <c r="BF293" s="2" t="n">
        <v>68.59999999999999</v>
      </c>
      <c r="BG293" s="2" t="n">
        <v>10</v>
      </c>
      <c r="BH293" s="2" t="n">
        <v>295.4</v>
      </c>
      <c r="BI293" s="2" t="n">
        <v>100.3</v>
      </c>
      <c r="BJ293" s="2" t="n">
        <v>101.2</v>
      </c>
      <c r="BK293" s="2" t="n">
        <v>201.5</v>
      </c>
      <c r="BL293" s="2" t="n">
        <v>0</v>
      </c>
      <c r="BM293" s="2" t="n">
        <v>496.9</v>
      </c>
      <c r="BN293" s="2" t="n">
        <v>220.126</v>
      </c>
      <c r="BO293" s="2" t="n">
        <v>30.2</v>
      </c>
      <c r="BP293" s="2" t="n">
        <v>31.8</v>
      </c>
      <c r="BQ293" s="2" t="n">
        <v>62.1</v>
      </c>
      <c r="BR293" s="2" t="n">
        <v>0</v>
      </c>
      <c r="BS293" s="2" t="n">
        <v>282.226</v>
      </c>
      <c r="BT293" s="2" t="n">
        <v>23.2</v>
      </c>
      <c r="BU293" s="2" t="n">
        <v>14.1</v>
      </c>
      <c r="BV293" s="2" t="inlineStr">
        <is>
          <t>NA</t>
        </is>
      </c>
      <c r="BW293" s="2" t="inlineStr">
        <is>
          <t>NA</t>
        </is>
      </c>
      <c r="BX293" s="2" t="n">
        <v>392.7</v>
      </c>
      <c r="BY293" s="2" t="inlineStr">
        <is>
          <t>NA</t>
        </is>
      </c>
      <c r="BZ293" s="2" t="inlineStr">
        <is>
          <t>NA</t>
        </is>
      </c>
      <c r="CA293" s="2" t="n">
        <v>50.7</v>
      </c>
      <c r="CB293" s="2" t="n">
        <v>69.59999999999999</v>
      </c>
      <c r="CC293" s="2" t="inlineStr">
        <is>
          <t>NA</t>
        </is>
      </c>
      <c r="CD293" s="2" t="n">
        <v>76.8</v>
      </c>
      <c r="CE293" s="2" t="n">
        <v>12.5</v>
      </c>
      <c r="CF293" s="2" t="n">
        <v>109</v>
      </c>
      <c r="CG293" s="2" t="n">
        <v>210.2</v>
      </c>
      <c r="CH293" s="2" t="n">
        <v>19.917</v>
      </c>
      <c r="CK293" s="2" t="n">
        <v>195.1</v>
      </c>
      <c r="CL293" s="2" t="n">
        <v>24.5</v>
      </c>
      <c r="CN293" s="2" t="n">
        <v>51.4</v>
      </c>
      <c r="CO293" s="2" t="n">
        <v>167.2</v>
      </c>
      <c r="CP293" s="2" t="n">
        <v>110.7</v>
      </c>
      <c r="CQ293" s="2" t="n">
        <v>56.5</v>
      </c>
      <c r="CR293" s="2" t="inlineStr">
        <is>
          <t>NA</t>
        </is>
      </c>
      <c r="CS293" s="2" t="n">
        <v>35.665</v>
      </c>
      <c r="CT293" s="2" t="n">
        <v>18.9</v>
      </c>
      <c r="CU293" s="2" t="n">
        <v>16.765</v>
      </c>
      <c r="CV293" s="2" t="n">
        <v>60.8</v>
      </c>
      <c r="CW293" s="2" t="inlineStr">
        <is>
          <t>NA</t>
        </is>
      </c>
      <c r="CX293" s="2" t="inlineStr">
        <is>
          <t>NA</t>
        </is>
      </c>
      <c r="CY293" s="2" t="inlineStr">
        <is>
          <t>NA</t>
        </is>
      </c>
      <c r="CZ293" s="2" t="n">
        <v>55.4</v>
      </c>
      <c r="DA293" s="2" t="n">
        <v>14.3</v>
      </c>
      <c r="DB293" s="2" t="inlineStr">
        <is>
          <t>NA</t>
        </is>
      </c>
      <c r="DC293" s="2" t="inlineStr">
        <is>
          <t>NA</t>
        </is>
      </c>
      <c r="DI293" s="2" t="n">
        <v>698.7</v>
      </c>
      <c r="DJ293" s="2" t="n">
        <v>381.1</v>
      </c>
      <c r="DM293" s="2" t="n">
        <v>259.9</v>
      </c>
      <c r="DO293" s="2" t="n">
        <v>188</v>
      </c>
      <c r="DP293" s="2" t="n">
        <v>300.1</v>
      </c>
      <c r="DS293" s="2" t="n">
        <v>2356.376</v>
      </c>
      <c r="DT293" s="2" t="n">
        <v>4374.7</v>
      </c>
      <c r="DU293" s="2" t="n">
        <v>-190.5239999999994</v>
      </c>
      <c r="DV293" s="2" t="n">
        <v>0</v>
      </c>
      <c r="EA293" s="2" t="n">
        <v>713</v>
      </c>
      <c r="EB293" s="2" t="n">
        <v>494.8</v>
      </c>
      <c r="EE293" s="2" t="n">
        <v>114.4</v>
      </c>
      <c r="EG293" s="2" t="n">
        <v>196.3</v>
      </c>
      <c r="EH293" s="2" t="e">
        <v>#VALUE!</v>
      </c>
      <c r="EL293" s="2" t="n">
        <v>3651.2</v>
      </c>
      <c r="EQ293" s="2" t="n">
        <v>259.1</v>
      </c>
      <c r="ER293" s="2" t="n">
        <v>138.5</v>
      </c>
      <c r="EU293" s="2" t="n">
        <v>100.1</v>
      </c>
      <c r="EW293" s="2" t="n">
        <v>69.2</v>
      </c>
      <c r="EX293" s="2" t="n">
        <v>103.2</v>
      </c>
      <c r="FB293" s="2" t="n">
        <v>1604.6</v>
      </c>
      <c r="FG293" s="2" t="n">
        <v>556.1</v>
      </c>
      <c r="FH293" s="2" t="n">
        <v>303.3</v>
      </c>
      <c r="FK293" s="2" t="n">
        <v>205.9</v>
      </c>
      <c r="FM293" s="2" t="n">
        <v>150.6</v>
      </c>
      <c r="FN293" s="2" t="n">
        <v>244.1</v>
      </c>
      <c r="FR293" s="2" t="n">
        <v>3493.1</v>
      </c>
      <c r="FW293" s="2" t="n">
        <v>255.8</v>
      </c>
      <c r="FX293" s="2" t="n">
        <v>93.90000000000001</v>
      </c>
      <c r="GA293" s="2" t="n">
        <v>44.6</v>
      </c>
      <c r="GC293" s="2" t="n">
        <v>76.2</v>
      </c>
      <c r="GD293" s="2" t="e">
        <v>#VALUE!</v>
      </c>
      <c r="GH293" s="2" t="n">
        <v>892.8</v>
      </c>
      <c r="GM293" s="2" t="n">
        <v>36.8</v>
      </c>
      <c r="GN293" s="2" t="n">
        <v>36.2</v>
      </c>
      <c r="GQ293" s="2" t="n">
        <v>26.7</v>
      </c>
      <c r="GS293" s="2" t="e">
        <v>#VALUE!</v>
      </c>
      <c r="GT293" s="2" t="e">
        <v>#VALUE!</v>
      </c>
      <c r="GX293" s="2" t="n">
        <v>280.7</v>
      </c>
      <c r="GY293" s="2" t="n">
        <v>0.973801206732296</v>
      </c>
      <c r="GZ293" s="2" t="n">
        <v>1226.6</v>
      </c>
      <c r="HA293" s="2" t="n">
        <v>1259.6</v>
      </c>
      <c r="HB293" s="2" t="n">
        <v>-48.05157441339998</v>
      </c>
      <c r="HC293" s="2" t="n">
        <v>-16.41811551759997</v>
      </c>
      <c r="HD293" s="2" t="n">
        <v>1400.2484255866</v>
      </c>
      <c r="HE293" s="2" t="n">
        <v>-14.70000000000005</v>
      </c>
      <c r="HF293" s="2" t="n">
        <v>1448.3</v>
      </c>
      <c r="HG293" s="2" t="n">
        <v>1399.4</v>
      </c>
      <c r="HH293" s="2" t="n">
        <v>665.3</v>
      </c>
      <c r="HI293" s="2" t="n">
        <v>114</v>
      </c>
      <c r="HJ293" s="2" t="n">
        <v>611.3</v>
      </c>
      <c r="HK293" s="2" t="n">
        <v>8.9</v>
      </c>
      <c r="HL293" s="2" t="n">
        <v>48.9</v>
      </c>
      <c r="HP293" s="2" t="e">
        <v>#VALUE!</v>
      </c>
      <c r="HQ293" s="2" t="n">
        <v>6.3</v>
      </c>
      <c r="HR293" s="2" t="n">
        <v>5</v>
      </c>
      <c r="HS293" s="2" t="e">
        <v>#VALUE!</v>
      </c>
      <c r="HT293" s="2" t="n">
        <v>30.8</v>
      </c>
      <c r="HW293" s="2" t="n">
        <v>254.8</v>
      </c>
      <c r="HX293" s="2" t="e">
        <v>#VALUE!</v>
      </c>
      <c r="HY293" s="2" t="n">
        <v>254.8</v>
      </c>
      <c r="HZ293" s="2" t="n">
        <v>37.5</v>
      </c>
      <c r="IA293" s="2" t="n">
        <v>197.6</v>
      </c>
      <c r="IB293" s="2" t="n">
        <v>75.40000000000001</v>
      </c>
      <c r="IC293" s="2" t="n">
        <v>56.2</v>
      </c>
      <c r="ID293" s="2" t="e">
        <v>#VALUE!</v>
      </c>
      <c r="IE293" s="2" t="n">
        <v>56.2</v>
      </c>
      <c r="IF293" s="2" t="e">
        <v>#VALUE!</v>
      </c>
      <c r="IG293" s="2" t="e">
        <v>#VALUE!</v>
      </c>
      <c r="IL293" s="2" t="n">
        <v>19.70000000000002</v>
      </c>
      <c r="IN293" s="2" t="n">
        <v>61.4</v>
      </c>
      <c r="IO293" s="2" t="n">
        <v>61.6</v>
      </c>
      <c r="IP293" s="2" t="e">
        <v>#VALUE!</v>
      </c>
      <c r="IQ293" s="2" t="n">
        <v>48.4</v>
      </c>
      <c r="IR293" s="2" t="n">
        <v>14.4</v>
      </c>
      <c r="IS293" s="2" t="e">
        <v>#VALUE!</v>
      </c>
      <c r="IT293" s="2" t="n">
        <v>32.5</v>
      </c>
      <c r="IU293" s="2" t="e">
        <v>#VALUE!</v>
      </c>
      <c r="IV293" s="2" t="e">
        <v>#VALUE!</v>
      </c>
      <c r="IY293" s="2" t="n">
        <v>47.77973346743777</v>
      </c>
      <c r="IZ293" s="2" t="n">
        <v>0.2097334674377649</v>
      </c>
      <c r="JB293" s="2" t="n">
        <v>11.00372596978078</v>
      </c>
      <c r="JC293" s="2" t="n">
        <v>-0.08627403021921509</v>
      </c>
      <c r="JE293" s="2" t="n">
        <v>1579.7</v>
      </c>
      <c r="JF293" s="2" t="n">
        <v>0.7617541305311135</v>
      </c>
    </row>
    <row r="294">
      <c r="A294" s="1" t="n">
        <v>37987</v>
      </c>
      <c r="B294" s="2" t="n">
        <v>4377</v>
      </c>
      <c r="C294" s="2" t="n">
        <v>3767.8</v>
      </c>
      <c r="D294" s="2" t="n">
        <v>265.2</v>
      </c>
      <c r="E294" s="2" t="n">
        <v>1542.5</v>
      </c>
      <c r="F294" s="2" t="n">
        <v>14.6</v>
      </c>
      <c r="G294" s="2" t="inlineStr">
        <is>
          <t>NA</t>
        </is>
      </c>
      <c r="H294" s="2" t="inlineStr">
        <is>
          <t>NA</t>
        </is>
      </c>
      <c r="I294" s="2" t="inlineStr">
        <is>
          <t>NA</t>
        </is>
      </c>
      <c r="J294" s="2" t="inlineStr">
        <is>
          <t>NA</t>
        </is>
      </c>
      <c r="K294" s="2" t="n">
        <v>1618.3</v>
      </c>
      <c r="L294" s="2" t="n">
        <v>1950.8</v>
      </c>
      <c r="M294" s="2" t="n">
        <v>1739.3</v>
      </c>
      <c r="N294" s="2" t="n">
        <v>211.5</v>
      </c>
      <c r="O294" s="2" t="n">
        <v>82.40000000000001</v>
      </c>
      <c r="P294" s="2" t="n">
        <v>87.7</v>
      </c>
      <c r="Q294" s="2" t="n">
        <v>9.699999999999999</v>
      </c>
      <c r="R294" s="2" t="n">
        <v>78</v>
      </c>
      <c r="T294" s="2" t="n">
        <v>12.6</v>
      </c>
      <c r="U294" s="2" t="n">
        <v>17.2</v>
      </c>
      <c r="V294" s="2" t="n">
        <v>14.2</v>
      </c>
      <c r="W294" s="2" t="n">
        <v>3</v>
      </c>
      <c r="X294" s="2" t="inlineStr">
        <is>
          <t>NA</t>
        </is>
      </c>
      <c r="Y294" s="2" t="inlineStr">
        <is>
          <t>NA</t>
        </is>
      </c>
      <c r="Z294" s="2" t="n">
        <v>95.8</v>
      </c>
      <c r="AA294" s="2" t="n">
        <v>80.7</v>
      </c>
      <c r="AB294" s="2" t="n">
        <v>15.1</v>
      </c>
      <c r="AC294" s="2" t="inlineStr">
        <is>
          <t>NA</t>
        </is>
      </c>
      <c r="AD294" s="2" t="n">
        <v>45.3</v>
      </c>
      <c r="AF294" s="2" t="n">
        <v>98.69999999999999</v>
      </c>
      <c r="AG294" s="2" t="n">
        <v>72.8</v>
      </c>
      <c r="AH294" s="2" t="n">
        <v>25.9</v>
      </c>
      <c r="AI294" s="2" t="n">
        <v>201</v>
      </c>
      <c r="AL294" s="2" t="n">
        <v>194.9</v>
      </c>
      <c r="AM294" s="2" t="n">
        <v>100.5741355172481</v>
      </c>
      <c r="AN294" s="2" t="n">
        <v>94.32586448275188</v>
      </c>
      <c r="AO294" s="2" t="n">
        <v>3231.4</v>
      </c>
      <c r="AP294" s="2" t="n">
        <v>285.6</v>
      </c>
      <c r="AQ294" s="2" t="n">
        <v>246.4</v>
      </c>
      <c r="AR294" s="2" t="n">
        <v>43.2</v>
      </c>
      <c r="AS294" s="2" t="n">
        <v>113.9</v>
      </c>
      <c r="AT294" s="2" t="n">
        <v>37.6</v>
      </c>
      <c r="AU294" s="2" t="n">
        <v>76.5</v>
      </c>
      <c r="AV294" s="2" t="n">
        <v>30.9</v>
      </c>
      <c r="AW294" s="2" t="n">
        <v>8.5</v>
      </c>
      <c r="AX294" s="2" t="inlineStr">
        <is>
          <t>NA</t>
        </is>
      </c>
      <c r="AY294" s="2" t="inlineStr">
        <is>
          <t>NA</t>
        </is>
      </c>
      <c r="AZ294" s="2" t="inlineStr">
        <is>
          <t>NA</t>
        </is>
      </c>
      <c r="BA294" s="2" t="inlineStr">
        <is>
          <t>NA</t>
        </is>
      </c>
      <c r="BB294" s="2" t="inlineStr">
        <is>
          <t>NA</t>
        </is>
      </c>
      <c r="BD294" s="2" t="n">
        <v>130.2</v>
      </c>
      <c r="BE294" s="2" t="n">
        <v>23.1</v>
      </c>
      <c r="BF294" s="2" t="n">
        <v>66.09999999999999</v>
      </c>
      <c r="BG294" s="2" t="n">
        <v>8.699999999999999</v>
      </c>
      <c r="BH294" s="2" t="n">
        <v>299.5</v>
      </c>
      <c r="BI294" s="2" t="n">
        <v>114</v>
      </c>
      <c r="BJ294" s="2" t="n">
        <v>93.09999999999999</v>
      </c>
      <c r="BK294" s="2" t="n">
        <v>207.1</v>
      </c>
      <c r="BL294" s="2" t="n">
        <v>0</v>
      </c>
      <c r="BM294" s="2" t="n">
        <v>506.6</v>
      </c>
      <c r="BN294" s="2" t="n">
        <v>241.6</v>
      </c>
      <c r="BO294" s="2" t="n">
        <v>57.1</v>
      </c>
      <c r="BP294" s="2" t="n">
        <v>39</v>
      </c>
      <c r="BQ294" s="2" t="n">
        <v>96.09999999999999</v>
      </c>
      <c r="BR294" s="2" t="n">
        <v>0</v>
      </c>
      <c r="BS294" s="2" t="n">
        <v>337.7</v>
      </c>
      <c r="BT294" s="2" t="n">
        <v>24.1</v>
      </c>
      <c r="BU294" s="2" t="n">
        <v>19.4</v>
      </c>
      <c r="BV294" s="2" t="inlineStr">
        <is>
          <t>NA</t>
        </is>
      </c>
      <c r="BW294" s="2" t="inlineStr">
        <is>
          <t>NA</t>
        </is>
      </c>
      <c r="BX294" s="2" t="n">
        <v>357.9</v>
      </c>
      <c r="BY294" s="2" t="inlineStr">
        <is>
          <t>NA</t>
        </is>
      </c>
      <c r="BZ294" s="2" t="inlineStr">
        <is>
          <t>NA</t>
        </is>
      </c>
      <c r="CA294" s="2" t="n">
        <v>60</v>
      </c>
      <c r="CB294" s="2" t="n">
        <v>78.7</v>
      </c>
      <c r="CC294" s="2" t="inlineStr">
        <is>
          <t>NA</t>
        </is>
      </c>
      <c r="CD294" s="2" t="n">
        <v>91.2</v>
      </c>
      <c r="CE294" s="2" t="n">
        <v>15</v>
      </c>
      <c r="CF294" s="2" t="n">
        <v>118.6</v>
      </c>
      <c r="CG294" s="2" t="n">
        <v>209.5</v>
      </c>
      <c r="CH294" s="2" t="n">
        <v>19.19</v>
      </c>
      <c r="CK294" s="2" t="n">
        <v>209.1</v>
      </c>
      <c r="CL294" s="2" t="n">
        <v>29.8</v>
      </c>
      <c r="CN294" s="2" t="n">
        <v>50.8</v>
      </c>
      <c r="CO294" s="2" t="n">
        <v>160.243</v>
      </c>
      <c r="CP294" s="2" t="n">
        <v>93.04300000000001</v>
      </c>
      <c r="CQ294" s="2" t="n">
        <v>67.2</v>
      </c>
      <c r="CR294" s="2" t="inlineStr">
        <is>
          <t>NA</t>
        </is>
      </c>
      <c r="CS294" s="2" t="n">
        <v>43.3</v>
      </c>
      <c r="CT294" s="2" t="n">
        <v>27.1</v>
      </c>
      <c r="CU294" s="2" t="n">
        <v>16.2</v>
      </c>
      <c r="CV294" s="2" t="n">
        <v>80.90000000000001</v>
      </c>
      <c r="CW294" s="2" t="inlineStr">
        <is>
          <t>NA</t>
        </is>
      </c>
      <c r="CX294" s="2" t="inlineStr">
        <is>
          <t>NA</t>
        </is>
      </c>
      <c r="CY294" s="2" t="inlineStr">
        <is>
          <t>NA</t>
        </is>
      </c>
      <c r="CZ294" s="2" t="n">
        <v>66.90000000000001</v>
      </c>
      <c r="DA294" s="2" t="n">
        <v>12.1</v>
      </c>
      <c r="DB294" s="2" t="inlineStr">
        <is>
          <t>NA</t>
        </is>
      </c>
      <c r="DC294" s="2" t="inlineStr">
        <is>
          <t>NA</t>
        </is>
      </c>
      <c r="DI294" s="2" t="n">
        <v>695.5</v>
      </c>
      <c r="DJ294" s="2" t="n">
        <v>405.1</v>
      </c>
      <c r="DM294" s="2" t="n">
        <v>278.7</v>
      </c>
      <c r="DO294" s="2" t="n">
        <v>192.6</v>
      </c>
      <c r="DP294" s="2" t="n">
        <v>305.1</v>
      </c>
      <c r="DS294" s="2" t="n">
        <v>2304.197</v>
      </c>
      <c r="DT294" s="2" t="n">
        <v>4377</v>
      </c>
      <c r="DU294" s="2" t="n">
        <v>-195.8029999999999</v>
      </c>
      <c r="DV294" s="2" t="n">
        <v>0</v>
      </c>
      <c r="EA294" s="2" t="n">
        <v>758.9</v>
      </c>
      <c r="EB294" s="2" t="n">
        <v>504.1</v>
      </c>
      <c r="EE294" s="2" t="n">
        <v>134</v>
      </c>
      <c r="EG294" s="2" t="n">
        <v>194.4</v>
      </c>
      <c r="EH294" s="2" t="e">
        <v>#VALUE!</v>
      </c>
      <c r="EL294" s="2" t="n">
        <v>3767.8</v>
      </c>
      <c r="EQ294" s="2" t="n">
        <v>265.4</v>
      </c>
      <c r="ER294" s="2" t="n">
        <v>140.5</v>
      </c>
      <c r="EU294" s="2" t="n">
        <v>108.5</v>
      </c>
      <c r="EW294" s="2" t="n">
        <v>72.5</v>
      </c>
      <c r="EX294" s="2" t="n">
        <v>108.2</v>
      </c>
      <c r="FB294" s="2" t="n">
        <v>1618.3</v>
      </c>
      <c r="FG294" s="2" t="n">
        <v>550</v>
      </c>
      <c r="FH294" s="2" t="n">
        <v>322</v>
      </c>
      <c r="FK294" s="2" t="n">
        <v>223.9</v>
      </c>
      <c r="FM294" s="2" t="n">
        <v>154.2</v>
      </c>
      <c r="FN294" s="2" t="n">
        <v>247.3</v>
      </c>
      <c r="FR294" s="2" t="n">
        <v>3486.9</v>
      </c>
      <c r="FW294" s="2" t="n">
        <v>306</v>
      </c>
      <c r="FX294" s="2" t="n">
        <v>123.6</v>
      </c>
      <c r="GA294" s="2" t="n">
        <v>77.09999999999999</v>
      </c>
      <c r="GC294" s="2" t="n">
        <v>73.5</v>
      </c>
      <c r="GD294" s="2" t="e">
        <v>#VALUE!</v>
      </c>
      <c r="GH294" s="2" t="n">
        <v>1073.9</v>
      </c>
      <c r="GM294" s="2" t="n">
        <v>57.1</v>
      </c>
      <c r="GN294" s="2" t="n">
        <v>57.6</v>
      </c>
      <c r="GQ294" s="2" t="n">
        <v>25.9</v>
      </c>
      <c r="GS294" s="2" t="e">
        <v>#VALUE!</v>
      </c>
      <c r="GT294" s="2" t="e">
        <v>#VALUE!</v>
      </c>
      <c r="GX294" s="2" t="n">
        <v>328.8</v>
      </c>
      <c r="GY294" s="2" t="n">
        <v>0.974438293715402</v>
      </c>
      <c r="GZ294" s="2" t="n">
        <v>1197</v>
      </c>
      <c r="HA294" s="2" t="n">
        <v>1228.4</v>
      </c>
      <c r="HB294" s="2" t="n">
        <v>-216.3356556617998</v>
      </c>
      <c r="HC294" s="2" t="n">
        <v>-163.2908691772006</v>
      </c>
      <c r="HD294" s="2" t="n">
        <v>1178.7643443382</v>
      </c>
      <c r="HE294" s="2" t="n">
        <v>-24.40000000000009</v>
      </c>
      <c r="HF294" s="2" t="n">
        <v>1395.1</v>
      </c>
      <c r="HG294" s="2" t="n">
        <v>1347.8</v>
      </c>
      <c r="HH294" s="2" t="n">
        <v>665.3</v>
      </c>
      <c r="HI294" s="2" t="n">
        <v>106.3</v>
      </c>
      <c r="HJ294" s="2" t="n">
        <v>563.9</v>
      </c>
      <c r="HK294" s="2" t="n">
        <v>12.2</v>
      </c>
      <c r="HL294" s="2" t="n">
        <v>47.3</v>
      </c>
      <c r="HP294" s="2" t="e">
        <v>#VALUE!</v>
      </c>
      <c r="HQ294" s="2" t="n">
        <v>4.4</v>
      </c>
      <c r="HR294" s="2" t="n">
        <v>6.2</v>
      </c>
      <c r="HS294" s="2" t="e">
        <v>#VALUE!</v>
      </c>
      <c r="HT294" s="2" t="n">
        <v>29.8</v>
      </c>
      <c r="HW294" s="2" t="n">
        <v>263.6</v>
      </c>
      <c r="HX294" s="2" t="e">
        <v>#VALUE!</v>
      </c>
      <c r="HY294" s="2" t="n">
        <v>263.6</v>
      </c>
      <c r="HZ294" s="2" t="n">
        <v>37.6</v>
      </c>
      <c r="IA294" s="2" t="n">
        <v>208.4</v>
      </c>
      <c r="IB294" s="2" t="n">
        <v>79.40000000000001</v>
      </c>
      <c r="IC294" s="2" t="n">
        <v>129</v>
      </c>
      <c r="ID294" s="2" t="n">
        <v>74.09999999999999</v>
      </c>
      <c r="IE294" s="2" t="n">
        <v>54.9</v>
      </c>
      <c r="IF294" s="2" t="e">
        <v>#VALUE!</v>
      </c>
      <c r="IG294" s="2" t="e">
        <v>#VALUE!</v>
      </c>
      <c r="IL294" s="2" t="n">
        <v>17.60000000000002</v>
      </c>
      <c r="IN294" s="2" t="n">
        <v>64.3</v>
      </c>
      <c r="IO294" s="2" t="n">
        <v>64.5</v>
      </c>
      <c r="IP294" s="2" t="e">
        <v>#VALUE!</v>
      </c>
      <c r="IQ294" s="2" t="n">
        <v>35.9</v>
      </c>
      <c r="IR294" s="2" t="n">
        <v>11.9</v>
      </c>
      <c r="IS294" s="2" t="e">
        <v>#VALUE!</v>
      </c>
      <c r="IT294" s="2" t="n">
        <v>22</v>
      </c>
      <c r="IU294" s="2" t="e">
        <v>#VALUE!</v>
      </c>
      <c r="IV294" s="2" t="e">
        <v>#VALUE!</v>
      </c>
      <c r="IY294" s="2" t="n">
        <v>47.6737491432488</v>
      </c>
      <c r="IZ294" s="2" t="n">
        <v>0.1137491432487963</v>
      </c>
      <c r="JB294" s="2" t="n">
        <v>11.09184372858122</v>
      </c>
      <c r="JC294" s="2" t="n">
        <v>-0.10815627141878</v>
      </c>
      <c r="JE294" s="2" t="n">
        <v>1950.8</v>
      </c>
      <c r="JF294" s="2" t="n">
        <v>0.588399630920648</v>
      </c>
    </row>
    <row r="295">
      <c r="A295" s="1" t="n">
        <v>38018</v>
      </c>
      <c r="B295" s="2" t="n">
        <v>3941.8</v>
      </c>
      <c r="C295" s="2" t="n">
        <v>3734.9</v>
      </c>
      <c r="D295" s="2" t="n">
        <v>242.3</v>
      </c>
      <c r="E295" s="2" t="n">
        <v>1372.3</v>
      </c>
      <c r="F295" s="2" t="n">
        <v>17.9</v>
      </c>
      <c r="G295" s="2" t="inlineStr">
        <is>
          <t>NA</t>
        </is>
      </c>
      <c r="H295" s="2" t="inlineStr">
        <is>
          <t>NA</t>
        </is>
      </c>
      <c r="I295" s="2" t="inlineStr">
        <is>
          <t>NA</t>
        </is>
      </c>
      <c r="J295" s="2" t="inlineStr">
        <is>
          <t>NA</t>
        </is>
      </c>
      <c r="K295" s="2" t="n">
        <v>1462.4</v>
      </c>
      <c r="L295" s="2" t="n">
        <v>1998.3</v>
      </c>
      <c r="M295" s="2" t="n">
        <v>1803.9</v>
      </c>
      <c r="N295" s="2" t="n">
        <v>194.4</v>
      </c>
      <c r="O295" s="2" t="n">
        <v>75.7</v>
      </c>
      <c r="P295" s="2" t="n">
        <v>103.2</v>
      </c>
      <c r="Q295" s="2" t="n">
        <v>6.7</v>
      </c>
      <c r="R295" s="2" t="n">
        <v>96.5</v>
      </c>
      <c r="T295" s="2" t="n">
        <v>15.7</v>
      </c>
      <c r="U295" s="2" t="n">
        <v>16.2</v>
      </c>
      <c r="V295" s="2" t="n">
        <v>12.5</v>
      </c>
      <c r="W295" s="2" t="n">
        <v>3.7</v>
      </c>
      <c r="X295" s="2" t="inlineStr">
        <is>
          <t>NA</t>
        </is>
      </c>
      <c r="Y295" s="2" t="inlineStr">
        <is>
          <t>NA</t>
        </is>
      </c>
      <c r="Z295" s="2" t="n">
        <v>120</v>
      </c>
      <c r="AA295" s="2" t="n">
        <v>107.1</v>
      </c>
      <c r="AB295" s="2" t="n">
        <v>12.9</v>
      </c>
      <c r="AC295" s="2" t="inlineStr">
        <is>
          <t>NA</t>
        </is>
      </c>
      <c r="AD295" s="2" t="inlineStr">
        <is>
          <t>NA</t>
        </is>
      </c>
      <c r="AF295" s="2" t="n">
        <v>89.09999999999999</v>
      </c>
      <c r="AG295" s="2" t="n">
        <v>64.7</v>
      </c>
      <c r="AH295" s="2" t="n">
        <v>24.4</v>
      </c>
      <c r="AI295" s="2" t="n">
        <v>182.9</v>
      </c>
      <c r="AL295" s="2" t="n">
        <v>131.8</v>
      </c>
      <c r="AM295" s="2" t="n">
        <v>76.62817545906088</v>
      </c>
      <c r="AN295" s="2" t="n">
        <v>55.17182454093913</v>
      </c>
      <c r="AO295" s="2" t="n">
        <v>2921.8</v>
      </c>
      <c r="AP295" s="2" t="n">
        <v>369.2</v>
      </c>
      <c r="AQ295" s="2" t="n">
        <v>223</v>
      </c>
      <c r="AR295" s="2" t="n">
        <v>46.6</v>
      </c>
      <c r="AS295" s="2" t="n">
        <v>105.1</v>
      </c>
      <c r="AT295" s="2" t="n">
        <v>32.8</v>
      </c>
      <c r="AU295" s="2" t="n">
        <v>69.3</v>
      </c>
      <c r="AV295" s="2" t="n">
        <v>37.1</v>
      </c>
      <c r="AW295" s="2" t="n">
        <v>10.3</v>
      </c>
      <c r="AX295" s="2" t="inlineStr">
        <is>
          <t>NA</t>
        </is>
      </c>
      <c r="AY295" s="2" t="inlineStr">
        <is>
          <t>NA</t>
        </is>
      </c>
      <c r="AZ295" s="2" t="inlineStr">
        <is>
          <t>NA</t>
        </is>
      </c>
      <c r="BA295" s="2" t="inlineStr">
        <is>
          <t>NA</t>
        </is>
      </c>
      <c r="BB295" s="2" t="inlineStr">
        <is>
          <t>NA</t>
        </is>
      </c>
      <c r="BD295" s="2" t="n">
        <v>142.1</v>
      </c>
      <c r="BE295" s="2" t="n">
        <v>23.3</v>
      </c>
      <c r="BF295" s="2" t="n">
        <v>61.9</v>
      </c>
      <c r="BG295" s="2" t="n">
        <v>10</v>
      </c>
      <c r="BH295" s="2" t="n">
        <v>297.2</v>
      </c>
      <c r="BI295" s="2" t="n">
        <v>115.7</v>
      </c>
      <c r="BJ295" s="2" t="n">
        <v>89.09999999999999</v>
      </c>
      <c r="BK295" s="2" t="n">
        <v>204.8</v>
      </c>
      <c r="BL295" s="2" t="n">
        <v>0</v>
      </c>
      <c r="BM295" s="2" t="n">
        <v>502</v>
      </c>
      <c r="BN295" s="2" t="n">
        <v>245.8</v>
      </c>
      <c r="BO295" s="2" t="n">
        <v>59.9</v>
      </c>
      <c r="BP295" s="2" t="n">
        <v>34.8</v>
      </c>
      <c r="BQ295" s="2" t="n">
        <v>94.69999999999999</v>
      </c>
      <c r="BR295" s="2" t="n">
        <v>0</v>
      </c>
      <c r="BS295" s="2" t="n">
        <v>340.5</v>
      </c>
      <c r="BT295" s="2" t="n">
        <v>22.5</v>
      </c>
      <c r="BU295" s="2" t="n">
        <v>18.2</v>
      </c>
      <c r="BV295" s="2" t="inlineStr">
        <is>
          <t>NA</t>
        </is>
      </c>
      <c r="BW295" s="2" t="inlineStr">
        <is>
          <t>NA</t>
        </is>
      </c>
      <c r="BX295" s="2" t="n">
        <v>345.4</v>
      </c>
      <c r="BY295" s="2" t="inlineStr">
        <is>
          <t>NA</t>
        </is>
      </c>
      <c r="BZ295" s="2" t="inlineStr">
        <is>
          <t>NA</t>
        </is>
      </c>
      <c r="CA295" s="2" t="n">
        <v>53.9</v>
      </c>
      <c r="CB295" s="2" t="n">
        <v>77.40000000000001</v>
      </c>
      <c r="CC295" s="2" t="inlineStr">
        <is>
          <t>NA</t>
        </is>
      </c>
      <c r="CD295" s="2" t="n">
        <v>93.2</v>
      </c>
      <c r="CE295" s="2" t="n">
        <v>10.9</v>
      </c>
      <c r="CF295" s="2" t="n">
        <v>101.6</v>
      </c>
      <c r="CG295" s="2" t="n">
        <v>216.2</v>
      </c>
      <c r="CH295" s="2" t="n">
        <v>13.72</v>
      </c>
      <c r="CK295" s="2" t="n">
        <v>197.6</v>
      </c>
      <c r="CL295" s="2" t="n">
        <v>35.4</v>
      </c>
      <c r="CN295" s="2" t="n">
        <v>36.9</v>
      </c>
      <c r="CO295" s="2" t="n">
        <v>192.6</v>
      </c>
      <c r="CP295" s="2" t="n">
        <v>125.7</v>
      </c>
      <c r="CQ295" s="2" t="n">
        <v>66.90000000000001</v>
      </c>
      <c r="CR295" s="2" t="inlineStr">
        <is>
          <t>NA</t>
        </is>
      </c>
      <c r="CS295" s="2" t="n">
        <v>37.5</v>
      </c>
      <c r="CT295" s="2" t="n">
        <v>24.2</v>
      </c>
      <c r="CU295" s="2" t="n">
        <v>13.3</v>
      </c>
      <c r="CV295" s="2" t="n">
        <v>68.40000000000001</v>
      </c>
      <c r="CW295" s="2" t="inlineStr">
        <is>
          <t>NA</t>
        </is>
      </c>
      <c r="CX295" s="2" t="inlineStr">
        <is>
          <t>NA</t>
        </is>
      </c>
      <c r="CY295" s="2" t="inlineStr">
        <is>
          <t>NA</t>
        </is>
      </c>
      <c r="CZ295" s="2" t="n">
        <v>71.90000000000001</v>
      </c>
      <c r="DA295" s="2" t="n">
        <v>17.8</v>
      </c>
      <c r="DB295" s="2" t="inlineStr">
        <is>
          <t>NA</t>
        </is>
      </c>
      <c r="DC295" s="2" t="inlineStr">
        <is>
          <t>NA</t>
        </is>
      </c>
      <c r="DI295" s="2" t="n">
        <v>610.3</v>
      </c>
      <c r="DJ295" s="2" t="n">
        <v>330</v>
      </c>
      <c r="DM295" s="2" t="n">
        <v>250.8</v>
      </c>
      <c r="DO295" s="2" t="n">
        <v>168.1</v>
      </c>
      <c r="DP295" s="2" t="n">
        <v>271.8</v>
      </c>
      <c r="DS295" s="2" t="n">
        <v>2140.206</v>
      </c>
      <c r="DT295" s="2" t="n">
        <v>3941.8</v>
      </c>
      <c r="DU295" s="2" t="n">
        <v>-170.5940000000001</v>
      </c>
      <c r="DV295" s="2" t="n">
        <v>0</v>
      </c>
      <c r="EA295" s="2" t="n">
        <v>791.8</v>
      </c>
      <c r="EB295" s="2" t="n">
        <v>479.9</v>
      </c>
      <c r="EE295" s="2" t="n">
        <v>137.4</v>
      </c>
      <c r="EG295" s="2" t="n">
        <v>198.6</v>
      </c>
      <c r="EH295" s="2" t="e">
        <v>#VALUE!</v>
      </c>
      <c r="EL295" s="2" t="n">
        <v>3734.9</v>
      </c>
      <c r="EQ295" s="2" t="n">
        <v>230.1</v>
      </c>
      <c r="ER295" s="2" t="n">
        <v>121.3</v>
      </c>
      <c r="EU295" s="2" t="n">
        <v>95.59999999999999</v>
      </c>
      <c r="EW295" s="2" t="n">
        <v>63.2</v>
      </c>
      <c r="EX295" s="2" t="n">
        <v>95.7</v>
      </c>
      <c r="FB295" s="2" t="n">
        <v>1462.4</v>
      </c>
      <c r="FG295" s="2" t="n">
        <v>485.3</v>
      </c>
      <c r="FH295" s="2" t="n">
        <v>265.8</v>
      </c>
      <c r="FK295" s="2" t="n">
        <v>201.3</v>
      </c>
      <c r="FM295" s="2" t="n">
        <v>134.7</v>
      </c>
      <c r="FN295" s="2" t="n">
        <v>224.3</v>
      </c>
      <c r="FR295" s="2" t="n">
        <v>3153</v>
      </c>
      <c r="FW295" s="2" t="n">
        <v>295</v>
      </c>
      <c r="FX295" s="2" t="n">
        <v>122.5</v>
      </c>
      <c r="GA295" s="2" t="n">
        <v>78.2</v>
      </c>
      <c r="GC295" s="2" t="n">
        <v>68.3</v>
      </c>
      <c r="GD295" s="2" t="e">
        <v>#VALUE!</v>
      </c>
      <c r="GH295" s="2" t="n">
        <v>1059.9</v>
      </c>
      <c r="GM295" s="2" t="n">
        <v>60.1</v>
      </c>
      <c r="GN295" s="2" t="n">
        <v>82.5</v>
      </c>
      <c r="GQ295" s="2" t="n">
        <v>38.1</v>
      </c>
      <c r="GS295" s="2" t="e">
        <v>#VALUE!</v>
      </c>
      <c r="GT295" s="2" t="e">
        <v>#VALUE!</v>
      </c>
      <c r="GX295" s="2" t="n">
        <v>415.8</v>
      </c>
      <c r="GY295" s="2" t="n">
        <v>0.9756038058062942</v>
      </c>
      <c r="GZ295" s="2" t="n">
        <v>1199.7</v>
      </c>
      <c r="HA295" s="2" t="n">
        <v>1229.7</v>
      </c>
      <c r="HB295" s="2" t="n">
        <v>-79.01143564459994</v>
      </c>
      <c r="HC295" s="2" t="n">
        <v>73.4723485854006</v>
      </c>
      <c r="HD295" s="2" t="n">
        <v>1355.2885643554</v>
      </c>
      <c r="HE295" s="2" t="n">
        <v>67.29999999999995</v>
      </c>
      <c r="HF295" s="2" t="n">
        <v>1434.3</v>
      </c>
      <c r="HG295" s="2" t="n">
        <v>1388.3</v>
      </c>
      <c r="HH295" s="2" t="n">
        <v>668.6</v>
      </c>
      <c r="HI295" s="2" t="n">
        <v>93.09999999999999</v>
      </c>
      <c r="HJ295" s="2" t="n">
        <v>614.6</v>
      </c>
      <c r="HK295" s="2" t="n">
        <v>12.1</v>
      </c>
      <c r="HL295" s="2" t="n">
        <v>46</v>
      </c>
      <c r="HP295" s="2" t="e">
        <v>#VALUE!</v>
      </c>
      <c r="HQ295" s="2" t="n">
        <v>3.6</v>
      </c>
      <c r="HR295" s="2" t="n">
        <v>9</v>
      </c>
      <c r="HS295" s="2" t="e">
        <v>#VALUE!</v>
      </c>
      <c r="HT295" s="2" t="n">
        <v>26.9</v>
      </c>
      <c r="HW295" s="2" t="n">
        <v>264.1</v>
      </c>
      <c r="HX295" s="2" t="e">
        <v>#VALUE!</v>
      </c>
      <c r="HY295" s="2" t="n">
        <v>264.1</v>
      </c>
      <c r="HZ295" s="2" t="n">
        <v>49.2</v>
      </c>
      <c r="IA295" s="2" t="n">
        <v>193.6</v>
      </c>
      <c r="IB295" s="2" t="n">
        <v>73.8</v>
      </c>
      <c r="IC295" s="2" t="n">
        <v>119.8</v>
      </c>
      <c r="ID295" s="2" t="n">
        <v>69.59999999999999</v>
      </c>
      <c r="IE295" s="2" t="n">
        <v>50.2</v>
      </c>
      <c r="IF295" s="2" t="e">
        <v>#VALUE!</v>
      </c>
      <c r="IG295" s="2" t="e">
        <v>#VALUE!</v>
      </c>
      <c r="IL295" s="2" t="n">
        <v>21.30000000000004</v>
      </c>
      <c r="IN295" s="2" t="n">
        <v>58.4</v>
      </c>
      <c r="IO295" s="2" t="n">
        <v>58.6</v>
      </c>
      <c r="IP295" s="2" t="e">
        <v>#VALUE!</v>
      </c>
      <c r="IQ295" s="2" t="n">
        <v>35.7</v>
      </c>
      <c r="IR295" s="2" t="n">
        <v>9.9</v>
      </c>
      <c r="IS295" s="2" t="e">
        <v>#VALUE!</v>
      </c>
      <c r="IT295" s="2" t="n">
        <v>23.9</v>
      </c>
      <c r="IU295" s="2" t="e">
        <v>#VALUE!</v>
      </c>
      <c r="IV295" s="2" t="e">
        <v>#VALUE!</v>
      </c>
      <c r="IY295" s="2" t="n">
        <v>47.86848647825866</v>
      </c>
      <c r="IZ295" s="2" t="n">
        <v>0.2184864782586615</v>
      </c>
      <c r="JB295" s="2" t="n">
        <v>11.12994063625755</v>
      </c>
      <c r="JC295" s="2" t="n">
        <v>-0.07005936374245181</v>
      </c>
      <c r="JE295" s="2" t="n">
        <v>1998.3</v>
      </c>
      <c r="JF295" s="2" t="n">
        <v>0.7543341840564479</v>
      </c>
    </row>
    <row r="296">
      <c r="A296" s="1" t="n">
        <v>38047</v>
      </c>
      <c r="B296" s="2" t="n">
        <v>3887.9</v>
      </c>
      <c r="C296" s="2" t="n">
        <v>4028.7</v>
      </c>
      <c r="D296" s="2" t="n">
        <v>278</v>
      </c>
      <c r="E296" s="2" t="n">
        <v>1167.9</v>
      </c>
      <c r="F296" s="2" t="n">
        <v>15.5</v>
      </c>
      <c r="G296" s="2" t="inlineStr">
        <is>
          <t>NA</t>
        </is>
      </c>
      <c r="H296" s="2" t="inlineStr">
        <is>
          <t>NA</t>
        </is>
      </c>
      <c r="I296" s="2" t="inlineStr">
        <is>
          <t>NA</t>
        </is>
      </c>
      <c r="J296" s="2" t="inlineStr">
        <is>
          <t>NA</t>
        </is>
      </c>
      <c r="K296" s="2" t="n">
        <v>1461.4</v>
      </c>
      <c r="L296" s="2" t="n">
        <v>1856.5</v>
      </c>
      <c r="M296" s="2" t="n">
        <v>1676.7</v>
      </c>
      <c r="N296" s="2" t="n">
        <v>179.8</v>
      </c>
      <c r="O296" s="2" t="n">
        <v>87.2</v>
      </c>
      <c r="P296" s="2" t="n">
        <v>121</v>
      </c>
      <c r="Q296" s="2" t="n">
        <v>9.9</v>
      </c>
      <c r="R296" s="2" t="n">
        <v>111.1</v>
      </c>
      <c r="T296" s="2" t="n">
        <v>13</v>
      </c>
      <c r="U296" s="2" t="n">
        <v>51.9</v>
      </c>
      <c r="V296" s="2" t="n">
        <v>48.4</v>
      </c>
      <c r="W296" s="2" t="n">
        <v>3.5</v>
      </c>
      <c r="X296" s="2" t="inlineStr">
        <is>
          <t>NA</t>
        </is>
      </c>
      <c r="Y296" s="2" t="inlineStr">
        <is>
          <t>NA</t>
        </is>
      </c>
      <c r="Z296" s="2" t="n">
        <v>145.5</v>
      </c>
      <c r="AA296" s="2" t="n">
        <v>134.7</v>
      </c>
      <c r="AB296" s="2" t="n">
        <v>10.8</v>
      </c>
      <c r="AC296" s="2" t="inlineStr">
        <is>
          <t>NA</t>
        </is>
      </c>
      <c r="AD296" s="2" t="n">
        <v>36.5</v>
      </c>
      <c r="AF296" s="2" t="n">
        <v>120.1</v>
      </c>
      <c r="AG296" s="2" t="n">
        <v>100.7</v>
      </c>
      <c r="AH296" s="2" t="n">
        <v>19.4</v>
      </c>
      <c r="AI296" s="2" t="n">
        <v>195.8</v>
      </c>
      <c r="AL296" s="2" t="n">
        <v>129</v>
      </c>
      <c r="AM296" s="2" t="n">
        <v>67.7</v>
      </c>
      <c r="AN296" s="2" t="n">
        <v>61.3</v>
      </c>
      <c r="AO296" s="2" t="n">
        <v>2872.5</v>
      </c>
      <c r="AP296" s="2" t="n">
        <v>348.4</v>
      </c>
      <c r="AQ296" s="2" t="n">
        <v>219.9</v>
      </c>
      <c r="AR296" s="2" t="n">
        <v>26.5</v>
      </c>
      <c r="AS296" s="2" t="n">
        <v>123.4</v>
      </c>
      <c r="AT296" s="2" t="n">
        <v>37.6</v>
      </c>
      <c r="AU296" s="2" t="n">
        <v>77.2</v>
      </c>
      <c r="AV296" s="2" t="n">
        <v>37.5</v>
      </c>
      <c r="AW296" s="2" t="n">
        <v>8.800000000000001</v>
      </c>
      <c r="AX296" s="2" t="inlineStr">
        <is>
          <t>NA</t>
        </is>
      </c>
      <c r="AY296" s="2" t="inlineStr">
        <is>
          <t>NA</t>
        </is>
      </c>
      <c r="AZ296" s="2" t="inlineStr">
        <is>
          <t>NA</t>
        </is>
      </c>
      <c r="BA296" s="2" t="inlineStr">
        <is>
          <t>NA</t>
        </is>
      </c>
      <c r="BB296" s="2" t="inlineStr">
        <is>
          <t>NA</t>
        </is>
      </c>
      <c r="BD296" s="2" t="n">
        <v>159.5</v>
      </c>
      <c r="BE296" s="2" t="n">
        <v>27.7</v>
      </c>
      <c r="BF296" s="2" t="n">
        <v>70.09999999999999</v>
      </c>
      <c r="BG296" s="2" t="n">
        <v>6.1</v>
      </c>
      <c r="BH296" s="2" t="n">
        <v>335.6</v>
      </c>
      <c r="BI296" s="2" t="n">
        <v>125.4</v>
      </c>
      <c r="BJ296" s="2" t="n">
        <v>98.90000000000001</v>
      </c>
      <c r="BK296" s="2" t="n">
        <v>224.3</v>
      </c>
      <c r="BL296" s="2" t="n">
        <v>0</v>
      </c>
      <c r="BM296" s="2" t="n">
        <v>559.9000000000001</v>
      </c>
      <c r="BN296" s="2" t="n">
        <v>277.8</v>
      </c>
      <c r="BO296" s="2" t="n">
        <v>69.09999999999999</v>
      </c>
      <c r="BP296" s="2" t="n">
        <v>41.1</v>
      </c>
      <c r="BQ296" s="2" t="n">
        <v>110.2</v>
      </c>
      <c r="BR296" s="2" t="n">
        <v>0</v>
      </c>
      <c r="BS296" s="2" t="n">
        <v>388</v>
      </c>
      <c r="BT296" s="2" t="n">
        <v>22.2</v>
      </c>
      <c r="BU296" s="2" t="n">
        <v>19.4</v>
      </c>
      <c r="BV296" s="2" t="inlineStr">
        <is>
          <t>NA</t>
        </is>
      </c>
      <c r="BW296" s="2" t="inlineStr">
        <is>
          <t>NA</t>
        </is>
      </c>
      <c r="BX296" s="2" t="n">
        <v>391.9</v>
      </c>
      <c r="BY296" s="2" t="inlineStr">
        <is>
          <t>NA</t>
        </is>
      </c>
      <c r="BZ296" s="2" t="inlineStr">
        <is>
          <t>NA</t>
        </is>
      </c>
      <c r="CA296" s="2" t="n">
        <v>44.4</v>
      </c>
      <c r="CB296" s="2" t="n">
        <v>90.59999999999999</v>
      </c>
      <c r="CC296" s="2" t="inlineStr">
        <is>
          <t>NA</t>
        </is>
      </c>
      <c r="CD296" s="2" t="n">
        <v>104.4</v>
      </c>
      <c r="CE296" s="2" t="n">
        <v>12.3</v>
      </c>
      <c r="CF296" s="2" t="n">
        <v>116.5</v>
      </c>
      <c r="CG296" s="2" t="n">
        <v>205.3</v>
      </c>
      <c r="CH296" s="2" t="n">
        <v>14.252</v>
      </c>
      <c r="CK296" s="2" t="n">
        <v>225.2</v>
      </c>
      <c r="CL296" s="2" t="n">
        <v>31.4</v>
      </c>
      <c r="CN296" s="2" t="n">
        <v>45.1</v>
      </c>
      <c r="CO296" s="2" t="n">
        <v>181.7</v>
      </c>
      <c r="CP296" s="2" t="n">
        <v>110</v>
      </c>
      <c r="CQ296" s="2" t="n">
        <v>71.7</v>
      </c>
      <c r="CR296" s="2" t="inlineStr">
        <is>
          <t>NA</t>
        </is>
      </c>
      <c r="CS296" s="2" t="n">
        <v>32.8</v>
      </c>
      <c r="CT296" s="2" t="n">
        <v>24.9</v>
      </c>
      <c r="CU296" s="2" t="n">
        <v>7.9</v>
      </c>
      <c r="CV296" s="2" t="n">
        <v>57.6</v>
      </c>
      <c r="CW296" s="2" t="inlineStr">
        <is>
          <t>NA</t>
        </is>
      </c>
      <c r="CX296" s="2" t="inlineStr">
        <is>
          <t>NA</t>
        </is>
      </c>
      <c r="CY296" s="2" t="n">
        <v>11.945</v>
      </c>
      <c r="CZ296" s="2" t="n">
        <v>54.4</v>
      </c>
      <c r="DA296" s="2" t="n">
        <v>14.2</v>
      </c>
      <c r="DB296" s="2" t="inlineStr">
        <is>
          <t>NA</t>
        </is>
      </c>
      <c r="DC296" s="2" t="inlineStr">
        <is>
          <t>NA</t>
        </is>
      </c>
      <c r="DI296" s="2" t="n">
        <v>526.7</v>
      </c>
      <c r="DJ296" s="2" t="n">
        <v>325.8</v>
      </c>
      <c r="DM296" s="2" t="n">
        <v>274.5</v>
      </c>
      <c r="DO296" s="2" t="n">
        <v>170.2</v>
      </c>
      <c r="DP296" s="2" t="n">
        <v>290.4</v>
      </c>
      <c r="DS296" s="2" t="n">
        <v>2129.306</v>
      </c>
      <c r="DT296" s="2" t="n">
        <v>3887.9</v>
      </c>
      <c r="DU296" s="2" t="n">
        <v>-170.9940000000001</v>
      </c>
      <c r="DV296" s="2" t="n">
        <v>0</v>
      </c>
      <c r="EA296" s="2" t="n">
        <v>793</v>
      </c>
      <c r="EB296" s="2" t="n">
        <v>513.5</v>
      </c>
      <c r="EE296" s="2" t="n">
        <v>140.5</v>
      </c>
      <c r="EG296" s="2" t="n">
        <v>207.9</v>
      </c>
      <c r="EH296" s="2" t="e">
        <v>#VALUE!</v>
      </c>
      <c r="EL296" s="2" t="n">
        <v>4028.7</v>
      </c>
      <c r="EQ296" s="2" t="n">
        <v>203.7</v>
      </c>
      <c r="ER296" s="2" t="n">
        <v>121.5</v>
      </c>
      <c r="EU296" s="2" t="n">
        <v>107.2</v>
      </c>
      <c r="EW296" s="2" t="n">
        <v>64</v>
      </c>
      <c r="EX296" s="2" t="n">
        <v>102.9</v>
      </c>
      <c r="FB296" s="2" t="n">
        <v>1461.4</v>
      </c>
      <c r="FG296" s="2" t="n">
        <v>418.3</v>
      </c>
      <c r="FH296" s="2" t="n">
        <v>260.6</v>
      </c>
      <c r="FK296" s="2" t="n">
        <v>217</v>
      </c>
      <c r="FM296" s="2" t="n">
        <v>136.5</v>
      </c>
      <c r="FN296" s="2" t="n">
        <v>235.6</v>
      </c>
      <c r="FR296" s="2" t="n">
        <v>3101.3</v>
      </c>
      <c r="FW296" s="2" t="n">
        <v>260.3</v>
      </c>
      <c r="FX296" s="2" t="n">
        <v>111.7</v>
      </c>
      <c r="GA296" s="2" t="n">
        <v>70</v>
      </c>
      <c r="GC296" s="2" t="n">
        <v>72.2</v>
      </c>
      <c r="GD296" s="2" t="e">
        <v>#VALUE!</v>
      </c>
      <c r="GH296" s="2" t="n">
        <v>951.6</v>
      </c>
      <c r="GM296" s="2" t="n">
        <v>76.09999999999999</v>
      </c>
      <c r="GN296" s="2" t="n">
        <v>69.59999999999999</v>
      </c>
      <c r="GQ296" s="2" t="n">
        <v>34.3</v>
      </c>
      <c r="GS296" s="2" t="e">
        <v>#VALUE!</v>
      </c>
      <c r="GT296" s="2" t="e">
        <v>#VALUE!</v>
      </c>
      <c r="GX296" s="2" t="n">
        <v>375</v>
      </c>
      <c r="GY296" s="2" t="n">
        <v>0.9736533957845434</v>
      </c>
      <c r="GZ296" s="2" t="n">
        <v>1330.4</v>
      </c>
      <c r="HA296" s="2" t="n">
        <v>1366.4</v>
      </c>
      <c r="HB296" s="2" t="n">
        <v>-30.57175470219954</v>
      </c>
      <c r="HC296" s="2" t="n">
        <v>156.0196628274007</v>
      </c>
      <c r="HD296" s="2" t="n">
        <v>1532.828245297801</v>
      </c>
      <c r="HE296" s="2" t="n">
        <v>74.80000000000018</v>
      </c>
      <c r="HF296" s="2" t="n">
        <v>1563.4</v>
      </c>
      <c r="HG296" s="2" t="n">
        <v>1506.7</v>
      </c>
      <c r="HH296" s="2" t="n">
        <v>719.4</v>
      </c>
      <c r="HI296" s="2" t="n">
        <v>102.3</v>
      </c>
      <c r="HJ296" s="2" t="n">
        <v>671.4</v>
      </c>
      <c r="HK296" s="2" t="n">
        <v>13.6</v>
      </c>
      <c r="HL296" s="2" t="n">
        <v>56.8</v>
      </c>
      <c r="HP296" s="2" t="e">
        <v>#VALUE!</v>
      </c>
      <c r="HQ296" s="2" t="n">
        <v>8</v>
      </c>
      <c r="HR296" s="2" t="n">
        <v>9.699999999999999</v>
      </c>
      <c r="HS296" s="2" t="e">
        <v>#VALUE!</v>
      </c>
      <c r="HT296" s="2" t="n">
        <v>30.4</v>
      </c>
      <c r="HW296" s="2" t="n">
        <v>314.3</v>
      </c>
      <c r="HX296" s="2" t="e">
        <v>#VALUE!</v>
      </c>
      <c r="HY296" s="2" t="n">
        <v>314.3</v>
      </c>
      <c r="HZ296" s="2" t="n">
        <v>63.4</v>
      </c>
      <c r="IA296" s="2" t="n">
        <v>228</v>
      </c>
      <c r="IB296" s="2" t="n">
        <v>87.09999999999999</v>
      </c>
      <c r="IC296" s="2" t="n">
        <v>140.9</v>
      </c>
      <c r="ID296" s="2" t="n">
        <v>80.09999999999999</v>
      </c>
      <c r="IE296" s="2" t="n">
        <v>60.8</v>
      </c>
      <c r="IF296" s="2" t="e">
        <v>#VALUE!</v>
      </c>
      <c r="IG296" s="2" t="e">
        <v>#VALUE!</v>
      </c>
      <c r="IL296" s="2" t="n">
        <v>22.90000000000001</v>
      </c>
      <c r="IN296" s="2" t="n">
        <v>68.3</v>
      </c>
      <c r="IO296" s="2" t="n">
        <v>68.5</v>
      </c>
      <c r="IP296" s="2" t="e">
        <v>#VALUE!</v>
      </c>
      <c r="IQ296" s="2" t="n">
        <v>36.8</v>
      </c>
      <c r="IR296" s="2" t="n">
        <v>14.2</v>
      </c>
      <c r="IS296" s="2" t="e">
        <v>#VALUE!</v>
      </c>
      <c r="IT296" s="2" t="n">
        <v>20.5</v>
      </c>
      <c r="IU296" s="2" t="e">
        <v>#VALUE!</v>
      </c>
      <c r="IV296" s="2" t="e">
        <v>#VALUE!</v>
      </c>
      <c r="IY296" s="2" t="n">
        <v>47.72344967720363</v>
      </c>
      <c r="IZ296" s="2" t="n">
        <v>0.1734496772036351</v>
      </c>
      <c r="JB296" s="2" t="n">
        <v>11.27652460197022</v>
      </c>
      <c r="JC296" s="2" t="n">
        <v>0.07652460197021682</v>
      </c>
      <c r="JE296" s="2" t="n">
        <v>1856.5</v>
      </c>
      <c r="JF296" s="2" t="n">
        <v>0.7498475626178293</v>
      </c>
    </row>
    <row r="297">
      <c r="A297" s="1" t="n">
        <v>38078</v>
      </c>
      <c r="B297" s="2" t="n">
        <v>3375.3</v>
      </c>
      <c r="C297" s="2" t="n">
        <v>3442.5</v>
      </c>
      <c r="D297" s="2" t="n">
        <v>217.1</v>
      </c>
      <c r="E297" s="2" t="n">
        <v>1011.3</v>
      </c>
      <c r="F297" s="2" t="n">
        <v>15.6</v>
      </c>
      <c r="G297" s="2" t="inlineStr">
        <is>
          <t>NA</t>
        </is>
      </c>
      <c r="H297" s="2" t="inlineStr">
        <is>
          <t>NA</t>
        </is>
      </c>
      <c r="I297" s="2" t="inlineStr">
        <is>
          <t>NA</t>
        </is>
      </c>
      <c r="J297" s="2" t="inlineStr">
        <is>
          <t>NA</t>
        </is>
      </c>
      <c r="K297" s="2" t="n">
        <v>1260.3</v>
      </c>
      <c r="L297" s="2" t="n">
        <v>1643.8</v>
      </c>
      <c r="M297" s="2" t="n">
        <v>1452.1</v>
      </c>
      <c r="N297" s="2" t="n">
        <v>191.7</v>
      </c>
      <c r="O297" s="2" t="n">
        <v>67</v>
      </c>
      <c r="P297" s="2" t="n">
        <v>116.8</v>
      </c>
      <c r="Q297" s="2" t="n">
        <v>7.7</v>
      </c>
      <c r="R297" s="2" t="n">
        <v>109.1</v>
      </c>
      <c r="T297" s="2" t="n">
        <v>14.7</v>
      </c>
      <c r="U297" s="2" t="n">
        <v>80.90000000000001</v>
      </c>
      <c r="V297" s="2" t="inlineStr">
        <is>
          <t>NA</t>
        </is>
      </c>
      <c r="W297" s="2" t="inlineStr">
        <is>
          <t>NA</t>
        </is>
      </c>
      <c r="X297" s="2" t="inlineStr">
        <is>
          <t>NA</t>
        </is>
      </c>
      <c r="Y297" s="2" t="inlineStr">
        <is>
          <t>NA</t>
        </is>
      </c>
      <c r="Z297" s="2" t="n">
        <v>95.59999999999999</v>
      </c>
      <c r="AA297" s="2" t="n">
        <v>87</v>
      </c>
      <c r="AB297" s="2" t="n">
        <v>8.6</v>
      </c>
      <c r="AC297" s="2" t="inlineStr">
        <is>
          <t>NA</t>
        </is>
      </c>
      <c r="AD297" s="2" t="inlineStr">
        <is>
          <t>NA</t>
        </is>
      </c>
      <c r="AF297" s="2" t="n">
        <v>121.5</v>
      </c>
      <c r="AG297" s="2" t="n">
        <v>104.2</v>
      </c>
      <c r="AH297" s="2" t="n">
        <v>17.3</v>
      </c>
      <c r="AI297" s="2" t="n">
        <v>200</v>
      </c>
      <c r="AL297" s="2" t="n">
        <v>126.5</v>
      </c>
      <c r="AM297" s="2" t="n">
        <v>64.5</v>
      </c>
      <c r="AN297" s="2" t="n">
        <v>62</v>
      </c>
      <c r="AO297" s="2" t="n">
        <v>2493.9</v>
      </c>
      <c r="AP297" s="2" t="n">
        <v>313.8</v>
      </c>
      <c r="AQ297" s="2" t="n">
        <v>188.5</v>
      </c>
      <c r="AR297" s="2" t="n">
        <v>24.8</v>
      </c>
      <c r="AS297" s="2" t="n">
        <v>94.2</v>
      </c>
      <c r="AT297" s="2" t="n">
        <v>47.5</v>
      </c>
      <c r="AU297" s="2" t="n">
        <v>63.7</v>
      </c>
      <c r="AV297" s="2" t="n">
        <v>37.3</v>
      </c>
      <c r="AW297" s="2" t="n">
        <v>9.199999999999999</v>
      </c>
      <c r="AX297" s="2" t="inlineStr">
        <is>
          <t>NA</t>
        </is>
      </c>
      <c r="AY297" s="2" t="inlineStr">
        <is>
          <t>NA</t>
        </is>
      </c>
      <c r="AZ297" s="2" t="inlineStr">
        <is>
          <t>NA</t>
        </is>
      </c>
      <c r="BA297" s="2" t="inlineStr">
        <is>
          <t>NA</t>
        </is>
      </c>
      <c r="BB297" s="2" t="inlineStr">
        <is>
          <t>NA</t>
        </is>
      </c>
      <c r="BD297" s="2" t="n">
        <v>137.1</v>
      </c>
      <c r="BE297" s="2" t="n">
        <v>26.7</v>
      </c>
      <c r="BF297" s="2" t="n">
        <v>67.3</v>
      </c>
      <c r="BG297" s="2" t="n">
        <v>7.4</v>
      </c>
      <c r="BH297" s="2" t="n">
        <v>293.3</v>
      </c>
      <c r="BI297" s="2" t="n">
        <v>126.5</v>
      </c>
      <c r="BJ297" s="2" t="n">
        <v>97.59999999999999</v>
      </c>
      <c r="BK297" s="2" t="n">
        <v>224.1</v>
      </c>
      <c r="BL297" s="2" t="n">
        <v>0</v>
      </c>
      <c r="BM297" s="2" t="n">
        <v>517.4</v>
      </c>
      <c r="BN297" s="2" t="n">
        <v>264.6</v>
      </c>
      <c r="BO297" s="2" t="n">
        <v>72.09999999999999</v>
      </c>
      <c r="BP297" s="2" t="n">
        <v>40.6</v>
      </c>
      <c r="BQ297" s="2" t="n">
        <v>112.7</v>
      </c>
      <c r="BR297" s="2" t="n">
        <v>0</v>
      </c>
      <c r="BS297" s="2" t="n">
        <v>377.3</v>
      </c>
      <c r="BT297" s="2" t="n">
        <v>20.1</v>
      </c>
      <c r="BU297" s="2" t="n">
        <v>20.2</v>
      </c>
      <c r="BV297" s="2" t="inlineStr">
        <is>
          <t>NA</t>
        </is>
      </c>
      <c r="BW297" s="2" t="inlineStr">
        <is>
          <t>NA</t>
        </is>
      </c>
      <c r="BX297" s="2" t="n">
        <v>356.8</v>
      </c>
      <c r="BY297" s="2" t="inlineStr">
        <is>
          <t>NA</t>
        </is>
      </c>
      <c r="BZ297" s="2" t="inlineStr">
        <is>
          <t>NA</t>
        </is>
      </c>
      <c r="CA297" s="2" t="n">
        <v>41.5</v>
      </c>
      <c r="CB297" s="2" t="n">
        <v>88</v>
      </c>
      <c r="CC297" s="2" t="inlineStr">
        <is>
          <t>NA</t>
        </is>
      </c>
      <c r="CD297" s="2" t="n">
        <v>100.7</v>
      </c>
      <c r="CE297" s="2" t="n">
        <v>14.6</v>
      </c>
      <c r="CF297" s="2" t="n">
        <v>106.2</v>
      </c>
      <c r="CG297" s="2" t="n">
        <v>207</v>
      </c>
      <c r="CH297" s="2" t="n">
        <v>12.719</v>
      </c>
      <c r="CK297" s="2" t="n">
        <v>160.8</v>
      </c>
      <c r="CL297" s="2" t="n">
        <v>24.7</v>
      </c>
      <c r="CN297" s="2" t="n">
        <v>53.2</v>
      </c>
      <c r="CO297" s="2" t="n">
        <v>131.3</v>
      </c>
      <c r="CP297" s="2" t="n">
        <v>82.2</v>
      </c>
      <c r="CQ297" s="2" t="n">
        <v>49.1</v>
      </c>
      <c r="CR297" s="2" t="inlineStr">
        <is>
          <t>NA</t>
        </is>
      </c>
      <c r="CS297" s="2" t="n">
        <v>24.4</v>
      </c>
      <c r="CT297" s="2" t="n">
        <v>16.7</v>
      </c>
      <c r="CU297" s="2" t="n">
        <v>7.7</v>
      </c>
      <c r="CV297" s="2" t="n">
        <v>75.2</v>
      </c>
      <c r="CW297" s="2" t="inlineStr">
        <is>
          <t>NA</t>
        </is>
      </c>
      <c r="CX297" s="2" t="inlineStr">
        <is>
          <t>NA</t>
        </is>
      </c>
      <c r="CY297" s="2" t="inlineStr">
        <is>
          <t>NA</t>
        </is>
      </c>
      <c r="CZ297" s="2" t="n">
        <v>81.09999999999999</v>
      </c>
      <c r="DA297" s="2" t="n">
        <v>12.9</v>
      </c>
      <c r="DB297" s="2" t="inlineStr">
        <is>
          <t>NA</t>
        </is>
      </c>
      <c r="DC297" s="2" t="inlineStr">
        <is>
          <t>NA</t>
        </is>
      </c>
      <c r="DI297" s="2" t="n">
        <v>396</v>
      </c>
      <c r="DJ297" s="2" t="n">
        <v>307.4</v>
      </c>
      <c r="DM297" s="2" t="n">
        <v>211.5</v>
      </c>
      <c r="DO297" s="2" t="n">
        <v>167</v>
      </c>
      <c r="DP297" s="2" t="n">
        <v>255.1</v>
      </c>
      <c r="DS297" s="2" t="n">
        <v>1886.662</v>
      </c>
      <c r="DT297" s="2" t="n">
        <v>3375.3</v>
      </c>
      <c r="DU297" s="2" t="n">
        <v>-151.6379999999999</v>
      </c>
      <c r="DV297" s="2" t="n">
        <v>0</v>
      </c>
      <c r="EA297" s="2" t="n">
        <v>696.7</v>
      </c>
      <c r="EB297" s="2" t="n">
        <v>368.5</v>
      </c>
      <c r="EE297" s="2" t="n">
        <v>119.6</v>
      </c>
      <c r="EG297" s="2" t="n">
        <v>181.4</v>
      </c>
      <c r="EH297" s="2" t="e">
        <v>#VALUE!</v>
      </c>
      <c r="EL297" s="2" t="n">
        <v>3442.5</v>
      </c>
      <c r="EQ297" s="2" t="n">
        <v>151.1</v>
      </c>
      <c r="ER297" s="2" t="n">
        <v>115.1</v>
      </c>
      <c r="EU297" s="2" t="n">
        <v>81.8</v>
      </c>
      <c r="EW297" s="2" t="n">
        <v>62.4</v>
      </c>
      <c r="EX297" s="2" t="n">
        <v>90.40000000000001</v>
      </c>
      <c r="FB297" s="2" t="n">
        <v>1260.3</v>
      </c>
      <c r="FG297" s="2" t="n">
        <v>314.2</v>
      </c>
      <c r="FH297" s="2" t="n">
        <v>243.2</v>
      </c>
      <c r="FK297" s="2" t="n">
        <v>169.2</v>
      </c>
      <c r="FM297" s="2" t="n">
        <v>134.2</v>
      </c>
      <c r="FN297" s="2" t="n">
        <v>209.4</v>
      </c>
      <c r="FR297" s="2" t="n">
        <v>2690.1</v>
      </c>
      <c r="FW297" s="2" t="n">
        <v>219.9</v>
      </c>
      <c r="FX297" s="2" t="n">
        <v>109.8</v>
      </c>
      <c r="GA297" s="2" t="n">
        <v>56.1</v>
      </c>
      <c r="GC297" s="2" t="n">
        <v>63.8</v>
      </c>
      <c r="GD297" s="2" t="e">
        <v>#VALUE!</v>
      </c>
      <c r="GH297" s="2" t="n">
        <v>854.2</v>
      </c>
      <c r="GM297" s="2" t="n">
        <v>69</v>
      </c>
      <c r="GN297" s="2" t="n">
        <v>67.7</v>
      </c>
      <c r="GQ297" s="2" t="n">
        <v>17.7</v>
      </c>
      <c r="GS297" s="2" t="n">
        <v>4.7</v>
      </c>
      <c r="GT297" s="2" t="e">
        <v>#VALUE!</v>
      </c>
      <c r="GX297" s="2" t="n">
        <v>338.6</v>
      </c>
      <c r="GY297" s="2" t="n">
        <v>0.9767760664462544</v>
      </c>
      <c r="GZ297" s="2" t="n">
        <v>1211.3</v>
      </c>
      <c r="HA297" s="2" t="n">
        <v>1240.1</v>
      </c>
      <c r="HB297" s="2" t="n">
        <v>-45.00456373079965</v>
      </c>
      <c r="HC297" s="2" t="n">
        <v>60.86396182600015</v>
      </c>
      <c r="HD297" s="2" t="n">
        <v>1436.9954362692</v>
      </c>
      <c r="HE297" s="2" t="n">
        <v>-10.20000000000005</v>
      </c>
      <c r="HF297" s="2" t="n">
        <v>1482</v>
      </c>
      <c r="HG297" s="2" t="n">
        <v>1429.2</v>
      </c>
      <c r="HH297" s="2" t="n">
        <v>658.3</v>
      </c>
      <c r="HI297" s="2" t="n">
        <v>106</v>
      </c>
      <c r="HJ297" s="2" t="n">
        <v>651.7</v>
      </c>
      <c r="HK297" s="2" t="n">
        <v>13.1</v>
      </c>
      <c r="HL297" s="2" t="n">
        <v>52.9</v>
      </c>
      <c r="HP297" s="2" t="e">
        <v>#VALUE!</v>
      </c>
      <c r="HQ297" s="2" t="n">
        <v>8.5</v>
      </c>
      <c r="HR297" s="2" t="n">
        <v>9.9</v>
      </c>
      <c r="HS297" s="2" t="e">
        <v>#VALUE!</v>
      </c>
      <c r="HT297" s="2" t="n">
        <v>28.5</v>
      </c>
      <c r="HW297" s="2" t="n">
        <v>300.2</v>
      </c>
      <c r="HX297" s="2" t="e">
        <v>#VALUE!</v>
      </c>
      <c r="HY297" s="2" t="n">
        <v>300.2</v>
      </c>
      <c r="HZ297" s="2" t="n">
        <v>56.9</v>
      </c>
      <c r="IA297" s="2" t="n">
        <v>221.7</v>
      </c>
      <c r="IB297" s="2" t="n">
        <v>82.09999999999999</v>
      </c>
      <c r="IC297" s="2" t="n">
        <v>139.6</v>
      </c>
      <c r="ID297" s="2" t="n">
        <v>80.59999999999999</v>
      </c>
      <c r="IE297" s="2" t="n">
        <v>59</v>
      </c>
      <c r="IF297" s="2" t="e">
        <v>#VALUE!</v>
      </c>
      <c r="IG297" s="2" t="e">
        <v>#VALUE!</v>
      </c>
      <c r="IL297" s="2" t="n">
        <v>21.59999999999999</v>
      </c>
      <c r="IN297" s="2" t="n">
        <v>55.1</v>
      </c>
      <c r="IO297" s="2" t="n">
        <v>55.1</v>
      </c>
      <c r="IP297" s="2" t="e">
        <v>#VALUE!</v>
      </c>
      <c r="IQ297" s="2" t="n">
        <v>38.1</v>
      </c>
      <c r="IR297" s="2" t="n">
        <v>12.6</v>
      </c>
      <c r="IS297" s="2" t="e">
        <v>#VALUE!</v>
      </c>
      <c r="IT297" s="2" t="n">
        <v>23.5</v>
      </c>
      <c r="IU297" s="2" t="e">
        <v>#VALUE!</v>
      </c>
      <c r="IV297" s="2" t="e">
        <v>#VALUE!</v>
      </c>
      <c r="IY297" s="2" t="n">
        <v>47.68287263354368</v>
      </c>
      <c r="IZ297" s="2" t="n">
        <v>0.1028726335436829</v>
      </c>
      <c r="JB297" s="2" t="n">
        <v>11.2016709625811</v>
      </c>
      <c r="JC297" s="2" t="n">
        <v>-0.07832903741889652</v>
      </c>
      <c r="JE297" s="2" t="n">
        <v>1643.8</v>
      </c>
      <c r="JF297" s="2" t="n">
        <v>0.7388417082370119</v>
      </c>
    </row>
    <row r="298">
      <c r="A298" s="1" t="n">
        <v>38108</v>
      </c>
      <c r="B298" s="2" t="n">
        <v>3524</v>
      </c>
      <c r="C298" s="2" t="n">
        <v>2737.1</v>
      </c>
      <c r="D298" s="2" t="n">
        <v>240.2</v>
      </c>
      <c r="E298" s="2" t="n">
        <v>783.7</v>
      </c>
      <c r="F298" s="2" t="n">
        <v>13.7</v>
      </c>
      <c r="G298" s="2" t="inlineStr">
        <is>
          <t>NA</t>
        </is>
      </c>
      <c r="H298" s="2" t="inlineStr">
        <is>
          <t>NA</t>
        </is>
      </c>
      <c r="I298" s="2" t="inlineStr">
        <is>
          <t>NA</t>
        </is>
      </c>
      <c r="J298" s="2" t="inlineStr">
        <is>
          <t>NA</t>
        </is>
      </c>
      <c r="K298" s="2" t="n">
        <v>1314.6</v>
      </c>
      <c r="L298" s="2" t="n">
        <v>1648.4</v>
      </c>
      <c r="M298" s="2" t="n">
        <v>1407.3</v>
      </c>
      <c r="N298" s="2" t="n">
        <v>241.1</v>
      </c>
      <c r="O298" s="2" t="n">
        <v>73.8</v>
      </c>
      <c r="P298" s="2" t="n">
        <v>123.6</v>
      </c>
      <c r="Q298" s="2" t="n">
        <v>8.199999999999999</v>
      </c>
      <c r="R298" s="2" t="n">
        <v>115.4</v>
      </c>
      <c r="T298" s="2" t="n">
        <v>11.8</v>
      </c>
      <c r="U298" s="2" t="n">
        <v>85.7</v>
      </c>
      <c r="V298" s="2" t="n">
        <v>78.5</v>
      </c>
      <c r="W298" s="2" t="n">
        <v>7.2</v>
      </c>
      <c r="X298" s="2" t="inlineStr">
        <is>
          <t>NA</t>
        </is>
      </c>
      <c r="Y298" s="2" t="inlineStr">
        <is>
          <t>NA</t>
        </is>
      </c>
      <c r="Z298" s="2" t="n">
        <v>90.09999999999999</v>
      </c>
      <c r="AA298" s="2" t="n">
        <v>78.8</v>
      </c>
      <c r="AB298" s="2" t="n">
        <v>11.3</v>
      </c>
      <c r="AC298" s="2" t="inlineStr">
        <is>
          <t>NA</t>
        </is>
      </c>
      <c r="AD298" s="2" t="inlineStr">
        <is>
          <t>NA</t>
        </is>
      </c>
      <c r="AF298" s="2" t="n">
        <v>98.5</v>
      </c>
      <c r="AG298" s="2" t="n">
        <v>74.90000000000001</v>
      </c>
      <c r="AH298" s="2" t="n">
        <v>23.6</v>
      </c>
      <c r="AI298" s="2" t="n">
        <v>197.7</v>
      </c>
      <c r="AL298" s="2" t="n">
        <v>138.9</v>
      </c>
      <c r="AM298" s="2" t="n">
        <v>86.8</v>
      </c>
      <c r="AN298" s="2" t="n">
        <v>52.1</v>
      </c>
      <c r="AO298" s="2" t="n">
        <v>2593.9</v>
      </c>
      <c r="AP298" s="2" t="n">
        <v>421.1</v>
      </c>
      <c r="AQ298" s="2" t="n">
        <v>198.5</v>
      </c>
      <c r="AR298" s="2" t="n">
        <v>44.4</v>
      </c>
      <c r="AS298" s="2" t="n">
        <v>104.7</v>
      </c>
      <c r="AT298" s="2" t="n">
        <v>70.8</v>
      </c>
      <c r="AU298" s="2" t="n">
        <v>69.2</v>
      </c>
      <c r="AV298" s="2" t="n">
        <v>41.9</v>
      </c>
      <c r="AW298" s="2" t="n">
        <v>8</v>
      </c>
      <c r="AX298" s="2" t="n">
        <v>2.2</v>
      </c>
      <c r="AY298" s="2" t="inlineStr">
        <is>
          <t>NA</t>
        </is>
      </c>
      <c r="AZ298" s="2" t="inlineStr">
        <is>
          <t>NA</t>
        </is>
      </c>
      <c r="BA298" s="2" t="inlineStr">
        <is>
          <t>NA</t>
        </is>
      </c>
      <c r="BB298" s="2" t="inlineStr">
        <is>
          <t>NA</t>
        </is>
      </c>
      <c r="BD298" s="2" t="n">
        <v>159</v>
      </c>
      <c r="BE298" s="2" t="n">
        <v>28.9</v>
      </c>
      <c r="BF298" s="2" t="n">
        <v>76.40000000000001</v>
      </c>
      <c r="BG298" s="2" t="n">
        <v>8.5</v>
      </c>
      <c r="BH298" s="2" t="n">
        <v>314.5</v>
      </c>
      <c r="BI298" s="2" t="n">
        <v>121.3</v>
      </c>
      <c r="BJ298" s="2" t="n">
        <v>92.09999999999999</v>
      </c>
      <c r="BK298" s="2" t="n">
        <v>213.4</v>
      </c>
      <c r="BL298" s="2" t="n">
        <v>0</v>
      </c>
      <c r="BM298" s="2" t="n">
        <v>527.9</v>
      </c>
      <c r="BN298" s="2" t="n">
        <v>229.7</v>
      </c>
      <c r="BO298" s="2" t="n">
        <v>55.6</v>
      </c>
      <c r="BP298" s="2" t="n">
        <v>27.9</v>
      </c>
      <c r="BQ298" s="2" t="n">
        <v>83.5</v>
      </c>
      <c r="BR298" s="2" t="n">
        <v>0</v>
      </c>
      <c r="BS298" s="2" t="n">
        <v>313.2</v>
      </c>
      <c r="BT298" s="2" t="n">
        <v>19</v>
      </c>
      <c r="BU298" s="2" t="n">
        <v>14.4</v>
      </c>
      <c r="BV298" s="2" t="inlineStr">
        <is>
          <t>NA</t>
        </is>
      </c>
      <c r="BW298" s="2" t="inlineStr">
        <is>
          <t>NA</t>
        </is>
      </c>
      <c r="BX298" s="2" t="n">
        <v>373.4</v>
      </c>
      <c r="BY298" s="2" t="inlineStr">
        <is>
          <t>NA</t>
        </is>
      </c>
      <c r="BZ298" s="2" t="inlineStr">
        <is>
          <t>NA</t>
        </is>
      </c>
      <c r="CA298" s="2" t="n">
        <v>42.7</v>
      </c>
      <c r="CB298" s="2" t="n">
        <v>86</v>
      </c>
      <c r="CC298" s="2" t="inlineStr">
        <is>
          <t>NA</t>
        </is>
      </c>
      <c r="CD298" s="2" t="n">
        <v>99.8</v>
      </c>
      <c r="CE298" s="2" t="n">
        <v>12.3</v>
      </c>
      <c r="CF298" s="2" t="n">
        <v>111.3</v>
      </c>
      <c r="CG298" s="2" t="n">
        <v>194</v>
      </c>
      <c r="CH298" s="2" t="n">
        <v>16.31</v>
      </c>
      <c r="CK298" s="2" t="n">
        <v>195.6</v>
      </c>
      <c r="CL298" s="2" t="n">
        <v>29.7</v>
      </c>
      <c r="CN298" s="2" t="n">
        <v>55.7</v>
      </c>
      <c r="CO298" s="2" t="n">
        <v>108.7</v>
      </c>
      <c r="CP298" s="2" t="n">
        <v>68.40000000000001</v>
      </c>
      <c r="CQ298" s="2" t="n">
        <v>40.3</v>
      </c>
      <c r="CR298" s="2" t="inlineStr">
        <is>
          <t>NA</t>
        </is>
      </c>
      <c r="CS298" s="2" t="n">
        <v>19.9</v>
      </c>
      <c r="CT298" s="2" t="n">
        <v>7.7</v>
      </c>
      <c r="CU298" s="2" t="n">
        <v>12.2</v>
      </c>
      <c r="CV298" s="2" t="n">
        <v>92.2</v>
      </c>
      <c r="CW298" s="2" t="inlineStr">
        <is>
          <t>NA</t>
        </is>
      </c>
      <c r="CX298" s="2" t="inlineStr">
        <is>
          <t>NA</t>
        </is>
      </c>
      <c r="CY298" s="2" t="inlineStr">
        <is>
          <t>NA</t>
        </is>
      </c>
      <c r="CZ298" s="2" t="n">
        <v>41.8</v>
      </c>
      <c r="DA298" s="2" t="n">
        <v>20.4</v>
      </c>
      <c r="DB298" s="2" t="inlineStr">
        <is>
          <t>NA</t>
        </is>
      </c>
      <c r="DC298" s="2" t="inlineStr">
        <is>
          <t>NA</t>
        </is>
      </c>
      <c r="DI298" s="2" t="n">
        <v>482</v>
      </c>
      <c r="DJ298" s="2" t="n">
        <v>315.7</v>
      </c>
      <c r="DM298" s="2" t="n">
        <v>232.8</v>
      </c>
      <c r="DO298" s="2" t="n">
        <v>156.3</v>
      </c>
      <c r="DP298" s="2" t="n">
        <v>231.3</v>
      </c>
      <c r="DS298" s="2" t="n">
        <v>1960.472</v>
      </c>
      <c r="DT298" s="2" t="n">
        <v>3524</v>
      </c>
      <c r="DU298" s="2" t="n">
        <v>-145.4279999999999</v>
      </c>
      <c r="DV298" s="2" t="n">
        <v>0</v>
      </c>
      <c r="EA298" s="2" t="n">
        <v>541.6</v>
      </c>
      <c r="EB298" s="2" t="n">
        <v>232.8</v>
      </c>
      <c r="EE298" s="2" t="n">
        <v>115.2</v>
      </c>
      <c r="EG298" s="2" t="n">
        <v>174.9</v>
      </c>
      <c r="EH298" s="2" t="e">
        <v>#VALUE!</v>
      </c>
      <c r="EL298" s="2" t="n">
        <v>2737.1</v>
      </c>
      <c r="EQ298" s="2" t="n">
        <v>184</v>
      </c>
      <c r="ER298" s="2" t="n">
        <v>112</v>
      </c>
      <c r="EU298" s="2" t="n">
        <v>90.59999999999999</v>
      </c>
      <c r="EW298" s="2" t="n">
        <v>58.3</v>
      </c>
      <c r="EX298" s="2" t="n">
        <v>82.40000000000001</v>
      </c>
      <c r="FB298" s="2" t="n">
        <v>1314.6</v>
      </c>
      <c r="FG298" s="2" t="n">
        <v>383.1</v>
      </c>
      <c r="FH298" s="2" t="n">
        <v>251.2</v>
      </c>
      <c r="FK298" s="2" t="n">
        <v>186.3</v>
      </c>
      <c r="FM298" s="2" t="n">
        <v>125.4</v>
      </c>
      <c r="FN298" s="2" t="n">
        <v>186.4</v>
      </c>
      <c r="FR298" s="2" t="n">
        <v>2801.3</v>
      </c>
      <c r="FW298" s="2" t="n">
        <v>213.2</v>
      </c>
      <c r="FX298" s="2" t="n">
        <v>92.3</v>
      </c>
      <c r="GA298" s="2" t="n">
        <v>58.3</v>
      </c>
      <c r="GC298" s="2" t="n">
        <v>51.1</v>
      </c>
      <c r="GD298" s="2" t="e">
        <v>#VALUE!</v>
      </c>
      <c r="GH298" s="2" t="n">
        <v>792.5</v>
      </c>
      <c r="GM298" s="2" t="n">
        <v>77.7</v>
      </c>
      <c r="GN298" s="2" t="n">
        <v>85.5</v>
      </c>
      <c r="GQ298" s="2" t="n">
        <v>32.6</v>
      </c>
      <c r="GS298" s="2" t="e">
        <v>#VALUE!</v>
      </c>
      <c r="GT298" s="2" t="e">
        <v>#VALUE!</v>
      </c>
      <c r="GX298" s="2" t="n">
        <v>465.5</v>
      </c>
      <c r="GY298" s="2" t="n">
        <v>0.9687021732476279</v>
      </c>
      <c r="GZ298" s="2" t="n">
        <v>1265.9</v>
      </c>
      <c r="HA298" s="2" t="n">
        <v>1306.8</v>
      </c>
      <c r="HB298" s="2" t="n">
        <v>-244.9463055130002</v>
      </c>
      <c r="HC298" s="2" t="n">
        <v>-176.4290301650001</v>
      </c>
      <c r="HD298" s="2" t="n">
        <v>1269.453694487</v>
      </c>
      <c r="HE298" s="2" t="n">
        <v>-37.69999999999982</v>
      </c>
      <c r="HF298" s="2" t="n">
        <v>1514.4</v>
      </c>
      <c r="HG298" s="2" t="n">
        <v>1465.2</v>
      </c>
      <c r="HH298" s="2" t="n">
        <v>717.1</v>
      </c>
      <c r="HI298" s="2" t="n">
        <v>84.40000000000001</v>
      </c>
      <c r="HJ298" s="2" t="n">
        <v>649.9</v>
      </c>
      <c r="HK298" s="2" t="n">
        <v>13.9</v>
      </c>
      <c r="HL298" s="2" t="n">
        <v>49.1</v>
      </c>
      <c r="HP298" s="2" t="e">
        <v>#VALUE!</v>
      </c>
      <c r="HQ298" s="2" t="n">
        <v>3.5</v>
      </c>
      <c r="HR298" s="2" t="n">
        <v>10.4</v>
      </c>
      <c r="HS298" s="2" t="e">
        <v>#VALUE!</v>
      </c>
      <c r="HT298" s="2" t="n">
        <v>29.4</v>
      </c>
      <c r="HW298" s="2" t="n">
        <v>284.5</v>
      </c>
      <c r="HX298" s="2" t="e">
        <v>#VALUE!</v>
      </c>
      <c r="HY298" s="2" t="n">
        <v>284.5</v>
      </c>
      <c r="HZ298" s="2" t="n">
        <v>61.3</v>
      </c>
      <c r="IA298" s="2" t="n">
        <v>202</v>
      </c>
      <c r="IB298" s="2" t="n">
        <v>75.90000000000001</v>
      </c>
      <c r="IC298" s="2" t="n">
        <v>126.1</v>
      </c>
      <c r="ID298" s="2" t="n">
        <v>72.40000000000001</v>
      </c>
      <c r="IE298" s="2" t="n">
        <v>53.7</v>
      </c>
      <c r="IF298" s="2" t="e">
        <v>#VALUE!</v>
      </c>
      <c r="IG298" s="2" t="e">
        <v>#VALUE!</v>
      </c>
      <c r="IL298" s="2" t="n">
        <v>21.19999999999999</v>
      </c>
      <c r="IN298" s="2" t="n">
        <v>55.1</v>
      </c>
      <c r="IO298" s="2" t="n">
        <v>55.2</v>
      </c>
      <c r="IP298" s="2" t="e">
        <v>#VALUE!</v>
      </c>
      <c r="IQ298" s="2" t="n">
        <v>41.9</v>
      </c>
      <c r="IR298" s="2" t="n">
        <v>18.8</v>
      </c>
      <c r="IS298" s="2" t="n">
        <v>0.7</v>
      </c>
      <c r="IT298" s="2" t="e">
        <v>#VALUE!</v>
      </c>
      <c r="IU298" s="2" t="e">
        <v>#VALUE!</v>
      </c>
      <c r="IV298" s="2" t="e">
        <v>#VALUE!</v>
      </c>
      <c r="IY298" s="2" t="n">
        <v>47.54370034052214</v>
      </c>
      <c r="IZ298" s="2" t="n">
        <v>0.05370034052213413</v>
      </c>
      <c r="JB298" s="2" t="n">
        <v>11.19125993189557</v>
      </c>
      <c r="JC298" s="2" t="n">
        <v>-0.1287400681044275</v>
      </c>
      <c r="JE298" s="2" t="n">
        <v>1648.4</v>
      </c>
      <c r="JF298" s="2" t="n">
        <v>0.7241355253579229</v>
      </c>
    </row>
    <row r="299">
      <c r="A299" s="1" t="n">
        <v>38139</v>
      </c>
      <c r="B299" s="2" t="n">
        <v>3280.8</v>
      </c>
      <c r="C299" s="2" t="n">
        <v>2279.8</v>
      </c>
      <c r="D299" s="2" t="n">
        <v>217.7</v>
      </c>
      <c r="E299" s="2" t="n">
        <v>563.1</v>
      </c>
      <c r="F299" s="2" t="n">
        <v>16.8</v>
      </c>
      <c r="G299" s="2" t="inlineStr">
        <is>
          <t>NA</t>
        </is>
      </c>
      <c r="H299" s="2" t="inlineStr">
        <is>
          <t>NA</t>
        </is>
      </c>
      <c r="I299" s="2" t="inlineStr">
        <is>
          <t>NA</t>
        </is>
      </c>
      <c r="J299" s="2" t="inlineStr">
        <is>
          <t>NA</t>
        </is>
      </c>
      <c r="K299" s="2" t="n">
        <v>1236</v>
      </c>
      <c r="L299" s="2" t="n">
        <v>1513.7</v>
      </c>
      <c r="M299" s="2" t="n">
        <v>1296.2</v>
      </c>
      <c r="N299" s="2" t="n">
        <v>217.5</v>
      </c>
      <c r="O299" s="2" t="n">
        <v>66.7</v>
      </c>
      <c r="P299" s="2" t="n">
        <v>121</v>
      </c>
      <c r="Q299" s="2" t="n">
        <v>5.5</v>
      </c>
      <c r="R299" s="2" t="n">
        <v>115.5</v>
      </c>
      <c r="T299" s="2" t="n">
        <v>13.7</v>
      </c>
      <c r="U299" s="2" t="n">
        <v>79.8</v>
      </c>
      <c r="V299" s="2" t="n">
        <v>73.2</v>
      </c>
      <c r="W299" s="2" t="n">
        <v>6.6</v>
      </c>
      <c r="X299" s="2" t="inlineStr">
        <is>
          <t>NA</t>
        </is>
      </c>
      <c r="Y299" s="2" t="inlineStr">
        <is>
          <t>NA</t>
        </is>
      </c>
      <c r="Z299" s="2" t="n">
        <v>84.89999999999999</v>
      </c>
      <c r="AA299" s="2" t="n">
        <v>71.8</v>
      </c>
      <c r="AB299" s="2" t="n">
        <v>13.1</v>
      </c>
      <c r="AC299" s="2" t="inlineStr">
        <is>
          <t>NA</t>
        </is>
      </c>
      <c r="AD299" s="2" t="inlineStr">
        <is>
          <t>NA</t>
        </is>
      </c>
      <c r="AF299" s="2" t="n">
        <v>129.4</v>
      </c>
      <c r="AG299" s="2" t="n">
        <v>104.4</v>
      </c>
      <c r="AH299" s="2" t="n">
        <v>25</v>
      </c>
      <c r="AI299" s="2" t="n">
        <v>210.7</v>
      </c>
      <c r="AL299" s="2" t="n">
        <v>161.2</v>
      </c>
      <c r="AM299" s="2" t="n">
        <v>113.1</v>
      </c>
      <c r="AN299" s="2" t="n">
        <v>48.1</v>
      </c>
      <c r="AO299" s="2" t="n">
        <v>2427.6</v>
      </c>
      <c r="AP299" s="2" t="n">
        <v>282.9</v>
      </c>
      <c r="AQ299" s="2" t="n">
        <v>188.6</v>
      </c>
      <c r="AR299" s="2" t="n">
        <v>32.1</v>
      </c>
      <c r="AS299" s="2" t="n">
        <v>97.7</v>
      </c>
      <c r="AT299" s="2" t="n">
        <v>84.7</v>
      </c>
      <c r="AU299" s="2" t="n">
        <v>60.3</v>
      </c>
      <c r="AV299" s="2" t="n">
        <v>36.3</v>
      </c>
      <c r="AW299" s="2" t="n">
        <v>9.5</v>
      </c>
      <c r="AX299" s="2" t="n">
        <v>2.3</v>
      </c>
      <c r="AY299" s="2" t="inlineStr">
        <is>
          <t>NA</t>
        </is>
      </c>
      <c r="AZ299" s="2" t="inlineStr">
        <is>
          <t>NA</t>
        </is>
      </c>
      <c r="BA299" s="2" t="inlineStr">
        <is>
          <t>NA</t>
        </is>
      </c>
      <c r="BB299" s="2" t="inlineStr">
        <is>
          <t>NA</t>
        </is>
      </c>
      <c r="BD299" s="2" t="n">
        <v>155.3</v>
      </c>
      <c r="BE299" s="2" t="n">
        <v>25.3</v>
      </c>
      <c r="BF299" s="2" t="n">
        <v>79.2</v>
      </c>
      <c r="BG299" s="2" t="n">
        <v>9.6</v>
      </c>
      <c r="BH299" s="2" t="n">
        <v>311.4</v>
      </c>
      <c r="BI299" s="2" t="n">
        <v>121.3</v>
      </c>
      <c r="BJ299" s="2" t="n">
        <v>97.7</v>
      </c>
      <c r="BK299" s="2" t="n">
        <v>219</v>
      </c>
      <c r="BL299" s="2" t="n">
        <v>0</v>
      </c>
      <c r="BM299" s="2" t="n">
        <v>530.4</v>
      </c>
      <c r="BN299" s="2" t="n">
        <v>216.9</v>
      </c>
      <c r="BO299" s="2" t="n">
        <v>61.8</v>
      </c>
      <c r="BP299" s="2" t="n">
        <v>36.1</v>
      </c>
      <c r="BQ299" s="2" t="n">
        <v>97.90000000000001</v>
      </c>
      <c r="BR299" s="2" t="n">
        <v>0</v>
      </c>
      <c r="BS299" s="2" t="n">
        <v>314.8</v>
      </c>
      <c r="BT299" s="2" t="n">
        <v>20</v>
      </c>
      <c r="BU299" s="2" t="n">
        <v>12.6</v>
      </c>
      <c r="BV299" s="2" t="inlineStr">
        <is>
          <t>NA</t>
        </is>
      </c>
      <c r="BW299" s="2" t="inlineStr">
        <is>
          <t>NA</t>
        </is>
      </c>
      <c r="BX299" s="2" t="n">
        <v>370</v>
      </c>
      <c r="BY299" s="2" t="inlineStr">
        <is>
          <t>NA</t>
        </is>
      </c>
      <c r="BZ299" s="2" t="inlineStr">
        <is>
          <t>NA</t>
        </is>
      </c>
      <c r="CA299" s="2" t="n">
        <v>42.9</v>
      </c>
      <c r="CB299" s="2" t="n">
        <v>93</v>
      </c>
      <c r="CC299" s="2" t="inlineStr">
        <is>
          <t>NA</t>
        </is>
      </c>
      <c r="CD299" s="2" t="n">
        <v>101.5</v>
      </c>
      <c r="CE299" s="2" t="n">
        <v>11.4</v>
      </c>
      <c r="CF299" s="2" t="n">
        <v>103.6</v>
      </c>
      <c r="CG299" s="2" t="n">
        <v>190.4</v>
      </c>
      <c r="CH299" s="2" t="n">
        <v>14.212</v>
      </c>
      <c r="CK299" s="2" t="n">
        <v>215.1</v>
      </c>
      <c r="CL299" s="2" t="n">
        <v>28</v>
      </c>
      <c r="CN299" s="2" t="n">
        <v>53.8</v>
      </c>
      <c r="CO299" s="2" t="n">
        <v>89.90000000000001</v>
      </c>
      <c r="CP299" s="2" t="n">
        <v>59.6</v>
      </c>
      <c r="CQ299" s="2" t="n">
        <v>30.3</v>
      </c>
      <c r="CR299" s="2" t="inlineStr">
        <is>
          <t>NA</t>
        </is>
      </c>
      <c r="CS299" s="2" t="n">
        <v>15.1</v>
      </c>
      <c r="CT299" s="2" t="n">
        <v>5.2</v>
      </c>
      <c r="CU299" s="2" t="n">
        <v>9.9</v>
      </c>
      <c r="CV299" s="2" t="n">
        <v>129.3</v>
      </c>
      <c r="CW299" s="2" t="inlineStr">
        <is>
          <t>NA</t>
        </is>
      </c>
      <c r="CX299" s="2" t="inlineStr">
        <is>
          <t>NA</t>
        </is>
      </c>
      <c r="CY299" s="2" t="inlineStr">
        <is>
          <t>NA</t>
        </is>
      </c>
      <c r="CZ299" s="2" t="n">
        <v>32.5</v>
      </c>
      <c r="DA299" s="2" t="n">
        <v>15.8</v>
      </c>
      <c r="DB299" s="2" t="inlineStr">
        <is>
          <t>NA</t>
        </is>
      </c>
      <c r="DC299" s="2" t="inlineStr">
        <is>
          <t>NA</t>
        </is>
      </c>
      <c r="DI299" s="2" t="n">
        <v>499.4</v>
      </c>
      <c r="DJ299" s="2" t="n">
        <v>288.5</v>
      </c>
      <c r="DM299" s="2" t="n">
        <v>237.7</v>
      </c>
      <c r="DO299" s="2" t="n">
        <v>127.3</v>
      </c>
      <c r="DP299" s="2" t="n">
        <v>195.9</v>
      </c>
      <c r="DS299" s="2" t="n">
        <v>1808.806</v>
      </c>
      <c r="DT299" s="2" t="n">
        <v>3280.8</v>
      </c>
      <c r="DU299" s="2" t="n">
        <v>-123.1940000000004</v>
      </c>
      <c r="DV299" s="2" t="n">
        <v>0</v>
      </c>
      <c r="EA299" s="2" t="n">
        <v>474.4</v>
      </c>
      <c r="EB299" s="2" t="n">
        <v>138.2</v>
      </c>
      <c r="EE299" s="2" t="n">
        <v>115.8</v>
      </c>
      <c r="EG299" s="2" t="n">
        <v>168.2</v>
      </c>
      <c r="EH299" s="2" t="n">
        <v>101.4</v>
      </c>
      <c r="EL299" s="2" t="n">
        <v>2279.8</v>
      </c>
      <c r="EQ299" s="2" t="n">
        <v>188.8</v>
      </c>
      <c r="ER299" s="2" t="n">
        <v>107.9</v>
      </c>
      <c r="EU299" s="2" t="n">
        <v>92.8</v>
      </c>
      <c r="EW299" s="2" t="n">
        <v>48.3</v>
      </c>
      <c r="EX299" s="2" t="n">
        <v>69.90000000000001</v>
      </c>
      <c r="FB299" s="2" t="n">
        <v>1236</v>
      </c>
      <c r="FG299" s="2" t="n">
        <v>396.4</v>
      </c>
      <c r="FH299" s="2" t="n">
        <v>228.7</v>
      </c>
      <c r="FK299" s="2" t="n">
        <v>191.6</v>
      </c>
      <c r="FM299" s="2" t="n">
        <v>102.5</v>
      </c>
      <c r="FN299" s="2" t="n">
        <v>161.2</v>
      </c>
      <c r="FR299" s="2" t="n">
        <v>2623.9</v>
      </c>
      <c r="FW299" s="2" t="n">
        <v>192.1</v>
      </c>
      <c r="FX299" s="2" t="n">
        <v>67.3</v>
      </c>
      <c r="GA299" s="2" t="n">
        <v>49.4</v>
      </c>
      <c r="GC299" s="2" t="n">
        <v>56.7</v>
      </c>
      <c r="GD299" s="2" t="e">
        <v>#VALUE!</v>
      </c>
      <c r="GH299" s="2" t="n">
        <v>691</v>
      </c>
      <c r="GM299" s="2" t="n">
        <v>80.8</v>
      </c>
      <c r="GN299" s="2" t="n">
        <v>62.4</v>
      </c>
      <c r="GQ299" s="2" t="n">
        <v>23.1</v>
      </c>
      <c r="GS299" s="2" t="e">
        <v>#VALUE!</v>
      </c>
      <c r="GT299" s="2" t="e">
        <v>#VALUE!</v>
      </c>
      <c r="GX299" s="2" t="n">
        <v>314.9</v>
      </c>
      <c r="GY299" s="2" t="n">
        <v>0.9722222222222222</v>
      </c>
      <c r="GZ299" s="2" t="n">
        <v>1197</v>
      </c>
      <c r="HA299" s="2" t="n">
        <v>1231.2</v>
      </c>
      <c r="HB299" s="2" t="n">
        <v>-98.6763440058005</v>
      </c>
      <c r="HC299" s="2" t="n">
        <v>-85.82980732600049</v>
      </c>
      <c r="HD299" s="2" t="n">
        <v>1337.423655994199</v>
      </c>
      <c r="HE299" s="2" t="n">
        <v>-55.20000000000005</v>
      </c>
      <c r="HF299" s="2" t="n">
        <v>1436.1</v>
      </c>
      <c r="HG299" s="2" t="n">
        <v>1380.7</v>
      </c>
      <c r="HH299" s="2" t="n">
        <v>612.2</v>
      </c>
      <c r="HI299" s="2" t="n">
        <v>104.2</v>
      </c>
      <c r="HJ299" s="2" t="n">
        <v>650.9</v>
      </c>
      <c r="HK299" s="2" t="n">
        <v>13.3</v>
      </c>
      <c r="HL299" s="2" t="n">
        <v>55.4</v>
      </c>
      <c r="HP299" s="2" t="e">
        <v>#VALUE!</v>
      </c>
      <c r="HQ299" s="2" t="n">
        <v>6.9</v>
      </c>
      <c r="HR299" s="2" t="n">
        <v>9.699999999999999</v>
      </c>
      <c r="HS299" s="2" t="e">
        <v>#VALUE!</v>
      </c>
      <c r="HT299" s="2" t="n">
        <v>30.7</v>
      </c>
      <c r="HW299" s="2" t="n">
        <v>306.9</v>
      </c>
      <c r="HX299" s="2" t="e">
        <v>#VALUE!</v>
      </c>
      <c r="HY299" s="2" t="n">
        <v>306.9</v>
      </c>
      <c r="HZ299" s="2" t="n">
        <v>51.8</v>
      </c>
      <c r="IA299" s="2" t="n">
        <v>235.3</v>
      </c>
      <c r="IB299" s="2" t="n">
        <v>82.3</v>
      </c>
      <c r="IC299" s="2" t="n">
        <v>153</v>
      </c>
      <c r="ID299" s="2" t="n">
        <v>90.59999999999999</v>
      </c>
      <c r="IE299" s="2" t="n">
        <v>62.4</v>
      </c>
      <c r="IF299" s="2" t="e">
        <v>#VALUE!</v>
      </c>
      <c r="IG299" s="2" t="e">
        <v>#VALUE!</v>
      </c>
      <c r="IL299" s="2" t="n">
        <v>19.79999999999995</v>
      </c>
      <c r="IN299" s="2" t="n">
        <v>52.4</v>
      </c>
      <c r="IO299" s="2" t="n">
        <v>52.5</v>
      </c>
      <c r="IP299" s="2" t="e">
        <v>#VALUE!</v>
      </c>
      <c r="IQ299" s="2" t="n">
        <v>40.3</v>
      </c>
      <c r="IR299" s="2" t="n">
        <v>12.1</v>
      </c>
      <c r="IS299" s="2" t="e">
        <v>#VALUE!</v>
      </c>
      <c r="IT299" s="2" t="n">
        <v>26.1</v>
      </c>
      <c r="IU299" s="2" t="e">
        <v>#VALUE!</v>
      </c>
      <c r="IV299" s="2" t="e">
        <v>#VALUE!</v>
      </c>
      <c r="IY299" s="2" t="n">
        <v>47.84564740307242</v>
      </c>
      <c r="IZ299" s="2" t="n">
        <v>0.1456474030724166</v>
      </c>
      <c r="JB299" s="2" t="n">
        <v>11.30212143379664</v>
      </c>
      <c r="JC299" s="2" t="n">
        <v>-0.0778785662033652</v>
      </c>
      <c r="JE299" s="2" t="n">
        <v>1513.7</v>
      </c>
      <c r="JF299" s="2" t="n">
        <v>0.7565158221576269</v>
      </c>
    </row>
    <row r="300">
      <c r="A300" s="1" t="n">
        <v>38169</v>
      </c>
      <c r="B300" s="2" t="n">
        <v>3458.2</v>
      </c>
      <c r="C300" s="2" t="n">
        <v>1841.9</v>
      </c>
      <c r="D300" s="2" t="n">
        <v>182.4</v>
      </c>
      <c r="E300" s="2" t="n">
        <v>420.8</v>
      </c>
      <c r="F300" s="2" t="n">
        <v>13.2</v>
      </c>
      <c r="G300" s="2" t="inlineStr">
        <is>
          <t>NA</t>
        </is>
      </c>
      <c r="H300" s="2" t="inlineStr">
        <is>
          <t>NA</t>
        </is>
      </c>
      <c r="I300" s="2" t="inlineStr">
        <is>
          <t>NA</t>
        </is>
      </c>
      <c r="J300" s="2" t="inlineStr">
        <is>
          <t>NA</t>
        </is>
      </c>
      <c r="K300" s="2" t="n">
        <v>1304</v>
      </c>
      <c r="L300" s="2" t="n">
        <v>1411.6</v>
      </c>
      <c r="M300" s="2" t="n">
        <v>1197.9</v>
      </c>
      <c r="N300" s="2" t="n">
        <v>213.7</v>
      </c>
      <c r="O300" s="2" t="n">
        <v>59.7</v>
      </c>
      <c r="P300" s="2" t="n">
        <v>56.3</v>
      </c>
      <c r="Q300" s="2" t="n">
        <v>11.1</v>
      </c>
      <c r="R300" s="2" t="n">
        <v>45.2</v>
      </c>
      <c r="T300" s="2" t="n">
        <v>10.7</v>
      </c>
      <c r="U300" s="2" t="n">
        <v>99.09999999999999</v>
      </c>
      <c r="V300" s="2" t="inlineStr">
        <is>
          <t>NA</t>
        </is>
      </c>
      <c r="W300" s="2" t="inlineStr">
        <is>
          <t>NA</t>
        </is>
      </c>
      <c r="X300" s="2" t="inlineStr">
        <is>
          <t>NA</t>
        </is>
      </c>
      <c r="Y300" s="2" t="inlineStr">
        <is>
          <t>NA</t>
        </is>
      </c>
      <c r="Z300" s="2" t="n">
        <v>82.80000000000001</v>
      </c>
      <c r="AA300" s="2" t="n">
        <v>71.40000000000001</v>
      </c>
      <c r="AB300" s="2" t="n">
        <v>11.4</v>
      </c>
      <c r="AC300" s="2" t="inlineStr">
        <is>
          <t>NA</t>
        </is>
      </c>
      <c r="AD300" s="2" t="inlineStr">
        <is>
          <t>NA</t>
        </is>
      </c>
      <c r="AF300" s="2" t="n">
        <v>204.7</v>
      </c>
      <c r="AG300" s="2" t="inlineStr">
        <is>
          <t>NA</t>
        </is>
      </c>
      <c r="AH300" s="2" t="n">
        <v>24.9</v>
      </c>
      <c r="AI300" s="2" t="n">
        <v>204.3</v>
      </c>
      <c r="AL300" s="2" t="n">
        <v>144.5</v>
      </c>
      <c r="AM300" s="2" t="n">
        <v>100.8</v>
      </c>
      <c r="AN300" s="2" t="n">
        <v>43.7</v>
      </c>
      <c r="AO300" s="2" t="n">
        <v>2551.9</v>
      </c>
      <c r="AP300" s="2" t="n">
        <v>305.4</v>
      </c>
      <c r="AQ300" s="2" t="n">
        <v>200.4</v>
      </c>
      <c r="AR300" s="2" t="n">
        <v>39.2</v>
      </c>
      <c r="AS300" s="2" t="n">
        <v>91</v>
      </c>
      <c r="AT300" s="2" t="n">
        <v>89</v>
      </c>
      <c r="AU300" s="2" t="n">
        <v>57.9</v>
      </c>
      <c r="AV300" s="2" t="n">
        <v>35.8</v>
      </c>
      <c r="AW300" s="2" t="n">
        <v>7.3</v>
      </c>
      <c r="AX300" s="2" t="n">
        <v>2</v>
      </c>
      <c r="AY300" s="2" t="inlineStr">
        <is>
          <t>NA</t>
        </is>
      </c>
      <c r="AZ300" s="2" t="inlineStr">
        <is>
          <t>NA</t>
        </is>
      </c>
      <c r="BA300" s="2" t="inlineStr">
        <is>
          <t>NA</t>
        </is>
      </c>
      <c r="BB300" s="2" t="inlineStr">
        <is>
          <t>NA</t>
        </is>
      </c>
      <c r="BD300" s="2" t="n">
        <v>164.9</v>
      </c>
      <c r="BE300" s="2" t="n">
        <v>26.1</v>
      </c>
      <c r="BF300" s="2" t="n">
        <v>77.2</v>
      </c>
      <c r="BG300" s="2" t="n">
        <v>9.199999999999999</v>
      </c>
      <c r="BH300" s="2" t="n">
        <v>296.4</v>
      </c>
      <c r="BI300" s="2" t="n">
        <v>126.1</v>
      </c>
      <c r="BJ300" s="2" t="n">
        <v>97.90000000000001</v>
      </c>
      <c r="BK300" s="2" t="n">
        <v>224</v>
      </c>
      <c r="BL300" s="2" t="n">
        <v>0</v>
      </c>
      <c r="BM300" s="2" t="n">
        <v>520.4</v>
      </c>
      <c r="BN300" s="2" t="n">
        <v>254.1</v>
      </c>
      <c r="BO300" s="2" t="n">
        <v>60.9</v>
      </c>
      <c r="BP300" s="2" t="n">
        <v>33.3</v>
      </c>
      <c r="BQ300" s="2" t="n">
        <v>94.19999999999999</v>
      </c>
      <c r="BR300" s="2" t="n">
        <v>0</v>
      </c>
      <c r="BS300" s="2" t="n">
        <v>348.3</v>
      </c>
      <c r="BT300" s="2" t="n">
        <v>18.9</v>
      </c>
      <c r="BU300" s="2" t="n">
        <v>10.4</v>
      </c>
      <c r="BV300" s="2" t="inlineStr">
        <is>
          <t>NA</t>
        </is>
      </c>
      <c r="BW300" s="2" t="inlineStr">
        <is>
          <t>NA</t>
        </is>
      </c>
      <c r="BX300" s="2" t="n">
        <v>348.9</v>
      </c>
      <c r="BY300" s="2" t="inlineStr">
        <is>
          <t>NA</t>
        </is>
      </c>
      <c r="BZ300" s="2" t="inlineStr">
        <is>
          <t>NA</t>
        </is>
      </c>
      <c r="CA300" s="2" t="n">
        <v>38.6</v>
      </c>
      <c r="CB300" s="2" t="n">
        <v>88.59999999999999</v>
      </c>
      <c r="CC300" s="2" t="inlineStr">
        <is>
          <t>NA</t>
        </is>
      </c>
      <c r="CD300" s="2" t="n">
        <v>101.7</v>
      </c>
      <c r="CE300" s="2" t="n">
        <v>13</v>
      </c>
      <c r="CF300" s="2" t="n">
        <v>98.90000000000001</v>
      </c>
      <c r="CG300" s="2" t="n">
        <v>196</v>
      </c>
      <c r="CH300" s="2" t="n">
        <v>16.56</v>
      </c>
      <c r="CK300" s="2" t="n">
        <v>188.8</v>
      </c>
      <c r="CL300" s="2" t="n">
        <v>25.8</v>
      </c>
      <c r="CN300" s="2" t="n">
        <v>46.2</v>
      </c>
      <c r="CO300" s="2" t="n">
        <v>133.5</v>
      </c>
      <c r="CP300" s="2" t="n">
        <v>98.3</v>
      </c>
      <c r="CQ300" s="2" t="n">
        <v>35.2</v>
      </c>
      <c r="CR300" s="2" t="inlineStr">
        <is>
          <t>NA</t>
        </is>
      </c>
      <c r="CS300" s="2" t="n">
        <v>15.8</v>
      </c>
      <c r="CT300" s="2" t="n">
        <v>5.1</v>
      </c>
      <c r="CU300" s="2" t="n">
        <v>10.7</v>
      </c>
      <c r="CV300" s="2" t="n">
        <v>133.2</v>
      </c>
      <c r="CW300" s="2" t="inlineStr">
        <is>
          <t>NA</t>
        </is>
      </c>
      <c r="CX300" s="2" t="inlineStr">
        <is>
          <t>NA</t>
        </is>
      </c>
      <c r="CY300" s="2" t="inlineStr">
        <is>
          <t>NA</t>
        </is>
      </c>
      <c r="CZ300" s="2" t="n">
        <v>60.6</v>
      </c>
      <c r="DA300" s="2" t="n">
        <v>25.3</v>
      </c>
      <c r="DB300" s="2" t="inlineStr">
        <is>
          <t>NA</t>
        </is>
      </c>
      <c r="DC300" s="2" t="inlineStr">
        <is>
          <t>NA</t>
        </is>
      </c>
      <c r="DI300" s="2" t="n">
        <v>575</v>
      </c>
      <c r="DJ300" s="2" t="n">
        <v>220.2</v>
      </c>
      <c r="DM300" s="2" t="n">
        <v>227.5</v>
      </c>
      <c r="DO300" s="2" t="n">
        <v>165.5</v>
      </c>
      <c r="DP300" s="2" t="n">
        <v>189.4</v>
      </c>
      <c r="DS300" s="2" t="n">
        <v>1921.738</v>
      </c>
      <c r="DT300" s="2" t="n">
        <v>3458.2</v>
      </c>
      <c r="DU300" s="2" t="n">
        <v>-158.8619999999996</v>
      </c>
      <c r="DV300" s="2" t="n">
        <v>0</v>
      </c>
      <c r="EA300" s="2" t="n">
        <v>355.1</v>
      </c>
      <c r="EB300" s="2" t="n">
        <v>154.8</v>
      </c>
      <c r="EE300" s="2" t="n">
        <v>106</v>
      </c>
      <c r="EG300" s="2" t="n">
        <v>139.1</v>
      </c>
      <c r="EH300" s="2" t="n">
        <v>82.09999999999999</v>
      </c>
      <c r="EL300" s="2" t="n">
        <v>1841.9</v>
      </c>
      <c r="EQ300" s="2" t="n">
        <v>220.6</v>
      </c>
      <c r="ER300" s="2" t="n">
        <v>83.8</v>
      </c>
      <c r="EU300" s="2" t="n">
        <v>87.09999999999999</v>
      </c>
      <c r="EW300" s="2" t="n">
        <v>62.3</v>
      </c>
      <c r="EX300" s="2" t="n">
        <v>65.7</v>
      </c>
      <c r="FB300" s="2" t="n">
        <v>1304</v>
      </c>
      <c r="FG300" s="2" t="n">
        <v>457.6</v>
      </c>
      <c r="FH300" s="2" t="n">
        <v>179.1</v>
      </c>
      <c r="FK300" s="2" t="n">
        <v>183.3</v>
      </c>
      <c r="FM300" s="2" t="n">
        <v>132.1</v>
      </c>
      <c r="FN300" s="2" t="n">
        <v>148.5</v>
      </c>
      <c r="FR300" s="2" t="n">
        <v>2759.5</v>
      </c>
      <c r="FW300" s="2" t="n">
        <v>223.4</v>
      </c>
      <c r="FX300" s="2" t="n">
        <v>35.2</v>
      </c>
      <c r="GA300" s="2" t="n">
        <v>40.5</v>
      </c>
      <c r="GC300" s="2" t="n">
        <v>61.9</v>
      </c>
      <c r="GD300" s="2" t="e">
        <v>#VALUE!</v>
      </c>
      <c r="GH300" s="2" t="n">
        <v>680.2</v>
      </c>
      <c r="GM300" s="2" t="n">
        <v>75.2</v>
      </c>
      <c r="GN300" s="2" t="n">
        <v>38.4</v>
      </c>
      <c r="GQ300" s="2" t="n">
        <v>26.7</v>
      </c>
      <c r="GS300" s="2" t="e">
        <v>#VALUE!</v>
      </c>
      <c r="GT300" s="2" t="e">
        <v>#VALUE!</v>
      </c>
      <c r="GX300" s="2" t="n">
        <v>344.6</v>
      </c>
      <c r="GY300" s="2" t="n">
        <v>0.9752266333229136</v>
      </c>
      <c r="GZ300" s="2" t="n">
        <v>1247.9</v>
      </c>
      <c r="HA300" s="2" t="n">
        <v>1279.6</v>
      </c>
      <c r="HB300" s="2" t="n">
        <v>1.991434107199439</v>
      </c>
      <c r="HC300" s="2" t="n">
        <v>57.05330125099999</v>
      </c>
      <c r="HD300" s="2" t="n">
        <v>1442.691434107199</v>
      </c>
      <c r="HE300" s="2" t="n">
        <v>-68.89999999999986</v>
      </c>
      <c r="HF300" s="2" t="n">
        <v>1440.7</v>
      </c>
      <c r="HG300" s="2" t="n">
        <v>1395.5</v>
      </c>
      <c r="HH300" s="2" t="n">
        <v>646.8</v>
      </c>
      <c r="HI300" s="2" t="n">
        <v>95.2</v>
      </c>
      <c r="HJ300" s="2" t="n">
        <v>640.3</v>
      </c>
      <c r="HK300" s="2" t="n">
        <v>13.2</v>
      </c>
      <c r="HL300" s="2" t="n">
        <v>45.2</v>
      </c>
      <c r="HP300" s="2" t="e">
        <v>#VALUE!</v>
      </c>
      <c r="HQ300" s="2" t="n">
        <v>6</v>
      </c>
      <c r="HR300" s="2" t="n">
        <v>5.3</v>
      </c>
      <c r="HS300" s="2" t="e">
        <v>#VALUE!</v>
      </c>
      <c r="HT300" s="2" t="n">
        <v>26.2</v>
      </c>
      <c r="HW300" s="2" t="n">
        <v>279.2</v>
      </c>
      <c r="HX300" s="2" t="e">
        <v>#VALUE!</v>
      </c>
      <c r="HY300" s="2" t="n">
        <v>279.2</v>
      </c>
      <c r="HZ300" s="2" t="n">
        <v>35.6</v>
      </c>
      <c r="IA300" s="2" t="n">
        <v>225.2</v>
      </c>
      <c r="IB300" s="2" t="n">
        <v>78</v>
      </c>
      <c r="IC300" s="2" t="n">
        <v>147.2</v>
      </c>
      <c r="ID300" s="2" t="n">
        <v>87.09999999999999</v>
      </c>
      <c r="IE300" s="2" t="n">
        <v>60.1</v>
      </c>
      <c r="IF300" s="2" t="e">
        <v>#VALUE!</v>
      </c>
      <c r="IG300" s="2" t="e">
        <v>#VALUE!</v>
      </c>
      <c r="IL300" s="2" t="n">
        <v>18.40000000000001</v>
      </c>
      <c r="IN300" s="2" t="n">
        <v>43.8</v>
      </c>
      <c r="IO300" s="2" t="n">
        <v>43.8</v>
      </c>
      <c r="IP300" s="2" t="e">
        <v>#VALUE!</v>
      </c>
      <c r="IQ300" s="2" t="n">
        <v>31</v>
      </c>
      <c r="IR300" s="2" t="n">
        <v>11.6</v>
      </c>
      <c r="IS300" s="2" t="e">
        <v>#VALUE!</v>
      </c>
      <c r="IT300" s="2" t="e">
        <v>#VALUE!</v>
      </c>
      <c r="IU300" s="2" t="e">
        <v>#VALUE!</v>
      </c>
      <c r="IV300" s="2" t="e">
        <v>#VALUE!</v>
      </c>
      <c r="IY300" s="2" t="n">
        <v>47.75258805158754</v>
      </c>
      <c r="IZ300" s="2" t="n">
        <v>0.1125880515875366</v>
      </c>
      <c r="JB300" s="2" t="n">
        <v>11.31224336359956</v>
      </c>
      <c r="JC300" s="2" t="n">
        <v>-0.0577566364004376</v>
      </c>
      <c r="JE300" s="2" t="n">
        <v>1411.6</v>
      </c>
      <c r="JF300" s="2" t="n">
        <v>0.7246989232077075</v>
      </c>
    </row>
    <row r="301">
      <c r="A301" s="1" t="n">
        <v>38200</v>
      </c>
      <c r="B301" s="2" t="n">
        <v>3089.3</v>
      </c>
      <c r="C301" s="2" t="n">
        <v>1110.4</v>
      </c>
      <c r="D301" s="2" t="n">
        <v>193.8</v>
      </c>
      <c r="E301" s="2" t="n">
        <v>346.7</v>
      </c>
      <c r="F301" s="2" t="n">
        <v>11.9</v>
      </c>
      <c r="G301" s="2" t="inlineStr">
        <is>
          <t>NA</t>
        </is>
      </c>
      <c r="H301" s="2" t="inlineStr">
        <is>
          <t>NA</t>
        </is>
      </c>
      <c r="I301" s="2" t="inlineStr">
        <is>
          <t>NA</t>
        </is>
      </c>
      <c r="J301" s="2" t="inlineStr">
        <is>
          <t>NA</t>
        </is>
      </c>
      <c r="K301" s="2" t="n">
        <v>1185.9</v>
      </c>
      <c r="L301" s="2" t="n">
        <v>1180.2</v>
      </c>
      <c r="M301" s="2" t="n">
        <v>1001.7</v>
      </c>
      <c r="N301" s="2" t="n">
        <v>178.5</v>
      </c>
      <c r="O301" s="2" t="n">
        <v>68.59999999999999</v>
      </c>
      <c r="P301" s="2" t="n">
        <v>54.7</v>
      </c>
      <c r="Q301" s="2" t="n">
        <v>11.9</v>
      </c>
      <c r="R301" s="2" t="n">
        <v>42.8</v>
      </c>
      <c r="T301" s="2" t="n">
        <v>9.800000000000001</v>
      </c>
      <c r="U301" s="2" t="n">
        <v>89.139</v>
      </c>
      <c r="V301" s="2" t="n">
        <v>86.339</v>
      </c>
      <c r="W301" s="2" t="n">
        <v>2.8</v>
      </c>
      <c r="X301" s="2" t="inlineStr">
        <is>
          <t>NA</t>
        </is>
      </c>
      <c r="Y301" s="2" t="inlineStr">
        <is>
          <t>NA</t>
        </is>
      </c>
      <c r="Z301" s="2" t="n">
        <v>46.09999999999999</v>
      </c>
      <c r="AA301" s="2" t="n">
        <v>32.4</v>
      </c>
      <c r="AB301" s="2" t="n">
        <v>13.7</v>
      </c>
      <c r="AC301" s="2" t="inlineStr">
        <is>
          <t>NA</t>
        </is>
      </c>
      <c r="AD301" s="2" t="inlineStr">
        <is>
          <t>NA</t>
        </is>
      </c>
      <c r="AF301" s="2" t="n">
        <v>108.3</v>
      </c>
      <c r="AG301" s="2" t="n">
        <v>83.5</v>
      </c>
      <c r="AH301" s="2" t="n">
        <v>24.8</v>
      </c>
      <c r="AI301" s="2" t="n">
        <v>205.2</v>
      </c>
      <c r="AL301" s="2" t="n">
        <v>125.5</v>
      </c>
      <c r="AM301" s="2" t="n">
        <v>93.40000000000001</v>
      </c>
      <c r="AN301" s="2" t="n">
        <v>32.1</v>
      </c>
      <c r="AO301" s="2" t="n">
        <v>2294.2</v>
      </c>
      <c r="AP301" s="2" t="n">
        <v>164</v>
      </c>
      <c r="AQ301" s="2" t="n">
        <v>186</v>
      </c>
      <c r="AR301" s="2" t="n">
        <v>32.3</v>
      </c>
      <c r="AS301" s="2" t="n">
        <v>95.3</v>
      </c>
      <c r="AT301" s="2" t="n">
        <v>87.90000000000001</v>
      </c>
      <c r="AU301" s="2" t="n">
        <v>61.9</v>
      </c>
      <c r="AV301" s="2" t="n">
        <v>37.6</v>
      </c>
      <c r="AW301" s="2" t="n">
        <v>6.8</v>
      </c>
      <c r="AX301" s="2" t="n">
        <v>2.4</v>
      </c>
      <c r="AY301" s="2" t="inlineStr">
        <is>
          <t>NA</t>
        </is>
      </c>
      <c r="AZ301" s="2" t="inlineStr">
        <is>
          <t>NA</t>
        </is>
      </c>
      <c r="BA301" s="2" t="inlineStr">
        <is>
          <t>NA</t>
        </is>
      </c>
      <c r="BB301" s="2" t="inlineStr">
        <is>
          <t>NA</t>
        </is>
      </c>
      <c r="BD301" s="2" t="n">
        <v>159</v>
      </c>
      <c r="BE301" s="2" t="n">
        <v>22.9</v>
      </c>
      <c r="BF301" s="2" t="n">
        <v>78.90000000000001</v>
      </c>
      <c r="BG301" s="2" t="n">
        <v>9.6</v>
      </c>
      <c r="BH301" s="2" t="n">
        <v>311.2</v>
      </c>
      <c r="BI301" s="2" t="n">
        <v>133.1</v>
      </c>
      <c r="BJ301" s="2" t="n">
        <v>99.3</v>
      </c>
      <c r="BK301" s="2" t="n">
        <v>232.4</v>
      </c>
      <c r="BL301" s="2" t="n">
        <v>0</v>
      </c>
      <c r="BM301" s="2" t="n">
        <v>543.5999999999999</v>
      </c>
      <c r="BN301" s="2" t="n">
        <v>221.1</v>
      </c>
      <c r="BO301" s="2" t="n">
        <v>64.8</v>
      </c>
      <c r="BP301" s="2" t="n">
        <v>34.9</v>
      </c>
      <c r="BQ301" s="2" t="n">
        <v>99.69999999999999</v>
      </c>
      <c r="BR301" s="2" t="n">
        <v>0</v>
      </c>
      <c r="BS301" s="2" t="n">
        <v>320.8</v>
      </c>
      <c r="BT301" s="2" t="n">
        <v>21.5</v>
      </c>
      <c r="BU301" s="2" t="n">
        <v>9.9</v>
      </c>
      <c r="BV301" s="2" t="inlineStr">
        <is>
          <t>NA</t>
        </is>
      </c>
      <c r="BW301" s="2" t="inlineStr">
        <is>
          <t>NA</t>
        </is>
      </c>
      <c r="BX301" s="2" t="n">
        <v>373.6</v>
      </c>
      <c r="BY301" s="2" t="inlineStr">
        <is>
          <t>NA</t>
        </is>
      </c>
      <c r="BZ301" s="2" t="inlineStr">
        <is>
          <t>NA</t>
        </is>
      </c>
      <c r="CA301" s="2" t="n">
        <v>39.5</v>
      </c>
      <c r="CB301" s="2" t="n">
        <v>88.5</v>
      </c>
      <c r="CC301" s="2" t="inlineStr">
        <is>
          <t>NA</t>
        </is>
      </c>
      <c r="CD301" s="2" t="n">
        <v>101.8</v>
      </c>
      <c r="CE301" s="2" t="n">
        <v>13.6</v>
      </c>
      <c r="CF301" s="2" t="n">
        <v>113.2</v>
      </c>
      <c r="CG301" s="2" t="n">
        <v>162.1</v>
      </c>
      <c r="CH301" s="2" t="n">
        <v>17.668</v>
      </c>
      <c r="CK301" s="2" t="n">
        <v>217.9</v>
      </c>
      <c r="CL301" s="2" t="n">
        <v>24.4</v>
      </c>
      <c r="CN301" s="2" t="n">
        <v>52.6</v>
      </c>
      <c r="CO301" s="2" t="n">
        <v>149.2</v>
      </c>
      <c r="CP301" s="2" t="n">
        <v>103.2</v>
      </c>
      <c r="CQ301" s="2" t="n">
        <v>46</v>
      </c>
      <c r="CR301" s="2" t="inlineStr">
        <is>
          <t>NA</t>
        </is>
      </c>
      <c r="CS301" s="2" t="n">
        <v>8.1</v>
      </c>
      <c r="CT301" s="2" t="n">
        <v>2.4</v>
      </c>
      <c r="CU301" s="2" t="n">
        <v>5.7</v>
      </c>
      <c r="CV301" s="2" t="n">
        <v>127.1</v>
      </c>
      <c r="CW301" s="2" t="inlineStr">
        <is>
          <t>NA</t>
        </is>
      </c>
      <c r="CX301" s="2" t="inlineStr">
        <is>
          <t>NA</t>
        </is>
      </c>
      <c r="CY301" s="2" t="inlineStr">
        <is>
          <t>NA</t>
        </is>
      </c>
      <c r="CZ301" s="2" t="n">
        <v>53.2</v>
      </c>
      <c r="DA301" s="2" t="n">
        <v>22.2</v>
      </c>
      <c r="DB301" s="2" t="inlineStr">
        <is>
          <t>NA</t>
        </is>
      </c>
      <c r="DC301" s="2" t="inlineStr">
        <is>
          <t>NA</t>
        </is>
      </c>
      <c r="DI301" s="2" t="n">
        <v>573.9</v>
      </c>
      <c r="DJ301" s="2" t="n">
        <v>251.6</v>
      </c>
      <c r="DM301" s="2" t="n">
        <v>211.6</v>
      </c>
      <c r="DO301" s="2" t="n">
        <v>145.6</v>
      </c>
      <c r="DP301" s="2" t="n">
        <v>153.1</v>
      </c>
      <c r="DS301" s="2" t="n">
        <v>1631.306</v>
      </c>
      <c r="DT301" s="2" t="n">
        <v>3089.3</v>
      </c>
      <c r="DU301" s="2" t="n">
        <v>-122.1940000000004</v>
      </c>
      <c r="DV301" s="2" t="n">
        <v>0</v>
      </c>
      <c r="EA301" s="2" t="n">
        <v>211.3</v>
      </c>
      <c r="EB301" s="2" t="n">
        <v>65.40000000000001</v>
      </c>
      <c r="EE301" s="2" t="n">
        <v>55.8</v>
      </c>
      <c r="EG301" s="2" t="n">
        <v>74.3</v>
      </c>
      <c r="EH301" s="2" t="n">
        <v>53.7</v>
      </c>
      <c r="EL301" s="2" t="n">
        <v>1110.4</v>
      </c>
      <c r="EQ301" s="2" t="n">
        <v>220.7</v>
      </c>
      <c r="ER301" s="2" t="n">
        <v>96.3</v>
      </c>
      <c r="EU301" s="2" t="n">
        <v>82.8</v>
      </c>
      <c r="EW301" s="2" t="n">
        <v>55.9</v>
      </c>
      <c r="EX301" s="2" t="n">
        <v>57.8</v>
      </c>
      <c r="FB301" s="2" t="n">
        <v>1185.9</v>
      </c>
      <c r="FG301" s="2" t="n">
        <v>455.8</v>
      </c>
      <c r="FH301" s="2" t="n">
        <v>203.2</v>
      </c>
      <c r="FK301" s="2" t="n">
        <v>173.9</v>
      </c>
      <c r="FM301" s="2" t="n">
        <v>118.3</v>
      </c>
      <c r="FN301" s="2" t="n">
        <v>127.9</v>
      </c>
      <c r="FR301" s="2" t="n">
        <v>2487.4</v>
      </c>
      <c r="FW301" s="2" t="n">
        <v>179.4</v>
      </c>
      <c r="FX301" s="2" t="n">
        <v>23.7</v>
      </c>
      <c r="GA301" s="2" t="n">
        <v>21.1</v>
      </c>
      <c r="GC301" s="2" t="n">
        <v>56.7</v>
      </c>
      <c r="GD301" s="2" t="e">
        <v>#VALUE!</v>
      </c>
      <c r="GH301" s="2" t="n">
        <v>565.3</v>
      </c>
      <c r="GM301" s="2" t="n">
        <v>33</v>
      </c>
      <c r="GN301" s="2" t="n">
        <v>20</v>
      </c>
      <c r="GQ301" s="2" t="n">
        <v>12.5</v>
      </c>
      <c r="GS301" s="2" t="n">
        <v>4.8</v>
      </c>
      <c r="GT301" s="2" t="e">
        <v>#VALUE!</v>
      </c>
      <c r="GX301" s="2" t="n">
        <v>196.3</v>
      </c>
      <c r="GY301" s="2" t="n">
        <v>0.9722073348135671</v>
      </c>
      <c r="GZ301" s="2" t="n">
        <v>1269.8</v>
      </c>
      <c r="HA301" s="2" t="n">
        <v>1306.1</v>
      </c>
      <c r="HB301" s="2" t="n">
        <v>-14.67446473440009</v>
      </c>
      <c r="HC301" s="2" t="n">
        <v>1.238173764599878</v>
      </c>
      <c r="HD301" s="2" t="n">
        <v>1468.3255352656</v>
      </c>
      <c r="HE301" s="2" t="n">
        <v>-7.700000000000045</v>
      </c>
      <c r="HF301" s="2" t="n">
        <v>1483</v>
      </c>
      <c r="HG301" s="2" t="n">
        <v>1430.5</v>
      </c>
      <c r="HH301" s="2" t="n">
        <v>655.4</v>
      </c>
      <c r="HI301" s="2" t="n">
        <v>112.9</v>
      </c>
      <c r="HJ301" s="2" t="n">
        <v>650.3</v>
      </c>
      <c r="HK301" s="2" t="n">
        <v>11.8</v>
      </c>
      <c r="HL301" s="2" t="n">
        <v>52.5</v>
      </c>
      <c r="HP301" s="2" t="e">
        <v>#VALUE!</v>
      </c>
      <c r="HQ301" s="2" t="n">
        <v>4.6</v>
      </c>
      <c r="HR301" s="2" t="n">
        <v>10</v>
      </c>
      <c r="HS301" s="2" t="e">
        <v>#VALUE!</v>
      </c>
      <c r="HT301" s="2" t="n">
        <v>30.9</v>
      </c>
      <c r="HW301" s="2" t="n">
        <v>302.7</v>
      </c>
      <c r="HX301" s="2" t="e">
        <v>#VALUE!</v>
      </c>
      <c r="HY301" s="2" t="n">
        <v>302.7</v>
      </c>
      <c r="HZ301" s="2" t="n">
        <v>57.3</v>
      </c>
      <c r="IA301" s="2" t="n">
        <v>224.9</v>
      </c>
      <c r="IB301" s="2" t="n">
        <v>76.7</v>
      </c>
      <c r="IC301" s="2" t="n">
        <v>148.2</v>
      </c>
      <c r="ID301" s="2" t="n">
        <v>85.7</v>
      </c>
      <c r="IE301" s="2" t="n">
        <v>62.5</v>
      </c>
      <c r="IF301" s="2" t="e">
        <v>#VALUE!</v>
      </c>
      <c r="IG301" s="2" t="e">
        <v>#VALUE!</v>
      </c>
      <c r="IL301" s="2" t="n">
        <v>20.49999999999997</v>
      </c>
      <c r="IN301" s="2" t="n">
        <v>53.4</v>
      </c>
      <c r="IO301" s="2" t="n">
        <v>53.6</v>
      </c>
      <c r="IP301" s="2" t="e">
        <v>#VALUE!</v>
      </c>
      <c r="IQ301" s="2" t="n">
        <v>38.3</v>
      </c>
      <c r="IR301" s="2" t="n">
        <v>13.3</v>
      </c>
      <c r="IS301" s="2" t="e">
        <v>#VALUE!</v>
      </c>
      <c r="IT301" s="2" t="n">
        <v>23</v>
      </c>
      <c r="IU301" s="2" t="e">
        <v>#VALUE!</v>
      </c>
      <c r="IV301" s="2" t="e">
        <v>#VALUE!</v>
      </c>
      <c r="IY301" s="2" t="n">
        <v>48.17013562943061</v>
      </c>
      <c r="IZ301" s="2" t="n">
        <v>0.200135629430612</v>
      </c>
      <c r="JB301" s="2" t="n">
        <v>11.51620108115107</v>
      </c>
      <c r="JC301" s="2" t="n">
        <v>-0.07379891884892942</v>
      </c>
      <c r="JE301" s="2" t="n">
        <v>1180.2</v>
      </c>
      <c r="JF301" s="2" t="n">
        <v>0.7359396712421623</v>
      </c>
    </row>
    <row r="302">
      <c r="A302" s="1" t="n">
        <v>38231</v>
      </c>
      <c r="B302" s="2" t="n">
        <v>3628.9</v>
      </c>
      <c r="C302" s="2" t="n">
        <v>2244.4</v>
      </c>
      <c r="D302" s="2" t="n">
        <v>141</v>
      </c>
      <c r="E302" s="2" t="n">
        <v>456.7</v>
      </c>
      <c r="F302" s="2" t="n">
        <v>7.5</v>
      </c>
      <c r="G302" s="2" t="inlineStr">
        <is>
          <t>NA</t>
        </is>
      </c>
      <c r="H302" s="2" t="inlineStr">
        <is>
          <t>NA</t>
        </is>
      </c>
      <c r="I302" s="2" t="inlineStr">
        <is>
          <t>NA</t>
        </is>
      </c>
      <c r="J302" s="2" t="inlineStr">
        <is>
          <t>NA</t>
        </is>
      </c>
      <c r="K302" s="2" t="n">
        <v>1391.7</v>
      </c>
      <c r="L302" s="2" t="n">
        <v>1075.6</v>
      </c>
      <c r="M302" s="2" t="n">
        <v>887.7</v>
      </c>
      <c r="N302" s="2" t="n">
        <v>187.9</v>
      </c>
      <c r="O302" s="2" t="n">
        <v>58.1</v>
      </c>
      <c r="P302" s="2" t="n">
        <v>109</v>
      </c>
      <c r="Q302" s="2" t="n">
        <v>16.6</v>
      </c>
      <c r="R302" s="2" t="n">
        <v>92.40000000000001</v>
      </c>
      <c r="T302" s="2" t="n">
        <v>5.8</v>
      </c>
      <c r="U302" s="2" t="n">
        <v>64</v>
      </c>
      <c r="V302" s="2" t="n">
        <v>61.8</v>
      </c>
      <c r="W302" s="2" t="n">
        <v>2.2</v>
      </c>
      <c r="X302" s="2" t="inlineStr">
        <is>
          <t>NA</t>
        </is>
      </c>
      <c r="Y302" s="2" t="inlineStr">
        <is>
          <t>NA</t>
        </is>
      </c>
      <c r="Z302" s="2" t="n">
        <v>39.9</v>
      </c>
      <c r="AA302" s="2" t="n">
        <v>24</v>
      </c>
      <c r="AB302" s="2" t="n">
        <v>15.9</v>
      </c>
      <c r="AC302" s="2" t="inlineStr">
        <is>
          <t>NA</t>
        </is>
      </c>
      <c r="AD302" s="2" t="inlineStr">
        <is>
          <t>NA</t>
        </is>
      </c>
      <c r="AF302" s="2" t="n">
        <v>91.40000000000001</v>
      </c>
      <c r="AG302" s="2" t="n">
        <v>64.7</v>
      </c>
      <c r="AH302" s="2" t="n">
        <v>26.7</v>
      </c>
      <c r="AI302" s="2" t="n">
        <v>200.1</v>
      </c>
      <c r="AL302" s="2" t="n">
        <v>152.9</v>
      </c>
      <c r="AM302" s="2" t="n">
        <v>106.2</v>
      </c>
      <c r="AN302" s="2" t="n">
        <v>46.7</v>
      </c>
      <c r="AO302" s="2" t="n">
        <v>2663.2</v>
      </c>
      <c r="AP302" s="2" t="n">
        <v>175.3</v>
      </c>
      <c r="AQ302" s="2" t="n">
        <v>211.1</v>
      </c>
      <c r="AR302" s="2" t="n">
        <v>35.4</v>
      </c>
      <c r="AS302" s="2" t="n">
        <v>82.5</v>
      </c>
      <c r="AT302" s="2" t="n">
        <v>76.7</v>
      </c>
      <c r="AU302" s="2" t="n">
        <v>54.1</v>
      </c>
      <c r="AV302" s="2" t="n">
        <v>24.3</v>
      </c>
      <c r="AW302" s="2" t="n">
        <v>3.6</v>
      </c>
      <c r="AX302" s="2" t="n">
        <v>1.3</v>
      </c>
      <c r="AY302" s="2" t="inlineStr">
        <is>
          <t>NA</t>
        </is>
      </c>
      <c r="AZ302" s="2" t="inlineStr">
        <is>
          <t>NA</t>
        </is>
      </c>
      <c r="BA302" s="2" t="inlineStr">
        <is>
          <t>NA</t>
        </is>
      </c>
      <c r="BB302" s="2" t="inlineStr">
        <is>
          <t>NA</t>
        </is>
      </c>
      <c r="BD302" s="2" t="n">
        <v>153.4</v>
      </c>
      <c r="BE302" s="2" t="n">
        <v>20.7</v>
      </c>
      <c r="BF302" s="2" t="n">
        <v>79.09999999999999</v>
      </c>
      <c r="BG302" s="2" t="n">
        <v>11</v>
      </c>
      <c r="BH302" s="2" t="n">
        <v>310.7</v>
      </c>
      <c r="BI302" s="2" t="n">
        <v>136.8</v>
      </c>
      <c r="BJ302" s="2" t="n">
        <v>97.90000000000001</v>
      </c>
      <c r="BK302" s="2" t="n">
        <v>234.7</v>
      </c>
      <c r="BL302" s="2" t="n">
        <v>0</v>
      </c>
      <c r="BM302" s="2" t="n">
        <v>545.4</v>
      </c>
      <c r="BN302" s="2" t="n">
        <v>246</v>
      </c>
      <c r="BO302" s="2" t="n">
        <v>61.1</v>
      </c>
      <c r="BP302" s="2" t="n">
        <v>46.4</v>
      </c>
      <c r="BQ302" s="2" t="n">
        <v>107.5</v>
      </c>
      <c r="BR302" s="2" t="n">
        <v>0</v>
      </c>
      <c r="BS302" s="2" t="n">
        <v>353.5</v>
      </c>
      <c r="BT302" s="2" t="n">
        <v>22.3</v>
      </c>
      <c r="BU302" s="2" t="n">
        <v>11.4</v>
      </c>
      <c r="BV302" s="2" t="inlineStr">
        <is>
          <t>NA</t>
        </is>
      </c>
      <c r="BW302" s="2" t="inlineStr">
        <is>
          <t>NA</t>
        </is>
      </c>
      <c r="BX302" s="2" t="n">
        <v>367.1</v>
      </c>
      <c r="BY302" s="2" t="inlineStr">
        <is>
          <t>NA</t>
        </is>
      </c>
      <c r="BZ302" s="2" t="inlineStr">
        <is>
          <t>NA</t>
        </is>
      </c>
      <c r="CA302" s="2" t="n">
        <v>46.9</v>
      </c>
      <c r="CB302" s="2" t="n">
        <v>89</v>
      </c>
      <c r="CC302" s="2" t="inlineStr">
        <is>
          <t>NA</t>
        </is>
      </c>
      <c r="CD302" s="2" t="n">
        <v>105.5</v>
      </c>
      <c r="CE302" s="2" t="n">
        <v>15.9</v>
      </c>
      <c r="CF302" s="2" t="n">
        <v>108.5</v>
      </c>
      <c r="CG302" s="2" t="n">
        <v>173.9</v>
      </c>
      <c r="CH302" s="2" t="n">
        <v>14.775</v>
      </c>
      <c r="CK302" s="2" t="n">
        <v>205.7</v>
      </c>
      <c r="CL302" s="2" t="n">
        <v>25.4</v>
      </c>
      <c r="CN302" s="2" t="n">
        <v>39.8</v>
      </c>
      <c r="CO302" s="2" t="n">
        <v>131.2</v>
      </c>
      <c r="CP302" s="2" t="n">
        <v>91.09999999999999</v>
      </c>
      <c r="CQ302" s="2" t="n">
        <v>40.1</v>
      </c>
      <c r="CR302" s="2" t="inlineStr">
        <is>
          <t>NA</t>
        </is>
      </c>
      <c r="CS302" s="2" t="n">
        <v>13</v>
      </c>
      <c r="CT302" s="2" t="n">
        <v>5.5</v>
      </c>
      <c r="CU302" s="2" t="n">
        <v>7.5</v>
      </c>
      <c r="CV302" s="2" t="n">
        <v>141.2</v>
      </c>
      <c r="CW302" s="2" t="inlineStr">
        <is>
          <t>NA</t>
        </is>
      </c>
      <c r="CX302" s="2" t="inlineStr">
        <is>
          <t>NA</t>
        </is>
      </c>
      <c r="CY302" s="2" t="inlineStr">
        <is>
          <t>NA</t>
        </is>
      </c>
      <c r="CZ302" s="2" t="n">
        <v>64</v>
      </c>
      <c r="DA302" s="2" t="n">
        <v>24.3</v>
      </c>
      <c r="DB302" s="2" t="inlineStr">
        <is>
          <t>NA</t>
        </is>
      </c>
      <c r="DC302" s="2" t="inlineStr">
        <is>
          <t>NA</t>
        </is>
      </c>
      <c r="DI302" s="2" t="n">
        <v>671.5</v>
      </c>
      <c r="DJ302" s="2" t="n">
        <v>351.3</v>
      </c>
      <c r="DM302" s="2" t="n">
        <v>219.7</v>
      </c>
      <c r="DO302" s="2" t="n">
        <v>177.7</v>
      </c>
      <c r="DP302" s="2" t="n">
        <v>223.3</v>
      </c>
      <c r="DS302" s="2" t="n">
        <v>1849.895</v>
      </c>
      <c r="DT302" s="2" t="n">
        <v>3628.9</v>
      </c>
      <c r="DU302" s="2" t="n">
        <v>-135.5050000000001</v>
      </c>
      <c r="DV302" s="2" t="n">
        <v>0</v>
      </c>
      <c r="EA302" s="2" t="n">
        <v>453.9</v>
      </c>
      <c r="EB302" s="2" t="n">
        <v>599.4</v>
      </c>
      <c r="EE302" s="2" t="n">
        <v>35</v>
      </c>
      <c r="EG302" s="2" t="n">
        <v>81.8</v>
      </c>
      <c r="EH302" s="2" t="n">
        <v>176.8</v>
      </c>
      <c r="EL302" s="2" t="n">
        <v>2244.4</v>
      </c>
      <c r="EQ302" s="2" t="n">
        <v>260.1</v>
      </c>
      <c r="ER302" s="2" t="n">
        <v>134.7</v>
      </c>
      <c r="EU302" s="2" t="n">
        <v>85.5</v>
      </c>
      <c r="EW302" s="2" t="n">
        <v>67.59999999999999</v>
      </c>
      <c r="EX302" s="2" t="n">
        <v>81.90000000000001</v>
      </c>
      <c r="FB302" s="2" t="n">
        <v>1391.7</v>
      </c>
      <c r="FG302" s="2" t="n">
        <v>529.9</v>
      </c>
      <c r="FH302" s="2" t="n">
        <v>285.4</v>
      </c>
      <c r="FK302" s="2" t="n">
        <v>173.5</v>
      </c>
      <c r="FM302" s="2" t="n">
        <v>141</v>
      </c>
      <c r="FN302" s="2" t="n">
        <v>182</v>
      </c>
      <c r="FR302" s="2" t="n">
        <v>2879.2</v>
      </c>
      <c r="FW302" s="2" t="n">
        <v>177.6</v>
      </c>
      <c r="FX302" s="2" t="n">
        <v>39.5</v>
      </c>
      <c r="GA302" s="2" t="n">
        <v>18.1</v>
      </c>
      <c r="GC302" s="2" t="n">
        <v>61.5</v>
      </c>
      <c r="GD302" s="2" t="e">
        <v>#VALUE!</v>
      </c>
      <c r="GH302" s="2" t="n">
        <v>571.6</v>
      </c>
      <c r="GM302" s="2" t="n">
        <v>27.5</v>
      </c>
      <c r="GN302" s="2" t="n">
        <v>21.9</v>
      </c>
      <c r="GQ302" s="2" t="n">
        <v>25.6</v>
      </c>
      <c r="GS302" s="2" t="n">
        <v>4.2</v>
      </c>
      <c r="GT302" s="2" t="e">
        <v>#VALUE!</v>
      </c>
      <c r="GX302" s="2" t="n">
        <v>210.7</v>
      </c>
      <c r="GY302" s="2" t="n">
        <v>0.9762544802867383</v>
      </c>
      <c r="GZ302" s="2" t="n">
        <v>1307.4</v>
      </c>
      <c r="HA302" s="2" t="n">
        <v>1339.2</v>
      </c>
      <c r="HB302" s="2" t="n">
        <v>-91.27081891000034</v>
      </c>
      <c r="HC302" s="2" t="n">
        <v>-101.8065206468009</v>
      </c>
      <c r="HD302" s="2" t="n">
        <v>1410.52918109</v>
      </c>
      <c r="HE302" s="2" t="n">
        <v>-76.10000000000014</v>
      </c>
      <c r="HF302" s="2" t="n">
        <v>1501.8</v>
      </c>
      <c r="HG302" s="2" t="n">
        <v>1447.2</v>
      </c>
      <c r="HH302" s="2" t="n">
        <v>660.3</v>
      </c>
      <c r="HI302" s="2" t="n">
        <v>106.5</v>
      </c>
      <c r="HJ302" s="2" t="n">
        <v>660.9</v>
      </c>
      <c r="HK302" s="2" t="n">
        <v>19.4</v>
      </c>
      <c r="HL302" s="2" t="n">
        <v>54.7</v>
      </c>
      <c r="HP302" s="2" t="e">
        <v>#VALUE!</v>
      </c>
      <c r="HQ302" s="2" t="n">
        <v>4.7</v>
      </c>
      <c r="HR302" s="2" t="n">
        <v>7.9</v>
      </c>
      <c r="HS302" s="2" t="e">
        <v>#VALUE!</v>
      </c>
      <c r="HT302" s="2" t="n">
        <v>34.2</v>
      </c>
      <c r="HW302" s="2" t="n">
        <v>294.8</v>
      </c>
      <c r="HX302" s="2" t="e">
        <v>#VALUE!</v>
      </c>
      <c r="HY302" s="2" t="n">
        <v>294.8</v>
      </c>
      <c r="HZ302" s="2" t="n">
        <v>48.9</v>
      </c>
      <c r="IA302" s="2" t="n">
        <v>224.9</v>
      </c>
      <c r="IB302" s="2" t="n">
        <v>75.3</v>
      </c>
      <c r="IC302" s="2" t="n">
        <v>149.6</v>
      </c>
      <c r="ID302" s="2" t="n">
        <v>88.8</v>
      </c>
      <c r="IE302" s="2" t="n">
        <v>60.8</v>
      </c>
      <c r="IF302" s="2" t="e">
        <v>#VALUE!</v>
      </c>
      <c r="IG302" s="2" t="e">
        <v>#VALUE!</v>
      </c>
      <c r="IL302" s="2" t="n">
        <v>21</v>
      </c>
      <c r="IN302" s="2" t="n">
        <v>52</v>
      </c>
      <c r="IO302" s="2" t="n">
        <v>52.2</v>
      </c>
      <c r="IP302" s="2" t="e">
        <v>#VALUE!</v>
      </c>
      <c r="IQ302" s="2" t="n">
        <v>40.4</v>
      </c>
      <c r="IR302" s="2" t="n">
        <v>14.5</v>
      </c>
      <c r="IS302" s="2" t="e">
        <v>#VALUE!</v>
      </c>
      <c r="IT302" s="2" t="n">
        <v>23.5</v>
      </c>
      <c r="IU302" s="2" t="e">
        <v>#VALUE!</v>
      </c>
      <c r="IV302" s="2" t="e">
        <v>#VALUE!</v>
      </c>
      <c r="IY302" s="2" t="n">
        <v>47.5234919672628</v>
      </c>
      <c r="IZ302" s="2" t="n">
        <v>0.143491967262797</v>
      </c>
      <c r="JB302" s="2" t="n">
        <v>11.50513929840999</v>
      </c>
      <c r="JC302" s="2" t="n">
        <v>-0.01486070159001329</v>
      </c>
      <c r="JE302" s="2" t="n">
        <v>1075.6</v>
      </c>
      <c r="JF302" s="2" t="n">
        <v>0.7413248419486798</v>
      </c>
    </row>
    <row r="303">
      <c r="A303" s="1" t="n">
        <v>38261</v>
      </c>
      <c r="B303" s="2" t="n">
        <v>4658.8</v>
      </c>
      <c r="C303" s="2" t="n">
        <v>3423.7</v>
      </c>
      <c r="D303" s="2" t="n">
        <v>247.9</v>
      </c>
      <c r="E303" s="2" t="n">
        <v>966.6</v>
      </c>
      <c r="F303" s="2" t="n">
        <v>11.4</v>
      </c>
      <c r="G303" s="2" t="inlineStr">
        <is>
          <t>NA</t>
        </is>
      </c>
      <c r="H303" s="2" t="inlineStr">
        <is>
          <t>NA</t>
        </is>
      </c>
      <c r="I303" s="2" t="inlineStr">
        <is>
          <t>NA</t>
        </is>
      </c>
      <c r="J303" s="2" t="inlineStr">
        <is>
          <t>NA</t>
        </is>
      </c>
      <c r="K303" s="2" t="n">
        <v>1759.6</v>
      </c>
      <c r="L303" s="2" t="n">
        <v>1269.4</v>
      </c>
      <c r="M303" s="2" t="n">
        <v>1033.8</v>
      </c>
      <c r="N303" s="2" t="n">
        <v>235.6</v>
      </c>
      <c r="O303" s="2" t="n">
        <v>77.09999999999999</v>
      </c>
      <c r="P303" s="2" t="n">
        <v>110.8</v>
      </c>
      <c r="Q303" s="2" t="n">
        <v>16.3</v>
      </c>
      <c r="R303" s="2" t="n">
        <v>94.5</v>
      </c>
      <c r="T303" s="2" t="n">
        <v>10</v>
      </c>
      <c r="U303" s="2" t="n">
        <v>60.3</v>
      </c>
      <c r="V303" s="2" t="n">
        <v>58.4</v>
      </c>
      <c r="W303" s="2" t="n">
        <v>1.9</v>
      </c>
      <c r="X303" s="2" t="inlineStr">
        <is>
          <t>NA</t>
        </is>
      </c>
      <c r="Y303" s="2" t="inlineStr">
        <is>
          <t>NA</t>
        </is>
      </c>
      <c r="Z303" s="2" t="n">
        <v>39.90000000000001</v>
      </c>
      <c r="AA303" s="2" t="n">
        <v>27.1</v>
      </c>
      <c r="AB303" s="2" t="n">
        <v>12.8</v>
      </c>
      <c r="AC303" s="2" t="inlineStr">
        <is>
          <t>NA</t>
        </is>
      </c>
      <c r="AD303" s="2" t="inlineStr">
        <is>
          <t>NA</t>
        </is>
      </c>
      <c r="AF303" s="2" t="n">
        <v>61.8</v>
      </c>
      <c r="AG303" s="2" t="n">
        <v>46</v>
      </c>
      <c r="AH303" s="2" t="n">
        <v>15.8</v>
      </c>
      <c r="AI303" s="2" t="n">
        <v>208.8</v>
      </c>
      <c r="AL303" s="2" t="n">
        <v>135.4</v>
      </c>
      <c r="AM303" s="2" t="n">
        <v>93.09999999999999</v>
      </c>
      <c r="AN303" s="2" t="n">
        <v>42.3</v>
      </c>
      <c r="AO303" s="2" t="n">
        <v>3415.3</v>
      </c>
      <c r="AP303" s="2" t="n">
        <v>295.2</v>
      </c>
      <c r="AQ303" s="2" t="n">
        <v>269.9</v>
      </c>
      <c r="AR303" s="2" t="n">
        <v>58.9</v>
      </c>
      <c r="AS303" s="2" t="n">
        <v>105.4</v>
      </c>
      <c r="AT303" s="2" t="n">
        <v>77.90000000000001</v>
      </c>
      <c r="AU303" s="2" t="n">
        <v>69.40000000000001</v>
      </c>
      <c r="AV303" s="2" t="n">
        <v>18.9</v>
      </c>
      <c r="AW303" s="2" t="n">
        <v>6.9</v>
      </c>
      <c r="AX303" s="2" t="n">
        <v>2.5</v>
      </c>
      <c r="AY303" s="2" t="inlineStr">
        <is>
          <t>NA</t>
        </is>
      </c>
      <c r="AZ303" s="2" t="inlineStr">
        <is>
          <t>NA</t>
        </is>
      </c>
      <c r="BA303" s="2" t="inlineStr">
        <is>
          <t>NA</t>
        </is>
      </c>
      <c r="BB303" s="2" t="inlineStr">
        <is>
          <t>NA</t>
        </is>
      </c>
      <c r="BD303" s="2" t="n">
        <v>156.4</v>
      </c>
      <c r="BE303" s="2" t="n">
        <v>24.3</v>
      </c>
      <c r="BF303" s="2" t="n">
        <v>76.2</v>
      </c>
      <c r="BG303" s="2" t="n">
        <v>14.6</v>
      </c>
      <c r="BH303" s="2" t="n">
        <v>319.5</v>
      </c>
      <c r="BI303" s="2" t="n">
        <v>130.1</v>
      </c>
      <c r="BJ303" s="2" t="n">
        <v>95</v>
      </c>
      <c r="BK303" s="2" t="n">
        <v>225.1</v>
      </c>
      <c r="BL303" s="2" t="n">
        <v>0</v>
      </c>
      <c r="BM303" s="2" t="n">
        <v>544.6</v>
      </c>
      <c r="BN303" s="2" t="n">
        <v>200.2</v>
      </c>
      <c r="BO303" s="2" t="n">
        <v>54.8</v>
      </c>
      <c r="BP303" s="2" t="n">
        <v>26.8</v>
      </c>
      <c r="BQ303" s="2" t="n">
        <v>81.59999999999999</v>
      </c>
      <c r="BR303" s="2" t="n">
        <v>0</v>
      </c>
      <c r="BS303" s="2" t="n">
        <v>281.8</v>
      </c>
      <c r="BT303" s="2" t="n">
        <v>20.6</v>
      </c>
      <c r="BU303" s="2" t="n">
        <v>11.1</v>
      </c>
      <c r="BV303" s="2" t="inlineStr">
        <is>
          <t>NA</t>
        </is>
      </c>
      <c r="BW303" s="2" t="inlineStr">
        <is>
          <t>NA</t>
        </is>
      </c>
      <c r="BX303" s="2" t="n">
        <v>370</v>
      </c>
      <c r="BY303" s="2" t="inlineStr">
        <is>
          <t>NA</t>
        </is>
      </c>
      <c r="BZ303" s="2" t="inlineStr">
        <is>
          <t>NA</t>
        </is>
      </c>
      <c r="CA303" s="2" t="n">
        <v>41.3</v>
      </c>
      <c r="CB303" s="2" t="n">
        <v>86.5</v>
      </c>
      <c r="CC303" s="2" t="inlineStr">
        <is>
          <t>NA</t>
        </is>
      </c>
      <c r="CD303" s="2" t="n">
        <v>106.1</v>
      </c>
      <c r="CE303" s="2" t="n">
        <v>20.1</v>
      </c>
      <c r="CF303" s="2" t="n">
        <v>92.09999999999999</v>
      </c>
      <c r="CG303" s="2" t="n">
        <v>140.2</v>
      </c>
      <c r="CH303" s="2" t="n">
        <v>16.615</v>
      </c>
      <c r="CK303" s="2" t="n">
        <v>192.4</v>
      </c>
      <c r="CL303" s="2" t="n">
        <v>25.9</v>
      </c>
      <c r="CN303" s="2" t="n">
        <v>48.3</v>
      </c>
      <c r="CO303" s="2" t="n">
        <v>147.7</v>
      </c>
      <c r="CP303" s="2" t="n">
        <v>128</v>
      </c>
      <c r="CQ303" s="2" t="n">
        <v>19.7</v>
      </c>
      <c r="CR303" s="2" t="inlineStr">
        <is>
          <t>NA</t>
        </is>
      </c>
      <c r="CS303" s="2" t="n">
        <v>21.8</v>
      </c>
      <c r="CT303" s="2" t="n">
        <v>10.6</v>
      </c>
      <c r="CU303" s="2" t="n">
        <v>11.2</v>
      </c>
      <c r="CV303" s="2" t="n">
        <v>106</v>
      </c>
      <c r="CW303" s="2" t="inlineStr">
        <is>
          <t>NA</t>
        </is>
      </c>
      <c r="CX303" s="2" t="inlineStr">
        <is>
          <t>NA</t>
        </is>
      </c>
      <c r="CY303" s="2" t="inlineStr">
        <is>
          <t>NA</t>
        </is>
      </c>
      <c r="CZ303" s="2" t="n">
        <v>38.8</v>
      </c>
      <c r="DA303" s="2" t="n">
        <v>17.3</v>
      </c>
      <c r="DB303" s="2" t="inlineStr">
        <is>
          <t>NA</t>
        </is>
      </c>
      <c r="DC303" s="2" t="inlineStr">
        <is>
          <t>NA</t>
        </is>
      </c>
      <c r="DI303" s="2" t="n">
        <v>737.4</v>
      </c>
      <c r="DJ303" s="2" t="n">
        <v>431</v>
      </c>
      <c r="DM303" s="2" t="n">
        <v>277.4</v>
      </c>
      <c r="DO303" s="2" t="n">
        <v>196.9</v>
      </c>
      <c r="DP303" s="2" t="n">
        <v>342.9</v>
      </c>
      <c r="DS303" s="2" t="n">
        <v>2476.451</v>
      </c>
      <c r="DT303" s="2" t="n">
        <v>4658.8</v>
      </c>
      <c r="DU303" s="2" t="n">
        <v>-196.7489999999998</v>
      </c>
      <c r="DV303" s="2" t="n">
        <v>0</v>
      </c>
      <c r="EA303" s="2" t="n">
        <v>700.7</v>
      </c>
      <c r="EB303" s="2" t="n">
        <v>663</v>
      </c>
      <c r="EE303" s="2" t="n">
        <v>91</v>
      </c>
      <c r="EG303" s="2" t="n">
        <v>169.6</v>
      </c>
      <c r="EH303" s="2" t="n">
        <v>291.7</v>
      </c>
      <c r="EL303" s="2" t="n">
        <v>3423.7</v>
      </c>
      <c r="EQ303" s="2" t="n">
        <v>282.1</v>
      </c>
      <c r="ER303" s="2" t="n">
        <v>162.4</v>
      </c>
      <c r="EU303" s="2" t="n">
        <v>101.4</v>
      </c>
      <c r="EW303" s="2" t="n">
        <v>76.40000000000001</v>
      </c>
      <c r="EX303" s="2" t="n">
        <v>125.2</v>
      </c>
      <c r="FB303" s="2" t="n">
        <v>1759.6</v>
      </c>
      <c r="FG303" s="2" t="n">
        <v>598.6</v>
      </c>
      <c r="FH303" s="2" t="n">
        <v>342.5</v>
      </c>
      <c r="FK303" s="2" t="n">
        <v>221.5</v>
      </c>
      <c r="FM303" s="2" t="n">
        <v>155.4</v>
      </c>
      <c r="FN303" s="2" t="n">
        <v>276.1</v>
      </c>
      <c r="FR303" s="2" t="n">
        <v>3704.9</v>
      </c>
      <c r="FW303" s="2" t="n">
        <v>181.9</v>
      </c>
      <c r="FX303" s="2" t="n">
        <v>55.6</v>
      </c>
      <c r="GA303" s="2" t="e">
        <v>#VALUE!</v>
      </c>
      <c r="GC303" s="2" t="n">
        <v>60.7</v>
      </c>
      <c r="GD303" s="2" t="e">
        <v>#VALUE!</v>
      </c>
      <c r="GH303" s="2" t="n">
        <v>669.8</v>
      </c>
      <c r="GM303" s="2" t="n">
        <v>57.3</v>
      </c>
      <c r="GN303" s="2" t="n">
        <v>42.9</v>
      </c>
      <c r="GQ303" s="2" t="n">
        <v>24.4</v>
      </c>
      <c r="GS303" s="2" t="n">
        <v>9.800000000000001</v>
      </c>
      <c r="GT303" s="2" t="e">
        <v>#VALUE!</v>
      </c>
      <c r="GX303" s="2" t="n">
        <v>357.7</v>
      </c>
      <c r="GY303" s="2" t="n">
        <v>0.9782870928829916</v>
      </c>
      <c r="GZ303" s="2" t="n">
        <v>1378.7</v>
      </c>
      <c r="HA303" s="2" t="n">
        <v>1409.3</v>
      </c>
      <c r="HB303" s="2" t="n">
        <v>28.59552534399995</v>
      </c>
      <c r="HC303" s="2" t="n">
        <v>45.90800032259995</v>
      </c>
      <c r="HD303" s="2" t="n">
        <v>1604.495525344</v>
      </c>
      <c r="HE303" s="2" t="n">
        <v>-84.79999999999995</v>
      </c>
      <c r="HF303" s="2" t="n">
        <v>1575.9</v>
      </c>
      <c r="HG303" s="2" t="n">
        <v>1518</v>
      </c>
      <c r="HH303" s="2" t="n">
        <v>673.3</v>
      </c>
      <c r="HI303" s="2" t="n">
        <v>104.8</v>
      </c>
      <c r="HJ303" s="2" t="n">
        <v>720.1</v>
      </c>
      <c r="HK303" s="2" t="n">
        <v>19.8</v>
      </c>
      <c r="HL303" s="2" t="n">
        <v>57.8</v>
      </c>
      <c r="HP303" s="2" t="e">
        <v>#VALUE!</v>
      </c>
      <c r="HQ303" s="2" t="n">
        <v>4.6</v>
      </c>
      <c r="HR303" s="2" t="n">
        <v>8.4</v>
      </c>
      <c r="HS303" s="2" t="e">
        <v>#VALUE!</v>
      </c>
      <c r="HT303" s="2" t="n">
        <v>36.8</v>
      </c>
      <c r="HW303" s="2" t="n">
        <v>307</v>
      </c>
      <c r="HX303" s="2" t="e">
        <v>#VALUE!</v>
      </c>
      <c r="HY303" s="2" t="n">
        <v>307</v>
      </c>
      <c r="HZ303" s="2" t="n">
        <v>51.8</v>
      </c>
      <c r="IA303" s="2" t="n">
        <v>233.8</v>
      </c>
      <c r="IB303" s="2" t="n">
        <v>83.8</v>
      </c>
      <c r="IC303" s="2" t="n">
        <v>150</v>
      </c>
      <c r="ID303" s="2" t="n">
        <v>85.5</v>
      </c>
      <c r="IE303" s="2" t="n">
        <v>64.5</v>
      </c>
      <c r="IF303" s="2" t="e">
        <v>#VALUE!</v>
      </c>
      <c r="IG303" s="2" t="e">
        <v>#VALUE!</v>
      </c>
      <c r="IL303" s="2" t="n">
        <v>21.39999999999998</v>
      </c>
      <c r="IN303" s="2" t="n">
        <v>59.7</v>
      </c>
      <c r="IO303" s="2" t="n">
        <v>60</v>
      </c>
      <c r="IP303" s="2" t="e">
        <v>#VALUE!</v>
      </c>
      <c r="IQ303" s="2" t="n">
        <v>42.2</v>
      </c>
      <c r="IR303" s="2" t="n">
        <v>14.6</v>
      </c>
      <c r="IS303" s="2" t="e">
        <v>#VALUE!</v>
      </c>
      <c r="IT303" s="2" t="n">
        <v>5.4</v>
      </c>
      <c r="IU303" s="2" t="e">
        <v>#VALUE!</v>
      </c>
      <c r="IV303" s="2" t="e">
        <v>#VALUE!</v>
      </c>
      <c r="IY303" s="2" t="n">
        <v>47.46114879368078</v>
      </c>
      <c r="IZ303" s="2" t="n">
        <v>0.2011487936807796</v>
      </c>
      <c r="JB303" s="2" t="n">
        <v>11.33081480209496</v>
      </c>
      <c r="JC303" s="2" t="n">
        <v>-0.04918519790504305</v>
      </c>
      <c r="JE303" s="2" t="n">
        <v>1269.4</v>
      </c>
      <c r="JF303" s="2" t="n">
        <v>0.6951717346778006</v>
      </c>
    </row>
    <row r="304">
      <c r="A304" s="1" t="n">
        <v>38292</v>
      </c>
      <c r="B304" s="2" t="n">
        <v>4533.2</v>
      </c>
      <c r="C304" s="2" t="n">
        <v>3391.7</v>
      </c>
      <c r="D304" s="2" t="n">
        <v>260.3</v>
      </c>
      <c r="E304" s="2" t="n">
        <v>1423.1</v>
      </c>
      <c r="F304" s="2" t="n">
        <v>15</v>
      </c>
      <c r="G304" s="2" t="inlineStr">
        <is>
          <t>NA</t>
        </is>
      </c>
      <c r="H304" s="2" t="inlineStr">
        <is>
          <t>NA</t>
        </is>
      </c>
      <c r="I304" s="2" t="inlineStr">
        <is>
          <t>NA</t>
        </is>
      </c>
      <c r="J304" s="2" t="inlineStr">
        <is>
          <t>NA</t>
        </is>
      </c>
      <c r="K304" s="2" t="n">
        <v>1688</v>
      </c>
      <c r="L304" s="2" t="n">
        <v>1191.2</v>
      </c>
      <c r="M304" s="2" t="n">
        <v>1013</v>
      </c>
      <c r="N304" s="2" t="n">
        <v>178.2</v>
      </c>
      <c r="O304" s="2" t="n">
        <v>82.2</v>
      </c>
      <c r="P304" s="2" t="n">
        <v>110.6</v>
      </c>
      <c r="Q304" s="2" t="n">
        <v>18.2</v>
      </c>
      <c r="R304" s="2" t="n">
        <v>92.40000000000001</v>
      </c>
      <c r="T304" s="2" t="n">
        <v>11.9</v>
      </c>
      <c r="U304" s="2" t="n">
        <v>42.7</v>
      </c>
      <c r="V304" s="2" t="n">
        <v>40.3</v>
      </c>
      <c r="W304" s="2" t="n">
        <v>2.4</v>
      </c>
      <c r="X304" s="2" t="inlineStr">
        <is>
          <t>NA</t>
        </is>
      </c>
      <c r="Y304" s="2" t="inlineStr">
        <is>
          <t>NA</t>
        </is>
      </c>
      <c r="Z304" s="2" t="n">
        <v>41.7</v>
      </c>
      <c r="AA304" s="2" t="n">
        <v>31.5</v>
      </c>
      <c r="AB304" s="2" t="n">
        <v>10.2</v>
      </c>
      <c r="AC304" s="2" t="inlineStr">
        <is>
          <t>NA</t>
        </is>
      </c>
      <c r="AD304" s="2" t="inlineStr">
        <is>
          <t>NA</t>
        </is>
      </c>
      <c r="AF304" s="2" t="n">
        <v>64</v>
      </c>
      <c r="AG304" s="2" t="n">
        <v>50.4</v>
      </c>
      <c r="AH304" s="2" t="n">
        <v>13.6</v>
      </c>
      <c r="AI304" s="2" t="n">
        <v>187.1</v>
      </c>
      <c r="AL304" s="2" t="n">
        <v>84</v>
      </c>
      <c r="AM304" s="2" t="n">
        <v>63</v>
      </c>
      <c r="AN304" s="2" t="n">
        <v>21</v>
      </c>
      <c r="AO304" s="2" t="n">
        <v>3326.8</v>
      </c>
      <c r="AP304" s="2" t="n">
        <v>240.5</v>
      </c>
      <c r="AQ304" s="2" t="n">
        <v>257.4</v>
      </c>
      <c r="AR304" s="2" t="n">
        <v>46.4</v>
      </c>
      <c r="AS304" s="2" t="n">
        <v>110.4</v>
      </c>
      <c r="AT304" s="2" t="n">
        <v>82.59999999999999</v>
      </c>
      <c r="AU304" s="2" t="n">
        <v>75.09999999999999</v>
      </c>
      <c r="AV304" s="2" t="n">
        <v>15.3</v>
      </c>
      <c r="AW304" s="2" t="n">
        <v>8.6</v>
      </c>
      <c r="AX304" s="2" t="n">
        <v>3.7</v>
      </c>
      <c r="AY304" s="2" t="inlineStr">
        <is>
          <t>NA</t>
        </is>
      </c>
      <c r="AZ304" s="2" t="inlineStr">
        <is>
          <t>NA</t>
        </is>
      </c>
      <c r="BA304" s="2" t="inlineStr">
        <is>
          <t>NA</t>
        </is>
      </c>
      <c r="BB304" s="2" t="inlineStr">
        <is>
          <t>NA</t>
        </is>
      </c>
      <c r="BD304" s="2" t="n">
        <v>150.1</v>
      </c>
      <c r="BE304" s="2" t="n">
        <v>21.7</v>
      </c>
      <c r="BF304" s="2" t="n">
        <v>74.90000000000001</v>
      </c>
      <c r="BG304" s="2" t="n">
        <v>8.199999999999999</v>
      </c>
      <c r="BH304" s="2" t="n">
        <v>289.6</v>
      </c>
      <c r="BI304" s="2" t="n">
        <v>132.1</v>
      </c>
      <c r="BJ304" s="2" t="n">
        <v>92.5</v>
      </c>
      <c r="BK304" s="2" t="n">
        <v>224.6</v>
      </c>
      <c r="BL304" s="2" t="n">
        <v>0</v>
      </c>
      <c r="BM304" s="2" t="n">
        <v>514.2</v>
      </c>
      <c r="BN304" s="2" t="n">
        <v>193.5</v>
      </c>
      <c r="BO304" s="2" t="n">
        <v>49.8</v>
      </c>
      <c r="BP304" s="2" t="n">
        <v>26.9</v>
      </c>
      <c r="BQ304" s="2" t="n">
        <v>76.69999999999999</v>
      </c>
      <c r="BR304" s="2" t="n">
        <v>0</v>
      </c>
      <c r="BS304" s="2" t="n">
        <v>270.2</v>
      </c>
      <c r="BT304" s="2" t="n">
        <v>24.6</v>
      </c>
      <c r="BU304" s="2" t="n">
        <v>12.8</v>
      </c>
      <c r="BV304" s="2" t="inlineStr">
        <is>
          <t>NA</t>
        </is>
      </c>
      <c r="BW304" s="2" t="inlineStr">
        <is>
          <t>NA</t>
        </is>
      </c>
      <c r="BX304" s="2" t="n">
        <v>361.8</v>
      </c>
      <c r="BY304" s="2" t="inlineStr">
        <is>
          <t>NA</t>
        </is>
      </c>
      <c r="BZ304" s="2" t="inlineStr">
        <is>
          <t>NA</t>
        </is>
      </c>
      <c r="CA304" s="2" t="n">
        <v>40.1</v>
      </c>
      <c r="CB304" s="2" t="n">
        <v>82.90000000000001</v>
      </c>
      <c r="CC304" s="2" t="inlineStr">
        <is>
          <t>NA</t>
        </is>
      </c>
      <c r="CD304" s="2" t="n">
        <v>104.4</v>
      </c>
      <c r="CE304" s="2" t="n">
        <v>18.5</v>
      </c>
      <c r="CF304" s="2" t="n">
        <v>98.5</v>
      </c>
      <c r="CG304" s="2" t="n">
        <v>124.5</v>
      </c>
      <c r="CH304" s="2" t="n">
        <v>17.26</v>
      </c>
      <c r="CK304" s="2" t="n">
        <v>184</v>
      </c>
      <c r="CL304" s="2" t="n">
        <v>23.6</v>
      </c>
      <c r="CN304" s="2" t="n">
        <v>55.6</v>
      </c>
      <c r="CO304" s="2" t="n">
        <v>182.5</v>
      </c>
      <c r="CP304" s="2" t="n">
        <v>124.7</v>
      </c>
      <c r="CQ304" s="2" t="n">
        <v>57.8</v>
      </c>
      <c r="CR304" s="2" t="inlineStr">
        <is>
          <t>NA</t>
        </is>
      </c>
      <c r="CS304" s="2" t="n">
        <v>26.9</v>
      </c>
      <c r="CT304" s="2" t="n">
        <v>14.5</v>
      </c>
      <c r="CU304" s="2" t="n">
        <v>12.4</v>
      </c>
      <c r="CV304" s="2" t="n">
        <v>90.3</v>
      </c>
      <c r="CW304" s="2" t="inlineStr">
        <is>
          <t>NA</t>
        </is>
      </c>
      <c r="CX304" s="2" t="inlineStr">
        <is>
          <t>NA</t>
        </is>
      </c>
      <c r="CY304" s="2" t="inlineStr">
        <is>
          <t>NA</t>
        </is>
      </c>
      <c r="CZ304" s="2" t="n">
        <v>36.3</v>
      </c>
      <c r="DA304" s="2" t="n">
        <v>13.9</v>
      </c>
      <c r="DB304" s="2" t="inlineStr">
        <is>
          <t>NA</t>
        </is>
      </c>
      <c r="DC304" s="2" t="inlineStr">
        <is>
          <t>NA</t>
        </is>
      </c>
      <c r="DI304" s="2" t="n">
        <v>711.4</v>
      </c>
      <c r="DJ304" s="2" t="n">
        <v>426.8</v>
      </c>
      <c r="DM304" s="2" t="n">
        <v>256.1</v>
      </c>
      <c r="DO304" s="2" t="n">
        <v>186.5</v>
      </c>
      <c r="DP304" s="2" t="n">
        <v>316.6</v>
      </c>
      <c r="DS304" s="2" t="n">
        <v>2439.367</v>
      </c>
      <c r="DT304" s="2" t="n">
        <v>4533.2</v>
      </c>
      <c r="DU304" s="2" t="n">
        <v>-196.433</v>
      </c>
      <c r="DV304" s="2" t="n">
        <v>0</v>
      </c>
      <c r="EA304" s="2" t="n">
        <v>714.7</v>
      </c>
      <c r="EB304" s="2" t="n">
        <v>589</v>
      </c>
      <c r="EE304" s="2" t="e">
        <v>#VALUE!</v>
      </c>
      <c r="EG304" s="2" t="n">
        <v>168.6</v>
      </c>
      <c r="EH304" s="2" t="e">
        <v>#VALUE!</v>
      </c>
      <c r="EL304" s="2" t="n">
        <v>3391.7</v>
      </c>
      <c r="EQ304" s="2" t="n">
        <v>268</v>
      </c>
      <c r="ER304" s="2" t="n">
        <v>158.8</v>
      </c>
      <c r="EU304" s="2" t="n">
        <v>93.2</v>
      </c>
      <c r="EW304" s="2" t="n">
        <v>70.8</v>
      </c>
      <c r="EX304" s="2" t="n">
        <v>112.7</v>
      </c>
      <c r="FB304" s="2" t="n">
        <v>1688</v>
      </c>
      <c r="FG304" s="2" t="n">
        <v>564.4</v>
      </c>
      <c r="FH304" s="2" t="n">
        <v>338</v>
      </c>
      <c r="FK304" s="2" t="n">
        <v>204.5</v>
      </c>
      <c r="FM304" s="2" t="n">
        <v>146.7</v>
      </c>
      <c r="FN304" s="2" t="n">
        <v>257.7</v>
      </c>
      <c r="FR304" s="2" t="n">
        <v>3592.6</v>
      </c>
      <c r="FW304" s="2" t="n">
        <v>175.8</v>
      </c>
      <c r="FX304" s="2" t="n">
        <v>43.8</v>
      </c>
      <c r="GA304" s="2" t="e">
        <v>#VALUE!</v>
      </c>
      <c r="GC304" s="2" t="n">
        <v>63.6</v>
      </c>
      <c r="GD304" s="2" t="e">
        <v>#VALUE!</v>
      </c>
      <c r="GH304" s="2" t="n">
        <v>635.8</v>
      </c>
      <c r="GM304" s="2" t="n">
        <v>35.8</v>
      </c>
      <c r="GN304" s="2" t="e">
        <v>#VALUE!</v>
      </c>
      <c r="GQ304" s="2" t="e">
        <v>#VALUE!</v>
      </c>
      <c r="GS304" s="2" t="e">
        <v>#VALUE!</v>
      </c>
      <c r="GT304" s="2" t="e">
        <v>#VALUE!</v>
      </c>
      <c r="GX304" s="2" t="n">
        <v>286.8</v>
      </c>
      <c r="GY304" s="2" t="n">
        <v>0.9768277480384248</v>
      </c>
      <c r="GZ304" s="2" t="n">
        <v>1332.1</v>
      </c>
      <c r="HA304" s="2" t="n">
        <v>1363.7</v>
      </c>
      <c r="HB304" s="2" t="n">
        <v>36.15434255259947</v>
      </c>
      <c r="HC304" s="2" t="n">
        <v>174.1186909968001</v>
      </c>
      <c r="HD304" s="2" t="n">
        <v>1583.5543425526</v>
      </c>
      <c r="HE304" s="2" t="n">
        <v>2</v>
      </c>
      <c r="HF304" s="2" t="n">
        <v>1547.4</v>
      </c>
      <c r="HG304" s="2" t="n">
        <v>1492.7</v>
      </c>
      <c r="HH304" s="2" t="n">
        <v>656</v>
      </c>
      <c r="HI304" s="2" t="n">
        <v>128.2</v>
      </c>
      <c r="HJ304" s="2" t="n">
        <v>688.2</v>
      </c>
      <c r="HK304" s="2" t="n">
        <v>20.2</v>
      </c>
      <c r="HL304" s="2" t="n">
        <v>54.7</v>
      </c>
      <c r="HP304" s="2" t="e">
        <v>#VALUE!</v>
      </c>
      <c r="HQ304" s="2" t="n">
        <v>6.3</v>
      </c>
      <c r="HR304" s="2" t="n">
        <v>7.1</v>
      </c>
      <c r="HS304" s="2" t="e">
        <v>#VALUE!</v>
      </c>
      <c r="HT304" s="2" t="n">
        <v>34.2</v>
      </c>
      <c r="HW304" s="2" t="n">
        <v>286.7</v>
      </c>
      <c r="HX304" s="2" t="e">
        <v>#VALUE!</v>
      </c>
      <c r="HY304" s="2" t="n">
        <v>286.7</v>
      </c>
      <c r="HZ304" s="2" t="n">
        <v>53.2</v>
      </c>
      <c r="IA304" s="2" t="n">
        <v>213.8</v>
      </c>
      <c r="IB304" s="2" t="n">
        <v>69.2</v>
      </c>
      <c r="IC304" s="2" t="n">
        <v>144.6</v>
      </c>
      <c r="ID304" s="2" t="n">
        <v>82.40000000000001</v>
      </c>
      <c r="IE304" s="2" t="n">
        <v>62.2</v>
      </c>
      <c r="IF304" s="2" t="e">
        <v>#VALUE!</v>
      </c>
      <c r="IG304" s="2" t="e">
        <v>#VALUE!</v>
      </c>
      <c r="IL304" s="2" t="n">
        <v>19.69999999999999</v>
      </c>
      <c r="IN304" s="2" t="n">
        <v>66.09999999999999</v>
      </c>
      <c r="IO304" s="2" t="n">
        <v>66.40000000000001</v>
      </c>
      <c r="IP304" s="2" t="e">
        <v>#VALUE!</v>
      </c>
      <c r="IQ304" s="2" t="n">
        <v>43</v>
      </c>
      <c r="IR304" s="2" t="n">
        <v>14.1</v>
      </c>
      <c r="IS304" s="2" t="e">
        <v>#VALUE!</v>
      </c>
      <c r="IT304" s="2" t="n">
        <v>26.6</v>
      </c>
      <c r="IU304" s="2" t="e">
        <v>#VALUE!</v>
      </c>
      <c r="IV304" s="2" t="e">
        <v>#VALUE!</v>
      </c>
      <c r="IY304" s="2" t="n">
        <v>47.43933645107209</v>
      </c>
      <c r="IZ304" s="2" t="n">
        <v>0.1593364510720932</v>
      </c>
      <c r="JB304" s="2" t="n">
        <v>11.17091679167034</v>
      </c>
      <c r="JC304" s="2" t="n">
        <v>-0.04908320832965707</v>
      </c>
      <c r="JE304" s="2" t="n">
        <v>1191.2</v>
      </c>
      <c r="JF304" s="2" t="n">
        <v>0.7440278710543988</v>
      </c>
    </row>
    <row r="305">
      <c r="A305" s="1" t="n">
        <v>38322</v>
      </c>
      <c r="B305" s="2" t="n">
        <v>4501.1</v>
      </c>
      <c r="C305" s="2" t="n">
        <v>3009.5</v>
      </c>
      <c r="D305" s="2" t="n">
        <v>263.5</v>
      </c>
      <c r="E305" s="2" t="n">
        <v>1671.5</v>
      </c>
      <c r="F305" s="2" t="n">
        <v>15.6</v>
      </c>
      <c r="G305" s="2" t="inlineStr">
        <is>
          <t>NA</t>
        </is>
      </c>
      <c r="H305" s="2" t="inlineStr">
        <is>
          <t>NA</t>
        </is>
      </c>
      <c r="I305" s="2" t="inlineStr">
        <is>
          <t>NA</t>
        </is>
      </c>
      <c r="J305" s="2" t="inlineStr">
        <is>
          <t>NA</t>
        </is>
      </c>
      <c r="K305" s="2" t="n">
        <v>1682.3</v>
      </c>
      <c r="L305" s="2" t="n">
        <v>1311.1</v>
      </c>
      <c r="M305" s="2" t="n">
        <v>1111</v>
      </c>
      <c r="N305" s="2" t="n">
        <v>200.1</v>
      </c>
      <c r="O305" s="2" t="n">
        <v>81.40000000000001</v>
      </c>
      <c r="P305" s="2" t="n">
        <v>111.2</v>
      </c>
      <c r="Q305" s="2" t="n">
        <v>17.2</v>
      </c>
      <c r="R305" s="2" t="n">
        <v>94</v>
      </c>
      <c r="T305" s="2" t="n">
        <v>12.6</v>
      </c>
      <c r="U305" s="2" t="n">
        <v>45.4</v>
      </c>
      <c r="V305" s="2" t="inlineStr">
        <is>
          <t>NA</t>
        </is>
      </c>
      <c r="W305" s="2" t="inlineStr">
        <is>
          <t>NA</t>
        </is>
      </c>
      <c r="X305" s="2" t="inlineStr">
        <is>
          <t>NA</t>
        </is>
      </c>
      <c r="Y305" s="2" t="inlineStr">
        <is>
          <t>NA</t>
        </is>
      </c>
      <c r="Z305" s="2" t="n">
        <v>47.5</v>
      </c>
      <c r="AA305" s="2" t="n">
        <v>38.7</v>
      </c>
      <c r="AB305" s="2" t="n">
        <v>8.800000000000001</v>
      </c>
      <c r="AC305" s="2" t="inlineStr">
        <is>
          <t>NA</t>
        </is>
      </c>
      <c r="AD305" s="2" t="inlineStr">
        <is>
          <t>NA</t>
        </is>
      </c>
      <c r="AF305" s="2" t="n">
        <v>62.2</v>
      </c>
      <c r="AG305" s="2" t="n">
        <v>46.9</v>
      </c>
      <c r="AH305" s="2" t="n">
        <v>15.3</v>
      </c>
      <c r="AI305" s="2" t="n">
        <v>191</v>
      </c>
      <c r="AL305" s="2" t="n">
        <v>111.3</v>
      </c>
      <c r="AM305" s="2" t="n">
        <v>56.5</v>
      </c>
      <c r="AN305" s="2" t="n">
        <v>54.8</v>
      </c>
      <c r="AO305" s="2" t="n">
        <v>3310</v>
      </c>
      <c r="AP305" s="2" t="n">
        <v>229.9</v>
      </c>
      <c r="AQ305" s="2" t="n">
        <v>257.9</v>
      </c>
      <c r="AR305" s="2" t="n">
        <v>41.4</v>
      </c>
      <c r="AS305" s="2" t="n">
        <v>118.7</v>
      </c>
      <c r="AT305" s="2" t="n">
        <v>73.59999999999999</v>
      </c>
      <c r="AU305" s="2" t="n">
        <v>78</v>
      </c>
      <c r="AV305" s="2" t="n">
        <v>22</v>
      </c>
      <c r="AW305" s="2" t="n">
        <v>8.699999999999999</v>
      </c>
      <c r="AX305" s="2" t="n">
        <v>2.8</v>
      </c>
      <c r="AY305" s="2" t="inlineStr">
        <is>
          <t>NA</t>
        </is>
      </c>
      <c r="AZ305" s="2" t="inlineStr">
        <is>
          <t>NA</t>
        </is>
      </c>
      <c r="BA305" s="2" t="inlineStr">
        <is>
          <t>NA</t>
        </is>
      </c>
      <c r="BB305" s="2" t="inlineStr">
        <is>
          <t>NA</t>
        </is>
      </c>
      <c r="BD305" s="2" t="n">
        <v>150.6</v>
      </c>
      <c r="BE305" s="2" t="n">
        <v>22.3</v>
      </c>
      <c r="BF305" s="2" t="n">
        <v>69.2</v>
      </c>
      <c r="BG305" s="2" t="n">
        <v>7.9</v>
      </c>
      <c r="BH305" s="2" t="n">
        <v>324.7</v>
      </c>
      <c r="BI305" s="2" t="n">
        <v>140.7</v>
      </c>
      <c r="BJ305" s="2" t="n">
        <v>92.40000000000001</v>
      </c>
      <c r="BK305" s="2" t="n">
        <v>233.1</v>
      </c>
      <c r="BL305" s="2" t="n">
        <v>0</v>
      </c>
      <c r="BM305" s="2" t="n">
        <v>557.8</v>
      </c>
      <c r="BN305" s="2" t="n">
        <v>197.7</v>
      </c>
      <c r="BO305" s="2" t="n">
        <v>40</v>
      </c>
      <c r="BP305" s="2" t="n">
        <v>32.9</v>
      </c>
      <c r="BQ305" s="2" t="n">
        <v>72.90000000000001</v>
      </c>
      <c r="BR305" s="2" t="n">
        <v>0</v>
      </c>
      <c r="BS305" s="2" t="n">
        <v>270.6</v>
      </c>
      <c r="BT305" s="2" t="n">
        <v>26</v>
      </c>
      <c r="BU305" s="2" t="n">
        <v>13.8</v>
      </c>
      <c r="BV305" s="2" t="inlineStr">
        <is>
          <t>NA</t>
        </is>
      </c>
      <c r="BW305" s="2" t="inlineStr">
        <is>
          <t>NA</t>
        </is>
      </c>
      <c r="BX305" s="2" t="n">
        <v>381</v>
      </c>
      <c r="BY305" s="2" t="inlineStr">
        <is>
          <t>NA</t>
        </is>
      </c>
      <c r="BZ305" s="2" t="inlineStr">
        <is>
          <t>NA</t>
        </is>
      </c>
      <c r="CA305" s="2" t="n">
        <v>43.6</v>
      </c>
      <c r="CB305" s="2" t="n">
        <v>87.2</v>
      </c>
      <c r="CC305" s="2" t="inlineStr">
        <is>
          <t>NA</t>
        </is>
      </c>
      <c r="CD305" s="2" t="n">
        <v>111.9</v>
      </c>
      <c r="CE305" s="2" t="n">
        <v>17.5</v>
      </c>
      <c r="CF305" s="2" t="n">
        <v>104</v>
      </c>
      <c r="CG305" s="2" t="n">
        <v>95</v>
      </c>
      <c r="CH305" s="2" t="n">
        <v>10.696</v>
      </c>
      <c r="CK305" s="2" t="n">
        <v>175.2</v>
      </c>
      <c r="CL305" s="2" t="n">
        <v>24.8</v>
      </c>
      <c r="CN305" s="2" t="n">
        <v>49.7</v>
      </c>
      <c r="CO305" s="2" t="n">
        <v>225.9</v>
      </c>
      <c r="CP305" s="2" t="n">
        <v>174.4</v>
      </c>
      <c r="CQ305" s="2" t="n">
        <v>51.5</v>
      </c>
      <c r="CR305" s="2" t="inlineStr">
        <is>
          <t>NA</t>
        </is>
      </c>
      <c r="CS305" s="2" t="n">
        <v>31.2</v>
      </c>
      <c r="CT305" s="2" t="n">
        <v>20.6</v>
      </c>
      <c r="CU305" s="2" t="n">
        <v>10.6</v>
      </c>
      <c r="CV305" s="2" t="n">
        <v>92.40000000000001</v>
      </c>
      <c r="CW305" s="2" t="inlineStr">
        <is>
          <t>NA</t>
        </is>
      </c>
      <c r="CX305" s="2" t="inlineStr">
        <is>
          <t>NA</t>
        </is>
      </c>
      <c r="CY305" s="2" t="inlineStr">
        <is>
          <t>NA</t>
        </is>
      </c>
      <c r="CZ305" s="2" t="n">
        <v>55.8</v>
      </c>
      <c r="DA305" s="2" t="n">
        <v>12.7</v>
      </c>
      <c r="DB305" s="2" t="inlineStr">
        <is>
          <t>NA</t>
        </is>
      </c>
      <c r="DC305" s="2" t="inlineStr">
        <is>
          <t>NA</t>
        </is>
      </c>
      <c r="DI305" s="2" t="n">
        <v>679.9</v>
      </c>
      <c r="DJ305" s="2" t="n">
        <v>413.3</v>
      </c>
      <c r="DM305" s="2" t="n">
        <v>269.7</v>
      </c>
      <c r="DO305" s="2" t="n">
        <v>191</v>
      </c>
      <c r="DP305" s="2" t="n">
        <v>307.2</v>
      </c>
      <c r="DS305" s="2" t="n">
        <v>2434.192</v>
      </c>
      <c r="DT305" s="2" t="n">
        <v>4501.1</v>
      </c>
      <c r="DU305" s="2" t="n">
        <v>-205.808</v>
      </c>
      <c r="DV305" s="2" t="n">
        <v>0</v>
      </c>
      <c r="EA305" s="2" t="n">
        <v>582.8</v>
      </c>
      <c r="EB305" s="2" t="n">
        <v>458.2</v>
      </c>
      <c r="EE305" s="2" t="n">
        <v>77</v>
      </c>
      <c r="EG305" s="2" t="n">
        <v>131.6</v>
      </c>
      <c r="EH305" s="2" t="e">
        <v>#VALUE!</v>
      </c>
      <c r="EL305" s="2" t="n">
        <v>3009.5</v>
      </c>
      <c r="EQ305" s="2" t="n">
        <v>260.6</v>
      </c>
      <c r="ER305" s="2" t="n">
        <v>155.4</v>
      </c>
      <c r="EU305" s="2" t="n">
        <v>99</v>
      </c>
      <c r="EW305" s="2" t="n">
        <v>71.90000000000001</v>
      </c>
      <c r="EX305" s="2" t="n">
        <v>109.7</v>
      </c>
      <c r="FB305" s="2" t="n">
        <v>1682.3</v>
      </c>
      <c r="FG305" s="2" t="n">
        <v>539</v>
      </c>
      <c r="FH305" s="2" t="n">
        <v>329.3</v>
      </c>
      <c r="FK305" s="2" t="n">
        <v>217.8</v>
      </c>
      <c r="FM305" s="2" t="n">
        <v>150.7</v>
      </c>
      <c r="FN305" s="2" t="n">
        <v>247.8</v>
      </c>
      <c r="FR305" s="2" t="n">
        <v>3576.1</v>
      </c>
      <c r="FW305" s="2" t="n">
        <v>205.7</v>
      </c>
      <c r="FX305" s="2" t="n">
        <v>57.6</v>
      </c>
      <c r="GA305" s="2" t="n">
        <v>33.8</v>
      </c>
      <c r="GC305" s="2" t="n">
        <v>66.7</v>
      </c>
      <c r="GD305" s="2" t="e">
        <v>#VALUE!</v>
      </c>
      <c r="GH305" s="2" t="n">
        <v>749.9</v>
      </c>
      <c r="GM305" s="2" t="n">
        <v>32</v>
      </c>
      <c r="GN305" s="2" t="e">
        <v>#VALUE!</v>
      </c>
      <c r="GQ305" s="2" t="n">
        <v>16.7</v>
      </c>
      <c r="GS305" s="2" t="e">
        <v>#VALUE!</v>
      </c>
      <c r="GT305" s="2" t="e">
        <v>#VALUE!</v>
      </c>
      <c r="GX305" s="2" t="n">
        <v>271.3</v>
      </c>
      <c r="GY305" s="2" t="n">
        <v>0.9719553159909383</v>
      </c>
      <c r="GZ305" s="2" t="n">
        <v>1244.2</v>
      </c>
      <c r="HA305" s="2" t="n">
        <v>1280.1</v>
      </c>
      <c r="HB305" s="2" t="n">
        <v>-60.85054369259979</v>
      </c>
      <c r="HC305" s="2" t="n">
        <v>-75.99896927919986</v>
      </c>
      <c r="HD305" s="2" t="n">
        <v>1324.2494563074</v>
      </c>
      <c r="HE305" s="2" t="n">
        <v>-63.20000000000005</v>
      </c>
      <c r="HF305" s="2" t="n">
        <v>1385.1</v>
      </c>
      <c r="HG305" s="2" t="n">
        <v>1336.7</v>
      </c>
      <c r="HH305" s="2" t="n">
        <v>605.2</v>
      </c>
      <c r="HI305" s="2" t="n">
        <v>83.40000000000001</v>
      </c>
      <c r="HJ305" s="2" t="n">
        <v>627.5</v>
      </c>
      <c r="HK305" s="2" t="n">
        <v>20.6</v>
      </c>
      <c r="HL305" s="2" t="n">
        <v>48.4</v>
      </c>
      <c r="HP305" s="2" t="e">
        <v>#VALUE!</v>
      </c>
      <c r="HQ305" s="2" t="n">
        <v>6.5</v>
      </c>
      <c r="HR305" s="2" t="n">
        <v>5.7</v>
      </c>
      <c r="HS305" s="2" t="e">
        <v>#VALUE!</v>
      </c>
      <c r="HT305" s="2" t="n">
        <v>31.5</v>
      </c>
      <c r="HW305" s="2" t="n">
        <v>282</v>
      </c>
      <c r="HX305" s="2" t="e">
        <v>#VALUE!</v>
      </c>
      <c r="HY305" s="2" t="n">
        <v>282</v>
      </c>
      <c r="HZ305" s="2" t="n">
        <v>38.7</v>
      </c>
      <c r="IA305" s="2" t="n">
        <v>224.8</v>
      </c>
      <c r="IB305" s="2" t="n">
        <v>79.2</v>
      </c>
      <c r="IC305" s="2" t="n">
        <v>145.6</v>
      </c>
      <c r="ID305" s="2" t="n">
        <v>83.09999999999999</v>
      </c>
      <c r="IE305" s="2" t="n">
        <v>62.5</v>
      </c>
      <c r="IF305" s="2" t="e">
        <v>#VALUE!</v>
      </c>
      <c r="IG305" s="2" t="e">
        <v>#VALUE!</v>
      </c>
      <c r="IL305" s="2" t="n">
        <v>18.5</v>
      </c>
      <c r="IN305" s="2" t="n">
        <v>66.90000000000001</v>
      </c>
      <c r="IO305" s="2" t="n">
        <v>67</v>
      </c>
      <c r="IP305" s="2" t="e">
        <v>#VALUE!</v>
      </c>
      <c r="IQ305" s="2" t="n">
        <v>55.4</v>
      </c>
      <c r="IR305" s="2" t="n">
        <v>18.3</v>
      </c>
      <c r="IS305" s="2" t="e">
        <v>#VALUE!</v>
      </c>
      <c r="IT305" s="2" t="n">
        <v>35.1</v>
      </c>
      <c r="IU305" s="2" t="e">
        <v>#VALUE!</v>
      </c>
      <c r="IV305" s="2" t="e">
        <v>#VALUE!</v>
      </c>
      <c r="IY305" s="2" t="n">
        <v>47.56037413076803</v>
      </c>
      <c r="IZ305" s="2" t="n">
        <v>0.2303741307680269</v>
      </c>
      <c r="JB305" s="2" t="n">
        <v>11.21259247739441</v>
      </c>
      <c r="JC305" s="2" t="n">
        <v>-0.06740752260558658</v>
      </c>
      <c r="JE305" s="2" t="n">
        <v>1311.1</v>
      </c>
      <c r="JF305" s="2" t="n">
        <v>0.7424201052551292</v>
      </c>
    </row>
    <row r="306">
      <c r="A306" s="1" t="n">
        <v>38353</v>
      </c>
      <c r="B306" s="2" t="n">
        <v>4456.7</v>
      </c>
      <c r="C306" s="2" t="n">
        <v>2562.6</v>
      </c>
      <c r="D306" s="2" t="n">
        <v>283.1</v>
      </c>
      <c r="E306" s="2" t="n">
        <v>1768.9</v>
      </c>
      <c r="F306" s="2" t="n">
        <v>17.4</v>
      </c>
      <c r="G306" s="2" t="inlineStr">
        <is>
          <t>NA</t>
        </is>
      </c>
      <c r="H306" s="2" t="inlineStr">
        <is>
          <t>NA</t>
        </is>
      </c>
      <c r="I306" s="2" t="inlineStr">
        <is>
          <t>NA</t>
        </is>
      </c>
      <c r="J306" s="2" t="inlineStr">
        <is>
          <t>NA</t>
        </is>
      </c>
      <c r="K306" s="2" t="n">
        <v>1680.2</v>
      </c>
      <c r="L306" s="2" t="n">
        <v>1560</v>
      </c>
      <c r="M306" s="2" t="n">
        <v>1348.7</v>
      </c>
      <c r="N306" s="2" t="n">
        <v>211.3</v>
      </c>
      <c r="O306" s="2" t="n">
        <v>88.7</v>
      </c>
      <c r="P306" s="2" t="n">
        <v>116.7</v>
      </c>
      <c r="Q306" s="2" t="n">
        <v>15.8</v>
      </c>
      <c r="R306" s="2" t="n">
        <v>100.9</v>
      </c>
      <c r="T306" s="2" t="n">
        <v>14.4</v>
      </c>
      <c r="U306" s="2" t="n">
        <v>46.9</v>
      </c>
      <c r="V306" s="2" t="inlineStr">
        <is>
          <t>NA</t>
        </is>
      </c>
      <c r="W306" s="2" t="inlineStr">
        <is>
          <t>NA</t>
        </is>
      </c>
      <c r="X306" s="2" t="inlineStr">
        <is>
          <t>NA</t>
        </is>
      </c>
      <c r="Y306" s="2" t="inlineStr">
        <is>
          <t>NA</t>
        </is>
      </c>
      <c r="Z306" s="2" t="n">
        <v>58</v>
      </c>
      <c r="AA306" s="2" t="n">
        <v>43.6</v>
      </c>
      <c r="AB306" s="2" t="n">
        <v>14.4</v>
      </c>
      <c r="AC306" s="2" t="inlineStr">
        <is>
          <t>NA</t>
        </is>
      </c>
      <c r="AD306" s="2" t="inlineStr">
        <is>
          <t>NA</t>
        </is>
      </c>
      <c r="AF306" s="2" t="n">
        <v>77</v>
      </c>
      <c r="AG306" s="2" t="n">
        <v>56.4</v>
      </c>
      <c r="AH306" s="2" t="n">
        <v>20.6</v>
      </c>
      <c r="AI306" s="2" t="n">
        <v>205.2</v>
      </c>
      <c r="AL306" s="2" t="n">
        <v>106.5</v>
      </c>
      <c r="AM306" s="2" t="n">
        <v>59.5</v>
      </c>
      <c r="AN306" s="2" t="n">
        <v>47</v>
      </c>
      <c r="AO306" s="2" t="n">
        <v>3294.8</v>
      </c>
      <c r="AP306" s="2" t="n">
        <v>298.1</v>
      </c>
      <c r="AQ306" s="2" t="n">
        <v>257.7</v>
      </c>
      <c r="AR306" s="2" t="n">
        <v>42.7</v>
      </c>
      <c r="AS306" s="2" t="n">
        <v>125.7</v>
      </c>
      <c r="AT306" s="2" t="n">
        <v>78.8</v>
      </c>
      <c r="AU306" s="2" t="n">
        <v>81.59999999999999</v>
      </c>
      <c r="AV306" s="2" t="n">
        <v>29.9</v>
      </c>
      <c r="AW306" s="2" t="n">
        <v>9.199999999999999</v>
      </c>
      <c r="AX306" s="2" t="n">
        <v>4.2</v>
      </c>
      <c r="AY306" s="2" t="inlineStr">
        <is>
          <t>NA</t>
        </is>
      </c>
      <c r="AZ306" s="2" t="inlineStr">
        <is>
          <t>NA</t>
        </is>
      </c>
      <c r="BA306" s="2" t="inlineStr">
        <is>
          <t>NA</t>
        </is>
      </c>
      <c r="BB306" s="2" t="inlineStr">
        <is>
          <t>NA</t>
        </is>
      </c>
      <c r="BD306" s="2" t="n">
        <v>142.5</v>
      </c>
      <c r="BE306" s="2" t="n">
        <v>18.3</v>
      </c>
      <c r="BF306" s="2" t="n">
        <v>66.90000000000001</v>
      </c>
      <c r="BG306" s="2" t="n">
        <v>10</v>
      </c>
      <c r="BH306" s="2" t="n">
        <v>309.9</v>
      </c>
      <c r="BI306" s="2" t="n">
        <v>128.3</v>
      </c>
      <c r="BJ306" s="2" t="n">
        <v>94.5</v>
      </c>
      <c r="BK306" s="2" t="n">
        <v>222.8</v>
      </c>
      <c r="BL306" s="2" t="n">
        <v>0</v>
      </c>
      <c r="BM306" s="2" t="n">
        <v>532.7</v>
      </c>
      <c r="BN306" s="2" t="n">
        <v>176.8</v>
      </c>
      <c r="BO306" s="2" t="n">
        <v>54.1</v>
      </c>
      <c r="BP306" s="2" t="n">
        <v>24.3</v>
      </c>
      <c r="BQ306" s="2" t="n">
        <v>78.40000000000001</v>
      </c>
      <c r="BR306" s="2" t="n">
        <v>0</v>
      </c>
      <c r="BS306" s="2" t="n">
        <v>255.2</v>
      </c>
      <c r="BT306" s="2" t="n">
        <v>19.7</v>
      </c>
      <c r="BU306" s="2" t="n">
        <v>14.4</v>
      </c>
      <c r="BV306" s="2" t="inlineStr">
        <is>
          <t>NA</t>
        </is>
      </c>
      <c r="BW306" s="2" t="inlineStr">
        <is>
          <t>NA</t>
        </is>
      </c>
      <c r="BX306" s="2" t="n">
        <v>377.4</v>
      </c>
      <c r="BY306" s="2" t="inlineStr">
        <is>
          <t>NA</t>
        </is>
      </c>
      <c r="BZ306" s="2" t="inlineStr">
        <is>
          <t>NA</t>
        </is>
      </c>
      <c r="CA306" s="2" t="n">
        <v>46</v>
      </c>
      <c r="CB306" s="2" t="n">
        <v>95</v>
      </c>
      <c r="CC306" s="2" t="inlineStr">
        <is>
          <t>NA</t>
        </is>
      </c>
      <c r="CD306" s="2" t="n">
        <v>109.4</v>
      </c>
      <c r="CE306" s="2" t="n">
        <v>17.7</v>
      </c>
      <c r="CF306" s="2" t="n">
        <v>114.3</v>
      </c>
      <c r="CG306" s="2" t="n">
        <v>109.7</v>
      </c>
      <c r="CH306" s="2" t="n">
        <v>4.5</v>
      </c>
      <c r="CI306" s="2" t="n">
        <v>32.3</v>
      </c>
      <c r="CJ306" s="2" t="n">
        <v>6.4</v>
      </c>
      <c r="CK306" s="2" t="n">
        <v>132.3</v>
      </c>
      <c r="CL306" s="2" t="n">
        <v>13.3</v>
      </c>
      <c r="CN306" s="2" t="n">
        <v>52.7</v>
      </c>
      <c r="CO306" s="2" t="n">
        <v>163.8</v>
      </c>
      <c r="CP306" s="2" t="n">
        <v>125.2</v>
      </c>
      <c r="CQ306" s="2" t="n">
        <v>38.6</v>
      </c>
      <c r="CR306" s="2" t="inlineStr">
        <is>
          <t>NA</t>
        </is>
      </c>
      <c r="CS306" s="2" t="n">
        <v>33.8</v>
      </c>
      <c r="CT306" s="2" t="n">
        <v>23.3</v>
      </c>
      <c r="CU306" s="2" t="n">
        <v>10.5</v>
      </c>
      <c r="CV306" s="2" t="n">
        <v>99.59999999999999</v>
      </c>
      <c r="CW306" s="2" t="inlineStr">
        <is>
          <t>NA</t>
        </is>
      </c>
      <c r="CX306" s="2" t="inlineStr">
        <is>
          <t>NA</t>
        </is>
      </c>
      <c r="CY306" s="2" t="inlineStr">
        <is>
          <t>NA</t>
        </is>
      </c>
      <c r="CZ306" s="2" t="n">
        <v>66.09999999999999</v>
      </c>
      <c r="DA306" s="2" t="n">
        <v>14.9</v>
      </c>
      <c r="DB306" s="2" t="n">
        <v>13.3</v>
      </c>
      <c r="DC306" s="2" t="n">
        <v>1.6</v>
      </c>
      <c r="DI306" s="2" t="n">
        <v>690.3</v>
      </c>
      <c r="DJ306" s="2" t="n">
        <v>434.7</v>
      </c>
      <c r="DM306" s="2" t="n">
        <v>428</v>
      </c>
      <c r="DO306" s="2" t="n">
        <v>192.8</v>
      </c>
      <c r="DP306" s="2" t="n">
        <v>309.6</v>
      </c>
      <c r="DS306" s="2" t="n">
        <v>2371.221</v>
      </c>
      <c r="DT306" s="2" t="n">
        <v>4456.7</v>
      </c>
      <c r="DU306" s="2" t="n">
        <v>-30.07899999999972</v>
      </c>
      <c r="DV306" s="2" t="n">
        <v>0</v>
      </c>
      <c r="EA306" s="2" t="n">
        <v>454.1</v>
      </c>
      <c r="EB306" s="2" t="n">
        <v>520.8</v>
      </c>
      <c r="EE306" s="2" t="n">
        <v>115.3</v>
      </c>
      <c r="EG306" s="2" t="n">
        <v>81.59999999999999</v>
      </c>
      <c r="EH306" s="2" t="n">
        <v>209.6</v>
      </c>
      <c r="EK306" s="2" t="n">
        <v>1046.544</v>
      </c>
      <c r="EL306" s="2" t="n">
        <v>2562.6</v>
      </c>
      <c r="EQ306" s="2" t="n">
        <v>264</v>
      </c>
      <c r="ER306" s="2" t="n">
        <v>164.3</v>
      </c>
      <c r="EU306" s="2" t="n">
        <v>160.9</v>
      </c>
      <c r="EW306" s="2" t="n">
        <v>74.3</v>
      </c>
      <c r="EX306" s="2" t="n">
        <v>111.9</v>
      </c>
      <c r="FA306" s="2" t="n">
        <v>891.84</v>
      </c>
      <c r="FB306" s="2" t="n">
        <v>1680.2</v>
      </c>
      <c r="FG306" s="2" t="n">
        <v>557</v>
      </c>
      <c r="FH306" s="2" t="n">
        <v>347.5</v>
      </c>
      <c r="FK306" s="2" t="n">
        <v>342.9</v>
      </c>
      <c r="FM306" s="2" t="n">
        <v>152.7</v>
      </c>
      <c r="FN306" s="2" t="n">
        <v>251.7</v>
      </c>
      <c r="FQ306" s="2" t="n">
        <v>1887.139</v>
      </c>
      <c r="FR306" s="2" t="n">
        <v>3561.9</v>
      </c>
      <c r="FW306" s="2" t="n">
        <v>220.2</v>
      </c>
      <c r="FX306" s="2" t="n">
        <v>102.3</v>
      </c>
      <c r="GA306" s="2" t="n">
        <v>55.4</v>
      </c>
      <c r="GC306" s="2" t="n">
        <v>74</v>
      </c>
      <c r="GD306" s="2" t="e">
        <v>#VALUE!</v>
      </c>
      <c r="GG306" s="2" t="n">
        <v>364.174</v>
      </c>
      <c r="GH306" s="2" t="n">
        <v>861.5</v>
      </c>
      <c r="GM306" s="2" t="n">
        <v>42</v>
      </c>
      <c r="GN306" s="2" t="n">
        <v>36.5</v>
      </c>
      <c r="GQ306" s="2" t="n">
        <v>44.8</v>
      </c>
      <c r="GS306" s="2" t="e">
        <v>#VALUE!</v>
      </c>
      <c r="GT306" s="2" t="e">
        <v>#VALUE!</v>
      </c>
      <c r="GW306" s="2" t="n">
        <v>208.66</v>
      </c>
      <c r="GX306" s="2" t="n">
        <v>340.9</v>
      </c>
      <c r="GY306" s="2" t="n">
        <v>0.9754692002180515</v>
      </c>
      <c r="GZ306" s="2" t="n">
        <v>1252.6</v>
      </c>
      <c r="HA306" s="2" t="n">
        <v>1284.1</v>
      </c>
      <c r="HB306" s="2" t="n">
        <v>-13.70768289800003</v>
      </c>
      <c r="HC306" s="2" t="n">
        <v>177.2279727637999</v>
      </c>
      <c r="HD306" s="2" t="n">
        <v>1355.992317102</v>
      </c>
      <c r="HE306" s="2" t="n">
        <v>-25.39999999999986</v>
      </c>
      <c r="HF306" s="2" t="n">
        <v>1369.7</v>
      </c>
      <c r="HG306" s="2" t="n">
        <v>1318.2</v>
      </c>
      <c r="HH306" s="2" t="n">
        <v>595.5</v>
      </c>
      <c r="HI306" s="2" t="n">
        <v>70.5</v>
      </c>
      <c r="HJ306" s="2" t="n">
        <v>635</v>
      </c>
      <c r="HK306" s="2" t="n">
        <v>17.1</v>
      </c>
      <c r="HL306" s="2" t="n">
        <v>51.5</v>
      </c>
      <c r="HP306" s="2" t="e">
        <v>#VALUE!</v>
      </c>
      <c r="HQ306" s="2" t="n">
        <v>4.3</v>
      </c>
      <c r="HR306" s="2" t="n">
        <v>8.4</v>
      </c>
      <c r="HS306" s="2" t="e">
        <v>#VALUE!</v>
      </c>
      <c r="HT306" s="2" t="n">
        <v>32.5</v>
      </c>
      <c r="HW306" s="2" t="n">
        <v>310.7</v>
      </c>
      <c r="HX306" s="2" t="e">
        <v>#VALUE!</v>
      </c>
      <c r="HY306" s="2" t="n">
        <v>310.7</v>
      </c>
      <c r="HZ306" s="2" t="n">
        <v>50.3</v>
      </c>
      <c r="IA306" s="2" t="n">
        <v>223.4</v>
      </c>
      <c r="IB306" s="2" t="n">
        <v>98.8</v>
      </c>
      <c r="IC306" s="2" t="n">
        <v>124.6</v>
      </c>
      <c r="ID306" s="2" t="n">
        <v>72.8</v>
      </c>
      <c r="IE306" s="2" t="n">
        <v>51.8</v>
      </c>
      <c r="IF306" s="2" t="e">
        <v>#VALUE!</v>
      </c>
      <c r="IG306" s="2" t="e">
        <v>#VALUE!</v>
      </c>
      <c r="IL306" s="2" t="n">
        <v>36.99999999999997</v>
      </c>
      <c r="IN306" s="2" t="n">
        <v>73.40000000000001</v>
      </c>
      <c r="IO306" s="2" t="n">
        <v>73.7</v>
      </c>
      <c r="IP306" s="2" t="e">
        <v>#VALUE!</v>
      </c>
      <c r="IQ306" s="2" t="n">
        <v>47.8</v>
      </c>
      <c r="IR306" s="2" t="n">
        <v>15.1</v>
      </c>
      <c r="IS306" s="2" t="e">
        <v>#VALUE!</v>
      </c>
      <c r="IT306" s="2" t="n">
        <v>31.4</v>
      </c>
      <c r="IU306" s="2" t="e">
        <v>#VALUE!</v>
      </c>
      <c r="IV306" s="2" t="e">
        <v>#VALUE!</v>
      </c>
      <c r="IY306" s="2" t="n">
        <v>47.82686741310835</v>
      </c>
      <c r="IZ306" s="2" t="n">
        <v>0.2368674131083495</v>
      </c>
      <c r="JB306" s="2" t="n">
        <v>11.31016222765724</v>
      </c>
      <c r="JC306" s="2" t="n">
        <v>-0.03983777234276431</v>
      </c>
      <c r="JE306" s="2" t="n">
        <v>1560</v>
      </c>
      <c r="JF306" s="2" t="n">
        <v>0.7800711538461539</v>
      </c>
    </row>
    <row r="307">
      <c r="A307" s="1" t="n">
        <v>38384</v>
      </c>
      <c r="B307" s="2" t="n">
        <v>4127.8</v>
      </c>
      <c r="C307" s="2" t="n">
        <v>2644.1</v>
      </c>
      <c r="D307" s="2" t="n">
        <v>266.3</v>
      </c>
      <c r="E307" s="2" t="n">
        <v>1736.2</v>
      </c>
      <c r="F307" s="2" t="n">
        <v>15.5</v>
      </c>
      <c r="G307" s="2" t="inlineStr">
        <is>
          <t>NA</t>
        </is>
      </c>
      <c r="H307" s="2" t="inlineStr">
        <is>
          <t>NA</t>
        </is>
      </c>
      <c r="I307" s="2" t="inlineStr">
        <is>
          <t>NA</t>
        </is>
      </c>
      <c r="J307" s="2" t="inlineStr">
        <is>
          <t>NA</t>
        </is>
      </c>
      <c r="K307" s="2" t="n">
        <v>1564.1</v>
      </c>
      <c r="L307" s="2" t="n">
        <v>1646.8</v>
      </c>
      <c r="M307" s="2" t="n">
        <v>1426.1</v>
      </c>
      <c r="N307" s="2" t="n">
        <v>220.7</v>
      </c>
      <c r="O307" s="2" t="n">
        <v>83.40000000000001</v>
      </c>
      <c r="P307" s="2" t="n">
        <v>122</v>
      </c>
      <c r="Q307" s="2" t="n">
        <v>19.3</v>
      </c>
      <c r="R307" s="2" t="n">
        <v>102.7</v>
      </c>
      <c r="T307" s="2" t="n">
        <v>13.1</v>
      </c>
      <c r="U307" s="2" t="n">
        <v>47.3</v>
      </c>
      <c r="V307" s="2" t="inlineStr">
        <is>
          <t>NA</t>
        </is>
      </c>
      <c r="W307" s="2" t="inlineStr">
        <is>
          <t>NA</t>
        </is>
      </c>
      <c r="X307" s="2" t="inlineStr">
        <is>
          <t>NA</t>
        </is>
      </c>
      <c r="Y307" s="2" t="inlineStr">
        <is>
          <t>NA</t>
        </is>
      </c>
      <c r="Z307" s="2" t="n">
        <v>68.59999999999999</v>
      </c>
      <c r="AA307" s="2" t="n">
        <v>53.3</v>
      </c>
      <c r="AB307" s="2" t="n">
        <v>15.3</v>
      </c>
      <c r="AC307" s="2" t="inlineStr">
        <is>
          <t>NA</t>
        </is>
      </c>
      <c r="AD307" s="2" t="inlineStr">
        <is>
          <t>NA</t>
        </is>
      </c>
      <c r="AF307" s="2" t="n">
        <v>80.40000000000001</v>
      </c>
      <c r="AG307" s="2" t="n">
        <v>63.7</v>
      </c>
      <c r="AH307" s="2" t="n">
        <v>16.7</v>
      </c>
      <c r="AI307" s="2" t="n">
        <v>184.3</v>
      </c>
      <c r="AL307" s="2" t="n">
        <v>110.9</v>
      </c>
      <c r="AM307" s="2" t="n">
        <v>51.4</v>
      </c>
      <c r="AN307" s="2" t="n">
        <v>59.5</v>
      </c>
      <c r="AO307" s="2" t="n">
        <v>3057.5</v>
      </c>
      <c r="AP307" s="2" t="n">
        <v>263.5</v>
      </c>
      <c r="AQ307" s="2" t="n">
        <v>235.8</v>
      </c>
      <c r="AR307" s="2" t="n">
        <v>47</v>
      </c>
      <c r="AS307" s="2" t="n">
        <v>119.3</v>
      </c>
      <c r="AT307" s="2" t="n">
        <v>76.09999999999999</v>
      </c>
      <c r="AU307" s="2" t="n">
        <v>79.7</v>
      </c>
      <c r="AV307" s="2" t="n">
        <v>30.2</v>
      </c>
      <c r="AW307" s="2" t="n">
        <v>8.800000000000001</v>
      </c>
      <c r="AX307" s="2" t="n">
        <v>3.3</v>
      </c>
      <c r="AY307" s="2" t="inlineStr">
        <is>
          <t>NA</t>
        </is>
      </c>
      <c r="AZ307" s="2" t="inlineStr">
        <is>
          <t>NA</t>
        </is>
      </c>
      <c r="BA307" s="2" t="inlineStr">
        <is>
          <t>NA</t>
        </is>
      </c>
      <c r="BB307" s="2" t="inlineStr">
        <is>
          <t>NA</t>
        </is>
      </c>
      <c r="BD307" s="2" t="n">
        <v>137.9</v>
      </c>
      <c r="BE307" s="2" t="n">
        <v>18</v>
      </c>
      <c r="BF307" s="2" t="n">
        <v>65.90000000000001</v>
      </c>
      <c r="BG307" s="2" t="n">
        <v>8.1</v>
      </c>
      <c r="BH307" s="2" t="n">
        <v>296.6</v>
      </c>
      <c r="BI307" s="2" t="n">
        <v>116.8</v>
      </c>
      <c r="BJ307" s="2" t="n">
        <v>95.2</v>
      </c>
      <c r="BK307" s="2" t="n">
        <v>212</v>
      </c>
      <c r="BL307" s="2" t="n">
        <v>0</v>
      </c>
      <c r="BM307" s="2" t="n">
        <v>508.6</v>
      </c>
      <c r="BN307" s="2" t="n">
        <v>144.8</v>
      </c>
      <c r="BO307" s="2" t="n">
        <v>59</v>
      </c>
      <c r="BP307" s="2" t="n">
        <v>26.7</v>
      </c>
      <c r="BQ307" s="2" t="n">
        <v>85.7</v>
      </c>
      <c r="BR307" s="2" t="n">
        <v>0</v>
      </c>
      <c r="BS307" s="2" t="n">
        <v>230.5</v>
      </c>
      <c r="BT307" s="2" t="n">
        <v>20.3</v>
      </c>
      <c r="BU307" s="2" t="n">
        <v>20.3</v>
      </c>
      <c r="BV307" s="2" t="inlineStr">
        <is>
          <t>NA</t>
        </is>
      </c>
      <c r="BW307" s="2" t="inlineStr">
        <is>
          <t>NA</t>
        </is>
      </c>
      <c r="BX307" s="2" t="n">
        <v>356.3</v>
      </c>
      <c r="BY307" s="2" t="inlineStr">
        <is>
          <t>NA</t>
        </is>
      </c>
      <c r="BZ307" s="2" t="inlineStr">
        <is>
          <t>NA</t>
        </is>
      </c>
      <c r="CA307" s="2" t="n">
        <v>38.3</v>
      </c>
      <c r="CB307" s="2" t="n">
        <v>88.40000000000001</v>
      </c>
      <c r="CC307" s="2" t="inlineStr">
        <is>
          <t>NA</t>
        </is>
      </c>
      <c r="CD307" s="2" t="n">
        <v>101.9</v>
      </c>
      <c r="CE307" s="2" t="n">
        <v>16.2</v>
      </c>
      <c r="CF307" s="2" t="n">
        <v>102.3</v>
      </c>
      <c r="CG307" s="2" t="n">
        <v>108.6</v>
      </c>
      <c r="CH307" s="2" t="n">
        <v>5.9</v>
      </c>
      <c r="CI307" s="2" t="n">
        <v>28.7</v>
      </c>
      <c r="CJ307" s="2" t="n">
        <v>6.6</v>
      </c>
      <c r="CK307" s="2" t="n">
        <v>128.7</v>
      </c>
      <c r="CL307" s="2" t="n">
        <v>11.3</v>
      </c>
      <c r="CN307" s="2" t="n">
        <v>50.3</v>
      </c>
      <c r="CO307" s="2" t="n">
        <v>188.3</v>
      </c>
      <c r="CP307" s="2" t="n">
        <v>115</v>
      </c>
      <c r="CQ307" s="2" t="n">
        <v>73.3</v>
      </c>
      <c r="CR307" s="2" t="inlineStr">
        <is>
          <t>NA</t>
        </is>
      </c>
      <c r="CS307" s="2" t="n">
        <v>33.9</v>
      </c>
      <c r="CT307" s="2" t="n">
        <v>23.5</v>
      </c>
      <c r="CU307" s="2" t="n">
        <v>10.4</v>
      </c>
      <c r="CV307" s="2" t="n">
        <v>76.90000000000001</v>
      </c>
      <c r="CW307" s="2" t="inlineStr">
        <is>
          <t>NA</t>
        </is>
      </c>
      <c r="CX307" s="2" t="inlineStr">
        <is>
          <t>NA</t>
        </is>
      </c>
      <c r="CY307" s="2" t="inlineStr">
        <is>
          <t>NA</t>
        </is>
      </c>
      <c r="CZ307" s="2" t="n">
        <v>47.1</v>
      </c>
      <c r="DA307" s="2" t="n">
        <v>18</v>
      </c>
      <c r="DB307" s="2" t="inlineStr">
        <is>
          <t>NA</t>
        </is>
      </c>
      <c r="DC307" s="2" t="inlineStr">
        <is>
          <t>NA</t>
        </is>
      </c>
      <c r="DI307" s="2" t="n">
        <v>620</v>
      </c>
      <c r="DJ307" s="2" t="n">
        <v>377.6</v>
      </c>
      <c r="DM307" s="2" t="n">
        <v>405.7</v>
      </c>
      <c r="DO307" s="2" t="n">
        <v>173.9</v>
      </c>
      <c r="DP307" s="2" t="n">
        <v>275.8</v>
      </c>
      <c r="DS307" s="2" t="n">
        <v>2252.837</v>
      </c>
      <c r="DT307" s="2" t="n">
        <v>4127.8</v>
      </c>
      <c r="DU307" s="2" t="n">
        <v>-21.96300000000065</v>
      </c>
      <c r="DV307" s="2" t="n">
        <v>0</v>
      </c>
      <c r="EA307" s="2" t="n">
        <v>397.9</v>
      </c>
      <c r="EB307" s="2" t="n">
        <v>472.1</v>
      </c>
      <c r="EE307" s="2" t="n">
        <v>170</v>
      </c>
      <c r="EG307" s="2" t="n">
        <v>112</v>
      </c>
      <c r="EH307" s="2" t="n">
        <v>243.3</v>
      </c>
      <c r="EK307" s="2" t="n">
        <v>1134.658</v>
      </c>
      <c r="EL307" s="2" t="n">
        <v>2644.1</v>
      </c>
      <c r="EQ307" s="2" t="n">
        <v>240.1</v>
      </c>
      <c r="ER307" s="2" t="n">
        <v>146.1</v>
      </c>
      <c r="EU307" s="2" t="n">
        <v>151.5</v>
      </c>
      <c r="EW307" s="2" t="n">
        <v>63.7</v>
      </c>
      <c r="EX307" s="2" t="n">
        <v>99.7</v>
      </c>
      <c r="FA307" s="2" t="n">
        <v>852.4640000000001</v>
      </c>
      <c r="FB307" s="2" t="n">
        <v>1564.1</v>
      </c>
      <c r="FG307" s="2" t="n">
        <v>493</v>
      </c>
      <c r="FH307" s="2" t="n">
        <v>305.9</v>
      </c>
      <c r="FK307" s="2" t="n">
        <v>325.1</v>
      </c>
      <c r="FM307" s="2" t="n">
        <v>137</v>
      </c>
      <c r="FN307" s="2" t="n">
        <v>224.3</v>
      </c>
      <c r="FQ307" s="2" t="n">
        <v>1798.666</v>
      </c>
      <c r="FR307" s="2" t="n">
        <v>3301.3</v>
      </c>
      <c r="FW307" s="2" t="n">
        <v>243.8</v>
      </c>
      <c r="FX307" s="2" t="n">
        <v>111.6</v>
      </c>
      <c r="GA307" s="2" t="n">
        <v>73.59999999999999</v>
      </c>
      <c r="GC307" s="2" t="n">
        <v>64.3</v>
      </c>
      <c r="GD307" s="2" t="e">
        <v>#VALUE!</v>
      </c>
      <c r="GG307" s="2" t="n">
        <v>411.636</v>
      </c>
      <c r="GH307" s="2" t="n">
        <v>969.3</v>
      </c>
      <c r="GM307" s="2" t="n">
        <v>46.3</v>
      </c>
      <c r="GN307" s="2" t="n">
        <v>31</v>
      </c>
      <c r="GQ307" s="2" t="n">
        <v>44.9</v>
      </c>
      <c r="GS307" s="2" t="e">
        <v>#VALUE!</v>
      </c>
      <c r="GT307" s="2" t="e">
        <v>#VALUE!</v>
      </c>
      <c r="GW307" s="2" t="n">
        <v>182.845</v>
      </c>
      <c r="GX307" s="2" t="n">
        <v>310.4</v>
      </c>
      <c r="GY307" s="2" t="n">
        <v>0.9785860237024928</v>
      </c>
      <c r="GZ307" s="2" t="n">
        <v>1197.3</v>
      </c>
      <c r="HA307" s="2" t="n">
        <v>1223.5</v>
      </c>
      <c r="HB307" s="2" t="n">
        <v>-146.6199765087999</v>
      </c>
      <c r="HC307" s="2" t="n">
        <v>-94.10854086419999</v>
      </c>
      <c r="HD307" s="2" t="n">
        <v>1261.1800234912</v>
      </c>
      <c r="HE307" s="2" t="n">
        <v>-26.5</v>
      </c>
      <c r="HF307" s="2" t="n">
        <v>1407.8</v>
      </c>
      <c r="HG307" s="2" t="n">
        <v>1359.9</v>
      </c>
      <c r="HH307" s="2" t="n">
        <v>629.7</v>
      </c>
      <c r="HI307" s="2" t="n">
        <v>67.3</v>
      </c>
      <c r="HJ307" s="2" t="n">
        <v>652.9</v>
      </c>
      <c r="HK307" s="2" t="n">
        <v>10</v>
      </c>
      <c r="HL307" s="2" t="n">
        <v>47.9</v>
      </c>
      <c r="HP307" s="2" t="e">
        <v>#VALUE!</v>
      </c>
      <c r="HQ307" s="2" t="n">
        <v>3.7</v>
      </c>
      <c r="HR307" s="2" t="n">
        <v>8.800000000000001</v>
      </c>
      <c r="HS307" s="2" t="e">
        <v>#VALUE!</v>
      </c>
      <c r="HT307" s="2" t="n">
        <v>29.2</v>
      </c>
      <c r="HW307" s="2" t="n">
        <v>309.1</v>
      </c>
      <c r="HX307" s="2" t="e">
        <v>#VALUE!</v>
      </c>
      <c r="HY307" s="2" t="n">
        <v>309.1</v>
      </c>
      <c r="HZ307" s="2" t="n">
        <v>42.4</v>
      </c>
      <c r="IA307" s="2" t="n">
        <v>225.5</v>
      </c>
      <c r="IB307" s="2" t="n">
        <v>95.8</v>
      </c>
      <c r="IC307" s="2" t="n">
        <v>129.7</v>
      </c>
      <c r="ID307" s="2" t="n">
        <v>74.7</v>
      </c>
      <c r="IE307" s="2" t="n">
        <v>55</v>
      </c>
      <c r="IF307" s="2" t="e">
        <v>#VALUE!</v>
      </c>
      <c r="IG307" s="2" t="e">
        <v>#VALUE!</v>
      </c>
      <c r="IL307" s="2" t="n">
        <v>41.20000000000005</v>
      </c>
      <c r="IN307" s="2" t="n">
        <v>68.8</v>
      </c>
      <c r="IO307" s="2" t="n">
        <v>69.2</v>
      </c>
      <c r="IP307" s="2" t="e">
        <v>#VALUE!</v>
      </c>
      <c r="IQ307" s="2" t="n">
        <v>42.2</v>
      </c>
      <c r="IR307" s="2" t="n">
        <v>15.6</v>
      </c>
      <c r="IS307" s="2" t="e">
        <v>#VALUE!</v>
      </c>
      <c r="IT307" s="2" t="n">
        <v>25.1</v>
      </c>
      <c r="IU307" s="2" t="e">
        <v>#VALUE!</v>
      </c>
      <c r="IV307" s="2" t="e">
        <v>#VALUE!</v>
      </c>
      <c r="IY307" s="2" t="n">
        <v>47.87005184359707</v>
      </c>
      <c r="IZ307" s="2" t="n">
        <v>0.2300518435970744</v>
      </c>
      <c r="JB307" s="2" t="n">
        <v>11.36755656766316</v>
      </c>
      <c r="JC307" s="2" t="n">
        <v>-0.06244343233683836</v>
      </c>
      <c r="JE307" s="2" t="n">
        <v>1646.8</v>
      </c>
      <c r="JF307" s="2" t="n">
        <v>0.757530361914015</v>
      </c>
    </row>
    <row r="308">
      <c r="A308" s="1" t="n">
        <v>38412</v>
      </c>
      <c r="B308" s="2" t="n">
        <v>4454.8</v>
      </c>
      <c r="C308" s="2" t="n">
        <v>2664.7</v>
      </c>
      <c r="D308" s="2" t="n">
        <v>270.2</v>
      </c>
      <c r="E308" s="2" t="n">
        <v>1565.1</v>
      </c>
      <c r="F308" s="2" t="n">
        <v>11.4</v>
      </c>
      <c r="G308" s="2" t="inlineStr">
        <is>
          <t>NA</t>
        </is>
      </c>
      <c r="H308" s="2" t="inlineStr">
        <is>
          <t>NA</t>
        </is>
      </c>
      <c r="I308" s="2" t="inlineStr">
        <is>
          <t>NA</t>
        </is>
      </c>
      <c r="J308" s="2" t="inlineStr">
        <is>
          <t>NA</t>
        </is>
      </c>
      <c r="K308" s="2" t="n">
        <v>1686.4</v>
      </c>
      <c r="L308" s="2" t="n">
        <v>1812.7</v>
      </c>
      <c r="M308" s="2" t="n">
        <v>1589.6</v>
      </c>
      <c r="N308" s="2" t="n">
        <v>223.1</v>
      </c>
      <c r="O308" s="2" t="n">
        <v>84.3</v>
      </c>
      <c r="P308" s="2" t="n">
        <v>113</v>
      </c>
      <c r="Q308" s="2" t="n">
        <v>11.9</v>
      </c>
      <c r="R308" s="2" t="n">
        <v>101.1</v>
      </c>
      <c r="T308" s="2" t="n">
        <v>9.9</v>
      </c>
      <c r="U308" s="2" t="n">
        <v>48.3</v>
      </c>
      <c r="V308" s="2" t="inlineStr">
        <is>
          <t>NA</t>
        </is>
      </c>
      <c r="W308" s="2" t="inlineStr">
        <is>
          <t>NA</t>
        </is>
      </c>
      <c r="X308" s="2" t="inlineStr">
        <is>
          <t>NA</t>
        </is>
      </c>
      <c r="Y308" s="2" t="inlineStr">
        <is>
          <t>NA</t>
        </is>
      </c>
      <c r="Z308" s="2" t="n">
        <v>74.5</v>
      </c>
      <c r="AA308" s="2" t="n">
        <v>56.8</v>
      </c>
      <c r="AB308" s="2" t="n">
        <v>17.7</v>
      </c>
      <c r="AC308" s="2" t="inlineStr">
        <is>
          <t>NA</t>
        </is>
      </c>
      <c r="AD308" s="2" t="inlineStr">
        <is>
          <t>NA</t>
        </is>
      </c>
      <c r="AF308" s="2" t="n">
        <v>95.7</v>
      </c>
      <c r="AG308" s="2" t="n">
        <v>80.3</v>
      </c>
      <c r="AH308" s="2" t="n">
        <v>15.4</v>
      </c>
      <c r="AI308" s="2" t="n">
        <v>208.5</v>
      </c>
      <c r="AL308" s="2" t="n">
        <v>93.30000000000001</v>
      </c>
      <c r="AM308" s="2" t="n">
        <v>40.7</v>
      </c>
      <c r="AN308" s="2" t="n">
        <v>52.6</v>
      </c>
      <c r="AO308" s="2" t="n">
        <v>3295.8</v>
      </c>
      <c r="AP308" s="2" t="n">
        <v>215.6</v>
      </c>
      <c r="AQ308" s="2" t="n">
        <v>251.9</v>
      </c>
      <c r="AR308" s="2" t="n">
        <v>32.4</v>
      </c>
      <c r="AS308" s="2" t="n">
        <v>120.4</v>
      </c>
      <c r="AT308" s="2" t="n">
        <v>69.90000000000001</v>
      </c>
      <c r="AU308" s="2" t="n">
        <v>81.7</v>
      </c>
      <c r="AV308" s="2" t="n">
        <v>35</v>
      </c>
      <c r="AW308" s="2" t="n">
        <v>6.8</v>
      </c>
      <c r="AX308" s="2" t="n">
        <v>2.3</v>
      </c>
      <c r="AY308" s="2" t="inlineStr">
        <is>
          <t>NA</t>
        </is>
      </c>
      <c r="AZ308" s="2" t="inlineStr">
        <is>
          <t>NA</t>
        </is>
      </c>
      <c r="BA308" s="2" t="inlineStr">
        <is>
          <t>NA</t>
        </is>
      </c>
      <c r="BB308" s="2" t="inlineStr">
        <is>
          <t>NA</t>
        </is>
      </c>
      <c r="BD308" s="2" t="n">
        <v>160.4</v>
      </c>
      <c r="BE308" s="2" t="n">
        <v>20.9</v>
      </c>
      <c r="BF308" s="2" t="n">
        <v>75.2</v>
      </c>
      <c r="BG308" s="2" t="n">
        <v>7.9</v>
      </c>
      <c r="BH308" s="2" t="n">
        <v>327.2</v>
      </c>
      <c r="BI308" s="2" t="n">
        <v>125.9</v>
      </c>
      <c r="BJ308" s="2" t="n">
        <v>98.5</v>
      </c>
      <c r="BK308" s="2" t="n">
        <v>224.4</v>
      </c>
      <c r="BL308" s="2" t="n">
        <v>0</v>
      </c>
      <c r="BM308" s="2" t="n">
        <v>551.6</v>
      </c>
      <c r="BN308" s="2" t="n">
        <v>169.7</v>
      </c>
      <c r="BO308" s="2" t="n">
        <v>54.1</v>
      </c>
      <c r="BP308" s="2" t="n">
        <v>25.2</v>
      </c>
      <c r="BQ308" s="2" t="n">
        <v>79.3</v>
      </c>
      <c r="BR308" s="2" t="n">
        <v>0</v>
      </c>
      <c r="BS308" s="2" t="n">
        <v>249</v>
      </c>
      <c r="BT308" s="2" t="n">
        <v>21.6</v>
      </c>
      <c r="BU308" s="2" t="n">
        <v>18.9</v>
      </c>
      <c r="BV308" s="2" t="inlineStr">
        <is>
          <t>NA</t>
        </is>
      </c>
      <c r="BW308" s="2" t="inlineStr">
        <is>
          <t>NA</t>
        </is>
      </c>
      <c r="BX308" s="2" t="n">
        <v>392.7</v>
      </c>
      <c r="BY308" s="2" t="inlineStr">
        <is>
          <t>NA</t>
        </is>
      </c>
      <c r="BZ308" s="2" t="inlineStr">
        <is>
          <t>NA</t>
        </is>
      </c>
      <c r="CA308" s="2" t="n">
        <v>36.7</v>
      </c>
      <c r="CB308" s="2" t="n">
        <v>100.7</v>
      </c>
      <c r="CC308" s="2" t="inlineStr">
        <is>
          <t>NA</t>
        </is>
      </c>
      <c r="CD308" s="2" t="n">
        <v>107.9</v>
      </c>
      <c r="CE308" s="2" t="n">
        <v>11.1</v>
      </c>
      <c r="CF308" s="2" t="n">
        <v>113.8</v>
      </c>
      <c r="CG308" s="2" t="n">
        <v>133.7</v>
      </c>
      <c r="CH308" s="2" t="n">
        <v>4.8</v>
      </c>
      <c r="CI308" s="2" t="n">
        <v>32.1</v>
      </c>
      <c r="CJ308" s="2" t="n">
        <v>5.4</v>
      </c>
      <c r="CK308" s="2" t="n">
        <v>155.3</v>
      </c>
      <c r="CL308" s="2" t="n">
        <v>13.2</v>
      </c>
      <c r="CN308" s="2" t="n">
        <v>54.5</v>
      </c>
      <c r="CO308" s="2" t="n">
        <v>190.9</v>
      </c>
      <c r="CP308" s="2" t="n">
        <v>126.3</v>
      </c>
      <c r="CQ308" s="2" t="n">
        <v>64.59999999999999</v>
      </c>
      <c r="CR308" s="2" t="inlineStr">
        <is>
          <t>NA</t>
        </is>
      </c>
      <c r="CS308" s="2" t="n">
        <v>39.3</v>
      </c>
      <c r="CT308" s="2" t="n">
        <v>27</v>
      </c>
      <c r="CU308" s="2" t="n">
        <v>12.3</v>
      </c>
      <c r="CV308" s="2" t="n">
        <v>95.3</v>
      </c>
      <c r="CW308" s="2" t="inlineStr">
        <is>
          <t>NA</t>
        </is>
      </c>
      <c r="CX308" s="2" t="inlineStr">
        <is>
          <t>NA</t>
        </is>
      </c>
      <c r="CY308" s="2" t="inlineStr">
        <is>
          <t>NA</t>
        </is>
      </c>
      <c r="CZ308" s="2" t="n">
        <v>54.2</v>
      </c>
      <c r="DA308" s="2" t="n">
        <v>15.1</v>
      </c>
      <c r="DB308" s="2" t="inlineStr">
        <is>
          <t>NA</t>
        </is>
      </c>
      <c r="DC308" s="2" t="inlineStr">
        <is>
          <t>NA</t>
        </is>
      </c>
      <c r="DI308" s="2" t="n">
        <v>636.6</v>
      </c>
      <c r="DJ308" s="2" t="n">
        <v>429.7</v>
      </c>
      <c r="DM308" s="2" t="n">
        <v>460.4</v>
      </c>
      <c r="DO308" s="2" t="n">
        <v>207.7</v>
      </c>
      <c r="DP308" s="2" t="n">
        <v>317.5</v>
      </c>
      <c r="DS308" s="2" t="n">
        <v>2378.402</v>
      </c>
      <c r="DT308" s="2" t="n">
        <v>4454.8</v>
      </c>
      <c r="DU308" s="2" t="n">
        <v>-24.4980000000005</v>
      </c>
      <c r="DV308" s="2" t="n">
        <v>0</v>
      </c>
      <c r="EA308" s="2" t="n">
        <v>395.8</v>
      </c>
      <c r="EB308" s="2" t="n">
        <v>502.8</v>
      </c>
      <c r="EE308" s="2" t="n">
        <v>133</v>
      </c>
      <c r="EG308" s="2" t="n">
        <v>115.1</v>
      </c>
      <c r="EH308" s="2" t="n">
        <v>298.7</v>
      </c>
      <c r="EK308" s="2" t="n">
        <v>1079.293</v>
      </c>
      <c r="EL308" s="2" t="n">
        <v>2664.7</v>
      </c>
      <c r="EQ308" s="2" t="n">
        <v>246.2</v>
      </c>
      <c r="ER308" s="2" t="n">
        <v>163.4</v>
      </c>
      <c r="EU308" s="2" t="n">
        <v>173</v>
      </c>
      <c r="EW308" s="2" t="n">
        <v>78.5</v>
      </c>
      <c r="EX308" s="2" t="n">
        <v>117.3</v>
      </c>
      <c r="FA308" s="2" t="n">
        <v>896.14</v>
      </c>
      <c r="FB308" s="2" t="n">
        <v>1686.4</v>
      </c>
      <c r="FG308" s="2" t="n">
        <v>500.1</v>
      </c>
      <c r="FH308" s="2" t="n">
        <v>345.3</v>
      </c>
      <c r="FK308" s="2" t="n">
        <v>370.7</v>
      </c>
      <c r="FM308" s="2" t="n">
        <v>164.6</v>
      </c>
      <c r="FN308" s="2" t="n">
        <v>262.8</v>
      </c>
      <c r="FQ308" s="2" t="n">
        <v>1895.76</v>
      </c>
      <c r="FR308" s="2" t="n">
        <v>3556.4</v>
      </c>
      <c r="FW308" s="2" t="n">
        <v>264</v>
      </c>
      <c r="FX308" s="2" t="n">
        <v>123.6</v>
      </c>
      <c r="GA308" s="2" t="n">
        <v>91</v>
      </c>
      <c r="GC308" s="2" t="n">
        <v>66.2</v>
      </c>
      <c r="GD308" s="2" t="e">
        <v>#VALUE!</v>
      </c>
      <c r="GG308" s="2" t="n">
        <v>441.354</v>
      </c>
      <c r="GH308" s="2" t="n">
        <v>1051.3</v>
      </c>
      <c r="GM308" s="2" t="n">
        <v>55.1</v>
      </c>
      <c r="GN308" s="2" t="n">
        <v>33.8</v>
      </c>
      <c r="GQ308" s="2" t="n">
        <v>29.8</v>
      </c>
      <c r="GS308" s="2" t="e">
        <v>#VALUE!</v>
      </c>
      <c r="GT308" s="2" t="e">
        <v>#VALUE!</v>
      </c>
      <c r="GW308" s="2" t="n">
        <v>122.819</v>
      </c>
      <c r="GX308" s="2" t="n">
        <v>248</v>
      </c>
      <c r="GY308" s="2" t="n">
        <v>0.9796834744203166</v>
      </c>
      <c r="GZ308" s="2" t="n">
        <v>1330.9</v>
      </c>
      <c r="HA308" s="2" t="n">
        <v>1358.5</v>
      </c>
      <c r="HB308" s="2" t="n">
        <v>-167.6635083253998</v>
      </c>
      <c r="HC308" s="2" t="n">
        <v>-85.29175362320029</v>
      </c>
      <c r="HD308" s="2" t="n">
        <v>1447.5364916746</v>
      </c>
      <c r="HE308" s="2" t="n">
        <v>51.79999999999995</v>
      </c>
      <c r="HF308" s="2" t="n">
        <v>1615.2</v>
      </c>
      <c r="HG308" s="2" t="n">
        <v>1553.9</v>
      </c>
      <c r="HH308" s="2" t="n">
        <v>734.5</v>
      </c>
      <c r="HI308" s="2" t="n">
        <v>81.40000000000001</v>
      </c>
      <c r="HJ308" s="2" t="n">
        <v>726.5</v>
      </c>
      <c r="HK308" s="2" t="n">
        <v>11.5</v>
      </c>
      <c r="HL308" s="2" t="n">
        <v>61.3</v>
      </c>
      <c r="HP308" s="2" t="e">
        <v>#VALUE!</v>
      </c>
      <c r="HQ308" s="2" t="n">
        <v>8.4</v>
      </c>
      <c r="HR308" s="2" t="n">
        <v>6.3</v>
      </c>
      <c r="HS308" s="2" t="e">
        <v>#VALUE!</v>
      </c>
      <c r="HT308" s="2" t="n">
        <v>38.6</v>
      </c>
      <c r="HW308" s="2" t="n">
        <v>351.6</v>
      </c>
      <c r="HX308" s="2" t="e">
        <v>#VALUE!</v>
      </c>
      <c r="HY308" s="2" t="n">
        <v>351.6</v>
      </c>
      <c r="HZ308" s="2" t="n">
        <v>53.7</v>
      </c>
      <c r="IA308" s="2" t="n">
        <v>253.2</v>
      </c>
      <c r="IB308" s="2" t="n">
        <v>107.2</v>
      </c>
      <c r="IC308" s="2" t="n">
        <v>146</v>
      </c>
      <c r="ID308" s="2" t="n">
        <v>87</v>
      </c>
      <c r="IE308" s="2" t="n">
        <v>59</v>
      </c>
      <c r="IF308" s="2" t="n">
        <v>26.7</v>
      </c>
      <c r="IG308" s="2" t="e">
        <v>#VALUE!</v>
      </c>
      <c r="IL308" s="2" t="n">
        <v>44.70000000000005</v>
      </c>
      <c r="IN308" s="2" t="n">
        <v>66.59999999999999</v>
      </c>
      <c r="IO308" s="2" t="n">
        <v>66.8</v>
      </c>
      <c r="IP308" s="2" t="e">
        <v>#VALUE!</v>
      </c>
      <c r="IQ308" s="2" t="n">
        <v>54.7</v>
      </c>
      <c r="IR308" s="2" t="n">
        <v>23.3</v>
      </c>
      <c r="IS308" s="2" t="e">
        <v>#VALUE!</v>
      </c>
      <c r="IT308" s="2" t="n">
        <v>30</v>
      </c>
      <c r="IU308" s="2" t="e">
        <v>#VALUE!</v>
      </c>
      <c r="IV308" s="2" t="e">
        <v>#VALUE!</v>
      </c>
      <c r="IY308" s="2" t="n">
        <v>47.78261650354674</v>
      </c>
      <c r="IZ308" s="2" t="n">
        <v>0.1226165035467446</v>
      </c>
      <c r="JB308" s="2" t="n">
        <v>11.35673879859926</v>
      </c>
      <c r="JC308" s="2" t="n">
        <v>-0.07326120140073655</v>
      </c>
      <c r="JE308" s="2" t="n">
        <v>1812.7</v>
      </c>
      <c r="JF308" s="2" t="n">
        <v>0.755426711535279</v>
      </c>
    </row>
    <row r="309">
      <c r="A309" s="1" t="n">
        <v>38443</v>
      </c>
      <c r="B309" s="2" t="n">
        <v>4182.5</v>
      </c>
      <c r="C309" s="2" t="n">
        <v>2126.1</v>
      </c>
      <c r="D309" s="2" t="n">
        <v>287.7</v>
      </c>
      <c r="E309" s="2" t="n">
        <v>1283.6</v>
      </c>
      <c r="F309" s="2" t="n">
        <v>13.5</v>
      </c>
      <c r="G309" s="2" t="inlineStr">
        <is>
          <t>NA</t>
        </is>
      </c>
      <c r="H309" s="2" t="inlineStr">
        <is>
          <t>NA</t>
        </is>
      </c>
      <c r="I309" s="2" t="inlineStr">
        <is>
          <t>NA</t>
        </is>
      </c>
      <c r="J309" s="2" t="inlineStr">
        <is>
          <t>NA</t>
        </is>
      </c>
      <c r="K309" s="2" t="n">
        <v>1579.6</v>
      </c>
      <c r="L309" s="2" t="n">
        <v>1797.1</v>
      </c>
      <c r="M309" s="2" t="n">
        <v>1561.1</v>
      </c>
      <c r="N309" s="2" t="n">
        <v>236</v>
      </c>
      <c r="O309" s="2" t="n">
        <v>90.7</v>
      </c>
      <c r="P309" s="2" t="n">
        <v>122.7</v>
      </c>
      <c r="Q309" s="2" t="n">
        <v>11.8</v>
      </c>
      <c r="R309" s="2" t="n">
        <v>110.9</v>
      </c>
      <c r="T309" s="2" t="n">
        <v>11.3</v>
      </c>
      <c r="U309" s="2" t="n">
        <v>62.6</v>
      </c>
      <c r="V309" s="2" t="n">
        <v>60.5</v>
      </c>
      <c r="W309" s="2" t="n">
        <v>2.1</v>
      </c>
      <c r="X309" s="2" t="inlineStr">
        <is>
          <t>NA</t>
        </is>
      </c>
      <c r="Y309" s="2" t="inlineStr">
        <is>
          <t>NA</t>
        </is>
      </c>
      <c r="Z309" s="2" t="n">
        <v>68.3</v>
      </c>
      <c r="AA309" s="2" t="n">
        <v>53.9</v>
      </c>
      <c r="AB309" s="2" t="n">
        <v>14.4</v>
      </c>
      <c r="AC309" s="2" t="inlineStr">
        <is>
          <t>NA</t>
        </is>
      </c>
      <c r="AD309" s="2" t="inlineStr">
        <is>
          <t>NA</t>
        </is>
      </c>
      <c r="AF309" s="2" t="n">
        <v>92</v>
      </c>
      <c r="AG309" s="2" t="n">
        <v>72</v>
      </c>
      <c r="AH309" s="2" t="n">
        <v>20</v>
      </c>
      <c r="AI309" s="2" t="n">
        <v>217.2</v>
      </c>
      <c r="AL309" s="2" t="n">
        <v>99.3</v>
      </c>
      <c r="AM309" s="2" t="n">
        <v>50.8</v>
      </c>
      <c r="AN309" s="2" t="n">
        <v>48.5</v>
      </c>
      <c r="AO309" s="2" t="n">
        <v>3092.9</v>
      </c>
      <c r="AP309" s="2" t="n">
        <v>266.9</v>
      </c>
      <c r="AQ309" s="2" t="n">
        <v>233.7</v>
      </c>
      <c r="AR309" s="2" t="n">
        <v>40.6</v>
      </c>
      <c r="AS309" s="2" t="n">
        <v>124.4</v>
      </c>
      <c r="AT309" s="2" t="n">
        <v>87</v>
      </c>
      <c r="AU309" s="2" t="n">
        <v>83.5</v>
      </c>
      <c r="AV309" s="2" t="n">
        <v>45.4</v>
      </c>
      <c r="AW309" s="2" t="n">
        <v>7.7</v>
      </c>
      <c r="AX309" s="2" t="n">
        <v>1.8</v>
      </c>
      <c r="AY309" s="2" t="inlineStr">
        <is>
          <t>NA</t>
        </is>
      </c>
      <c r="AZ309" s="2" t="inlineStr">
        <is>
          <t>NA</t>
        </is>
      </c>
      <c r="BA309" s="2" t="inlineStr">
        <is>
          <t>NA</t>
        </is>
      </c>
      <c r="BB309" s="2" t="inlineStr">
        <is>
          <t>NA</t>
        </is>
      </c>
      <c r="BD309" s="2" t="n">
        <v>144.1</v>
      </c>
      <c r="BE309" s="2" t="n">
        <v>30.2</v>
      </c>
      <c r="BF309" s="2" t="n">
        <v>71</v>
      </c>
      <c r="BG309" s="2" t="n">
        <v>8.5</v>
      </c>
      <c r="BH309" s="2" t="n">
        <v>297.9</v>
      </c>
      <c r="BI309" s="2" t="n">
        <v>123.8</v>
      </c>
      <c r="BJ309" s="2" t="n">
        <v>103.2</v>
      </c>
      <c r="BK309" s="2" t="n">
        <v>227</v>
      </c>
      <c r="BL309" s="2" t="n">
        <v>0</v>
      </c>
      <c r="BM309" s="2" t="n">
        <v>524.9</v>
      </c>
      <c r="BN309" s="2" t="n">
        <v>123.7</v>
      </c>
      <c r="BO309" s="2" t="n">
        <v>50.3</v>
      </c>
      <c r="BP309" s="2" t="n">
        <v>20.8</v>
      </c>
      <c r="BQ309" s="2" t="n">
        <v>71.09999999999999</v>
      </c>
      <c r="BR309" s="2" t="n">
        <v>0</v>
      </c>
      <c r="BS309" s="2" t="n">
        <v>194.8</v>
      </c>
      <c r="BT309" s="2" t="n">
        <v>21.6</v>
      </c>
      <c r="BU309" s="2" t="n">
        <v>17.5</v>
      </c>
      <c r="BV309" s="2" t="inlineStr">
        <is>
          <t>NA</t>
        </is>
      </c>
      <c r="BW309" s="2" t="inlineStr">
        <is>
          <t>NA</t>
        </is>
      </c>
      <c r="BX309" s="2" t="n">
        <v>369.7</v>
      </c>
      <c r="BY309" s="2" t="inlineStr">
        <is>
          <t>NA</t>
        </is>
      </c>
      <c r="BZ309" s="2" t="inlineStr">
        <is>
          <t>NA</t>
        </is>
      </c>
      <c r="CA309" s="2" t="n">
        <v>37.6</v>
      </c>
      <c r="CB309" s="2" t="n">
        <v>96.2</v>
      </c>
      <c r="CC309" s="2" t="inlineStr">
        <is>
          <t>NA</t>
        </is>
      </c>
      <c r="CD309" s="2" t="n">
        <v>108.1</v>
      </c>
      <c r="CE309" s="2" t="n">
        <v>13.5</v>
      </c>
      <c r="CF309" s="2" t="n">
        <v>111.7</v>
      </c>
      <c r="CG309" s="2" t="n">
        <v>131.8</v>
      </c>
      <c r="CH309" s="2" t="n">
        <v>5.3</v>
      </c>
      <c r="CI309" s="2" t="n">
        <v>30.9</v>
      </c>
      <c r="CJ309" s="2" t="n">
        <v>6.5</v>
      </c>
      <c r="CK309" s="2" t="n">
        <v>144.4</v>
      </c>
      <c r="CL309" s="2" t="n">
        <v>15.8</v>
      </c>
      <c r="CN309" s="2" t="n">
        <v>51.9</v>
      </c>
      <c r="CO309" s="2" t="n">
        <v>170.6</v>
      </c>
      <c r="CP309" s="2" t="n">
        <v>110.6</v>
      </c>
      <c r="CQ309" s="2" t="n">
        <v>60</v>
      </c>
      <c r="CR309" s="2" t="inlineStr">
        <is>
          <t>NA</t>
        </is>
      </c>
      <c r="CS309" s="2" t="n">
        <v>42.2</v>
      </c>
      <c r="CT309" s="2" t="n">
        <v>30.7</v>
      </c>
      <c r="CU309" s="2" t="n">
        <v>11.5</v>
      </c>
      <c r="CV309" s="2" t="n">
        <v>90</v>
      </c>
      <c r="CW309" s="2" t="n">
        <v>15.6</v>
      </c>
      <c r="CX309" s="2" t="n">
        <v>74.40000000000001</v>
      </c>
      <c r="CY309" s="2" t="inlineStr">
        <is>
          <t>NA</t>
        </is>
      </c>
      <c r="CZ309" s="2" t="n">
        <v>37.4</v>
      </c>
      <c r="DA309" s="2" t="n">
        <v>14.5</v>
      </c>
      <c r="DB309" s="2" t="inlineStr">
        <is>
          <t>NA</t>
        </is>
      </c>
      <c r="DC309" s="2" t="inlineStr">
        <is>
          <t>NA</t>
        </is>
      </c>
      <c r="DI309" s="2" t="n">
        <v>596.9</v>
      </c>
      <c r="DJ309" s="2" t="n">
        <v>384</v>
      </c>
      <c r="DM309" s="2" t="n">
        <v>434.6</v>
      </c>
      <c r="DO309" s="2" t="n">
        <v>193.4</v>
      </c>
      <c r="DP309" s="2" t="n">
        <v>291.2</v>
      </c>
      <c r="DS309" s="2" t="n">
        <v>2251.878</v>
      </c>
      <c r="DT309" s="2" t="n">
        <v>4182.5</v>
      </c>
      <c r="DU309" s="2" t="n">
        <v>-30.52199999999993</v>
      </c>
      <c r="DV309" s="2" t="n">
        <v>0</v>
      </c>
      <c r="EA309" s="2" t="n">
        <v>306.5</v>
      </c>
      <c r="EB309" s="2" t="n">
        <v>346.9</v>
      </c>
      <c r="EE309" s="2" t="n">
        <v>77.90000000000001</v>
      </c>
      <c r="EG309" s="2" t="n">
        <v>74.90000000000001</v>
      </c>
      <c r="EH309" s="2" t="n">
        <v>245.9</v>
      </c>
      <c r="EK309" s="2" t="n">
        <v>922.735</v>
      </c>
      <c r="EL309" s="2" t="n">
        <v>2126.1</v>
      </c>
      <c r="EQ309" s="2" t="n">
        <v>232</v>
      </c>
      <c r="ER309" s="2" t="n">
        <v>147.3</v>
      </c>
      <c r="EU309" s="2" t="n">
        <v>161.3</v>
      </c>
      <c r="EW309" s="2" t="n">
        <v>73.90000000000001</v>
      </c>
      <c r="EX309" s="2" t="n">
        <v>106.1</v>
      </c>
      <c r="FA309" s="2" t="n">
        <v>847.583</v>
      </c>
      <c r="FB309" s="2" t="n">
        <v>1579.6</v>
      </c>
      <c r="FG309" s="2" t="n">
        <v>472.2</v>
      </c>
      <c r="FH309" s="2" t="n">
        <v>307</v>
      </c>
      <c r="FK309" s="2" t="n">
        <v>348.5</v>
      </c>
      <c r="FM309" s="2" t="n">
        <v>152.9</v>
      </c>
      <c r="FN309" s="2" t="n">
        <v>234.9</v>
      </c>
      <c r="FQ309" s="2" t="n">
        <v>1797.11</v>
      </c>
      <c r="FR309" s="2" t="n">
        <v>3336.4</v>
      </c>
      <c r="FW309" s="2" t="n">
        <v>191.5</v>
      </c>
      <c r="FX309" s="2" t="n">
        <v>131.9</v>
      </c>
      <c r="GA309" s="2" t="n">
        <v>80.40000000000001</v>
      </c>
      <c r="GC309" s="2" t="n">
        <v>59.9</v>
      </c>
      <c r="GD309" s="2" t="e">
        <v>#VALUE!</v>
      </c>
      <c r="GG309" s="2" t="n">
        <v>424.578</v>
      </c>
      <c r="GH309" s="2" t="n">
        <v>961.2</v>
      </c>
      <c r="GM309" s="2" t="n">
        <v>69.5</v>
      </c>
      <c r="GN309" s="2" t="n">
        <v>33.5</v>
      </c>
      <c r="GQ309" s="2" t="n">
        <v>33.2</v>
      </c>
      <c r="GS309" s="2" t="e">
        <v>#VALUE!</v>
      </c>
      <c r="GT309" s="2" t="e">
        <v>#VALUE!</v>
      </c>
      <c r="GW309" s="2" t="n">
        <v>158.268</v>
      </c>
      <c r="GX309" s="2" t="n">
        <v>307.5</v>
      </c>
      <c r="GY309" s="2" t="n">
        <v>0.979362378874177</v>
      </c>
      <c r="GZ309" s="2" t="n">
        <v>1324</v>
      </c>
      <c r="HA309" s="2" t="n">
        <v>1351.9</v>
      </c>
      <c r="HB309" s="2" t="n">
        <v>-54.17038343820013</v>
      </c>
      <c r="HC309" s="2" t="n">
        <v>85.43418029259942</v>
      </c>
      <c r="HD309" s="2" t="n">
        <v>1522.4296165618</v>
      </c>
      <c r="HE309" s="2" t="n">
        <v>94.59999999999991</v>
      </c>
      <c r="HF309" s="2" t="n">
        <v>1576.6</v>
      </c>
      <c r="HG309" s="2" t="n">
        <v>1520.8</v>
      </c>
      <c r="HH309" s="2" t="n">
        <v>674.2</v>
      </c>
      <c r="HI309" s="2" t="n">
        <v>63.4</v>
      </c>
      <c r="HJ309" s="2" t="n">
        <v>772.2</v>
      </c>
      <c r="HK309" s="2" t="n">
        <v>11</v>
      </c>
      <c r="HL309" s="2" t="n">
        <v>55.7</v>
      </c>
      <c r="HP309" s="2" t="e">
        <v>#VALUE!</v>
      </c>
      <c r="HQ309" s="2" t="n">
        <v>5.3</v>
      </c>
      <c r="HR309" s="2" t="n">
        <v>8.300000000000001</v>
      </c>
      <c r="HS309" s="2" t="e">
        <v>#VALUE!</v>
      </c>
      <c r="HT309" s="2" t="n">
        <v>38.6</v>
      </c>
      <c r="HW309" s="2" t="n">
        <v>332.1</v>
      </c>
      <c r="HX309" s="2" t="e">
        <v>#VALUE!</v>
      </c>
      <c r="HY309" s="2" t="n">
        <v>332.1</v>
      </c>
      <c r="HZ309" s="2" t="n">
        <v>52.1</v>
      </c>
      <c r="IA309" s="2" t="n">
        <v>238.2</v>
      </c>
      <c r="IB309" s="2" t="n">
        <v>103.8</v>
      </c>
      <c r="IC309" s="2" t="n">
        <v>134.5</v>
      </c>
      <c r="ID309" s="2" t="n">
        <v>78.7</v>
      </c>
      <c r="IE309" s="2" t="n">
        <v>55.8</v>
      </c>
      <c r="IF309" s="2" t="n">
        <v>26.6</v>
      </c>
      <c r="IG309" s="2" t="e">
        <v>#VALUE!</v>
      </c>
      <c r="IL309" s="2" t="n">
        <v>41.80000000000001</v>
      </c>
      <c r="IN309" s="2" t="n">
        <v>72.3</v>
      </c>
      <c r="IO309" s="2" t="n">
        <v>72.59999999999999</v>
      </c>
      <c r="IP309" s="2" t="e">
        <v>#VALUE!</v>
      </c>
      <c r="IQ309" s="2" t="n">
        <v>49</v>
      </c>
      <c r="IR309" s="2" t="n">
        <v>17.9</v>
      </c>
      <c r="IS309" s="2" t="e">
        <v>#VALUE!</v>
      </c>
      <c r="IT309" s="2" t="n">
        <v>29.6</v>
      </c>
      <c r="IU309" s="2" t="e">
        <v>#VALUE!</v>
      </c>
      <c r="IV309" s="2" t="e">
        <v>#VALUE!</v>
      </c>
      <c r="IY309" s="2" t="n">
        <v>47.72169754931262</v>
      </c>
      <c r="IZ309" s="2" t="n">
        <v>0.1016975493126182</v>
      </c>
      <c r="JB309" s="2" t="n">
        <v>11.33006575014943</v>
      </c>
      <c r="JC309" s="2" t="n">
        <v>-0.05993424985056883</v>
      </c>
      <c r="JE309" s="2" t="n">
        <v>1797.1</v>
      </c>
      <c r="JF309" s="2" t="n">
        <v>0.8217116465416505</v>
      </c>
    </row>
    <row r="310">
      <c r="A310" s="1" t="n">
        <v>38473</v>
      </c>
      <c r="B310" s="2" t="n">
        <v>4284.4</v>
      </c>
      <c r="C310" s="2" t="n">
        <v>1774.6</v>
      </c>
      <c r="D310" s="2" t="n">
        <v>221</v>
      </c>
      <c r="E310" s="2" t="n">
        <v>1066.4</v>
      </c>
      <c r="F310" s="2" t="n">
        <v>14.9</v>
      </c>
      <c r="G310" s="2" t="inlineStr">
        <is>
          <t>NA</t>
        </is>
      </c>
      <c r="H310" s="2" t="inlineStr">
        <is>
          <t>NA</t>
        </is>
      </c>
      <c r="I310" s="2" t="inlineStr">
        <is>
          <t>NA</t>
        </is>
      </c>
      <c r="J310" s="2" t="inlineStr">
        <is>
          <t>NA</t>
        </is>
      </c>
      <c r="K310" s="2" t="n">
        <v>1620.1</v>
      </c>
      <c r="L310" s="2" t="n">
        <v>1888.7</v>
      </c>
      <c r="M310" s="2" t="n">
        <v>1656.5</v>
      </c>
      <c r="N310" s="2" t="n">
        <v>232.2</v>
      </c>
      <c r="O310" s="2" t="n">
        <v>71.3</v>
      </c>
      <c r="P310" s="2" t="n">
        <v>110.2</v>
      </c>
      <c r="Q310" s="2" t="n">
        <v>10.5</v>
      </c>
      <c r="R310" s="2" t="n">
        <v>99.7</v>
      </c>
      <c r="T310" s="2" t="n">
        <v>13.3</v>
      </c>
      <c r="U310" s="2" t="n">
        <v>60.3</v>
      </c>
      <c r="V310" s="2" t="n">
        <v>53.5</v>
      </c>
      <c r="W310" s="2" t="n">
        <v>6.8</v>
      </c>
      <c r="X310" s="2" t="inlineStr">
        <is>
          <t>NA</t>
        </is>
      </c>
      <c r="Y310" s="2" t="inlineStr">
        <is>
          <t>NA</t>
        </is>
      </c>
      <c r="Z310" s="2" t="n">
        <v>56.6</v>
      </c>
      <c r="AA310" s="2" t="n">
        <v>46.5</v>
      </c>
      <c r="AB310" s="2" t="n">
        <v>10.1</v>
      </c>
      <c r="AC310" s="2" t="inlineStr">
        <is>
          <t>NA</t>
        </is>
      </c>
      <c r="AD310" s="2" t="inlineStr">
        <is>
          <t>NA</t>
        </is>
      </c>
      <c r="AF310" s="2" t="n">
        <v>111.3</v>
      </c>
      <c r="AG310" s="2" t="n">
        <v>89.40000000000001</v>
      </c>
      <c r="AH310" s="2" t="n">
        <v>21.9</v>
      </c>
      <c r="AI310" s="2" t="n">
        <v>188.2</v>
      </c>
      <c r="AL310" s="2" t="n">
        <v>71.3</v>
      </c>
      <c r="AM310" s="2" t="n">
        <v>49.8</v>
      </c>
      <c r="AN310" s="2" t="n">
        <v>21.5</v>
      </c>
      <c r="AO310" s="2" t="n">
        <v>3158.6</v>
      </c>
      <c r="AP310" s="2" t="n">
        <v>304</v>
      </c>
      <c r="AQ310" s="2" t="n">
        <v>239.3</v>
      </c>
      <c r="AR310" s="2" t="n">
        <v>45</v>
      </c>
      <c r="AS310" s="2" t="n">
        <v>103.6</v>
      </c>
      <c r="AT310" s="2" t="n">
        <v>74.40000000000001</v>
      </c>
      <c r="AU310" s="2" t="n">
        <v>67.7</v>
      </c>
      <c r="AV310" s="2" t="n">
        <v>35.4</v>
      </c>
      <c r="AW310" s="2" t="n">
        <v>8.800000000000001</v>
      </c>
      <c r="AX310" s="2" t="n">
        <v>3.1</v>
      </c>
      <c r="AY310" s="2" t="inlineStr">
        <is>
          <t>NA</t>
        </is>
      </c>
      <c r="AZ310" s="2" t="inlineStr">
        <is>
          <t>NA</t>
        </is>
      </c>
      <c r="BA310" s="2" t="inlineStr">
        <is>
          <t>NA</t>
        </is>
      </c>
      <c r="BB310" s="2" t="inlineStr">
        <is>
          <t>NA</t>
        </is>
      </c>
      <c r="BD310" s="2" t="n">
        <v>157.8</v>
      </c>
      <c r="BE310" s="2" t="n">
        <v>27.6</v>
      </c>
      <c r="BF310" s="2" t="n">
        <v>77.7</v>
      </c>
      <c r="BG310" s="2" t="n">
        <v>9.9</v>
      </c>
      <c r="BH310" s="2" t="n">
        <v>309.9</v>
      </c>
      <c r="BI310" s="2" t="n">
        <v>132.5</v>
      </c>
      <c r="BJ310" s="2" t="n">
        <v>106.1</v>
      </c>
      <c r="BK310" s="2" t="n">
        <v>238.6</v>
      </c>
      <c r="BL310" s="2" t="n">
        <v>0</v>
      </c>
      <c r="BM310" s="2" t="n">
        <v>548.5</v>
      </c>
      <c r="BN310" s="2" t="n">
        <v>140.7</v>
      </c>
      <c r="BO310" s="2" t="n">
        <v>55.5</v>
      </c>
      <c r="BP310" s="2" t="n">
        <v>25.6</v>
      </c>
      <c r="BQ310" s="2" t="n">
        <v>81.09999999999999</v>
      </c>
      <c r="BR310" s="2" t="n">
        <v>0</v>
      </c>
      <c r="BS310" s="2" t="n">
        <v>221.8</v>
      </c>
      <c r="BT310" s="2" t="n">
        <v>21.5</v>
      </c>
      <c r="BU310" s="2" t="n">
        <v>12.1</v>
      </c>
      <c r="BV310" s="2" t="inlineStr">
        <is>
          <t>NA</t>
        </is>
      </c>
      <c r="BW310" s="2" t="inlineStr">
        <is>
          <t>NA</t>
        </is>
      </c>
      <c r="BX310" s="2" t="n">
        <v>392.3</v>
      </c>
      <c r="BY310" s="2" t="inlineStr">
        <is>
          <t>NA</t>
        </is>
      </c>
      <c r="BZ310" s="2" t="inlineStr">
        <is>
          <t>NA</t>
        </is>
      </c>
      <c r="CA310" s="2" t="n">
        <v>43</v>
      </c>
      <c r="CB310" s="2" t="n">
        <v>104.9</v>
      </c>
      <c r="CC310" s="2" t="inlineStr">
        <is>
          <t>NA</t>
        </is>
      </c>
      <c r="CD310" s="2" t="n">
        <v>114.2</v>
      </c>
      <c r="CE310" s="2" t="n">
        <v>16.8</v>
      </c>
      <c r="CF310" s="2" t="n">
        <v>111.3</v>
      </c>
      <c r="CG310" s="2" t="n">
        <v>127.7</v>
      </c>
      <c r="CH310" s="2" t="n">
        <v>5.3</v>
      </c>
      <c r="CI310" s="2" t="n">
        <v>29.7</v>
      </c>
      <c r="CJ310" s="2" t="n">
        <v>6.4</v>
      </c>
      <c r="CK310" s="2" t="n">
        <v>146.8</v>
      </c>
      <c r="CL310" s="2" t="n">
        <v>15.1</v>
      </c>
      <c r="CN310" s="2" t="n">
        <v>56.3</v>
      </c>
      <c r="CO310" s="2" t="n">
        <v>187.6</v>
      </c>
      <c r="CP310" s="2" t="n">
        <v>97.8</v>
      </c>
      <c r="CQ310" s="2" t="n">
        <v>89.8</v>
      </c>
      <c r="CR310" s="2" t="inlineStr">
        <is>
          <t>NA</t>
        </is>
      </c>
      <c r="CS310" s="2" t="n">
        <v>45.2</v>
      </c>
      <c r="CT310" s="2" t="n">
        <v>31.6</v>
      </c>
      <c r="CU310" s="2" t="n">
        <v>13.6</v>
      </c>
      <c r="CV310" s="2" t="n">
        <v>124</v>
      </c>
      <c r="CW310" s="2" t="inlineStr">
        <is>
          <t>NA</t>
        </is>
      </c>
      <c r="CX310" s="2" t="inlineStr">
        <is>
          <t>NA</t>
        </is>
      </c>
      <c r="CY310" s="2" t="inlineStr">
        <is>
          <t>NA</t>
        </is>
      </c>
      <c r="CZ310" s="2" t="n">
        <v>54.9</v>
      </c>
      <c r="DA310" s="2" t="n">
        <v>10.6</v>
      </c>
      <c r="DB310" s="2" t="inlineStr">
        <is>
          <t>NA</t>
        </is>
      </c>
      <c r="DC310" s="2" t="inlineStr">
        <is>
          <t>NA</t>
        </is>
      </c>
      <c r="DI310" s="2" t="n">
        <v>605.2</v>
      </c>
      <c r="DJ310" s="2" t="n">
        <v>422.6</v>
      </c>
      <c r="DM310" s="2" t="n">
        <v>469.4</v>
      </c>
      <c r="DO310" s="2" t="n">
        <v>193</v>
      </c>
      <c r="DP310" s="2" t="n">
        <v>306</v>
      </c>
      <c r="DS310" s="2" t="n">
        <v>2283.896</v>
      </c>
      <c r="DT310" s="2" t="n">
        <v>4284.4</v>
      </c>
      <c r="DU310" s="2" t="n">
        <v>-4.303999999999178</v>
      </c>
      <c r="DV310" s="2" t="n">
        <v>0</v>
      </c>
      <c r="EA310" s="2" t="n">
        <v>253.3</v>
      </c>
      <c r="EB310" s="2" t="n">
        <v>188.5</v>
      </c>
      <c r="EE310" s="2" t="n">
        <v>87.3</v>
      </c>
      <c r="EG310" s="2" t="n">
        <v>55.8</v>
      </c>
      <c r="EH310" s="2" t="n">
        <v>184.6</v>
      </c>
      <c r="EK310" s="2" t="n">
        <v>874.785</v>
      </c>
      <c r="EL310" s="2" t="n">
        <v>1774.6</v>
      </c>
      <c r="EQ310" s="2" t="n">
        <v>230.6</v>
      </c>
      <c r="ER310" s="2" t="n">
        <v>161.6</v>
      </c>
      <c r="EU310" s="2" t="n">
        <v>176.6</v>
      </c>
      <c r="EW310" s="2" t="n">
        <v>74</v>
      </c>
      <c r="EX310" s="2" t="n">
        <v>111.8</v>
      </c>
      <c r="FA310" s="2" t="n">
        <v>863.008</v>
      </c>
      <c r="FB310" s="2" t="n">
        <v>1620.1</v>
      </c>
      <c r="FG310" s="2" t="n">
        <v>478</v>
      </c>
      <c r="FH310" s="2" t="n">
        <v>336.7</v>
      </c>
      <c r="FK310" s="2" t="n">
        <v>375.4</v>
      </c>
      <c r="FM310" s="2" t="n">
        <v>153.3</v>
      </c>
      <c r="FN310" s="2" t="n">
        <v>244.7</v>
      </c>
      <c r="FQ310" s="2" t="n">
        <v>1813.97</v>
      </c>
      <c r="FR310" s="2" t="n">
        <v>3406</v>
      </c>
      <c r="FW310" s="2" t="n">
        <v>198.4</v>
      </c>
      <c r="FX310" s="2" t="n">
        <v>147.9</v>
      </c>
      <c r="GA310" s="2" t="n">
        <v>83.8</v>
      </c>
      <c r="GC310" s="2" t="n">
        <v>63.5</v>
      </c>
      <c r="GD310" s="2" t="e">
        <v>#VALUE!</v>
      </c>
      <c r="GG310" s="2" t="n">
        <v>446.098</v>
      </c>
      <c r="GH310" s="2" t="n">
        <v>1004.1</v>
      </c>
      <c r="GM310" s="2" t="n">
        <v>63.1</v>
      </c>
      <c r="GN310" s="2" t="n">
        <v>45.8</v>
      </c>
      <c r="GQ310" s="2" t="n">
        <v>50.6</v>
      </c>
      <c r="GS310" s="2" t="e">
        <v>#VALUE!</v>
      </c>
      <c r="GT310" s="2" t="e">
        <v>#VALUE!</v>
      </c>
      <c r="GW310" s="2" t="n">
        <v>180.603</v>
      </c>
      <c r="GX310" s="2" t="n">
        <v>349</v>
      </c>
      <c r="GY310" s="2" t="n">
        <v>0.9810131389078758</v>
      </c>
      <c r="GZ310" s="2" t="n">
        <v>1291.7</v>
      </c>
      <c r="HA310" s="2" t="n">
        <v>1316.7</v>
      </c>
      <c r="HB310" s="2" t="n">
        <v>-121.8691499404003</v>
      </c>
      <c r="HC310" s="2" t="n">
        <v>188.8771555725998</v>
      </c>
      <c r="HD310" s="2" t="n">
        <v>1458.3308500596</v>
      </c>
      <c r="HE310" s="2" t="n">
        <v>65.79999999999995</v>
      </c>
      <c r="HF310" s="2" t="n">
        <v>1580.2</v>
      </c>
      <c r="HG310" s="2" t="n">
        <v>1520.8</v>
      </c>
      <c r="HH310" s="2" t="n">
        <v>688.5</v>
      </c>
      <c r="HI310" s="2" t="n">
        <v>68.2</v>
      </c>
      <c r="HJ310" s="2" t="n">
        <v>752.4</v>
      </c>
      <c r="HK310" s="2" t="n">
        <v>11.8</v>
      </c>
      <c r="HL310" s="2" t="n">
        <v>59.3</v>
      </c>
      <c r="HP310" s="2" t="e">
        <v>#VALUE!</v>
      </c>
      <c r="HQ310" s="2" t="n">
        <v>8.1</v>
      </c>
      <c r="HR310" s="2" t="n">
        <v>7.6</v>
      </c>
      <c r="HS310" s="2" t="e">
        <v>#VALUE!</v>
      </c>
      <c r="HT310" s="2" t="n">
        <v>37</v>
      </c>
      <c r="HW310" s="2" t="n">
        <v>337.1</v>
      </c>
      <c r="HX310" s="2" t="e">
        <v>#VALUE!</v>
      </c>
      <c r="HY310" s="2" t="n">
        <v>337.1</v>
      </c>
      <c r="HZ310" s="2" t="n">
        <v>59</v>
      </c>
      <c r="IA310" s="2" t="n">
        <v>236.5</v>
      </c>
      <c r="IB310" s="2" t="n">
        <v>95.90000000000001</v>
      </c>
      <c r="IC310" s="2" t="n">
        <v>140.6</v>
      </c>
      <c r="ID310" s="2" t="n">
        <v>83</v>
      </c>
      <c r="IE310" s="2" t="n">
        <v>57.5</v>
      </c>
      <c r="IF310" s="2" t="n">
        <v>26.6</v>
      </c>
      <c r="IG310" s="2" t="e">
        <v>#VALUE!</v>
      </c>
      <c r="IL310" s="2" t="n">
        <v>41.60000000000002</v>
      </c>
      <c r="IN310" s="2" t="n">
        <v>52.7</v>
      </c>
      <c r="IO310" s="2" t="n">
        <v>52.9</v>
      </c>
      <c r="IP310" s="2" t="e">
        <v>#VALUE!</v>
      </c>
      <c r="IQ310" s="2" t="n">
        <v>58.3</v>
      </c>
      <c r="IR310" s="2" t="n">
        <v>20.6</v>
      </c>
      <c r="IS310" s="2" t="e">
        <v>#VALUE!</v>
      </c>
      <c r="IT310" s="2" t="n">
        <v>36.2</v>
      </c>
      <c r="IU310" s="2" t="e">
        <v>#VALUE!</v>
      </c>
      <c r="IV310" s="2" t="e">
        <v>#VALUE!</v>
      </c>
      <c r="IY310" s="2" t="n">
        <v>47.58519279245635</v>
      </c>
      <c r="IZ310" s="2" t="n">
        <v>0.09519279245635204</v>
      </c>
      <c r="JB310" s="2" t="n">
        <v>11.34417888152367</v>
      </c>
      <c r="JC310" s="2" t="n">
        <v>-0.06582111847633421</v>
      </c>
      <c r="JE310" s="2" t="n">
        <v>1888.7</v>
      </c>
      <c r="JF310" s="2" t="n">
        <v>0.8319457828135755</v>
      </c>
    </row>
    <row r="311">
      <c r="A311" s="1" t="n">
        <v>38504</v>
      </c>
      <c r="B311" s="2" t="n">
        <v>3959.6</v>
      </c>
      <c r="C311" s="2" t="n">
        <v>1982</v>
      </c>
      <c r="D311" s="2" t="n">
        <v>266.6</v>
      </c>
      <c r="E311" s="2" t="n">
        <v>797.5</v>
      </c>
      <c r="F311" s="2" t="n">
        <v>16.8</v>
      </c>
      <c r="G311" s="2" t="inlineStr">
        <is>
          <t>NA</t>
        </is>
      </c>
      <c r="H311" s="2" t="inlineStr">
        <is>
          <t>NA</t>
        </is>
      </c>
      <c r="I311" s="2" t="inlineStr">
        <is>
          <t>NA</t>
        </is>
      </c>
      <c r="J311" s="2" t="inlineStr">
        <is>
          <t>NA</t>
        </is>
      </c>
      <c r="K311" s="2" t="n">
        <v>1497.3</v>
      </c>
      <c r="L311" s="2" t="n">
        <v>1838.1</v>
      </c>
      <c r="M311" s="2" t="n">
        <v>1623.2</v>
      </c>
      <c r="N311" s="2" t="n">
        <v>214.9</v>
      </c>
      <c r="O311" s="2" t="n">
        <v>81.59999999999999</v>
      </c>
      <c r="P311" s="2" t="n">
        <v>90</v>
      </c>
      <c r="Q311" s="2" t="n">
        <v>6.9</v>
      </c>
      <c r="R311" s="2" t="n">
        <v>83.09999999999999</v>
      </c>
      <c r="T311" s="2" t="n">
        <v>14.6</v>
      </c>
      <c r="U311" s="2" t="n">
        <v>53.8</v>
      </c>
      <c r="V311" s="2" t="n">
        <v>52.3</v>
      </c>
      <c r="W311" s="2" t="n">
        <v>1.5</v>
      </c>
      <c r="X311" s="2" t="inlineStr">
        <is>
          <t>NA</t>
        </is>
      </c>
      <c r="Y311" s="2" t="inlineStr">
        <is>
          <t>NA</t>
        </is>
      </c>
      <c r="Z311" s="2" t="n">
        <v>48.6</v>
      </c>
      <c r="AA311" s="2" t="n">
        <v>34</v>
      </c>
      <c r="AB311" s="2" t="n">
        <v>14.6</v>
      </c>
      <c r="AC311" s="2" t="inlineStr">
        <is>
          <t>NA</t>
        </is>
      </c>
      <c r="AD311" s="2" t="inlineStr">
        <is>
          <t>NA</t>
        </is>
      </c>
      <c r="AF311" s="2" t="n">
        <v>158.8</v>
      </c>
      <c r="AG311" s="2" t="n">
        <v>141.9</v>
      </c>
      <c r="AH311" s="2" t="n">
        <v>16.9</v>
      </c>
      <c r="AI311" s="2" t="n">
        <v>211.6</v>
      </c>
      <c r="AL311" s="2" t="n">
        <v>99.5</v>
      </c>
      <c r="AM311" s="2" t="n">
        <v>67.90000000000001</v>
      </c>
      <c r="AN311" s="2" t="n">
        <v>31.6</v>
      </c>
      <c r="AO311" s="2" t="n">
        <v>2937.8</v>
      </c>
      <c r="AP311" s="2" t="n">
        <v>206.6</v>
      </c>
      <c r="AQ311" s="2" t="n">
        <v>222.8</v>
      </c>
      <c r="AR311" s="2" t="n">
        <v>38.2</v>
      </c>
      <c r="AS311" s="2" t="n">
        <v>121</v>
      </c>
      <c r="AT311" s="2" t="n">
        <v>71.2</v>
      </c>
      <c r="AU311" s="2" t="n">
        <v>76</v>
      </c>
      <c r="AV311" s="2" t="n">
        <v>36.5</v>
      </c>
      <c r="AW311" s="2" t="n">
        <v>9.300000000000001</v>
      </c>
      <c r="AX311" s="2" t="n">
        <v>1.9</v>
      </c>
      <c r="AY311" s="2" t="inlineStr">
        <is>
          <t>NA</t>
        </is>
      </c>
      <c r="AZ311" s="2" t="inlineStr">
        <is>
          <t>NA</t>
        </is>
      </c>
      <c r="BA311" s="2" t="inlineStr">
        <is>
          <t>NA</t>
        </is>
      </c>
      <c r="BB311" s="2" t="inlineStr">
        <is>
          <t>NA</t>
        </is>
      </c>
      <c r="BD311" s="2" t="n">
        <v>161.7</v>
      </c>
      <c r="BE311" s="2" t="n">
        <v>34.6</v>
      </c>
      <c r="BF311" s="2" t="n">
        <v>77.09999999999999</v>
      </c>
      <c r="BG311" s="2" t="n">
        <v>7.5</v>
      </c>
      <c r="BH311" s="2" t="n">
        <v>334</v>
      </c>
      <c r="BI311" s="2" t="n">
        <v>124</v>
      </c>
      <c r="BJ311" s="2" t="n">
        <v>108</v>
      </c>
      <c r="BK311" s="2" t="n">
        <v>232</v>
      </c>
      <c r="BL311" s="2" t="n">
        <v>0</v>
      </c>
      <c r="BM311" s="2" t="n">
        <v>566</v>
      </c>
      <c r="BN311" s="2" t="n">
        <v>160.6</v>
      </c>
      <c r="BO311" s="2" t="n">
        <v>65.8</v>
      </c>
      <c r="BP311" s="2" t="n">
        <v>33.5</v>
      </c>
      <c r="BQ311" s="2" t="n">
        <v>99.3</v>
      </c>
      <c r="BR311" s="2" t="n">
        <v>0</v>
      </c>
      <c r="BS311" s="2" t="n">
        <v>259.9</v>
      </c>
      <c r="BT311" s="2" t="n">
        <v>21.3</v>
      </c>
      <c r="BU311" s="2" t="n">
        <v>11.8</v>
      </c>
      <c r="BV311" s="2" t="inlineStr">
        <is>
          <t>NA</t>
        </is>
      </c>
      <c r="BW311" s="2" t="inlineStr">
        <is>
          <t>NA</t>
        </is>
      </c>
      <c r="BX311" s="2" t="n">
        <v>400.1</v>
      </c>
      <c r="BY311" s="2" t="inlineStr">
        <is>
          <t>NA</t>
        </is>
      </c>
      <c r="BZ311" s="2" t="inlineStr">
        <is>
          <t>NA</t>
        </is>
      </c>
      <c r="CA311" s="2" t="n">
        <v>42.6</v>
      </c>
      <c r="CB311" s="2" t="n">
        <v>103.3</v>
      </c>
      <c r="CC311" s="2" t="inlineStr">
        <is>
          <t>NA</t>
        </is>
      </c>
      <c r="CD311" s="2" t="n">
        <v>109.1</v>
      </c>
      <c r="CE311" s="2" t="n">
        <v>10.6</v>
      </c>
      <c r="CF311" s="2" t="n">
        <v>105.8</v>
      </c>
      <c r="CG311" s="2" t="n">
        <v>126.1</v>
      </c>
      <c r="CH311" s="2" t="n">
        <v>5.2</v>
      </c>
      <c r="CI311" s="2" t="n">
        <v>31.1</v>
      </c>
      <c r="CJ311" s="2" t="n">
        <v>8.300000000000001</v>
      </c>
      <c r="CK311" s="2" t="n">
        <v>150.1</v>
      </c>
      <c r="CL311" s="2" t="n">
        <v>15.3</v>
      </c>
      <c r="CN311" s="2" t="n">
        <v>52.6</v>
      </c>
      <c r="CO311" s="2" t="n">
        <v>263.5</v>
      </c>
      <c r="CP311" s="2" t="n">
        <v>175.4</v>
      </c>
      <c r="CQ311" s="2" t="n">
        <v>88.09999999999999</v>
      </c>
      <c r="CR311" s="2" t="inlineStr">
        <is>
          <t>NA</t>
        </is>
      </c>
      <c r="CS311" s="2" t="n">
        <v>36.8</v>
      </c>
      <c r="CT311" s="2" t="n">
        <v>26.5</v>
      </c>
      <c r="CU311" s="2" t="n">
        <v>10.3</v>
      </c>
      <c r="CV311" s="2" t="n">
        <v>125.7</v>
      </c>
      <c r="CW311" s="2" t="inlineStr">
        <is>
          <t>NA</t>
        </is>
      </c>
      <c r="CX311" s="2" t="inlineStr">
        <is>
          <t>NA</t>
        </is>
      </c>
      <c r="CY311" s="2" t="inlineStr">
        <is>
          <t>NA</t>
        </is>
      </c>
      <c r="CZ311" s="2" t="n">
        <v>49.2</v>
      </c>
      <c r="DA311" s="2" t="n">
        <v>12.3</v>
      </c>
      <c r="DB311" s="2" t="inlineStr">
        <is>
          <t>NA</t>
        </is>
      </c>
      <c r="DC311" s="2" t="inlineStr">
        <is>
          <t>NA</t>
        </is>
      </c>
      <c r="DI311" s="2" t="n">
        <v>447.1</v>
      </c>
      <c r="DJ311" s="2" t="n">
        <v>400.8</v>
      </c>
      <c r="DM311" s="2" t="n">
        <v>441.1</v>
      </c>
      <c r="DO311" s="2" t="n">
        <v>164.7</v>
      </c>
      <c r="DP311" s="2" t="n">
        <v>244.7</v>
      </c>
      <c r="DS311" s="2" t="n">
        <v>2301.218</v>
      </c>
      <c r="DT311" s="2" t="n">
        <v>3959.6</v>
      </c>
      <c r="DU311" s="2" t="n">
        <v>40.01800000000003</v>
      </c>
      <c r="DV311" s="2" t="n">
        <v>0</v>
      </c>
      <c r="EA311" s="2" t="n">
        <v>374.7</v>
      </c>
      <c r="EB311" s="2" t="n">
        <v>154.2</v>
      </c>
      <c r="EE311" s="2" t="n">
        <v>133.5</v>
      </c>
      <c r="EG311" s="2" t="n">
        <v>58.5</v>
      </c>
      <c r="EH311" s="2" t="n">
        <v>186.4</v>
      </c>
      <c r="EK311" s="2" t="n">
        <v>980.777</v>
      </c>
      <c r="EL311" s="2" t="n">
        <v>1982</v>
      </c>
      <c r="EQ311" s="2" t="n">
        <v>170.8</v>
      </c>
      <c r="ER311" s="2" t="n">
        <v>153.2</v>
      </c>
      <c r="EU311" s="2" t="n">
        <v>164.4</v>
      </c>
      <c r="EW311" s="2" t="n">
        <v>63</v>
      </c>
      <c r="EX311" s="2" t="n">
        <v>89.7</v>
      </c>
      <c r="FA311" s="2" t="n">
        <v>869.696</v>
      </c>
      <c r="FB311" s="2" t="n">
        <v>1497.3</v>
      </c>
      <c r="FG311" s="2" t="n">
        <v>353.5</v>
      </c>
      <c r="FH311" s="2" t="n">
        <v>327.3</v>
      </c>
      <c r="FK311" s="2" t="n">
        <v>356.3</v>
      </c>
      <c r="FM311" s="2" t="n">
        <v>131</v>
      </c>
      <c r="FN311" s="2" t="n">
        <v>198.8</v>
      </c>
      <c r="FQ311" s="2" t="n">
        <v>1835.344</v>
      </c>
      <c r="FR311" s="2" t="n">
        <v>3168</v>
      </c>
      <c r="FW311" s="2" t="n">
        <v>178.1</v>
      </c>
      <c r="FX311" s="2" t="n">
        <v>139.2</v>
      </c>
      <c r="GA311" s="2" t="n">
        <v>87.40000000000001</v>
      </c>
      <c r="GC311" s="2" t="n">
        <v>63.8</v>
      </c>
      <c r="GD311" s="2" t="e">
        <v>#VALUE!</v>
      </c>
      <c r="GG311" s="2" t="n">
        <v>488.874</v>
      </c>
      <c r="GH311" s="2" t="n">
        <v>983.9</v>
      </c>
      <c r="GM311" s="2" t="n">
        <v>37.8</v>
      </c>
      <c r="GN311" s="2" t="n">
        <v>41.9</v>
      </c>
      <c r="GQ311" s="2" t="n">
        <v>27.5</v>
      </c>
      <c r="GS311" s="2" t="e">
        <v>#VALUE!</v>
      </c>
      <c r="GT311" s="2" t="e">
        <v>#VALUE!</v>
      </c>
      <c r="GW311" s="2" t="n">
        <v>128.412</v>
      </c>
      <c r="GX311" s="2" t="n">
        <v>244.8</v>
      </c>
      <c r="GY311" s="2" t="n">
        <v>0.9776281158074006</v>
      </c>
      <c r="GZ311" s="2" t="n">
        <v>1262.9</v>
      </c>
      <c r="HA311" s="2" t="n">
        <v>1291.8</v>
      </c>
      <c r="HB311" s="2" t="n">
        <v>8.100312755199639</v>
      </c>
      <c r="HC311" s="2" t="n">
        <v>144.0766567610003</v>
      </c>
      <c r="HD311" s="2" t="n">
        <v>1481.5003127552</v>
      </c>
      <c r="HE311" s="2" t="n">
        <v>37.30000000000018</v>
      </c>
      <c r="HF311" s="2" t="n">
        <v>1473.4</v>
      </c>
      <c r="HG311" s="2" t="n">
        <v>1412</v>
      </c>
      <c r="HH311" s="2" t="n">
        <v>658.2</v>
      </c>
      <c r="HI311" s="2" t="n">
        <v>67.40000000000001</v>
      </c>
      <c r="HJ311" s="2" t="n">
        <v>678.2</v>
      </c>
      <c r="HK311" s="2" t="n">
        <v>8.199999999999999</v>
      </c>
      <c r="HL311" s="2" t="n">
        <v>61.5</v>
      </c>
      <c r="HP311" s="2" t="e">
        <v>#VALUE!</v>
      </c>
      <c r="HQ311" s="2" t="n">
        <v>6.5</v>
      </c>
      <c r="HR311" s="2" t="n">
        <v>8.9</v>
      </c>
      <c r="HS311" s="2" t="e">
        <v>#VALUE!</v>
      </c>
      <c r="HT311" s="2" t="n">
        <v>38.2</v>
      </c>
      <c r="HW311" s="2" t="n">
        <v>333.1</v>
      </c>
      <c r="HX311" s="2" t="e">
        <v>#VALUE!</v>
      </c>
      <c r="HY311" s="2" t="n">
        <v>333.1</v>
      </c>
      <c r="HZ311" s="2" t="n">
        <v>57.6</v>
      </c>
      <c r="IA311" s="2" t="n">
        <v>233.8</v>
      </c>
      <c r="IB311" s="2" t="n">
        <v>93.90000000000001</v>
      </c>
      <c r="IC311" s="2" t="n">
        <v>139.8</v>
      </c>
      <c r="ID311" s="2" t="n">
        <v>83.5</v>
      </c>
      <c r="IE311" s="2" t="n">
        <v>56.3</v>
      </c>
      <c r="IF311" s="2" t="n">
        <v>26.8</v>
      </c>
      <c r="IG311" s="2" t="e">
        <v>#VALUE!</v>
      </c>
      <c r="IL311" s="2" t="n">
        <v>41.69999999999999</v>
      </c>
      <c r="IN311" s="2" t="n">
        <v>64.59999999999999</v>
      </c>
      <c r="IO311" s="2" t="n">
        <v>64.7</v>
      </c>
      <c r="IP311" s="2" t="e">
        <v>#VALUE!</v>
      </c>
      <c r="IQ311" s="2" t="n">
        <v>49.3</v>
      </c>
      <c r="IR311" s="2" t="n">
        <v>17.1</v>
      </c>
      <c r="IS311" s="2" t="e">
        <v>#VALUE!</v>
      </c>
      <c r="IT311" s="2" t="n">
        <v>30.7</v>
      </c>
      <c r="IU311" s="2" t="e">
        <v>#VALUE!</v>
      </c>
      <c r="IV311" s="2" t="e">
        <v>#VALUE!</v>
      </c>
      <c r="IY311" s="2" t="n">
        <v>47.89271643600365</v>
      </c>
      <c r="IZ311" s="2" t="n">
        <v>0.222716436003644</v>
      </c>
      <c r="JB311" s="2" t="n">
        <v>11.34432770986968</v>
      </c>
      <c r="JC311" s="2" t="n">
        <v>-0.0656722901303155</v>
      </c>
      <c r="JE311" s="2" t="n">
        <v>1838.1</v>
      </c>
      <c r="JF311" s="2" t="n">
        <v>0.8508117077416897</v>
      </c>
    </row>
    <row r="312">
      <c r="A312" s="1" t="n">
        <v>38534</v>
      </c>
      <c r="B312" s="2" t="n">
        <v>4184.5</v>
      </c>
      <c r="C312" s="2" t="n">
        <v>1550.3</v>
      </c>
      <c r="D312" s="2" t="n">
        <v>221.6</v>
      </c>
      <c r="E312" s="2" t="n">
        <v>592.1</v>
      </c>
      <c r="F312" s="2" t="n">
        <v>10.9</v>
      </c>
      <c r="G312" s="2" t="inlineStr">
        <is>
          <t>NA</t>
        </is>
      </c>
      <c r="H312" s="2" t="inlineStr">
        <is>
          <t>NA</t>
        </is>
      </c>
      <c r="I312" s="2" t="inlineStr">
        <is>
          <t>NA</t>
        </is>
      </c>
      <c r="J312" s="2" t="inlineStr">
        <is>
          <t>NA</t>
        </is>
      </c>
      <c r="K312" s="2" t="n">
        <v>1586.7</v>
      </c>
      <c r="L312" s="2" t="n">
        <v>1988.9</v>
      </c>
      <c r="M312" s="2" t="n">
        <v>1716.5</v>
      </c>
      <c r="N312" s="2" t="n">
        <v>272.4</v>
      </c>
      <c r="O312" s="2" t="n">
        <v>69.5</v>
      </c>
      <c r="P312" s="2" t="n">
        <v>86.3</v>
      </c>
      <c r="Q312" s="2" t="n">
        <v>5.2</v>
      </c>
      <c r="R312" s="2" t="n">
        <v>81.09999999999999</v>
      </c>
      <c r="T312" s="2" t="n">
        <v>8.9</v>
      </c>
      <c r="U312" s="2" t="n">
        <v>60.3</v>
      </c>
      <c r="V312" s="2" t="n">
        <v>56.9</v>
      </c>
      <c r="W312" s="2" t="n">
        <v>3.4</v>
      </c>
      <c r="X312" s="2" t="inlineStr">
        <is>
          <t>NA</t>
        </is>
      </c>
      <c r="Y312" s="2" t="inlineStr">
        <is>
          <t>NA</t>
        </is>
      </c>
      <c r="Z312" s="2" t="n">
        <v>38.4</v>
      </c>
      <c r="AA312" s="2" t="inlineStr">
        <is>
          <t>NA</t>
        </is>
      </c>
      <c r="AB312" s="2" t="inlineStr">
        <is>
          <t>NA</t>
        </is>
      </c>
      <c r="AC312" s="2" t="inlineStr">
        <is>
          <t>NA</t>
        </is>
      </c>
      <c r="AD312" s="2" t="inlineStr">
        <is>
          <t>NA</t>
        </is>
      </c>
      <c r="AF312" s="2" t="n">
        <v>103.8</v>
      </c>
      <c r="AG312" s="2" t="n">
        <v>73.2</v>
      </c>
      <c r="AH312" s="2" t="n">
        <v>30.6</v>
      </c>
      <c r="AI312" s="2" t="n">
        <v>206.7</v>
      </c>
      <c r="AL312" s="2" t="n">
        <v>131.6</v>
      </c>
      <c r="AM312" s="2" t="n">
        <v>78.90000000000001</v>
      </c>
      <c r="AN312" s="2" t="n">
        <v>52.7</v>
      </c>
      <c r="AO312" s="2" t="n">
        <v>3091.1</v>
      </c>
      <c r="AP312" s="2" t="n">
        <v>325.6</v>
      </c>
      <c r="AQ312" s="2" t="n">
        <v>229.3</v>
      </c>
      <c r="AR312" s="2" t="n">
        <v>36.7</v>
      </c>
      <c r="AS312" s="2" t="n">
        <v>106.2</v>
      </c>
      <c r="AT312" s="2" t="n">
        <v>69.90000000000001</v>
      </c>
      <c r="AU312" s="2" t="n">
        <v>67.5</v>
      </c>
      <c r="AV312" s="2" t="n">
        <v>38.3</v>
      </c>
      <c r="AW312" s="2" t="n">
        <v>5.9</v>
      </c>
      <c r="AX312" s="2" t="n">
        <v>0.7</v>
      </c>
      <c r="AY312" s="2" t="inlineStr">
        <is>
          <t>NA</t>
        </is>
      </c>
      <c r="AZ312" s="2" t="inlineStr">
        <is>
          <t>NA</t>
        </is>
      </c>
      <c r="BA312" s="2" t="inlineStr">
        <is>
          <t>NA</t>
        </is>
      </c>
      <c r="BB312" s="2" t="inlineStr">
        <is>
          <t>NA</t>
        </is>
      </c>
      <c r="BD312" s="2" t="n">
        <v>147.6</v>
      </c>
      <c r="BE312" s="2" t="n">
        <v>25.8</v>
      </c>
      <c r="BF312" s="2" t="n">
        <v>71.7</v>
      </c>
      <c r="BG312" s="2" t="n">
        <v>7.2</v>
      </c>
      <c r="BH312" s="2" t="n">
        <v>308.3</v>
      </c>
      <c r="BI312" s="2" t="n">
        <v>120.7</v>
      </c>
      <c r="BJ312" s="2" t="n">
        <v>94.5</v>
      </c>
      <c r="BK312" s="2" t="n">
        <v>215.2</v>
      </c>
      <c r="BL312" s="2" t="n">
        <v>0</v>
      </c>
      <c r="BM312" s="2" t="n">
        <v>523.5</v>
      </c>
      <c r="BN312" s="2" t="n">
        <v>207.1</v>
      </c>
      <c r="BO312" s="2" t="n">
        <v>64.40000000000001</v>
      </c>
      <c r="BP312" s="2" t="n">
        <v>25.4</v>
      </c>
      <c r="BQ312" s="2" t="n">
        <v>89.80000000000001</v>
      </c>
      <c r="BR312" s="2" t="n">
        <v>0</v>
      </c>
      <c r="BS312" s="2" t="n">
        <v>296.9</v>
      </c>
      <c r="BT312" s="2" t="n">
        <v>18.3</v>
      </c>
      <c r="BU312" s="2" t="n">
        <v>13</v>
      </c>
      <c r="BV312" s="2" t="inlineStr">
        <is>
          <t>NA</t>
        </is>
      </c>
      <c r="BW312" s="2" t="inlineStr">
        <is>
          <t>NA</t>
        </is>
      </c>
      <c r="BX312" s="2" t="n">
        <v>386.3</v>
      </c>
      <c r="BY312" s="2" t="inlineStr">
        <is>
          <t>NA</t>
        </is>
      </c>
      <c r="BZ312" s="2" t="inlineStr">
        <is>
          <t>NA</t>
        </is>
      </c>
      <c r="CA312" s="2" t="n">
        <v>44.2</v>
      </c>
      <c r="CB312" s="2" t="n">
        <v>95.09999999999999</v>
      </c>
      <c r="CC312" s="2" t="inlineStr">
        <is>
          <t>NA</t>
        </is>
      </c>
      <c r="CD312" s="2" t="n">
        <v>103.5</v>
      </c>
      <c r="CE312" s="2" t="n">
        <v>12.9</v>
      </c>
      <c r="CF312" s="2" t="n">
        <v>104.8</v>
      </c>
      <c r="CG312" s="2" t="n">
        <v>121.7</v>
      </c>
      <c r="CH312" s="2" t="n">
        <v>4.4</v>
      </c>
      <c r="CI312" s="2" t="n">
        <v>60.7</v>
      </c>
      <c r="CJ312" s="2" t="n">
        <v>9.300000000000001</v>
      </c>
      <c r="CK312" s="2" t="n">
        <v>135.3</v>
      </c>
      <c r="CL312" s="2" t="n">
        <v>13.9</v>
      </c>
      <c r="CN312" s="2" t="n">
        <v>44.8</v>
      </c>
      <c r="CO312" s="2" t="n">
        <v>250.3</v>
      </c>
      <c r="CP312" s="2" t="n">
        <v>155.2</v>
      </c>
      <c r="CQ312" s="2" t="n">
        <v>95.09999999999999</v>
      </c>
      <c r="CR312" s="2" t="inlineStr">
        <is>
          <t>NA</t>
        </is>
      </c>
      <c r="CS312" s="2" t="n">
        <v>23.8</v>
      </c>
      <c r="CT312" s="2" t="n">
        <v>16.6</v>
      </c>
      <c r="CU312" s="2" t="n">
        <v>7.2</v>
      </c>
      <c r="CV312" s="2" t="n">
        <v>180.4</v>
      </c>
      <c r="CW312" s="2" t="inlineStr">
        <is>
          <t>NA</t>
        </is>
      </c>
      <c r="CX312" s="2" t="inlineStr">
        <is>
          <t>NA</t>
        </is>
      </c>
      <c r="CY312" s="2" t="inlineStr">
        <is>
          <t>NA</t>
        </is>
      </c>
      <c r="CZ312" s="2" t="n">
        <v>59.8</v>
      </c>
      <c r="DA312" s="2" t="n">
        <v>11</v>
      </c>
      <c r="DB312" s="2" t="inlineStr">
        <is>
          <t>NA</t>
        </is>
      </c>
      <c r="DC312" s="2" t="inlineStr">
        <is>
          <t>NA</t>
        </is>
      </c>
      <c r="DI312" s="2" t="n">
        <v>618</v>
      </c>
      <c r="DJ312" s="2" t="n">
        <v>373.9</v>
      </c>
      <c r="DM312" s="2" t="n">
        <v>437.6</v>
      </c>
      <c r="DO312" s="2" t="n">
        <v>160.7</v>
      </c>
      <c r="DP312" s="2" t="n">
        <v>311.9</v>
      </c>
      <c r="DS312" s="2" t="n">
        <v>2290.824</v>
      </c>
      <c r="DT312" s="2" t="n">
        <v>4184.5</v>
      </c>
      <c r="DU312" s="2" t="n">
        <v>8.423999999999978</v>
      </c>
      <c r="DV312" s="2" t="n">
        <v>0</v>
      </c>
      <c r="EA312" s="2" t="n">
        <v>317.1</v>
      </c>
      <c r="EB312" s="2" t="n">
        <v>156</v>
      </c>
      <c r="EE312" s="2" t="n">
        <v>125.4</v>
      </c>
      <c r="EG312" s="2" t="n">
        <v>48.6</v>
      </c>
      <c r="EH312" s="2" t="n">
        <v>62</v>
      </c>
      <c r="EK312" s="2" t="n">
        <v>816.0359999999999</v>
      </c>
      <c r="EL312" s="2" t="n">
        <v>1550.3</v>
      </c>
      <c r="EQ312" s="2" t="n">
        <v>240.5</v>
      </c>
      <c r="ER312" s="2" t="n">
        <v>142.7</v>
      </c>
      <c r="EU312" s="2" t="n">
        <v>165.7</v>
      </c>
      <c r="EW312" s="2" t="n">
        <v>61.7</v>
      </c>
      <c r="EX312" s="2" t="n">
        <v>112.8</v>
      </c>
      <c r="FA312" s="2" t="n">
        <v>864.6319999999999</v>
      </c>
      <c r="FB312" s="2" t="n">
        <v>1586.7</v>
      </c>
      <c r="FG312" s="2" t="n">
        <v>489</v>
      </c>
      <c r="FH312" s="2" t="n">
        <v>299.1</v>
      </c>
      <c r="FK312" s="2" t="n">
        <v>351</v>
      </c>
      <c r="FM312" s="2" t="n">
        <v>127.9</v>
      </c>
      <c r="FN312" s="2" t="n">
        <v>248.5</v>
      </c>
      <c r="FQ312" s="2" t="n">
        <v>1822.728</v>
      </c>
      <c r="FR312" s="2" t="n">
        <v>3328.4</v>
      </c>
      <c r="FW312" s="2" t="n">
        <v>230.5</v>
      </c>
      <c r="FX312" s="2" t="n">
        <v>112.7</v>
      </c>
      <c r="GA312" s="2" t="n">
        <v>82.2</v>
      </c>
      <c r="GC312" s="2" t="n">
        <v>66.2</v>
      </c>
      <c r="GD312" s="2" t="e">
        <v>#VALUE!</v>
      </c>
      <c r="GG312" s="2" t="n">
        <v>505.235</v>
      </c>
      <c r="GH312" s="2" t="n">
        <v>1017</v>
      </c>
      <c r="GM312" s="2" t="n">
        <v>49.4</v>
      </c>
      <c r="GN312" s="2" t="n">
        <v>57.6</v>
      </c>
      <c r="GQ312" s="2" t="n">
        <v>43.3</v>
      </c>
      <c r="GS312" s="2" t="e">
        <v>#VALUE!</v>
      </c>
      <c r="GT312" s="2" t="e">
        <v>#VALUE!</v>
      </c>
      <c r="GW312" s="2" t="n">
        <v>210.22</v>
      </c>
      <c r="GX312" s="2" t="n">
        <v>362.3</v>
      </c>
      <c r="GY312" s="2" t="n">
        <v>0.986845089589476</v>
      </c>
      <c r="GZ312" s="2" t="n">
        <v>1305.3</v>
      </c>
      <c r="HA312" s="2" t="n">
        <v>1322.7</v>
      </c>
      <c r="HB312" s="2" t="n">
        <v>-113.9311283897998</v>
      </c>
      <c r="HC312" s="2" t="n">
        <v>-57.42256249699926</v>
      </c>
      <c r="HD312" s="2" t="n">
        <v>1385.2688716102</v>
      </c>
      <c r="HE312" s="2" t="n">
        <v>58.5</v>
      </c>
      <c r="HF312" s="2" t="n">
        <v>1499.2</v>
      </c>
      <c r="HG312" s="2" t="n">
        <v>1440.7</v>
      </c>
      <c r="HH312" s="2" t="n">
        <v>677.8</v>
      </c>
      <c r="HI312" s="2" t="n">
        <v>58.7</v>
      </c>
      <c r="HJ312" s="2" t="n">
        <v>692.7</v>
      </c>
      <c r="HK312" s="2" t="n">
        <v>11.5</v>
      </c>
      <c r="HL312" s="2" t="n">
        <v>58.5</v>
      </c>
      <c r="HP312" s="2" t="e">
        <v>#VALUE!</v>
      </c>
      <c r="HQ312" s="2" t="n">
        <v>10</v>
      </c>
      <c r="HR312" s="2" t="n">
        <v>7.9</v>
      </c>
      <c r="HS312" s="2" t="e">
        <v>#VALUE!</v>
      </c>
      <c r="HT312" s="2" t="n">
        <v>33.1</v>
      </c>
      <c r="HW312" s="2" t="n">
        <v>312.1</v>
      </c>
      <c r="HX312" s="2" t="e">
        <v>#VALUE!</v>
      </c>
      <c r="HY312" s="2" t="n">
        <v>312.1</v>
      </c>
      <c r="HZ312" s="2" t="n">
        <v>39.9</v>
      </c>
      <c r="IA312" s="2" t="n">
        <v>234</v>
      </c>
      <c r="IB312" s="2" t="n">
        <v>95</v>
      </c>
      <c r="IC312" s="2" t="n">
        <v>139</v>
      </c>
      <c r="ID312" s="2" t="n">
        <v>81</v>
      </c>
      <c r="IE312" s="2" t="n">
        <v>58</v>
      </c>
      <c r="IF312" s="2" t="n">
        <v>26.5</v>
      </c>
      <c r="IG312" s="2" t="e">
        <v>#VALUE!</v>
      </c>
      <c r="IL312" s="2" t="n">
        <v>38.20000000000005</v>
      </c>
      <c r="IN312" s="2" t="n">
        <v>56.6</v>
      </c>
      <c r="IO312" s="2" t="n">
        <v>57</v>
      </c>
      <c r="IP312" s="2" t="e">
        <v>#VALUE!</v>
      </c>
      <c r="IQ312" s="2" t="n">
        <v>47.1</v>
      </c>
      <c r="IR312" s="2" t="n">
        <v>18.1</v>
      </c>
      <c r="IS312" s="2" t="e">
        <v>#VALUE!</v>
      </c>
      <c r="IT312" s="2" t="n">
        <v>27.6</v>
      </c>
      <c r="IU312" s="2" t="e">
        <v>#VALUE!</v>
      </c>
      <c r="IV312" s="2" t="e">
        <v>#VALUE!</v>
      </c>
      <c r="IY312" s="2" t="n">
        <v>47.60998924602701</v>
      </c>
      <c r="IZ312" s="2" t="n">
        <v>0.1099892460270127</v>
      </c>
      <c r="JB312" s="2" t="n">
        <v>11.37555263472339</v>
      </c>
      <c r="JC312" s="2" t="n">
        <v>-0.03444736527661441</v>
      </c>
      <c r="JE312" s="2" t="n">
        <v>1988.9</v>
      </c>
      <c r="JF312" s="2" t="n">
        <v>0.7923781990044748</v>
      </c>
    </row>
    <row r="313">
      <c r="A313" s="1" t="n">
        <v>38565</v>
      </c>
      <c r="B313" s="2" t="n">
        <v>3910.2</v>
      </c>
      <c r="C313" s="2" t="n">
        <v>1311.7</v>
      </c>
      <c r="D313" s="2" t="n">
        <v>240.7</v>
      </c>
      <c r="E313" s="2" t="n">
        <v>505.3</v>
      </c>
      <c r="F313" s="2" t="n">
        <v>16.9</v>
      </c>
      <c r="G313" s="2" t="inlineStr">
        <is>
          <t>NA</t>
        </is>
      </c>
      <c r="H313" s="2" t="inlineStr">
        <is>
          <t>NA</t>
        </is>
      </c>
      <c r="I313" s="2" t="inlineStr">
        <is>
          <t>NA</t>
        </is>
      </c>
      <c r="J313" s="2" t="inlineStr">
        <is>
          <t>NA</t>
        </is>
      </c>
      <c r="K313" s="2" t="n">
        <v>1484.4</v>
      </c>
      <c r="L313" s="2" t="n">
        <v>1727.1</v>
      </c>
      <c r="M313" s="2" t="n">
        <v>1526.1</v>
      </c>
      <c r="N313" s="2" t="n">
        <v>201</v>
      </c>
      <c r="O313" s="2" t="n">
        <v>84.3</v>
      </c>
      <c r="P313" s="2" t="n">
        <v>90.59999999999999</v>
      </c>
      <c r="Q313" s="2" t="n">
        <v>4.6</v>
      </c>
      <c r="R313" s="2" t="n">
        <v>86</v>
      </c>
      <c r="T313" s="2" t="n">
        <v>14.5</v>
      </c>
      <c r="U313" s="2" t="n">
        <v>40.8</v>
      </c>
      <c r="V313" s="2" t="n">
        <v>38.1</v>
      </c>
      <c r="W313" s="2" t="n">
        <v>2.7</v>
      </c>
      <c r="X313" s="2" t="inlineStr">
        <is>
          <t>NA</t>
        </is>
      </c>
      <c r="Y313" s="2" t="inlineStr">
        <is>
          <t>NA</t>
        </is>
      </c>
      <c r="Z313" s="2" t="n">
        <v>21.7</v>
      </c>
      <c r="AA313" s="2" t="inlineStr">
        <is>
          <t>NA</t>
        </is>
      </c>
      <c r="AB313" s="2" t="inlineStr">
        <is>
          <t>NA</t>
        </is>
      </c>
      <c r="AC313" s="2" t="inlineStr">
        <is>
          <t>NA</t>
        </is>
      </c>
      <c r="AD313" s="2" t="inlineStr">
        <is>
          <t>NA</t>
        </is>
      </c>
      <c r="AF313" s="2" t="n">
        <v>106.7</v>
      </c>
      <c r="AG313" s="2" t="n">
        <v>86.09999999999999</v>
      </c>
      <c r="AH313" s="2" t="n">
        <v>20.6</v>
      </c>
      <c r="AI313" s="2" t="n">
        <v>198.5</v>
      </c>
      <c r="AL313" s="2" t="n">
        <v>120.5</v>
      </c>
      <c r="AM313" s="2" t="n">
        <v>78.90000000000001</v>
      </c>
      <c r="AN313" s="2" t="n">
        <v>41.6</v>
      </c>
      <c r="AO313" s="2" t="n">
        <v>2894.7</v>
      </c>
      <c r="AP313" s="2" t="n">
        <v>210.7</v>
      </c>
      <c r="AQ313" s="2" t="n">
        <v>227.3</v>
      </c>
      <c r="AR313" s="2" t="n">
        <v>27.5</v>
      </c>
      <c r="AS313" s="2" t="n">
        <v>116.4</v>
      </c>
      <c r="AT313" s="2" t="n">
        <v>68.09999999999999</v>
      </c>
      <c r="AU313" s="2" t="n">
        <v>77.90000000000001</v>
      </c>
      <c r="AV313" s="2" t="n">
        <v>38.1</v>
      </c>
      <c r="AW313" s="2" t="n">
        <v>9.1</v>
      </c>
      <c r="AX313" s="2" t="n">
        <v>1.9</v>
      </c>
      <c r="AY313" s="2" t="inlineStr">
        <is>
          <t>NA</t>
        </is>
      </c>
      <c r="AZ313" s="2" t="inlineStr">
        <is>
          <t>NA</t>
        </is>
      </c>
      <c r="BA313" s="2" t="inlineStr">
        <is>
          <t>NA</t>
        </is>
      </c>
      <c r="BB313" s="2" t="inlineStr">
        <is>
          <t>NA</t>
        </is>
      </c>
      <c r="BD313" s="2" t="n">
        <v>168.6</v>
      </c>
      <c r="BE313" s="2" t="n">
        <v>21.2</v>
      </c>
      <c r="BF313" s="2" t="n">
        <v>78</v>
      </c>
      <c r="BG313" s="2" t="n">
        <v>7.8</v>
      </c>
      <c r="BH313" s="2" t="n">
        <v>358.4</v>
      </c>
      <c r="BI313" s="2" t="n">
        <v>129.8</v>
      </c>
      <c r="BJ313" s="2" t="n">
        <v>94.5</v>
      </c>
      <c r="BK313" s="2" t="n">
        <v>224.3</v>
      </c>
      <c r="BL313" s="2" t="n">
        <v>0</v>
      </c>
      <c r="BM313" s="2" t="n">
        <v>582.7</v>
      </c>
      <c r="BN313" s="2" t="n">
        <v>183.2</v>
      </c>
      <c r="BO313" s="2" t="n">
        <v>73</v>
      </c>
      <c r="BP313" s="2" t="n">
        <v>33.6</v>
      </c>
      <c r="BQ313" s="2" t="n">
        <v>106.6</v>
      </c>
      <c r="BR313" s="2" t="n">
        <v>0</v>
      </c>
      <c r="BS313" s="2" t="n">
        <v>289.8</v>
      </c>
      <c r="BT313" s="2" t="n">
        <v>19.2</v>
      </c>
      <c r="BU313" s="2" t="n">
        <v>12.2</v>
      </c>
      <c r="BV313" s="2" t="inlineStr">
        <is>
          <t>NA</t>
        </is>
      </c>
      <c r="BW313" s="2" t="inlineStr">
        <is>
          <t>NA</t>
        </is>
      </c>
      <c r="BX313" s="2" t="n">
        <v>442.6</v>
      </c>
      <c r="BY313" s="2" t="inlineStr">
        <is>
          <t>NA</t>
        </is>
      </c>
      <c r="BZ313" s="2" t="inlineStr">
        <is>
          <t>NA</t>
        </is>
      </c>
      <c r="CA313" s="2" t="n">
        <v>48.7</v>
      </c>
      <c r="CB313" s="2" t="n">
        <v>103.5</v>
      </c>
      <c r="CC313" s="2" t="inlineStr">
        <is>
          <t>NA</t>
        </is>
      </c>
      <c r="CD313" s="2" t="n">
        <v>105.3</v>
      </c>
      <c r="CE313" s="2" t="n">
        <v>13.1</v>
      </c>
      <c r="CF313" s="2" t="n">
        <v>104.9</v>
      </c>
      <c r="CG313" s="2" t="n">
        <v>123.6</v>
      </c>
      <c r="CH313" s="2" t="n">
        <v>5.3</v>
      </c>
      <c r="CI313" s="2" t="n">
        <v>36.1</v>
      </c>
      <c r="CJ313" s="2" t="n">
        <v>7.3</v>
      </c>
      <c r="CK313" s="2" t="n">
        <v>156.6</v>
      </c>
      <c r="CL313" s="2" t="n">
        <v>14.6</v>
      </c>
      <c r="CN313" s="2" t="n">
        <v>56.2</v>
      </c>
      <c r="CO313" s="2" t="n">
        <v>253.8</v>
      </c>
      <c r="CP313" s="2" t="n">
        <v>177.7</v>
      </c>
      <c r="CQ313" s="2" t="n">
        <v>76.09999999999999</v>
      </c>
      <c r="CR313" s="2" t="inlineStr">
        <is>
          <t>NA</t>
        </is>
      </c>
      <c r="CS313" s="2" t="n">
        <v>12.9</v>
      </c>
      <c r="CT313" s="2" t="n">
        <v>4.1</v>
      </c>
      <c r="CU313" s="2" t="n">
        <v>8.800000000000001</v>
      </c>
      <c r="CV313" s="2" t="n">
        <v>172.6</v>
      </c>
      <c r="CW313" s="2" t="inlineStr">
        <is>
          <t>NA</t>
        </is>
      </c>
      <c r="CX313" s="2" t="inlineStr">
        <is>
          <t>NA</t>
        </is>
      </c>
      <c r="CY313" s="2" t="inlineStr">
        <is>
          <t>NA</t>
        </is>
      </c>
      <c r="CZ313" s="2" t="n">
        <v>58</v>
      </c>
      <c r="DA313" s="2" t="n">
        <v>10.5</v>
      </c>
      <c r="DB313" s="2" t="inlineStr">
        <is>
          <t>NA</t>
        </is>
      </c>
      <c r="DC313" s="2" t="inlineStr">
        <is>
          <t>NA</t>
        </is>
      </c>
      <c r="DI313" s="2" t="n">
        <v>615.6</v>
      </c>
      <c r="DJ313" s="2" t="n">
        <v>328</v>
      </c>
      <c r="DM313" s="2" t="n">
        <v>483.4</v>
      </c>
      <c r="DO313" s="2" t="n">
        <v>183.5</v>
      </c>
      <c r="DP313" s="2" t="n">
        <v>272.319</v>
      </c>
      <c r="DS313" s="2" t="n">
        <v>2085.935</v>
      </c>
      <c r="DT313" s="2" t="n">
        <v>3910.2</v>
      </c>
      <c r="DU313" s="2" t="n">
        <v>58.55400000000009</v>
      </c>
      <c r="DV313" s="2" t="n">
        <v>0</v>
      </c>
      <c r="EA313" s="2" t="n">
        <v>309.3</v>
      </c>
      <c r="EB313" s="2" t="n">
        <v>65.09999999999999</v>
      </c>
      <c r="EE313" s="2" t="n">
        <v>89.7</v>
      </c>
      <c r="EG313" s="2" t="n">
        <v>51</v>
      </c>
      <c r="EH313" s="2" t="e">
        <v>#VALUE!</v>
      </c>
      <c r="EK313" s="2" t="n">
        <v>721.423</v>
      </c>
      <c r="EL313" s="2" t="n">
        <v>1311.7</v>
      </c>
      <c r="EQ313" s="2" t="n">
        <v>240.6</v>
      </c>
      <c r="ER313" s="2" t="n">
        <v>125.9</v>
      </c>
      <c r="EU313" s="2" t="n">
        <v>181.2</v>
      </c>
      <c r="EW313" s="2" t="n">
        <v>70.40000000000001</v>
      </c>
      <c r="EX313" s="2" t="n">
        <v>102.1</v>
      </c>
      <c r="FA313" s="2" t="n">
        <v>784.942</v>
      </c>
      <c r="FB313" s="2" t="n">
        <v>1484.4</v>
      </c>
      <c r="FG313" s="2" t="n">
        <v>490.5</v>
      </c>
      <c r="FH313" s="2" t="n">
        <v>265.3</v>
      </c>
      <c r="FK313" s="2" t="n">
        <v>387.6</v>
      </c>
      <c r="FM313" s="2" t="n">
        <v>145.7</v>
      </c>
      <c r="FN313" s="2" t="n">
        <v>225.3</v>
      </c>
      <c r="FQ313" s="2" t="n">
        <v>1663.643</v>
      </c>
      <c r="FR313" s="2" t="n">
        <v>3130.6</v>
      </c>
      <c r="FW313" s="2" t="n">
        <v>179.4</v>
      </c>
      <c r="FX313" s="2" t="n">
        <v>73.09999999999999</v>
      </c>
      <c r="GA313" s="2" t="n">
        <v>93.2</v>
      </c>
      <c r="GC313" s="2" t="n">
        <v>52.9</v>
      </c>
      <c r="GD313" s="2" t="e">
        <v>#VALUE!</v>
      </c>
      <c r="GG313" s="2" t="n">
        <v>436.915</v>
      </c>
      <c r="GH313" s="2" t="n">
        <v>833.1</v>
      </c>
      <c r="GM313" s="2" t="n">
        <v>36.4</v>
      </c>
      <c r="GN313" s="2" t="n">
        <v>23.5</v>
      </c>
      <c r="GQ313" s="2" t="n">
        <v>32</v>
      </c>
      <c r="GS313" s="2" t="n">
        <v>3.749</v>
      </c>
      <c r="GT313" s="2" t="e">
        <v>#VALUE!</v>
      </c>
      <c r="GW313" s="2" t="n">
        <v>148.068</v>
      </c>
      <c r="GX313" s="2" t="n">
        <v>238.3</v>
      </c>
      <c r="GY313" s="2" t="n">
        <v>0.97937009030174</v>
      </c>
      <c r="GZ313" s="2" t="n">
        <v>1334</v>
      </c>
      <c r="HA313" s="2" t="n">
        <v>1362.1</v>
      </c>
      <c r="HB313" s="2" t="n">
        <v>68.07799064000051</v>
      </c>
      <c r="HC313" s="2" t="n">
        <v>141.4524553744006</v>
      </c>
      <c r="HD313" s="2" t="n">
        <v>1609.777990640001</v>
      </c>
      <c r="HE313" s="2" t="n">
        <v>58.70000000000005</v>
      </c>
      <c r="HF313" s="2" t="n">
        <v>1541.7</v>
      </c>
      <c r="HG313" s="2" t="n">
        <v>1484.9</v>
      </c>
      <c r="HH313" s="2" t="n">
        <v>661.8</v>
      </c>
      <c r="HI313" s="2" t="n">
        <v>72</v>
      </c>
      <c r="HJ313" s="2" t="n">
        <v>739.1</v>
      </c>
      <c r="HK313" s="2" t="n">
        <v>12</v>
      </c>
      <c r="HL313" s="2" t="n">
        <v>56.7</v>
      </c>
      <c r="HP313" s="2" t="e">
        <v>#VALUE!</v>
      </c>
      <c r="HQ313" s="2" t="n">
        <v>9.199999999999999</v>
      </c>
      <c r="HR313" s="2" t="n">
        <v>5.7</v>
      </c>
      <c r="HS313" s="2" t="e">
        <v>#VALUE!</v>
      </c>
      <c r="HT313" s="2" t="n">
        <v>35.3</v>
      </c>
      <c r="HW313" s="2" t="n">
        <v>341.1</v>
      </c>
      <c r="HX313" s="2" t="e">
        <v>#VALUE!</v>
      </c>
      <c r="HY313" s="2" t="n">
        <v>341.1</v>
      </c>
      <c r="HZ313" s="2" t="n">
        <v>53.5</v>
      </c>
      <c r="IA313" s="2" t="n">
        <v>247.4</v>
      </c>
      <c r="IB313" s="2" t="n">
        <v>99.40000000000001</v>
      </c>
      <c r="IC313" s="2" t="n">
        <v>148</v>
      </c>
      <c r="ID313" s="2" t="n">
        <v>86.09999999999999</v>
      </c>
      <c r="IE313" s="2" t="n">
        <v>61.9</v>
      </c>
      <c r="IF313" s="2" t="n">
        <v>26.6</v>
      </c>
      <c r="IG313" s="2" t="e">
        <v>#VALUE!</v>
      </c>
      <c r="IL313" s="2" t="n">
        <v>40.20000000000002</v>
      </c>
      <c r="IN313" s="2" t="n">
        <v>71.2</v>
      </c>
      <c r="IO313" s="2" t="n">
        <v>71.8</v>
      </c>
      <c r="IP313" s="2" t="e">
        <v>#VALUE!</v>
      </c>
      <c r="IQ313" s="2" t="n">
        <v>50.8</v>
      </c>
      <c r="IR313" s="2" t="n">
        <v>17.8</v>
      </c>
      <c r="IS313" s="2" t="e">
        <v>#VALUE!</v>
      </c>
      <c r="IT313" s="2" t="n">
        <v>31.6</v>
      </c>
      <c r="IU313" s="2" t="e">
        <v>#VALUE!</v>
      </c>
      <c r="IV313" s="2" t="e">
        <v>#VALUE!</v>
      </c>
      <c r="IY313" s="2" t="n">
        <v>47.90547798066595</v>
      </c>
      <c r="IZ313" s="2" t="n">
        <v>0.1654779806659477</v>
      </c>
      <c r="JB313" s="2" t="n">
        <v>11.3886757710603</v>
      </c>
      <c r="JC313" s="2" t="n">
        <v>-0.0513242289396949</v>
      </c>
      <c r="JE313" s="2" t="n">
        <v>1727.1</v>
      </c>
      <c r="JF313" s="2" t="n">
        <v>0.8176671877714088</v>
      </c>
    </row>
    <row r="314">
      <c r="A314" s="1" t="n">
        <v>38596</v>
      </c>
      <c r="B314" s="2" t="n">
        <v>3994.9</v>
      </c>
      <c r="C314" s="2" t="n">
        <v>1985</v>
      </c>
      <c r="D314" s="2" t="n">
        <v>170.3</v>
      </c>
      <c r="E314" s="2" t="n">
        <v>578.2</v>
      </c>
      <c r="F314" s="2" t="n">
        <v>11.8</v>
      </c>
      <c r="G314" s="2" t="inlineStr">
        <is>
          <t>NA</t>
        </is>
      </c>
      <c r="H314" s="2" t="inlineStr">
        <is>
          <t>NA</t>
        </is>
      </c>
      <c r="I314" s="2" t="inlineStr">
        <is>
          <t>NA</t>
        </is>
      </c>
      <c r="J314" s="2" t="inlineStr">
        <is>
          <t>NA</t>
        </is>
      </c>
      <c r="K314" s="2" t="n">
        <v>1531.1</v>
      </c>
      <c r="L314" s="2" t="n">
        <v>1699.1</v>
      </c>
      <c r="M314" s="2" t="n">
        <v>1506.8</v>
      </c>
      <c r="N314" s="2" t="n">
        <v>192.3</v>
      </c>
      <c r="O314" s="2" t="n">
        <v>62.6</v>
      </c>
      <c r="P314" s="2" t="n">
        <v>76.3</v>
      </c>
      <c r="Q314" s="2" t="n">
        <v>3.3</v>
      </c>
      <c r="R314" s="2" t="n">
        <v>73</v>
      </c>
      <c r="T314" s="2" t="n">
        <v>11.3</v>
      </c>
      <c r="U314" s="2" t="n">
        <v>38.4</v>
      </c>
      <c r="V314" s="2" t="n">
        <v>35.4</v>
      </c>
      <c r="W314" s="2" t="n">
        <v>3</v>
      </c>
      <c r="X314" s="2" t="inlineStr">
        <is>
          <t>NA</t>
        </is>
      </c>
      <c r="Y314" s="2" t="inlineStr">
        <is>
          <t>NA</t>
        </is>
      </c>
      <c r="Z314" s="2" t="n">
        <v>22.3</v>
      </c>
      <c r="AA314" s="2" t="inlineStr">
        <is>
          <t>NA</t>
        </is>
      </c>
      <c r="AB314" s="2" t="inlineStr">
        <is>
          <t>NA</t>
        </is>
      </c>
      <c r="AC314" s="2" t="inlineStr">
        <is>
          <t>NA</t>
        </is>
      </c>
      <c r="AD314" s="2" t="inlineStr">
        <is>
          <t>NA</t>
        </is>
      </c>
      <c r="AF314" s="2" t="n">
        <v>128</v>
      </c>
      <c r="AG314" s="2" t="n">
        <v>104</v>
      </c>
      <c r="AH314" s="2" t="n">
        <v>24</v>
      </c>
      <c r="AI314" s="2" t="n">
        <v>189</v>
      </c>
      <c r="AL314" s="2" t="n">
        <v>155.5</v>
      </c>
      <c r="AM314" s="2" t="n">
        <v>79.8</v>
      </c>
      <c r="AN314" s="2" t="n">
        <v>75.7</v>
      </c>
      <c r="AO314" s="2" t="n">
        <v>2936.2</v>
      </c>
      <c r="AP314" s="2" t="n">
        <v>147.5</v>
      </c>
      <c r="AQ314" s="2" t="n">
        <v>220.8</v>
      </c>
      <c r="AR314" s="2" t="n">
        <v>24.3</v>
      </c>
      <c r="AS314" s="2" t="n">
        <v>91.09999999999999</v>
      </c>
      <c r="AT314" s="2" t="n">
        <v>52.6</v>
      </c>
      <c r="AU314" s="2" t="n">
        <v>62.4</v>
      </c>
      <c r="AV314" s="2" t="n">
        <v>27.7</v>
      </c>
      <c r="AW314" s="2" t="n">
        <v>6.8</v>
      </c>
      <c r="AX314" s="2" t="n">
        <v>1</v>
      </c>
      <c r="AY314" s="2" t="inlineStr">
        <is>
          <t>NA</t>
        </is>
      </c>
      <c r="AZ314" s="2" t="inlineStr">
        <is>
          <t>NA</t>
        </is>
      </c>
      <c r="BA314" s="2" t="inlineStr">
        <is>
          <t>NA</t>
        </is>
      </c>
      <c r="BB314" s="2" t="inlineStr">
        <is>
          <t>NA</t>
        </is>
      </c>
      <c r="BD314" s="2" t="n">
        <v>154.9</v>
      </c>
      <c r="BE314" s="2" t="n">
        <v>22.1</v>
      </c>
      <c r="BF314" s="2" t="n">
        <v>72.7</v>
      </c>
      <c r="BG314" s="2" t="n">
        <v>9.5</v>
      </c>
      <c r="BH314" s="2" t="n">
        <v>344.4</v>
      </c>
      <c r="BI314" s="2" t="n">
        <v>126.3</v>
      </c>
      <c r="BJ314" s="2" t="n">
        <v>117.4</v>
      </c>
      <c r="BK314" s="2" t="n">
        <v>243.7</v>
      </c>
      <c r="BL314" s="2" t="n">
        <v>0</v>
      </c>
      <c r="BM314" s="2" t="n">
        <v>588.0999999999999</v>
      </c>
      <c r="BN314" s="2" t="n">
        <v>205.7</v>
      </c>
      <c r="BO314" s="2" t="n">
        <v>53.7</v>
      </c>
      <c r="BP314" s="2" t="n">
        <v>27.8</v>
      </c>
      <c r="BQ314" s="2" t="n">
        <v>81.5</v>
      </c>
      <c r="BR314" s="2" t="n">
        <v>0</v>
      </c>
      <c r="BS314" s="2" t="n">
        <v>287.2</v>
      </c>
      <c r="BT314" s="2" t="n">
        <v>21</v>
      </c>
      <c r="BU314" s="2" t="n">
        <v>12.8</v>
      </c>
      <c r="BV314" s="2" t="inlineStr">
        <is>
          <t>NA</t>
        </is>
      </c>
      <c r="BW314" s="2" t="inlineStr">
        <is>
          <t>NA</t>
        </is>
      </c>
      <c r="BX314" s="2" t="n">
        <v>434.9</v>
      </c>
      <c r="BY314" s="2" t="inlineStr">
        <is>
          <t>NA</t>
        </is>
      </c>
      <c r="BZ314" s="2" t="inlineStr">
        <is>
          <t>NA</t>
        </is>
      </c>
      <c r="CA314" s="2" t="n">
        <v>52.6</v>
      </c>
      <c r="CB314" s="2" t="n">
        <v>100.3</v>
      </c>
      <c r="CC314" s="2" t="inlineStr">
        <is>
          <t>NA</t>
        </is>
      </c>
      <c r="CD314" s="2" t="n">
        <v>105.5</v>
      </c>
      <c r="CE314" s="2" t="n">
        <v>17.7</v>
      </c>
      <c r="CF314" s="2" t="n">
        <v>102.5</v>
      </c>
      <c r="CG314" s="2" t="n">
        <v>107.2</v>
      </c>
      <c r="CH314" s="2" t="n">
        <v>5</v>
      </c>
      <c r="CI314" s="2" t="n">
        <v>36.8</v>
      </c>
      <c r="CJ314" s="2" t="n">
        <v>15.5</v>
      </c>
      <c r="CK314" s="2" t="n">
        <v>147.6</v>
      </c>
      <c r="CL314" s="2" t="n">
        <v>14.6</v>
      </c>
      <c r="CN314" s="2" t="n">
        <v>50.3</v>
      </c>
      <c r="CO314" s="2" t="n">
        <v>242.2</v>
      </c>
      <c r="CP314" s="2" t="n">
        <v>172.4</v>
      </c>
      <c r="CQ314" s="2" t="n">
        <v>69.8</v>
      </c>
      <c r="CR314" s="2" t="inlineStr">
        <is>
          <t>NA</t>
        </is>
      </c>
      <c r="CS314" s="2" t="n">
        <v>31.8</v>
      </c>
      <c r="CT314" s="2" t="n">
        <v>18.5</v>
      </c>
      <c r="CU314" s="2" t="n">
        <v>13.3</v>
      </c>
      <c r="CV314" s="2" t="n">
        <v>168.5</v>
      </c>
      <c r="CW314" s="2" t="inlineStr">
        <is>
          <t>NA</t>
        </is>
      </c>
      <c r="CX314" s="2" t="inlineStr">
        <is>
          <t>NA</t>
        </is>
      </c>
      <c r="CY314" s="2" t="inlineStr">
        <is>
          <t>NA</t>
        </is>
      </c>
      <c r="CZ314" s="2" t="n">
        <v>81.40000000000001</v>
      </c>
      <c r="DA314" s="2" t="n">
        <v>10.7</v>
      </c>
      <c r="DB314" s="2" t="inlineStr">
        <is>
          <t>NA</t>
        </is>
      </c>
      <c r="DC314" s="2" t="inlineStr">
        <is>
          <t>NA</t>
        </is>
      </c>
      <c r="DI314" s="2" t="n">
        <v>623.6</v>
      </c>
      <c r="DJ314" s="2" t="n">
        <v>367.8</v>
      </c>
      <c r="DM314" s="2" t="n">
        <v>441.1</v>
      </c>
      <c r="DO314" s="2" t="n">
        <v>137.4</v>
      </c>
      <c r="DP314" s="2" t="n">
        <v>282.1</v>
      </c>
      <c r="DS314" s="2" t="n">
        <v>2184.424</v>
      </c>
      <c r="DT314" s="2" t="n">
        <v>3994.9</v>
      </c>
      <c r="DU314" s="2" t="n">
        <v>41.52399999999989</v>
      </c>
      <c r="DV314" s="2" t="n">
        <v>0</v>
      </c>
      <c r="EA314" s="2" t="n">
        <v>379.2</v>
      </c>
      <c r="EB314" s="2" t="n">
        <v>126.8</v>
      </c>
      <c r="EE314" s="2" t="n">
        <v>160.3</v>
      </c>
      <c r="EG314" s="2" t="n">
        <v>46.4</v>
      </c>
      <c r="EH314" s="2" t="e">
        <v>#VALUE!</v>
      </c>
      <c r="EK314" s="2" t="n">
        <v>1183.823</v>
      </c>
      <c r="EL314" s="2" t="n">
        <v>1985</v>
      </c>
      <c r="EQ314" s="2" t="n">
        <v>241.5</v>
      </c>
      <c r="ER314" s="2" t="n">
        <v>140</v>
      </c>
      <c r="EU314" s="2" t="n">
        <v>165.2</v>
      </c>
      <c r="EW314" s="2" t="n">
        <v>52.7</v>
      </c>
      <c r="EX314" s="2" t="n">
        <v>107.5</v>
      </c>
      <c r="FA314" s="2" t="n">
        <v>835.914</v>
      </c>
      <c r="FB314" s="2" t="n">
        <v>1531.1</v>
      </c>
      <c r="FG314" s="2" t="n">
        <v>490.3</v>
      </c>
      <c r="FH314" s="2" t="n">
        <v>293</v>
      </c>
      <c r="FK314" s="2" t="n">
        <v>353.2</v>
      </c>
      <c r="FM314" s="2" t="n">
        <v>109.2</v>
      </c>
      <c r="FN314" s="2" t="n">
        <v>227.5</v>
      </c>
      <c r="FQ314" s="2" t="n">
        <v>1725.973</v>
      </c>
      <c r="FR314" s="2" t="n">
        <v>3164.9</v>
      </c>
      <c r="FW314" s="2" t="n">
        <v>166.2</v>
      </c>
      <c r="FX314" s="2" t="n">
        <v>82.8</v>
      </c>
      <c r="GA314" s="2" t="n">
        <v>96.2</v>
      </c>
      <c r="GC314" s="2" t="n">
        <v>51.8</v>
      </c>
      <c r="GD314" s="2" t="e">
        <v>#VALUE!</v>
      </c>
      <c r="GG314" s="2" t="n">
        <v>409.952</v>
      </c>
      <c r="GH314" s="2" t="n">
        <v>804</v>
      </c>
      <c r="GM314" s="2" t="n">
        <v>27.8</v>
      </c>
      <c r="GN314" s="2" t="n">
        <v>15.3</v>
      </c>
      <c r="GQ314" s="2" t="n">
        <v>26.1</v>
      </c>
      <c r="GS314" s="2" t="e">
        <v>#VALUE!</v>
      </c>
      <c r="GT314" s="2" t="e">
        <v>#VALUE!</v>
      </c>
      <c r="GW314" s="2" t="n">
        <v>98.822</v>
      </c>
      <c r="GX314" s="2" t="n">
        <v>171.7</v>
      </c>
      <c r="GY314" s="2" t="n">
        <v>0.9785782407747049</v>
      </c>
      <c r="GZ314" s="2" t="n">
        <v>1333.9</v>
      </c>
      <c r="HA314" s="2" t="n">
        <v>1363.1</v>
      </c>
      <c r="HB314" s="2" t="n">
        <v>-8.841517738999983</v>
      </c>
      <c r="HC314" s="2" t="n">
        <v>82.92930117100036</v>
      </c>
      <c r="HD314" s="2" t="n">
        <v>1493.458482261</v>
      </c>
      <c r="HE314" s="2" t="n">
        <v>0.5</v>
      </c>
      <c r="HF314" s="2" t="n">
        <v>1502.3</v>
      </c>
      <c r="HG314" s="2" t="n">
        <v>1444.7</v>
      </c>
      <c r="HH314" s="2" t="n">
        <v>632.2</v>
      </c>
      <c r="HI314" s="2" t="n">
        <v>73.59999999999999</v>
      </c>
      <c r="HJ314" s="2" t="n">
        <v>726.5</v>
      </c>
      <c r="HK314" s="2" t="n">
        <v>12.5</v>
      </c>
      <c r="HL314" s="2" t="n">
        <v>57.6</v>
      </c>
      <c r="HP314" s="2" t="e">
        <v>#VALUE!</v>
      </c>
      <c r="HQ314" s="2" t="n">
        <v>7.9</v>
      </c>
      <c r="HR314" s="2" t="n">
        <v>7.6</v>
      </c>
      <c r="HS314" s="2" t="e">
        <v>#VALUE!</v>
      </c>
      <c r="HT314" s="2" t="n">
        <v>35.1</v>
      </c>
      <c r="HW314" s="2" t="n">
        <v>331.5</v>
      </c>
      <c r="HX314" s="2" t="e">
        <v>#VALUE!</v>
      </c>
      <c r="HY314" s="2" t="n">
        <v>331.5</v>
      </c>
      <c r="HZ314" s="2" t="n">
        <v>42.2</v>
      </c>
      <c r="IA314" s="2" t="n">
        <v>248.1</v>
      </c>
      <c r="IB314" s="2" t="n">
        <v>103.3</v>
      </c>
      <c r="IC314" s="2" t="n">
        <v>144.8</v>
      </c>
      <c r="ID314" s="2" t="n">
        <v>71.40000000000001</v>
      </c>
      <c r="IE314" s="2" t="n">
        <v>73.40000000000001</v>
      </c>
      <c r="IF314" s="2" t="n">
        <v>26.8</v>
      </c>
      <c r="IG314" s="2" t="e">
        <v>#VALUE!</v>
      </c>
      <c r="IL314" s="2" t="n">
        <v>41.20000000000002</v>
      </c>
      <c r="IN314" s="2" t="n">
        <v>54.7</v>
      </c>
      <c r="IO314" s="2" t="n">
        <v>55.2</v>
      </c>
      <c r="IP314" s="2" t="e">
        <v>#VALUE!</v>
      </c>
      <c r="IQ314" s="2" t="n">
        <v>52.7</v>
      </c>
      <c r="IR314" s="2" t="n">
        <v>18.9</v>
      </c>
      <c r="IS314" s="2" t="e">
        <v>#VALUE!</v>
      </c>
      <c r="IT314" s="2" t="n">
        <v>32.2</v>
      </c>
      <c r="IU314" s="2" t="e">
        <v>#VALUE!</v>
      </c>
      <c r="IV314" s="2" t="e">
        <v>#VALUE!</v>
      </c>
      <c r="IY314" s="2" t="n">
        <v>47.41545470474856</v>
      </c>
      <c r="IZ314" s="2" t="n">
        <v>0.1954547047485562</v>
      </c>
      <c r="JB314" s="2" t="n">
        <v>11.49790983503967</v>
      </c>
      <c r="JC314" s="2" t="n">
        <v>-0.06209016496032582</v>
      </c>
      <c r="JE314" s="2" t="n">
        <v>1699.1</v>
      </c>
      <c r="JF314" s="2" t="n">
        <v>0.8089329645106234</v>
      </c>
    </row>
    <row r="315">
      <c r="A315" s="1" t="n">
        <v>38626</v>
      </c>
      <c r="B315" s="2" t="n">
        <v>4730.2</v>
      </c>
      <c r="C315" s="2" t="n">
        <v>4747.6</v>
      </c>
      <c r="D315" s="2" t="n">
        <v>258</v>
      </c>
      <c r="E315" s="2" t="n">
        <v>1147</v>
      </c>
      <c r="F315" s="2" t="n">
        <v>18.4</v>
      </c>
      <c r="G315" s="2" t="inlineStr">
        <is>
          <t>NA</t>
        </is>
      </c>
      <c r="H315" s="2" t="inlineStr">
        <is>
          <t>NA</t>
        </is>
      </c>
      <c r="I315" s="2" t="inlineStr">
        <is>
          <t>NA</t>
        </is>
      </c>
      <c r="J315" s="2" t="inlineStr">
        <is>
          <t>NA</t>
        </is>
      </c>
      <c r="K315" s="2" t="n">
        <v>1828.6</v>
      </c>
      <c r="L315" s="2" t="n">
        <v>1883.5</v>
      </c>
      <c r="M315" s="2" t="n">
        <v>1630.8</v>
      </c>
      <c r="N315" s="2" t="n">
        <v>252.7</v>
      </c>
      <c r="O315" s="2" t="n">
        <v>83.2</v>
      </c>
      <c r="P315" s="2" t="n">
        <v>70.8</v>
      </c>
      <c r="Q315" s="2" t="n">
        <v>4.6</v>
      </c>
      <c r="R315" s="2" t="n">
        <v>66.2</v>
      </c>
      <c r="T315" s="2" t="n">
        <v>15.3</v>
      </c>
      <c r="U315" s="2" t="n">
        <v>26.7</v>
      </c>
      <c r="V315" s="2" t="n">
        <v>22.9</v>
      </c>
      <c r="W315" s="2" t="n">
        <v>3.8</v>
      </c>
      <c r="X315" s="2" t="inlineStr">
        <is>
          <t>NA</t>
        </is>
      </c>
      <c r="Y315" s="2" t="e">
        <v>#VALUE!</v>
      </c>
      <c r="Z315" s="2" t="n">
        <v>22.6</v>
      </c>
      <c r="AA315" s="2" t="e">
        <v>#VALUE!</v>
      </c>
      <c r="AB315" s="2" t="e">
        <v>#VALUE!</v>
      </c>
      <c r="AC315" s="2" t="inlineStr">
        <is>
          <t>NA</t>
        </is>
      </c>
      <c r="AD315" s="2" t="inlineStr">
        <is>
          <t>NA</t>
        </is>
      </c>
      <c r="AF315" s="2" t="n">
        <v>96.19999999999999</v>
      </c>
      <c r="AG315" s="2" t="n">
        <v>75.8</v>
      </c>
      <c r="AH315" s="2" t="n">
        <v>20.4</v>
      </c>
      <c r="AI315" s="2" t="n">
        <v>207.5</v>
      </c>
      <c r="AL315" s="2" t="n">
        <v>131.8</v>
      </c>
      <c r="AM315" s="2" t="n">
        <v>91</v>
      </c>
      <c r="AN315" s="2" t="n">
        <v>40.8</v>
      </c>
      <c r="AO315" s="2" t="n">
        <v>3446</v>
      </c>
      <c r="AP315" s="2" t="n">
        <v>275.7</v>
      </c>
      <c r="AQ315" s="2" t="n">
        <v>254.9</v>
      </c>
      <c r="AR315" s="2" t="n">
        <v>40.4</v>
      </c>
      <c r="AS315" s="2" t="n">
        <v>130.1</v>
      </c>
      <c r="AT315" s="2" t="n">
        <v>43.9</v>
      </c>
      <c r="AU315" s="2" t="n">
        <v>71.09999999999999</v>
      </c>
      <c r="AV315" s="2" t="n">
        <v>20</v>
      </c>
      <c r="AW315" s="2" t="n">
        <v>9.9</v>
      </c>
      <c r="AX315" s="2" t="n">
        <v>2.9</v>
      </c>
      <c r="AY315" s="2" t="inlineStr">
        <is>
          <t>NA</t>
        </is>
      </c>
      <c r="AZ315" s="2" t="inlineStr">
        <is>
          <t>NA</t>
        </is>
      </c>
      <c r="BA315" s="2" t="inlineStr">
        <is>
          <t>NA</t>
        </is>
      </c>
      <c r="BB315" s="2" t="inlineStr">
        <is>
          <t>NA</t>
        </is>
      </c>
      <c r="BD315" s="2" t="n">
        <v>152.6</v>
      </c>
      <c r="BE315" s="2" t="n">
        <v>22.8</v>
      </c>
      <c r="BF315" s="2" t="n">
        <v>73.5</v>
      </c>
      <c r="BG315" s="2" t="n">
        <v>9.800000000000001</v>
      </c>
      <c r="BH315" s="2" t="n">
        <v>323.9</v>
      </c>
      <c r="BI315" s="2" t="n">
        <v>116.7</v>
      </c>
      <c r="BJ315" s="2" t="n">
        <v>97.59999999999999</v>
      </c>
      <c r="BK315" s="2" t="n">
        <v>214.3</v>
      </c>
      <c r="BL315" s="2" t="n">
        <v>0</v>
      </c>
      <c r="BM315" s="2" t="n">
        <v>538.2</v>
      </c>
      <c r="BN315" s="2" t="n">
        <v>197</v>
      </c>
      <c r="BO315" s="2" t="n">
        <v>49.2</v>
      </c>
      <c r="BP315" s="2" t="n">
        <v>21.2</v>
      </c>
      <c r="BQ315" s="2" t="n">
        <v>70.40000000000001</v>
      </c>
      <c r="BR315" s="2" t="n">
        <v>0</v>
      </c>
      <c r="BS315" s="2" t="n">
        <v>267.4</v>
      </c>
      <c r="BT315" s="2" t="n">
        <v>22.3</v>
      </c>
      <c r="BU315" s="2" t="n">
        <v>12.2</v>
      </c>
      <c r="BV315" s="2" t="inlineStr">
        <is>
          <t>NA</t>
        </is>
      </c>
      <c r="BW315" s="2" t="inlineStr">
        <is>
          <t>NA</t>
        </is>
      </c>
      <c r="BX315" s="2" t="n">
        <v>404.8</v>
      </c>
      <c r="BY315" s="2" t="inlineStr">
        <is>
          <t>NA</t>
        </is>
      </c>
      <c r="BZ315" s="2" t="inlineStr">
        <is>
          <t>NA</t>
        </is>
      </c>
      <c r="CA315" s="2" t="n">
        <v>57.6</v>
      </c>
      <c r="CB315" s="2" t="n">
        <v>96.59999999999999</v>
      </c>
      <c r="CC315" s="2" t="inlineStr">
        <is>
          <t>NA</t>
        </is>
      </c>
      <c r="CD315" s="2" t="n">
        <v>107</v>
      </c>
      <c r="CE315" s="2" t="n">
        <v>16.7</v>
      </c>
      <c r="CF315" s="2" t="n">
        <v>99.90000000000001</v>
      </c>
      <c r="CG315" s="2" t="n">
        <v>97</v>
      </c>
      <c r="CH315" s="2" t="n">
        <v>7.1</v>
      </c>
      <c r="CI315" s="2" t="n">
        <v>35.9</v>
      </c>
      <c r="CJ315" s="2" t="n">
        <v>7.5</v>
      </c>
      <c r="CK315" s="2" t="n">
        <v>149</v>
      </c>
      <c r="CL315" s="2" t="n">
        <v>16.8</v>
      </c>
      <c r="CN315" s="2" t="n">
        <v>29.8</v>
      </c>
      <c r="CO315" s="2" t="n">
        <v>239.5</v>
      </c>
      <c r="CP315" s="2" t="n">
        <v>186.4</v>
      </c>
      <c r="CQ315" s="2" t="n">
        <v>53.1</v>
      </c>
      <c r="CR315" s="2" t="inlineStr">
        <is>
          <t>NA</t>
        </is>
      </c>
      <c r="CS315" s="2" t="n">
        <v>29.6</v>
      </c>
      <c r="CT315" s="2" t="e">
        <v>#VALUE!</v>
      </c>
      <c r="CU315" s="2" t="e">
        <v>#VALUE!</v>
      </c>
      <c r="CV315" s="2" t="n">
        <v>120.8</v>
      </c>
      <c r="CW315" s="2" t="e">
        <v>#VALUE!</v>
      </c>
      <c r="CX315" s="2" t="e">
        <v>#VALUE!</v>
      </c>
      <c r="CY315" s="2" t="e">
        <v>#VALUE!</v>
      </c>
      <c r="CZ315" s="2" t="n">
        <v>59.3</v>
      </c>
      <c r="DA315" s="2" t="n">
        <v>12.8</v>
      </c>
      <c r="DB315" s="2" t="e">
        <v>#VALUE!</v>
      </c>
      <c r="DC315" s="2" t="e">
        <v>#VALUE!</v>
      </c>
      <c r="DI315" s="2" t="n">
        <v>723.2</v>
      </c>
      <c r="DJ315" s="2" t="n">
        <v>483.4</v>
      </c>
      <c r="DM315" s="2" t="n">
        <v>467.1</v>
      </c>
      <c r="DO315" s="2" t="n">
        <v>200.5</v>
      </c>
      <c r="DP315" s="2" t="n">
        <v>327.3</v>
      </c>
      <c r="DS315" s="2" t="n">
        <v>2550.688</v>
      </c>
      <c r="DT315" s="2" t="n">
        <v>4730.2</v>
      </c>
      <c r="DU315" s="2" t="n">
        <v>21.98800000000028</v>
      </c>
      <c r="DV315" s="2" t="n">
        <v>0</v>
      </c>
      <c r="EA315" s="2" t="n">
        <v>1090.5</v>
      </c>
      <c r="EB315" s="2" t="n">
        <v>885.6</v>
      </c>
      <c r="EE315" s="2" t="n">
        <v>263</v>
      </c>
      <c r="EG315" s="2" t="n">
        <v>218</v>
      </c>
      <c r="EH315" s="2" t="e">
        <v>#VALUE!</v>
      </c>
      <c r="EK315" s="2" t="n">
        <v>1811.608</v>
      </c>
      <c r="EL315" s="2" t="n">
        <v>4747.6</v>
      </c>
      <c r="EQ315" s="2" t="n">
        <v>285.1</v>
      </c>
      <c r="ER315" s="2" t="n">
        <v>183.7</v>
      </c>
      <c r="EU315" s="2" t="n">
        <v>183.3</v>
      </c>
      <c r="EW315" s="2" t="n">
        <v>76.09999999999999</v>
      </c>
      <c r="EX315" s="2" t="n">
        <v>126.4</v>
      </c>
      <c r="FA315" s="2" t="n">
        <v>983.693</v>
      </c>
      <c r="FB315" s="2" t="n">
        <v>1828.6</v>
      </c>
      <c r="FG315" s="2" t="n">
        <v>562.9</v>
      </c>
      <c r="FH315" s="2" t="n">
        <v>378.2</v>
      </c>
      <c r="FK315" s="2" t="n">
        <v>369.7</v>
      </c>
      <c r="FM315" s="2" t="n">
        <v>156.6</v>
      </c>
      <c r="FN315" s="2" t="n">
        <v>264.5</v>
      </c>
      <c r="FQ315" s="2" t="n">
        <v>1995.751</v>
      </c>
      <c r="FR315" s="2" t="n">
        <v>3709</v>
      </c>
      <c r="FW315" s="2" t="n">
        <v>190.5</v>
      </c>
      <c r="FX315" s="2" t="n">
        <v>80.40000000000001</v>
      </c>
      <c r="GA315" s="2" t="n">
        <v>90.3</v>
      </c>
      <c r="GC315" s="2" t="n">
        <v>64.59999999999999</v>
      </c>
      <c r="GD315" s="2" t="e">
        <v>#VALUE!</v>
      </c>
      <c r="GG315" s="2" t="n">
        <v>483.968</v>
      </c>
      <c r="GH315" s="2" t="n">
        <v>899.8</v>
      </c>
      <c r="GM315" s="2" t="n">
        <v>66</v>
      </c>
      <c r="GN315" s="2" t="n">
        <v>42</v>
      </c>
      <c r="GQ315" s="2" t="n">
        <v>43.3</v>
      </c>
      <c r="GS315" s="2" t="n">
        <v>6.6</v>
      </c>
      <c r="GT315" s="2" t="e">
        <v>#VALUE!</v>
      </c>
      <c r="GW315" s="2" t="n">
        <v>162.122</v>
      </c>
      <c r="GX315" s="2" t="n">
        <v>316.1</v>
      </c>
      <c r="GY315" s="2" t="n">
        <v>0.9785819276265135</v>
      </c>
      <c r="GZ315" s="2" t="n">
        <v>1398.1</v>
      </c>
      <c r="HA315" s="2" t="n">
        <v>1428.7</v>
      </c>
      <c r="HB315" s="2" t="n">
        <v>-21.35941765200005</v>
      </c>
      <c r="HC315" s="2" t="n">
        <v>-33.85494299600009</v>
      </c>
      <c r="HD315" s="2" t="n">
        <v>1570.640582348</v>
      </c>
      <c r="HE315" s="2" t="n">
        <v>16.09999999999991</v>
      </c>
      <c r="HF315" s="2" t="n">
        <v>1592</v>
      </c>
      <c r="HG315" s="2" t="n">
        <v>1533.1</v>
      </c>
      <c r="HH315" s="2" t="n">
        <v>644.6</v>
      </c>
      <c r="HI315" s="2" t="n">
        <v>74.8</v>
      </c>
      <c r="HJ315" s="2" t="n">
        <v>802.6</v>
      </c>
      <c r="HK315" s="2" t="n">
        <v>11.1</v>
      </c>
      <c r="HL315" s="2" t="n">
        <v>58.9</v>
      </c>
      <c r="HP315" s="2" t="e">
        <v>#VALUE!</v>
      </c>
      <c r="HQ315" s="2" t="n">
        <v>8.800000000000001</v>
      </c>
      <c r="HR315" s="2" t="n">
        <v>7.7</v>
      </c>
      <c r="HS315" s="2" t="e">
        <v>#VALUE!</v>
      </c>
      <c r="HT315" s="2" t="n">
        <v>35.2</v>
      </c>
      <c r="HW315" s="2" t="n">
        <v>319.7</v>
      </c>
      <c r="HX315" s="2" t="e">
        <v>#VALUE!</v>
      </c>
      <c r="HY315" s="2" t="n">
        <v>319.7</v>
      </c>
      <c r="HZ315" s="2" t="n">
        <v>52.9</v>
      </c>
      <c r="IA315" s="2" t="n">
        <v>226.2</v>
      </c>
      <c r="IB315" s="2" t="n">
        <v>96.09999999999999</v>
      </c>
      <c r="IC315" s="2" t="n">
        <v>130.1</v>
      </c>
      <c r="ID315" s="2" t="n">
        <v>74.7</v>
      </c>
      <c r="IE315" s="2" t="n">
        <v>55.4</v>
      </c>
      <c r="IF315" s="2" t="n">
        <v>26.7</v>
      </c>
      <c r="IG315" s="2" t="e">
        <v>#VALUE!</v>
      </c>
      <c r="IL315" s="2" t="n">
        <v>40.60000000000002</v>
      </c>
      <c r="IN315" s="2" t="n">
        <v>68.90000000000001</v>
      </c>
      <c r="IO315" s="2" t="n">
        <v>69.2</v>
      </c>
      <c r="IP315" s="2" t="e">
        <v>#VALUE!</v>
      </c>
      <c r="IQ315" s="2" t="n">
        <v>55</v>
      </c>
      <c r="IR315" s="2" t="n">
        <v>18.4</v>
      </c>
      <c r="IS315" s="2" t="e">
        <v>#VALUE!</v>
      </c>
      <c r="IT315" s="2" t="n">
        <v>35.1</v>
      </c>
      <c r="IU315" s="2" t="e">
        <v>#VALUE!</v>
      </c>
      <c r="IV315" s="2" t="e">
        <v>#VALUE!</v>
      </c>
      <c r="IY315" s="2" t="n">
        <v>46.94389243583782</v>
      </c>
      <c r="IZ315" s="2" t="n">
        <v>0.1238924358378171</v>
      </c>
      <c r="JB315" s="2" t="n">
        <v>11.5973954589658</v>
      </c>
      <c r="JC315" s="2" t="n">
        <v>-0.05260454103420464</v>
      </c>
      <c r="JE315" s="2" t="n">
        <v>1883.5</v>
      </c>
      <c r="JF315" s="2" t="n">
        <v>0.793809928324927</v>
      </c>
    </row>
    <row r="316">
      <c r="A316" s="1" t="n">
        <v>38657</v>
      </c>
      <c r="B316" s="2" t="n">
        <v>4545.4</v>
      </c>
      <c r="C316" s="2" t="n">
        <v>3892.3</v>
      </c>
      <c r="D316" s="2" t="n">
        <v>297.5</v>
      </c>
      <c r="E316" s="2" t="n">
        <v>1727.7</v>
      </c>
      <c r="F316" s="2" t="n">
        <v>19</v>
      </c>
      <c r="G316" s="2" t="inlineStr">
        <is>
          <t>NA</t>
        </is>
      </c>
      <c r="H316" s="2" t="inlineStr">
        <is>
          <t>NA</t>
        </is>
      </c>
      <c r="I316" s="2" t="inlineStr">
        <is>
          <t>NA</t>
        </is>
      </c>
      <c r="J316" s="2" t="inlineStr">
        <is>
          <t>NA</t>
        </is>
      </c>
      <c r="K316" s="2" t="n">
        <v>1756.7</v>
      </c>
      <c r="L316" s="2" t="n">
        <v>1851.8</v>
      </c>
      <c r="M316" s="2" t="n">
        <v>1674.2</v>
      </c>
      <c r="N316" s="2" t="n">
        <v>177.6</v>
      </c>
      <c r="O316" s="2" t="n">
        <v>94.7</v>
      </c>
      <c r="P316" s="2" t="n">
        <v>77.7</v>
      </c>
      <c r="Q316" s="2" t="n">
        <v>6.8</v>
      </c>
      <c r="R316" s="2" t="n">
        <v>70.90000000000001</v>
      </c>
      <c r="T316" s="2" t="n">
        <v>16.4</v>
      </c>
      <c r="U316" s="2" t="n">
        <v>14.5</v>
      </c>
      <c r="V316" s="2" t="n">
        <v>11.6</v>
      </c>
      <c r="W316" s="2" t="n">
        <v>2.9</v>
      </c>
      <c r="X316" s="2" t="inlineStr">
        <is>
          <t>NA</t>
        </is>
      </c>
      <c r="Y316" s="2" t="e">
        <v>#VALUE!</v>
      </c>
      <c r="Z316" s="2" t="n">
        <v>25.4</v>
      </c>
      <c r="AA316" s="2" t="e">
        <v>#VALUE!</v>
      </c>
      <c r="AB316" s="2" t="e">
        <v>#VALUE!</v>
      </c>
      <c r="AC316" s="2" t="inlineStr">
        <is>
          <t>NA</t>
        </is>
      </c>
      <c r="AD316" s="2" t="inlineStr">
        <is>
          <t>NA</t>
        </is>
      </c>
      <c r="AF316" s="2" t="n">
        <v>109.6</v>
      </c>
      <c r="AG316" s="2" t="n">
        <v>92.59999999999999</v>
      </c>
      <c r="AH316" s="2" t="n">
        <v>17</v>
      </c>
      <c r="AI316" s="2" t="n">
        <v>199.9</v>
      </c>
      <c r="AL316" s="2" t="n">
        <v>149.9</v>
      </c>
      <c r="AM316" s="2" t="n">
        <v>87.8</v>
      </c>
      <c r="AN316" s="2" t="n">
        <v>62.1</v>
      </c>
      <c r="AO316" s="2" t="n">
        <v>3312.7</v>
      </c>
      <c r="AP316" s="2" t="n">
        <v>278</v>
      </c>
      <c r="AQ316" s="2" t="n">
        <v>249.5</v>
      </c>
      <c r="AR316" s="2" t="n">
        <v>26.9</v>
      </c>
      <c r="AS316" s="2" t="n">
        <v>133.8</v>
      </c>
      <c r="AT316" s="2" t="n">
        <v>40.4</v>
      </c>
      <c r="AU316" s="2" t="n">
        <v>85</v>
      </c>
      <c r="AV316" s="2" t="n">
        <v>14.1</v>
      </c>
      <c r="AW316" s="2" t="n">
        <v>10.7</v>
      </c>
      <c r="AX316" s="2" t="n">
        <v>2.6</v>
      </c>
      <c r="AY316" s="2" t="inlineStr">
        <is>
          <t>NA</t>
        </is>
      </c>
      <c r="AZ316" s="2" t="inlineStr">
        <is>
          <t>NA</t>
        </is>
      </c>
      <c r="BA316" s="2" t="inlineStr">
        <is>
          <t>NA</t>
        </is>
      </c>
      <c r="BB316" s="2" t="inlineStr">
        <is>
          <t>NA</t>
        </is>
      </c>
      <c r="BD316" s="2" t="n">
        <v>143.3</v>
      </c>
      <c r="BE316" s="2" t="n">
        <v>23.6</v>
      </c>
      <c r="BF316" s="2" t="n">
        <v>70.59999999999999</v>
      </c>
      <c r="BG316" s="2" t="n">
        <v>8.199999999999999</v>
      </c>
      <c r="BH316" s="2" t="n">
        <v>326</v>
      </c>
      <c r="BI316" s="2" t="n">
        <v>108.9</v>
      </c>
      <c r="BJ316" s="2" t="n">
        <v>97</v>
      </c>
      <c r="BK316" s="2" t="n">
        <v>205.9</v>
      </c>
      <c r="BM316" s="2" t="n">
        <v>531.9</v>
      </c>
      <c r="BN316" s="2" t="n">
        <v>182.8</v>
      </c>
      <c r="BO316" s="2" t="n">
        <v>54.7</v>
      </c>
      <c r="BP316" s="2" t="n">
        <v>18.6</v>
      </c>
      <c r="BQ316" s="2" t="n">
        <v>73.30000000000001</v>
      </c>
      <c r="BS316" s="2" t="n">
        <v>256.1</v>
      </c>
      <c r="BT316" s="2" t="n">
        <v>31.5</v>
      </c>
      <c r="BU316" s="2" t="n">
        <v>15.3</v>
      </c>
      <c r="BV316" s="2" t="inlineStr">
        <is>
          <t>NA</t>
        </is>
      </c>
      <c r="BW316" s="2" t="inlineStr">
        <is>
          <t>NA</t>
        </is>
      </c>
      <c r="BX316" s="2" t="n">
        <v>403.6</v>
      </c>
      <c r="BY316" s="2" t="inlineStr">
        <is>
          <t>NA</t>
        </is>
      </c>
      <c r="BZ316" s="2" t="inlineStr">
        <is>
          <t>NA</t>
        </is>
      </c>
      <c r="CA316" s="2" t="n">
        <v>64.59999999999999</v>
      </c>
      <c r="CB316" s="2" t="n">
        <v>98.40000000000001</v>
      </c>
      <c r="CC316" s="2" t="inlineStr">
        <is>
          <t>NA</t>
        </is>
      </c>
      <c r="CD316" s="2" t="n">
        <v>107.3</v>
      </c>
      <c r="CE316" s="2" t="n">
        <v>15.2</v>
      </c>
      <c r="CF316" s="2" t="n">
        <v>96.5</v>
      </c>
      <c r="CG316" s="2" t="n">
        <v>83.2</v>
      </c>
      <c r="CH316" s="2" t="n">
        <v>7</v>
      </c>
      <c r="CI316" s="2" t="n">
        <v>34.5</v>
      </c>
      <c r="CJ316" s="2" t="n">
        <v>4.2</v>
      </c>
      <c r="CK316" s="2" t="n">
        <v>147.6</v>
      </c>
      <c r="CL316" s="2" t="n">
        <v>13.3</v>
      </c>
      <c r="CN316" s="2" t="n">
        <v>57.1</v>
      </c>
      <c r="CO316" s="2" t="n">
        <v>255.1</v>
      </c>
      <c r="CP316" s="2" t="n">
        <v>205.3</v>
      </c>
      <c r="CQ316" s="2" t="n">
        <v>49.8</v>
      </c>
      <c r="CR316" s="2" t="inlineStr">
        <is>
          <t>NA</t>
        </is>
      </c>
      <c r="CS316" s="2" t="n">
        <v>19.9</v>
      </c>
      <c r="CT316" s="2" t="e">
        <v>#VALUE!</v>
      </c>
      <c r="CU316" s="2" t="e">
        <v>#VALUE!</v>
      </c>
      <c r="CV316" s="2" t="n">
        <v>174.1</v>
      </c>
      <c r="CW316" s="2" t="e">
        <v>#VALUE!</v>
      </c>
      <c r="CX316" s="2" t="e">
        <v>#VALUE!</v>
      </c>
      <c r="CY316" s="2" t="e">
        <v>#VALUE!</v>
      </c>
      <c r="CZ316" s="2" t="n">
        <v>64.5</v>
      </c>
      <c r="DA316" s="2" t="n">
        <v>13.5</v>
      </c>
      <c r="DB316" s="2" t="e">
        <v>#VALUE!</v>
      </c>
      <c r="DC316" s="2" t="e">
        <v>#VALUE!</v>
      </c>
      <c r="DI316" s="2" t="n">
        <v>677.2</v>
      </c>
      <c r="DJ316" s="2" t="n">
        <v>460.4</v>
      </c>
      <c r="DM316" s="2" t="n">
        <v>467.9</v>
      </c>
      <c r="DO316" s="2" t="n">
        <v>196.2</v>
      </c>
      <c r="DP316" s="2" t="n">
        <v>311.2</v>
      </c>
      <c r="DS316" s="2" t="n">
        <v>2437.62</v>
      </c>
      <c r="DT316" s="2" t="n">
        <v>4545.4</v>
      </c>
      <c r="DU316" s="2" t="n">
        <v>5.1200000000008</v>
      </c>
      <c r="DV316" s="2" t="n">
        <v>0</v>
      </c>
      <c r="EA316" s="2" t="n">
        <v>887.8</v>
      </c>
      <c r="EB316" s="2" t="n">
        <v>667.1</v>
      </c>
      <c r="EE316" s="2" t="n">
        <v>124</v>
      </c>
      <c r="EG316" s="2" t="n">
        <v>182</v>
      </c>
      <c r="EH316" s="2" t="e">
        <v>#VALUE!</v>
      </c>
      <c r="EK316" s="2" t="n">
        <v>1552.818</v>
      </c>
      <c r="EL316" s="2" t="n">
        <v>3892.3</v>
      </c>
      <c r="EQ316" s="2" t="n">
        <v>262.1</v>
      </c>
      <c r="ER316" s="2" t="n">
        <v>175.2</v>
      </c>
      <c r="EU316" s="2" t="n">
        <v>189.3</v>
      </c>
      <c r="EW316" s="2" t="n">
        <v>75.09999999999999</v>
      </c>
      <c r="EX316" s="2" t="n">
        <v>118</v>
      </c>
      <c r="FA316" s="2" t="n">
        <v>947.345</v>
      </c>
      <c r="FB316" s="2" t="n">
        <v>1756.7</v>
      </c>
      <c r="FG316" s="2" t="n">
        <v>527.9</v>
      </c>
      <c r="FH316" s="2" t="n">
        <v>362.4</v>
      </c>
      <c r="FK316" s="2" t="n">
        <v>364.4</v>
      </c>
      <c r="FM316" s="2" t="n">
        <v>154.3</v>
      </c>
      <c r="FN316" s="2" t="n">
        <v>248.7</v>
      </c>
      <c r="FQ316" s="2" t="n">
        <v>1910.827</v>
      </c>
      <c r="FR316" s="2" t="n">
        <v>3570.5</v>
      </c>
      <c r="FW316" s="2" t="n">
        <v>204.2</v>
      </c>
      <c r="FX316" s="2" t="n">
        <v>97.59999999999999</v>
      </c>
      <c r="GA316" s="2" t="n">
        <v>115.3</v>
      </c>
      <c r="GC316" s="2" t="n">
        <v>73.8</v>
      </c>
      <c r="GD316" s="2" t="e">
        <v>#VALUE!</v>
      </c>
      <c r="GG316" s="2" t="n">
        <v>543.153</v>
      </c>
      <c r="GH316" s="2" t="n">
        <v>989</v>
      </c>
      <c r="GM316" s="2" t="n">
        <v>93.5</v>
      </c>
      <c r="GN316" s="2" t="n">
        <v>36.4</v>
      </c>
      <c r="GQ316" s="2" t="n">
        <v>25.5</v>
      </c>
      <c r="GS316" s="2" t="n">
        <v>3.5</v>
      </c>
      <c r="GT316" s="2" t="e">
        <v>#VALUE!</v>
      </c>
      <c r="GW316" s="2" t="n">
        <v>146.006</v>
      </c>
      <c r="GX316" s="2" t="n">
        <v>304.7</v>
      </c>
      <c r="GY316" s="2" t="n">
        <v>0.9758393240939747</v>
      </c>
      <c r="GZ316" s="2" t="n">
        <v>1316.7</v>
      </c>
      <c r="HA316" s="2" t="n">
        <v>1349.3</v>
      </c>
      <c r="HB316" s="2" t="n">
        <v>89.10566024559989</v>
      </c>
      <c r="HC316" s="2" t="n">
        <v>56.55131769300033</v>
      </c>
      <c r="HD316" s="2" t="n">
        <v>1640.1056602456</v>
      </c>
      <c r="HE316" s="2" t="n">
        <v>3.599999999999909</v>
      </c>
      <c r="HF316" s="2" t="n">
        <v>1551</v>
      </c>
      <c r="HG316" s="2" t="n">
        <v>1488.9</v>
      </c>
      <c r="HH316" s="2" t="n">
        <v>624.6</v>
      </c>
      <c r="HI316" s="2" t="n">
        <v>81</v>
      </c>
      <c r="HJ316" s="2" t="n">
        <v>771.6</v>
      </c>
      <c r="HK316" s="2" t="n">
        <v>11.7</v>
      </c>
      <c r="HL316" s="2" t="n">
        <v>62</v>
      </c>
      <c r="HP316" s="2" t="e">
        <v>#VALUE!</v>
      </c>
      <c r="HQ316" s="2" t="n">
        <v>7.7</v>
      </c>
      <c r="HR316" s="2" t="n">
        <v>7.3</v>
      </c>
      <c r="HS316" s="2" t="e">
        <v>#VALUE!</v>
      </c>
      <c r="HT316" s="2" t="n">
        <v>41.4</v>
      </c>
      <c r="HW316" s="2" t="n">
        <v>301.2</v>
      </c>
      <c r="HX316" s="2" t="e">
        <v>#VALUE!</v>
      </c>
      <c r="HY316" s="2" t="n">
        <v>301.2</v>
      </c>
      <c r="HZ316" s="2" t="n">
        <v>47.1</v>
      </c>
      <c r="IA316" s="2" t="n">
        <v>217.4</v>
      </c>
      <c r="IB316" s="2" t="n">
        <v>98.09999999999999</v>
      </c>
      <c r="IC316" s="2" t="n">
        <v>119.3</v>
      </c>
      <c r="ID316" s="2" t="n">
        <v>68.09999999999999</v>
      </c>
      <c r="IE316" s="2" t="n">
        <v>51.2</v>
      </c>
      <c r="IF316" s="2" t="e">
        <v>#VALUE!</v>
      </c>
      <c r="IG316" s="2" t="e">
        <v>#VALUE!</v>
      </c>
      <c r="IL316" s="2" t="n">
        <v>36.69999999999999</v>
      </c>
      <c r="IN316" s="2" t="n">
        <v>78</v>
      </c>
      <c r="IO316" s="2" t="n">
        <v>78.40000000000001</v>
      </c>
      <c r="IP316" s="2" t="e">
        <v>#VALUE!</v>
      </c>
      <c r="IQ316" s="2" t="n">
        <v>55.9</v>
      </c>
      <c r="IR316" s="2" t="n">
        <v>16.4</v>
      </c>
      <c r="IS316" s="2" t="e">
        <v>#VALUE!</v>
      </c>
      <c r="IT316" s="2" t="n">
        <v>37.7</v>
      </c>
      <c r="IU316" s="2" t="e">
        <v>#VALUE!</v>
      </c>
      <c r="IV316" s="2" t="e">
        <v>#VALUE!</v>
      </c>
      <c r="IY316" s="2" t="n">
        <v>47.02160425925111</v>
      </c>
      <c r="IZ316" s="2" t="n">
        <v>0.1216042592511144</v>
      </c>
      <c r="JB316" s="2" t="n">
        <v>11.59435913230959</v>
      </c>
      <c r="JC316" s="2" t="n">
        <v>0.004359132309589953</v>
      </c>
      <c r="JE316" s="2" t="n">
        <v>1851.8</v>
      </c>
      <c r="JF316" s="2" t="n">
        <v>0.8684690571335998</v>
      </c>
    </row>
    <row r="317">
      <c r="A317" s="1" t="n">
        <v>38687</v>
      </c>
      <c r="B317" s="2" t="n">
        <v>4451.4</v>
      </c>
      <c r="C317" s="2" t="n">
        <v>3422.6</v>
      </c>
      <c r="D317" s="2" t="n">
        <v>285.9</v>
      </c>
      <c r="E317" s="2" t="n">
        <v>1928.8</v>
      </c>
      <c r="F317" s="2" t="n">
        <v>20.9</v>
      </c>
      <c r="G317" s="2" t="inlineStr">
        <is>
          <t>NA</t>
        </is>
      </c>
      <c r="H317" s="2" t="inlineStr">
        <is>
          <t>NA</t>
        </is>
      </c>
      <c r="I317" s="2" t="inlineStr">
        <is>
          <t>NA</t>
        </is>
      </c>
      <c r="J317" s="2" t="inlineStr">
        <is>
          <t>NA</t>
        </is>
      </c>
      <c r="K317" s="2" t="n">
        <v>1717.3</v>
      </c>
      <c r="L317" s="2" t="n">
        <v>2190.5</v>
      </c>
      <c r="M317" s="2" t="n">
        <v>1992.4</v>
      </c>
      <c r="N317" s="2" t="n">
        <v>198.1</v>
      </c>
      <c r="O317" s="2" t="n">
        <v>89.40000000000001</v>
      </c>
      <c r="P317" s="2" t="n">
        <v>75.60000000000001</v>
      </c>
      <c r="Q317" s="2" t="n">
        <v>6.2</v>
      </c>
      <c r="R317" s="2" t="n">
        <v>69.40000000000001</v>
      </c>
      <c r="T317" s="2" t="n">
        <v>17.7</v>
      </c>
      <c r="U317" s="2" t="n">
        <v>17.6</v>
      </c>
      <c r="V317" s="2" t="n">
        <v>13.5</v>
      </c>
      <c r="W317" s="2" t="n">
        <v>4.1</v>
      </c>
      <c r="X317" s="2" t="inlineStr">
        <is>
          <t>NA</t>
        </is>
      </c>
      <c r="Y317" s="2" t="e">
        <v>#VALUE!</v>
      </c>
      <c r="Z317" s="2" t="n">
        <v>47.1</v>
      </c>
      <c r="AA317" s="2" t="e">
        <v>#VALUE!</v>
      </c>
      <c r="AB317" s="2" t="e">
        <v>#VALUE!</v>
      </c>
      <c r="AC317" s="2" t="inlineStr">
        <is>
          <t>NA</t>
        </is>
      </c>
      <c r="AD317" s="2" t="inlineStr">
        <is>
          <t>NA</t>
        </is>
      </c>
      <c r="AF317" s="2" t="n">
        <v>109.8</v>
      </c>
      <c r="AG317" s="2" t="n">
        <v>93.3</v>
      </c>
      <c r="AH317" s="2" t="n">
        <v>16.5</v>
      </c>
      <c r="AI317" s="2" t="n">
        <v>200.3</v>
      </c>
      <c r="AL317" s="2" t="n">
        <v>130</v>
      </c>
      <c r="AM317" s="2" t="n">
        <v>91.8</v>
      </c>
      <c r="AN317" s="2" t="n">
        <v>38.2</v>
      </c>
      <c r="AO317" s="2" t="n">
        <v>3270.1</v>
      </c>
      <c r="AP317" s="2" t="n">
        <v>309.6</v>
      </c>
      <c r="AQ317" s="2" t="n">
        <v>247.9</v>
      </c>
      <c r="AR317" s="2" t="n">
        <v>28.4</v>
      </c>
      <c r="AS317" s="2" t="n">
        <v>127.7</v>
      </c>
      <c r="AT317" s="2" t="n">
        <v>33.2</v>
      </c>
      <c r="AU317" s="2" t="n">
        <v>81</v>
      </c>
      <c r="AV317" s="2" t="n">
        <v>11.7</v>
      </c>
      <c r="AW317" s="2" t="n">
        <v>11.4</v>
      </c>
      <c r="AX317" s="2" t="n">
        <v>1.5</v>
      </c>
      <c r="AY317" s="2" t="inlineStr">
        <is>
          <t>NA</t>
        </is>
      </c>
      <c r="AZ317" s="2" t="inlineStr">
        <is>
          <t>NA</t>
        </is>
      </c>
      <c r="BA317" s="2" t="inlineStr">
        <is>
          <t>NA</t>
        </is>
      </c>
      <c r="BB317" s="2" t="inlineStr">
        <is>
          <t>NA</t>
        </is>
      </c>
      <c r="BD317" s="2" t="n">
        <v>141</v>
      </c>
      <c r="BE317" s="2" t="n">
        <v>24.7</v>
      </c>
      <c r="BF317" s="2" t="n">
        <v>62.8</v>
      </c>
      <c r="BG317" s="2" t="n">
        <v>7.8</v>
      </c>
      <c r="BH317" s="2" t="n">
        <v>341.1</v>
      </c>
      <c r="BI317" s="2" t="n">
        <v>117.8</v>
      </c>
      <c r="BJ317" s="2" t="n">
        <v>102.3</v>
      </c>
      <c r="BK317" s="2" t="n">
        <v>220.1</v>
      </c>
      <c r="BM317" s="2" t="n">
        <v>561.2</v>
      </c>
      <c r="BN317" s="2" t="n">
        <v>226.8</v>
      </c>
      <c r="BO317" s="2" t="n">
        <v>45.7</v>
      </c>
      <c r="BP317" s="2" t="n">
        <v>23.9</v>
      </c>
      <c r="BQ317" s="2" t="n">
        <v>69.59999999999999</v>
      </c>
      <c r="BS317" s="2" t="n">
        <v>296.4</v>
      </c>
      <c r="BT317" s="2" t="n">
        <v>28.6</v>
      </c>
      <c r="BU317" s="2" t="n">
        <v>9.4</v>
      </c>
      <c r="BV317" s="2" t="inlineStr">
        <is>
          <t>NA</t>
        </is>
      </c>
      <c r="BW317" s="2" t="inlineStr">
        <is>
          <t>NA</t>
        </is>
      </c>
      <c r="BX317" s="2" t="n">
        <v>426.3</v>
      </c>
      <c r="BY317" s="2" t="inlineStr">
        <is>
          <t>NA</t>
        </is>
      </c>
      <c r="BZ317" s="2" t="inlineStr">
        <is>
          <t>NA</t>
        </is>
      </c>
      <c r="CA317" s="2" t="n">
        <v>60.2</v>
      </c>
      <c r="CB317" s="2" t="n">
        <v>98.59999999999999</v>
      </c>
      <c r="CC317" s="2" t="inlineStr">
        <is>
          <t>NA</t>
        </is>
      </c>
      <c r="CD317" s="2" t="n">
        <v>116.8</v>
      </c>
      <c r="CE317" s="2" t="n">
        <v>15.5</v>
      </c>
      <c r="CF317" s="2" t="n">
        <v>104.9</v>
      </c>
      <c r="CG317" s="2" t="n">
        <v>81.3</v>
      </c>
      <c r="CH317" s="2" t="n">
        <v>8.5</v>
      </c>
      <c r="CI317" s="2" t="n">
        <v>31.7</v>
      </c>
      <c r="CJ317" s="2" t="n">
        <v>7.6</v>
      </c>
      <c r="CK317" s="2" t="n">
        <v>149.3</v>
      </c>
      <c r="CL317" s="2" t="n">
        <v>16.2</v>
      </c>
      <c r="CN317" s="2" t="n">
        <v>55.1</v>
      </c>
      <c r="CO317" s="2" t="n">
        <v>236.3</v>
      </c>
      <c r="CP317" s="2" t="n">
        <v>167.6</v>
      </c>
      <c r="CQ317" s="2" t="n">
        <v>68.7</v>
      </c>
      <c r="CR317" s="2" t="inlineStr">
        <is>
          <t>NA</t>
        </is>
      </c>
      <c r="CS317" s="2" t="n">
        <v>27.6</v>
      </c>
      <c r="CT317" s="2" t="e">
        <v>#VALUE!</v>
      </c>
      <c r="CU317" s="2" t="e">
        <v>#VALUE!</v>
      </c>
      <c r="CV317" s="2" t="n">
        <v>151.2</v>
      </c>
      <c r="CW317" s="2" t="e">
        <v>#VALUE!</v>
      </c>
      <c r="CX317" s="2" t="e">
        <v>#VALUE!</v>
      </c>
      <c r="CY317" s="2" t="e">
        <v>#VALUE!</v>
      </c>
      <c r="CZ317" s="2" t="n">
        <v>73.40000000000001</v>
      </c>
      <c r="DA317" s="2" t="n">
        <v>10.9</v>
      </c>
      <c r="DB317" s="2" t="e">
        <v>#VALUE!</v>
      </c>
      <c r="DC317" s="2" t="e">
        <v>#VALUE!</v>
      </c>
      <c r="DI317" s="2" t="n">
        <v>711.5</v>
      </c>
      <c r="DJ317" s="2" t="n">
        <v>443.3</v>
      </c>
      <c r="DM317" s="2" t="n">
        <v>426.9</v>
      </c>
      <c r="DO317" s="2" t="n">
        <v>200.6</v>
      </c>
      <c r="DP317" s="2" t="n">
        <v>319.7</v>
      </c>
      <c r="DS317" s="2" t="n">
        <v>2337.867</v>
      </c>
      <c r="DT317" s="2" t="n">
        <v>4451.4</v>
      </c>
      <c r="DU317" s="2" t="n">
        <v>-11.53299999999945</v>
      </c>
      <c r="DV317" s="2" t="n">
        <v>0</v>
      </c>
      <c r="EA317" s="2" t="n">
        <v>708.9</v>
      </c>
      <c r="EB317" s="2" t="n">
        <v>594.9</v>
      </c>
      <c r="EE317" s="2" t="n">
        <v>145.9</v>
      </c>
      <c r="EG317" s="2" t="n">
        <v>167.7</v>
      </c>
      <c r="EH317" s="2" t="e">
        <v>#VALUE!</v>
      </c>
      <c r="EK317" s="2" t="n">
        <v>1431.411</v>
      </c>
      <c r="EL317" s="2" t="n">
        <v>3422.6</v>
      </c>
      <c r="EQ317" s="2" t="n">
        <v>279.5</v>
      </c>
      <c r="ER317" s="2" t="n">
        <v>171.2</v>
      </c>
      <c r="EU317" s="2" t="n">
        <v>164.3</v>
      </c>
      <c r="EW317" s="2" t="n">
        <v>75.8</v>
      </c>
      <c r="EX317" s="2" t="n">
        <v>121.2</v>
      </c>
      <c r="FA317" s="2" t="n">
        <v>902.4640000000001</v>
      </c>
      <c r="FB317" s="2" t="n">
        <v>1717.3</v>
      </c>
      <c r="FG317" s="2" t="n">
        <v>558.3</v>
      </c>
      <c r="FH317" s="2" t="n">
        <v>351.7</v>
      </c>
      <c r="FK317" s="2" t="n">
        <v>351.4</v>
      </c>
      <c r="FM317" s="2" t="n">
        <v>158.3</v>
      </c>
      <c r="FN317" s="2" t="n">
        <v>252.5</v>
      </c>
      <c r="FQ317" s="2" t="n">
        <v>1856.747</v>
      </c>
      <c r="FR317" s="2" t="n">
        <v>3525.8</v>
      </c>
      <c r="FW317" s="2" t="n">
        <v>213.1</v>
      </c>
      <c r="FX317" s="2" t="n">
        <v>129.7</v>
      </c>
      <c r="GA317" s="2" t="n">
        <v>113.3</v>
      </c>
      <c r="GC317" s="2" t="n">
        <v>74.8</v>
      </c>
      <c r="GD317" s="2" t="e">
        <v>#VALUE!</v>
      </c>
      <c r="GG317" s="2" t="n">
        <v>604.304</v>
      </c>
      <c r="GH317" s="2" t="n">
        <v>1117.3</v>
      </c>
      <c r="GM317" s="2" t="n">
        <v>105.1</v>
      </c>
      <c r="GN317" s="2" t="n">
        <v>35.4</v>
      </c>
      <c r="GQ317" s="2" t="n">
        <v>31.7</v>
      </c>
      <c r="GS317" s="2" t="e">
        <v>#VALUE!</v>
      </c>
      <c r="GT317" s="2" t="e">
        <v>#VALUE!</v>
      </c>
      <c r="GW317" s="2" t="n">
        <v>158.109</v>
      </c>
      <c r="GX317" s="2" t="n">
        <v>338</v>
      </c>
      <c r="GY317" s="2" t="n">
        <v>0.9779371637951197</v>
      </c>
      <c r="GZ317" s="2" t="n">
        <v>1254.4</v>
      </c>
      <c r="HA317" s="2" t="n">
        <v>1282.7</v>
      </c>
      <c r="HB317" s="2" t="n">
        <v>-146.022541632</v>
      </c>
      <c r="HC317" s="2" t="n">
        <v>-50.27199793940008</v>
      </c>
      <c r="HD317" s="2" t="n">
        <v>1273.977458368</v>
      </c>
      <c r="HE317" s="2" t="n">
        <v>34.90000000000009</v>
      </c>
      <c r="HF317" s="2" t="n">
        <v>1420</v>
      </c>
      <c r="HG317" s="2" t="n">
        <v>1365.8</v>
      </c>
      <c r="HH317" s="2" t="n">
        <v>577.4</v>
      </c>
      <c r="HI317" s="2" t="n">
        <v>70</v>
      </c>
      <c r="HJ317" s="2" t="n">
        <v>707.8</v>
      </c>
      <c r="HK317" s="2" t="n">
        <v>10.6</v>
      </c>
      <c r="HL317" s="2" t="n">
        <v>54.3</v>
      </c>
      <c r="HP317" s="2" t="e">
        <v>#VALUE!</v>
      </c>
      <c r="HQ317" s="2" t="n">
        <v>8.6</v>
      </c>
      <c r="HR317" s="2" t="n">
        <v>5.2</v>
      </c>
      <c r="HS317" s="2" t="e">
        <v>#VALUE!</v>
      </c>
      <c r="HT317" s="2" t="n">
        <v>35</v>
      </c>
      <c r="HW317" s="2" t="n">
        <v>338.6</v>
      </c>
      <c r="HX317" s="2" t="e">
        <v>#VALUE!</v>
      </c>
      <c r="HY317" s="2" t="n">
        <v>338.6</v>
      </c>
      <c r="HZ317" s="2" t="n">
        <v>55.6</v>
      </c>
      <c r="IA317" s="2" t="n">
        <v>241.1</v>
      </c>
      <c r="IB317" s="2" t="n">
        <v>105.9</v>
      </c>
      <c r="IC317" s="2" t="n">
        <v>135.2</v>
      </c>
      <c r="ID317" s="2" t="n">
        <v>76.2</v>
      </c>
      <c r="IE317" s="2" t="n">
        <v>59</v>
      </c>
      <c r="IF317" s="2" t="e">
        <v>#VALUE!</v>
      </c>
      <c r="IG317" s="2" t="e">
        <v>#VALUE!</v>
      </c>
      <c r="IL317" s="2" t="n">
        <v>41.90000000000001</v>
      </c>
      <c r="IN317" s="2" t="n">
        <v>73.90000000000001</v>
      </c>
      <c r="IO317" s="2" t="n">
        <v>74</v>
      </c>
      <c r="IP317" s="2" t="e">
        <v>#VALUE!</v>
      </c>
      <c r="IQ317" s="2" t="n">
        <v>57.6</v>
      </c>
      <c r="IR317" s="2" t="n">
        <v>13.6</v>
      </c>
      <c r="IS317" s="2" t="e">
        <v>#VALUE!</v>
      </c>
      <c r="IT317" s="2" t="n">
        <v>42.3</v>
      </c>
      <c r="IU317" s="2" t="n">
        <v>1.674</v>
      </c>
      <c r="IV317" s="2" t="e">
        <v>#VALUE!</v>
      </c>
      <c r="IY317" s="2" t="n">
        <v>47.41878959428495</v>
      </c>
      <c r="IZ317" s="2" t="n">
        <v>0.3387895942849468</v>
      </c>
      <c r="JB317" s="2" t="n">
        <v>11.57366221862785</v>
      </c>
      <c r="JC317" s="2" t="n">
        <v>-0.0763377813721533</v>
      </c>
      <c r="JE317" s="2" t="n">
        <v>2190.5</v>
      </c>
      <c r="JF317" s="2" t="n">
        <v>0.8351905957543939</v>
      </c>
    </row>
    <row r="318">
      <c r="A318" s="1" t="n">
        <v>38718</v>
      </c>
      <c r="B318" s="2" t="n">
        <v>4572.8</v>
      </c>
      <c r="C318" s="2" t="n">
        <v>3523</v>
      </c>
      <c r="D318" s="2" t="n">
        <v>289.9</v>
      </c>
      <c r="E318" s="2" t="n">
        <v>1935.1</v>
      </c>
      <c r="G318" s="2" t="inlineStr">
        <is>
          <t>NA</t>
        </is>
      </c>
      <c r="H318" s="2" t="inlineStr">
        <is>
          <t>NA</t>
        </is>
      </c>
      <c r="I318" s="2" t="inlineStr">
        <is>
          <t>NA</t>
        </is>
      </c>
      <c r="J318" s="2" t="inlineStr">
        <is>
          <t>NA</t>
        </is>
      </c>
      <c r="K318" s="2" t="n">
        <v>1765.2</v>
      </c>
      <c r="L318" s="2" t="n">
        <v>2470.556</v>
      </c>
      <c r="M318" s="2" t="n">
        <v>2215.6</v>
      </c>
      <c r="N318" s="2" t="n">
        <v>254.956</v>
      </c>
      <c r="O318" s="2" t="n">
        <v>91</v>
      </c>
      <c r="P318" s="2" t="n">
        <v>84.7</v>
      </c>
      <c r="Q318" s="2" t="n">
        <v>8.300000000000001</v>
      </c>
      <c r="R318" s="2" t="n">
        <v>76.40000000000001</v>
      </c>
      <c r="U318" s="2" t="n">
        <v>22.5</v>
      </c>
      <c r="V318" s="2" t="n">
        <v>18.7</v>
      </c>
      <c r="W318" s="2" t="n">
        <v>3.8</v>
      </c>
      <c r="X318" s="2" t="inlineStr">
        <is>
          <t>NA</t>
        </is>
      </c>
      <c r="Y318" s="2" t="e">
        <v>#VALUE!</v>
      </c>
      <c r="Z318" s="2" t="n">
        <v>56.9</v>
      </c>
      <c r="AA318" s="2" t="e">
        <v>#VALUE!</v>
      </c>
      <c r="AB318" s="2" t="e">
        <v>#VALUE!</v>
      </c>
      <c r="AC318" s="2" t="inlineStr">
        <is>
          <t>NA</t>
        </is>
      </c>
      <c r="AD318" s="2" t="n">
        <v>74.09999999999999</v>
      </c>
      <c r="AE318" s="2" t="n">
        <v>76.5</v>
      </c>
      <c r="AF318" s="2" t="n">
        <v>91.89999999999999</v>
      </c>
      <c r="AG318" s="2" t="n">
        <v>68.59999999999999</v>
      </c>
      <c r="AH318" s="2" t="n">
        <v>23.3</v>
      </c>
      <c r="AI318" s="2" t="n">
        <v>209.2</v>
      </c>
      <c r="AL318" s="2" t="n">
        <v>142.8</v>
      </c>
      <c r="AM318" s="2" t="n">
        <v>64.8</v>
      </c>
      <c r="AN318" s="2" t="n">
        <v>78</v>
      </c>
      <c r="AO318" s="2" t="n">
        <v>3332.2</v>
      </c>
      <c r="AP318" s="2" t="n">
        <v>297.6</v>
      </c>
      <c r="AQ318" s="2" t="n">
        <v>257.3</v>
      </c>
      <c r="AR318" s="2" t="n">
        <v>29.1</v>
      </c>
      <c r="AS318" s="2" t="n">
        <v>128.2</v>
      </c>
      <c r="AT318" s="2" t="n">
        <v>29.7</v>
      </c>
      <c r="AU318" s="2" t="n">
        <v>82.2</v>
      </c>
      <c r="AV318" s="2" t="n">
        <v>10.3</v>
      </c>
      <c r="AY318" s="2" t="inlineStr">
        <is>
          <t>NA</t>
        </is>
      </c>
      <c r="AZ318" s="2" t="inlineStr">
        <is>
          <t>NA</t>
        </is>
      </c>
      <c r="BA318" s="2" t="inlineStr">
        <is>
          <t>NA</t>
        </is>
      </c>
      <c r="BB318" s="2" t="inlineStr">
        <is>
          <t>NA</t>
        </is>
      </c>
      <c r="BD318" s="2" t="n">
        <v>140.5</v>
      </c>
      <c r="BE318" s="2" t="n">
        <v>24.5</v>
      </c>
      <c r="BF318" s="2" t="n">
        <v>82.2</v>
      </c>
      <c r="BG318" s="2" t="n">
        <v>7.2</v>
      </c>
      <c r="BH318" s="2" t="n">
        <v>319.4</v>
      </c>
      <c r="BI318" s="2" t="n">
        <v>123.6</v>
      </c>
      <c r="BJ318" s="2" t="n">
        <v>97.5</v>
      </c>
      <c r="BK318" s="2" t="n">
        <v>221.1</v>
      </c>
      <c r="BM318" s="2" t="n">
        <v>540.5</v>
      </c>
      <c r="BN318" s="2" t="n">
        <v>199.9</v>
      </c>
      <c r="BO318" s="2" t="n">
        <v>43.5</v>
      </c>
      <c r="BP318" s="2" t="n">
        <v>22.5</v>
      </c>
      <c r="BQ318" s="2" t="n">
        <v>66</v>
      </c>
      <c r="BS318" s="2" t="n">
        <v>265.9</v>
      </c>
      <c r="BT318" s="2" t="n">
        <v>27.3</v>
      </c>
      <c r="BU318" s="2" t="n">
        <v>11.3</v>
      </c>
      <c r="BV318" s="2" t="inlineStr">
        <is>
          <t>NA</t>
        </is>
      </c>
      <c r="BW318" s="2" t="inlineStr">
        <is>
          <t>NA</t>
        </is>
      </c>
      <c r="BX318" s="2" t="n">
        <v>394.3</v>
      </c>
      <c r="BY318" s="2" t="inlineStr">
        <is>
          <t>NA</t>
        </is>
      </c>
      <c r="BZ318" s="2" t="inlineStr">
        <is>
          <t>NA</t>
        </is>
      </c>
      <c r="CA318" s="2" t="n">
        <v>42</v>
      </c>
      <c r="CB318" s="2" t="n">
        <v>101</v>
      </c>
      <c r="CC318" s="2" t="n">
        <v>15.2</v>
      </c>
      <c r="CD318" s="2" t="n">
        <v>118.1</v>
      </c>
      <c r="CE318" s="2" t="n">
        <v>11.9</v>
      </c>
      <c r="CF318" s="2" t="n">
        <v>109.4</v>
      </c>
      <c r="CG318" s="2" t="n">
        <v>89.90000000000001</v>
      </c>
      <c r="CH318" s="2" t="n">
        <v>7.6</v>
      </c>
      <c r="CI318" s="2" t="n">
        <v>34</v>
      </c>
      <c r="CJ318" s="2" t="n">
        <v>4.7</v>
      </c>
      <c r="CK318" s="2" t="n">
        <v>157.3</v>
      </c>
      <c r="CL318" s="2" t="n">
        <v>19.7</v>
      </c>
      <c r="CN318" s="2" t="n">
        <v>55.4</v>
      </c>
      <c r="CO318" s="2" t="n">
        <v>199.4</v>
      </c>
      <c r="CP318" s="2" t="n">
        <v>143.8</v>
      </c>
      <c r="CQ318" s="2" t="n">
        <v>55.6</v>
      </c>
      <c r="CR318" s="2" t="inlineStr">
        <is>
          <t>NA</t>
        </is>
      </c>
      <c r="CS318" s="2" t="n">
        <v>35.6</v>
      </c>
      <c r="CT318" s="2" t="e">
        <v>#VALUE!</v>
      </c>
      <c r="CU318" s="2" t="e">
        <v>#VALUE!</v>
      </c>
      <c r="CV318" s="2" t="n">
        <v>136.1</v>
      </c>
      <c r="CW318" s="2" t="e">
        <v>#VALUE!</v>
      </c>
      <c r="CX318" s="2" t="e">
        <v>#VALUE!</v>
      </c>
      <c r="CY318" s="2" t="e">
        <v>#VALUE!</v>
      </c>
      <c r="CZ318" s="2" t="n">
        <v>51</v>
      </c>
      <c r="DA318" s="2" t="n">
        <v>15.1</v>
      </c>
      <c r="DB318" s="2" t="e">
        <v>#VALUE!</v>
      </c>
      <c r="DC318" s="2" t="e">
        <v>#VALUE!</v>
      </c>
      <c r="DI318" s="2" t="n">
        <v>704.8</v>
      </c>
      <c r="DJ318" s="2" t="n">
        <v>429.4</v>
      </c>
      <c r="DM318" s="2" t="n">
        <v>490.1</v>
      </c>
      <c r="DO318" s="2" t="n">
        <v>195.8</v>
      </c>
      <c r="DP318" s="2" t="n">
        <v>330.3</v>
      </c>
      <c r="DS318" s="2" t="n">
        <v>2448.712</v>
      </c>
      <c r="DT318" s="2" t="n">
        <v>4572.8</v>
      </c>
      <c r="DU318" s="2" t="n">
        <v>26.31199999999899</v>
      </c>
      <c r="DV318" s="2" t="n">
        <v>0</v>
      </c>
      <c r="EA318" s="2" t="n">
        <v>737.4</v>
      </c>
      <c r="EB318" s="2" t="n">
        <v>577.7</v>
      </c>
      <c r="EE318" s="2" t="n">
        <v>184.9</v>
      </c>
      <c r="EG318" s="2" t="n">
        <v>145.831</v>
      </c>
      <c r="EH318" s="2" t="e">
        <v>#VALUE!</v>
      </c>
      <c r="EK318" s="2" t="n">
        <v>1496.935</v>
      </c>
      <c r="EL318" s="2" t="n">
        <v>3523</v>
      </c>
      <c r="EQ318" s="2" t="n">
        <v>273.5</v>
      </c>
      <c r="ER318" s="2" t="n">
        <v>166</v>
      </c>
      <c r="EU318" s="2" t="n">
        <v>190.9</v>
      </c>
      <c r="EW318" s="2" t="n">
        <v>75.40000000000001</v>
      </c>
      <c r="EX318" s="2" t="n">
        <v>124.1</v>
      </c>
      <c r="FA318" s="2" t="n">
        <v>944.079</v>
      </c>
      <c r="FB318" s="2" t="n">
        <v>1765.2</v>
      </c>
      <c r="FG318" s="2" t="n">
        <v>550.7</v>
      </c>
      <c r="FH318" s="2" t="n">
        <v>339.7</v>
      </c>
      <c r="FK318" s="2" t="n">
        <v>384.2</v>
      </c>
      <c r="FM318" s="2" t="n">
        <v>154.6</v>
      </c>
      <c r="FN318" s="2" t="n">
        <v>260.8</v>
      </c>
      <c r="FQ318" s="2" t="n">
        <v>1926.366</v>
      </c>
      <c r="FR318" s="2" t="n">
        <v>3598.3</v>
      </c>
      <c r="FW318" s="2" t="n">
        <v>256.2</v>
      </c>
      <c r="FX318" s="2" t="n">
        <v>143.8</v>
      </c>
      <c r="GA318" s="2" t="n">
        <v>127.4</v>
      </c>
      <c r="GC318" s="2" t="n">
        <v>76.40000000000001</v>
      </c>
      <c r="GD318" s="2" t="inlineStr">
        <is>
          <t>(D)</t>
        </is>
      </c>
      <c r="GG318" s="2" t="n">
        <v>629.365</v>
      </c>
      <c r="GH318" s="2" t="n">
        <v>1242.8</v>
      </c>
      <c r="GM318" s="2" t="n">
        <v>73.8</v>
      </c>
      <c r="GN318" s="2" t="n">
        <v>39.6</v>
      </c>
      <c r="GQ318" s="2" t="n">
        <v>36.5</v>
      </c>
      <c r="GS318" s="2" t="n">
        <v>5.8</v>
      </c>
      <c r="GT318" s="2" t="e">
        <v>#VALUE!</v>
      </c>
      <c r="GW318" s="2" t="n">
        <v>171.981</v>
      </c>
      <c r="GX318" s="2" t="n">
        <v>326.6</v>
      </c>
      <c r="GY318" s="2" t="n">
        <v>0.9713462704669497</v>
      </c>
      <c r="GZ318" s="2" t="n">
        <v>1281.4</v>
      </c>
      <c r="HA318" s="2" t="n">
        <v>1319.2</v>
      </c>
      <c r="HB318" s="2" t="n">
        <v>-42.73323317880022</v>
      </c>
      <c r="HC318" s="2" t="n">
        <v>60.77444971919977</v>
      </c>
      <c r="HD318" s="2" t="n">
        <v>1416.7667668212</v>
      </c>
      <c r="HE318" s="2" t="n">
        <v>89.79999999999995</v>
      </c>
      <c r="HF318" s="2" t="n">
        <v>1459.5</v>
      </c>
      <c r="HG318" s="2" t="n">
        <v>1307.5</v>
      </c>
      <c r="HH318" s="2" t="n">
        <v>526.4</v>
      </c>
      <c r="HI318" s="2" t="n">
        <v>74.22288</v>
      </c>
      <c r="HJ318" s="2" t="n">
        <v>698.5</v>
      </c>
      <c r="HK318" s="2" t="n">
        <v>8.300000000000001</v>
      </c>
      <c r="HL318" s="2" t="n">
        <v>152</v>
      </c>
      <c r="HM318" s="2" t="n">
        <v>94.40000000000001</v>
      </c>
      <c r="HN318" s="2" t="inlineStr">
        <is>
          <t>(D)</t>
        </is>
      </c>
      <c r="HO318" s="2" t="inlineStr">
        <is>
          <t>(D)</t>
        </is>
      </c>
      <c r="HQ318" s="2" t="n">
        <v>4.3</v>
      </c>
      <c r="HR318" s="2" t="n">
        <v>9.5</v>
      </c>
      <c r="HT318" s="2" t="n">
        <v>43.8</v>
      </c>
      <c r="HW318" s="2" t="n">
        <v>373.7</v>
      </c>
      <c r="HX318" s="2" t="inlineStr">
        <is>
          <t>-</t>
        </is>
      </c>
      <c r="HY318" s="2" t="n">
        <v>373.7</v>
      </c>
      <c r="HZ318" s="2" t="inlineStr">
        <is>
          <t>(D)</t>
        </is>
      </c>
      <c r="IA318" s="2" t="n">
        <v>235.7</v>
      </c>
      <c r="IB318" s="2" t="n">
        <v>100.9</v>
      </c>
      <c r="IC318" s="2" t="n">
        <v>134.7</v>
      </c>
      <c r="ID318" s="2" t="n">
        <v>73.09999999999999</v>
      </c>
      <c r="IE318" s="2" t="n">
        <v>61.7</v>
      </c>
      <c r="IL318" s="2" t="inlineStr">
        <is>
          <t>(D)</t>
        </is>
      </c>
      <c r="IN318" s="2" t="n">
        <v>70.3</v>
      </c>
      <c r="IO318" s="2" t="n">
        <v>70.90000000000001</v>
      </c>
      <c r="IP318" s="2" t="inlineStr">
        <is>
          <t>(D)</t>
        </is>
      </c>
      <c r="IQ318" s="2" t="n">
        <v>54.3</v>
      </c>
      <c r="IR318" s="2" t="n">
        <v>15.5</v>
      </c>
      <c r="IT318" s="2" t="n">
        <v>37.3</v>
      </c>
      <c r="IU318" s="2" t="n">
        <v>1.5</v>
      </c>
      <c r="IV318" s="2" t="inlineStr">
        <is>
          <t>(D)</t>
        </is>
      </c>
      <c r="IY318" s="2" t="n">
        <v>47.09805808257522</v>
      </c>
      <c r="IZ318" s="2" t="n">
        <v>0.0880580825752233</v>
      </c>
      <c r="JB318" s="2" t="n">
        <v>11.58065080475857</v>
      </c>
      <c r="JC318" s="2" t="n">
        <v>-0.05934919524142934</v>
      </c>
      <c r="JE318" s="2" t="n">
        <v>2470.556</v>
      </c>
      <c r="JF318" s="2" t="n">
        <v>0.8324794094932476</v>
      </c>
    </row>
    <row r="319">
      <c r="A319" s="1" t="n">
        <v>38749</v>
      </c>
      <c r="B319" s="2" t="n">
        <v>4090.5</v>
      </c>
      <c r="C319" s="2" t="n">
        <v>3240.6</v>
      </c>
      <c r="D319" s="2" t="n">
        <v>245</v>
      </c>
      <c r="E319" s="2" t="n">
        <v>1859.4</v>
      </c>
      <c r="F319" s="2" t="n">
        <v>19.1</v>
      </c>
      <c r="G319" s="2" t="inlineStr">
        <is>
          <t>NA</t>
        </is>
      </c>
      <c r="H319" s="2" t="inlineStr">
        <is>
          <t>NA</t>
        </is>
      </c>
      <c r="I319" s="2" t="inlineStr">
        <is>
          <t>NA</t>
        </is>
      </c>
      <c r="J319" s="2" t="inlineStr">
        <is>
          <t>NA</t>
        </is>
      </c>
      <c r="K319" s="2" t="n">
        <v>1588.2</v>
      </c>
      <c r="L319" s="2" t="n">
        <v>2762.599</v>
      </c>
      <c r="M319" s="2" t="n">
        <v>2480.6</v>
      </c>
      <c r="N319" s="2" t="n">
        <v>281.999</v>
      </c>
      <c r="O319" s="2" t="n">
        <v>77.2</v>
      </c>
      <c r="P319" s="2" t="n">
        <v>100.9</v>
      </c>
      <c r="Q319" s="2" t="n">
        <v>8.5</v>
      </c>
      <c r="R319" s="2" t="n">
        <v>92.40000000000001</v>
      </c>
      <c r="T319" s="2" t="n">
        <v>16.5</v>
      </c>
      <c r="U319" s="2" t="n">
        <v>29.3</v>
      </c>
      <c r="V319" s="2" t="n">
        <v>25.2</v>
      </c>
      <c r="W319" s="2" t="n">
        <v>4.1</v>
      </c>
      <c r="X319" s="2" t="inlineStr">
        <is>
          <t>NA</t>
        </is>
      </c>
      <c r="Y319" s="2" t="e">
        <v>#VALUE!</v>
      </c>
      <c r="Z319" s="2" t="n">
        <v>67.7</v>
      </c>
      <c r="AA319" s="2" t="e">
        <v>#VALUE!</v>
      </c>
      <c r="AB319" s="2" t="e">
        <v>#VALUE!</v>
      </c>
      <c r="AC319" s="2" t="inlineStr">
        <is>
          <t>NA</t>
        </is>
      </c>
      <c r="AD319" s="2" t="n">
        <v>49.8</v>
      </c>
      <c r="AE319" s="2" t="n">
        <v>52</v>
      </c>
      <c r="AF319" s="2" t="n">
        <v>142.1</v>
      </c>
      <c r="AG319" s="2" t="n">
        <v>114.9</v>
      </c>
      <c r="AH319" s="2" t="n">
        <v>27.2</v>
      </c>
      <c r="AI319" s="2" t="n">
        <v>184.8</v>
      </c>
      <c r="AL319" s="2" t="n">
        <v>149.6</v>
      </c>
      <c r="AM319" s="2" t="n">
        <v>74.09999999999999</v>
      </c>
      <c r="AN319" s="2" t="n">
        <v>75.5</v>
      </c>
      <c r="AO319" s="2" t="n">
        <v>2982.2</v>
      </c>
      <c r="AP319" s="2" t="n">
        <v>266</v>
      </c>
      <c r="AQ319" s="2" t="n">
        <v>233</v>
      </c>
      <c r="AR319" s="2" t="n">
        <v>35.6</v>
      </c>
      <c r="AS319" s="2" t="n">
        <v>108.2</v>
      </c>
      <c r="AT319" s="2" t="n">
        <v>23.1</v>
      </c>
      <c r="AU319" s="2" t="n">
        <v>69.90000000000001</v>
      </c>
      <c r="AV319" s="2" t="n">
        <v>10.9</v>
      </c>
      <c r="AW319" s="2" t="n">
        <v>10.5</v>
      </c>
      <c r="AX319" s="2" t="n">
        <v>0.9</v>
      </c>
      <c r="AY319" s="2" t="inlineStr">
        <is>
          <t>NA</t>
        </is>
      </c>
      <c r="AZ319" s="2" t="inlineStr">
        <is>
          <t>NA</t>
        </is>
      </c>
      <c r="BA319" s="2" t="inlineStr">
        <is>
          <t>NA</t>
        </is>
      </c>
      <c r="BB319" s="2" t="inlineStr">
        <is>
          <t>NA</t>
        </is>
      </c>
      <c r="BD319" s="2" t="n">
        <v>131.6</v>
      </c>
      <c r="BE319" s="2" t="n">
        <v>24.6</v>
      </c>
      <c r="BF319" s="2" t="n">
        <v>79</v>
      </c>
      <c r="BG319" s="2" t="n">
        <v>9.5</v>
      </c>
      <c r="BH319" s="2" t="n">
        <v>287.6</v>
      </c>
      <c r="BI319" s="2" t="n">
        <v>110</v>
      </c>
      <c r="BJ319" s="2" t="n">
        <v>95.8</v>
      </c>
      <c r="BK319" s="2" t="n">
        <v>205.8</v>
      </c>
      <c r="BM319" s="2" t="n">
        <v>493.5</v>
      </c>
      <c r="BN319" s="2" t="n">
        <v>228.9</v>
      </c>
      <c r="BO319" s="2" t="n">
        <v>49.2</v>
      </c>
      <c r="BP319" s="2" t="n">
        <v>25.3</v>
      </c>
      <c r="BQ319" s="2" t="n">
        <v>74.5</v>
      </c>
      <c r="BS319" s="2" t="n">
        <v>303.4</v>
      </c>
      <c r="BT319" s="2" t="n">
        <v>26.3</v>
      </c>
      <c r="BU319" s="2" t="n">
        <v>13.6</v>
      </c>
      <c r="BV319" s="2" t="inlineStr">
        <is>
          <t>NA</t>
        </is>
      </c>
      <c r="BW319" s="2" t="inlineStr">
        <is>
          <t>NA</t>
        </is>
      </c>
      <c r="BX319" s="2" t="n">
        <v>359.1</v>
      </c>
      <c r="BY319" s="2" t="inlineStr">
        <is>
          <t>NA</t>
        </is>
      </c>
      <c r="BZ319" s="2" t="inlineStr">
        <is>
          <t>NA</t>
        </is>
      </c>
      <c r="CA319" s="2" t="n">
        <v>42.2</v>
      </c>
      <c r="CB319" s="2" t="n">
        <v>95.7</v>
      </c>
      <c r="CC319" s="2" t="n">
        <v>17.5</v>
      </c>
      <c r="CD319" s="2" t="n">
        <v>109.9</v>
      </c>
      <c r="CE319" s="2" t="n">
        <v>13.3</v>
      </c>
      <c r="CF319" s="2" t="n">
        <v>108.8</v>
      </c>
      <c r="CG319" s="2" t="n">
        <v>99.09999999999999</v>
      </c>
      <c r="CH319" s="2" t="n">
        <v>7.3</v>
      </c>
      <c r="CI319" s="2" t="n">
        <v>30</v>
      </c>
      <c r="CJ319" s="2" t="n">
        <v>8.6</v>
      </c>
      <c r="CK319" s="2" t="n">
        <v>153</v>
      </c>
      <c r="CL319" s="2" t="n">
        <v>16.2</v>
      </c>
      <c r="CN319" s="2" t="n">
        <v>45.9</v>
      </c>
      <c r="CO319" s="2" t="n">
        <v>214.7</v>
      </c>
      <c r="CP319" s="2" t="n">
        <v>163.6</v>
      </c>
      <c r="CQ319" s="2" t="n">
        <v>51.1</v>
      </c>
      <c r="CR319" s="2" t="inlineStr">
        <is>
          <t>NA</t>
        </is>
      </c>
      <c r="CS319" s="2" t="n">
        <v>39.1</v>
      </c>
      <c r="CT319" s="2" t="e">
        <v>#VALUE!</v>
      </c>
      <c r="CU319" s="2" t="e">
        <v>#VALUE!</v>
      </c>
      <c r="CV319" s="2" t="n">
        <v>162.9</v>
      </c>
      <c r="CW319" s="2" t="e">
        <v>#VALUE!</v>
      </c>
      <c r="CX319" s="2" t="e">
        <v>#VALUE!</v>
      </c>
      <c r="CY319" s="2" t="e">
        <v>#VALUE!</v>
      </c>
      <c r="CZ319" s="2" t="n">
        <v>70.3</v>
      </c>
      <c r="DA319" s="2" t="n">
        <v>11.8</v>
      </c>
      <c r="DB319" s="2" t="e">
        <v>#VALUE!</v>
      </c>
      <c r="DC319" s="2" t="e">
        <v>#VALUE!</v>
      </c>
      <c r="DI319" s="2" t="n">
        <v>616.7</v>
      </c>
      <c r="DJ319" s="2" t="n">
        <v>361.7</v>
      </c>
      <c r="DM319" s="2" t="n">
        <v>441</v>
      </c>
      <c r="DO319" s="2" t="n">
        <v>162.4</v>
      </c>
      <c r="DP319" s="2" t="n">
        <v>288.2</v>
      </c>
      <c r="DS319" s="2" t="n">
        <v>2253.238</v>
      </c>
      <c r="DT319" s="2" t="n">
        <v>4090.5</v>
      </c>
      <c r="DU319" s="2" t="n">
        <v>32.73800000000028</v>
      </c>
      <c r="DV319" s="2" t="n">
        <v>0</v>
      </c>
      <c r="EA319" s="2" t="n">
        <v>672</v>
      </c>
      <c r="EB319" s="2" t="n">
        <v>573.5</v>
      </c>
      <c r="EE319" s="2" t="n">
        <v>167.6</v>
      </c>
      <c r="EG319" s="2" t="n">
        <v>107.045</v>
      </c>
      <c r="EH319" s="2" t="n">
        <v>289</v>
      </c>
      <c r="EK319" s="2" t="n">
        <v>1372.991</v>
      </c>
      <c r="EL319" s="2" t="n">
        <v>3240.6</v>
      </c>
      <c r="EQ319" s="2" t="n">
        <v>245.1</v>
      </c>
      <c r="ER319" s="2" t="n">
        <v>139.7</v>
      </c>
      <c r="EU319" s="2" t="n">
        <v>171.2</v>
      </c>
      <c r="EW319" s="2" t="n">
        <v>62.5</v>
      </c>
      <c r="EX319" s="2" t="n">
        <v>111.4</v>
      </c>
      <c r="FA319" s="2" t="n">
        <v>877.476</v>
      </c>
      <c r="FB319" s="2" t="n">
        <v>1588.2</v>
      </c>
      <c r="FG319" s="2" t="n">
        <v>477.5</v>
      </c>
      <c r="FH319" s="2" t="n">
        <v>284.7</v>
      </c>
      <c r="FK319" s="2" t="n">
        <v>350.3</v>
      </c>
      <c r="FM319" s="2" t="n">
        <v>128.4</v>
      </c>
      <c r="FN319" s="2" t="n">
        <v>231</v>
      </c>
      <c r="FQ319" s="2" t="n">
        <v>1776.706</v>
      </c>
      <c r="FR319" s="2" t="n">
        <v>3223</v>
      </c>
      <c r="FW319" s="2" t="n">
        <v>296.6</v>
      </c>
      <c r="FX319" s="2" t="n">
        <v>158.1</v>
      </c>
      <c r="GA319" s="2" t="n">
        <v>143.5</v>
      </c>
      <c r="GC319" s="2" t="n">
        <v>60.5</v>
      </c>
      <c r="GD319" s="2" t="n">
        <v>21.52</v>
      </c>
      <c r="GG319" s="2" t="n">
        <v>617.978</v>
      </c>
      <c r="GH319" s="2" t="n">
        <v>1409.7</v>
      </c>
      <c r="GM319" s="2" t="n">
        <v>54.7</v>
      </c>
      <c r="GN319" s="2" t="e">
        <v>#VALUE!</v>
      </c>
      <c r="GQ319" s="2" t="n">
        <v>40.9</v>
      </c>
      <c r="GS319" s="2" t="n">
        <v>6.4</v>
      </c>
      <c r="GT319" s="2" t="n">
        <v>11.1</v>
      </c>
      <c r="GW319" s="2" t="n">
        <v>154.385</v>
      </c>
      <c r="GX319" s="2" t="n">
        <v>301.6</v>
      </c>
      <c r="GY319" s="2" t="n">
        <v>0.9702961821605889</v>
      </c>
      <c r="GZ319" s="2" t="n">
        <v>1133.5</v>
      </c>
      <c r="HA319" s="2" t="n">
        <v>1168.2</v>
      </c>
      <c r="HB319" s="2" t="n">
        <v>-87.36788496559984</v>
      </c>
      <c r="HC319" s="2" t="n">
        <v>-30.04790845679986</v>
      </c>
      <c r="HD319" s="2" t="n">
        <v>1231.1321150344</v>
      </c>
      <c r="HE319" s="2" t="n">
        <v>-89.29999999999995</v>
      </c>
      <c r="HF319" s="2" t="n">
        <v>1318.5</v>
      </c>
      <c r="HG319" s="2" t="n">
        <v>1188.9</v>
      </c>
      <c r="HH319" s="2" t="n">
        <v>493.8</v>
      </c>
      <c r="HI319" s="2" t="n">
        <v>76.3</v>
      </c>
      <c r="HJ319" s="2" t="n">
        <v>610.5</v>
      </c>
      <c r="HK319" s="2" t="n">
        <v>8.300000000000001</v>
      </c>
      <c r="HL319" s="2" t="n">
        <v>129.6</v>
      </c>
      <c r="HM319" s="2" t="n">
        <v>81.59999999999999</v>
      </c>
      <c r="HN319" s="2" t="inlineStr">
        <is>
          <t>(D)</t>
        </is>
      </c>
      <c r="HO319" s="2" t="inlineStr">
        <is>
          <t>(D)</t>
        </is>
      </c>
      <c r="HQ319" s="2" t="n">
        <v>5.1</v>
      </c>
      <c r="HR319" s="2" t="n">
        <v>9.699999999999999</v>
      </c>
      <c r="HT319" s="2" t="n">
        <v>33.2</v>
      </c>
      <c r="HW319" s="2" t="n">
        <v>334</v>
      </c>
      <c r="HX319" s="2" t="inlineStr">
        <is>
          <t>-</t>
        </is>
      </c>
      <c r="HY319" s="2" t="n">
        <v>334</v>
      </c>
      <c r="HZ319" s="2" t="inlineStr">
        <is>
          <t>(D)</t>
        </is>
      </c>
      <c r="IA319" s="2" t="n">
        <v>207</v>
      </c>
      <c r="IB319" s="2" t="n">
        <v>92.5</v>
      </c>
      <c r="IC319" s="2" t="n">
        <v>114.6</v>
      </c>
      <c r="ID319" s="2" t="n">
        <v>65.5</v>
      </c>
      <c r="IE319" s="2" t="n">
        <v>49</v>
      </c>
      <c r="IL319" s="2" t="inlineStr">
        <is>
          <t>(D)</t>
        </is>
      </c>
      <c r="IN319" s="2" t="n">
        <v>63.8</v>
      </c>
      <c r="IO319" s="2" t="n">
        <v>64</v>
      </c>
      <c r="IP319" s="2" t="inlineStr">
        <is>
          <t>(D)</t>
        </is>
      </c>
      <c r="IQ319" s="2" t="n">
        <v>42.5</v>
      </c>
      <c r="IR319" s="2" t="n">
        <v>12.1</v>
      </c>
      <c r="IT319" s="2" t="n">
        <v>29</v>
      </c>
      <c r="IU319" s="2" t="n">
        <v>1.4</v>
      </c>
      <c r="IV319" s="2" t="inlineStr">
        <is>
          <t>(D)</t>
        </is>
      </c>
      <c r="IY319" s="2" t="n">
        <v>47.16098276494316</v>
      </c>
      <c r="IZ319" s="2" t="n">
        <v>0.04098276494316622</v>
      </c>
      <c r="JB319" s="2" t="n">
        <v>11.64796479647965</v>
      </c>
      <c r="JC319" s="2" t="n">
        <v>-0.08203520352035198</v>
      </c>
      <c r="JE319" s="2" t="n">
        <v>2762.599</v>
      </c>
      <c r="JF319" s="2" t="n">
        <v>0.8385187281976139</v>
      </c>
    </row>
    <row r="320">
      <c r="A320" s="1" t="n">
        <v>38777</v>
      </c>
      <c r="B320" s="2" t="n">
        <v>4486</v>
      </c>
      <c r="C320" s="2" t="n">
        <v>2700.5</v>
      </c>
      <c r="D320" s="2" t="n">
        <v>276.7</v>
      </c>
      <c r="E320" s="2" t="n">
        <v>1732.9</v>
      </c>
      <c r="F320" s="2" t="n">
        <v>17.761</v>
      </c>
      <c r="G320" s="2" t="inlineStr">
        <is>
          <t>NA</t>
        </is>
      </c>
      <c r="H320" s="2" t="inlineStr">
        <is>
          <t>NA</t>
        </is>
      </c>
      <c r="I320" s="2" t="inlineStr">
        <is>
          <t>NA</t>
        </is>
      </c>
      <c r="J320" s="2" t="inlineStr">
        <is>
          <t>NA</t>
        </is>
      </c>
      <c r="K320" s="2" t="n">
        <v>1746.5</v>
      </c>
      <c r="L320" s="2" t="n">
        <v>2752.532</v>
      </c>
      <c r="M320" s="2" t="n">
        <v>2467.5</v>
      </c>
      <c r="N320" s="2" t="n">
        <v>285.032</v>
      </c>
      <c r="O320" s="2" t="n">
        <v>87.8</v>
      </c>
      <c r="P320" s="2" t="n">
        <v>108.5</v>
      </c>
      <c r="Q320" s="2" t="n">
        <v>16.5</v>
      </c>
      <c r="R320" s="2" t="n">
        <v>92</v>
      </c>
      <c r="U320" s="2" t="n">
        <v>29.2</v>
      </c>
      <c r="V320" s="2" t="n">
        <v>23.7</v>
      </c>
      <c r="W320" s="2" t="n">
        <v>5.5</v>
      </c>
      <c r="X320" s="2" t="inlineStr">
        <is>
          <t>NA</t>
        </is>
      </c>
      <c r="Y320" s="2" t="e">
        <v>#VALUE!</v>
      </c>
      <c r="Z320" s="2" t="n">
        <v>97.5</v>
      </c>
      <c r="AA320" s="2" t="e">
        <v>#VALUE!</v>
      </c>
      <c r="AB320" s="2" t="e">
        <v>#VALUE!</v>
      </c>
      <c r="AC320" s="2" t="inlineStr">
        <is>
          <t>NA</t>
        </is>
      </c>
      <c r="AD320" s="2" t="n">
        <v>66.2</v>
      </c>
      <c r="AE320" s="2" t="n">
        <v>67.7</v>
      </c>
      <c r="AF320" s="2" t="n">
        <v>177.3</v>
      </c>
      <c r="AG320" s="2" t="n">
        <v>147.7</v>
      </c>
      <c r="AH320" s="2" t="n">
        <v>29.6</v>
      </c>
      <c r="AI320" s="2" t="n">
        <v>217.6</v>
      </c>
      <c r="AL320" s="2" t="n">
        <v>211.1</v>
      </c>
      <c r="AM320" s="2" t="n">
        <v>116.2</v>
      </c>
      <c r="AN320" s="2" t="n">
        <v>94.90000000000001</v>
      </c>
      <c r="AO320" s="2" t="n">
        <v>3249.6</v>
      </c>
      <c r="AP320" s="2" t="n">
        <v>255.1</v>
      </c>
      <c r="AQ320" s="2" t="n">
        <v>254.4</v>
      </c>
      <c r="AR320" s="2" t="n">
        <v>31.4</v>
      </c>
      <c r="AS320" s="2" t="n">
        <v>119.4</v>
      </c>
      <c r="AT320" s="2" t="n">
        <v>14.4</v>
      </c>
      <c r="AU320" s="2" t="n">
        <v>82.5</v>
      </c>
      <c r="AV320" s="2" t="n">
        <v>15.2</v>
      </c>
      <c r="AY320" s="2" t="inlineStr">
        <is>
          <t>NA</t>
        </is>
      </c>
      <c r="AZ320" s="2" t="inlineStr">
        <is>
          <t>NA</t>
        </is>
      </c>
      <c r="BA320" s="2" t="inlineStr">
        <is>
          <t>NA</t>
        </is>
      </c>
      <c r="BB320" s="2" t="inlineStr">
        <is>
          <t>NA</t>
        </is>
      </c>
      <c r="BD320" s="2" t="n">
        <v>156</v>
      </c>
      <c r="BE320" s="2" t="n">
        <v>24.3</v>
      </c>
      <c r="BF320" s="2" t="n">
        <v>86.8</v>
      </c>
      <c r="BG320" s="2" t="n">
        <v>10.2</v>
      </c>
      <c r="BH320" s="2" t="n">
        <v>342.5</v>
      </c>
      <c r="BI320" s="2" t="n">
        <v>137.2</v>
      </c>
      <c r="BJ320" s="2" t="n">
        <v>106.2</v>
      </c>
      <c r="BK320" s="2" t="n">
        <v>243.4</v>
      </c>
      <c r="BM320" s="2" t="n">
        <v>586</v>
      </c>
      <c r="BN320" s="2" t="n">
        <v>225.3</v>
      </c>
      <c r="BO320" s="2" t="n">
        <v>69.90000000000001</v>
      </c>
      <c r="BP320" s="2" t="n">
        <v>22.1</v>
      </c>
      <c r="BQ320" s="2" t="n">
        <v>92</v>
      </c>
      <c r="BS320" s="2" t="n">
        <v>317.3</v>
      </c>
      <c r="BT320" s="2" t="n">
        <v>28.9</v>
      </c>
      <c r="BU320" s="2" t="n">
        <v>13.7</v>
      </c>
      <c r="BV320" s="2" t="inlineStr">
        <is>
          <t>NA</t>
        </is>
      </c>
      <c r="BW320" s="2" t="inlineStr">
        <is>
          <t>NA</t>
        </is>
      </c>
      <c r="BX320" s="2" t="n">
        <v>412.4</v>
      </c>
      <c r="BY320" s="2" t="inlineStr">
        <is>
          <t>NA</t>
        </is>
      </c>
      <c r="BZ320" s="2" t="inlineStr">
        <is>
          <t>NA</t>
        </is>
      </c>
      <c r="CA320" s="2" t="n">
        <v>57.3</v>
      </c>
      <c r="CB320" s="2" t="n">
        <v>111</v>
      </c>
      <c r="CC320" s="2" t="n">
        <v>15.7</v>
      </c>
      <c r="CD320" s="2" t="n">
        <v>126.2</v>
      </c>
      <c r="CE320" s="2" t="n">
        <v>12.3</v>
      </c>
      <c r="CF320" s="2" t="n">
        <v>108</v>
      </c>
      <c r="CG320" s="2" t="n">
        <v>82.59999999999999</v>
      </c>
      <c r="CH320" s="2" t="n">
        <v>6.8</v>
      </c>
      <c r="CI320" s="2" t="n">
        <v>34.9</v>
      </c>
      <c r="CJ320" s="2" t="n">
        <v>7.5</v>
      </c>
      <c r="CK320" s="2" t="n">
        <v>171</v>
      </c>
      <c r="CL320" s="2" t="n">
        <v>19.6</v>
      </c>
      <c r="CN320" s="2" t="n">
        <v>54.9</v>
      </c>
      <c r="CO320" s="2" t="n">
        <v>224.6</v>
      </c>
      <c r="CP320" s="2" t="n">
        <v>158.4</v>
      </c>
      <c r="CQ320" s="2" t="n">
        <v>66.2</v>
      </c>
      <c r="CR320" s="2" t="inlineStr">
        <is>
          <t>NA</t>
        </is>
      </c>
      <c r="CS320" s="2" t="n">
        <v>31.6</v>
      </c>
      <c r="CT320" s="2" t="e">
        <v>#VALUE!</v>
      </c>
      <c r="CU320" s="2" t="e">
        <v>#VALUE!</v>
      </c>
      <c r="CV320" s="2" t="n">
        <v>199.8</v>
      </c>
      <c r="CW320" s="2" t="e">
        <v>#VALUE!</v>
      </c>
      <c r="CX320" s="2" t="e">
        <v>#VALUE!</v>
      </c>
      <c r="CY320" s="2" t="e">
        <v>#VALUE!</v>
      </c>
      <c r="CZ320" s="2" t="n">
        <v>111.7</v>
      </c>
      <c r="DA320" s="2" t="n">
        <v>14.7</v>
      </c>
      <c r="DB320" s="2" t="e">
        <v>#VALUE!</v>
      </c>
      <c r="DC320" s="2" t="e">
        <v>#VALUE!</v>
      </c>
      <c r="DI320" s="2" t="n">
        <v>688.8</v>
      </c>
      <c r="DJ320" s="2" t="n">
        <v>406.7</v>
      </c>
      <c r="DM320" s="2" t="n">
        <v>469.9</v>
      </c>
      <c r="DO320" s="2" t="n">
        <v>185.6</v>
      </c>
      <c r="DP320" s="2" t="n">
        <v>331.3</v>
      </c>
      <c r="DS320" s="2" t="n">
        <v>2426.859</v>
      </c>
      <c r="DT320" s="2" t="n">
        <v>4486</v>
      </c>
      <c r="DU320" s="2" t="n">
        <v>23.15899999999965</v>
      </c>
      <c r="DV320" s="2" t="n">
        <v>0</v>
      </c>
      <c r="EA320" s="2" t="n">
        <v>466.1</v>
      </c>
      <c r="EB320" s="2" t="n">
        <v>450.5</v>
      </c>
      <c r="EE320" s="2" t="n">
        <v>134.8</v>
      </c>
      <c r="EG320" s="2" t="n">
        <v>118.696</v>
      </c>
      <c r="EH320" s="2" t="e">
        <v>#VALUE!</v>
      </c>
      <c r="EK320" s="2" t="n">
        <v>1210.41</v>
      </c>
      <c r="EL320" s="2" t="n">
        <v>2700.5</v>
      </c>
      <c r="EQ320" s="2" t="n">
        <v>271.7</v>
      </c>
      <c r="ER320" s="2" t="n">
        <v>157.2</v>
      </c>
      <c r="EU320" s="2" t="n">
        <v>181.6</v>
      </c>
      <c r="EW320" s="2" t="n">
        <v>71.90000000000001</v>
      </c>
      <c r="EX320" s="2" t="n">
        <v>157.2</v>
      </c>
      <c r="FA320" s="2" t="n">
        <v>945.016</v>
      </c>
      <c r="FB320" s="2" t="n">
        <v>1746.5</v>
      </c>
      <c r="FG320" s="2" t="n">
        <v>540.8</v>
      </c>
      <c r="FH320" s="2" t="n">
        <v>319.4</v>
      </c>
      <c r="FK320" s="2" t="n">
        <v>339.3</v>
      </c>
      <c r="FM320" s="2" t="n">
        <v>147.1</v>
      </c>
      <c r="FN320" s="2" t="n">
        <v>265.1</v>
      </c>
      <c r="FQ320" s="2" t="n">
        <v>1917.858</v>
      </c>
      <c r="FR320" s="2" t="n">
        <v>3512.6</v>
      </c>
      <c r="FW320" s="2" t="inlineStr">
        <is>
          <t>(D)</t>
        </is>
      </c>
      <c r="FX320" s="2" t="n">
        <v>155.3</v>
      </c>
      <c r="GA320" s="2" t="n">
        <v>145</v>
      </c>
      <c r="GC320" s="2" t="n">
        <v>65.59999999999999</v>
      </c>
      <c r="GD320" s="2" t="inlineStr">
        <is>
          <t>(D)</t>
        </is>
      </c>
      <c r="GG320" s="2" t="n">
        <v>620.873</v>
      </c>
      <c r="GH320" s="2" t="n">
        <v>1344</v>
      </c>
      <c r="GM320" s="2" t="n">
        <v>75.5</v>
      </c>
      <c r="GN320" s="2" t="n">
        <v>33.4</v>
      </c>
      <c r="GQ320" s="2" t="n">
        <v>28</v>
      </c>
      <c r="GS320" s="2" t="e">
        <v>#VALUE!</v>
      </c>
      <c r="GT320" s="2" t="n">
        <v>9.9</v>
      </c>
      <c r="GW320" s="2" t="n">
        <v>141.158</v>
      </c>
      <c r="GX320" s="2" t="n">
        <v>286.5</v>
      </c>
      <c r="GY320" s="2" t="n">
        <v>0.9769867204338456</v>
      </c>
      <c r="GZ320" s="2" t="n">
        <v>1405.2</v>
      </c>
      <c r="HA320" s="2" t="n">
        <v>1438.3</v>
      </c>
      <c r="HB320" s="2" t="n">
        <v>8.806475167000372</v>
      </c>
      <c r="HC320" s="2" t="n">
        <v>133.8699834924</v>
      </c>
      <c r="HD320" s="2" t="n">
        <v>1581.406475167</v>
      </c>
      <c r="HE320" s="2" t="n">
        <v>-42.60000000000014</v>
      </c>
      <c r="HF320" s="2" t="n">
        <v>1572.6</v>
      </c>
      <c r="HG320" s="2" t="n">
        <v>1410.8</v>
      </c>
      <c r="HH320" s="2" t="n">
        <v>550.2</v>
      </c>
      <c r="HI320" s="2" t="n">
        <v>87.80585000000001</v>
      </c>
      <c r="HJ320" s="2" t="n">
        <v>764.2</v>
      </c>
      <c r="HK320" s="2" t="n">
        <v>8.6</v>
      </c>
      <c r="HL320" s="2" t="n">
        <v>161.8</v>
      </c>
      <c r="HM320" s="2" t="n">
        <v>111.3</v>
      </c>
      <c r="HN320" s="2" t="inlineStr">
        <is>
          <t>(D)</t>
        </is>
      </c>
      <c r="HO320" s="2" t="inlineStr">
        <is>
          <t>(D)</t>
        </is>
      </c>
      <c r="HQ320" s="2" t="n">
        <v>5.2</v>
      </c>
      <c r="HR320" s="2" t="n">
        <v>8</v>
      </c>
      <c r="HT320" s="2" t="n">
        <v>37.3</v>
      </c>
      <c r="HW320" s="2" t="n">
        <v>366.8</v>
      </c>
      <c r="HX320" s="2" t="inlineStr">
        <is>
          <t>-</t>
        </is>
      </c>
      <c r="HY320" s="2" t="n">
        <v>366.8</v>
      </c>
      <c r="HZ320" s="2" t="inlineStr">
        <is>
          <t>(D)</t>
        </is>
      </c>
      <c r="IA320" s="2" t="n">
        <v>244.8</v>
      </c>
      <c r="IB320" s="2" t="n">
        <v>112.3</v>
      </c>
      <c r="IC320" s="2" t="n">
        <v>132.5</v>
      </c>
      <c r="ID320" s="2" t="n">
        <v>76.8</v>
      </c>
      <c r="IE320" s="2" t="n">
        <v>55.7</v>
      </c>
      <c r="IL320" s="2" t="inlineStr">
        <is>
          <t>(D)</t>
        </is>
      </c>
      <c r="IN320" s="2" t="n">
        <v>70.8</v>
      </c>
      <c r="IO320" s="2" t="n">
        <v>71.09999999999999</v>
      </c>
      <c r="IP320" s="2" t="inlineStr">
        <is>
          <t>(D)</t>
        </is>
      </c>
      <c r="IQ320" s="2" t="n">
        <v>51</v>
      </c>
      <c r="IR320" s="2" t="n">
        <v>15.7</v>
      </c>
      <c r="IT320" s="2" t="n">
        <v>33.7</v>
      </c>
      <c r="IU320" s="2" t="n">
        <v>1.5</v>
      </c>
      <c r="IV320" s="2" t="inlineStr">
        <is>
          <t>(D)</t>
        </is>
      </c>
      <c r="IY320" s="2" t="n">
        <v>46.86580472581365</v>
      </c>
      <c r="IZ320" s="2" t="n">
        <v>-0.2841952741863523</v>
      </c>
      <c r="JB320" s="2" t="n">
        <v>11.67967008470798</v>
      </c>
      <c r="JC320" s="2" t="n">
        <v>-0.08032991529201894</v>
      </c>
      <c r="JE320" s="2" t="n">
        <v>2752.532</v>
      </c>
      <c r="JF320" s="2" t="n">
        <v>0.8693101478929218</v>
      </c>
    </row>
    <row r="321">
      <c r="A321" s="1" t="n">
        <v>38808</v>
      </c>
      <c r="B321" s="2" t="n">
        <v>4066</v>
      </c>
      <c r="C321" s="2" t="n">
        <v>2084.6</v>
      </c>
      <c r="D321" s="2" t="n">
        <v>235</v>
      </c>
      <c r="E321" s="2" t="n">
        <v>1366.3</v>
      </c>
      <c r="F321" s="2" t="n">
        <v>18</v>
      </c>
      <c r="G321" s="2" t="inlineStr">
        <is>
          <t>NA</t>
        </is>
      </c>
      <c r="H321" s="2" t="inlineStr">
        <is>
          <t>NA</t>
        </is>
      </c>
      <c r="I321" s="2" t="inlineStr">
        <is>
          <t>NA</t>
        </is>
      </c>
      <c r="J321" s="2" t="inlineStr">
        <is>
          <t>NA</t>
        </is>
      </c>
      <c r="K321" s="2" t="n">
        <v>1586.3</v>
      </c>
      <c r="L321" s="2" t="n">
        <v>2862.801</v>
      </c>
      <c r="M321" s="2" t="n">
        <v>2571.7</v>
      </c>
      <c r="N321" s="2" t="n">
        <v>291.101</v>
      </c>
      <c r="O321" s="2" t="n">
        <v>70.90000000000001</v>
      </c>
      <c r="P321" s="2" t="n">
        <v>105.7</v>
      </c>
      <c r="Q321" s="2" t="n">
        <v>21.4</v>
      </c>
      <c r="R321" s="2" t="n">
        <v>84.3</v>
      </c>
      <c r="T321" s="2" t="n">
        <v>15.6</v>
      </c>
      <c r="U321" s="2" t="n">
        <v>25.3</v>
      </c>
      <c r="V321" s="2" t="n">
        <v>21.9</v>
      </c>
      <c r="W321" s="2" t="n">
        <v>3.4</v>
      </c>
      <c r="X321" s="2" t="inlineStr">
        <is>
          <t>NA</t>
        </is>
      </c>
      <c r="Y321" s="2" t="e">
        <v>#VALUE!</v>
      </c>
      <c r="Z321" s="2" t="n">
        <v>80.7</v>
      </c>
      <c r="AA321" s="2" t="e">
        <v>#VALUE!</v>
      </c>
      <c r="AB321" s="2" t="e">
        <v>#VALUE!</v>
      </c>
      <c r="AC321" s="2" t="inlineStr">
        <is>
          <t>NA</t>
        </is>
      </c>
      <c r="AD321" s="2" t="n">
        <v>86.40000000000001</v>
      </c>
      <c r="AE321" s="2" t="n">
        <v>88.5</v>
      </c>
      <c r="AF321" s="2" t="n">
        <v>216.8</v>
      </c>
      <c r="AG321" s="2" t="n">
        <v>190</v>
      </c>
      <c r="AH321" s="2" t="n">
        <v>26.8</v>
      </c>
      <c r="AI321" s="2" t="n">
        <v>191.7</v>
      </c>
      <c r="AL321" s="2" t="n">
        <v>161.8</v>
      </c>
      <c r="AM321" s="2" t="n">
        <v>122.6</v>
      </c>
      <c r="AN321" s="2" t="n">
        <v>39.2</v>
      </c>
      <c r="AO321" s="2" t="n">
        <v>2983.2</v>
      </c>
      <c r="AP321" s="2" t="n">
        <v>375.7</v>
      </c>
      <c r="AQ321" s="2" t="n">
        <v>229.4</v>
      </c>
      <c r="AR321" s="2" t="n">
        <v>39.7</v>
      </c>
      <c r="AS321" s="2" t="n">
        <v>104.5</v>
      </c>
      <c r="AT321" s="2" t="n">
        <v>30.8</v>
      </c>
      <c r="AU321" s="2" t="n">
        <v>66.90000000000001</v>
      </c>
      <c r="AV321" s="2" t="n">
        <v>18.2</v>
      </c>
      <c r="AW321" s="2" t="n">
        <v>10.2</v>
      </c>
      <c r="AX321" s="2" t="n">
        <v>1.9</v>
      </c>
      <c r="AY321" s="2" t="inlineStr">
        <is>
          <t>NA</t>
        </is>
      </c>
      <c r="AZ321" s="2" t="inlineStr">
        <is>
          <t>NA</t>
        </is>
      </c>
      <c r="BA321" s="2" t="inlineStr">
        <is>
          <t>NA</t>
        </is>
      </c>
      <c r="BB321" s="2" t="inlineStr">
        <is>
          <t>NA</t>
        </is>
      </c>
      <c r="BD321" s="2" t="n">
        <v>144.8</v>
      </c>
      <c r="BE321" s="2" t="n">
        <v>25.6</v>
      </c>
      <c r="BF321" s="2" t="n">
        <v>81.3</v>
      </c>
      <c r="BG321" s="2" t="n">
        <v>10.4</v>
      </c>
      <c r="BH321" s="2" t="n">
        <v>296.9</v>
      </c>
      <c r="BI321" s="2" t="n">
        <v>119.5</v>
      </c>
      <c r="BJ321" s="2" t="n">
        <v>100.8</v>
      </c>
      <c r="BK321" s="2" t="n">
        <v>220.3</v>
      </c>
      <c r="BM321" s="2" t="n">
        <v>517.2</v>
      </c>
      <c r="BN321" s="2" t="n">
        <v>248.1</v>
      </c>
      <c r="BO321" s="2" t="n">
        <v>77.09999999999999</v>
      </c>
      <c r="BP321" s="2" t="n">
        <v>26.2</v>
      </c>
      <c r="BQ321" s="2" t="n">
        <v>103.3</v>
      </c>
      <c r="BS321" s="2" t="n">
        <v>351.4</v>
      </c>
      <c r="BT321" s="2" t="n">
        <v>19.3</v>
      </c>
      <c r="BU321" s="2" t="n">
        <v>9.800000000000001</v>
      </c>
      <c r="BV321" s="2" t="inlineStr">
        <is>
          <t>NA</t>
        </is>
      </c>
      <c r="BW321" s="2" t="inlineStr">
        <is>
          <t>NA</t>
        </is>
      </c>
      <c r="BX321" s="2" t="n">
        <v>373.3</v>
      </c>
      <c r="BY321" s="2" t="inlineStr">
        <is>
          <t>NA</t>
        </is>
      </c>
      <c r="BZ321" s="2" t="inlineStr">
        <is>
          <t>NA</t>
        </is>
      </c>
      <c r="CA321" s="2" t="n">
        <v>43.4</v>
      </c>
      <c r="CB321" s="2" t="n">
        <v>96.2</v>
      </c>
      <c r="CC321" s="2" t="n">
        <v>18</v>
      </c>
      <c r="CD321" s="2" t="n">
        <v>110.9</v>
      </c>
      <c r="CE321" s="2" t="n">
        <v>15.9</v>
      </c>
      <c r="CF321" s="2" t="n">
        <v>110.9</v>
      </c>
      <c r="CG321" s="2" t="n">
        <v>88.3</v>
      </c>
      <c r="CH321" s="2" t="n">
        <v>5.8</v>
      </c>
      <c r="CI321" s="2" t="n">
        <v>32.1</v>
      </c>
      <c r="CJ321" s="2" t="n">
        <v>7.8</v>
      </c>
      <c r="CK321" s="2" t="n">
        <v>156.2</v>
      </c>
      <c r="CL321" s="2" t="n">
        <v>23.2</v>
      </c>
      <c r="CN321" s="2" t="n">
        <v>51.7</v>
      </c>
      <c r="CO321" s="2" t="n">
        <v>257.1</v>
      </c>
      <c r="CP321" s="2" t="n">
        <v>175.9</v>
      </c>
      <c r="CQ321" s="2" t="n">
        <v>81.2</v>
      </c>
      <c r="CR321" s="2" t="inlineStr">
        <is>
          <t>NA</t>
        </is>
      </c>
      <c r="CS321" s="2" t="n">
        <v>24.9</v>
      </c>
      <c r="CT321" s="2" t="e">
        <v>#VALUE!</v>
      </c>
      <c r="CU321" s="2" t="e">
        <v>#VALUE!</v>
      </c>
      <c r="CV321" s="2" t="n">
        <v>162.6</v>
      </c>
      <c r="CW321" s="2" t="e">
        <v>#VALUE!</v>
      </c>
      <c r="CX321" s="2" t="e">
        <v>#VALUE!</v>
      </c>
      <c r="CY321" s="2" t="e">
        <v>#VALUE!</v>
      </c>
      <c r="CZ321" s="2" t="n">
        <v>102.4</v>
      </c>
      <c r="DA321" s="2" t="n">
        <v>14.8</v>
      </c>
      <c r="DB321" s="2" t="e">
        <v>#VALUE!</v>
      </c>
      <c r="DC321" s="2" t="e">
        <v>#VALUE!</v>
      </c>
      <c r="DI321" s="2" t="n">
        <v>657</v>
      </c>
      <c r="DJ321" s="2" t="n">
        <v>338.4</v>
      </c>
      <c r="DM321" s="2" t="n">
        <v>419.6</v>
      </c>
      <c r="DO321" s="2" t="n">
        <v>181.9</v>
      </c>
      <c r="DP321" s="2" t="n">
        <v>306.5</v>
      </c>
      <c r="DS321" s="2" t="n">
        <v>2183.152</v>
      </c>
      <c r="DT321" s="2" t="n">
        <v>4066</v>
      </c>
      <c r="DU321" s="2" t="n">
        <v>20.55200000000013</v>
      </c>
      <c r="DV321" s="2" t="n">
        <v>0</v>
      </c>
      <c r="EA321" s="2" t="n">
        <v>329.8</v>
      </c>
      <c r="EB321" s="2" t="n">
        <v>343.1</v>
      </c>
      <c r="EE321" s="2" t="n">
        <v>99.7</v>
      </c>
      <c r="EG321" s="2" t="n">
        <v>79.482</v>
      </c>
      <c r="EH321" s="2" t="e">
        <v>#VALUE!</v>
      </c>
      <c r="EK321" s="2" t="n">
        <v>973.414</v>
      </c>
      <c r="EL321" s="2" t="n">
        <v>2084.6</v>
      </c>
      <c r="EQ321" s="2" t="n">
        <v>261.5</v>
      </c>
      <c r="ER321" s="2" t="n">
        <v>131</v>
      </c>
      <c r="EU321" s="2" t="n">
        <v>161.9</v>
      </c>
      <c r="EW321" s="2" t="n">
        <v>70</v>
      </c>
      <c r="EX321" s="2" t="n">
        <v>131</v>
      </c>
      <c r="FA321" s="2" t="n">
        <v>851.019</v>
      </c>
      <c r="FB321" s="2" t="n">
        <v>1586.3</v>
      </c>
      <c r="FG321" s="2" t="n">
        <v>518.2</v>
      </c>
      <c r="FH321" s="2" t="n">
        <v>271.6</v>
      </c>
      <c r="FK321" s="2" t="n">
        <v>331.7</v>
      </c>
      <c r="FM321" s="2" t="n">
        <v>144</v>
      </c>
      <c r="FN321" s="2" t="n">
        <v>246.5</v>
      </c>
      <c r="FQ321" s="2" t="n">
        <v>1725.47</v>
      </c>
      <c r="FR321" s="2" t="n">
        <v>3220.6</v>
      </c>
      <c r="FW321" s="2" t="inlineStr">
        <is>
          <t>(D)</t>
        </is>
      </c>
      <c r="FX321" s="2" t="n">
        <v>134.3</v>
      </c>
      <c r="GA321" s="2" t="n">
        <v>120.8</v>
      </c>
      <c r="GC321" s="2" t="n">
        <v>67.8</v>
      </c>
      <c r="GD321" s="2" t="inlineStr">
        <is>
          <t>(D)</t>
        </is>
      </c>
      <c r="GG321" s="2" t="n">
        <v>513.187</v>
      </c>
      <c r="GH321" s="2" t="n">
        <v>1284</v>
      </c>
      <c r="GM321" s="2" t="n">
        <v>88.2</v>
      </c>
      <c r="GN321" s="2" t="n">
        <v>41.2</v>
      </c>
      <c r="GQ321" s="2" t="n">
        <v>37.7</v>
      </c>
      <c r="GS321" s="2" t="e">
        <v>#VALUE!</v>
      </c>
      <c r="GT321" s="2" t="n">
        <v>18.6</v>
      </c>
      <c r="GW321" s="2" t="n">
        <v>223.892</v>
      </c>
      <c r="GX321" s="2" t="n">
        <v>415.4</v>
      </c>
      <c r="GY321" s="2" t="n">
        <v>0.9746929661332341</v>
      </c>
      <c r="GZ321" s="2" t="n">
        <v>1309.5</v>
      </c>
      <c r="HA321" s="2" t="n">
        <v>1343.5</v>
      </c>
      <c r="HB321" s="2" t="n">
        <v>-92.90012086499974</v>
      </c>
      <c r="HC321" s="2" t="n">
        <v>-139.2297374267996</v>
      </c>
      <c r="HD321" s="2" t="n">
        <v>1383.199879135</v>
      </c>
      <c r="HE321" s="2" t="n">
        <v>-100.5</v>
      </c>
      <c r="HF321" s="2" t="n">
        <v>1476.1</v>
      </c>
      <c r="HG321" s="2" t="n">
        <v>1306.8</v>
      </c>
      <c r="HH321" s="2" t="n">
        <v>528.6</v>
      </c>
      <c r="HI321" s="2" t="n">
        <v>69.6392</v>
      </c>
      <c r="HJ321" s="2" t="n">
        <v>701</v>
      </c>
      <c r="HK321" s="2" t="n">
        <v>7.5</v>
      </c>
      <c r="HL321" s="2" t="n">
        <v>169.3</v>
      </c>
      <c r="HM321" s="2" t="n">
        <v>116.7</v>
      </c>
      <c r="HN321" s="2" t="inlineStr">
        <is>
          <t>(D)</t>
        </is>
      </c>
      <c r="HO321" s="2" t="inlineStr">
        <is>
          <t>(D)</t>
        </is>
      </c>
      <c r="HQ321" s="2" t="n">
        <v>8.199999999999999</v>
      </c>
      <c r="HR321" s="2" t="n">
        <v>8.199999999999999</v>
      </c>
      <c r="HT321" s="2" t="n">
        <v>36.2</v>
      </c>
      <c r="HW321" s="2" t="n">
        <v>283.1</v>
      </c>
      <c r="HX321" s="2" t="inlineStr">
        <is>
          <t>-</t>
        </is>
      </c>
      <c r="HY321" s="2" t="n">
        <v>283.1</v>
      </c>
      <c r="HZ321" s="2" t="inlineStr">
        <is>
          <t>(D)</t>
        </is>
      </c>
      <c r="IA321" s="2" t="n">
        <v>219.5</v>
      </c>
      <c r="IB321" s="2" t="n">
        <v>99.7</v>
      </c>
      <c r="IC321" s="2" t="n">
        <v>119.9</v>
      </c>
      <c r="ID321" s="2" t="n">
        <v>66.7</v>
      </c>
      <c r="IE321" s="2" t="n">
        <v>53.2</v>
      </c>
      <c r="IL321" s="2" t="inlineStr">
        <is>
          <t>(D)</t>
        </is>
      </c>
      <c r="IN321" s="2" t="n">
        <v>57.8</v>
      </c>
      <c r="IO321" s="2" t="n">
        <v>58.2</v>
      </c>
      <c r="IP321" s="2" t="inlineStr">
        <is>
          <t>(D)</t>
        </is>
      </c>
      <c r="IQ321" s="2" t="n">
        <v>69.5</v>
      </c>
      <c r="IR321" s="2" t="n">
        <v>11.5</v>
      </c>
      <c r="IT321" s="2" t="n">
        <v>56.6</v>
      </c>
      <c r="IU321" s="2" t="n">
        <v>1.3</v>
      </c>
      <c r="IV321" s="2" t="inlineStr">
        <is>
          <t>(D)</t>
        </is>
      </c>
      <c r="IY321" s="2" t="n">
        <v>47.40678799803246</v>
      </c>
      <c r="IZ321" s="2" t="n">
        <v>0.1967879980324625</v>
      </c>
      <c r="JB321" s="2" t="n">
        <v>11.70413182488933</v>
      </c>
      <c r="JC321" s="2" t="n">
        <v>-0.06586817511067444</v>
      </c>
      <c r="JE321" s="2" t="n">
        <v>2862.801</v>
      </c>
      <c r="JF321" s="2" t="n">
        <v>0.820893593372365</v>
      </c>
    </row>
    <row r="322">
      <c r="A322" s="1" t="n">
        <v>38838</v>
      </c>
      <c r="B322" s="2" t="n">
        <v>4385.6</v>
      </c>
      <c r="C322" s="2" t="n">
        <v>1921</v>
      </c>
      <c r="D322" s="2" t="n">
        <v>280.3</v>
      </c>
      <c r="E322" s="2" t="n">
        <v>1076.8</v>
      </c>
      <c r="F322" s="2" t="n">
        <v>20.8</v>
      </c>
      <c r="G322" s="2" t="inlineStr">
        <is>
          <t>NA</t>
        </is>
      </c>
      <c r="H322" s="2" t="inlineStr">
        <is>
          <t>NA</t>
        </is>
      </c>
      <c r="I322" s="2" t="inlineStr">
        <is>
          <t>NA</t>
        </is>
      </c>
      <c r="J322" s="2" t="inlineStr">
        <is>
          <t>NA</t>
        </is>
      </c>
      <c r="K322" s="2" t="n">
        <v>1710.5</v>
      </c>
      <c r="L322" s="2" t="n">
        <v>3004.517</v>
      </c>
      <c r="M322" s="2" t="n">
        <v>2698.3</v>
      </c>
      <c r="N322" s="2" t="n">
        <v>306.217</v>
      </c>
      <c r="O322" s="2" t="n">
        <v>90.40000000000001</v>
      </c>
      <c r="P322" s="2" t="n">
        <v>113.8</v>
      </c>
      <c r="Q322" s="2" t="n">
        <v>23.8</v>
      </c>
      <c r="R322" s="2" t="n">
        <v>90</v>
      </c>
      <c r="T322" s="2" t="n">
        <v>18.1</v>
      </c>
      <c r="U322" s="2" t="n">
        <v>22.3</v>
      </c>
      <c r="V322" s="2" t="n">
        <v>17.8</v>
      </c>
      <c r="W322" s="2" t="n">
        <v>4.5</v>
      </c>
      <c r="X322" s="2" t="inlineStr">
        <is>
          <t>NA</t>
        </is>
      </c>
      <c r="Y322" s="2" t="e">
        <v>#VALUE!</v>
      </c>
      <c r="Z322" s="2" t="n">
        <v>124</v>
      </c>
      <c r="AA322" s="2" t="e">
        <v>#VALUE!</v>
      </c>
      <c r="AB322" s="2" t="e">
        <v>#VALUE!</v>
      </c>
      <c r="AC322" s="2" t="inlineStr">
        <is>
          <t>NA</t>
        </is>
      </c>
      <c r="AD322" s="2" t="n">
        <v>52.1</v>
      </c>
      <c r="AE322" s="2" t="n">
        <v>53.3</v>
      </c>
      <c r="AF322" s="2" t="n">
        <v>230</v>
      </c>
      <c r="AG322" s="2" t="n">
        <v>204.9</v>
      </c>
      <c r="AH322" s="2" t="n">
        <v>25.1</v>
      </c>
      <c r="AI322" s="2" t="n">
        <v>218.7</v>
      </c>
      <c r="AL322" s="2" t="n">
        <v>133.8</v>
      </c>
      <c r="AM322" s="2" t="n">
        <v>81.3</v>
      </c>
      <c r="AN322" s="2" t="n">
        <v>52.5</v>
      </c>
      <c r="AO322" s="2" t="n">
        <v>3225</v>
      </c>
      <c r="AP322" s="2" t="n">
        <v>263.6</v>
      </c>
      <c r="AQ322" s="2" t="n">
        <v>249.8</v>
      </c>
      <c r="AR322" s="2" t="n">
        <v>39.9</v>
      </c>
      <c r="AS322" s="2" t="n">
        <v>129.3</v>
      </c>
      <c r="AT322" s="2" t="n">
        <v>64.40000000000001</v>
      </c>
      <c r="AU322" s="2" t="n">
        <v>81.8</v>
      </c>
      <c r="AV322" s="2" t="n">
        <v>25.3</v>
      </c>
      <c r="AW322" s="2" t="n">
        <v>11.7</v>
      </c>
      <c r="AX322" s="2" t="n">
        <v>2</v>
      </c>
      <c r="AY322" s="2" t="inlineStr">
        <is>
          <t>NA</t>
        </is>
      </c>
      <c r="AZ322" s="2" t="inlineStr">
        <is>
          <t>NA</t>
        </is>
      </c>
      <c r="BA322" s="2" t="inlineStr">
        <is>
          <t>NA</t>
        </is>
      </c>
      <c r="BB322" s="2" t="inlineStr">
        <is>
          <t>NA</t>
        </is>
      </c>
      <c r="BD322" s="2" t="n">
        <v>167.4</v>
      </c>
      <c r="BE322" s="2" t="n">
        <v>30.1</v>
      </c>
      <c r="BF322" s="2" t="n">
        <v>88.59999999999999</v>
      </c>
      <c r="BG322" s="2" t="n">
        <v>10.3</v>
      </c>
      <c r="BH322" s="2" t="n">
        <v>342.8</v>
      </c>
      <c r="BI322" s="2" t="n">
        <v>128.8</v>
      </c>
      <c r="BJ322" s="2" t="n">
        <v>102.1</v>
      </c>
      <c r="BK322" s="2" t="n">
        <v>230.9</v>
      </c>
      <c r="BM322" s="2" t="n">
        <v>573.7</v>
      </c>
      <c r="BN322" s="2" t="n">
        <v>197.6</v>
      </c>
      <c r="BO322" s="2" t="n">
        <v>101.2</v>
      </c>
      <c r="BP322" s="2" t="n">
        <v>17.9</v>
      </c>
      <c r="BQ322" s="2" t="n">
        <v>119.1</v>
      </c>
      <c r="BS322" s="2" t="n">
        <v>316.7</v>
      </c>
      <c r="BT322" s="2" t="n">
        <v>21.5</v>
      </c>
      <c r="BU322" s="2" t="n">
        <v>9.5</v>
      </c>
      <c r="BV322" s="2" t="inlineStr">
        <is>
          <t>NA</t>
        </is>
      </c>
      <c r="BW322" s="2" t="inlineStr">
        <is>
          <t>NA</t>
        </is>
      </c>
      <c r="BX322" s="2" t="n">
        <v>406.8</v>
      </c>
      <c r="BY322" s="2" t="inlineStr">
        <is>
          <t>NA</t>
        </is>
      </c>
      <c r="BZ322" s="2" t="inlineStr">
        <is>
          <t>NA</t>
        </is>
      </c>
      <c r="CA322" s="2" t="n">
        <v>43.3</v>
      </c>
      <c r="CB322" s="2" t="n">
        <v>113.2</v>
      </c>
      <c r="CC322" s="2" t="n">
        <v>19.7</v>
      </c>
      <c r="CD322" s="2" t="n">
        <v>124.3</v>
      </c>
      <c r="CE322" s="2" t="n">
        <v>13.3</v>
      </c>
      <c r="CF322" s="2" t="n">
        <v>116.9</v>
      </c>
      <c r="CG322" s="2" t="n">
        <v>95.09999999999999</v>
      </c>
      <c r="CH322" s="2" t="n">
        <v>6.6</v>
      </c>
      <c r="CI322" s="2" t="n">
        <v>33.2</v>
      </c>
      <c r="CJ322" s="2" t="n">
        <v>8.4</v>
      </c>
      <c r="CK322" s="2" t="n">
        <v>171.7</v>
      </c>
      <c r="CL322" s="2" t="n">
        <v>22.5</v>
      </c>
      <c r="CN322" s="2" t="n">
        <v>53.1</v>
      </c>
      <c r="CO322" s="2" t="n">
        <v>227.9</v>
      </c>
      <c r="CP322" s="2" t="n">
        <v>173</v>
      </c>
      <c r="CQ322" s="2" t="n">
        <v>54.9</v>
      </c>
      <c r="CR322" s="2" t="inlineStr">
        <is>
          <t>NA</t>
        </is>
      </c>
      <c r="CS322" s="2" t="n">
        <v>29.1</v>
      </c>
      <c r="CT322" s="2" t="e">
        <v>#VALUE!</v>
      </c>
      <c r="CU322" s="2" t="e">
        <v>#VALUE!</v>
      </c>
      <c r="CV322" s="2" t="n">
        <v>189.7</v>
      </c>
      <c r="CW322" s="2" t="e">
        <v>#VALUE!</v>
      </c>
      <c r="CX322" s="2" t="e">
        <v>#VALUE!</v>
      </c>
      <c r="CY322" s="2" t="e">
        <v>#VALUE!</v>
      </c>
      <c r="CZ322" s="2" t="n">
        <v>103.9</v>
      </c>
      <c r="DA322" s="2" t="n">
        <v>13.1</v>
      </c>
      <c r="DB322" s="2" t="e">
        <v>#VALUE!</v>
      </c>
      <c r="DC322" s="2" t="e">
        <v>#VALUE!</v>
      </c>
      <c r="DI322" s="2" t="n">
        <v>674.8</v>
      </c>
      <c r="DJ322" s="2" t="n">
        <v>398.8</v>
      </c>
      <c r="DM322" s="2" t="n">
        <v>508.9</v>
      </c>
      <c r="DO322" s="2" t="n">
        <v>197.3</v>
      </c>
      <c r="DP322" s="2" t="n">
        <v>295.2</v>
      </c>
      <c r="DS322" s="2" t="n">
        <v>2352.653</v>
      </c>
      <c r="DT322" s="2" t="n">
        <v>4385.6</v>
      </c>
      <c r="DU322" s="2" t="n">
        <v>42.05299999999988</v>
      </c>
      <c r="DV322" s="2" t="n">
        <v>0</v>
      </c>
      <c r="EA322" s="2" t="n">
        <v>334.9</v>
      </c>
      <c r="EB322" s="2" t="n">
        <v>244.6</v>
      </c>
      <c r="EE322" s="2" t="n">
        <v>84</v>
      </c>
      <c r="EG322" s="2" t="e">
        <v>#VALUE!</v>
      </c>
      <c r="EH322" s="2" t="e">
        <v>#VALUE!</v>
      </c>
      <c r="EK322" s="2" t="n">
        <v>908.4059999999999</v>
      </c>
      <c r="EL322" s="2" t="n">
        <v>1921</v>
      </c>
      <c r="EQ322" s="2" t="n">
        <v>267.7</v>
      </c>
      <c r="ER322" s="2" t="n">
        <v>154.8</v>
      </c>
      <c r="EU322" s="2" t="n">
        <v>198.3</v>
      </c>
      <c r="EW322" s="2" t="n">
        <v>76</v>
      </c>
      <c r="EX322" s="2" t="n">
        <v>115.8</v>
      </c>
      <c r="FA322" s="2" t="n">
        <v>912.186</v>
      </c>
      <c r="FB322" s="2" t="n">
        <v>1710.5</v>
      </c>
      <c r="FG322" s="2" t="n">
        <v>532.9</v>
      </c>
      <c r="FH322" s="2" t="n">
        <v>315.1</v>
      </c>
      <c r="FK322" s="2" t="n">
        <v>405.1</v>
      </c>
      <c r="FM322" s="2" t="n">
        <v>155.4</v>
      </c>
      <c r="FN322" s="2" t="n">
        <v>239.1</v>
      </c>
      <c r="FQ322" s="2" t="n">
        <v>1869.846</v>
      </c>
      <c r="FR322" s="2" t="n">
        <v>3482.8</v>
      </c>
      <c r="FW322" s="2" t="inlineStr">
        <is>
          <t>(D)</t>
        </is>
      </c>
      <c r="FX322" s="2" t="n">
        <v>131.9</v>
      </c>
      <c r="GA322" s="2" t="n">
        <v>116.9</v>
      </c>
      <c r="GC322" s="2" t="n">
        <v>73.3</v>
      </c>
      <c r="GD322" s="2" t="inlineStr">
        <is>
          <t>(D)</t>
        </is>
      </c>
      <c r="GG322" s="2" t="n">
        <v>502.059</v>
      </c>
      <c r="GH322" s="2" t="n">
        <v>1292.4</v>
      </c>
      <c r="GM322" s="2" t="n">
        <v>60</v>
      </c>
      <c r="GN322" s="2" t="n">
        <v>31.6</v>
      </c>
      <c r="GQ322" s="2" t="n">
        <v>31.4</v>
      </c>
      <c r="GS322" s="2" t="e">
        <v>#VALUE!</v>
      </c>
      <c r="GT322" s="2" t="n">
        <v>14.1</v>
      </c>
      <c r="GW322" s="2" t="n">
        <v>164.347</v>
      </c>
      <c r="GX322" s="2" t="n">
        <v>303.5</v>
      </c>
      <c r="GY322" s="2" t="n">
        <v>0.9748390871854885</v>
      </c>
      <c r="GZ322" s="2" t="n">
        <v>1332.8</v>
      </c>
      <c r="HA322" s="2" t="n">
        <v>1367.2</v>
      </c>
      <c r="HB322" s="2" t="n">
        <v>-24.65967819600087</v>
      </c>
      <c r="HC322" s="2" t="n">
        <v>60.80947174439939</v>
      </c>
      <c r="HD322" s="2" t="n">
        <v>1519.140321803999</v>
      </c>
      <c r="HE322" s="2" t="n">
        <v>-36.40000000000009</v>
      </c>
      <c r="HF322" s="2" t="n">
        <v>1543.8</v>
      </c>
      <c r="HG322" s="2" t="n">
        <v>1336.5</v>
      </c>
      <c r="HH322" s="2" t="n">
        <v>508.1</v>
      </c>
      <c r="HI322" s="2" t="n">
        <v>77.35774000000001</v>
      </c>
      <c r="HJ322" s="2" t="n">
        <v>742.1</v>
      </c>
      <c r="HK322" s="2" t="n">
        <v>9</v>
      </c>
      <c r="HL322" s="2" t="n">
        <v>207.3</v>
      </c>
      <c r="HM322" s="2" t="n">
        <v>160.8</v>
      </c>
      <c r="HN322" s="2" t="n">
        <v>14.8</v>
      </c>
      <c r="HO322" s="2" t="n">
        <v>146</v>
      </c>
      <c r="HQ322" s="2" t="n">
        <v>7.9</v>
      </c>
      <c r="HR322" s="2" t="n">
        <v>8.699999999999999</v>
      </c>
      <c r="HT322" s="2" t="n">
        <v>29.9</v>
      </c>
      <c r="HW322" s="2" t="n">
        <v>324.4</v>
      </c>
      <c r="HX322" s="2" t="inlineStr">
        <is>
          <t>-</t>
        </is>
      </c>
      <c r="HY322" s="2" t="n">
        <v>324.4</v>
      </c>
      <c r="HZ322" s="2" t="inlineStr">
        <is>
          <t>(D)</t>
        </is>
      </c>
      <c r="IA322" s="2" t="n">
        <v>223.8</v>
      </c>
      <c r="IB322" s="2" t="n">
        <v>94.3</v>
      </c>
      <c r="IC322" s="2" t="n">
        <v>129.5</v>
      </c>
      <c r="ID322" s="2" t="n">
        <v>74.90000000000001</v>
      </c>
      <c r="IE322" s="2" t="n">
        <v>54.6</v>
      </c>
      <c r="IL322" s="2" t="inlineStr">
        <is>
          <t>(D)</t>
        </is>
      </c>
      <c r="IN322" s="2" t="n">
        <v>71.2</v>
      </c>
      <c r="IO322" s="2" t="n">
        <v>71.59999999999999</v>
      </c>
      <c r="IP322" s="2" t="inlineStr">
        <is>
          <t>(D)</t>
        </is>
      </c>
      <c r="IQ322" s="2" t="n">
        <v>77.90000000000001</v>
      </c>
      <c r="IR322" s="2" t="n">
        <v>12.8</v>
      </c>
      <c r="IT322" s="2" t="n">
        <v>63.3</v>
      </c>
      <c r="IU322" s="2" t="n">
        <v>1.7</v>
      </c>
      <c r="IV322" s="2" t="inlineStr">
        <is>
          <t>(D)</t>
        </is>
      </c>
      <c r="IY322" s="2" t="n">
        <v>47.53921926304269</v>
      </c>
      <c r="IZ322" s="2" t="n">
        <v>0.06921926304269022</v>
      </c>
      <c r="JB322" s="2" t="n">
        <v>11.7007935060197</v>
      </c>
      <c r="JC322" s="2" t="n">
        <v>-0.06920649398029965</v>
      </c>
      <c r="JE322" s="2" t="n">
        <v>3004.517</v>
      </c>
      <c r="JF322" s="2" t="n">
        <v>0.8302635664900548</v>
      </c>
    </row>
    <row r="323">
      <c r="A323" s="1" t="n">
        <v>38869</v>
      </c>
      <c r="B323" s="2" t="n">
        <v>4123.2</v>
      </c>
      <c r="C323" s="2" t="n">
        <v>1893.7</v>
      </c>
      <c r="D323" s="2" t="n">
        <v>227.2</v>
      </c>
      <c r="E323" s="2" t="n">
        <v>840.3</v>
      </c>
      <c r="F323" s="2" t="n">
        <v>18.2</v>
      </c>
      <c r="G323" s="2" t="inlineStr">
        <is>
          <t>NA</t>
        </is>
      </c>
      <c r="H323" s="2" t="inlineStr">
        <is>
          <t>NA</t>
        </is>
      </c>
      <c r="I323" s="2" t="inlineStr">
        <is>
          <t>NA</t>
        </is>
      </c>
      <c r="J323" s="2" t="inlineStr">
        <is>
          <t>NA</t>
        </is>
      </c>
      <c r="K323" s="2" t="n">
        <v>1608.7</v>
      </c>
      <c r="L323" s="2" t="n">
        <v>3050.183</v>
      </c>
      <c r="M323" s="2" t="n">
        <v>2731.9</v>
      </c>
      <c r="N323" s="2" t="n">
        <v>318.283</v>
      </c>
      <c r="O323" s="2" t="n">
        <v>70.40000000000001</v>
      </c>
      <c r="P323" s="2" t="n">
        <v>105.8</v>
      </c>
      <c r="Q323" s="2" t="n">
        <v>17.8</v>
      </c>
      <c r="R323" s="2" t="n">
        <v>88</v>
      </c>
      <c r="T323" s="2" t="n">
        <v>15.6</v>
      </c>
      <c r="U323" s="2" t="n">
        <v>23.8</v>
      </c>
      <c r="V323" s="2" t="n">
        <v>19.4</v>
      </c>
      <c r="W323" s="2" t="n">
        <v>4.4</v>
      </c>
      <c r="X323" s="2" t="inlineStr">
        <is>
          <t>NA</t>
        </is>
      </c>
      <c r="Y323" s="2" t="e">
        <v>#VALUE!</v>
      </c>
      <c r="Z323" s="2" t="n">
        <v>107.6</v>
      </c>
      <c r="AA323" s="2" t="e">
        <v>#VALUE!</v>
      </c>
      <c r="AB323" s="2" t="e">
        <v>#VALUE!</v>
      </c>
      <c r="AC323" s="2" t="inlineStr">
        <is>
          <t>NA</t>
        </is>
      </c>
      <c r="AD323" s="2" t="n">
        <v>58</v>
      </c>
      <c r="AE323" s="2" t="n">
        <v>59.4</v>
      </c>
      <c r="AF323" s="2" t="n">
        <v>325.6</v>
      </c>
      <c r="AG323" s="2" t="n">
        <v>298.3</v>
      </c>
      <c r="AH323" s="2" t="n">
        <v>27.3</v>
      </c>
      <c r="AI323" s="2" t="n">
        <v>206.7</v>
      </c>
      <c r="AL323" s="2" t="n">
        <v>160.6</v>
      </c>
      <c r="AM323" s="2" t="n">
        <v>94.7</v>
      </c>
      <c r="AN323" s="2" t="n">
        <v>65.90000000000001</v>
      </c>
      <c r="AO323" s="2" t="n">
        <v>3014.9</v>
      </c>
      <c r="AP323" s="2" t="n">
        <v>231.6</v>
      </c>
      <c r="AQ323" s="2" t="n">
        <v>236</v>
      </c>
      <c r="AR323" s="2" t="n">
        <v>34.6</v>
      </c>
      <c r="AS323" s="2" t="n">
        <v>107.2</v>
      </c>
      <c r="AT323" s="2" t="n">
        <v>68.90000000000001</v>
      </c>
      <c r="AU323" s="2" t="n">
        <v>73.40000000000001</v>
      </c>
      <c r="AV323" s="2" t="n">
        <v>25.8</v>
      </c>
      <c r="AW323" s="2" t="n">
        <v>9.9</v>
      </c>
      <c r="AY323" s="2" t="inlineStr">
        <is>
          <t>NA</t>
        </is>
      </c>
      <c r="AZ323" s="2" t="inlineStr">
        <is>
          <t>NA</t>
        </is>
      </c>
      <c r="BA323" s="2" t="inlineStr">
        <is>
          <t>NA</t>
        </is>
      </c>
      <c r="BB323" s="2" t="inlineStr">
        <is>
          <t>NA</t>
        </is>
      </c>
      <c r="BD323" s="2" t="n">
        <v>168.9</v>
      </c>
      <c r="BE323" s="2" t="n">
        <v>29.8</v>
      </c>
      <c r="BF323" s="2" t="n">
        <v>87.7</v>
      </c>
      <c r="BG323" s="2" t="n">
        <v>11.2</v>
      </c>
      <c r="BH323" s="2" t="n">
        <v>337</v>
      </c>
      <c r="BI323" s="2" t="n">
        <v>119.7</v>
      </c>
      <c r="BJ323" s="2" t="n">
        <v>109.8</v>
      </c>
      <c r="BK323" s="2" t="n">
        <v>229.5</v>
      </c>
      <c r="BM323" s="2" t="n">
        <v>566.5</v>
      </c>
      <c r="BN323" s="2" t="n">
        <v>210.9</v>
      </c>
      <c r="BO323" s="2" t="n">
        <v>112.8</v>
      </c>
      <c r="BP323" s="2" t="n">
        <v>31</v>
      </c>
      <c r="BQ323" s="2" t="n">
        <v>143.8</v>
      </c>
      <c r="BS323" s="2" t="n">
        <v>354.7</v>
      </c>
      <c r="BT323" s="2" t="n">
        <v>19.4</v>
      </c>
      <c r="BU323" s="2" t="n">
        <v>13</v>
      </c>
      <c r="BV323" s="2" t="inlineStr">
        <is>
          <t>NA</t>
        </is>
      </c>
      <c r="BW323" s="2" t="inlineStr">
        <is>
          <t>NA</t>
        </is>
      </c>
      <c r="BX323" s="2" t="n">
        <v>408.3</v>
      </c>
      <c r="BY323" s="2" t="inlineStr">
        <is>
          <t>NA</t>
        </is>
      </c>
      <c r="BZ323" s="2" t="inlineStr">
        <is>
          <t>NA</t>
        </is>
      </c>
      <c r="CA323" s="2" t="n">
        <v>45.6</v>
      </c>
      <c r="CB323" s="2" t="n">
        <v>111.5</v>
      </c>
      <c r="CC323" s="2" t="n">
        <v>18</v>
      </c>
      <c r="CD323" s="2" t="n">
        <v>124.6</v>
      </c>
      <c r="CE323" s="2" t="n">
        <v>19.2</v>
      </c>
      <c r="CF323" s="2" t="n">
        <v>101.6</v>
      </c>
      <c r="CG323" s="2" t="n">
        <v>94.3</v>
      </c>
      <c r="CH323" s="2" t="n">
        <v>4.5</v>
      </c>
      <c r="CI323" s="2" t="n">
        <v>32.9</v>
      </c>
      <c r="CJ323" s="2" t="n">
        <v>9.6</v>
      </c>
      <c r="CK323" s="2" t="n">
        <v>169.1</v>
      </c>
      <c r="CL323" s="2" t="n">
        <v>23.1</v>
      </c>
      <c r="CN323" s="2" t="n">
        <v>55.8</v>
      </c>
      <c r="CO323" s="2" t="n">
        <v>212.6</v>
      </c>
      <c r="CP323" s="2" t="n">
        <v>155.5</v>
      </c>
      <c r="CQ323" s="2" t="n">
        <v>57.1</v>
      </c>
      <c r="CR323" s="2" t="inlineStr">
        <is>
          <t>NA</t>
        </is>
      </c>
      <c r="CS323" s="2" t="n">
        <v>21.7</v>
      </c>
      <c r="CT323" s="2" t="e">
        <v>#VALUE!</v>
      </c>
      <c r="CU323" s="2" t="e">
        <v>#VALUE!</v>
      </c>
      <c r="CV323" s="2" t="n">
        <v>224.6</v>
      </c>
      <c r="CW323" s="2" t="e">
        <v>#VALUE!</v>
      </c>
      <c r="CX323" s="2" t="e">
        <v>#VALUE!</v>
      </c>
      <c r="CY323" s="2" t="e">
        <v>#VALUE!</v>
      </c>
      <c r="CZ323" s="2" t="n">
        <v>104.1</v>
      </c>
      <c r="DA323" s="2" t="n">
        <v>9.9</v>
      </c>
      <c r="DB323" s="2" t="e">
        <v>#VALUE!</v>
      </c>
      <c r="DC323" s="2" t="e">
        <v>#VALUE!</v>
      </c>
      <c r="DI323" s="2" t="n">
        <v>489.6</v>
      </c>
      <c r="DJ323" s="2" t="n">
        <v>425.5</v>
      </c>
      <c r="DM323" s="2" t="n">
        <v>426.6</v>
      </c>
      <c r="DO323" s="2" t="n">
        <v>178.5</v>
      </c>
      <c r="DP323" s="2" t="n">
        <v>282.7</v>
      </c>
      <c r="DS323" s="2" t="n">
        <v>2381.08</v>
      </c>
      <c r="DT323" s="2" t="n">
        <v>4123.2</v>
      </c>
      <c r="DU323" s="2" t="n">
        <v>60.77999999999975</v>
      </c>
      <c r="DV323" s="2" t="n">
        <v>0</v>
      </c>
      <c r="EA323" s="2" t="n">
        <v>349.3</v>
      </c>
      <c r="EB323" s="2" t="n">
        <v>172.3</v>
      </c>
      <c r="EE323" s="2" t="n">
        <v>149.8</v>
      </c>
      <c r="EG323" s="2" t="n">
        <v>88.152</v>
      </c>
      <c r="EH323" s="2" t="n">
        <v>129.3</v>
      </c>
      <c r="EK323" s="2" t="n">
        <v>951.877</v>
      </c>
      <c r="EL323" s="2" t="n">
        <v>1893.7</v>
      </c>
      <c r="EQ323" s="2" t="n">
        <v>198.9</v>
      </c>
      <c r="ER323" s="2" t="n">
        <v>162.4</v>
      </c>
      <c r="EU323" s="2" t="n">
        <v>168.2</v>
      </c>
      <c r="EW323" s="2" t="n">
        <v>68.59999999999999</v>
      </c>
      <c r="EX323" s="2" t="n">
        <v>109</v>
      </c>
      <c r="FA323" s="2" t="n">
        <v>926.417</v>
      </c>
      <c r="FB323" s="2" t="n">
        <v>1608.7</v>
      </c>
      <c r="FG323" s="2" t="n">
        <v>382.8</v>
      </c>
      <c r="FH323" s="2" t="n">
        <v>332</v>
      </c>
      <c r="FK323" s="2" t="n">
        <v>335.2</v>
      </c>
      <c r="FM323" s="2" t="n">
        <v>140.4</v>
      </c>
      <c r="FN323" s="2" t="n">
        <v>227.7</v>
      </c>
      <c r="FQ323" s="2" t="n">
        <v>1886.831</v>
      </c>
      <c r="FR323" s="2" t="n">
        <v>3258.4</v>
      </c>
      <c r="FW323" s="2" t="inlineStr">
        <is>
          <t>(D)</t>
        </is>
      </c>
      <c r="FX323" s="2" t="n">
        <v>125.9</v>
      </c>
      <c r="GA323" s="2" t="n">
        <v>98.59999999999999</v>
      </c>
      <c r="GC323" s="2" t="n">
        <v>64.7</v>
      </c>
      <c r="GD323" s="2" t="inlineStr">
        <is>
          <t>(D)</t>
        </is>
      </c>
      <c r="GG323" s="2" t="n">
        <v>517.224</v>
      </c>
      <c r="GH323" s="2" t="n">
        <v>1282.7</v>
      </c>
      <c r="GM323" s="2" t="n">
        <v>47.7</v>
      </c>
      <c r="GN323" s="2" t="n">
        <v>27.6</v>
      </c>
      <c r="GQ323" s="2" t="n">
        <v>25.1</v>
      </c>
      <c r="GS323" s="2" t="n">
        <v>3.2</v>
      </c>
      <c r="GT323" s="2" t="n">
        <v>9.9</v>
      </c>
      <c r="GW323" s="2" t="n">
        <v>163.276</v>
      </c>
      <c r="GX323" s="2" t="n">
        <v>266.2</v>
      </c>
      <c r="GY323" s="2" t="n">
        <v>0.9735702224506277</v>
      </c>
      <c r="GZ323" s="2" t="n">
        <v>1326.1</v>
      </c>
      <c r="HA323" s="2" t="n">
        <v>1362.1</v>
      </c>
      <c r="HB323" s="2" t="n">
        <v>-108.6580146693991</v>
      </c>
      <c r="HC323" s="2" t="n">
        <v>1.841672575401162</v>
      </c>
      <c r="HD323" s="2" t="n">
        <v>1483.341985330601</v>
      </c>
      <c r="HE323" s="2" t="n">
        <v>118.5999999999999</v>
      </c>
      <c r="HF323" s="2" t="n">
        <v>1592</v>
      </c>
      <c r="HG323" s="2" t="n">
        <v>1358.8</v>
      </c>
      <c r="HH323" s="2" t="n">
        <v>511</v>
      </c>
      <c r="HI323" s="2" t="n">
        <v>83.4808</v>
      </c>
      <c r="HJ323" s="2" t="n">
        <v>754.7</v>
      </c>
      <c r="HK323" s="2" t="n">
        <v>9.6</v>
      </c>
      <c r="HL323" s="2" t="n">
        <v>233.2</v>
      </c>
      <c r="HM323" s="2" t="n">
        <v>185.3</v>
      </c>
      <c r="HN323" s="2" t="n">
        <v>18.7</v>
      </c>
      <c r="HO323" s="2" t="n">
        <v>166.6</v>
      </c>
      <c r="HQ323" s="2" t="n">
        <v>7.2</v>
      </c>
      <c r="HR323" s="2" t="n">
        <v>9.300000000000001</v>
      </c>
      <c r="HT323" s="2" t="n">
        <v>31.4</v>
      </c>
      <c r="HW323" s="2" t="n">
        <v>331.9</v>
      </c>
      <c r="HX323" s="2" t="inlineStr">
        <is>
          <t>-</t>
        </is>
      </c>
      <c r="HY323" s="2" t="n">
        <v>331.9</v>
      </c>
      <c r="HZ323" s="2" t="inlineStr">
        <is>
          <t>(D)</t>
        </is>
      </c>
      <c r="IA323" s="2" t="n">
        <v>223.7</v>
      </c>
      <c r="IB323" s="2" t="n">
        <v>93.40000000000001</v>
      </c>
      <c r="IC323" s="2" t="n">
        <v>130.3</v>
      </c>
      <c r="ID323" s="2" t="n">
        <v>68.8</v>
      </c>
      <c r="IE323" s="2" t="n">
        <v>61.5</v>
      </c>
      <c r="IL323" s="2" t="inlineStr">
        <is>
          <t>(D)</t>
        </is>
      </c>
      <c r="IN323" s="2" t="n">
        <v>60.8</v>
      </c>
      <c r="IO323" s="2" t="n">
        <v>61.2</v>
      </c>
      <c r="IP323" s="2" t="inlineStr">
        <is>
          <t>(D)</t>
        </is>
      </c>
      <c r="IQ323" s="2" t="n">
        <v>72.5</v>
      </c>
      <c r="IR323" s="2" t="n">
        <v>12.3</v>
      </c>
      <c r="IT323" s="2" t="n">
        <v>58.8</v>
      </c>
      <c r="IU323" s="2" t="n">
        <v>1.4</v>
      </c>
      <c r="IV323" s="2" t="inlineStr">
        <is>
          <t>(D)</t>
        </is>
      </c>
      <c r="IY323" s="2" t="n">
        <v>47.30646100116414</v>
      </c>
      <c r="IZ323" s="2" t="n">
        <v>0.1364610011641432</v>
      </c>
      <c r="JB323" s="2" t="n">
        <v>11.70474388824214</v>
      </c>
      <c r="JC323" s="2" t="n">
        <v>-0.04525611175785826</v>
      </c>
      <c r="JE323" s="2" t="n">
        <v>3050.183</v>
      </c>
      <c r="JF323" s="2" t="n">
        <v>0.8335562161352287</v>
      </c>
    </row>
    <row r="324">
      <c r="A324" s="1" t="n">
        <v>38899</v>
      </c>
      <c r="B324" s="2" t="n">
        <v>4454.7</v>
      </c>
      <c r="C324" s="2" t="n">
        <v>1544.3</v>
      </c>
      <c r="D324" s="2" t="n">
        <v>203.4</v>
      </c>
      <c r="E324" s="2" t="n">
        <v>601.5</v>
      </c>
      <c r="F324" s="2" t="n">
        <v>18.5</v>
      </c>
      <c r="G324" s="2" t="inlineStr">
        <is>
          <t>NA</t>
        </is>
      </c>
      <c r="H324" s="2" t="inlineStr">
        <is>
          <t>NA</t>
        </is>
      </c>
      <c r="I324" s="2" t="inlineStr">
        <is>
          <t>NA</t>
        </is>
      </c>
      <c r="J324" s="2" t="inlineStr">
        <is>
          <t>NA</t>
        </is>
      </c>
      <c r="K324" s="2" t="n">
        <v>1737</v>
      </c>
      <c r="L324" s="2" t="n">
        <v>3244.232</v>
      </c>
      <c r="M324" s="2" t="n">
        <v>2911</v>
      </c>
      <c r="N324" s="2" t="n">
        <v>333.232</v>
      </c>
      <c r="O324" s="2" t="n">
        <v>68.09999999999999</v>
      </c>
      <c r="P324" s="2" t="n">
        <v>95.59999999999999</v>
      </c>
      <c r="Q324" s="2" t="n">
        <v>19.6</v>
      </c>
      <c r="R324" s="2" t="n">
        <v>76</v>
      </c>
      <c r="T324" s="2" t="n">
        <v>15.7</v>
      </c>
      <c r="U324" s="2" t="n">
        <v>36.1</v>
      </c>
      <c r="V324" s="2" t="n">
        <v>32.2</v>
      </c>
      <c r="W324" s="2" t="n">
        <v>3.9</v>
      </c>
      <c r="X324" s="2" t="inlineStr">
        <is>
          <t>NA</t>
        </is>
      </c>
      <c r="Y324" s="2" t="e">
        <v>#VALUE!</v>
      </c>
      <c r="Z324" s="2" t="n">
        <v>89.3</v>
      </c>
      <c r="AA324" s="2" t="e">
        <v>#VALUE!</v>
      </c>
      <c r="AB324" s="2" t="e">
        <v>#VALUE!</v>
      </c>
      <c r="AC324" s="2" t="inlineStr">
        <is>
          <t>NA</t>
        </is>
      </c>
      <c r="AD324" s="2" t="n">
        <v>64.7</v>
      </c>
      <c r="AE324" s="2" t="n">
        <v>66.40000000000001</v>
      </c>
      <c r="AF324" s="2" t="n">
        <v>216.5</v>
      </c>
      <c r="AG324" s="2" t="n">
        <v>188</v>
      </c>
      <c r="AH324" s="2" t="n">
        <v>28.5</v>
      </c>
      <c r="AI324" s="2" t="n">
        <v>215.3</v>
      </c>
      <c r="AL324" s="2" t="n">
        <v>171.4</v>
      </c>
      <c r="AM324" s="2" t="n">
        <v>117.8</v>
      </c>
      <c r="AN324" s="2" t="n">
        <v>53.6</v>
      </c>
      <c r="AO324" s="2" t="n">
        <v>3251.7</v>
      </c>
      <c r="AP324" s="2" t="n">
        <v>331.6</v>
      </c>
      <c r="AQ324" s="2" t="n">
        <v>255.8</v>
      </c>
      <c r="AR324" s="2" t="n">
        <v>35</v>
      </c>
      <c r="AS324" s="2" t="n">
        <v>99</v>
      </c>
      <c r="AT324" s="2" t="n">
        <v>87.7</v>
      </c>
      <c r="AU324" s="2" t="n">
        <v>62.7</v>
      </c>
      <c r="AV324" s="2" t="n">
        <v>27.1</v>
      </c>
      <c r="AW324" s="2" t="n">
        <v>9.699999999999999</v>
      </c>
      <c r="AX324" s="2" t="n">
        <v>2.2</v>
      </c>
      <c r="AY324" s="2" t="inlineStr">
        <is>
          <t>NA</t>
        </is>
      </c>
      <c r="AZ324" s="2" t="inlineStr">
        <is>
          <t>NA</t>
        </is>
      </c>
      <c r="BA324" s="2" t="inlineStr">
        <is>
          <t>NA</t>
        </is>
      </c>
      <c r="BB324" s="2" t="inlineStr">
        <is>
          <t>NA</t>
        </is>
      </c>
      <c r="BD324" s="2" t="n">
        <v>155.8</v>
      </c>
      <c r="BE324" s="2" t="n">
        <v>38.2</v>
      </c>
      <c r="BF324" s="2" t="n">
        <v>81.59999999999999</v>
      </c>
      <c r="BG324" s="2" t="n">
        <v>9.699999999999999</v>
      </c>
      <c r="BH324" s="2" t="n">
        <v>299.4</v>
      </c>
      <c r="BI324" s="2" t="n">
        <v>128.9</v>
      </c>
      <c r="BJ324" s="2" t="n">
        <v>95.59999999999999</v>
      </c>
      <c r="BK324" s="2" t="n">
        <v>224.5</v>
      </c>
      <c r="BM324" s="2" t="n">
        <v>523.9</v>
      </c>
      <c r="BN324" s="2" t="n">
        <v>174.9</v>
      </c>
      <c r="BO324" s="2" t="n">
        <v>98.59999999999999</v>
      </c>
      <c r="BP324" s="2" t="n">
        <v>18.7</v>
      </c>
      <c r="BQ324" s="2" t="n">
        <v>117.3</v>
      </c>
      <c r="BS324" s="2" t="n">
        <v>292.2</v>
      </c>
      <c r="BT324" s="2" t="n">
        <v>17.7</v>
      </c>
      <c r="BU324" s="2" t="n">
        <v>10.2</v>
      </c>
      <c r="BV324" s="2" t="inlineStr">
        <is>
          <t>NA</t>
        </is>
      </c>
      <c r="BW324" s="2" t="inlineStr">
        <is>
          <t>NA</t>
        </is>
      </c>
      <c r="BX324" s="2" t="n">
        <v>374.8</v>
      </c>
      <c r="BY324" s="2" t="inlineStr">
        <is>
          <t>NA</t>
        </is>
      </c>
      <c r="BZ324" s="2" t="inlineStr">
        <is>
          <t>NA</t>
        </is>
      </c>
      <c r="CA324" s="2" t="n">
        <v>40.8</v>
      </c>
      <c r="CB324" s="2" t="n">
        <v>101.8</v>
      </c>
      <c r="CC324" s="2" t="n">
        <v>16.7</v>
      </c>
      <c r="CD324" s="2" t="n">
        <v>115.1</v>
      </c>
      <c r="CE324" s="2" t="n">
        <v>15.5</v>
      </c>
      <c r="CF324" s="2" t="n">
        <v>103.8</v>
      </c>
      <c r="CG324" s="2" t="n">
        <v>82</v>
      </c>
      <c r="CH324" s="2" t="n">
        <v>5.1</v>
      </c>
      <c r="CI324" s="2" t="n">
        <v>34.6</v>
      </c>
      <c r="CJ324" s="2" t="n">
        <v>12</v>
      </c>
      <c r="CK324" s="2" t="n">
        <v>153.6</v>
      </c>
      <c r="CL324" s="2" t="n">
        <v>19.3</v>
      </c>
      <c r="CN324" s="2" t="n">
        <v>45.9</v>
      </c>
      <c r="CO324" s="2" t="n">
        <v>204.8</v>
      </c>
      <c r="CP324" s="2" t="n">
        <v>142.3</v>
      </c>
      <c r="CQ324" s="2" t="n">
        <v>62.5</v>
      </c>
      <c r="CR324" s="2" t="inlineStr">
        <is>
          <t>NA</t>
        </is>
      </c>
      <c r="CS324" s="2" t="n">
        <v>27.2</v>
      </c>
      <c r="CT324" s="2" t="e">
        <v>#VALUE!</v>
      </c>
      <c r="CU324" s="2" t="e">
        <v>#VALUE!</v>
      </c>
      <c r="CV324" s="2" t="n">
        <v>184.8</v>
      </c>
      <c r="CW324" s="2" t="e">
        <v>#VALUE!</v>
      </c>
      <c r="CX324" s="2" t="e">
        <v>#VALUE!</v>
      </c>
      <c r="CY324" s="2" t="e">
        <v>#VALUE!</v>
      </c>
      <c r="CZ324" s="2" t="n">
        <v>87.3</v>
      </c>
      <c r="DA324" s="2" t="n">
        <v>7.7</v>
      </c>
      <c r="DB324" s="2" t="e">
        <v>#VALUE!</v>
      </c>
      <c r="DC324" s="2" t="e">
        <v>#VALUE!</v>
      </c>
      <c r="DI324" s="2" t="n">
        <v>679.4</v>
      </c>
      <c r="DJ324" s="2" t="n">
        <v>412.9</v>
      </c>
      <c r="DM324" s="2" t="n">
        <v>498.1</v>
      </c>
      <c r="DO324" s="2" t="n">
        <v>201.7</v>
      </c>
      <c r="DP324" s="2" t="n">
        <v>279.1</v>
      </c>
      <c r="DS324" s="2" t="n">
        <v>2415.25</v>
      </c>
      <c r="DT324" s="2" t="n">
        <v>4454.7</v>
      </c>
      <c r="DU324" s="2" t="n">
        <v>31.75000000000091</v>
      </c>
      <c r="DV324" s="2" t="n">
        <v>0</v>
      </c>
      <c r="EA324" s="2" t="n">
        <v>302.4</v>
      </c>
      <c r="EB324" s="2" t="n">
        <v>111.4</v>
      </c>
      <c r="EE324" s="2" t="n">
        <v>133</v>
      </c>
      <c r="EG324" s="2" t="n">
        <v>83.504</v>
      </c>
      <c r="EH324" s="2" t="e">
        <v>#VALUE!</v>
      </c>
      <c r="EK324" s="2" t="n">
        <v>809.498</v>
      </c>
      <c r="EL324" s="2" t="n">
        <v>1544.3</v>
      </c>
      <c r="EQ324" s="2" t="n">
        <v>269.4</v>
      </c>
      <c r="ER324" s="2" t="n">
        <v>158.4</v>
      </c>
      <c r="EU324" s="2" t="n">
        <v>195.7</v>
      </c>
      <c r="EW324" s="2" t="n">
        <v>77.7</v>
      </c>
      <c r="EX324" s="2" t="n">
        <v>107.9</v>
      </c>
      <c r="FA324" s="2" t="n">
        <v>938.569</v>
      </c>
      <c r="FB324" s="2" t="n">
        <v>1737</v>
      </c>
      <c r="FG324" s="2" t="n">
        <v>535.1</v>
      </c>
      <c r="FH324" s="2" t="n">
        <v>324.5</v>
      </c>
      <c r="FK324" s="2" t="n">
        <v>391</v>
      </c>
      <c r="FM324" s="2" t="n">
        <v>158.7</v>
      </c>
      <c r="FN324" s="2" t="n">
        <v>226.4</v>
      </c>
      <c r="FQ324" s="2" t="n">
        <v>1902.219</v>
      </c>
      <c r="FR324" s="2" t="n">
        <v>3515.7</v>
      </c>
      <c r="FW324" s="2" t="n">
        <v>334.7</v>
      </c>
      <c r="FX324" s="2" t="n">
        <v>159.3</v>
      </c>
      <c r="GA324" s="2" t="n">
        <v>117.3</v>
      </c>
      <c r="GC324" s="2" t="n">
        <v>69.59999999999999</v>
      </c>
      <c r="GD324" s="2" t="inlineStr">
        <is>
          <t>(D)</t>
        </is>
      </c>
      <c r="GG324" s="2" t="n">
        <v>529.04</v>
      </c>
      <c r="GH324" s="2" t="n">
        <v>1403.2</v>
      </c>
      <c r="GM324" s="2" t="n">
        <v>92.7</v>
      </c>
      <c r="GN324" s="2" t="n">
        <v>62.7</v>
      </c>
      <c r="GQ324" s="2" t="n">
        <v>44.3</v>
      </c>
      <c r="GS324" s="2" t="e">
        <v>#VALUE!</v>
      </c>
      <c r="GT324" s="2" t="n">
        <v>11</v>
      </c>
      <c r="GW324" s="2" t="n">
        <v>175.103</v>
      </c>
      <c r="GX324" s="2" t="n">
        <v>372.6</v>
      </c>
      <c r="GY324" s="2" t="n">
        <v>0.9727510265024263</v>
      </c>
      <c r="GZ324" s="2" t="n">
        <v>1303</v>
      </c>
      <c r="HA324" s="2" t="n">
        <v>1339.5</v>
      </c>
      <c r="HB324" s="2" t="n">
        <v>-32.22702913260127</v>
      </c>
      <c r="HC324" s="2" t="n">
        <v>70.5040992571985</v>
      </c>
      <c r="HD324" s="2" t="n">
        <v>1455.772970867399</v>
      </c>
      <c r="HE324" s="2" t="n">
        <v>-11.20000000000005</v>
      </c>
      <c r="HF324" s="2" t="n">
        <v>1488</v>
      </c>
      <c r="HG324" s="2" t="n">
        <v>1283.5</v>
      </c>
      <c r="HH324" s="2" t="n">
        <v>504.4</v>
      </c>
      <c r="HI324" s="2" t="n">
        <v>63.6164</v>
      </c>
      <c r="HJ324" s="2" t="n">
        <v>706.3</v>
      </c>
      <c r="HK324" s="2" t="n">
        <v>9.300000000000001</v>
      </c>
      <c r="HL324" s="2" t="n">
        <v>204.5</v>
      </c>
      <c r="HM324" s="2" t="n">
        <v>163.5</v>
      </c>
      <c r="HN324" s="2" t="n">
        <v>41.9</v>
      </c>
      <c r="HO324" s="2" t="n">
        <v>121.6</v>
      </c>
      <c r="HQ324" s="2" t="n">
        <v>7.8</v>
      </c>
      <c r="HR324" s="2" t="n">
        <v>8.6</v>
      </c>
      <c r="HT324" s="2" t="n">
        <v>24.6</v>
      </c>
      <c r="HW324" s="2" t="n">
        <v>312.8</v>
      </c>
      <c r="HX324" s="2" t="inlineStr">
        <is>
          <t>-</t>
        </is>
      </c>
      <c r="HY324" s="2" t="n">
        <v>312.8</v>
      </c>
      <c r="HZ324" s="2" t="inlineStr">
        <is>
          <t>(D)</t>
        </is>
      </c>
      <c r="IA324" s="2" t="n">
        <v>213.5</v>
      </c>
      <c r="IB324" s="2" t="n">
        <v>92.09999999999999</v>
      </c>
      <c r="IC324" s="2" t="n">
        <v>121.4</v>
      </c>
      <c r="ID324" s="2" t="n">
        <v>68.7</v>
      </c>
      <c r="IE324" s="2" t="n">
        <v>52.7</v>
      </c>
      <c r="IL324" s="2" t="inlineStr">
        <is>
          <t>(D)</t>
        </is>
      </c>
      <c r="IN324" s="2" t="n">
        <v>52.3</v>
      </c>
      <c r="IO324" s="2" t="n">
        <v>52.6</v>
      </c>
      <c r="IP324" s="2" t="inlineStr">
        <is>
          <t>(D)</t>
        </is>
      </c>
      <c r="IQ324" s="2" t="n">
        <v>70.59999999999999</v>
      </c>
      <c r="IR324" s="2" t="n">
        <v>11.7</v>
      </c>
      <c r="IT324" s="2" t="n">
        <v>57.7</v>
      </c>
      <c r="IU324" s="2" t="n">
        <v>1.2</v>
      </c>
      <c r="IV324" s="2" t="inlineStr">
        <is>
          <t>(D)</t>
        </is>
      </c>
      <c r="IY324" s="2" t="n">
        <v>47.24223853458146</v>
      </c>
      <c r="IZ324" s="2" t="n">
        <v>0.142238534581459</v>
      </c>
      <c r="JB324" s="2" t="n">
        <v>11.69775742474241</v>
      </c>
      <c r="JC324" s="2" t="n">
        <v>-0.05224257525759235</v>
      </c>
      <c r="JE324" s="2" t="n">
        <v>3244.232</v>
      </c>
      <c r="JF324" s="2" t="n">
        <v>0.8285498694298065</v>
      </c>
    </row>
    <row r="325">
      <c r="A325" s="1" t="n">
        <v>38930</v>
      </c>
      <c r="B325" s="2" t="n">
        <v>4264.9</v>
      </c>
      <c r="C325" s="2" t="n">
        <v>1581.3</v>
      </c>
      <c r="D325" s="2" t="n">
        <v>204.8</v>
      </c>
      <c r="E325" s="2" t="n">
        <v>432.9</v>
      </c>
      <c r="F325" s="2" t="n">
        <v>23.2</v>
      </c>
      <c r="G325" s="2" t="inlineStr">
        <is>
          <t>NA</t>
        </is>
      </c>
      <c r="H325" s="2" t="inlineStr">
        <is>
          <t>NA</t>
        </is>
      </c>
      <c r="I325" s="2" t="inlineStr">
        <is>
          <t>NA</t>
        </is>
      </c>
      <c r="J325" s="2" t="inlineStr">
        <is>
          <t>NA</t>
        </is>
      </c>
      <c r="K325" s="2" t="n">
        <v>1658.3</v>
      </c>
      <c r="L325" s="2" t="n">
        <v>3206.002</v>
      </c>
      <c r="M325" s="2" t="n">
        <v>2888.3</v>
      </c>
      <c r="N325" s="2" t="n">
        <v>317.702</v>
      </c>
      <c r="O325" s="2" t="n">
        <v>68.40000000000001</v>
      </c>
      <c r="P325" s="2" t="n">
        <v>98.90000000000001</v>
      </c>
      <c r="Q325" s="2" t="n">
        <v>14.2</v>
      </c>
      <c r="R325" s="2" t="n">
        <v>84.7</v>
      </c>
      <c r="T325" s="2" t="n">
        <v>19.7</v>
      </c>
      <c r="U325" s="2" t="n">
        <v>38.5</v>
      </c>
      <c r="V325" s="2" t="n">
        <v>34.3</v>
      </c>
      <c r="W325" s="2" t="n">
        <v>4.2</v>
      </c>
      <c r="X325" s="2" t="inlineStr">
        <is>
          <t>NA</t>
        </is>
      </c>
      <c r="Y325" s="2" t="e">
        <v>#VALUE!</v>
      </c>
      <c r="Z325" s="2" t="n">
        <v>75.2</v>
      </c>
      <c r="AA325" s="2" t="e">
        <v>#VALUE!</v>
      </c>
      <c r="AB325" s="2" t="e">
        <v>#VALUE!</v>
      </c>
      <c r="AC325" s="2" t="inlineStr">
        <is>
          <t>NA</t>
        </is>
      </c>
      <c r="AD325" s="2" t="n">
        <v>60.9</v>
      </c>
      <c r="AE325" s="2" t="n">
        <v>62.5</v>
      </c>
      <c r="AF325" s="2" t="n">
        <v>258.4</v>
      </c>
      <c r="AG325" s="2" t="n">
        <v>202.2</v>
      </c>
      <c r="AH325" s="2" t="n">
        <v>56.2</v>
      </c>
      <c r="AI325" s="2" t="n">
        <v>222</v>
      </c>
      <c r="AL325" s="2" t="n">
        <v>195.6</v>
      </c>
      <c r="AM325" s="2" t="n">
        <v>143.8</v>
      </c>
      <c r="AN325" s="2" t="n">
        <v>51.8</v>
      </c>
      <c r="AO325" s="2" t="n">
        <v>3107.2</v>
      </c>
      <c r="AP325" s="2" t="n">
        <v>198.1</v>
      </c>
      <c r="AQ325" s="2" t="n">
        <v>246.7</v>
      </c>
      <c r="AR325" s="2" t="n">
        <v>23.9</v>
      </c>
      <c r="AS325" s="2" t="n">
        <v>102</v>
      </c>
      <c r="AT325" s="2" t="n">
        <v>80.7</v>
      </c>
      <c r="AU325" s="2" t="n">
        <v>65.59999999999999</v>
      </c>
      <c r="AV325" s="2" t="n">
        <v>20</v>
      </c>
      <c r="AW325" s="2" t="n">
        <v>12.2</v>
      </c>
      <c r="AX325" s="2" t="n">
        <v>2.5</v>
      </c>
      <c r="AY325" s="2" t="inlineStr">
        <is>
          <t>NA</t>
        </is>
      </c>
      <c r="AZ325" s="2" t="inlineStr">
        <is>
          <t>NA</t>
        </is>
      </c>
      <c r="BA325" s="2" t="inlineStr">
        <is>
          <t>NA</t>
        </is>
      </c>
      <c r="BB325" s="2" t="inlineStr">
        <is>
          <t>NA</t>
        </is>
      </c>
      <c r="BD325" s="2" t="n">
        <v>174.4</v>
      </c>
      <c r="BE325" s="2" t="n">
        <v>47.3</v>
      </c>
      <c r="BF325" s="2" t="n">
        <v>88.40000000000001</v>
      </c>
      <c r="BG325" s="2" t="n">
        <v>9.6</v>
      </c>
      <c r="BH325" s="2" t="n">
        <v>344.6</v>
      </c>
      <c r="BI325" s="2" t="n">
        <v>121.6</v>
      </c>
      <c r="BJ325" s="2" t="n">
        <v>107.1</v>
      </c>
      <c r="BK325" s="2" t="n">
        <v>228.7</v>
      </c>
      <c r="BM325" s="2" t="n">
        <v>573.3</v>
      </c>
      <c r="BN325" s="2" t="n">
        <v>186.6</v>
      </c>
      <c r="BO325" s="2" t="n">
        <v>81.90000000000001</v>
      </c>
      <c r="BP325" s="2" t="n">
        <v>33.4</v>
      </c>
      <c r="BQ325" s="2" t="n">
        <v>115.3</v>
      </c>
      <c r="BS325" s="2" t="n">
        <v>301.9</v>
      </c>
      <c r="BT325" s="2" t="n">
        <v>32.2</v>
      </c>
      <c r="BU325" s="2" t="n">
        <v>10.6</v>
      </c>
      <c r="BV325" s="2" t="inlineStr">
        <is>
          <t>NA</t>
        </is>
      </c>
      <c r="BW325" s="2" t="inlineStr">
        <is>
          <t>NA</t>
        </is>
      </c>
      <c r="BX325" s="2" t="n">
        <v>417.4</v>
      </c>
      <c r="BY325" s="2" t="inlineStr">
        <is>
          <t>NA</t>
        </is>
      </c>
      <c r="BZ325" s="2" t="inlineStr">
        <is>
          <t>NA</t>
        </is>
      </c>
      <c r="CA325" s="2" t="n">
        <v>54.8</v>
      </c>
      <c r="CB325" s="2" t="n">
        <v>109.9</v>
      </c>
      <c r="CC325" s="2" t="n">
        <v>12.6</v>
      </c>
      <c r="CD325" s="2" t="n">
        <v>122.7</v>
      </c>
      <c r="CE325" s="2" t="n">
        <v>16.6</v>
      </c>
      <c r="CF325" s="2" t="n">
        <v>108.9</v>
      </c>
      <c r="CG325" s="2" t="n">
        <v>92.5</v>
      </c>
      <c r="CH325" s="2" t="n">
        <v>6.9</v>
      </c>
      <c r="CI325" s="2" t="n">
        <v>38.8</v>
      </c>
      <c r="CJ325" s="2" t="n">
        <v>7.2</v>
      </c>
      <c r="CK325" s="2" t="n">
        <v>164.4</v>
      </c>
      <c r="CL325" s="2" t="n">
        <v>20.9</v>
      </c>
      <c r="CN325" s="2" t="n">
        <v>56.9</v>
      </c>
      <c r="CO325" s="2" t="n">
        <v>202.7</v>
      </c>
      <c r="CP325" s="2" t="n">
        <v>147.9</v>
      </c>
      <c r="CQ325" s="2" t="n">
        <v>54.8</v>
      </c>
      <c r="CR325" s="2" t="inlineStr">
        <is>
          <t>NA</t>
        </is>
      </c>
      <c r="CS325" s="2" t="n">
        <v>20.9</v>
      </c>
      <c r="CT325" s="2" t="e">
        <v>#VALUE!</v>
      </c>
      <c r="CU325" s="2" t="e">
        <v>#VALUE!</v>
      </c>
      <c r="CV325" s="2" t="n">
        <v>180.4</v>
      </c>
      <c r="CW325" s="2" t="e">
        <v>#VALUE!</v>
      </c>
      <c r="CX325" s="2" t="e">
        <v>#VALUE!</v>
      </c>
      <c r="CY325" s="2" t="e">
        <v>#VALUE!</v>
      </c>
      <c r="CZ325" s="2" t="n">
        <v>75.59999999999999</v>
      </c>
      <c r="DA325" s="2" t="n">
        <v>14.1</v>
      </c>
      <c r="DB325" s="2" t="e">
        <v>#VALUE!</v>
      </c>
      <c r="DC325" s="2" t="e">
        <v>#VALUE!</v>
      </c>
      <c r="DI325" s="2" t="n">
        <v>718.7</v>
      </c>
      <c r="DJ325" s="2" t="n">
        <v>310.2</v>
      </c>
      <c r="DM325" s="2" t="n">
        <v>505.5</v>
      </c>
      <c r="DO325" s="2" t="n">
        <v>202.6</v>
      </c>
      <c r="DP325" s="2" t="n">
        <v>285.5</v>
      </c>
      <c r="DS325" s="2" t="n">
        <v>2278.265</v>
      </c>
      <c r="DT325" s="2" t="n">
        <v>4264.9</v>
      </c>
      <c r="DU325" s="2" t="n">
        <v>35.86499999999978</v>
      </c>
      <c r="DV325" s="2" t="n">
        <v>0</v>
      </c>
      <c r="EA325" s="2" t="n">
        <v>262.8</v>
      </c>
      <c r="EB325" s="2" t="n">
        <v>123.5</v>
      </c>
      <c r="EE325" s="2" t="n">
        <v>92.5</v>
      </c>
      <c r="EG325" s="2" t="n">
        <v>107.74</v>
      </c>
      <c r="EH325" s="2" t="n">
        <v>78.7</v>
      </c>
      <c r="EK325" s="2" t="n">
        <v>867.192</v>
      </c>
      <c r="EL325" s="2" t="n">
        <v>1581.3</v>
      </c>
      <c r="EQ325" s="2" t="n">
        <v>282.1</v>
      </c>
      <c r="ER325" s="2" t="n">
        <v>120.3</v>
      </c>
      <c r="EU325" s="2" t="n">
        <v>198</v>
      </c>
      <c r="EW325" s="2" t="n">
        <v>77.8</v>
      </c>
      <c r="EX325" s="2" t="n">
        <v>109.1</v>
      </c>
      <c r="FA325" s="2" t="n">
        <v>885.629</v>
      </c>
      <c r="FB325" s="2" t="n">
        <v>1658.3</v>
      </c>
      <c r="FG325" s="2" t="n">
        <v>556.4</v>
      </c>
      <c r="FH325" s="2" t="n">
        <v>247</v>
      </c>
      <c r="FK325" s="2" t="n">
        <v>401.7</v>
      </c>
      <c r="FM325" s="2" t="n">
        <v>159.7</v>
      </c>
      <c r="FN325" s="2" t="n">
        <v>228</v>
      </c>
      <c r="FQ325" s="2" t="n">
        <v>1797.325</v>
      </c>
      <c r="FR325" s="2" t="n">
        <v>3360.4</v>
      </c>
      <c r="FW325" s="2" t="n">
        <v>349.2</v>
      </c>
      <c r="FX325" s="2" t="n">
        <v>127.8</v>
      </c>
      <c r="GA325" s="2" t="n">
        <v>114.8</v>
      </c>
      <c r="GC325" s="2" t="n">
        <v>60.1</v>
      </c>
      <c r="GD325" s="2" t="inlineStr">
        <is>
          <t>(D)</t>
        </is>
      </c>
      <c r="GG325" s="2" t="n">
        <v>490.054</v>
      </c>
      <c r="GH325" s="2" t="n">
        <v>1329.2</v>
      </c>
      <c r="GM325" s="2" t="n">
        <v>66.40000000000001</v>
      </c>
      <c r="GN325" s="2" t="n">
        <v>16.5</v>
      </c>
      <c r="GQ325" s="2" t="n">
        <v>25.2</v>
      </c>
      <c r="GS325" s="2" t="e">
        <v>#VALUE!</v>
      </c>
      <c r="GT325" s="2" t="n">
        <v>8.6</v>
      </c>
      <c r="GW325" s="2" t="n">
        <v>118.039</v>
      </c>
      <c r="GX325" s="2" t="n">
        <v>225.8</v>
      </c>
      <c r="GY325" s="2" t="n">
        <v>0.9749647390691114</v>
      </c>
      <c r="GZ325" s="2" t="n">
        <v>1382.5</v>
      </c>
      <c r="HA325" s="2" t="n">
        <v>1418</v>
      </c>
      <c r="HB325" s="2" t="n">
        <v>-30.20974520840059</v>
      </c>
      <c r="HC325" s="2" t="n">
        <v>24.31226415159881</v>
      </c>
      <c r="HD325" s="2" t="n">
        <v>1634.090254791599</v>
      </c>
      <c r="HE325" s="2" t="n">
        <v>122.5999999999999</v>
      </c>
      <c r="HF325" s="2" t="n">
        <v>1664.3</v>
      </c>
      <c r="HG325" s="2" t="n">
        <v>1399.6</v>
      </c>
      <c r="HH325" s="2" t="n">
        <v>546.6</v>
      </c>
      <c r="HI325" s="2" t="n">
        <v>87.18463</v>
      </c>
      <c r="HJ325" s="2" t="n">
        <v>755.2</v>
      </c>
      <c r="HK325" s="2" t="n">
        <v>10.5</v>
      </c>
      <c r="HL325" s="2" t="n">
        <v>264.7</v>
      </c>
      <c r="HM325" s="2" t="n">
        <v>208.5</v>
      </c>
      <c r="HN325" s="2" t="n">
        <v>42.8</v>
      </c>
      <c r="HO325" s="2" t="n">
        <v>165.7</v>
      </c>
      <c r="HQ325" s="2" t="n">
        <v>8.6</v>
      </c>
      <c r="HR325" s="2" t="n">
        <v>10.4</v>
      </c>
      <c r="HT325" s="2" t="n">
        <v>37.2</v>
      </c>
      <c r="HW325" s="2" t="n">
        <v>315.6</v>
      </c>
      <c r="HX325" s="2" t="inlineStr">
        <is>
          <t>-</t>
        </is>
      </c>
      <c r="HY325" s="2" t="n">
        <v>315.6</v>
      </c>
      <c r="HZ325" s="2" t="inlineStr">
        <is>
          <t>(D)</t>
        </is>
      </c>
      <c r="IA325" s="2" t="n">
        <v>223.8</v>
      </c>
      <c r="IB325" s="2" t="n">
        <v>93.09999999999999</v>
      </c>
      <c r="IC325" s="2" t="n">
        <v>130.7</v>
      </c>
      <c r="ID325" s="2" t="n">
        <v>67.2</v>
      </c>
      <c r="IE325" s="2" t="n">
        <v>63.6</v>
      </c>
      <c r="IL325" s="2" t="inlineStr">
        <is>
          <t>(D)</t>
        </is>
      </c>
      <c r="IN325" s="2" t="n">
        <v>61</v>
      </c>
      <c r="IO325" s="2" t="n">
        <v>61.4</v>
      </c>
      <c r="IP325" s="2" t="inlineStr">
        <is>
          <t>(D)</t>
        </is>
      </c>
      <c r="IQ325" s="2" t="n">
        <v>67.59999999999999</v>
      </c>
      <c r="IR325" s="2" t="n">
        <v>16.4</v>
      </c>
      <c r="IT325" s="2" t="n">
        <v>50</v>
      </c>
      <c r="IU325" s="2" t="n">
        <v>1.2</v>
      </c>
      <c r="IV325" s="2" t="inlineStr">
        <is>
          <t>(D)</t>
        </is>
      </c>
      <c r="IY325" s="2" t="n">
        <v>47.18375577387512</v>
      </c>
      <c r="IZ325" s="2" t="n">
        <v>0.07375577387512067</v>
      </c>
      <c r="JB325" s="2" t="n">
        <v>11.66475181129687</v>
      </c>
      <c r="JC325" s="2" t="n">
        <v>0.0447518112968659</v>
      </c>
      <c r="JE325" s="2" t="n">
        <v>3206.002</v>
      </c>
      <c r="JF325" s="2" t="n">
        <v>0.8353163847059357</v>
      </c>
    </row>
    <row r="326">
      <c r="A326" s="1" t="n">
        <v>38961</v>
      </c>
      <c r="B326" s="2" t="n">
        <v>4271</v>
      </c>
      <c r="C326" s="2" t="n">
        <v>1461.7</v>
      </c>
      <c r="D326" s="2" t="n">
        <v>158.2</v>
      </c>
      <c r="E326" s="2" t="n">
        <v>564.5</v>
      </c>
      <c r="F326" s="2" t="n">
        <v>18.9</v>
      </c>
      <c r="G326" s="2" t="inlineStr">
        <is>
          <t>NA</t>
        </is>
      </c>
      <c r="H326" s="2" t="inlineStr">
        <is>
          <t>NA</t>
        </is>
      </c>
      <c r="I326" s="2" t="inlineStr">
        <is>
          <t>NA</t>
        </is>
      </c>
      <c r="J326" s="2" t="inlineStr">
        <is>
          <t>NA</t>
        </is>
      </c>
      <c r="K326" s="2" t="n">
        <v>1684.1</v>
      </c>
      <c r="L326" s="2" t="n">
        <v>3144.998</v>
      </c>
      <c r="M326" s="2" t="n">
        <v>2839.4</v>
      </c>
      <c r="N326" s="2" t="n">
        <v>305.598</v>
      </c>
      <c r="O326" s="2" t="n">
        <v>59.2</v>
      </c>
      <c r="P326" s="2" t="n">
        <v>101.1</v>
      </c>
      <c r="Q326" s="2" t="n">
        <v>10.2</v>
      </c>
      <c r="R326" s="2" t="n">
        <v>90.90000000000001</v>
      </c>
      <c r="T326" s="2" t="n">
        <v>16.2</v>
      </c>
      <c r="U326" s="2" t="n">
        <v>26.6</v>
      </c>
      <c r="V326" s="2" t="n">
        <v>22.9</v>
      </c>
      <c r="W326" s="2" t="n">
        <v>3.7</v>
      </c>
      <c r="X326" s="2" t="inlineStr">
        <is>
          <t>NA</t>
        </is>
      </c>
      <c r="Y326" s="2" t="e">
        <v>#VALUE!</v>
      </c>
      <c r="Z326" s="2" t="n">
        <v>54.1</v>
      </c>
      <c r="AA326" s="2" t="e">
        <v>#VALUE!</v>
      </c>
      <c r="AB326" s="2" t="e">
        <v>#VALUE!</v>
      </c>
      <c r="AC326" s="2" t="inlineStr">
        <is>
          <t>NA</t>
        </is>
      </c>
      <c r="AD326" s="2" t="n">
        <v>65.7</v>
      </c>
      <c r="AE326" s="2" t="n">
        <v>67.7</v>
      </c>
      <c r="AF326" s="2" t="n">
        <v>263.5</v>
      </c>
      <c r="AG326" s="2" t="n">
        <v>220.3</v>
      </c>
      <c r="AH326" s="2" t="n">
        <v>43.2</v>
      </c>
      <c r="AI326" s="2" t="n">
        <v>209</v>
      </c>
      <c r="AL326" s="2" t="n">
        <v>199.9</v>
      </c>
      <c r="AM326" s="2" t="n">
        <v>151</v>
      </c>
      <c r="AN326" s="2" t="n">
        <v>48.9</v>
      </c>
      <c r="AO326" s="2" t="n">
        <v>3107.8</v>
      </c>
      <c r="AP326" s="2" t="n">
        <v>279.7</v>
      </c>
      <c r="AQ326" s="2" t="n">
        <v>246.7</v>
      </c>
      <c r="AR326" s="2" t="n">
        <v>34.1</v>
      </c>
      <c r="AS326" s="2" t="n">
        <v>83</v>
      </c>
      <c r="AT326" s="2" t="n">
        <v>59.3</v>
      </c>
      <c r="AU326" s="2" t="n">
        <v>54.5</v>
      </c>
      <c r="AV326" s="2" t="n">
        <v>15.7</v>
      </c>
      <c r="AW326" s="2" t="n">
        <v>10.6</v>
      </c>
      <c r="AX326" s="2" t="n">
        <v>2.4</v>
      </c>
      <c r="AY326" s="2" t="inlineStr">
        <is>
          <t>NA</t>
        </is>
      </c>
      <c r="AZ326" s="2" t="inlineStr">
        <is>
          <t>NA</t>
        </is>
      </c>
      <c r="BA326" s="2" t="inlineStr">
        <is>
          <t>NA</t>
        </is>
      </c>
      <c r="BB326" s="2" t="inlineStr">
        <is>
          <t>NA</t>
        </is>
      </c>
      <c r="BD326" s="2" t="n">
        <v>156.9</v>
      </c>
      <c r="BE326" s="2" t="n">
        <v>35.1</v>
      </c>
      <c r="BF326" s="2" t="n">
        <v>81.7</v>
      </c>
      <c r="BG326" s="2" t="n">
        <v>10.9</v>
      </c>
      <c r="BH326" s="2" t="n">
        <v>313.6</v>
      </c>
      <c r="BI326" s="2" t="n">
        <v>124.3</v>
      </c>
      <c r="BJ326" s="2" t="n">
        <v>102.7</v>
      </c>
      <c r="BK326" s="2" t="n">
        <v>227</v>
      </c>
      <c r="BM326" s="2" t="n">
        <v>540.6</v>
      </c>
      <c r="BN326" s="2" t="n">
        <v>206.2</v>
      </c>
      <c r="BO326" s="2" t="n">
        <v>76.8</v>
      </c>
      <c r="BP326" s="2" t="n">
        <v>21.8</v>
      </c>
      <c r="BQ326" s="2" t="n">
        <v>98.59999999999999</v>
      </c>
      <c r="BS326" s="2" t="n">
        <v>304.8</v>
      </c>
      <c r="BT326" s="2" t="n">
        <v>30.2</v>
      </c>
      <c r="BU326" s="2" t="n">
        <v>11.4</v>
      </c>
      <c r="BV326" s="2" t="inlineStr">
        <is>
          <t>NA</t>
        </is>
      </c>
      <c r="BW326" s="2" t="inlineStr">
        <is>
          <t>NA</t>
        </is>
      </c>
      <c r="BX326" s="2" t="n">
        <v>399.7</v>
      </c>
      <c r="BY326" s="2" t="inlineStr">
        <is>
          <t>NA</t>
        </is>
      </c>
      <c r="BZ326" s="2" t="inlineStr">
        <is>
          <t>NA</t>
        </is>
      </c>
      <c r="CA326" s="2" t="n">
        <v>68.2</v>
      </c>
      <c r="CB326" s="2" t="n">
        <v>101.3</v>
      </c>
      <c r="CC326" s="2" t="n">
        <v>16.3</v>
      </c>
      <c r="CD326" s="2" t="n">
        <v>117.7</v>
      </c>
      <c r="CE326" s="2" t="n">
        <v>24.2</v>
      </c>
      <c r="CF326" s="2" t="n">
        <v>98.2</v>
      </c>
      <c r="CG326" s="2" t="n">
        <v>73.90000000000001</v>
      </c>
      <c r="CH326" s="2" t="n">
        <v>7.7</v>
      </c>
      <c r="CI326" s="2" t="n">
        <v>35.9</v>
      </c>
      <c r="CJ326" s="2" t="n">
        <v>14.9</v>
      </c>
      <c r="CK326" s="2" t="n">
        <v>161.2</v>
      </c>
      <c r="CL326" s="2" t="n">
        <v>24.1</v>
      </c>
      <c r="CN326" s="2" t="n">
        <v>38.6</v>
      </c>
      <c r="CO326" s="2" t="n">
        <v>222.2</v>
      </c>
      <c r="CP326" s="2" t="n">
        <v>155.5</v>
      </c>
      <c r="CQ326" s="2" t="n">
        <v>66.7</v>
      </c>
      <c r="CR326" s="2" t="inlineStr">
        <is>
          <t>NA</t>
        </is>
      </c>
      <c r="CS326" s="2" t="n">
        <v>23</v>
      </c>
      <c r="CT326" s="2" t="e">
        <v>#VALUE!</v>
      </c>
      <c r="CU326" s="2" t="e">
        <v>#VALUE!</v>
      </c>
      <c r="CV326" s="2" t="n">
        <v>207.2</v>
      </c>
      <c r="CW326" s="2" t="e">
        <v>#VALUE!</v>
      </c>
      <c r="CX326" s="2" t="e">
        <v>#VALUE!</v>
      </c>
      <c r="CY326" s="2" t="e">
        <v>#VALUE!</v>
      </c>
      <c r="CZ326" s="2" t="n">
        <v>78.2</v>
      </c>
      <c r="DA326" s="2" t="n">
        <v>14.4</v>
      </c>
      <c r="DB326" s="2" t="e">
        <v>#VALUE!</v>
      </c>
      <c r="DC326" s="2" t="e">
        <v>#VALUE!</v>
      </c>
      <c r="DI326" s="2" t="n">
        <v>657.6</v>
      </c>
      <c r="DJ326" s="2" t="n">
        <v>364.6</v>
      </c>
      <c r="DM326" s="2" t="n">
        <v>438.1</v>
      </c>
      <c r="DO326" s="2" t="n">
        <v>181.8</v>
      </c>
      <c r="DP326" s="2" t="n">
        <v>288.3</v>
      </c>
      <c r="DS326" s="2" t="n">
        <v>2374.741</v>
      </c>
      <c r="DT326" s="2" t="n">
        <v>4271</v>
      </c>
      <c r="DU326" s="2" t="n">
        <v>34.14099999999962</v>
      </c>
      <c r="DV326" s="2" t="n">
        <v>0</v>
      </c>
      <c r="EA326" s="2" t="n">
        <v>231.6</v>
      </c>
      <c r="EB326" s="2" t="n">
        <v>90.3</v>
      </c>
      <c r="EE326" s="2" t="n">
        <v>136.5</v>
      </c>
      <c r="EG326" s="2" t="n">
        <v>58.474</v>
      </c>
      <c r="EH326" s="2" t="n">
        <v>100.3</v>
      </c>
      <c r="EK326" s="2" t="n">
        <v>838.995</v>
      </c>
      <c r="EL326" s="2" t="n">
        <v>1461.7</v>
      </c>
      <c r="EQ326" s="2" t="n">
        <v>260.1</v>
      </c>
      <c r="ER326" s="2" t="n">
        <v>140</v>
      </c>
      <c r="EU326" s="2" t="n">
        <v>170.4</v>
      </c>
      <c r="EW326" s="2" t="n">
        <v>70.59999999999999</v>
      </c>
      <c r="EX326" s="2" t="n">
        <v>109.8</v>
      </c>
      <c r="FA326" s="2" t="n">
        <v>924.081</v>
      </c>
      <c r="FB326" s="2" t="n">
        <v>1684.1</v>
      </c>
      <c r="FG326" s="2" t="n">
        <v>515.6</v>
      </c>
      <c r="FH326" s="2" t="n">
        <v>285.6</v>
      </c>
      <c r="FK326" s="2" t="n">
        <v>345.1</v>
      </c>
      <c r="FM326" s="2" t="n">
        <v>144.1</v>
      </c>
      <c r="FN326" s="2" t="n">
        <v>230</v>
      </c>
      <c r="FQ326" s="2" t="n">
        <v>1869.433</v>
      </c>
      <c r="FR326" s="2" t="n">
        <v>3363.6</v>
      </c>
      <c r="FW326" s="2" t="n">
        <v>326.3</v>
      </c>
      <c r="FX326" s="2" t="inlineStr">
        <is>
          <t>(D)</t>
        </is>
      </c>
      <c r="GA326" s="2" t="n">
        <v>91.90000000000001</v>
      </c>
      <c r="GC326" s="2" t="inlineStr">
        <is>
          <t>(D)</t>
        </is>
      </c>
      <c r="GD326" s="2" t="inlineStr">
        <is>
          <t>(D)</t>
        </is>
      </c>
      <c r="GG326" s="2" t="n">
        <v>485.31</v>
      </c>
      <c r="GH326" s="2" t="n">
        <v>1299.9</v>
      </c>
      <c r="GM326" s="2" t="n">
        <v>69.3</v>
      </c>
      <c r="GN326" s="2" t="n">
        <v>32.3</v>
      </c>
      <c r="GQ326" s="2" t="n">
        <v>29.8</v>
      </c>
      <c r="GS326" s="2" t="n">
        <v>6</v>
      </c>
      <c r="GT326" s="2" t="n">
        <v>15.1</v>
      </c>
      <c r="GW326" s="2" t="n">
        <v>169.916</v>
      </c>
      <c r="GX326" s="2" t="n">
        <v>313.8</v>
      </c>
      <c r="GY326" s="2" t="n">
        <v>0.9775248933143671</v>
      </c>
      <c r="GZ326" s="2" t="n">
        <v>1374.4</v>
      </c>
      <c r="HA326" s="2" t="n">
        <v>1406</v>
      </c>
      <c r="HB326" s="2" t="n">
        <v>22.74113746740136</v>
      </c>
      <c r="HC326" s="2" t="n">
        <v>143.0826552064013</v>
      </c>
      <c r="HD326" s="2" t="n">
        <v>1636.541137467401</v>
      </c>
      <c r="HE326" s="2" t="n">
        <v>111.5</v>
      </c>
      <c r="HF326" s="2" t="n">
        <v>1613.8</v>
      </c>
      <c r="HG326" s="2" t="n">
        <v>1385.6</v>
      </c>
      <c r="HH326" s="2" t="n">
        <v>529.5</v>
      </c>
      <c r="HI326" s="2" t="n">
        <v>80.59999999999999</v>
      </c>
      <c r="HJ326" s="2" t="n">
        <v>765.1</v>
      </c>
      <c r="HK326" s="2" t="n">
        <v>10.3</v>
      </c>
      <c r="HL326" s="2" t="n">
        <v>228.2</v>
      </c>
      <c r="HM326" s="2" t="n">
        <v>181.2</v>
      </c>
      <c r="HN326" s="2" t="n">
        <v>44.6</v>
      </c>
      <c r="HO326" s="2" t="n">
        <v>136.6</v>
      </c>
      <c r="HQ326" s="2" t="n">
        <v>5.9</v>
      </c>
      <c r="HR326" s="2" t="n">
        <v>9.699999999999999</v>
      </c>
      <c r="HT326" s="2" t="n">
        <v>31.4</v>
      </c>
      <c r="HW326" s="2" t="n">
        <v>297.2</v>
      </c>
      <c r="HX326" s="2" t="inlineStr">
        <is>
          <t>-</t>
        </is>
      </c>
      <c r="HY326" s="2" t="n">
        <v>297.2</v>
      </c>
      <c r="HZ326" s="2" t="inlineStr">
        <is>
          <t>(D)</t>
        </is>
      </c>
      <c r="IA326" s="2" t="n">
        <v>209.8</v>
      </c>
      <c r="IB326" s="2" t="n">
        <v>85.5</v>
      </c>
      <c r="IC326" s="2" t="n">
        <v>124.3</v>
      </c>
      <c r="ID326" s="2" t="n">
        <v>67.8</v>
      </c>
      <c r="IE326" s="2" t="n">
        <v>56.5</v>
      </c>
      <c r="IL326" s="2" t="inlineStr">
        <is>
          <t>(D)</t>
        </is>
      </c>
      <c r="IN326" s="2" t="n">
        <v>52</v>
      </c>
      <c r="IO326" s="2" t="n">
        <v>52.4</v>
      </c>
      <c r="IP326" s="2" t="inlineStr">
        <is>
          <t>(D)</t>
        </is>
      </c>
      <c r="IQ326" s="2" t="n">
        <v>47.7</v>
      </c>
      <c r="IR326" s="2" t="n">
        <v>13.4</v>
      </c>
      <c r="IT326" s="2" t="n">
        <v>32.9</v>
      </c>
      <c r="IU326" s="2" t="n">
        <v>1.3</v>
      </c>
      <c r="IV326" s="2" t="inlineStr">
        <is>
          <t>(D)</t>
        </is>
      </c>
      <c r="IY326" s="2" t="n">
        <v>47.12479512994614</v>
      </c>
      <c r="IZ326" s="2" t="n">
        <v>0.03479512994613998</v>
      </c>
      <c r="JB326" s="2" t="n">
        <v>11.8293139779911</v>
      </c>
      <c r="JC326" s="2" t="n">
        <v>0.07931397799110229</v>
      </c>
      <c r="JE326" s="2" t="n">
        <v>3144.998</v>
      </c>
      <c r="JF326" s="2" t="n">
        <v>0.8362797051063309</v>
      </c>
    </row>
    <row r="327">
      <c r="A327" s="1" t="n">
        <v>38991</v>
      </c>
      <c r="B327" s="2" t="n">
        <v>4852.2</v>
      </c>
      <c r="C327" s="2" t="n">
        <v>3740.3</v>
      </c>
      <c r="D327" s="2" t="n">
        <v>252.4</v>
      </c>
      <c r="E327" s="2" t="n">
        <v>1058.4</v>
      </c>
      <c r="F327" s="2" t="n">
        <v>21.7</v>
      </c>
      <c r="G327" s="2" t="inlineStr">
        <is>
          <t>NA</t>
        </is>
      </c>
      <c r="H327" s="2" t="inlineStr">
        <is>
          <t>NA</t>
        </is>
      </c>
      <c r="I327" s="2" t="inlineStr">
        <is>
          <t>NA</t>
        </is>
      </c>
      <c r="J327" s="2" t="inlineStr">
        <is>
          <t>NA</t>
        </is>
      </c>
      <c r="K327" s="2" t="n">
        <v>1829.5</v>
      </c>
      <c r="L327" s="2" t="n">
        <v>3154</v>
      </c>
      <c r="M327" s="2" t="n">
        <v>2824.7</v>
      </c>
      <c r="N327" s="2" t="n">
        <v>329.3</v>
      </c>
      <c r="O327" s="2" t="n">
        <v>77.09999999999999</v>
      </c>
      <c r="P327" s="2" t="n">
        <v>93.09999999999999</v>
      </c>
      <c r="Q327" s="2" t="n">
        <v>14.6</v>
      </c>
      <c r="R327" s="2" t="n">
        <v>78.5</v>
      </c>
      <c r="T327" s="2" t="n">
        <v>18</v>
      </c>
      <c r="U327" s="2" t="n">
        <v>28.5</v>
      </c>
      <c r="V327" s="2" t="n">
        <v>22.9</v>
      </c>
      <c r="W327" s="2" t="n">
        <v>5.6</v>
      </c>
      <c r="X327" s="2" t="inlineStr">
        <is>
          <t>NA</t>
        </is>
      </c>
      <c r="Y327" s="2" t="e">
        <v>#VALUE!</v>
      </c>
      <c r="Z327" s="2" t="n">
        <v>60.4</v>
      </c>
      <c r="AA327" s="2" t="e">
        <v>#VALUE!</v>
      </c>
      <c r="AB327" s="2" t="e">
        <v>#VALUE!</v>
      </c>
      <c r="AC327" s="2" t="inlineStr">
        <is>
          <t>NA</t>
        </is>
      </c>
      <c r="AD327" s="2" t="n">
        <v>55.8</v>
      </c>
      <c r="AE327" s="2" t="n">
        <v>57.1</v>
      </c>
      <c r="AF327" s="2" t="n">
        <v>227.8</v>
      </c>
      <c r="AG327" s="2" t="n">
        <v>186</v>
      </c>
      <c r="AH327" s="2" t="n">
        <v>41.8</v>
      </c>
      <c r="AI327" s="2" t="n">
        <v>228.7</v>
      </c>
      <c r="AL327" s="2" t="n">
        <v>230</v>
      </c>
      <c r="AM327" s="2" t="n">
        <v>183.9</v>
      </c>
      <c r="AN327" s="2" t="n">
        <v>46.1</v>
      </c>
      <c r="AO327" s="2" t="n">
        <v>3560</v>
      </c>
      <c r="AP327" s="2" t="n">
        <v>355.8</v>
      </c>
      <c r="AQ327" s="2" t="n">
        <v>263.2</v>
      </c>
      <c r="AR327" s="2" t="n">
        <v>32.6</v>
      </c>
      <c r="AS327" s="2" t="n">
        <v>118.8</v>
      </c>
      <c r="AT327" s="2" t="n">
        <v>76.5</v>
      </c>
      <c r="AU327" s="2" t="n">
        <v>73.5</v>
      </c>
      <c r="AV327" s="2" t="n">
        <v>19.2</v>
      </c>
      <c r="AW327" s="2" t="n">
        <v>11.5</v>
      </c>
      <c r="AX327" s="2" t="n">
        <v>1.2</v>
      </c>
      <c r="AY327" s="2" t="inlineStr">
        <is>
          <t>NA</t>
        </is>
      </c>
      <c r="AZ327" s="2" t="inlineStr">
        <is>
          <t>NA</t>
        </is>
      </c>
      <c r="BA327" s="2" t="inlineStr">
        <is>
          <t>NA</t>
        </is>
      </c>
      <c r="BB327" s="2" t="inlineStr">
        <is>
          <t>NA</t>
        </is>
      </c>
      <c r="BD327" s="2" t="n">
        <v>153</v>
      </c>
      <c r="BE327" s="2" t="n">
        <v>35.5</v>
      </c>
      <c r="BF327" s="2" t="n">
        <v>88.59999999999999</v>
      </c>
      <c r="BG327" s="2" t="n">
        <v>10.2</v>
      </c>
      <c r="BH327" s="2" t="n">
        <v>317.1</v>
      </c>
      <c r="BI327" s="2" t="n">
        <v>125.1</v>
      </c>
      <c r="BJ327" s="2" t="n">
        <v>106.1</v>
      </c>
      <c r="BK327" s="2" t="n">
        <v>231.2</v>
      </c>
      <c r="BM327" s="2" t="n">
        <v>548.3</v>
      </c>
      <c r="BN327" s="2" t="n">
        <v>181.8</v>
      </c>
      <c r="BO327" s="2" t="n">
        <v>78.90000000000001</v>
      </c>
      <c r="BP327" s="2" t="n">
        <v>18.7</v>
      </c>
      <c r="BQ327" s="2" t="n">
        <v>97.60000000000001</v>
      </c>
      <c r="BS327" s="2" t="n">
        <v>279.4</v>
      </c>
      <c r="BT327" s="2" t="n">
        <v>31.2</v>
      </c>
      <c r="BU327" s="2" t="n">
        <v>16.1</v>
      </c>
      <c r="BV327" s="2" t="inlineStr">
        <is>
          <t>NA</t>
        </is>
      </c>
      <c r="BW327" s="2" t="inlineStr">
        <is>
          <t>NA</t>
        </is>
      </c>
      <c r="BX327" s="2" t="n">
        <v>404.3</v>
      </c>
      <c r="BY327" s="2" t="inlineStr">
        <is>
          <t>NA</t>
        </is>
      </c>
      <c r="BZ327" s="2" t="inlineStr">
        <is>
          <t>NA</t>
        </is>
      </c>
      <c r="CA327" s="2" t="n">
        <v>69.2</v>
      </c>
      <c r="CB327" s="2" t="n">
        <v>109.9</v>
      </c>
      <c r="CC327" s="2" t="n">
        <v>18.2</v>
      </c>
      <c r="CD327" s="2" t="n">
        <v>133.7</v>
      </c>
      <c r="CE327" s="2" t="n">
        <v>20.9</v>
      </c>
      <c r="CF327" s="2" t="n">
        <v>104.8</v>
      </c>
      <c r="CG327" s="2" t="n">
        <v>61.7</v>
      </c>
      <c r="CH327" s="2" t="n">
        <v>7.6</v>
      </c>
      <c r="CI327" s="2" t="n">
        <v>35.3</v>
      </c>
      <c r="CJ327" s="2" t="n">
        <v>11.1</v>
      </c>
      <c r="CK327" s="2" t="n">
        <v>166.3</v>
      </c>
      <c r="CL327" s="2" t="n">
        <v>23.9</v>
      </c>
      <c r="CN327" s="2" t="n">
        <v>58.3</v>
      </c>
      <c r="CO327" s="2" t="n">
        <v>177</v>
      </c>
      <c r="CP327" s="2" t="n">
        <v>119.4</v>
      </c>
      <c r="CQ327" s="2" t="n">
        <v>57.6</v>
      </c>
      <c r="CR327" s="2" t="inlineStr">
        <is>
          <t>NA</t>
        </is>
      </c>
      <c r="CS327" s="2" t="n">
        <v>27.9</v>
      </c>
      <c r="CT327" s="2" t="e">
        <v>#VALUE!</v>
      </c>
      <c r="CU327" s="2" t="e">
        <v>#VALUE!</v>
      </c>
      <c r="CV327" s="2" t="n">
        <v>154.4</v>
      </c>
      <c r="CW327" s="2" t="e">
        <v>#VALUE!</v>
      </c>
      <c r="CX327" s="2" t="e">
        <v>#VALUE!</v>
      </c>
      <c r="CY327" s="2" t="e">
        <v>#VALUE!</v>
      </c>
      <c r="CZ327" s="2" t="n">
        <v>70.7</v>
      </c>
      <c r="DA327" s="2" t="n">
        <v>16.3</v>
      </c>
      <c r="DB327" s="2" t="e">
        <v>#VALUE!</v>
      </c>
      <c r="DC327" s="2" t="e">
        <v>#VALUE!</v>
      </c>
      <c r="DI327" s="2" t="n">
        <v>704</v>
      </c>
      <c r="DJ327" s="2" t="n">
        <v>489.8</v>
      </c>
      <c r="DM327" s="2" t="n">
        <v>502.4</v>
      </c>
      <c r="DO327" s="2" t="n">
        <v>207.4</v>
      </c>
      <c r="DP327" s="2" t="n">
        <v>341.7</v>
      </c>
      <c r="DS327" s="2" t="n">
        <v>2645.219</v>
      </c>
      <c r="DT327" s="2" t="n">
        <v>4852.2</v>
      </c>
      <c r="DU327" s="2" t="n">
        <v>38.31900000000041</v>
      </c>
      <c r="DV327" s="2" t="n">
        <v>0</v>
      </c>
      <c r="EA327" s="2" t="n">
        <v>621.1</v>
      </c>
      <c r="EB327" s="2" t="n">
        <v>744.9</v>
      </c>
      <c r="EE327" s="2" t="n">
        <v>229.1</v>
      </c>
      <c r="EG327" s="2" t="n">
        <v>134.267</v>
      </c>
      <c r="EH327" s="2" t="n">
        <v>389.2</v>
      </c>
      <c r="EK327" s="2" t="n">
        <v>1595.5</v>
      </c>
      <c r="EL327" s="2" t="n">
        <v>3740.3</v>
      </c>
      <c r="EQ327" s="2" t="n">
        <v>266.5</v>
      </c>
      <c r="ER327" s="2" t="n">
        <v>178.8</v>
      </c>
      <c r="EU327" s="2" t="n">
        <v>199.3</v>
      </c>
      <c r="EW327" s="2" t="n">
        <v>76.8</v>
      </c>
      <c r="EX327" s="2" t="n">
        <v>123.7</v>
      </c>
      <c r="FA327" s="2" t="n">
        <v>1003.088</v>
      </c>
      <c r="FB327" s="2" t="n">
        <v>1829.5</v>
      </c>
      <c r="FG327" s="2" t="n">
        <v>557.6</v>
      </c>
      <c r="FH327" s="2" t="n">
        <v>382.9</v>
      </c>
      <c r="FK327" s="2" t="n">
        <v>399.9</v>
      </c>
      <c r="FM327" s="2" t="n">
        <v>166</v>
      </c>
      <c r="FN327" s="2" t="n">
        <v>270.3</v>
      </c>
      <c r="FQ327" s="2" t="n">
        <v>2083.43</v>
      </c>
      <c r="FR327" s="2" t="n">
        <v>3832.7</v>
      </c>
      <c r="FW327" s="2" t="n">
        <v>348.8</v>
      </c>
      <c r="FX327" s="2" t="n">
        <v>145</v>
      </c>
      <c r="GA327" s="2" t="n">
        <v>85.90000000000001</v>
      </c>
      <c r="GC327" s="2" t="n">
        <v>59</v>
      </c>
      <c r="GD327" s="2" t="inlineStr">
        <is>
          <t>(D)</t>
        </is>
      </c>
      <c r="GG327" s="2" t="n">
        <v>487.911</v>
      </c>
      <c r="GH327" s="2" t="n">
        <v>1323.6</v>
      </c>
      <c r="GM327" s="2" t="n">
        <v>69.3</v>
      </c>
      <c r="GN327" s="2" t="e">
        <v>#VALUE!</v>
      </c>
      <c r="GQ327" s="2" t="n">
        <v>35</v>
      </c>
      <c r="GS327" s="2" t="e">
        <v>#VALUE!</v>
      </c>
      <c r="GT327" s="2" t="e">
        <v>#VALUE!</v>
      </c>
      <c r="GW327" s="2" t="n">
        <v>194.002</v>
      </c>
      <c r="GX327" s="2" t="n">
        <v>388.4</v>
      </c>
      <c r="GY327" s="2" t="n">
        <v>0.976575722699885</v>
      </c>
      <c r="GZ327" s="2" t="n">
        <v>1442.5</v>
      </c>
      <c r="HA327" s="2" t="n">
        <v>1477.1</v>
      </c>
      <c r="HB327" s="2" t="n">
        <v>10.04997046639983</v>
      </c>
      <c r="HC327" s="2" t="n">
        <v>86.40938811839987</v>
      </c>
      <c r="HD327" s="2" t="n">
        <v>1657.0499704664</v>
      </c>
      <c r="HE327" s="2" t="n">
        <v>55</v>
      </c>
      <c r="HF327" s="2" t="n">
        <v>1647</v>
      </c>
      <c r="HG327" s="2" t="n">
        <v>1432.3</v>
      </c>
      <c r="HH327" s="2" t="n">
        <v>549.2</v>
      </c>
      <c r="HI327" s="2" t="n">
        <v>91.2</v>
      </c>
      <c r="HJ327" s="2" t="n">
        <v>781.1</v>
      </c>
      <c r="HK327" s="2" t="n">
        <v>10.8</v>
      </c>
      <c r="HL327" s="2" t="n">
        <v>214.7</v>
      </c>
      <c r="HM327" s="2" t="n">
        <v>166.1</v>
      </c>
      <c r="HN327" s="2" t="n">
        <v>40.7</v>
      </c>
      <c r="HO327" s="2" t="n">
        <v>125.4</v>
      </c>
      <c r="HQ327" s="2" t="n">
        <v>5.6</v>
      </c>
      <c r="HR327" s="2" t="n">
        <v>7.9</v>
      </c>
      <c r="HT327" s="2" t="n">
        <v>35.1</v>
      </c>
      <c r="HW327" s="2" t="n">
        <v>336.4</v>
      </c>
      <c r="HX327" s="2" t="inlineStr">
        <is>
          <t>-</t>
        </is>
      </c>
      <c r="HY327" s="2" t="n">
        <v>336.4</v>
      </c>
      <c r="HZ327" s="2" t="inlineStr">
        <is>
          <t>(D)</t>
        </is>
      </c>
      <c r="IA327" s="2" t="n">
        <v>199.3</v>
      </c>
      <c r="IB327" s="2" t="n">
        <v>80.3</v>
      </c>
      <c r="IC327" s="2" t="n">
        <v>119</v>
      </c>
      <c r="ID327" s="2" t="n">
        <v>68.59999999999999</v>
      </c>
      <c r="IE327" s="2" t="n">
        <v>50.3</v>
      </c>
      <c r="IL327" s="2" t="inlineStr">
        <is>
          <t>(D)</t>
        </is>
      </c>
      <c r="IN327" s="2" t="n">
        <v>65.2</v>
      </c>
      <c r="IO327" s="2" t="n">
        <v>65.7</v>
      </c>
      <c r="IP327" s="2" t="inlineStr">
        <is>
          <t>(D)</t>
        </is>
      </c>
      <c r="IQ327" s="2" t="n">
        <v>62.8</v>
      </c>
      <c r="IR327" s="2" t="n">
        <v>15.8</v>
      </c>
      <c r="IT327" s="2" t="n">
        <v>45.6</v>
      </c>
      <c r="IU327" s="2" t="n">
        <v>1.4</v>
      </c>
      <c r="IV327" s="2" t="inlineStr">
        <is>
          <t>(D)</t>
        </is>
      </c>
      <c r="IY327" s="2" t="n">
        <v>47.27587486088785</v>
      </c>
      <c r="IZ327" s="2" t="n">
        <v>0.06587486088784544</v>
      </c>
      <c r="JB327" s="2" t="n">
        <v>11.31136391739829</v>
      </c>
      <c r="JC327" s="2" t="n">
        <v>-0.07863608260170629</v>
      </c>
      <c r="JE327" s="2" t="n">
        <v>3154</v>
      </c>
      <c r="JF327" s="2" t="n">
        <v>0.8337631578947368</v>
      </c>
    </row>
    <row r="328">
      <c r="A328" s="1" t="n">
        <v>39022</v>
      </c>
      <c r="B328" s="2" t="n">
        <v>4652.9</v>
      </c>
      <c r="C328" s="2" t="n">
        <v>3971.9</v>
      </c>
      <c r="D328" s="2" t="n">
        <v>223.3</v>
      </c>
      <c r="E328" s="2" t="n">
        <v>1585.4</v>
      </c>
      <c r="F328" s="2" t="n">
        <v>16.4</v>
      </c>
      <c r="G328" s="2" t="inlineStr">
        <is>
          <t>NA</t>
        </is>
      </c>
      <c r="H328" s="2" t="inlineStr">
        <is>
          <t>NA</t>
        </is>
      </c>
      <c r="I328" s="2" t="inlineStr">
        <is>
          <t>NA</t>
        </is>
      </c>
      <c r="J328" s="2" t="inlineStr">
        <is>
          <t>NA</t>
        </is>
      </c>
      <c r="K328" s="2" t="n">
        <v>1725</v>
      </c>
      <c r="L328" s="2" t="n">
        <v>3247.854</v>
      </c>
      <c r="M328" s="2" t="n">
        <v>2894.9</v>
      </c>
      <c r="N328" s="2" t="n">
        <v>352.954</v>
      </c>
      <c r="O328" s="2" t="n">
        <v>71.7</v>
      </c>
      <c r="P328" s="2" t="n">
        <v>92.5</v>
      </c>
      <c r="Q328" s="2" t="n">
        <v>12.8</v>
      </c>
      <c r="R328" s="2" t="n">
        <v>79.7</v>
      </c>
      <c r="T328" s="2" t="n">
        <v>14.4</v>
      </c>
      <c r="U328" s="2" t="n">
        <v>42.7</v>
      </c>
      <c r="V328" s="2" t="n">
        <v>38.4</v>
      </c>
      <c r="W328" s="2" t="n">
        <v>4.3</v>
      </c>
      <c r="X328" s="2" t="inlineStr">
        <is>
          <t>NA</t>
        </is>
      </c>
      <c r="Y328" s="2" t="e">
        <v>#VALUE!</v>
      </c>
      <c r="Z328" s="2" t="n">
        <v>68.40000000000001</v>
      </c>
      <c r="AA328" s="2" t="e">
        <v>#VALUE!</v>
      </c>
      <c r="AB328" s="2" t="e">
        <v>#VALUE!</v>
      </c>
      <c r="AC328" s="2" t="inlineStr">
        <is>
          <t>NA</t>
        </is>
      </c>
      <c r="AD328" s="2" t="n">
        <v>61.2</v>
      </c>
      <c r="AE328" s="2" t="n">
        <v>63</v>
      </c>
      <c r="AF328" s="2" t="n">
        <v>171</v>
      </c>
      <c r="AG328" s="2" t="n">
        <v>128.5</v>
      </c>
      <c r="AH328" s="2" t="n">
        <v>42.5</v>
      </c>
      <c r="AI328" s="2" t="n">
        <v>216</v>
      </c>
      <c r="AL328" s="2" t="n">
        <v>227.2</v>
      </c>
      <c r="AM328" s="2" t="n">
        <v>178.2</v>
      </c>
      <c r="AN328" s="2" t="n">
        <v>49</v>
      </c>
      <c r="AO328" s="2" t="n">
        <v>3411.7</v>
      </c>
      <c r="AP328" s="2" t="n">
        <v>345.6</v>
      </c>
      <c r="AQ328" s="2" t="n">
        <v>260.3</v>
      </c>
      <c r="AR328" s="2" t="n">
        <v>28</v>
      </c>
      <c r="AS328" s="2" t="n">
        <v>101.8</v>
      </c>
      <c r="AT328" s="2" t="n">
        <v>51.6</v>
      </c>
      <c r="AU328" s="2" t="n">
        <v>68.3</v>
      </c>
      <c r="AV328" s="2" t="n">
        <v>18.9</v>
      </c>
      <c r="AW328" s="2" t="n">
        <v>9.199999999999999</v>
      </c>
      <c r="AX328" s="2" t="n">
        <v>1.7</v>
      </c>
      <c r="AY328" s="2" t="inlineStr">
        <is>
          <t>NA</t>
        </is>
      </c>
      <c r="AZ328" s="2" t="inlineStr">
        <is>
          <t>NA</t>
        </is>
      </c>
      <c r="BA328" s="2" t="inlineStr">
        <is>
          <t>NA</t>
        </is>
      </c>
      <c r="BB328" s="2" t="inlineStr">
        <is>
          <t>NA</t>
        </is>
      </c>
      <c r="BD328" s="2" t="n">
        <v>156.3</v>
      </c>
      <c r="BE328" s="2" t="n">
        <v>34.6</v>
      </c>
      <c r="BF328" s="2" t="n">
        <v>88.2</v>
      </c>
      <c r="BG328" s="2" t="n">
        <v>10.1</v>
      </c>
      <c r="BH328" s="2" t="n">
        <v>320.3</v>
      </c>
      <c r="BI328" s="2" t="n">
        <v>124.3</v>
      </c>
      <c r="BJ328" s="2" t="n">
        <v>102.4</v>
      </c>
      <c r="BK328" s="2" t="n">
        <v>226.7</v>
      </c>
      <c r="BM328" s="2" t="n">
        <v>547</v>
      </c>
      <c r="BN328" s="2" t="n">
        <v>192.7</v>
      </c>
      <c r="BO328" s="2" t="n">
        <v>47.7</v>
      </c>
      <c r="BP328" s="2" t="n">
        <v>18.7</v>
      </c>
      <c r="BQ328" s="2" t="n">
        <v>66.40000000000001</v>
      </c>
      <c r="BS328" s="2" t="n">
        <v>259.1</v>
      </c>
      <c r="BT328" s="2" t="n">
        <v>31.4</v>
      </c>
      <c r="BU328" s="2" t="n">
        <v>13.9</v>
      </c>
      <c r="BV328" s="2" t="inlineStr">
        <is>
          <t>NA</t>
        </is>
      </c>
      <c r="BW328" s="2" t="inlineStr">
        <is>
          <t>NA</t>
        </is>
      </c>
      <c r="BX328" s="2" t="n">
        <v>404.2</v>
      </c>
      <c r="BY328" s="2" t="inlineStr">
        <is>
          <t>NA</t>
        </is>
      </c>
      <c r="BZ328" s="2" t="inlineStr">
        <is>
          <t>NA</t>
        </is>
      </c>
      <c r="CA328" s="2" t="n">
        <v>60</v>
      </c>
      <c r="CB328" s="2" t="n">
        <v>118.1</v>
      </c>
      <c r="CC328" s="2" t="n">
        <v>16.2</v>
      </c>
      <c r="CD328" s="2" t="n">
        <v>134.9</v>
      </c>
      <c r="CE328" s="2" t="n">
        <v>20.3</v>
      </c>
      <c r="CF328" s="2" t="n">
        <v>103.7</v>
      </c>
      <c r="CG328" s="2" t="n">
        <v>72.2</v>
      </c>
      <c r="CH328" s="2" t="n">
        <v>4.9</v>
      </c>
      <c r="CI328" s="2" t="n">
        <v>34.6</v>
      </c>
      <c r="CJ328" s="2" t="n">
        <v>8</v>
      </c>
      <c r="CK328" s="2" t="n">
        <v>157.7</v>
      </c>
      <c r="CL328" s="2" t="n">
        <v>25</v>
      </c>
      <c r="CN328" s="2" t="n">
        <v>50.4</v>
      </c>
      <c r="CO328" s="2" t="n">
        <v>178.2</v>
      </c>
      <c r="CP328" s="2" t="n">
        <v>126.8</v>
      </c>
      <c r="CQ328" s="2" t="n">
        <v>51.4</v>
      </c>
      <c r="CR328" s="2" t="inlineStr">
        <is>
          <t>NA</t>
        </is>
      </c>
      <c r="CS328" s="2" t="n">
        <v>33</v>
      </c>
      <c r="CT328" s="2" t="e">
        <v>#VALUE!</v>
      </c>
      <c r="CU328" s="2" t="e">
        <v>#VALUE!</v>
      </c>
      <c r="CV328" s="2" t="n">
        <v>127.7</v>
      </c>
      <c r="CW328" s="2" t="e">
        <v>#VALUE!</v>
      </c>
      <c r="CX328" s="2" t="e">
        <v>#VALUE!</v>
      </c>
      <c r="CY328" s="2" t="e">
        <v>#VALUE!</v>
      </c>
      <c r="CZ328" s="2" t="n">
        <v>81.90000000000001</v>
      </c>
      <c r="DA328" s="2" t="n">
        <v>18.7</v>
      </c>
      <c r="DB328" s="2" t="e">
        <v>#VALUE!</v>
      </c>
      <c r="DC328" s="2" t="e">
        <v>#VALUE!</v>
      </c>
      <c r="DI328" s="2" t="n">
        <v>686.4</v>
      </c>
      <c r="DJ328" s="2" t="n">
        <v>462.5</v>
      </c>
      <c r="DM328" s="2" t="n">
        <v>476</v>
      </c>
      <c r="DO328" s="2" t="n">
        <v>196.7</v>
      </c>
      <c r="DP328" s="2" t="n">
        <v>324.4</v>
      </c>
      <c r="DS328" s="2" t="n">
        <v>2496.05</v>
      </c>
      <c r="DT328" s="2" t="n">
        <v>4652.9</v>
      </c>
      <c r="DU328" s="2" t="n">
        <v>-10.84999999999945</v>
      </c>
      <c r="DV328" s="2" t="n">
        <v>0</v>
      </c>
      <c r="EA328" s="2" t="n">
        <v>596.8</v>
      </c>
      <c r="EB328" s="2" t="n">
        <v>754.9</v>
      </c>
      <c r="EE328" s="2" t="n">
        <v>183.8</v>
      </c>
      <c r="EG328" s="2" t="n">
        <v>174.179</v>
      </c>
      <c r="EH328" s="2" t="n">
        <v>387.1</v>
      </c>
      <c r="EK328" s="2" t="n">
        <v>1785.324</v>
      </c>
      <c r="EL328" s="2" t="n">
        <v>3971.9</v>
      </c>
      <c r="EQ328" s="2" t="n">
        <v>253.1</v>
      </c>
      <c r="ER328" s="2" t="n">
        <v>166.1</v>
      </c>
      <c r="EU328" s="2" t="n">
        <v>186.9</v>
      </c>
      <c r="EW328" s="2" t="n">
        <v>71.7</v>
      </c>
      <c r="EX328" s="2" t="n">
        <v>116.5</v>
      </c>
      <c r="FA328" s="2" t="n">
        <v>932.133</v>
      </c>
      <c r="FB328" s="2" t="n">
        <v>1725</v>
      </c>
      <c r="FG328" s="2" t="n">
        <v>543.6</v>
      </c>
      <c r="FH328" s="2" t="n">
        <v>363.4</v>
      </c>
      <c r="FK328" s="2" t="n">
        <v>379.2</v>
      </c>
      <c r="FM328" s="2" t="n">
        <v>158.2</v>
      </c>
      <c r="FN328" s="2" t="n">
        <v>257.7</v>
      </c>
      <c r="FQ328" s="2" t="n">
        <v>1970.036</v>
      </c>
      <c r="FR328" s="2" t="n">
        <v>3681.3</v>
      </c>
      <c r="FW328" s="2" t="n">
        <v>351.2</v>
      </c>
      <c r="FX328" s="2" t="n">
        <v>159.7</v>
      </c>
      <c r="GA328" s="2" t="n">
        <v>78.5</v>
      </c>
      <c r="GC328" s="2" t="n">
        <v>57.7</v>
      </c>
      <c r="GD328" s="2" t="inlineStr">
        <is>
          <t>(D)</t>
        </is>
      </c>
      <c r="GG328" s="2" t="n">
        <v>530.99</v>
      </c>
      <c r="GH328" s="2" t="n">
        <v>1396.4</v>
      </c>
      <c r="GM328" s="2" t="n">
        <v>66.2</v>
      </c>
      <c r="GN328" s="2" t="e">
        <v>#VALUE!</v>
      </c>
      <c r="GQ328" s="2" t="n">
        <v>29.5</v>
      </c>
      <c r="GS328" s="2" t="e">
        <v>#VALUE!</v>
      </c>
      <c r="GT328" s="2" t="e">
        <v>#VALUE!</v>
      </c>
      <c r="GW328" s="2" t="n">
        <v>200.35</v>
      </c>
      <c r="GX328" s="2" t="n">
        <v>373.6</v>
      </c>
      <c r="GY328" s="2" t="n">
        <v>0.9718446601941747</v>
      </c>
      <c r="GZ328" s="2" t="n">
        <v>1301.3</v>
      </c>
      <c r="HA328" s="2" t="n">
        <v>1339</v>
      </c>
      <c r="HB328" s="2" t="n">
        <v>-20.41207964780051</v>
      </c>
      <c r="HC328" s="2" t="n">
        <v>-126.9177398934005</v>
      </c>
      <c r="HD328" s="2" t="n">
        <v>1513.187920352199</v>
      </c>
      <c r="HE328" s="2" t="n">
        <v>-17.40000000000009</v>
      </c>
      <c r="HF328" s="2" t="n">
        <v>1533.6</v>
      </c>
      <c r="HG328" s="2" t="n">
        <v>1326.6</v>
      </c>
      <c r="HH328" s="2" t="n">
        <v>501.7</v>
      </c>
      <c r="HI328" s="2" t="n">
        <v>90</v>
      </c>
      <c r="HJ328" s="2" t="n">
        <v>725.1</v>
      </c>
      <c r="HK328" s="2" t="n">
        <v>9.800000000000001</v>
      </c>
      <c r="HL328" s="2" t="n">
        <v>207</v>
      </c>
      <c r="HM328" s="2" t="n">
        <v>157.6</v>
      </c>
      <c r="HN328" s="2" t="n">
        <v>34.9</v>
      </c>
      <c r="HO328" s="2" t="n">
        <v>122.7</v>
      </c>
      <c r="HQ328" s="2" t="n">
        <v>4.3</v>
      </c>
      <c r="HR328" s="2" t="n">
        <v>6.9</v>
      </c>
      <c r="HT328" s="2" t="n">
        <v>38.2</v>
      </c>
      <c r="HW328" s="2" t="n">
        <v>335.5</v>
      </c>
      <c r="HX328" s="2" t="inlineStr">
        <is>
          <t>-</t>
        </is>
      </c>
      <c r="HY328" s="2" t="n">
        <v>335.5</v>
      </c>
      <c r="HZ328" s="2" t="inlineStr">
        <is>
          <t>(D)</t>
        </is>
      </c>
      <c r="IA328" s="2" t="n">
        <v>209</v>
      </c>
      <c r="IB328" s="2" t="n">
        <v>79.09999999999999</v>
      </c>
      <c r="IC328" s="2" t="n">
        <v>129.9</v>
      </c>
      <c r="ID328" s="2" t="n">
        <v>68.3</v>
      </c>
      <c r="IE328" s="2" t="n">
        <v>61.6</v>
      </c>
      <c r="IL328" s="2" t="inlineStr">
        <is>
          <t>(D)</t>
        </is>
      </c>
      <c r="IN328" s="2" t="n">
        <v>55.3</v>
      </c>
      <c r="IO328" s="2" t="n">
        <v>55.7</v>
      </c>
      <c r="IP328" s="2" t="inlineStr">
        <is>
          <t>(D)</t>
        </is>
      </c>
      <c r="IQ328" s="2" t="n">
        <v>58.5</v>
      </c>
      <c r="IR328" s="2" t="n">
        <v>13.6</v>
      </c>
      <c r="IT328" s="2" t="n">
        <v>43.4</v>
      </c>
      <c r="IU328" s="2" t="n">
        <v>1.6</v>
      </c>
      <c r="IV328" s="2" t="inlineStr">
        <is>
          <t>(D)</t>
        </is>
      </c>
      <c r="IY328" s="2" t="n">
        <v>47.35111435878699</v>
      </c>
      <c r="IZ328" s="2" t="n">
        <v>0.03111435878699353</v>
      </c>
      <c r="JB328" s="2" t="n">
        <v>11.1220958971824</v>
      </c>
      <c r="JC328" s="2" t="n">
        <v>-0.06790410281759662</v>
      </c>
      <c r="JE328" s="2" t="n">
        <v>3247.854</v>
      </c>
      <c r="JF328" s="2" t="n">
        <v>0.8295382120009088</v>
      </c>
    </row>
    <row r="329">
      <c r="A329" s="1" t="n">
        <v>39052</v>
      </c>
      <c r="B329" s="2" t="n">
        <v>4721.5</v>
      </c>
      <c r="C329" s="2" t="n">
        <v>3810.5</v>
      </c>
      <c r="D329" s="2" t="n">
        <v>236.7</v>
      </c>
      <c r="E329" s="2" t="n">
        <v>1772.9</v>
      </c>
      <c r="F329" s="2" t="n">
        <v>11.9</v>
      </c>
      <c r="G329" s="2" t="inlineStr">
        <is>
          <t>NA</t>
        </is>
      </c>
      <c r="H329" s="2" t="inlineStr">
        <is>
          <t>NA</t>
        </is>
      </c>
      <c r="I329" s="2" t="inlineStr">
        <is>
          <t>NA</t>
        </is>
      </c>
      <c r="J329" s="2" t="inlineStr">
        <is>
          <t>NA</t>
        </is>
      </c>
      <c r="K329" s="2" t="n">
        <v>1771</v>
      </c>
      <c r="L329" s="2" t="n">
        <v>3268.895</v>
      </c>
      <c r="M329" s="2" t="n">
        <v>2890</v>
      </c>
      <c r="N329" s="2" t="n">
        <v>378.895</v>
      </c>
      <c r="O329" s="2" t="n">
        <v>73.90000000000001</v>
      </c>
      <c r="P329" s="2" t="n">
        <v>107</v>
      </c>
      <c r="Q329" s="2" t="n">
        <v>16.2</v>
      </c>
      <c r="R329" s="2" t="n">
        <v>90.8</v>
      </c>
      <c r="T329" s="2" t="n">
        <v>10.1</v>
      </c>
      <c r="U329" s="2" t="n">
        <v>41.4</v>
      </c>
      <c r="V329" s="2" t="n">
        <v>36.8</v>
      </c>
      <c r="W329" s="2" t="n">
        <v>4.6</v>
      </c>
      <c r="X329" s="2" t="inlineStr">
        <is>
          <t>NA</t>
        </is>
      </c>
      <c r="Y329" s="2" t="e">
        <v>#VALUE!</v>
      </c>
      <c r="Z329" s="2" t="n">
        <v>73.40000000000001</v>
      </c>
      <c r="AA329" s="2" t="e">
        <v>#VALUE!</v>
      </c>
      <c r="AB329" s="2" t="e">
        <v>#VALUE!</v>
      </c>
      <c r="AC329" s="2" t="inlineStr">
        <is>
          <t>NA</t>
        </is>
      </c>
      <c r="AD329" s="2" t="n">
        <v>29.1</v>
      </c>
      <c r="AE329" s="2" t="n">
        <v>29.7</v>
      </c>
      <c r="AF329" s="2" t="n">
        <v>168</v>
      </c>
      <c r="AG329" s="2" t="n">
        <v>130.3</v>
      </c>
      <c r="AH329" s="2" t="n">
        <v>37.7</v>
      </c>
      <c r="AI329" s="2" t="n">
        <v>226.1</v>
      </c>
      <c r="AL329" s="2" t="n">
        <v>236.3</v>
      </c>
      <c r="AM329" s="2" t="n">
        <v>173.2</v>
      </c>
      <c r="AN329" s="2" t="n">
        <v>63.1</v>
      </c>
      <c r="AO329" s="2" t="n">
        <v>3466.3</v>
      </c>
      <c r="AP329" s="2" t="n">
        <v>433.1</v>
      </c>
      <c r="AQ329" s="2" t="n">
        <v>266.7</v>
      </c>
      <c r="AR329" s="2" t="n">
        <v>35.8</v>
      </c>
      <c r="AS329" s="2" t="n">
        <v>102.4</v>
      </c>
      <c r="AT329" s="2" t="n">
        <v>36.1</v>
      </c>
      <c r="AU329" s="2" t="n">
        <v>79.5</v>
      </c>
      <c r="AV329" s="2" t="n">
        <v>25.1</v>
      </c>
      <c r="AW329" s="2" t="n">
        <v>6.7</v>
      </c>
      <c r="AX329" s="2" t="n">
        <v>2.1</v>
      </c>
      <c r="AY329" s="2" t="inlineStr">
        <is>
          <t>NA</t>
        </is>
      </c>
      <c r="AZ329" s="2" t="inlineStr">
        <is>
          <t>NA</t>
        </is>
      </c>
      <c r="BA329" s="2" t="inlineStr">
        <is>
          <t>NA</t>
        </is>
      </c>
      <c r="BB329" s="2" t="inlineStr">
        <is>
          <t>NA</t>
        </is>
      </c>
      <c r="BD329" s="2" t="n">
        <v>155.8</v>
      </c>
      <c r="BE329" s="2" t="n">
        <v>34.6</v>
      </c>
      <c r="BF329" s="2" t="n">
        <v>81.59999999999999</v>
      </c>
      <c r="BG329" s="2" t="n">
        <v>10</v>
      </c>
      <c r="BH329" s="2" t="n">
        <v>309.9</v>
      </c>
      <c r="BI329" s="2" t="n">
        <v>117.2</v>
      </c>
      <c r="BJ329" s="2" t="n">
        <v>96.7</v>
      </c>
      <c r="BK329" s="2" t="n">
        <v>213.9</v>
      </c>
      <c r="BM329" s="2" t="n">
        <v>523.8</v>
      </c>
      <c r="BN329" s="2" t="n">
        <v>203.6</v>
      </c>
      <c r="BO329" s="2" t="n">
        <v>56.1</v>
      </c>
      <c r="BP329" s="2" t="n">
        <v>21.8</v>
      </c>
      <c r="BQ329" s="2" t="n">
        <v>77.90000000000001</v>
      </c>
      <c r="BS329" s="2" t="n">
        <v>281.5</v>
      </c>
      <c r="BT329" s="2" t="n">
        <v>31.8</v>
      </c>
      <c r="BU329" s="2" t="n">
        <v>14.2</v>
      </c>
      <c r="BV329" s="2" t="inlineStr">
        <is>
          <t>NA</t>
        </is>
      </c>
      <c r="BW329" s="2" t="inlineStr">
        <is>
          <t>NA</t>
        </is>
      </c>
      <c r="BX329" s="2" t="n">
        <v>402.7</v>
      </c>
      <c r="BY329" s="2" t="inlineStr">
        <is>
          <t>NA</t>
        </is>
      </c>
      <c r="BZ329" s="2" t="inlineStr">
        <is>
          <t>NA</t>
        </is>
      </c>
      <c r="CA329" s="2" t="n">
        <v>51.1</v>
      </c>
      <c r="CB329" s="2" t="n">
        <v>115.7</v>
      </c>
      <c r="CC329" s="2" t="n">
        <v>16.1</v>
      </c>
      <c r="CD329" s="2" t="n">
        <v>138.2</v>
      </c>
      <c r="CE329" s="2" t="n">
        <v>29.6</v>
      </c>
      <c r="CF329" s="2" t="n">
        <v>108.5</v>
      </c>
      <c r="CG329" s="2" t="n">
        <v>75.7</v>
      </c>
      <c r="CH329" s="2" t="n">
        <v>5</v>
      </c>
      <c r="CI329" s="2" t="n">
        <v>32.6</v>
      </c>
      <c r="CJ329" s="2" t="n">
        <v>7.5</v>
      </c>
      <c r="CK329" s="2" t="n">
        <v>152.7</v>
      </c>
      <c r="CL329" s="2" t="n">
        <v>26.3</v>
      </c>
      <c r="CN329" s="2" t="n">
        <v>53.9</v>
      </c>
      <c r="CO329" s="2" t="n">
        <v>214.5</v>
      </c>
      <c r="CP329" s="2" t="n">
        <v>150.3</v>
      </c>
      <c r="CQ329" s="2" t="n">
        <v>64.2</v>
      </c>
      <c r="CR329" s="2" t="inlineStr">
        <is>
          <t>NA</t>
        </is>
      </c>
      <c r="CS329" s="2" t="n">
        <v>38.1</v>
      </c>
      <c r="CT329" s="2" t="e">
        <v>#VALUE!</v>
      </c>
      <c r="CU329" s="2" t="e">
        <v>#VALUE!</v>
      </c>
      <c r="CV329" s="2" t="n">
        <v>198.7</v>
      </c>
      <c r="CW329" s="2" t="e">
        <v>#VALUE!</v>
      </c>
      <c r="CX329" s="2" t="e">
        <v>#VALUE!</v>
      </c>
      <c r="CY329" s="2" t="e">
        <v>#VALUE!</v>
      </c>
      <c r="CZ329" s="2" t="n">
        <v>103.2</v>
      </c>
      <c r="DA329" s="2" t="n">
        <v>13.4</v>
      </c>
      <c r="DB329" s="2" t="e">
        <v>#VALUE!</v>
      </c>
      <c r="DC329" s="2" t="e">
        <v>#VALUE!</v>
      </c>
      <c r="DI329" s="2" t="n">
        <v>725.5</v>
      </c>
      <c r="DJ329" s="2" t="n">
        <v>457.8</v>
      </c>
      <c r="DM329" s="2" t="n">
        <v>521.7</v>
      </c>
      <c r="DO329" s="2" t="n">
        <v>197.4</v>
      </c>
      <c r="DP329" s="2" t="n">
        <v>333</v>
      </c>
      <c r="DS329" s="2" t="n">
        <v>2519.191</v>
      </c>
      <c r="DT329" s="2" t="n">
        <v>4721.5</v>
      </c>
      <c r="DU329" s="2" t="n">
        <v>33.09100000000035</v>
      </c>
      <c r="DV329" s="2" t="n">
        <v>0</v>
      </c>
      <c r="EA329" s="2" t="n">
        <v>633</v>
      </c>
      <c r="EB329" s="2" t="n">
        <v>644</v>
      </c>
      <c r="EE329" s="2" t="n">
        <v>197.3</v>
      </c>
      <c r="EG329" s="2" t="n">
        <v>137.561</v>
      </c>
      <c r="EH329" s="2" t="n">
        <v>353.6</v>
      </c>
      <c r="EK329" s="2" t="n">
        <v>1768.013</v>
      </c>
      <c r="EL329" s="2" t="n">
        <v>3810.5</v>
      </c>
      <c r="EQ329" s="2" t="n">
        <v>273.4</v>
      </c>
      <c r="ER329" s="2" t="n">
        <v>168.3</v>
      </c>
      <c r="EU329" s="2" t="n">
        <v>202.7</v>
      </c>
      <c r="EW329" s="2" t="n">
        <v>72.3</v>
      </c>
      <c r="EX329" s="2" t="n">
        <v>120</v>
      </c>
      <c r="FA329" s="2" t="n">
        <v>952.173</v>
      </c>
      <c r="FB329" s="2" t="n">
        <v>1771</v>
      </c>
      <c r="FG329" s="2" t="n">
        <v>576.1</v>
      </c>
      <c r="FH329" s="2" t="n">
        <v>363.4</v>
      </c>
      <c r="FK329" s="2" t="n">
        <v>412.9</v>
      </c>
      <c r="FM329" s="2" t="n">
        <v>158.6</v>
      </c>
      <c r="FN329" s="2" t="n">
        <v>264.8</v>
      </c>
      <c r="FQ329" s="2" t="n">
        <v>1988.508</v>
      </c>
      <c r="FR329" s="2" t="n">
        <v>3738.9</v>
      </c>
      <c r="FW329" s="2" t="n">
        <v>380.9</v>
      </c>
      <c r="FX329" s="2" t="n">
        <v>159.7</v>
      </c>
      <c r="GA329" s="2" t="n">
        <v>106.9</v>
      </c>
      <c r="GC329" s="2" t="inlineStr">
        <is>
          <t>(D)</t>
        </is>
      </c>
      <c r="GD329" s="2" t="inlineStr">
        <is>
          <t>(D)</t>
        </is>
      </c>
      <c r="GG329" s="2" t="n">
        <v>497.727</v>
      </c>
      <c r="GH329" s="2" t="n">
        <v>1448.3</v>
      </c>
      <c r="GM329" s="2" t="n">
        <v>108.6</v>
      </c>
      <c r="GN329" s="2" t="e">
        <v>#VALUE!</v>
      </c>
      <c r="GQ329" s="2" t="n">
        <v>53.1</v>
      </c>
      <c r="GS329" s="2" t="e">
        <v>#VALUE!</v>
      </c>
      <c r="GT329" s="2" t="n">
        <v>15.5</v>
      </c>
      <c r="GW329" s="2" t="n">
        <v>260.074</v>
      </c>
      <c r="GX329" s="2" t="n">
        <v>475.7</v>
      </c>
      <c r="GY329" s="2" t="n">
        <v>0.9795449687914987</v>
      </c>
      <c r="GZ329" s="2" t="n">
        <v>1295.40135</v>
      </c>
      <c r="HA329" s="2" t="n">
        <v>1322.45215</v>
      </c>
      <c r="HB329" s="2" t="n">
        <v>-16.48519896099947</v>
      </c>
      <c r="HC329" s="2" t="n">
        <v>200.2373426710005</v>
      </c>
      <c r="HD329" s="2" t="n">
        <v>1474.214801039001</v>
      </c>
      <c r="HE329" s="2" t="n">
        <v>70.70000000000005</v>
      </c>
      <c r="HF329" s="2" t="n">
        <v>1490.7</v>
      </c>
      <c r="HG329" s="2" t="n">
        <v>1266.9</v>
      </c>
      <c r="HH329" s="2" t="n">
        <v>475.3</v>
      </c>
      <c r="HI329" s="2" t="n">
        <v>79.59999999999999</v>
      </c>
      <c r="HJ329" s="2" t="n">
        <v>704.6</v>
      </c>
      <c r="HK329" s="2" t="n">
        <v>7.5</v>
      </c>
      <c r="HL329" s="2" t="n">
        <v>223.8</v>
      </c>
      <c r="HM329" s="2" t="n">
        <v>178.7</v>
      </c>
      <c r="HN329" s="2" t="n">
        <v>33.6</v>
      </c>
      <c r="HO329" s="2" t="n">
        <v>145.1</v>
      </c>
      <c r="HQ329" s="2" t="n">
        <v>5</v>
      </c>
      <c r="HR329" s="2" t="n">
        <v>5.9</v>
      </c>
      <c r="HT329" s="2" t="n">
        <v>34.2</v>
      </c>
      <c r="HW329" s="2" t="n">
        <v>303.4116300000001</v>
      </c>
      <c r="HX329" s="2" t="inlineStr">
        <is>
          <t>-</t>
        </is>
      </c>
      <c r="HY329" s="2" t="n">
        <v>303.4116300000001</v>
      </c>
      <c r="HZ329" s="2" t="inlineStr">
        <is>
          <t>(D)</t>
        </is>
      </c>
      <c r="IA329" s="2" t="n">
        <v>196.92442</v>
      </c>
      <c r="IB329" s="2" t="n">
        <v>75.48383</v>
      </c>
      <c r="IC329" s="2" t="n">
        <v>121.44059</v>
      </c>
      <c r="ID329" s="2" t="n">
        <v>80.06147</v>
      </c>
      <c r="IE329" s="2" t="n">
        <v>41.37912</v>
      </c>
      <c r="IL329" s="2" t="inlineStr">
        <is>
          <t>(D)</t>
        </is>
      </c>
      <c r="IN329" s="2" t="n">
        <v>61.056</v>
      </c>
      <c r="IO329" s="2" t="n">
        <v>61.359</v>
      </c>
      <c r="IP329" s="2" t="inlineStr">
        <is>
          <t>(D)</t>
        </is>
      </c>
      <c r="IQ329" s="2" t="n">
        <v>51.23873</v>
      </c>
      <c r="IR329" s="2" t="n">
        <v>11.43193</v>
      </c>
      <c r="IT329" s="2" t="n">
        <v>38.40445</v>
      </c>
      <c r="IU329" s="2" t="n">
        <v>1.4</v>
      </c>
      <c r="IV329" s="2" t="inlineStr">
        <is>
          <t>(D)</t>
        </is>
      </c>
      <c r="IY329" s="2" t="n">
        <v>47.4383140950969</v>
      </c>
      <c r="IZ329" s="2" t="n">
        <v>0.1283140950968971</v>
      </c>
      <c r="JB329" s="2" t="n">
        <v>11.25277983691623</v>
      </c>
      <c r="JC329" s="2" t="n">
        <v>-0.04722016308376631</v>
      </c>
      <c r="JE329" s="2" t="n">
        <v>3268.895</v>
      </c>
      <c r="JF329" s="2" t="n">
        <v>0.7971684621255807</v>
      </c>
    </row>
    <row r="330">
      <c r="A330" s="1" t="n">
        <v>39083</v>
      </c>
      <c r="B330" s="2" t="n">
        <v>4664.67659</v>
      </c>
      <c r="C330" s="2" t="n">
        <v>3991.224</v>
      </c>
      <c r="D330" s="2" t="n">
        <v>251.21632</v>
      </c>
      <c r="E330" s="2" t="n">
        <v>1675.131</v>
      </c>
      <c r="F330" s="2" t="n">
        <v>17.06025</v>
      </c>
      <c r="G330" s="2" t="inlineStr">
        <is>
          <t>NA</t>
        </is>
      </c>
      <c r="H330" s="2" t="inlineStr">
        <is>
          <t>NA</t>
        </is>
      </c>
      <c r="I330" s="2" t="inlineStr">
        <is>
          <t>NA</t>
        </is>
      </c>
      <c r="J330" s="2" t="inlineStr">
        <is>
          <t>NA</t>
        </is>
      </c>
      <c r="K330" s="2" t="n">
        <v>1747.20389</v>
      </c>
      <c r="L330" s="2" t="n">
        <v>3359.7</v>
      </c>
      <c r="M330" s="2" t="n">
        <v>2919.5</v>
      </c>
      <c r="N330" s="2" t="n">
        <v>437.2</v>
      </c>
      <c r="O330" s="2" t="n">
        <v>78.56196000000001</v>
      </c>
      <c r="P330" s="2" t="n">
        <v>117.5</v>
      </c>
      <c r="Q330" s="2" t="n">
        <v>13.7</v>
      </c>
      <c r="R330" s="2" t="n">
        <v>103.8</v>
      </c>
      <c r="T330" s="2" t="n">
        <v>14.3</v>
      </c>
      <c r="U330" s="2" t="n">
        <v>43.1</v>
      </c>
      <c r="V330" s="2" t="n">
        <v>38.7</v>
      </c>
      <c r="W330" s="2" t="n">
        <v>4.4</v>
      </c>
      <c r="X330" s="2" t="inlineStr">
        <is>
          <t>NA</t>
        </is>
      </c>
      <c r="Y330" s="2" t="inlineStr">
        <is>
          <t>(D)</t>
        </is>
      </c>
      <c r="Z330" s="2" t="n">
        <v>73</v>
      </c>
      <c r="AA330" s="2" t="inlineStr">
        <is>
          <t>(D)</t>
        </is>
      </c>
      <c r="AB330" s="2" t="inlineStr">
        <is>
          <t>(D)</t>
        </is>
      </c>
      <c r="AC330" s="2" t="inlineStr">
        <is>
          <t>NA</t>
        </is>
      </c>
      <c r="AD330" s="2" t="n">
        <v>51.9</v>
      </c>
      <c r="AE330" s="2" t="n">
        <v>53.3</v>
      </c>
      <c r="AF330" s="2" t="n">
        <v>169.6</v>
      </c>
      <c r="AG330" s="2" t="n">
        <v>132.2</v>
      </c>
      <c r="AH330" s="2" t="n">
        <v>37.3</v>
      </c>
      <c r="AI330" s="2" t="n">
        <v>224.964</v>
      </c>
      <c r="AJ330" s="2" t="n">
        <v>220.1</v>
      </c>
      <c r="AK330" s="2" t="n">
        <v>4.6</v>
      </c>
      <c r="AL330" s="2" t="n">
        <v>251.6</v>
      </c>
      <c r="AM330" s="2" t="n">
        <v>163.2</v>
      </c>
      <c r="AN330" s="2" t="n">
        <v>88.40000000000001</v>
      </c>
      <c r="AO330" s="2" t="n">
        <v>3428.22298</v>
      </c>
      <c r="AP330" s="2" t="n">
        <v>338.622</v>
      </c>
      <c r="AQ330" s="2" t="n">
        <v>269.33584</v>
      </c>
      <c r="AR330" s="2" t="n">
        <v>33.763</v>
      </c>
      <c r="AS330" s="2" t="n">
        <v>115.31548</v>
      </c>
      <c r="AT330" s="2" t="n">
        <v>16.996</v>
      </c>
      <c r="AU330" s="2" t="n">
        <v>78.97432000000001</v>
      </c>
      <c r="AV330" s="2" t="n">
        <v>34.546</v>
      </c>
      <c r="AW330" s="2" t="n">
        <v>9.399700000000001</v>
      </c>
      <c r="AY330" s="2" t="inlineStr">
        <is>
          <t>NA</t>
        </is>
      </c>
      <c r="AZ330" s="2" t="inlineStr">
        <is>
          <t>NA</t>
        </is>
      </c>
      <c r="BA330" s="2" t="inlineStr">
        <is>
          <t>NA</t>
        </is>
      </c>
      <c r="BB330" s="2" t="inlineStr">
        <is>
          <t>NA</t>
        </is>
      </c>
      <c r="BD330" s="2" t="n">
        <v>152.6</v>
      </c>
      <c r="BE330" s="2" t="n">
        <v>33.6</v>
      </c>
      <c r="BF330" s="2" t="n">
        <v>71</v>
      </c>
      <c r="BG330" s="2" t="n">
        <v>9.699999999999999</v>
      </c>
      <c r="BH330" s="2" t="n">
        <v>340.3</v>
      </c>
      <c r="BI330" s="2" t="n">
        <v>121.8</v>
      </c>
      <c r="BJ330" s="2" t="n">
        <v>114.4</v>
      </c>
      <c r="BK330" s="2" t="n">
        <v>236.2</v>
      </c>
      <c r="BM330" s="2" t="n">
        <v>576.5</v>
      </c>
      <c r="BN330" s="2" t="n">
        <v>236.1</v>
      </c>
      <c r="BO330" s="2" t="n">
        <v>69.09999999999999</v>
      </c>
      <c r="BP330" s="2" t="n">
        <v>21.6</v>
      </c>
      <c r="BQ330" s="2" t="n">
        <v>90.7</v>
      </c>
      <c r="BS330" s="2" t="n">
        <v>326.8</v>
      </c>
      <c r="BT330" s="2" t="n">
        <v>34.2</v>
      </c>
      <c r="BU330" s="2" t="n">
        <v>14.9</v>
      </c>
      <c r="BV330" s="2" t="inlineStr">
        <is>
          <t>NA</t>
        </is>
      </c>
      <c r="BW330" s="2" t="inlineStr">
        <is>
          <t>NA</t>
        </is>
      </c>
      <c r="BX330" s="2" t="n">
        <v>429.3</v>
      </c>
      <c r="BY330" s="2" t="inlineStr">
        <is>
          <t>NA</t>
        </is>
      </c>
      <c r="BZ330" s="2" t="inlineStr">
        <is>
          <t>NA</t>
        </is>
      </c>
      <c r="CA330" s="2" t="n">
        <v>66.40000000000001</v>
      </c>
      <c r="CB330" s="2" t="n">
        <v>111.6</v>
      </c>
      <c r="CC330" s="2" t="n">
        <v>13.8</v>
      </c>
      <c r="CD330" s="2" t="n">
        <v>122</v>
      </c>
      <c r="CE330" s="2" t="n">
        <v>21.4</v>
      </c>
      <c r="CF330" s="2" t="n">
        <v>108.4</v>
      </c>
      <c r="CG330" s="2" t="n">
        <v>97.8</v>
      </c>
      <c r="CH330" s="2" t="n">
        <v>5.4</v>
      </c>
      <c r="CI330" s="2" t="n">
        <v>30.5</v>
      </c>
      <c r="CJ330" s="2" t="n">
        <v>5.9</v>
      </c>
      <c r="CK330" s="2" t="n">
        <v>166.9</v>
      </c>
      <c r="CL330" s="2" t="n">
        <v>29.8</v>
      </c>
      <c r="CN330" s="2" t="n">
        <v>53.3</v>
      </c>
      <c r="CO330" s="2" t="n">
        <v>229</v>
      </c>
      <c r="CP330" s="2" t="n">
        <v>161.4</v>
      </c>
      <c r="CQ330" s="2" t="n">
        <v>67.59999999999999</v>
      </c>
      <c r="CR330" s="2" t="inlineStr">
        <is>
          <t>NA</t>
        </is>
      </c>
      <c r="CS330" s="2" t="n">
        <v>40.9</v>
      </c>
      <c r="CT330" s="2" t="n">
        <v>17.9</v>
      </c>
      <c r="CU330" s="2" t="n">
        <v>23</v>
      </c>
      <c r="CV330" s="2" t="n">
        <v>228.6</v>
      </c>
      <c r="CW330" s="2" t="inlineStr">
        <is>
          <t>(D)</t>
        </is>
      </c>
      <c r="CX330" s="2" t="inlineStr">
        <is>
          <t>(D)</t>
        </is>
      </c>
      <c r="CY330" s="2" t="inlineStr">
        <is>
          <t>(D)</t>
        </is>
      </c>
      <c r="CZ330" s="2" t="n">
        <v>87.40000000000001</v>
      </c>
      <c r="DA330" s="2" t="n">
        <v>10.6</v>
      </c>
      <c r="DB330" s="2" t="n">
        <v>7.6</v>
      </c>
      <c r="DC330" s="2" t="n">
        <v>3</v>
      </c>
      <c r="DI330" s="2" t="n">
        <v>690.08</v>
      </c>
      <c r="DJ330" s="2" t="n">
        <v>440.04055</v>
      </c>
      <c r="DK330" s="2" t="n">
        <v>1065.915</v>
      </c>
      <c r="DM330" s="2" t="n">
        <v>527.277</v>
      </c>
      <c r="DO330" s="2" t="n">
        <v>194.972</v>
      </c>
      <c r="DP330" s="2" t="n">
        <v>337.513</v>
      </c>
      <c r="DS330" s="2" t="n">
        <v>1403.75</v>
      </c>
      <c r="DT330" s="2" t="n">
        <v>4664.67659</v>
      </c>
      <c r="DU330" s="2" t="n">
        <v>-5.129039999999804</v>
      </c>
      <c r="DV330" s="2" t="n">
        <v>0</v>
      </c>
      <c r="EA330" s="2" t="n">
        <v>672.59</v>
      </c>
      <c r="EB330" s="2" t="n">
        <v>641.849</v>
      </c>
      <c r="EC330" s="2" t="n">
        <v>578.144</v>
      </c>
      <c r="EE330" s="2" t="n">
        <v>207.744</v>
      </c>
      <c r="EG330" s="2" t="n">
        <v>144.162</v>
      </c>
      <c r="EH330" s="2" t="inlineStr">
        <is>
          <t>(D)</t>
        </is>
      </c>
      <c r="EK330" s="2" t="e">
        <v>#VALUE!</v>
      </c>
      <c r="EL330" s="2" t="n">
        <v>3991.224</v>
      </c>
      <c r="EQ330" s="2" t="n">
        <v>260.932</v>
      </c>
      <c r="ER330" s="2" t="n">
        <v>159.98045</v>
      </c>
      <c r="ES330" s="2" t="n">
        <v>401.837</v>
      </c>
      <c r="EU330" s="2" t="n">
        <v>204.188</v>
      </c>
      <c r="EW330" s="2" t="n">
        <v>71.50700000000001</v>
      </c>
      <c r="EX330" s="2" t="n">
        <v>121.04</v>
      </c>
      <c r="FA330" s="2" t="n">
        <v>526.788</v>
      </c>
      <c r="FB330" s="2" t="n">
        <v>1747.20389</v>
      </c>
      <c r="FG330" s="2" t="n">
        <v>543.855</v>
      </c>
      <c r="FH330" s="2" t="n">
        <v>352.7427</v>
      </c>
      <c r="FI330" s="2" t="n">
        <v>848.662</v>
      </c>
      <c r="FK330" s="2" t="n">
        <v>416.328</v>
      </c>
      <c r="FM330" s="2" t="n">
        <v>157.39</v>
      </c>
      <c r="FN330" s="2" t="n">
        <v>268.394</v>
      </c>
      <c r="FQ330" s="2" t="n">
        <v>1781.927</v>
      </c>
      <c r="FR330" s="2" t="n">
        <v>3706.22882</v>
      </c>
      <c r="FW330" s="2" t="n">
        <v>358.739</v>
      </c>
      <c r="FX330" s="2" t="n">
        <v>154.042</v>
      </c>
      <c r="FY330" s="2" t="n">
        <v>241.056</v>
      </c>
      <c r="GA330" s="2" t="n">
        <v>134.639</v>
      </c>
      <c r="GC330" s="2" t="n">
        <v>60.021</v>
      </c>
      <c r="GD330" s="2" t="inlineStr">
        <is>
          <t>(D)</t>
        </is>
      </c>
      <c r="GG330" s="2" t="n">
        <v>334.812</v>
      </c>
      <c r="GH330" s="2" t="n">
        <v>1486.067</v>
      </c>
      <c r="GM330" s="2" t="n">
        <v>83.741</v>
      </c>
      <c r="GN330" s="2" t="inlineStr">
        <is>
          <t>(D)</t>
        </is>
      </c>
      <c r="GO330" s="2" t="n">
        <v>65.404</v>
      </c>
      <c r="GQ330" s="2" t="n">
        <v>27.724</v>
      </c>
      <c r="GS330" s="2" t="n">
        <v>3.3</v>
      </c>
      <c r="GT330" s="2" t="inlineStr">
        <is>
          <t>(D)</t>
        </is>
      </c>
      <c r="GW330" s="2" t="n">
        <v>95.28400000000001</v>
      </c>
      <c r="GX330" s="2" t="n">
        <v>372.385</v>
      </c>
      <c r="GY330" s="2" t="n">
        <v>0.9794036274208423</v>
      </c>
      <c r="GZ330" s="2" t="n">
        <v>1274.4</v>
      </c>
      <c r="HA330" s="2" t="n">
        <v>1301.2</v>
      </c>
      <c r="HB330" s="2" t="n">
        <v>27.31812342920034</v>
      </c>
      <c r="HC330" s="2" t="n">
        <v>64.25135660800061</v>
      </c>
      <c r="HD330" s="2" t="n">
        <v>1481.0181234292</v>
      </c>
      <c r="HE330" s="2" t="n">
        <v>-5.799999999999955</v>
      </c>
      <c r="HF330" s="2" t="n">
        <v>1453.7</v>
      </c>
      <c r="HG330" s="2" t="n">
        <v>1237.3</v>
      </c>
      <c r="HH330" s="2" t="n">
        <v>471.3</v>
      </c>
      <c r="HI330" s="2" t="n">
        <v>81.267</v>
      </c>
      <c r="HJ330" s="2" t="n">
        <v>683.1</v>
      </c>
      <c r="HK330" s="2" t="n">
        <v>11.838</v>
      </c>
      <c r="HL330" s="2" t="n">
        <v>216.3</v>
      </c>
      <c r="HM330" s="2" t="n">
        <v>192.1</v>
      </c>
      <c r="HN330" s="2" t="n">
        <v>35.7</v>
      </c>
      <c r="HO330" s="2" t="n">
        <v>156.4</v>
      </c>
      <c r="HQ330" s="2" t="n">
        <v>5.200000000000017</v>
      </c>
      <c r="HR330" s="2" t="n">
        <v>8.4</v>
      </c>
      <c r="HT330" s="2" t="n">
        <v>10.6</v>
      </c>
      <c r="HW330" s="2" t="n">
        <v>394.1</v>
      </c>
      <c r="HX330" s="2" t="inlineStr">
        <is>
          <t>-</t>
        </is>
      </c>
      <c r="HY330" s="2" t="n">
        <v>394.1</v>
      </c>
      <c r="HZ330" s="2" t="inlineStr">
        <is>
          <t>(D)</t>
        </is>
      </c>
      <c r="IA330" s="2" t="n">
        <v>249.8</v>
      </c>
      <c r="IB330" s="2" t="n">
        <v>95.8</v>
      </c>
      <c r="IC330" s="2" t="n">
        <v>154</v>
      </c>
      <c r="ID330" s="2" t="n">
        <v>87.2</v>
      </c>
      <c r="IE330" s="2" t="n">
        <v>66.8</v>
      </c>
      <c r="IH330" s="2" t="n">
        <v>10.2</v>
      </c>
      <c r="II330" s="2" t="n">
        <v>2.316620752984389</v>
      </c>
      <c r="IJ330" s="2" t="n">
        <v>2.766207529843893</v>
      </c>
      <c r="IK330" s="2" t="n">
        <v>5.107805325987143</v>
      </c>
      <c r="IL330" s="2" t="inlineStr">
        <is>
          <t>(D)</t>
        </is>
      </c>
      <c r="IN330" s="2" t="n">
        <v>59.2</v>
      </c>
      <c r="IO330" s="2" t="n">
        <v>59.2</v>
      </c>
      <c r="IP330" s="2" t="inlineStr">
        <is>
          <t>(D)</t>
        </is>
      </c>
      <c r="IQ330" s="2" t="n">
        <v>54.8</v>
      </c>
      <c r="IR330" s="2" t="n">
        <v>14.8</v>
      </c>
      <c r="IT330" s="2" t="n">
        <v>38.7</v>
      </c>
      <c r="IU330" s="2" t="n">
        <v>1.2</v>
      </c>
      <c r="IV330" s="2" t="inlineStr">
        <is>
          <t>(D)</t>
        </is>
      </c>
      <c r="IW330" s="2" t="inlineStr">
        <is>
          <t>(D)</t>
        </is>
      </c>
      <c r="IX330" s="2" t="inlineStr">
        <is>
          <t>(D)</t>
        </is>
      </c>
      <c r="IY330" s="2" t="n">
        <v>47.56032383372585</v>
      </c>
      <c r="IZ330" s="2" t="n">
        <v>0.1303238337258534</v>
      </c>
      <c r="JB330" s="2" t="n">
        <v>11.23681689152216</v>
      </c>
      <c r="JC330" s="2" t="n">
        <v>-0.06318310847783692</v>
      </c>
      <c r="JE330" s="2" t="n">
        <v>3359.7</v>
      </c>
      <c r="JF330" s="2" t="n">
        <v>0.8151093847664971</v>
      </c>
    </row>
    <row r="331">
      <c r="A331" s="1" t="n">
        <v>39114</v>
      </c>
      <c r="B331" s="2" t="n">
        <v>4108.347</v>
      </c>
      <c r="C331" s="2" t="n">
        <v>3655.125</v>
      </c>
      <c r="D331" s="2" t="n">
        <v>222.484</v>
      </c>
      <c r="E331" s="2" t="n">
        <v>1517.159</v>
      </c>
      <c r="F331" s="2" t="n">
        <v>15.542</v>
      </c>
      <c r="G331" s="2" t="inlineStr">
        <is>
          <t>NA</t>
        </is>
      </c>
      <c r="H331" s="2" t="inlineStr">
        <is>
          <t>NA</t>
        </is>
      </c>
      <c r="I331" s="2" t="inlineStr">
        <is>
          <t>NA</t>
        </is>
      </c>
      <c r="J331" s="2" t="inlineStr">
        <is>
          <t>NA</t>
        </is>
      </c>
      <c r="K331" s="2" t="n">
        <v>1548.323</v>
      </c>
      <c r="L331" s="2" t="n">
        <v>3477.6</v>
      </c>
      <c r="M331" s="2" t="n">
        <v>3032.1</v>
      </c>
      <c r="N331" s="2" t="n">
        <v>445.6</v>
      </c>
      <c r="O331" s="2" t="n">
        <v>67.062</v>
      </c>
      <c r="P331" s="2" t="n">
        <v>112.6</v>
      </c>
      <c r="Q331" s="2" t="n">
        <v>11.4</v>
      </c>
      <c r="R331" s="2" t="n">
        <v>101.2</v>
      </c>
      <c r="T331" s="2" t="n">
        <v>12.8</v>
      </c>
      <c r="U331" s="2" t="n">
        <v>43</v>
      </c>
      <c r="V331" s="2" t="n">
        <v>38.4</v>
      </c>
      <c r="W331" s="2" t="n">
        <v>4.6</v>
      </c>
      <c r="X331" s="2" t="inlineStr">
        <is>
          <t>NA</t>
        </is>
      </c>
      <c r="Y331" s="2" t="inlineStr">
        <is>
          <t>(D)</t>
        </is>
      </c>
      <c r="Z331" s="2" t="n">
        <v>77.09999999999999</v>
      </c>
      <c r="AA331" s="2" t="inlineStr">
        <is>
          <t>(D)</t>
        </is>
      </c>
      <c r="AB331" s="2" t="inlineStr">
        <is>
          <t>(D)</t>
        </is>
      </c>
      <c r="AC331" s="2" t="inlineStr">
        <is>
          <t>NA</t>
        </is>
      </c>
      <c r="AD331" s="2" t="n">
        <v>56</v>
      </c>
      <c r="AE331" s="2" t="n">
        <v>57.3</v>
      </c>
      <c r="AF331" s="2" t="n">
        <v>136.3</v>
      </c>
      <c r="AG331" s="2" t="n">
        <v>93</v>
      </c>
      <c r="AH331" s="2" t="n">
        <v>43.3</v>
      </c>
      <c r="AI331" s="2" t="n">
        <v>187.855</v>
      </c>
      <c r="AJ331" s="2" t="n">
        <v>183.6</v>
      </c>
      <c r="AK331" s="2" t="n">
        <v>4.2</v>
      </c>
      <c r="AL331" s="2" t="n">
        <v>214.8</v>
      </c>
      <c r="AM331" s="2" t="n">
        <v>133.1</v>
      </c>
      <c r="AN331" s="2" t="n">
        <v>81.59999999999999</v>
      </c>
      <c r="AO331" s="2" t="n">
        <v>3018.446</v>
      </c>
      <c r="AP331" s="2" t="n">
        <v>255.871</v>
      </c>
      <c r="AQ331" s="2" t="n">
        <v>238.787</v>
      </c>
      <c r="AR331" s="2" t="n">
        <v>33.565</v>
      </c>
      <c r="AS331" s="2" t="n">
        <v>101.781</v>
      </c>
      <c r="AT331" s="2" t="n">
        <v>9.414999999999999</v>
      </c>
      <c r="AU331" s="2" t="n">
        <v>68.809</v>
      </c>
      <c r="AV331" s="2" t="n">
        <v>37.25</v>
      </c>
      <c r="AW331" s="2" t="n">
        <v>8.625</v>
      </c>
      <c r="AY331" s="2" t="inlineStr">
        <is>
          <t>NA</t>
        </is>
      </c>
      <c r="AZ331" s="2" t="inlineStr">
        <is>
          <t>NA</t>
        </is>
      </c>
      <c r="BA331" s="2" t="inlineStr">
        <is>
          <t>NA</t>
        </is>
      </c>
      <c r="BB331" s="2" t="inlineStr">
        <is>
          <t>NA</t>
        </is>
      </c>
      <c r="BD331" s="2" t="n">
        <v>140.1</v>
      </c>
      <c r="BE331" s="2" t="n">
        <v>34.7</v>
      </c>
      <c r="BF331" s="2" t="n">
        <v>66.09999999999999</v>
      </c>
      <c r="BG331" s="2" t="n">
        <v>8.1</v>
      </c>
      <c r="BH331" s="2" t="n">
        <v>312.9</v>
      </c>
      <c r="BI331" s="2" t="n">
        <v>112.3</v>
      </c>
      <c r="BJ331" s="2" t="n">
        <v>97.90000000000001</v>
      </c>
      <c r="BK331" s="2" t="n">
        <v>210.2</v>
      </c>
      <c r="BM331" s="2" t="n">
        <v>523</v>
      </c>
      <c r="BN331" s="2" t="n">
        <v>263.9</v>
      </c>
      <c r="BO331" s="2" t="n">
        <v>66.90000000000001</v>
      </c>
      <c r="BP331" s="2" t="n">
        <v>14</v>
      </c>
      <c r="BQ331" s="2" t="n">
        <v>80.90000000000001</v>
      </c>
      <c r="BS331" s="2" t="n">
        <v>344.8</v>
      </c>
      <c r="BT331" s="2" t="n">
        <v>30.4</v>
      </c>
      <c r="BU331" s="2" t="n">
        <v>13.3</v>
      </c>
      <c r="BV331" s="2" t="inlineStr">
        <is>
          <t>NA</t>
        </is>
      </c>
      <c r="BW331" s="2" t="inlineStr">
        <is>
          <t>NA</t>
        </is>
      </c>
      <c r="BX331" s="2" t="n">
        <v>391.8</v>
      </c>
      <c r="BY331" s="2" t="inlineStr">
        <is>
          <t>NA</t>
        </is>
      </c>
      <c r="BZ331" s="2" t="inlineStr">
        <is>
          <t>NA</t>
        </is>
      </c>
      <c r="CA331" s="2" t="n">
        <v>61.6</v>
      </c>
      <c r="CB331" s="2" t="n">
        <v>97.59999999999999</v>
      </c>
      <c r="CC331" s="2" t="n">
        <v>15.8</v>
      </c>
      <c r="CD331" s="2" t="n">
        <v>115.6</v>
      </c>
      <c r="CE331" s="2" t="n">
        <v>17.2</v>
      </c>
      <c r="CF331" s="2" t="n">
        <v>106.1</v>
      </c>
      <c r="CG331" s="2" t="n">
        <v>83.2</v>
      </c>
      <c r="CH331" s="2" t="n">
        <v>6.9</v>
      </c>
      <c r="CI331" s="2" t="n">
        <v>29.9</v>
      </c>
      <c r="CJ331" s="2" t="n">
        <v>6.3</v>
      </c>
      <c r="CK331" s="2" t="n">
        <v>155.7</v>
      </c>
      <c r="CL331" s="2" t="n">
        <v>28.9</v>
      </c>
      <c r="CN331" s="2" t="n">
        <v>50.7</v>
      </c>
      <c r="CO331" s="2" t="n">
        <v>231.8</v>
      </c>
      <c r="CP331" s="2" t="n">
        <v>166.2</v>
      </c>
      <c r="CQ331" s="2" t="n">
        <v>65.59999999999999</v>
      </c>
      <c r="CR331" s="2" t="inlineStr">
        <is>
          <t>NA</t>
        </is>
      </c>
      <c r="CS331" s="2" t="n">
        <v>44</v>
      </c>
      <c r="CT331" s="2" t="n">
        <v>19.745</v>
      </c>
      <c r="CU331" s="2" t="n">
        <v>25.179</v>
      </c>
      <c r="CV331" s="2" t="n">
        <v>202.9</v>
      </c>
      <c r="CW331" s="2" t="inlineStr">
        <is>
          <t>(D)</t>
        </is>
      </c>
      <c r="CX331" s="2" t="inlineStr">
        <is>
          <t>(D)</t>
        </is>
      </c>
      <c r="CY331" s="2" t="inlineStr">
        <is>
          <t>(D)</t>
        </is>
      </c>
      <c r="CZ331" s="2" t="n">
        <v>76.09999999999999</v>
      </c>
      <c r="DA331" s="2" t="n">
        <v>12.9</v>
      </c>
      <c r="DB331" s="2" t="inlineStr">
        <is>
          <t>(D)</t>
        </is>
      </c>
      <c r="DC331" s="2" t="inlineStr">
        <is>
          <t>(D)</t>
        </is>
      </c>
      <c r="DI331" s="2" t="n">
        <v>606.225</v>
      </c>
      <c r="DJ331" s="2" t="n">
        <v>381.558</v>
      </c>
      <c r="DK331" s="2" t="n">
        <v>933.054</v>
      </c>
      <c r="DM331" s="2" t="n">
        <v>445.411</v>
      </c>
      <c r="DO331" s="2" t="n">
        <v>175.522</v>
      </c>
      <c r="DP331" s="2" t="n">
        <v>273.648</v>
      </c>
      <c r="DS331" s="2" t="n">
        <v>1287.359</v>
      </c>
      <c r="DT331" s="2" t="n">
        <v>4108.347</v>
      </c>
      <c r="DU331" s="2" t="n">
        <v>-5.569999999999709</v>
      </c>
      <c r="DV331" s="2" t="n">
        <v>0</v>
      </c>
      <c r="EA331" s="2" t="n">
        <v>567.796</v>
      </c>
      <c r="EB331" s="2" t="n">
        <v>575.085</v>
      </c>
      <c r="EC331" s="2" t="n">
        <v>580.223</v>
      </c>
      <c r="EE331" s="2" t="n">
        <v>177.855</v>
      </c>
      <c r="EG331" s="2" t="n">
        <v>150.537</v>
      </c>
      <c r="EH331" s="2" t="inlineStr">
        <is>
          <t>(D)</t>
        </is>
      </c>
      <c r="EK331" s="2" t="e">
        <v>#VALUE!</v>
      </c>
      <c r="EL331" s="2" t="n">
        <v>3655.125</v>
      </c>
      <c r="EQ331" s="2" t="n">
        <v>228.198</v>
      </c>
      <c r="ER331" s="2" t="n">
        <v>140.718</v>
      </c>
      <c r="ES331" s="2" t="n">
        <v>352.746</v>
      </c>
      <c r="EU331" s="2" t="n">
        <v>176.799</v>
      </c>
      <c r="EW331" s="2" t="n">
        <v>66.94799999999999</v>
      </c>
      <c r="EX331" s="2" t="n">
        <v>98.77</v>
      </c>
      <c r="FA331" s="2" t="n">
        <v>483.027</v>
      </c>
      <c r="FB331" s="2" t="n">
        <v>1548.323</v>
      </c>
      <c r="FG331" s="2" t="n">
        <v>477.337</v>
      </c>
      <c r="FH331" s="2" t="n">
        <v>302.874</v>
      </c>
      <c r="FI331" s="2" t="n">
        <v>741.9880000000001</v>
      </c>
      <c r="FK331" s="2" t="n">
        <v>358.299</v>
      </c>
      <c r="FM331" s="2" t="n">
        <v>140.592</v>
      </c>
      <c r="FN331" s="2" t="n">
        <v>217.305</v>
      </c>
      <c r="FQ331" s="2" t="n">
        <v>1603.83</v>
      </c>
      <c r="FR331" s="2" t="n">
        <v>3264.876</v>
      </c>
      <c r="FW331" s="2" t="n">
        <v>372.072</v>
      </c>
      <c r="FX331" s="2" t="n">
        <v>162.085</v>
      </c>
      <c r="FY331" s="2" t="n">
        <v>225.242</v>
      </c>
      <c r="GA331" s="2" t="n">
        <v>139.232</v>
      </c>
      <c r="GC331" s="2" t="n">
        <v>72.636</v>
      </c>
      <c r="GD331" s="2" t="inlineStr">
        <is>
          <t>(D)</t>
        </is>
      </c>
      <c r="GG331" s="2" t="n">
        <v>324.569</v>
      </c>
      <c r="GH331" s="2" t="n">
        <v>1501.592</v>
      </c>
      <c r="GM331" s="2" t="n">
        <v>34.639</v>
      </c>
      <c r="GN331" s="2" t="inlineStr">
        <is>
          <t>(D)</t>
        </is>
      </c>
      <c r="GO331" s="2" t="n">
        <v>57.945</v>
      </c>
      <c r="GQ331" s="2" t="n">
        <v>29.458</v>
      </c>
      <c r="GS331" s="2" t="inlineStr">
        <is>
          <t>(D)</t>
        </is>
      </c>
      <c r="GT331" s="2" t="inlineStr">
        <is>
          <t>(D)</t>
        </is>
      </c>
      <c r="GW331" s="2" t="n">
        <v>86.27800000000001</v>
      </c>
      <c r="GX331" s="2" t="n">
        <v>289.436</v>
      </c>
      <c r="GY331" s="2" t="n">
        <v>0.9769390294483618</v>
      </c>
      <c r="GZ331" s="2" t="n">
        <v>1177.7</v>
      </c>
      <c r="HA331" s="2" t="n">
        <v>1205.5</v>
      </c>
      <c r="HB331" s="2" t="n">
        <v>-15.1414565123996</v>
      </c>
      <c r="HC331" s="2" t="n">
        <v>82.32642845320015</v>
      </c>
      <c r="HD331" s="2" t="n">
        <v>1313.4585434876</v>
      </c>
      <c r="HE331" s="2" t="n">
        <v>10.09999999999991</v>
      </c>
      <c r="HF331" s="2" t="n">
        <v>1328.6</v>
      </c>
      <c r="HG331" s="2" t="n">
        <v>1147.3</v>
      </c>
      <c r="HH331" s="2" t="n">
        <v>403.7</v>
      </c>
      <c r="HI331" s="2" t="n">
        <v>65.2</v>
      </c>
      <c r="HJ331" s="2" t="n">
        <v>670.7</v>
      </c>
      <c r="HK331" s="2" t="n">
        <v>7.8</v>
      </c>
      <c r="HL331" s="2" t="n">
        <v>181.2</v>
      </c>
      <c r="HM331" s="2" t="n">
        <v>158.4</v>
      </c>
      <c r="HN331" s="2" t="n">
        <v>29.6</v>
      </c>
      <c r="HO331" s="2" t="n">
        <v>128.8</v>
      </c>
      <c r="HQ331" s="2" t="n">
        <v>6.299999999999983</v>
      </c>
      <c r="HR331" s="2" t="n">
        <v>7.1</v>
      </c>
      <c r="HT331" s="2" t="n">
        <v>9.4</v>
      </c>
      <c r="HW331" s="2" t="n">
        <v>345.2</v>
      </c>
      <c r="HX331" s="2" t="inlineStr">
        <is>
          <t>-</t>
        </is>
      </c>
      <c r="HY331" s="2" t="n">
        <v>345.2</v>
      </c>
      <c r="HZ331" s="2" t="inlineStr">
        <is>
          <t>(D)</t>
        </is>
      </c>
      <c r="IA331" s="2" t="n">
        <v>233.8</v>
      </c>
      <c r="IB331" s="2" t="n">
        <v>89.5</v>
      </c>
      <c r="IC331" s="2" t="n">
        <v>144.3</v>
      </c>
      <c r="ID331" s="2" t="n">
        <v>85.59999999999999</v>
      </c>
      <c r="IE331" s="2" t="n">
        <v>58.7</v>
      </c>
      <c r="IH331" s="2" t="n">
        <v>6.5</v>
      </c>
      <c r="II331" s="2" t="n">
        <v>1.476277930823385</v>
      </c>
      <c r="IJ331" s="2" t="n">
        <v>1.762779308233854</v>
      </c>
      <c r="IK331" s="2" t="n">
        <v>3.254973982246709</v>
      </c>
      <c r="IL331" s="2" t="inlineStr">
        <is>
          <t>(D)</t>
        </is>
      </c>
      <c r="IN331" s="2" t="n">
        <v>50.3</v>
      </c>
      <c r="IO331" s="2" t="n">
        <v>50.3</v>
      </c>
      <c r="IP331" s="2" t="inlineStr">
        <is>
          <t>(D)</t>
        </is>
      </c>
      <c r="IQ331" s="2" t="n">
        <v>52.2</v>
      </c>
      <c r="IR331" s="2" t="n">
        <v>11.4</v>
      </c>
      <c r="IT331" s="2" t="n">
        <v>39.5</v>
      </c>
      <c r="IU331" s="2" t="n">
        <v>1.3</v>
      </c>
      <c r="IV331" s="2" t="inlineStr">
        <is>
          <t>(D)</t>
        </is>
      </c>
      <c r="IW331" s="2" t="inlineStr">
        <is>
          <t>(D)</t>
        </is>
      </c>
      <c r="IX331" s="2" t="inlineStr">
        <is>
          <t>(D)</t>
        </is>
      </c>
      <c r="IY331" s="2" t="n">
        <v>47.5699788747153</v>
      </c>
      <c r="IZ331" s="2" t="n">
        <v>0.06997887471530362</v>
      </c>
      <c r="JB331" s="2" t="n">
        <v>11.30617496525975</v>
      </c>
      <c r="JC331" s="2" t="n">
        <v>-0.03382503474024823</v>
      </c>
      <c r="JE331" s="2" t="n">
        <v>3477.6</v>
      </c>
      <c r="JF331" s="2" t="n">
        <v>0.8108106165171384</v>
      </c>
    </row>
    <row r="332">
      <c r="A332" s="1" t="n">
        <v>39142</v>
      </c>
      <c r="B332" s="2" t="n">
        <v>4683.43524</v>
      </c>
      <c r="C332" s="2" t="n">
        <v>3714.649</v>
      </c>
      <c r="D332" s="2" t="n">
        <v>249.0862</v>
      </c>
      <c r="E332" s="2" t="n">
        <v>1300.07</v>
      </c>
      <c r="F332" s="2" t="n">
        <v>17.42196</v>
      </c>
      <c r="G332" s="2" t="inlineStr">
        <is>
          <t>NA</t>
        </is>
      </c>
      <c r="H332" s="2" t="inlineStr">
        <is>
          <t>NA</t>
        </is>
      </c>
      <c r="I332" s="2" t="inlineStr">
        <is>
          <t>NA</t>
        </is>
      </c>
      <c r="J332" s="2" t="inlineStr">
        <is>
          <t>NA</t>
        </is>
      </c>
      <c r="K332" s="2" t="n">
        <v>1766.86034</v>
      </c>
      <c r="L332" s="2" t="n">
        <v>3558.3</v>
      </c>
      <c r="M332" s="2" t="n">
        <v>3156.3</v>
      </c>
      <c r="N332" s="2" t="n">
        <v>402.1</v>
      </c>
      <c r="O332" s="2" t="n">
        <v>78.07469999999999</v>
      </c>
      <c r="P332" s="2" t="n">
        <v>109.9</v>
      </c>
      <c r="Q332" s="2" t="n">
        <v>9</v>
      </c>
      <c r="R332" s="2" t="n">
        <v>100.9</v>
      </c>
      <c r="T332" s="2" t="n">
        <v>14.3</v>
      </c>
      <c r="U332" s="2" t="n">
        <v>40.8</v>
      </c>
      <c r="V332" s="2" t="n">
        <v>35.9</v>
      </c>
      <c r="W332" s="2" t="n">
        <v>4.9</v>
      </c>
      <c r="X332" s="2" t="inlineStr">
        <is>
          <t>NA</t>
        </is>
      </c>
      <c r="Y332" s="2" t="inlineStr">
        <is>
          <t>(D)</t>
        </is>
      </c>
      <c r="Z332" s="2" t="n">
        <v>72.40000000000001</v>
      </c>
      <c r="AA332" s="2" t="inlineStr">
        <is>
          <t>(D)</t>
        </is>
      </c>
      <c r="AB332" s="2" t="inlineStr">
        <is>
          <t>(D)</t>
        </is>
      </c>
      <c r="AC332" s="2" t="inlineStr">
        <is>
          <t>NA</t>
        </is>
      </c>
      <c r="AD332" s="2" t="n">
        <v>53</v>
      </c>
      <c r="AE332" s="2" t="n">
        <v>54.4</v>
      </c>
      <c r="AF332" s="2" t="n">
        <v>114.6</v>
      </c>
      <c r="AG332" s="2" t="n">
        <v>81.90000000000001</v>
      </c>
      <c r="AH332" s="2" t="n">
        <v>32.7</v>
      </c>
      <c r="AI332" s="2" t="n">
        <v>216.41</v>
      </c>
      <c r="AJ332" s="2" t="n">
        <v>211</v>
      </c>
      <c r="AK332" s="2" t="n">
        <v>5.4</v>
      </c>
      <c r="AL332" s="2" t="n">
        <v>202.6</v>
      </c>
      <c r="AM332" s="2" t="n">
        <v>125.9</v>
      </c>
      <c r="AN332" s="2" t="n">
        <v>76.7</v>
      </c>
      <c r="AO332" s="2" t="n">
        <v>3450.8078</v>
      </c>
      <c r="AP332" s="2" t="n">
        <v>291.194</v>
      </c>
      <c r="AQ332" s="2" t="n">
        <v>270.7418</v>
      </c>
      <c r="AR332" s="2" t="n">
        <v>38.595</v>
      </c>
      <c r="AS332" s="2" t="n">
        <v>114.6124</v>
      </c>
      <c r="AT332" s="2" t="n">
        <v>19.563</v>
      </c>
      <c r="AU332" s="2" t="n">
        <v>73.7561</v>
      </c>
      <c r="AV332" s="2" t="n">
        <v>38.068</v>
      </c>
      <c r="AW332" s="2" t="n">
        <v>9.56348</v>
      </c>
      <c r="AY332" s="2" t="inlineStr">
        <is>
          <t>NA</t>
        </is>
      </c>
      <c r="AZ332" s="2" t="inlineStr">
        <is>
          <t>NA</t>
        </is>
      </c>
      <c r="BA332" s="2" t="inlineStr">
        <is>
          <t>NA</t>
        </is>
      </c>
      <c r="BB332" s="2" t="inlineStr">
        <is>
          <t>NA</t>
        </is>
      </c>
      <c r="BD332" s="2" t="n">
        <v>146.4</v>
      </c>
      <c r="BE332" s="2" t="n">
        <v>27.5</v>
      </c>
      <c r="BF332" s="2" t="n">
        <v>70.5</v>
      </c>
      <c r="BG332" s="2" t="n">
        <v>8.5</v>
      </c>
      <c r="BH332" s="2" t="n">
        <v>329.4</v>
      </c>
      <c r="BI332" s="2" t="n">
        <v>131.3</v>
      </c>
      <c r="BJ332" s="2" t="n">
        <v>107</v>
      </c>
      <c r="BK332" s="2" t="n">
        <v>238.3</v>
      </c>
      <c r="BM332" s="2" t="n">
        <v>567.7</v>
      </c>
      <c r="BN332" s="2" t="n">
        <v>257.8</v>
      </c>
      <c r="BO332" s="2" t="n">
        <v>84.59999999999999</v>
      </c>
      <c r="BP332" s="2" t="n">
        <v>22.8</v>
      </c>
      <c r="BQ332" s="2" t="n">
        <v>107.4</v>
      </c>
      <c r="BS332" s="2" t="n">
        <v>365.2</v>
      </c>
      <c r="BT332" s="2" t="n">
        <v>35.3</v>
      </c>
      <c r="BU332" s="2" t="n">
        <v>18.8</v>
      </c>
      <c r="BV332" s="2" t="inlineStr">
        <is>
          <t>NA</t>
        </is>
      </c>
      <c r="BW332" s="2" t="inlineStr">
        <is>
          <t>NA</t>
        </is>
      </c>
      <c r="BX332" s="2" t="n">
        <v>449.6</v>
      </c>
      <c r="BY332" s="2" t="inlineStr">
        <is>
          <t>NA</t>
        </is>
      </c>
      <c r="BZ332" s="2" t="inlineStr">
        <is>
          <t>NA</t>
        </is>
      </c>
      <c r="CA332" s="2" t="n">
        <v>53.2</v>
      </c>
      <c r="CB332" s="2" t="n">
        <v>112</v>
      </c>
      <c r="CC332" s="2" t="n">
        <v>19.1</v>
      </c>
      <c r="CD332" s="2" t="n">
        <v>130.6</v>
      </c>
      <c r="CE332" s="2" t="n">
        <v>22</v>
      </c>
      <c r="CF332" s="2" t="n">
        <v>104.8</v>
      </c>
      <c r="CG332" s="2" t="n">
        <v>115.7</v>
      </c>
      <c r="CH332" s="2" t="n">
        <v>7</v>
      </c>
      <c r="CI332" s="2" t="n">
        <v>32.9</v>
      </c>
      <c r="CJ332" s="2" t="n">
        <v>6.5</v>
      </c>
      <c r="CK332" s="2" t="n">
        <v>167</v>
      </c>
      <c r="CL332" s="2" t="n">
        <v>29.8</v>
      </c>
      <c r="CN332" s="2" t="n">
        <v>48.2</v>
      </c>
      <c r="CO332" s="2" t="n">
        <v>223.1</v>
      </c>
      <c r="CP332" s="2" t="n">
        <v>145.4</v>
      </c>
      <c r="CQ332" s="2" t="n">
        <v>77.7</v>
      </c>
      <c r="CR332" s="2" t="inlineStr">
        <is>
          <t>NA</t>
        </is>
      </c>
      <c r="CS332" s="2" t="n">
        <v>43.5</v>
      </c>
      <c r="CT332" s="2" t="n">
        <v>21.38</v>
      </c>
      <c r="CU332" s="2" t="n">
        <v>22.898</v>
      </c>
      <c r="CV332" s="2" t="n">
        <v>232</v>
      </c>
      <c r="CW332" s="2" t="inlineStr">
        <is>
          <t>(D)</t>
        </is>
      </c>
      <c r="CX332" s="2" t="inlineStr">
        <is>
          <t>(D)</t>
        </is>
      </c>
      <c r="CY332" s="2" t="inlineStr">
        <is>
          <t>(D)</t>
        </is>
      </c>
      <c r="CZ332" s="2" t="n">
        <v>69.3</v>
      </c>
      <c r="DA332" s="2" t="n">
        <v>11.5</v>
      </c>
      <c r="DB332" s="2" t="inlineStr">
        <is>
          <t>(D)</t>
        </is>
      </c>
      <c r="DC332" s="2" t="inlineStr">
        <is>
          <t>(D)</t>
        </is>
      </c>
      <c r="DI332" s="2" t="n">
        <v>697.521</v>
      </c>
      <c r="DJ332" s="2" t="n">
        <v>463.16864</v>
      </c>
      <c r="DK332" s="2" t="n">
        <v>1065.887</v>
      </c>
      <c r="DM332" s="2" t="n">
        <v>510.772</v>
      </c>
      <c r="DO332" s="2" t="n">
        <v>194.137</v>
      </c>
      <c r="DP332" s="2" t="n">
        <v>310.563</v>
      </c>
      <c r="DS332" s="2" t="n">
        <v>1436.276</v>
      </c>
      <c r="DT332" s="2" t="n">
        <v>4683.43524</v>
      </c>
      <c r="DU332" s="2" t="n">
        <v>-5.110599999999067</v>
      </c>
      <c r="DV332" s="2" t="n">
        <v>0</v>
      </c>
      <c r="EA332" s="2" t="n">
        <v>547.059</v>
      </c>
      <c r="EB332" s="2" t="n">
        <v>561.347</v>
      </c>
      <c r="EC332" s="2" t="n">
        <v>638.941</v>
      </c>
      <c r="EE332" s="2" t="n">
        <v>157.799</v>
      </c>
      <c r="EG332" s="2" t="n">
        <v>144.242</v>
      </c>
      <c r="EH332" s="2" t="inlineStr">
        <is>
          <t>(D)</t>
        </is>
      </c>
      <c r="EK332" s="2" t="e">
        <v>#VALUE!</v>
      </c>
      <c r="EL332" s="2" t="n">
        <v>3714.649</v>
      </c>
      <c r="EQ332" s="2" t="n">
        <v>263.312</v>
      </c>
      <c r="ER332" s="2" t="n">
        <v>170.38304</v>
      </c>
      <c r="ES332" s="2" t="n">
        <v>404.139</v>
      </c>
      <c r="EU332" s="2" t="n">
        <v>199.872</v>
      </c>
      <c r="EW332" s="2" t="n">
        <v>71.389</v>
      </c>
      <c r="EX332" s="2" t="n">
        <v>114.446</v>
      </c>
      <c r="FA332" s="2" t="n">
        <v>542.407</v>
      </c>
      <c r="FB332" s="2" t="n">
        <v>1766.86034</v>
      </c>
      <c r="FG332" s="2" t="n">
        <v>554.83</v>
      </c>
      <c r="FH332" s="2" t="n">
        <v>366.993</v>
      </c>
      <c r="FI332" s="2" t="n">
        <v>848.569</v>
      </c>
      <c r="FK332" s="2" t="n">
        <v>400.782</v>
      </c>
      <c r="FM332" s="2" t="n">
        <v>157.903</v>
      </c>
      <c r="FN332" s="2" t="n">
        <v>252.59</v>
      </c>
      <c r="FQ332" s="2" t="n">
        <v>1798.117</v>
      </c>
      <c r="FR332" s="2" t="n">
        <v>3729.8956</v>
      </c>
      <c r="FW332" s="2" t="n">
        <v>371.803</v>
      </c>
      <c r="FX332" s="2" t="n">
        <v>158.859</v>
      </c>
      <c r="FY332" s="2" t="n">
        <v>226.612</v>
      </c>
      <c r="GA332" s="2" t="n">
        <v>118.033</v>
      </c>
      <c r="GC332" s="2" t="inlineStr">
        <is>
          <t>(D)</t>
        </is>
      </c>
      <c r="GD332" s="2" t="inlineStr">
        <is>
          <t>(D)</t>
        </is>
      </c>
      <c r="GG332" s="2" t="n">
        <v>358.919</v>
      </c>
      <c r="GH332" s="2" t="n">
        <v>1524.364</v>
      </c>
      <c r="GM332" s="2" t="n">
        <v>40.109</v>
      </c>
      <c r="GN332" s="2" t="n">
        <v>74.31699999999999</v>
      </c>
      <c r="GO332" s="2" t="n">
        <v>69.149</v>
      </c>
      <c r="GQ332" s="2" t="n">
        <v>39.43</v>
      </c>
      <c r="GS332" s="2" t="inlineStr">
        <is>
          <t>(D)</t>
        </is>
      </c>
      <c r="GT332" s="2" t="inlineStr">
        <is>
          <t>(D)</t>
        </is>
      </c>
      <c r="GW332" s="2" t="n">
        <v>87.84099999999999</v>
      </c>
      <c r="GX332" s="2" t="n">
        <v>329.789</v>
      </c>
      <c r="GY332" s="2" t="n">
        <v>0.977274351461445</v>
      </c>
      <c r="GZ332" s="2" t="n">
        <v>1367.5</v>
      </c>
      <c r="HA332" s="2" t="n">
        <v>1399.3</v>
      </c>
      <c r="HB332" s="2" t="n">
        <v>17.03889917019978</v>
      </c>
      <c r="HC332" s="2" t="n">
        <v>32.03242400319959</v>
      </c>
      <c r="HD332" s="2" t="n">
        <v>1613.4388991702</v>
      </c>
      <c r="HE332" s="2" t="n">
        <v>23.80000000000018</v>
      </c>
      <c r="HF332" s="2" t="n">
        <v>1596.4</v>
      </c>
      <c r="HG332" s="2" t="n">
        <v>1347.4</v>
      </c>
      <c r="HH332" s="2" t="n">
        <v>475.1</v>
      </c>
      <c r="HI332" s="2" t="n">
        <v>78.59999999999999</v>
      </c>
      <c r="HJ332" s="2" t="n">
        <v>784.9</v>
      </c>
      <c r="HK332" s="2" t="n">
        <v>8.800000000000001</v>
      </c>
      <c r="HL332" s="2" t="n">
        <v>248.9</v>
      </c>
      <c r="HM332" s="2" t="n">
        <v>222.4</v>
      </c>
      <c r="HN332" s="2" t="n">
        <v>36.4</v>
      </c>
      <c r="HO332" s="2" t="n">
        <v>186</v>
      </c>
      <c r="HQ332" s="2" t="inlineStr">
        <is>
          <t>(D)</t>
        </is>
      </c>
      <c r="HR332" s="2" t="inlineStr">
        <is>
          <t>(D)</t>
        </is>
      </c>
      <c r="HT332" s="2" t="n">
        <v>11.5</v>
      </c>
      <c r="HW332" s="2" t="n">
        <v>371.2</v>
      </c>
      <c r="HX332" s="2" t="inlineStr">
        <is>
          <t>-</t>
        </is>
      </c>
      <c r="HY332" s="2" t="n">
        <v>371.2</v>
      </c>
      <c r="HZ332" s="2" t="inlineStr">
        <is>
          <t>(D)</t>
        </is>
      </c>
      <c r="IA332" s="2" t="n">
        <v>255.9</v>
      </c>
      <c r="IB332" s="2" t="n">
        <v>99.2</v>
      </c>
      <c r="IC332" s="2" t="n">
        <v>156.7</v>
      </c>
      <c r="ID332" s="2" t="n">
        <v>101.7</v>
      </c>
      <c r="IE332" s="2" t="n">
        <v>55</v>
      </c>
      <c r="IH332" s="2" t="n">
        <v>7.3</v>
      </c>
      <c r="II332" s="2" t="n">
        <v>1.657973676155494</v>
      </c>
      <c r="IJ332" s="2" t="n">
        <v>1.979736761554943</v>
      </c>
      <c r="IK332" s="2" t="n">
        <v>3.655586164677073</v>
      </c>
      <c r="IL332" s="2" t="inlineStr">
        <is>
          <t>(D)</t>
        </is>
      </c>
      <c r="IN332" s="2" t="n">
        <v>58.6</v>
      </c>
      <c r="IO332" s="2" t="n">
        <v>59.4</v>
      </c>
      <c r="IP332" s="2" t="inlineStr">
        <is>
          <t>(D)</t>
        </is>
      </c>
      <c r="IQ332" s="2" t="n">
        <v>64.40000000000001</v>
      </c>
      <c r="IR332" s="2" t="n">
        <v>12.9</v>
      </c>
      <c r="IT332" s="2" t="n">
        <v>49.9</v>
      </c>
      <c r="IU332" s="2" t="n">
        <v>1.5</v>
      </c>
      <c r="IV332" s="2" t="inlineStr">
        <is>
          <t>(D)</t>
        </is>
      </c>
      <c r="IW332" s="2" t="n">
        <v>2.6</v>
      </c>
      <c r="IX332" s="2" t="inlineStr">
        <is>
          <t>(D)</t>
        </is>
      </c>
      <c r="IY332" s="2" t="n">
        <v>47.67717808776619</v>
      </c>
      <c r="IZ332" s="2" t="n">
        <v>0.1071780877661936</v>
      </c>
      <c r="JB332" s="2" t="n">
        <v>11.31772032359734</v>
      </c>
      <c r="JC332" s="2" t="n">
        <v>-0.06227967640265675</v>
      </c>
      <c r="JE332" s="2" t="n">
        <v>3558.3</v>
      </c>
      <c r="JF332" s="2" t="n">
        <v>0.8243886125396959</v>
      </c>
    </row>
    <row r="333">
      <c r="A333" s="1" t="n">
        <v>39173</v>
      </c>
      <c r="B333" s="2" t="n">
        <v>4349.8928</v>
      </c>
      <c r="C333" s="2" t="n">
        <v>3413.821</v>
      </c>
      <c r="D333" s="2" t="n">
        <v>230.82292</v>
      </c>
      <c r="E333" s="2" t="n">
        <v>1052.043</v>
      </c>
      <c r="F333" s="2" t="n">
        <v>19.60005</v>
      </c>
      <c r="G333" s="2" t="inlineStr">
        <is>
          <t>NA</t>
        </is>
      </c>
      <c r="H333" s="2" t="inlineStr">
        <is>
          <t>NA</t>
        </is>
      </c>
      <c r="I333" s="2" t="inlineStr">
        <is>
          <t>NA</t>
        </is>
      </c>
      <c r="J333" s="2" t="inlineStr">
        <is>
          <t>NA</t>
        </is>
      </c>
      <c r="K333" s="2" t="n">
        <v>1626.3192</v>
      </c>
      <c r="L333" s="2" t="n">
        <v>3500</v>
      </c>
      <c r="M333" s="2" t="n">
        <v>3097.9</v>
      </c>
      <c r="N333" s="2" t="n">
        <v>402.1</v>
      </c>
      <c r="O333" s="2" t="n">
        <v>72.46028</v>
      </c>
      <c r="P333" s="2" t="n">
        <v>119.6</v>
      </c>
      <c r="Q333" s="2" t="n">
        <v>13.5</v>
      </c>
      <c r="R333" s="2" t="n">
        <v>106.1</v>
      </c>
      <c r="T333" s="2" t="n">
        <v>14.9</v>
      </c>
      <c r="U333" s="2" t="n">
        <v>42</v>
      </c>
      <c r="V333" s="2" t="n">
        <v>38.5</v>
      </c>
      <c r="W333" s="2" t="n">
        <v>3.5</v>
      </c>
      <c r="X333" s="2" t="inlineStr">
        <is>
          <t>NA</t>
        </is>
      </c>
      <c r="Y333" s="2" t="inlineStr">
        <is>
          <t>(D)</t>
        </is>
      </c>
      <c r="Z333" s="2" t="n">
        <v>80.5</v>
      </c>
      <c r="AA333" s="2" t="inlineStr">
        <is>
          <t>(D)</t>
        </is>
      </c>
      <c r="AB333" s="2" t="inlineStr">
        <is>
          <t>(D)</t>
        </is>
      </c>
      <c r="AC333" s="2" t="inlineStr">
        <is>
          <t>NA</t>
        </is>
      </c>
      <c r="AD333" s="2" t="n">
        <v>41.2</v>
      </c>
      <c r="AE333" s="2" t="n">
        <v>42.1</v>
      </c>
      <c r="AF333" s="2" t="n">
        <v>178.4</v>
      </c>
      <c r="AG333" s="2" t="n">
        <v>146.7</v>
      </c>
      <c r="AH333" s="2" t="n">
        <v>31.8</v>
      </c>
      <c r="AI333" s="2" t="n">
        <v>194.141</v>
      </c>
      <c r="AJ333" s="2" t="n">
        <v>189.8</v>
      </c>
      <c r="AK333" s="2" t="n">
        <v>4.3</v>
      </c>
      <c r="AL333" s="2" t="n">
        <v>186.5</v>
      </c>
      <c r="AM333" s="2" t="n">
        <v>119.8</v>
      </c>
      <c r="AN333" s="2" t="n">
        <v>66.7</v>
      </c>
      <c r="AO333" s="2" t="n">
        <v>3188.23046</v>
      </c>
      <c r="AP333" s="2" t="n">
        <v>284.438</v>
      </c>
      <c r="AQ333" s="2" t="n">
        <v>256.26692</v>
      </c>
      <c r="AR333" s="2" t="n">
        <v>44.242</v>
      </c>
      <c r="AS333" s="2" t="n">
        <v>105.94104</v>
      </c>
      <c r="AT333" s="2" t="n">
        <v>47.335</v>
      </c>
      <c r="AU333" s="2" t="n">
        <v>64.0784</v>
      </c>
      <c r="AV333" s="2" t="n">
        <v>38.394</v>
      </c>
      <c r="AW333" s="2" t="n">
        <v>11.37925</v>
      </c>
      <c r="AY333" s="2" t="inlineStr">
        <is>
          <t>NA</t>
        </is>
      </c>
      <c r="AZ333" s="2" t="inlineStr">
        <is>
          <t>NA</t>
        </is>
      </c>
      <c r="BA333" s="2" t="inlineStr">
        <is>
          <t>NA</t>
        </is>
      </c>
      <c r="BB333" s="2" t="inlineStr">
        <is>
          <t>NA</t>
        </is>
      </c>
      <c r="BD333" s="2" t="n">
        <v>129.4</v>
      </c>
      <c r="BE333" s="2" t="n">
        <v>26.3</v>
      </c>
      <c r="BF333" s="2" t="n">
        <v>69.5</v>
      </c>
      <c r="BG333" s="2" t="n">
        <v>8.699999999999999</v>
      </c>
      <c r="BH333" s="2" t="n">
        <v>300.8</v>
      </c>
      <c r="BI333" s="2" t="n">
        <v>125.8</v>
      </c>
      <c r="BJ333" s="2" t="n">
        <v>109.5</v>
      </c>
      <c r="BK333" s="2" t="n">
        <v>235.3</v>
      </c>
      <c r="BM333" s="2" t="n">
        <v>536.2</v>
      </c>
      <c r="BN333" s="2" t="n">
        <v>193.9</v>
      </c>
      <c r="BO333" s="2" t="n">
        <v>74</v>
      </c>
      <c r="BP333" s="2" t="n">
        <v>23.1</v>
      </c>
      <c r="BQ333" s="2" t="n">
        <v>97</v>
      </c>
      <c r="BS333" s="2" t="n">
        <v>291</v>
      </c>
      <c r="BT333" s="2" t="n">
        <v>31.7</v>
      </c>
      <c r="BU333" s="2" t="n">
        <v>10.9</v>
      </c>
      <c r="BV333" s="2" t="inlineStr">
        <is>
          <t>NA</t>
        </is>
      </c>
      <c r="BW333" s="2" t="inlineStr">
        <is>
          <t>NA</t>
        </is>
      </c>
      <c r="BX333" s="2" t="n">
        <v>408.4</v>
      </c>
      <c r="BY333" s="2" t="inlineStr">
        <is>
          <t>NA</t>
        </is>
      </c>
      <c r="BZ333" s="2" t="inlineStr">
        <is>
          <t>NA</t>
        </is>
      </c>
      <c r="CA333" s="2" t="n">
        <v>56.2</v>
      </c>
      <c r="CB333" s="2" t="n">
        <v>106.1</v>
      </c>
      <c r="CC333" s="2" t="n">
        <v>18.4</v>
      </c>
      <c r="CD333" s="2" t="n">
        <v>121</v>
      </c>
      <c r="CE333" s="2" t="n">
        <v>22.8</v>
      </c>
      <c r="CF333" s="2" t="n">
        <v>122.2</v>
      </c>
      <c r="CG333" s="2" t="n">
        <v>132.5</v>
      </c>
      <c r="CH333" s="2" t="n">
        <v>6.7</v>
      </c>
      <c r="CI333" s="2" t="n">
        <v>31.5</v>
      </c>
      <c r="CJ333" s="2" t="n">
        <v>6.4</v>
      </c>
      <c r="CK333" s="2" t="n">
        <v>168.1</v>
      </c>
      <c r="CL333" s="2" t="n">
        <v>30.5</v>
      </c>
      <c r="CN333" s="2" t="n">
        <v>51.3</v>
      </c>
      <c r="CO333" s="2" t="n">
        <v>191.8</v>
      </c>
      <c r="CP333" s="2" t="n">
        <v>137.7</v>
      </c>
      <c r="CQ333" s="2" t="n">
        <v>54.1</v>
      </c>
      <c r="CR333" s="2" t="inlineStr">
        <is>
          <t>NA</t>
        </is>
      </c>
      <c r="CS333" s="2" t="n">
        <v>48.6</v>
      </c>
      <c r="CT333" s="2" t="n">
        <v>21.318</v>
      </c>
      <c r="CU333" s="2" t="n">
        <v>28.297</v>
      </c>
      <c r="CV333" s="2" t="n">
        <v>182.2</v>
      </c>
      <c r="CW333" s="2" t="inlineStr">
        <is>
          <t>(D)</t>
        </is>
      </c>
      <c r="CX333" s="2" t="inlineStr">
        <is>
          <t>(D)</t>
        </is>
      </c>
      <c r="CY333" s="2" t="inlineStr">
        <is>
          <t>(D)</t>
        </is>
      </c>
      <c r="CZ333" s="2" t="n">
        <v>56.2</v>
      </c>
      <c r="DA333" s="2" t="n">
        <v>13.8</v>
      </c>
      <c r="DB333" s="2" t="inlineStr">
        <is>
          <t>(D)</t>
        </is>
      </c>
      <c r="DC333" s="2" t="inlineStr">
        <is>
          <t>(D)</t>
        </is>
      </c>
      <c r="DI333" s="2" t="n">
        <v>679.472</v>
      </c>
      <c r="DJ333" s="2" t="n">
        <v>436.8286</v>
      </c>
      <c r="DK333" s="2" t="n">
        <v>996.287</v>
      </c>
      <c r="DM333" s="2" t="n">
        <v>486.904</v>
      </c>
      <c r="DO333" s="2" t="n">
        <v>198.67</v>
      </c>
      <c r="DP333" s="2" t="n">
        <v>297.256</v>
      </c>
      <c r="DS333" s="2" t="n">
        <v>1249.094</v>
      </c>
      <c r="DT333" s="2" t="n">
        <v>4349.8928</v>
      </c>
      <c r="DU333" s="2" t="n">
        <v>-5.381199999999808</v>
      </c>
      <c r="DV333" s="2" t="n">
        <v>0</v>
      </c>
      <c r="EA333" s="2" t="n">
        <v>479.649</v>
      </c>
      <c r="EB333" s="2" t="n">
        <v>444.075</v>
      </c>
      <c r="EC333" s="2" t="n">
        <v>569.136</v>
      </c>
      <c r="EE333" s="2" t="n">
        <v>149.597</v>
      </c>
      <c r="EG333" s="2" t="n">
        <v>111.766</v>
      </c>
      <c r="EH333" s="2" t="inlineStr">
        <is>
          <t>(D)</t>
        </is>
      </c>
      <c r="EK333" s="2" t="e">
        <v>#VALUE!</v>
      </c>
      <c r="EL333" s="2" t="n">
        <v>3413.821</v>
      </c>
      <c r="EQ333" s="2" t="n">
        <v>250.845</v>
      </c>
      <c r="ER333" s="2" t="n">
        <v>161.7064</v>
      </c>
      <c r="ES333" s="2" t="n">
        <v>375.766</v>
      </c>
      <c r="EU333" s="2" t="n">
        <v>191.116</v>
      </c>
      <c r="EW333" s="2" t="n">
        <v>72.825</v>
      </c>
      <c r="EX333" s="2" t="n">
        <v>106.612</v>
      </c>
      <c r="FA333" s="2" t="n">
        <v>466.403</v>
      </c>
      <c r="FB333" s="2" t="n">
        <v>1626.3192</v>
      </c>
      <c r="FG333" s="2" t="n">
        <v>536.402</v>
      </c>
      <c r="FH333" s="2" t="n">
        <v>347.9869</v>
      </c>
      <c r="FI333" s="2" t="n">
        <v>792.422</v>
      </c>
      <c r="FK333" s="2" t="n">
        <v>384.095</v>
      </c>
      <c r="FM333" s="2" t="n">
        <v>160.8</v>
      </c>
      <c r="FN333" s="2" t="n">
        <v>237.006</v>
      </c>
      <c r="FQ333" s="2" t="n">
        <v>1614.231</v>
      </c>
      <c r="FR333" s="2" t="n">
        <v>3453.10438</v>
      </c>
      <c r="FW333" s="2" t="n">
        <v>355.887</v>
      </c>
      <c r="FX333" s="2" t="n">
        <v>152.647</v>
      </c>
      <c r="FY333" s="2" t="n">
        <v>197.824</v>
      </c>
      <c r="GA333" s="2" t="n">
        <v>97.321</v>
      </c>
      <c r="GC333" s="2" t="inlineStr">
        <is>
          <t>(D)</t>
        </is>
      </c>
      <c r="GD333" s="2" t="inlineStr">
        <is>
          <t>(D)</t>
        </is>
      </c>
      <c r="GG333" s="2" t="n">
        <v>351.528</v>
      </c>
      <c r="GH333" s="2" t="n">
        <v>1467.219</v>
      </c>
      <c r="GM333" s="2" t="n">
        <v>44.598</v>
      </c>
      <c r="GN333" s="2" t="n">
        <v>76.349</v>
      </c>
      <c r="GO333" s="2" t="n">
        <v>59.632</v>
      </c>
      <c r="GQ333" s="2" t="n">
        <v>44.5</v>
      </c>
      <c r="GS333" s="2" t="inlineStr">
        <is>
          <t>(D)</t>
        </is>
      </c>
      <c r="GT333" s="2" t="inlineStr">
        <is>
          <t>(D)</t>
        </is>
      </c>
      <c r="GW333" s="2" t="n">
        <v>84.03100000000001</v>
      </c>
      <c r="GX333" s="2" t="n">
        <v>328.68</v>
      </c>
      <c r="GY333" s="2" t="n">
        <v>0.9791531881245058</v>
      </c>
      <c r="GZ333" s="2" t="n">
        <v>1362.1</v>
      </c>
      <c r="HA333" s="2" t="n">
        <v>1391.1</v>
      </c>
      <c r="HB333" s="2" t="n">
        <v>25.44146181219958</v>
      </c>
      <c r="HC333" s="2" t="n">
        <v>199.8415826771993</v>
      </c>
      <c r="HD333" s="2" t="n">
        <v>1583.041461812199</v>
      </c>
      <c r="HE333" s="2" t="n">
        <v>81.5</v>
      </c>
      <c r="HF333" s="2" t="n">
        <v>1557.6</v>
      </c>
      <c r="HG333" s="2" t="n">
        <v>1317.3</v>
      </c>
      <c r="HH333" s="2" t="n">
        <v>443.3</v>
      </c>
      <c r="HI333" s="2" t="n">
        <v>68.113</v>
      </c>
      <c r="HJ333" s="2" t="n">
        <v>794.6</v>
      </c>
      <c r="HK333" s="2" t="n">
        <v>8.363</v>
      </c>
      <c r="HL333" s="2" t="n">
        <v>240.3</v>
      </c>
      <c r="HM333" s="2" t="n">
        <v>214.9</v>
      </c>
      <c r="HN333" s="2" t="n">
        <v>42.5</v>
      </c>
      <c r="HO333" s="2" t="n">
        <v>172.4</v>
      </c>
      <c r="HQ333" s="2" t="n">
        <v>3.300000000000006</v>
      </c>
      <c r="HR333" s="2" t="n">
        <v>11.5</v>
      </c>
      <c r="HT333" s="2" t="n">
        <v>10.6</v>
      </c>
      <c r="HW333" s="2" t="n">
        <v>371.5</v>
      </c>
      <c r="HX333" s="2" t="inlineStr">
        <is>
          <t>-</t>
        </is>
      </c>
      <c r="HY333" s="2" t="n">
        <v>371.5</v>
      </c>
      <c r="HZ333" s="2" t="inlineStr">
        <is>
          <t>(D)</t>
        </is>
      </c>
      <c r="IA333" s="2" t="n">
        <v>231.9</v>
      </c>
      <c r="IB333" s="2" t="n">
        <v>83.3</v>
      </c>
      <c r="IC333" s="2" t="n">
        <v>148.6</v>
      </c>
      <c r="ID333" s="2" t="n">
        <v>87.7</v>
      </c>
      <c r="IE333" s="2" t="n">
        <v>60.9</v>
      </c>
      <c r="IH333" s="2" t="n">
        <v>10.5</v>
      </c>
      <c r="II333" s="2" t="n">
        <v>2.38475665748393</v>
      </c>
      <c r="IJ333" s="2" t="n">
        <v>2.847566574839302</v>
      </c>
      <c r="IK333" s="2" t="n">
        <v>5.25803489439853</v>
      </c>
      <c r="IL333" s="2" t="inlineStr">
        <is>
          <t>(D)</t>
        </is>
      </c>
      <c r="IN333" s="2" t="n">
        <v>54.9</v>
      </c>
      <c r="IO333" s="2" t="n">
        <v>54.9</v>
      </c>
      <c r="IP333" s="2" t="inlineStr">
        <is>
          <t>(D)</t>
        </is>
      </c>
      <c r="IQ333" s="2" t="n">
        <v>56.7</v>
      </c>
      <c r="IR333" s="2" t="n">
        <v>13.7</v>
      </c>
      <c r="IT333" s="2" t="n">
        <v>41.6</v>
      </c>
      <c r="IU333" s="2" t="n">
        <v>1.4</v>
      </c>
      <c r="IV333" s="2" t="inlineStr">
        <is>
          <t>(D)</t>
        </is>
      </c>
      <c r="IW333" s="2" t="n">
        <v>2.8</v>
      </c>
      <c r="IX333" s="2" t="inlineStr">
        <is>
          <t>(D)</t>
        </is>
      </c>
      <c r="IY333" s="2" t="n">
        <v>47.51147954726609</v>
      </c>
      <c r="IZ333" s="2" t="n">
        <v>0.1714795472660882</v>
      </c>
      <c r="JB333" s="2" t="n">
        <v>11.21627089292867</v>
      </c>
      <c r="JC333" s="2" t="n">
        <v>-0.04372910707132682</v>
      </c>
      <c r="JE333" s="2" t="n">
        <v>3500</v>
      </c>
      <c r="JF333" s="2" t="n">
        <v>0.8291242857142856</v>
      </c>
    </row>
    <row r="334">
      <c r="A334" s="1" t="n">
        <v>39203</v>
      </c>
      <c r="B334" s="2" t="n">
        <v>4563.51185</v>
      </c>
      <c r="C334" s="2" t="n">
        <v>3058.877</v>
      </c>
      <c r="D334" s="2" t="n">
        <v>243.12344</v>
      </c>
      <c r="E334" s="2" t="n">
        <v>817.503</v>
      </c>
      <c r="F334" s="2" t="n">
        <v>11.8</v>
      </c>
      <c r="G334" s="2" t="inlineStr">
        <is>
          <t>NA</t>
        </is>
      </c>
      <c r="H334" s="2" t="inlineStr">
        <is>
          <t>NA</t>
        </is>
      </c>
      <c r="I334" s="2" t="inlineStr">
        <is>
          <t>NA</t>
        </is>
      </c>
      <c r="J334" s="2" t="inlineStr">
        <is>
          <t>NA</t>
        </is>
      </c>
      <c r="K334" s="2" t="n">
        <v>1729.8758</v>
      </c>
      <c r="L334" s="2" t="n">
        <v>3468.7</v>
      </c>
      <c r="M334" s="2" t="n">
        <v>3085.1</v>
      </c>
      <c r="N334" s="2" t="n">
        <v>383.6</v>
      </c>
      <c r="O334" s="2" t="n">
        <v>77.19908</v>
      </c>
      <c r="P334" s="2" t="n">
        <v>123.3</v>
      </c>
      <c r="Q334" s="2" t="n">
        <v>13</v>
      </c>
      <c r="R334" s="2" t="n">
        <v>110.3</v>
      </c>
      <c r="T334" s="2" t="n">
        <v>9.699999999999999</v>
      </c>
      <c r="U334" s="2" t="n">
        <v>32.8</v>
      </c>
      <c r="V334" s="2" t="n">
        <v>30.7</v>
      </c>
      <c r="W334" s="2" t="n">
        <v>2.1</v>
      </c>
      <c r="X334" s="2" t="inlineStr">
        <is>
          <t>NA</t>
        </is>
      </c>
      <c r="Y334" s="2" t="inlineStr">
        <is>
          <t>(D)</t>
        </is>
      </c>
      <c r="Z334" s="2" t="n">
        <v>107</v>
      </c>
      <c r="AA334" s="2" t="inlineStr">
        <is>
          <t>(D)</t>
        </is>
      </c>
      <c r="AB334" s="2" t="inlineStr">
        <is>
          <t>(D)</t>
        </is>
      </c>
      <c r="AC334" s="2" t="inlineStr">
        <is>
          <t>NA</t>
        </is>
      </c>
      <c r="AD334" s="2" t="n">
        <v>50.1</v>
      </c>
      <c r="AE334" s="2" t="n">
        <v>51</v>
      </c>
      <c r="AF334" s="2" t="n">
        <v>142.9</v>
      </c>
      <c r="AG334" s="2" t="n">
        <v>111.1</v>
      </c>
      <c r="AH334" s="2" t="n">
        <v>31.8</v>
      </c>
      <c r="AI334" s="2" t="n">
        <v>214.446</v>
      </c>
      <c r="AJ334" s="2" t="n">
        <v>211.2</v>
      </c>
      <c r="AK334" s="2" t="n">
        <v>3.3</v>
      </c>
      <c r="AL334" s="2" t="n">
        <v>172.6</v>
      </c>
      <c r="AM334" s="2" t="n">
        <v>123.2</v>
      </c>
      <c r="AN334" s="2" t="n">
        <v>49.3</v>
      </c>
      <c r="AO334" s="2" t="n">
        <v>3361.60335</v>
      </c>
      <c r="AP334" s="2" t="n">
        <v>235.782</v>
      </c>
      <c r="AQ334" s="2" t="n">
        <v>265.7025</v>
      </c>
      <c r="AR334" s="2" t="n">
        <v>43.201</v>
      </c>
      <c r="AS334" s="2" t="n">
        <v>112.5504</v>
      </c>
      <c r="AT334" s="2" t="n">
        <v>74.294</v>
      </c>
      <c r="AU334" s="2" t="n">
        <v>71.97319999999999</v>
      </c>
      <c r="AV334" s="2" t="n">
        <v>42.763</v>
      </c>
      <c r="AW334" s="2" t="n">
        <v>6.19355</v>
      </c>
      <c r="AY334" s="2" t="inlineStr">
        <is>
          <t>NA</t>
        </is>
      </c>
      <c r="AZ334" s="2" t="inlineStr">
        <is>
          <t>NA</t>
        </is>
      </c>
      <c r="BA334" s="2" t="inlineStr">
        <is>
          <t>NA</t>
        </is>
      </c>
      <c r="BB334" s="2" t="inlineStr">
        <is>
          <t>NA</t>
        </is>
      </c>
      <c r="BD334" s="2" t="n">
        <v>152.4</v>
      </c>
      <c r="BE334" s="2" t="n">
        <v>34.7</v>
      </c>
      <c r="BF334" s="2" t="n">
        <v>77.40000000000001</v>
      </c>
      <c r="BG334" s="2" t="n">
        <v>9.9</v>
      </c>
      <c r="BH334" s="2" t="n">
        <v>328.4</v>
      </c>
      <c r="BI334" s="2" t="n">
        <v>136.1</v>
      </c>
      <c r="BJ334" s="2" t="n">
        <v>111</v>
      </c>
      <c r="BK334" s="2" t="n">
        <v>247</v>
      </c>
      <c r="BM334" s="2" t="n">
        <v>575.4</v>
      </c>
      <c r="BN334" s="2" t="n">
        <v>144.6</v>
      </c>
      <c r="BO334" s="2" t="n">
        <v>82.09999999999999</v>
      </c>
      <c r="BP334" s="2" t="n">
        <v>20.6</v>
      </c>
      <c r="BQ334" s="2" t="n">
        <v>102.7</v>
      </c>
      <c r="BS334" s="2" t="n">
        <v>247.3</v>
      </c>
      <c r="BT334" s="2" t="n">
        <v>33.4</v>
      </c>
      <c r="BU334" s="2" t="n">
        <v>15.2</v>
      </c>
      <c r="BV334" s="2" t="inlineStr">
        <is>
          <t>NA</t>
        </is>
      </c>
      <c r="BW334" s="2" t="inlineStr">
        <is>
          <t>NA</t>
        </is>
      </c>
      <c r="BX334" s="2" t="n">
        <v>463.7</v>
      </c>
      <c r="BY334" s="2" t="inlineStr">
        <is>
          <t>NA</t>
        </is>
      </c>
      <c r="BZ334" s="2" t="inlineStr">
        <is>
          <t>NA</t>
        </is>
      </c>
      <c r="CA334" s="2" t="n">
        <v>48.7</v>
      </c>
      <c r="CB334" s="2" t="n">
        <v>118.9</v>
      </c>
      <c r="CC334" s="2" t="n">
        <v>18.4</v>
      </c>
      <c r="CD334" s="2" t="n">
        <v>126.5</v>
      </c>
      <c r="CE334" s="2" t="n">
        <v>29.5</v>
      </c>
      <c r="CF334" s="2" t="n">
        <v>125.5</v>
      </c>
      <c r="CG334" s="2" t="n">
        <v>156.1</v>
      </c>
      <c r="CH334" s="2" t="n">
        <v>7.1</v>
      </c>
      <c r="CI334" s="2" t="n">
        <v>36.8</v>
      </c>
      <c r="CJ334" s="2" t="n">
        <v>5.1</v>
      </c>
      <c r="CK334" s="2" t="n">
        <v>199.8</v>
      </c>
      <c r="CL334" s="2" t="n">
        <v>27.5</v>
      </c>
      <c r="CN334" s="2" t="n">
        <v>59.5</v>
      </c>
      <c r="CO334" s="2" t="n">
        <v>157.7</v>
      </c>
      <c r="CP334" s="2" t="n">
        <v>110.9</v>
      </c>
      <c r="CQ334" s="2" t="n">
        <v>46.8</v>
      </c>
      <c r="CR334" s="2" t="inlineStr">
        <is>
          <t>NA</t>
        </is>
      </c>
      <c r="CS334" s="2" t="n">
        <v>50.8</v>
      </c>
      <c r="CT334" s="2" t="n">
        <v>29.6</v>
      </c>
      <c r="CU334" s="2" t="n">
        <v>21.2</v>
      </c>
      <c r="CV334" s="2" t="n">
        <v>173.4</v>
      </c>
      <c r="CW334" s="2" t="inlineStr">
        <is>
          <t>(D)</t>
        </is>
      </c>
      <c r="CX334" s="2" t="inlineStr">
        <is>
          <t>(D)</t>
        </is>
      </c>
      <c r="CY334" s="2" t="inlineStr">
        <is>
          <t>(D)</t>
        </is>
      </c>
      <c r="CZ334" s="2" t="n">
        <v>69.3</v>
      </c>
      <c r="DA334" s="2" t="n">
        <v>9.5</v>
      </c>
      <c r="DB334" s="2" t="inlineStr">
        <is>
          <t>(D)</t>
        </is>
      </c>
      <c r="DC334" s="2" t="inlineStr">
        <is>
          <t>(D)</t>
        </is>
      </c>
      <c r="DI334" s="2" t="n">
        <v>655.7619999999999</v>
      </c>
      <c r="DJ334" s="2" t="n">
        <v>439.50725</v>
      </c>
      <c r="DK334" s="2" t="n">
        <v>1009.036</v>
      </c>
      <c r="DM334" s="2" t="n">
        <v>499.968</v>
      </c>
      <c r="DO334" s="2" t="n">
        <v>173.993</v>
      </c>
      <c r="DP334" s="2" t="n">
        <v>290.538</v>
      </c>
      <c r="DS334" s="2" t="n">
        <v>1489.4</v>
      </c>
      <c r="DT334" s="2" t="n">
        <v>4563.51185</v>
      </c>
      <c r="DU334" s="2" t="n">
        <v>-5.307600000000093</v>
      </c>
      <c r="DV334" s="2" t="n">
        <v>0</v>
      </c>
      <c r="EA334" s="2" t="n">
        <v>448.254</v>
      </c>
      <c r="EB334" s="2" t="n">
        <v>344.972</v>
      </c>
      <c r="EC334" s="2" t="n">
        <v>497.1</v>
      </c>
      <c r="EE334" s="2" t="n">
        <v>202.068</v>
      </c>
      <c r="EG334" s="2" t="n">
        <v>119.287</v>
      </c>
      <c r="EH334" s="2" t="inlineStr">
        <is>
          <t>(D)</t>
        </is>
      </c>
      <c r="EK334" s="2" t="e">
        <v>#VALUE!</v>
      </c>
      <c r="EL334" s="2" t="n">
        <v>3058.877</v>
      </c>
      <c r="EQ334" s="2" t="n">
        <v>248.47</v>
      </c>
      <c r="ER334" s="2" t="n">
        <v>163.9695</v>
      </c>
      <c r="ES334" s="2" t="n">
        <v>383.745</v>
      </c>
      <c r="EU334" s="2" t="n">
        <v>197.445</v>
      </c>
      <c r="EW334" s="2" t="n">
        <v>64.05</v>
      </c>
      <c r="EX334" s="2" t="n">
        <v>106.18</v>
      </c>
      <c r="FA334" s="2" t="n">
        <v>565.0650000000001</v>
      </c>
      <c r="FB334" s="2" t="n">
        <v>1729.8758</v>
      </c>
      <c r="FG334" s="2" t="n">
        <v>519.593</v>
      </c>
      <c r="FH334" s="2" t="n">
        <v>354.9183</v>
      </c>
      <c r="FI334" s="2" t="n">
        <v>806.148</v>
      </c>
      <c r="FK334" s="2" t="n">
        <v>399.86</v>
      </c>
      <c r="FM334" s="2" t="n">
        <v>140.549</v>
      </c>
      <c r="FN334" s="2" t="n">
        <v>226.746</v>
      </c>
      <c r="FQ334" s="2" t="n">
        <v>1184.479</v>
      </c>
      <c r="FR334" s="2" t="n">
        <v>3636.60985</v>
      </c>
      <c r="FW334" s="2" t="n">
        <v>359.51</v>
      </c>
      <c r="FX334" s="2" t="n">
        <v>148.13</v>
      </c>
      <c r="FY334" s="2" t="n">
        <v>173.483</v>
      </c>
      <c r="GA334" s="2" t="n">
        <v>82.91</v>
      </c>
      <c r="GC334" s="2" t="inlineStr">
        <is>
          <t>(D)</t>
        </is>
      </c>
      <c r="GD334" s="2" t="inlineStr">
        <is>
          <t>(D)</t>
        </is>
      </c>
      <c r="GG334" s="2" t="n">
        <v>345.095</v>
      </c>
      <c r="GH334" s="2" t="n">
        <v>1395.767</v>
      </c>
      <c r="GM334" s="2" t="n">
        <v>52.605</v>
      </c>
      <c r="GN334" s="2" t="n">
        <v>65.521</v>
      </c>
      <c r="GO334" s="2" t="n">
        <v>43.672</v>
      </c>
      <c r="GQ334" s="2" t="n">
        <v>27.921</v>
      </c>
      <c r="GS334" s="2" t="inlineStr">
        <is>
          <t>(D)</t>
        </is>
      </c>
      <c r="GT334" s="2" t="inlineStr">
        <is>
          <t>(D)</t>
        </is>
      </c>
      <c r="GW334" s="2" t="n">
        <v>76.813</v>
      </c>
      <c r="GX334" s="2" t="n">
        <v>278.983</v>
      </c>
      <c r="GY334" s="2" t="n">
        <v>0.9785416666666666</v>
      </c>
      <c r="GZ334" s="2" t="n">
        <v>1409.1</v>
      </c>
      <c r="HA334" s="2" t="n">
        <v>1440</v>
      </c>
      <c r="HB334" s="2" t="n">
        <v>-55.20294633420053</v>
      </c>
      <c r="HC334" s="2" t="n">
        <v>122.1567318618004</v>
      </c>
      <c r="HD334" s="2" t="n">
        <v>1641.297053665799</v>
      </c>
      <c r="HE334" s="2" t="n">
        <v>152.7</v>
      </c>
      <c r="HF334" s="2" t="n">
        <v>1696.5</v>
      </c>
      <c r="HG334" s="2" t="n">
        <v>1402.2</v>
      </c>
      <c r="HH334" s="2" t="n">
        <v>454.1</v>
      </c>
      <c r="HI334" s="2" t="n">
        <v>76.324</v>
      </c>
      <c r="HJ334" s="2" t="n">
        <v>860.3</v>
      </c>
      <c r="HK334" s="2" t="n">
        <v>9.702</v>
      </c>
      <c r="HL334" s="2" t="n">
        <v>294.3</v>
      </c>
      <c r="HM334" s="2" t="n">
        <v>269.1</v>
      </c>
      <c r="HN334" s="2" t="n">
        <v>48.9</v>
      </c>
      <c r="HO334" s="2" t="n">
        <v>220.3</v>
      </c>
      <c r="HQ334" s="2" t="n">
        <v>4.099999999999989</v>
      </c>
      <c r="HR334" s="2" t="n">
        <v>9.6</v>
      </c>
      <c r="HT334" s="2" t="n">
        <v>11.5</v>
      </c>
      <c r="HW334" s="2" t="n">
        <v>322.4</v>
      </c>
      <c r="HX334" s="2" t="inlineStr">
        <is>
          <t>-</t>
        </is>
      </c>
      <c r="HY334" s="2" t="n">
        <v>322.4</v>
      </c>
      <c r="HZ334" s="2" t="inlineStr">
        <is>
          <t>(D)</t>
        </is>
      </c>
      <c r="IA334" s="2" t="n">
        <v>213.9</v>
      </c>
      <c r="IB334" s="2" t="n">
        <v>60.4</v>
      </c>
      <c r="IC334" s="2" t="n">
        <v>153.4</v>
      </c>
      <c r="ID334" s="2" t="n">
        <v>101</v>
      </c>
      <c r="IE334" s="2" t="n">
        <v>52.5</v>
      </c>
      <c r="IH334" s="2" t="n">
        <v>11.5</v>
      </c>
      <c r="II334" s="2" t="n">
        <v>2.611876339149066</v>
      </c>
      <c r="IJ334" s="2" t="n">
        <v>3.118763391490664</v>
      </c>
      <c r="IK334" s="2" t="n">
        <v>5.758800122436485</v>
      </c>
      <c r="IL334" s="2" t="inlineStr">
        <is>
          <t>(D)</t>
        </is>
      </c>
      <c r="IN334" s="2" t="n">
        <v>59.1</v>
      </c>
      <c r="IO334" s="2" t="n">
        <v>59.1</v>
      </c>
      <c r="IP334" s="2" t="inlineStr">
        <is>
          <t>(D)</t>
        </is>
      </c>
      <c r="IQ334" s="2" t="n">
        <v>62.6</v>
      </c>
      <c r="IR334" s="2" t="n">
        <v>13.1</v>
      </c>
      <c r="IT334" s="2" t="n">
        <v>47.9</v>
      </c>
      <c r="IU334" s="2" t="n">
        <v>1.6</v>
      </c>
      <c r="IV334" s="2" t="inlineStr">
        <is>
          <t>(D)</t>
        </is>
      </c>
      <c r="IW334" s="2" t="n">
        <v>2.9</v>
      </c>
      <c r="IX334" s="2" t="inlineStr">
        <is>
          <t>(D)</t>
        </is>
      </c>
      <c r="IY334" s="2" t="n">
        <v>47.6909797002061</v>
      </c>
      <c r="IZ334" s="2" t="n">
        <v>0.1309797002060975</v>
      </c>
      <c r="JB334" s="2" t="n">
        <v>11.37200377818675</v>
      </c>
      <c r="JC334" s="2" t="n">
        <v>-0.03799622181325191</v>
      </c>
      <c r="JE334" s="2" t="n">
        <v>3468.7</v>
      </c>
      <c r="JF334" s="2" t="n">
        <v>0.842848329345288</v>
      </c>
    </row>
    <row r="335">
      <c r="A335" s="1" t="n">
        <v>39234</v>
      </c>
      <c r="B335" s="2" t="n">
        <v>4466.01967</v>
      </c>
      <c r="C335" s="2" t="n">
        <v>3104.336</v>
      </c>
      <c r="D335" s="2" t="n">
        <v>204.56175</v>
      </c>
      <c r="E335" s="2" t="n">
        <v>637.563</v>
      </c>
      <c r="G335" s="2" t="inlineStr">
        <is>
          <t>NA</t>
        </is>
      </c>
      <c r="H335" s="2" t="inlineStr">
        <is>
          <t>NA</t>
        </is>
      </c>
      <c r="I335" s="2" t="inlineStr">
        <is>
          <t>NA</t>
        </is>
      </c>
      <c r="J335" s="2" t="inlineStr">
        <is>
          <t>NA</t>
        </is>
      </c>
      <c r="K335" s="2" t="n">
        <v>1693.47831</v>
      </c>
      <c r="L335" s="2" t="n">
        <v>3549.8</v>
      </c>
      <c r="M335" s="2" t="n">
        <v>3145</v>
      </c>
      <c r="N335" s="2" t="n">
        <v>404.8</v>
      </c>
      <c r="O335" s="2" t="n">
        <v>65.15245</v>
      </c>
      <c r="P335" s="2" t="n">
        <v>118.5</v>
      </c>
      <c r="Q335" s="2" t="n">
        <v>9.699999999999999</v>
      </c>
      <c r="R335" s="2" t="n">
        <v>108.8</v>
      </c>
      <c r="T335" s="2" t="n">
        <v>15.228</v>
      </c>
      <c r="U335" s="2" t="n">
        <v>25.6</v>
      </c>
      <c r="V335" s="2" t="n">
        <v>21.5</v>
      </c>
      <c r="W335" s="2" t="n">
        <v>4.1</v>
      </c>
      <c r="X335" s="2" t="inlineStr">
        <is>
          <t>NA</t>
        </is>
      </c>
      <c r="Y335" s="2" t="inlineStr">
        <is>
          <t>(D)</t>
        </is>
      </c>
      <c r="Z335" s="2" t="n">
        <v>95.59999999999999</v>
      </c>
      <c r="AA335" s="2" t="inlineStr">
        <is>
          <t>(D)</t>
        </is>
      </c>
      <c r="AB335" s="2" t="inlineStr">
        <is>
          <t>(D)</t>
        </is>
      </c>
      <c r="AC335" s="2" t="inlineStr">
        <is>
          <t>NA</t>
        </is>
      </c>
      <c r="AD335" s="2" t="n">
        <v>57.1</v>
      </c>
      <c r="AE335" s="2" t="n">
        <v>58.6</v>
      </c>
      <c r="AF335" s="2" t="n">
        <v>152.1</v>
      </c>
      <c r="AG335" s="2" t="n">
        <v>117.1</v>
      </c>
      <c r="AH335" s="2" t="n">
        <v>35</v>
      </c>
      <c r="AI335" s="2" t="n">
        <v>212.695</v>
      </c>
      <c r="AJ335" s="2" t="n">
        <v>207.3000000000002</v>
      </c>
      <c r="AK335" s="2" t="n">
        <v>5.600000000000001</v>
      </c>
      <c r="AL335" s="2" t="n">
        <v>156.8</v>
      </c>
      <c r="AM335" s="2" t="n">
        <v>119.6</v>
      </c>
      <c r="AN335" s="2" t="n">
        <v>37.2</v>
      </c>
      <c r="AO335" s="2" t="n">
        <v>3271.01041</v>
      </c>
      <c r="AP335" s="2" t="n">
        <v>279.866</v>
      </c>
      <c r="AQ335" s="2" t="n">
        <v>261.64103</v>
      </c>
      <c r="AR335" s="2" t="n">
        <v>36.893</v>
      </c>
      <c r="AS335" s="2" t="n">
        <v>97.3793</v>
      </c>
      <c r="AT335" s="2" t="n">
        <v>82.038</v>
      </c>
      <c r="AU335" s="2" t="n">
        <v>57.65669999999999</v>
      </c>
      <c r="AV335" s="2" t="n">
        <v>39.466</v>
      </c>
      <c r="AW335" s="2" t="n">
        <v>10.07275999999997</v>
      </c>
      <c r="AY335" s="2" t="inlineStr">
        <is>
          <t>NA</t>
        </is>
      </c>
      <c r="AZ335" s="2" t="inlineStr">
        <is>
          <t>NA</t>
        </is>
      </c>
      <c r="BA335" s="2" t="inlineStr">
        <is>
          <t>NA</t>
        </is>
      </c>
      <c r="BB335" s="2" t="inlineStr">
        <is>
          <t>NA</t>
        </is>
      </c>
      <c r="BD335" s="2" t="n">
        <v>155.2</v>
      </c>
      <c r="BE335" s="2" t="n">
        <v>30.9</v>
      </c>
      <c r="BF335" s="2" t="n">
        <v>72.2</v>
      </c>
      <c r="BG335" s="2" t="n">
        <v>11.4</v>
      </c>
      <c r="BH335" s="2" t="n">
        <v>321.4</v>
      </c>
      <c r="BI335" s="2" t="n">
        <v>143.3</v>
      </c>
      <c r="BJ335" s="2" t="n">
        <v>106.6</v>
      </c>
      <c r="BK335" s="2" t="n">
        <v>249.9</v>
      </c>
      <c r="BM335" s="2" t="n">
        <v>571.3</v>
      </c>
      <c r="BN335" s="2" t="n">
        <v>190.4</v>
      </c>
      <c r="BO335" s="2" t="n">
        <v>65.59999999999999</v>
      </c>
      <c r="BP335" s="2" t="n">
        <v>23.3</v>
      </c>
      <c r="BQ335" s="2" t="n">
        <v>88.90000000000001</v>
      </c>
      <c r="BS335" s="2" t="n">
        <v>279.2</v>
      </c>
      <c r="BT335" s="2" t="n">
        <v>30.2</v>
      </c>
      <c r="BU335" s="2" t="n">
        <v>11.3</v>
      </c>
      <c r="BV335" s="2" t="inlineStr">
        <is>
          <t>NA</t>
        </is>
      </c>
      <c r="BW335" s="2" t="inlineStr">
        <is>
          <t>NA</t>
        </is>
      </c>
      <c r="BX335" s="2" t="n">
        <v>449.6</v>
      </c>
      <c r="BY335" s="2" t="inlineStr">
        <is>
          <t>NA</t>
        </is>
      </c>
      <c r="BZ335" s="2" t="inlineStr">
        <is>
          <t>NA</t>
        </is>
      </c>
      <c r="CA335" s="2" t="n">
        <v>47</v>
      </c>
      <c r="CB335" s="2" t="n">
        <v>111.3</v>
      </c>
      <c r="CC335" s="2" t="n">
        <v>23.6</v>
      </c>
      <c r="CD335" s="2" t="n">
        <v>122.2</v>
      </c>
      <c r="CE335" s="2" t="n">
        <v>33.4</v>
      </c>
      <c r="CF335" s="2" t="n">
        <v>99.2</v>
      </c>
      <c r="CG335" s="2" t="n">
        <v>162.5</v>
      </c>
      <c r="CH335" s="2" t="n">
        <v>8.4</v>
      </c>
      <c r="CI335" s="2" t="n">
        <v>30.9</v>
      </c>
      <c r="CJ335" s="2" t="n">
        <v>5.1</v>
      </c>
      <c r="CK335" s="2" t="n">
        <v>185.1</v>
      </c>
      <c r="CL335" s="2" t="n">
        <v>27.4</v>
      </c>
      <c r="CN335" s="2" t="n">
        <v>54.8</v>
      </c>
      <c r="CO335" s="2" t="n">
        <v>136.7</v>
      </c>
      <c r="CP335" s="2" t="n">
        <v>80.59999999999999</v>
      </c>
      <c r="CQ335" s="2" t="n">
        <v>56.1</v>
      </c>
      <c r="CR335" s="2" t="inlineStr">
        <is>
          <t>NA</t>
        </is>
      </c>
      <c r="CS335" s="2" t="n">
        <v>40.6</v>
      </c>
      <c r="CT335" s="2" t="n">
        <v>19.2</v>
      </c>
      <c r="CU335" s="2" t="n">
        <v>21.4</v>
      </c>
      <c r="CV335" s="2" t="n">
        <v>237.2</v>
      </c>
      <c r="CW335" s="2" t="inlineStr">
        <is>
          <t>(D)</t>
        </is>
      </c>
      <c r="CX335" s="2" t="inlineStr">
        <is>
          <t>(D)</t>
        </is>
      </c>
      <c r="CY335" s="2" t="inlineStr">
        <is>
          <t>(D)</t>
        </is>
      </c>
      <c r="CZ335" s="2" t="n">
        <v>74.40000000000001</v>
      </c>
      <c r="DA335" s="2" t="inlineStr">
        <is>
          <t>(D)</t>
        </is>
      </c>
      <c r="DB335" s="2" t="inlineStr">
        <is>
          <t>(D)</t>
        </is>
      </c>
      <c r="DC335" s="2" t="inlineStr">
        <is>
          <t>(D)</t>
        </is>
      </c>
      <c r="DI335" s="2" t="n">
        <v>616.646</v>
      </c>
      <c r="DJ335" s="2" t="n">
        <v>387.93932</v>
      </c>
      <c r="DK335" s="2" t="n">
        <v>1049.929</v>
      </c>
      <c r="DM335" s="2" t="n">
        <v>533.419</v>
      </c>
      <c r="DO335" s="2" t="n">
        <v>201.745</v>
      </c>
      <c r="DP335" s="2" t="n">
        <v>310.724</v>
      </c>
      <c r="DS335" s="2" t="n">
        <v>1360.234</v>
      </c>
      <c r="DT335" s="2" t="n">
        <v>4466.01967</v>
      </c>
      <c r="DU335" s="2" t="n">
        <v>-5.383350000000064</v>
      </c>
      <c r="DV335" s="2" t="n">
        <v>0</v>
      </c>
      <c r="EA335" s="2" t="n">
        <v>525.1849999999999</v>
      </c>
      <c r="EB335" s="2" t="n">
        <v>414.393</v>
      </c>
      <c r="EC335" s="2" t="n">
        <v>508.491</v>
      </c>
      <c r="EE335" s="2" t="n">
        <v>251.298</v>
      </c>
      <c r="EG335" s="2" t="inlineStr">
        <is>
          <t>(D)</t>
        </is>
      </c>
      <c r="EH335" s="2" t="inlineStr">
        <is>
          <t>(D)</t>
        </is>
      </c>
      <c r="EK335" s="2" t="n">
        <v>1067.681</v>
      </c>
      <c r="EL335" s="2" t="n">
        <v>3104.336</v>
      </c>
      <c r="EQ335" s="2" t="n">
        <v>235.509</v>
      </c>
      <c r="ER335" s="2" t="n">
        <v>144.82376</v>
      </c>
      <c r="ES335" s="2" t="n">
        <v>397.976</v>
      </c>
      <c r="EU335" s="2" t="n">
        <v>211.844</v>
      </c>
      <c r="EW335" s="2" t="n">
        <v>74.78100000000001</v>
      </c>
      <c r="EX335" s="2" t="n">
        <v>113.795</v>
      </c>
      <c r="FA335" s="2" t="n">
        <v>513.764</v>
      </c>
      <c r="FB335" s="2" t="n">
        <v>1693.47831</v>
      </c>
      <c r="FG335" s="2" t="n">
        <v>489.934</v>
      </c>
      <c r="FH335" s="2" t="n">
        <v>305.48144</v>
      </c>
      <c r="FI335" s="2" t="n">
        <v>832.891</v>
      </c>
      <c r="FK335" s="2" t="n">
        <v>424.728</v>
      </c>
      <c r="FM335" s="2" t="n">
        <v>163.487</v>
      </c>
      <c r="FN335" s="2" t="n">
        <v>246.02</v>
      </c>
      <c r="FQ335" s="2" t="n">
        <v>1074.765</v>
      </c>
      <c r="FR335" s="2" t="n">
        <v>3541.73444</v>
      </c>
      <c r="FW335" s="2" t="n">
        <v>350.1</v>
      </c>
      <c r="FX335" s="2" t="n">
        <v>149.105</v>
      </c>
      <c r="FY335" s="2" t="n">
        <v>187.474</v>
      </c>
      <c r="GA335" s="2" t="n">
        <v>106.354</v>
      </c>
      <c r="GC335" s="2" t="inlineStr">
        <is>
          <t>(D)</t>
        </is>
      </c>
      <c r="GD335" s="2" t="inlineStr">
        <is>
          <t>(D)</t>
        </is>
      </c>
      <c r="GG335" s="2" t="n">
        <v>336.699</v>
      </c>
      <c r="GH335" s="2" t="n">
        <v>1439.232</v>
      </c>
      <c r="GM335" s="2" t="n">
        <v>58.709</v>
      </c>
      <c r="GN335" s="2" t="n">
        <v>46.712</v>
      </c>
      <c r="GO335" s="2" t="n">
        <v>59.481</v>
      </c>
      <c r="GQ335" s="2" t="n">
        <v>38.137</v>
      </c>
      <c r="GS335" s="2" t="inlineStr">
        <is>
          <t>(D)</t>
        </is>
      </c>
      <c r="GT335" s="2" t="inlineStr">
        <is>
          <t>(D)</t>
        </is>
      </c>
      <c r="GW335" s="2" t="n">
        <v>91.166</v>
      </c>
      <c r="GX335" s="2" t="n">
        <v>316.759</v>
      </c>
      <c r="GY335" s="2" t="n">
        <v>0.9794406102433709</v>
      </c>
      <c r="GZ335" s="2" t="n">
        <v>1348.2</v>
      </c>
      <c r="HA335" s="2" t="n">
        <v>1376.5</v>
      </c>
      <c r="HB335" s="2" t="n">
        <v>-111.6078262344008</v>
      </c>
      <c r="HC335" s="2" t="n">
        <v>7.55018843499829</v>
      </c>
      <c r="HD335" s="2" t="n">
        <v>1490.892173765599</v>
      </c>
      <c r="HE335" s="2" t="n">
        <v>10.5</v>
      </c>
      <c r="HF335" s="2" t="n">
        <v>1602.5</v>
      </c>
      <c r="HG335" s="2" t="n">
        <v>1304.7</v>
      </c>
      <c r="HH335" s="2" t="n">
        <v>438.5</v>
      </c>
      <c r="HI335" s="2" t="n">
        <v>72.78100000000001</v>
      </c>
      <c r="HJ335" s="2" t="n">
        <v>782.8</v>
      </c>
      <c r="HK335" s="2" t="n">
        <v>9.005000000000001</v>
      </c>
      <c r="HL335" s="2" t="n">
        <v>297.8</v>
      </c>
      <c r="HM335" s="2" t="n">
        <v>255.9</v>
      </c>
      <c r="HN335" s="2" t="n">
        <v>61.9</v>
      </c>
      <c r="HO335" s="2" t="n">
        <v>194</v>
      </c>
      <c r="HQ335" s="2" t="inlineStr">
        <is>
          <t>(S)</t>
        </is>
      </c>
      <c r="HR335" s="2" t="n">
        <v>10.2</v>
      </c>
      <c r="HT335" s="2" t="n">
        <v>27.8</v>
      </c>
      <c r="HW335" s="2" t="n">
        <v>362.4</v>
      </c>
      <c r="HX335" s="2" t="inlineStr">
        <is>
          <t>-</t>
        </is>
      </c>
      <c r="HY335" s="2" t="n">
        <v>362.4</v>
      </c>
      <c r="HZ335" s="2" t="inlineStr">
        <is>
          <t>(D)</t>
        </is>
      </c>
      <c r="IA335" s="2" t="n">
        <v>232.8</v>
      </c>
      <c r="IB335" s="2" t="n">
        <v>70.2</v>
      </c>
      <c r="IC335" s="2" t="n">
        <v>162.6</v>
      </c>
      <c r="ID335" s="2" t="n">
        <v>106.8</v>
      </c>
      <c r="IE335" s="2" t="n">
        <v>55.9</v>
      </c>
      <c r="IH335" s="2" t="n">
        <v>15.9</v>
      </c>
      <c r="II335" s="2" t="n">
        <v>3.611202938475666</v>
      </c>
      <c r="IJ335" s="2" t="n">
        <v>4.312029384756658</v>
      </c>
      <c r="IK335" s="2" t="n">
        <v>7.962167125803488</v>
      </c>
      <c r="IL335" s="2" t="inlineStr">
        <is>
          <t>(D)</t>
        </is>
      </c>
      <c r="IN335" s="2" t="n">
        <v>54</v>
      </c>
      <c r="IO335" s="2" t="n">
        <v>54.1</v>
      </c>
      <c r="IP335" s="2" t="inlineStr">
        <is>
          <t>(D)</t>
        </is>
      </c>
      <c r="IQ335" s="2" t="n">
        <v>53.257</v>
      </c>
      <c r="IR335" s="2" t="n">
        <v>8.699999999999999</v>
      </c>
      <c r="IT335" s="2" t="n">
        <v>43.7</v>
      </c>
      <c r="IU335" s="2" t="n">
        <v>1.385</v>
      </c>
      <c r="IV335" s="2" t="inlineStr">
        <is>
          <t>(D)</t>
        </is>
      </c>
      <c r="IW335" s="2" t="inlineStr">
        <is>
          <t>(D)</t>
        </is>
      </c>
      <c r="IX335" s="2" t="inlineStr">
        <is>
          <t>(D)</t>
        </is>
      </c>
      <c r="IY335" s="2" t="n">
        <v>47.46040144511948</v>
      </c>
      <c r="IZ335" s="2" t="n">
        <v>0.08040144511947744</v>
      </c>
      <c r="JB335" s="2" t="n">
        <v>11.37575583047085</v>
      </c>
      <c r="JC335" s="2" t="n">
        <v>-0.06424416952915024</v>
      </c>
      <c r="JE335" s="2" t="n">
        <v>3549.8</v>
      </c>
      <c r="JF335" s="2" t="n">
        <v>0.8314212068285537</v>
      </c>
    </row>
    <row r="336">
      <c r="A336" s="1" t="n">
        <v>39264</v>
      </c>
      <c r="B336" s="2" t="n">
        <v>4511.41682</v>
      </c>
      <c r="C336" s="2" t="n">
        <v>2971.741</v>
      </c>
      <c r="D336" s="2" t="n">
        <v>203.3351</v>
      </c>
      <c r="E336" s="2" t="n">
        <v>489.082</v>
      </c>
      <c r="F336" s="2" t="n">
        <v>17.027</v>
      </c>
      <c r="G336" s="2" t="inlineStr">
        <is>
          <t>NA</t>
        </is>
      </c>
      <c r="H336" s="2" t="inlineStr">
        <is>
          <t>NA</t>
        </is>
      </c>
      <c r="I336" s="2" t="inlineStr">
        <is>
          <t>NA</t>
        </is>
      </c>
      <c r="J336" s="2" t="inlineStr">
        <is>
          <t>NA</t>
        </is>
      </c>
      <c r="K336" s="2" t="n">
        <v>1710.6887</v>
      </c>
      <c r="L336" s="2" t="n">
        <v>3399.7</v>
      </c>
      <c r="M336" s="2" t="n">
        <v>2988</v>
      </c>
      <c r="N336" s="2" t="n">
        <v>411.6</v>
      </c>
      <c r="O336" s="2" t="n">
        <v>66.718</v>
      </c>
      <c r="P336" s="2" t="n">
        <v>115.9</v>
      </c>
      <c r="Q336" s="2" t="n">
        <v>9.300000000000001</v>
      </c>
      <c r="R336" s="2" t="n">
        <v>106.7</v>
      </c>
      <c r="T336" s="2" t="n">
        <v>14.1</v>
      </c>
      <c r="U336" s="2" t="n">
        <v>22.3</v>
      </c>
      <c r="V336" s="2" t="n">
        <v>17.1</v>
      </c>
      <c r="W336" s="2" t="n">
        <v>5.2</v>
      </c>
      <c r="X336" s="2" t="inlineStr">
        <is>
          <t>NA</t>
        </is>
      </c>
      <c r="Y336" s="2" t="inlineStr">
        <is>
          <t>(D)</t>
        </is>
      </c>
      <c r="Z336" s="2" t="n">
        <v>91.09999999999999</v>
      </c>
      <c r="AA336" s="2" t="inlineStr">
        <is>
          <t>(D)</t>
        </is>
      </c>
      <c r="AB336" s="2" t="inlineStr">
        <is>
          <t>(D)</t>
        </is>
      </c>
      <c r="AC336" s="2" t="inlineStr">
        <is>
          <t>NA</t>
        </is>
      </c>
      <c r="AD336" s="2" t="n">
        <v>73.7</v>
      </c>
      <c r="AE336" s="2" t="n">
        <v>75.40000000000001</v>
      </c>
      <c r="AF336" s="2" t="n">
        <v>168.7</v>
      </c>
      <c r="AG336" s="2" t="n">
        <v>122.2</v>
      </c>
      <c r="AH336" s="2" t="n">
        <v>46.5</v>
      </c>
      <c r="AI336" s="2" t="n">
        <v>219.807</v>
      </c>
      <c r="AJ336" s="2" t="n">
        <v>216.6</v>
      </c>
      <c r="AK336" s="2" t="n">
        <v>3.2</v>
      </c>
      <c r="AL336" s="2" t="n">
        <v>177.9</v>
      </c>
      <c r="AM336" s="2" t="n">
        <v>123.8</v>
      </c>
      <c r="AN336" s="2" t="n">
        <v>54</v>
      </c>
      <c r="AO336" s="2" t="n">
        <v>3300.0714</v>
      </c>
      <c r="AP336" s="2" t="n">
        <v>279.517</v>
      </c>
      <c r="AQ336" s="2" t="n">
        <v>265.87616</v>
      </c>
      <c r="AR336" s="2" t="n">
        <v>32.092</v>
      </c>
      <c r="AS336" s="2" t="n">
        <v>102.3089</v>
      </c>
      <c r="AT336" s="2" t="n">
        <v>84.316</v>
      </c>
      <c r="AU336" s="2" t="n">
        <v>63.6441</v>
      </c>
      <c r="AV336" s="2" t="n">
        <v>48.912</v>
      </c>
      <c r="AW336" s="2" t="n">
        <v>9.630799999999999</v>
      </c>
      <c r="AY336" s="2" t="inlineStr">
        <is>
          <t>NA</t>
        </is>
      </c>
      <c r="AZ336" s="2" t="inlineStr">
        <is>
          <t>NA</t>
        </is>
      </c>
      <c r="BA336" s="2" t="inlineStr">
        <is>
          <t>NA</t>
        </is>
      </c>
      <c r="BB336" s="2" t="inlineStr">
        <is>
          <t>NA</t>
        </is>
      </c>
      <c r="BD336" s="2" t="n">
        <v>153</v>
      </c>
      <c r="BE336" s="2" t="n">
        <v>32.1</v>
      </c>
      <c r="BF336" s="2" t="n">
        <v>76.2</v>
      </c>
      <c r="BG336" s="2" t="n">
        <v>9.9</v>
      </c>
      <c r="BH336" s="2" t="n">
        <v>310</v>
      </c>
      <c r="BI336" s="2" t="n">
        <v>132.7</v>
      </c>
      <c r="BJ336" s="2" t="n">
        <v>101.8</v>
      </c>
      <c r="BK336" s="2" t="n">
        <v>234.4</v>
      </c>
      <c r="BM336" s="2" t="n">
        <v>544.4</v>
      </c>
      <c r="BN336" s="2" t="n">
        <v>201.4</v>
      </c>
      <c r="BO336" s="2" t="n">
        <v>77.59999999999999</v>
      </c>
      <c r="BP336" s="2" t="n">
        <v>20.8</v>
      </c>
      <c r="BQ336" s="2" t="n">
        <v>98.40000000000001</v>
      </c>
      <c r="BS336" s="2" t="n">
        <v>299.8</v>
      </c>
      <c r="BT336" s="2" t="n">
        <v>31.6</v>
      </c>
      <c r="BU336" s="2" t="n">
        <v>12.9</v>
      </c>
      <c r="BV336" s="2" t="inlineStr">
        <is>
          <t>NA</t>
        </is>
      </c>
      <c r="BW336" s="2" t="inlineStr">
        <is>
          <t>NA</t>
        </is>
      </c>
      <c r="BX336" s="2" t="n">
        <v>431</v>
      </c>
      <c r="BY336" s="2" t="inlineStr">
        <is>
          <t>NA</t>
        </is>
      </c>
      <c r="BZ336" s="2" t="inlineStr">
        <is>
          <t>NA</t>
        </is>
      </c>
      <c r="CA336" s="2" t="n">
        <v>57.2</v>
      </c>
      <c r="CB336" s="2" t="n">
        <v>112.1</v>
      </c>
      <c r="CC336" s="2" t="n">
        <v>22.9</v>
      </c>
      <c r="CD336" s="2" t="n">
        <v>122.6</v>
      </c>
      <c r="CE336" s="2" t="n">
        <v>25.4</v>
      </c>
      <c r="CF336" s="2" t="n">
        <v>108.8</v>
      </c>
      <c r="CG336" s="2" t="n">
        <v>164.3</v>
      </c>
      <c r="CH336" s="2" t="n">
        <v>6</v>
      </c>
      <c r="CI336" s="2" t="n">
        <v>53.3</v>
      </c>
      <c r="CJ336" s="2" t="n">
        <v>5.9</v>
      </c>
      <c r="CK336" s="2" t="n">
        <v>185.9</v>
      </c>
      <c r="CL336" s="2" t="n">
        <v>28.1</v>
      </c>
      <c r="CN336" s="2" t="n">
        <v>57.6</v>
      </c>
      <c r="CO336" s="2" t="n">
        <v>157.2</v>
      </c>
      <c r="CP336" s="2" t="n">
        <v>108</v>
      </c>
      <c r="CQ336" s="2" t="n">
        <v>49.3</v>
      </c>
      <c r="CR336" s="2" t="inlineStr">
        <is>
          <t>NA</t>
        </is>
      </c>
      <c r="CS336" s="2" t="n">
        <v>42.7</v>
      </c>
      <c r="CT336" s="2" t="n">
        <v>15.5</v>
      </c>
      <c r="CU336" s="2" t="n">
        <v>27.2</v>
      </c>
      <c r="CV336" s="2" t="n">
        <v>173.3</v>
      </c>
      <c r="CW336" s="2" t="inlineStr">
        <is>
          <t>(D)</t>
        </is>
      </c>
      <c r="CX336" s="2" t="inlineStr">
        <is>
          <t>(D)</t>
        </is>
      </c>
      <c r="CY336" s="2" t="inlineStr">
        <is>
          <t>(D)</t>
        </is>
      </c>
      <c r="CZ336" s="2" t="n">
        <v>107.5</v>
      </c>
      <c r="DA336" s="2" t="inlineStr">
        <is>
          <t>(D)</t>
        </is>
      </c>
      <c r="DB336" s="2" t="inlineStr">
        <is>
          <t>(D)</t>
        </is>
      </c>
      <c r="DC336" s="2" t="inlineStr">
        <is>
          <t>(D)</t>
        </is>
      </c>
      <c r="DI336" s="2" t="n">
        <v>696.296</v>
      </c>
      <c r="DJ336" s="2" t="n">
        <v>395.7441</v>
      </c>
      <c r="DK336" s="2" t="n">
        <v>1028.094</v>
      </c>
      <c r="DM336" s="2" t="n">
        <v>541.7</v>
      </c>
      <c r="DO336" s="2" t="n">
        <v>201.514</v>
      </c>
      <c r="DP336" s="2" t="n">
        <v>278.452</v>
      </c>
      <c r="DS336" s="2" t="n">
        <v>1364.277</v>
      </c>
      <c r="DT336" s="2" t="n">
        <v>4511.41682</v>
      </c>
      <c r="DU336" s="2" t="n">
        <v>-5.339719999999943</v>
      </c>
      <c r="DV336" s="2" t="n">
        <v>0</v>
      </c>
      <c r="EA336" s="2" t="n">
        <v>459.86</v>
      </c>
      <c r="EB336" s="2" t="n">
        <v>410.589</v>
      </c>
      <c r="EC336" s="2" t="n">
        <v>499.53</v>
      </c>
      <c r="EE336" s="2" t="n">
        <v>280.416</v>
      </c>
      <c r="EG336" s="2" t="inlineStr">
        <is>
          <t>(D)</t>
        </is>
      </c>
      <c r="EH336" s="2" t="inlineStr">
        <is>
          <t>(D)</t>
        </is>
      </c>
      <c r="EK336" s="2" t="n">
        <v>1061.978</v>
      </c>
      <c r="EL336" s="2" t="n">
        <v>2971.741</v>
      </c>
      <c r="EQ336" s="2" t="n">
        <v>264.385</v>
      </c>
      <c r="ER336" s="2" t="n">
        <v>146.6629</v>
      </c>
      <c r="ES336" s="2" t="n">
        <v>390.334</v>
      </c>
      <c r="EU336" s="2" t="n">
        <v>212.31</v>
      </c>
      <c r="EW336" s="2" t="n">
        <v>75.473</v>
      </c>
      <c r="EX336" s="2" t="n">
        <v>102.074</v>
      </c>
      <c r="FA336" s="2" t="n">
        <v>518.486</v>
      </c>
      <c r="FB336" s="2" t="n">
        <v>1710.6887</v>
      </c>
      <c r="FG336" s="2" t="n">
        <v>553.803</v>
      </c>
      <c r="FH336" s="2" t="n">
        <v>312.8108</v>
      </c>
      <c r="FI336" s="2" t="n">
        <v>812.574</v>
      </c>
      <c r="FK336" s="2" t="n">
        <v>425.196</v>
      </c>
      <c r="FM336" s="2" t="n">
        <v>162.828</v>
      </c>
      <c r="FN336" s="2" t="n">
        <v>222.384</v>
      </c>
      <c r="FQ336" s="2" t="n">
        <v>1081.468</v>
      </c>
      <c r="FR336" s="2" t="n">
        <v>3575.47156</v>
      </c>
      <c r="FW336" s="2" t="n">
        <v>345.702</v>
      </c>
      <c r="FX336" s="2" t="n">
        <v>131.662</v>
      </c>
      <c r="FY336" s="2" t="n">
        <v>161.057</v>
      </c>
      <c r="GA336" s="2" t="n">
        <v>98.736</v>
      </c>
      <c r="GC336" s="2" t="inlineStr">
        <is>
          <t>(D)</t>
        </is>
      </c>
      <c r="GD336" s="2" t="inlineStr">
        <is>
          <t>(D)</t>
        </is>
      </c>
      <c r="GG336" s="2" t="n">
        <v>316.109</v>
      </c>
      <c r="GH336" s="2" t="n">
        <v>1353.765</v>
      </c>
      <c r="GM336" s="2" t="n">
        <v>70.663</v>
      </c>
      <c r="GN336" s="2" t="n">
        <v>47.795</v>
      </c>
      <c r="GO336" s="2" t="n">
        <v>49.517</v>
      </c>
      <c r="GQ336" s="2" t="n">
        <v>28.177</v>
      </c>
      <c r="GS336" s="2" t="inlineStr">
        <is>
          <t>(D)</t>
        </is>
      </c>
      <c r="GT336" s="2" t="inlineStr">
        <is>
          <t>(D)</t>
        </is>
      </c>
      <c r="GW336" s="2" t="n">
        <v>96.114</v>
      </c>
      <c r="GX336" s="2" t="n">
        <v>311.609</v>
      </c>
      <c r="GY336" s="2" t="n">
        <v>0.9781509204936273</v>
      </c>
      <c r="GZ336" s="2" t="n">
        <v>1450.5</v>
      </c>
      <c r="HA336" s="2" t="n">
        <v>1482.9</v>
      </c>
      <c r="HB336" s="2" t="n">
        <v>-115.4405160016001</v>
      </c>
      <c r="HC336" s="2" t="n">
        <v>206.0865131310011</v>
      </c>
      <c r="HD336" s="2" t="n">
        <v>1661.8594839984</v>
      </c>
      <c r="HE336" s="2" t="n">
        <v>289.3</v>
      </c>
      <c r="HF336" s="2" t="n">
        <v>1777.3</v>
      </c>
      <c r="HG336" s="2" t="n">
        <v>1400.9</v>
      </c>
      <c r="HH336" s="2" t="n">
        <v>457.1</v>
      </c>
      <c r="HI336" s="2" t="n">
        <v>64.40000000000001</v>
      </c>
      <c r="HJ336" s="2" t="n">
        <v>871.2</v>
      </c>
      <c r="HK336" s="2" t="n">
        <v>8.199999999999999</v>
      </c>
      <c r="HL336" s="2" t="n">
        <v>376.4</v>
      </c>
      <c r="HM336" s="2" t="n">
        <v>348.1</v>
      </c>
      <c r="HN336" s="2" t="n">
        <v>63.9</v>
      </c>
      <c r="HO336" s="2" t="n">
        <v>284.3</v>
      </c>
      <c r="HQ336" s="2" t="inlineStr">
        <is>
          <t>(S)</t>
        </is>
      </c>
      <c r="HR336" s="2" t="n">
        <v>12</v>
      </c>
      <c r="HT336" s="2" t="n">
        <v>13</v>
      </c>
      <c r="HW336" s="2" t="n">
        <v>338.9</v>
      </c>
      <c r="HX336" s="2" t="inlineStr">
        <is>
          <t>-</t>
        </is>
      </c>
      <c r="HY336" s="2" t="n">
        <v>338.9</v>
      </c>
      <c r="HZ336" s="2" t="inlineStr">
        <is>
          <t>(D)</t>
        </is>
      </c>
      <c r="IA336" s="2" t="n">
        <v>218.8</v>
      </c>
      <c r="IB336" s="2" t="n">
        <v>63.6</v>
      </c>
      <c r="IC336" s="2" t="n">
        <v>155.2</v>
      </c>
      <c r="ID336" s="2" t="n">
        <v>93</v>
      </c>
      <c r="IE336" s="2" t="n">
        <v>62.2</v>
      </c>
      <c r="IH336" s="2" t="n">
        <v>13.6</v>
      </c>
      <c r="II336" s="2" t="n">
        <v>3.088827670645852</v>
      </c>
      <c r="IJ336" s="2" t="n">
        <v>3.688276706458524</v>
      </c>
      <c r="IK336" s="2" t="n">
        <v>6.810407101316191</v>
      </c>
      <c r="IL336" s="2" t="inlineStr">
        <is>
          <t>(D)</t>
        </is>
      </c>
      <c r="IN336" s="2" t="n">
        <v>52.8</v>
      </c>
      <c r="IO336" s="2" t="n">
        <v>52.8</v>
      </c>
      <c r="IP336" s="2" t="inlineStr">
        <is>
          <t>(D)</t>
        </is>
      </c>
      <c r="IQ336" s="2" t="n">
        <v>72.7</v>
      </c>
      <c r="IR336" s="2" t="n">
        <v>19.7</v>
      </c>
      <c r="IT336" s="2" t="n">
        <v>51.6</v>
      </c>
      <c r="IU336" s="2" t="n">
        <v>1.3</v>
      </c>
      <c r="IV336" s="2" t="inlineStr">
        <is>
          <t>(D)</t>
        </is>
      </c>
      <c r="IW336" s="2" t="inlineStr">
        <is>
          <t>(D)</t>
        </is>
      </c>
      <c r="IX336" s="2" t="inlineStr">
        <is>
          <t>(D)</t>
        </is>
      </c>
      <c r="IY336" s="2" t="n">
        <v>47.42564523222219</v>
      </c>
      <c r="IZ336" s="2" t="n">
        <v>0.07564523222218611</v>
      </c>
      <c r="JB336" s="2" t="n">
        <v>11.37573029662996</v>
      </c>
      <c r="JC336" s="2" t="n">
        <v>-0.04426970337003766</v>
      </c>
      <c r="JE336" s="2" t="n">
        <v>3399.7</v>
      </c>
      <c r="JF336" s="2" t="n">
        <v>0.8340062358443393</v>
      </c>
    </row>
    <row r="337">
      <c r="A337" s="1" t="n">
        <v>39295</v>
      </c>
      <c r="B337" s="2" t="n">
        <v>4386.32703</v>
      </c>
      <c r="C337" s="2" t="n">
        <v>2777.583</v>
      </c>
      <c r="D337" s="2" t="n">
        <v>173.35596</v>
      </c>
      <c r="E337" s="2" t="n">
        <v>361.461</v>
      </c>
      <c r="F337" s="2" t="n">
        <v>20.0626</v>
      </c>
      <c r="G337" s="2" t="inlineStr">
        <is>
          <t>NA</t>
        </is>
      </c>
      <c r="H337" s="2" t="inlineStr">
        <is>
          <t>NA</t>
        </is>
      </c>
      <c r="I337" s="2" t="inlineStr">
        <is>
          <t>NA</t>
        </is>
      </c>
      <c r="J337" s="2" t="inlineStr">
        <is>
          <t>NA</t>
        </is>
      </c>
      <c r="K337" s="2" t="n">
        <v>1662.78527</v>
      </c>
      <c r="L337" s="2" t="n">
        <v>3200.4</v>
      </c>
      <c r="M337" s="2" t="n">
        <v>2817.2</v>
      </c>
      <c r="N337" s="2" t="n">
        <v>383.2</v>
      </c>
      <c r="O337" s="2" t="n">
        <v>58.23464</v>
      </c>
      <c r="P337" s="2" t="n">
        <v>107.7</v>
      </c>
      <c r="Q337" s="2" t="n">
        <v>9</v>
      </c>
      <c r="R337" s="2" t="n">
        <v>98.09999999999999</v>
      </c>
      <c r="T337" s="2" t="n">
        <v>17.7</v>
      </c>
      <c r="U337" s="2" t="n">
        <v>42</v>
      </c>
      <c r="V337" s="2" t="n">
        <v>35.8</v>
      </c>
      <c r="W337" s="2" t="n">
        <v>6.3</v>
      </c>
      <c r="X337" s="2" t="inlineStr">
        <is>
          <t>NA</t>
        </is>
      </c>
      <c r="Y337" s="2" t="inlineStr">
        <is>
          <t>(D)</t>
        </is>
      </c>
      <c r="Z337" s="2" t="n">
        <v>68.40000000000001</v>
      </c>
      <c r="AA337" s="2" t="inlineStr">
        <is>
          <t>(D)</t>
        </is>
      </c>
      <c r="AB337" s="2" t="inlineStr">
        <is>
          <t>(D)</t>
        </is>
      </c>
      <c r="AC337" s="2" t="inlineStr">
        <is>
          <t>NA</t>
        </is>
      </c>
      <c r="AD337" s="2" t="n">
        <v>112.3</v>
      </c>
      <c r="AE337" s="2" t="n">
        <v>114.7</v>
      </c>
      <c r="AF337" s="2" t="n">
        <v>154.6</v>
      </c>
      <c r="AG337" s="2" t="n">
        <v>94.2</v>
      </c>
      <c r="AH337" s="2" t="n">
        <v>60.4</v>
      </c>
      <c r="AI337" s="2" t="n">
        <v>209.454</v>
      </c>
      <c r="AJ337" s="2" t="n">
        <v>207</v>
      </c>
      <c r="AK337" s="2" t="n">
        <v>2.4</v>
      </c>
      <c r="AL337" s="2" t="n">
        <v>171.2</v>
      </c>
      <c r="AM337" s="2" t="n">
        <v>116.8</v>
      </c>
      <c r="AN337" s="2" t="n">
        <v>54.4</v>
      </c>
      <c r="AO337" s="2" t="n">
        <v>3208.98843</v>
      </c>
      <c r="AP337" s="2" t="n">
        <v>198.34</v>
      </c>
      <c r="AQ337" s="2" t="n">
        <v>257.49449</v>
      </c>
      <c r="AR337" s="2" t="n">
        <v>31.721</v>
      </c>
      <c r="AS337" s="2" t="n">
        <v>81.34912</v>
      </c>
      <c r="AT337" s="2" t="n">
        <v>68.395</v>
      </c>
      <c r="AU337" s="2" t="n">
        <v>53.30124</v>
      </c>
      <c r="AV337" s="2" t="n">
        <v>37.236</v>
      </c>
      <c r="AW337" s="2" t="n">
        <v>11.6014</v>
      </c>
      <c r="AY337" s="2" t="inlineStr">
        <is>
          <t>NA</t>
        </is>
      </c>
      <c r="AZ337" s="2" t="inlineStr">
        <is>
          <t>NA</t>
        </is>
      </c>
      <c r="BA337" s="2" t="inlineStr">
        <is>
          <t>NA</t>
        </is>
      </c>
      <c r="BB337" s="2" t="inlineStr">
        <is>
          <t>NA</t>
        </is>
      </c>
      <c r="BD337" s="2" t="n">
        <v>168</v>
      </c>
      <c r="BE337" s="2" t="n">
        <v>33.5</v>
      </c>
      <c r="BF337" s="2" t="n">
        <v>78.2</v>
      </c>
      <c r="BG337" s="2" t="n">
        <v>9.199999999999999</v>
      </c>
      <c r="BH337" s="2" t="n">
        <v>326.7</v>
      </c>
      <c r="BI337" s="2" t="n">
        <v>134.7</v>
      </c>
      <c r="BJ337" s="2" t="n">
        <v>111.1</v>
      </c>
      <c r="BK337" s="2" t="n">
        <v>245.8</v>
      </c>
      <c r="BM337" s="2" t="n">
        <v>572.5</v>
      </c>
      <c r="BN337" s="2" t="n">
        <v>235.5</v>
      </c>
      <c r="BO337" s="2" t="n">
        <v>74.8</v>
      </c>
      <c r="BP337" s="2" t="n">
        <v>23</v>
      </c>
      <c r="BQ337" s="2" t="n">
        <v>97.90000000000001</v>
      </c>
      <c r="BS337" s="2" t="n">
        <v>333.3</v>
      </c>
      <c r="BT337" s="2" t="n">
        <v>44.6</v>
      </c>
      <c r="BU337" s="2" t="n">
        <v>11</v>
      </c>
      <c r="BV337" s="2" t="inlineStr">
        <is>
          <t>NA</t>
        </is>
      </c>
      <c r="BW337" s="2" t="inlineStr">
        <is>
          <t>NA</t>
        </is>
      </c>
      <c r="BX337" s="2" t="n">
        <v>478.6</v>
      </c>
      <c r="BY337" s="2" t="inlineStr">
        <is>
          <t>NA</t>
        </is>
      </c>
      <c r="BZ337" s="2" t="inlineStr">
        <is>
          <t>NA</t>
        </is>
      </c>
      <c r="CA337" s="2" t="n">
        <v>59.1</v>
      </c>
      <c r="CB337" s="2" t="n">
        <v>123.6</v>
      </c>
      <c r="CC337" s="2" t="n">
        <v>24.1</v>
      </c>
      <c r="CD337" s="2" t="n">
        <v>128.1</v>
      </c>
      <c r="CE337" s="2" t="n">
        <v>26.5</v>
      </c>
      <c r="CF337" s="2" t="n">
        <v>122</v>
      </c>
      <c r="CG337" s="2" t="n">
        <v>198.4</v>
      </c>
      <c r="CH337" s="2" t="n">
        <v>3.8</v>
      </c>
      <c r="CI337" s="2" t="n">
        <v>33.8</v>
      </c>
      <c r="CJ337" s="2" t="n">
        <v>5</v>
      </c>
      <c r="CK337" s="2" t="n">
        <v>186.3</v>
      </c>
      <c r="CL337" s="2" t="n">
        <v>25.1</v>
      </c>
      <c r="CN337" s="2" t="n">
        <v>61.9</v>
      </c>
      <c r="CO337" s="2" t="n">
        <v>127.6</v>
      </c>
      <c r="CP337" s="2" t="n">
        <v>96.3</v>
      </c>
      <c r="CQ337" s="2" t="n">
        <v>31.3</v>
      </c>
      <c r="CR337" s="2" t="inlineStr">
        <is>
          <t>NA</t>
        </is>
      </c>
      <c r="CS337" s="2" t="n">
        <v>47.8</v>
      </c>
      <c r="CT337" s="2" t="n">
        <v>19</v>
      </c>
      <c r="CU337" s="2" t="n">
        <v>28.8</v>
      </c>
      <c r="CV337" s="2" t="n">
        <v>156.1</v>
      </c>
      <c r="CW337" s="2" t="inlineStr">
        <is>
          <t>(D)</t>
        </is>
      </c>
      <c r="CX337" s="2" t="inlineStr">
        <is>
          <t>(D)</t>
        </is>
      </c>
      <c r="CY337" s="2" t="inlineStr">
        <is>
          <t>(D)</t>
        </is>
      </c>
      <c r="CZ337" s="2" t="n">
        <v>78.90000000000001</v>
      </c>
      <c r="DA337" s="2" t="n">
        <v>11.1</v>
      </c>
      <c r="DB337" s="2" t="inlineStr">
        <is>
          <t>(D)</t>
        </is>
      </c>
      <c r="DC337" s="2" t="inlineStr">
        <is>
          <t>(D)</t>
        </is>
      </c>
      <c r="DI337" s="2" t="n">
        <v>662.523</v>
      </c>
      <c r="DJ337" s="2" t="n">
        <v>451.62448</v>
      </c>
      <c r="DK337" s="2" t="n">
        <v>969.869</v>
      </c>
      <c r="DM337" s="2" t="n">
        <v>556.942</v>
      </c>
      <c r="DO337" s="2" t="inlineStr">
        <is>
          <t>(D)</t>
        </is>
      </c>
      <c r="DP337" s="2" t="n">
        <v>187.7020000000002</v>
      </c>
      <c r="DS337" s="2" t="n">
        <v>1354.235</v>
      </c>
      <c r="DT337" s="2" t="n">
        <v>4386.32703</v>
      </c>
      <c r="DU337" s="2" t="n">
        <v>-203.4315500000002</v>
      </c>
      <c r="DV337" s="2" t="n">
        <v>0</v>
      </c>
      <c r="EA337" s="2" t="n">
        <v>436.595</v>
      </c>
      <c r="EB337" s="2" t="n">
        <v>250.447</v>
      </c>
      <c r="EC337" s="2" t="n">
        <v>582.8150000000001</v>
      </c>
      <c r="EE337" s="2" t="n">
        <v>231.203</v>
      </c>
      <c r="EG337" s="2" t="n">
        <v>82.58</v>
      </c>
      <c r="EH337" s="2" t="n">
        <v>151.25</v>
      </c>
      <c r="EK337" s="2" t="n">
        <v>1039.43</v>
      </c>
      <c r="EL337" s="2" t="n">
        <v>2777.583</v>
      </c>
      <c r="EQ337" s="2" t="n">
        <v>253.749</v>
      </c>
      <c r="ER337" s="2" t="n">
        <v>168.06872</v>
      </c>
      <c r="ES337" s="2" t="n">
        <v>363.591</v>
      </c>
      <c r="EU337" s="2" t="n">
        <v>219.247</v>
      </c>
      <c r="EW337" s="2" t="inlineStr">
        <is>
          <t>(D)</t>
        </is>
      </c>
      <c r="EX337" s="2" t="n">
        <v>67.81600000000003</v>
      </c>
      <c r="FA337" s="2" t="n">
        <v>516.2089999999999</v>
      </c>
      <c r="FB337" s="2" t="n">
        <v>1662.78527</v>
      </c>
      <c r="FG337" s="2" t="n">
        <v>525.144</v>
      </c>
      <c r="FH337" s="2" t="n">
        <v>356.74692</v>
      </c>
      <c r="FI337" s="2" t="n">
        <v>769.139</v>
      </c>
      <c r="FK337" s="2" t="n">
        <v>439.577</v>
      </c>
      <c r="FM337" s="2" t="inlineStr">
        <is>
          <t>(D)</t>
        </is>
      </c>
      <c r="FN337" s="2" t="n">
        <v>151.4970000000003</v>
      </c>
      <c r="FQ337" s="2" t="n">
        <v>1070.385</v>
      </c>
      <c r="FR337" s="2" t="n">
        <v>3476.09987</v>
      </c>
      <c r="FW337" s="2" t="n">
        <v>325.66</v>
      </c>
      <c r="FX337" s="2" t="n">
        <v>118.967</v>
      </c>
      <c r="FY337" s="2" t="n">
        <v>162.77</v>
      </c>
      <c r="GA337" s="2" t="n">
        <v>61.632</v>
      </c>
      <c r="GC337" s="2" t="inlineStr">
        <is>
          <t>(D)</t>
        </is>
      </c>
      <c r="GD337" s="2" t="inlineStr">
        <is>
          <t>(D)</t>
        </is>
      </c>
      <c r="GG337" s="2" t="n">
        <v>273.631</v>
      </c>
      <c r="GH337" s="2" t="n">
        <v>1243.032</v>
      </c>
      <c r="GM337" s="2" t="n">
        <v>38.543</v>
      </c>
      <c r="GN337" s="2" t="n">
        <v>34.612</v>
      </c>
      <c r="GO337" s="2" t="n">
        <v>41.398</v>
      </c>
      <c r="GQ337" s="2" t="n">
        <v>23.332</v>
      </c>
      <c r="GS337" s="2" t="inlineStr">
        <is>
          <t>(D)</t>
        </is>
      </c>
      <c r="GT337" s="2" t="inlineStr">
        <is>
          <t>(D)</t>
        </is>
      </c>
      <c r="GW337" s="2" t="n">
        <v>82.348</v>
      </c>
      <c r="GX337" s="2" t="n">
        <v>230.061</v>
      </c>
      <c r="GY337" s="2" t="n">
        <v>0.9787776476262662</v>
      </c>
      <c r="GZ337" s="2" t="n">
        <v>1420.5</v>
      </c>
      <c r="HA337" s="2" t="n">
        <v>1451.3</v>
      </c>
      <c r="HB337" s="2" t="n">
        <v>-27.79340170720002</v>
      </c>
      <c r="HC337" s="2" t="n">
        <v>35.31634350120066</v>
      </c>
      <c r="HD337" s="2" t="n">
        <v>1669.4065982928</v>
      </c>
      <c r="HE337" s="2" t="n">
        <v>32.90000000000009</v>
      </c>
      <c r="HF337" s="2" t="n">
        <v>1697.2</v>
      </c>
      <c r="HG337" s="2" t="n">
        <v>1349</v>
      </c>
      <c r="HH337" s="2" t="n">
        <v>446.5</v>
      </c>
      <c r="HI337" s="2" t="n">
        <v>73.03400000000001</v>
      </c>
      <c r="HJ337" s="2" t="n">
        <v>818.3</v>
      </c>
      <c r="HK337" s="2" t="n">
        <v>9.435</v>
      </c>
      <c r="HL337" s="2" t="n">
        <v>348.2</v>
      </c>
      <c r="HM337" s="2" t="n">
        <v>311.5</v>
      </c>
      <c r="HN337" s="2" t="n">
        <v>65.2</v>
      </c>
      <c r="HO337" s="2" t="n">
        <v>246.3</v>
      </c>
      <c r="HQ337" s="2" t="inlineStr">
        <is>
          <t>(S)</t>
        </is>
      </c>
      <c r="HR337" s="2" t="n">
        <v>11.8</v>
      </c>
      <c r="HT337" s="2" t="n">
        <v>22.3</v>
      </c>
      <c r="HW337" s="2" t="n">
        <v>359.5</v>
      </c>
      <c r="HX337" s="2" t="inlineStr">
        <is>
          <t>-</t>
        </is>
      </c>
      <c r="HY337" s="2" t="n">
        <v>359.5</v>
      </c>
      <c r="HZ337" s="2" t="inlineStr">
        <is>
          <t>(D)</t>
        </is>
      </c>
      <c r="IA337" s="2" t="n">
        <v>237.6</v>
      </c>
      <c r="IB337" s="2" t="n">
        <v>69.40000000000001</v>
      </c>
      <c r="IC337" s="2" t="n">
        <v>168.1</v>
      </c>
      <c r="ID337" s="2" t="n">
        <v>95.2</v>
      </c>
      <c r="IE337" s="2" t="n">
        <v>73</v>
      </c>
      <c r="IH337" s="2" t="n">
        <v>22.7</v>
      </c>
      <c r="II337" s="2" t="n">
        <v>5.155616773798592</v>
      </c>
      <c r="IJ337" s="2" t="n">
        <v>6.156167737985919</v>
      </c>
      <c r="IK337" s="2" t="n">
        <v>11.36737067646158</v>
      </c>
      <c r="IL337" s="2" t="inlineStr">
        <is>
          <t>(D)</t>
        </is>
      </c>
      <c r="IN337" s="2" t="n">
        <v>52.2</v>
      </c>
      <c r="IO337" s="2" t="n">
        <v>52.3</v>
      </c>
      <c r="IP337" s="2" t="inlineStr">
        <is>
          <t>(D)</t>
        </is>
      </c>
      <c r="IQ337" s="2" t="n">
        <v>68.09999999999999</v>
      </c>
      <c r="IR337" s="2" t="n">
        <v>12.1</v>
      </c>
      <c r="IT337" s="2" t="n">
        <v>54.6</v>
      </c>
      <c r="IU337" s="2" t="n">
        <v>1.4</v>
      </c>
      <c r="IV337" s="2" t="inlineStr">
        <is>
          <t>(D)</t>
        </is>
      </c>
      <c r="IW337" s="2" t="inlineStr">
        <is>
          <t>(D)</t>
        </is>
      </c>
      <c r="IX337" s="2" t="inlineStr">
        <is>
          <t>(D)</t>
        </is>
      </c>
      <c r="IY337" s="2" t="n">
        <v>47.41757141623797</v>
      </c>
      <c r="IZ337" s="2" t="n">
        <v>0.137571416237968</v>
      </c>
      <c r="JB337" s="2" t="n">
        <v>11.37251229988659</v>
      </c>
      <c r="JC337" s="2" t="n">
        <v>-0.02748770011341328</v>
      </c>
      <c r="JE337" s="2" t="n">
        <v>3200.4</v>
      </c>
      <c r="JF337" s="2" t="n">
        <v>0.8441794775653043</v>
      </c>
    </row>
    <row r="338">
      <c r="A338" s="1" t="n">
        <v>39326</v>
      </c>
      <c r="B338" s="2" t="n">
        <v>4420.104</v>
      </c>
      <c r="C338" s="2" t="n">
        <v>3048.827</v>
      </c>
      <c r="D338" s="2" t="n">
        <v>166.353</v>
      </c>
      <c r="E338" s="2" t="n">
        <v>416.435</v>
      </c>
      <c r="F338" s="2" t="n">
        <v>21.6176</v>
      </c>
      <c r="G338" s="2" t="inlineStr">
        <is>
          <t>NA</t>
        </is>
      </c>
      <c r="H338" s="2" t="inlineStr">
        <is>
          <t>NA</t>
        </is>
      </c>
      <c r="I338" s="2" t="inlineStr">
        <is>
          <t>NA</t>
        </is>
      </c>
      <c r="J338" s="2" t="inlineStr">
        <is>
          <t>NA</t>
        </is>
      </c>
      <c r="K338" s="2" t="n">
        <v>1678</v>
      </c>
      <c r="L338" s="2" t="n">
        <v>3085.2</v>
      </c>
      <c r="M338" s="2" t="n">
        <v>2725.2</v>
      </c>
      <c r="N338" s="2" t="n">
        <v>360.1</v>
      </c>
      <c r="O338" s="2" t="n">
        <v>62.508</v>
      </c>
      <c r="P338" s="2" t="n">
        <v>99.40000000000001</v>
      </c>
      <c r="Q338" s="2" t="n">
        <v>14</v>
      </c>
      <c r="R338" s="2" t="n">
        <v>85.40000000000001</v>
      </c>
      <c r="T338" s="2" t="n">
        <v>19</v>
      </c>
      <c r="U338" s="2" t="n">
        <v>42.4</v>
      </c>
      <c r="V338" s="2" t="n">
        <v>36.7</v>
      </c>
      <c r="W338" s="2" t="n">
        <v>5.7</v>
      </c>
      <c r="X338" s="2" t="inlineStr">
        <is>
          <t>NA</t>
        </is>
      </c>
      <c r="Y338" s="2" t="inlineStr">
        <is>
          <t>(D)</t>
        </is>
      </c>
      <c r="Z338" s="2" t="n">
        <v>59.9</v>
      </c>
      <c r="AA338" s="2" t="inlineStr">
        <is>
          <t>(D)</t>
        </is>
      </c>
      <c r="AB338" s="2" t="inlineStr">
        <is>
          <t>(D)</t>
        </is>
      </c>
      <c r="AC338" s="2" t="inlineStr">
        <is>
          <t>NA</t>
        </is>
      </c>
      <c r="AD338" s="2" t="n">
        <v>78.7</v>
      </c>
      <c r="AE338" s="2" t="n">
        <v>80.90000000000001</v>
      </c>
      <c r="AF338" s="2" t="n">
        <v>149.2</v>
      </c>
      <c r="AG338" s="2" t="n">
        <v>104.5</v>
      </c>
      <c r="AH338" s="2" t="n">
        <v>44.7</v>
      </c>
      <c r="AI338" s="2" t="n">
        <v>209.368</v>
      </c>
      <c r="AJ338" s="2" t="n">
        <v>206</v>
      </c>
      <c r="AK338" s="2" t="n">
        <v>3.3</v>
      </c>
      <c r="AL338" s="2" t="n">
        <v>178.7</v>
      </c>
      <c r="AM338" s="2" t="n">
        <v>122.6</v>
      </c>
      <c r="AN338" s="2" t="n">
        <v>56.1</v>
      </c>
      <c r="AO338" s="2" t="n">
        <v>3228.802</v>
      </c>
      <c r="AP338" s="2" t="n">
        <v>308.205</v>
      </c>
      <c r="AQ338" s="2" t="n">
        <v>261.418</v>
      </c>
      <c r="AR338" s="2" t="n">
        <v>34.764</v>
      </c>
      <c r="AS338" s="2" t="n">
        <v>87.294</v>
      </c>
      <c r="AT338" s="2" t="n">
        <v>62.111</v>
      </c>
      <c r="AU338" s="2" t="n">
        <v>59.288</v>
      </c>
      <c r="AV338" s="2" t="n">
        <v>39.709</v>
      </c>
      <c r="AW338" s="2" t="n">
        <v>11.9</v>
      </c>
      <c r="AX338" s="2" t="n">
        <v>3.2</v>
      </c>
      <c r="AY338" s="2" t="inlineStr">
        <is>
          <t>NA</t>
        </is>
      </c>
      <c r="AZ338" s="2" t="inlineStr">
        <is>
          <t>NA</t>
        </is>
      </c>
      <c r="BA338" s="2" t="inlineStr">
        <is>
          <t>NA</t>
        </is>
      </c>
      <c r="BB338" s="2" t="inlineStr">
        <is>
          <t>NA</t>
        </is>
      </c>
      <c r="BD338" s="2" t="n">
        <v>135.7</v>
      </c>
      <c r="BE338" s="2" t="n">
        <v>27.1</v>
      </c>
      <c r="BF338" s="2" t="n">
        <v>69.3</v>
      </c>
      <c r="BG338" s="2" t="n">
        <v>9.1</v>
      </c>
      <c r="BH338" s="2" t="n">
        <v>279.2</v>
      </c>
      <c r="BI338" s="2" t="n">
        <v>121.7</v>
      </c>
      <c r="BJ338" s="2" t="n">
        <v>98.90000000000001</v>
      </c>
      <c r="BK338" s="2" t="n">
        <v>220.6</v>
      </c>
      <c r="BM338" s="2" t="n">
        <v>499.8</v>
      </c>
      <c r="BN338" s="2" t="n">
        <v>242.4</v>
      </c>
      <c r="BO338" s="2" t="n">
        <v>72.40000000000001</v>
      </c>
      <c r="BP338" s="2" t="n">
        <v>17.6</v>
      </c>
      <c r="BQ338" s="2" t="n">
        <v>90</v>
      </c>
      <c r="BS338" s="2" t="n">
        <v>332.4</v>
      </c>
      <c r="BT338" s="2" t="n">
        <v>40.8</v>
      </c>
      <c r="BU338" s="2" t="n">
        <v>9.4</v>
      </c>
      <c r="BV338" s="2" t="inlineStr">
        <is>
          <t>NA</t>
        </is>
      </c>
      <c r="BW338" s="2" t="inlineStr">
        <is>
          <t>NA</t>
        </is>
      </c>
      <c r="BX338" s="2" t="n">
        <v>412.3</v>
      </c>
      <c r="BY338" s="2" t="inlineStr">
        <is>
          <t>NA</t>
        </is>
      </c>
      <c r="BZ338" s="2" t="inlineStr">
        <is>
          <t>NA</t>
        </is>
      </c>
      <c r="CA338" s="2" t="n">
        <v>67.7</v>
      </c>
      <c r="CB338" s="2" t="n">
        <v>110.1</v>
      </c>
      <c r="CC338" s="2" t="n">
        <v>20.3</v>
      </c>
      <c r="CD338" s="2" t="n">
        <v>115.2</v>
      </c>
      <c r="CE338" s="2" t="n">
        <v>25.1</v>
      </c>
      <c r="CF338" s="2" t="n">
        <v>108.1</v>
      </c>
      <c r="CG338" s="2" t="n">
        <v>186.8</v>
      </c>
      <c r="CH338" s="2" t="n">
        <v>5.3</v>
      </c>
      <c r="CI338" s="2" t="n">
        <v>37.2</v>
      </c>
      <c r="CJ338" s="2" t="n">
        <v>7.6</v>
      </c>
      <c r="CK338" s="2" t="n">
        <v>171.1</v>
      </c>
      <c r="CL338" s="2" t="n">
        <v>26.3</v>
      </c>
      <c r="CN338" s="2" t="n">
        <v>54.8</v>
      </c>
      <c r="CO338" s="2" t="n">
        <v>128.4</v>
      </c>
      <c r="CP338" s="2" t="n">
        <v>99.3</v>
      </c>
      <c r="CQ338" s="2" t="n">
        <v>29.1</v>
      </c>
      <c r="CR338" s="2" t="inlineStr">
        <is>
          <t>NA</t>
        </is>
      </c>
      <c r="CS338" s="2" t="n">
        <v>37.8</v>
      </c>
      <c r="CT338" s="2" t="n">
        <v>17.4</v>
      </c>
      <c r="CU338" s="2" t="n">
        <v>20.4</v>
      </c>
      <c r="CV338" s="2" t="n">
        <v>201.7</v>
      </c>
      <c r="CW338" s="2" t="inlineStr">
        <is>
          <t>(D)</t>
        </is>
      </c>
      <c r="CX338" s="2" t="inlineStr">
        <is>
          <t>(D)</t>
        </is>
      </c>
      <c r="CY338" s="2" t="inlineStr">
        <is>
          <t>(D)</t>
        </is>
      </c>
      <c r="CZ338" s="2" t="n">
        <v>94.3</v>
      </c>
      <c r="DA338" s="2" t="n">
        <v>18.2</v>
      </c>
      <c r="DB338" s="2" t="inlineStr">
        <is>
          <t>(D)</t>
        </is>
      </c>
      <c r="DC338" s="2" t="inlineStr">
        <is>
          <t>(D)</t>
        </is>
      </c>
      <c r="DI338" s="2" t="n">
        <v>678.398</v>
      </c>
      <c r="DJ338" s="2" t="n">
        <v>448.998</v>
      </c>
      <c r="DK338" s="2" t="n">
        <v>1044.731</v>
      </c>
      <c r="DM338" s="2" t="n">
        <v>488.441</v>
      </c>
      <c r="DO338" s="2" t="n">
        <v>160.263</v>
      </c>
      <c r="DP338" s="2" t="n">
        <v>258.662</v>
      </c>
      <c r="DS338" s="2" t="n">
        <v>1335.245</v>
      </c>
      <c r="DT338" s="2" t="n">
        <v>4420.104</v>
      </c>
      <c r="DU338" s="2" t="n">
        <v>-5.366000000000895</v>
      </c>
      <c r="DV338" s="2" t="n">
        <v>0</v>
      </c>
      <c r="EA338" s="2" t="n">
        <v>527.433</v>
      </c>
      <c r="EB338" s="2" t="n">
        <v>433.712</v>
      </c>
      <c r="EC338" s="2" t="n">
        <v>619.765</v>
      </c>
      <c r="EE338" s="2" t="n">
        <v>307.056</v>
      </c>
      <c r="EG338" s="2" t="n">
        <v>56.201</v>
      </c>
      <c r="EH338" s="2" t="n">
        <v>139.56</v>
      </c>
      <c r="EK338" s="2" t="n">
        <v>961.883</v>
      </c>
      <c r="EL338" s="2" t="n">
        <v>3048.827</v>
      </c>
      <c r="EQ338" s="2" t="n">
        <v>260.189</v>
      </c>
      <c r="ER338" s="2" t="n">
        <v>168.336</v>
      </c>
      <c r="ES338" s="2" t="n">
        <v>395.849</v>
      </c>
      <c r="EU338" s="2" t="n">
        <v>190.777</v>
      </c>
      <c r="EW338" s="2" t="n">
        <v>59.066</v>
      </c>
      <c r="EX338" s="2" t="n">
        <v>95.376</v>
      </c>
      <c r="FA338" s="2" t="n">
        <v>507.42</v>
      </c>
      <c r="FB338" s="2" t="n">
        <v>1678</v>
      </c>
      <c r="FG338" s="2" t="n">
        <v>535.771</v>
      </c>
      <c r="FH338" s="2" t="n">
        <v>356.12</v>
      </c>
      <c r="FI338" s="2" t="n">
        <v>823.367</v>
      </c>
      <c r="FK338" s="2" t="n">
        <v>386.979</v>
      </c>
      <c r="FM338" s="2" t="n">
        <v>128.932</v>
      </c>
      <c r="FN338" s="2" t="n">
        <v>207.75</v>
      </c>
      <c r="FQ338" s="2" t="n">
        <v>1055.277</v>
      </c>
      <c r="FR338" s="2" t="n">
        <v>3498.652</v>
      </c>
      <c r="FW338" s="2" t="n">
        <v>300.307</v>
      </c>
      <c r="FX338" s="2" t="n">
        <v>121.882</v>
      </c>
      <c r="FY338" s="2" t="n">
        <v>135.591</v>
      </c>
      <c r="GA338" s="2" t="n">
        <v>73.925</v>
      </c>
      <c r="GC338" s="2" t="inlineStr">
        <is>
          <t>(D)</t>
        </is>
      </c>
      <c r="GD338" s="2" t="inlineStr">
        <is>
          <t>(D)</t>
        </is>
      </c>
      <c r="GG338" s="2" t="n">
        <v>292.495</v>
      </c>
      <c r="GH338" s="2" t="n">
        <v>1211.079</v>
      </c>
      <c r="GM338" s="2" t="n">
        <v>62.494</v>
      </c>
      <c r="GN338" s="2" t="n">
        <v>46.322</v>
      </c>
      <c r="GO338" s="2" t="n">
        <v>72.723</v>
      </c>
      <c r="GQ338" s="2" t="n">
        <v>44.077</v>
      </c>
      <c r="GS338" s="2" t="inlineStr">
        <is>
          <t>(D)</t>
        </is>
      </c>
      <c r="GT338" s="2" t="inlineStr">
        <is>
          <t>(D)</t>
        </is>
      </c>
      <c r="GW338" s="2" t="n">
        <v>94.03100000000001</v>
      </c>
      <c r="GX338" s="2" t="n">
        <v>342.969</v>
      </c>
      <c r="GY338" s="2" t="n">
        <v>0.9801446506550219</v>
      </c>
      <c r="GZ338" s="2" t="n">
        <v>1436.5</v>
      </c>
      <c r="HA338" s="2" t="n">
        <v>1465.6</v>
      </c>
      <c r="HB338" s="2" t="n">
        <v>-63.5600778926007</v>
      </c>
      <c r="HC338" s="2" t="n">
        <v>-28.80121536000206</v>
      </c>
      <c r="HD338" s="2" t="n">
        <v>1607.739922107399</v>
      </c>
      <c r="HE338" s="2" t="n">
        <v>57.5</v>
      </c>
      <c r="HF338" s="2" t="n">
        <v>1671.3</v>
      </c>
      <c r="HG338" s="2" t="n">
        <v>1339.4</v>
      </c>
      <c r="HH338" s="2" t="n">
        <v>445.1</v>
      </c>
      <c r="HI338" s="2" t="n">
        <v>75.2</v>
      </c>
      <c r="HJ338" s="2" t="n">
        <v>815.3</v>
      </c>
      <c r="HK338" s="2" t="n">
        <v>3.8</v>
      </c>
      <c r="HL338" s="2" t="n">
        <v>332</v>
      </c>
      <c r="HM338" s="2" t="n">
        <v>286.6</v>
      </c>
      <c r="HN338" s="2" t="n">
        <v>72.90000000000001</v>
      </c>
      <c r="HO338" s="2" t="n">
        <v>213.7</v>
      </c>
      <c r="HQ338" s="2" t="inlineStr">
        <is>
          <t>(S)</t>
        </is>
      </c>
      <c r="HR338" s="2" t="inlineStr">
        <is>
          <t>(S)</t>
        </is>
      </c>
      <c r="HT338" s="2" t="n">
        <v>30.4</v>
      </c>
      <c r="HW338" s="2" t="n">
        <v>322.2</v>
      </c>
      <c r="HX338" s="2" t="inlineStr">
        <is>
          <t>-</t>
        </is>
      </c>
      <c r="HY338" s="2" t="n">
        <v>322.2</v>
      </c>
      <c r="HZ338" s="2" t="n">
        <v>62.8</v>
      </c>
      <c r="IA338" s="2" t="n">
        <v>208.5</v>
      </c>
      <c r="IB338" s="2" t="n">
        <v>61.6</v>
      </c>
      <c r="IC338" s="2" t="n">
        <v>146.8</v>
      </c>
      <c r="ID338" s="2" t="n">
        <v>80.90000000000001</v>
      </c>
      <c r="IE338" s="2" t="n">
        <v>65.90000000000001</v>
      </c>
      <c r="IH338" s="2" t="n">
        <v>19.3</v>
      </c>
      <c r="II338" s="2" t="n">
        <v>3.9</v>
      </c>
      <c r="IJ338" s="2" t="n">
        <v>4.5</v>
      </c>
      <c r="IK338" s="2" t="n">
        <v>10.9</v>
      </c>
      <c r="IL338" s="2" t="n">
        <v>31.6</v>
      </c>
      <c r="IN338" s="2" t="n">
        <v>50.6</v>
      </c>
      <c r="IO338" s="2" t="n">
        <v>50.6</v>
      </c>
      <c r="IP338" s="2" t="inlineStr">
        <is>
          <t>(D)</t>
        </is>
      </c>
      <c r="IQ338" s="2" t="n">
        <v>65.56999999999999</v>
      </c>
      <c r="IR338" s="2" t="n">
        <v>14.3</v>
      </c>
      <c r="IT338" s="2" t="n">
        <v>51</v>
      </c>
      <c r="IU338" s="2" t="n">
        <v>1.426</v>
      </c>
      <c r="IV338" s="2" t="inlineStr">
        <is>
          <t>(D)</t>
        </is>
      </c>
      <c r="IW338" s="2" t="inlineStr">
        <is>
          <t>(D)</t>
        </is>
      </c>
      <c r="IX338" s="2" t="inlineStr">
        <is>
          <t>(D)</t>
        </is>
      </c>
      <c r="IY338" s="2" t="n">
        <v>47.37743727296914</v>
      </c>
      <c r="IZ338" s="2" t="n">
        <v>0.01743727296913988</v>
      </c>
      <c r="JB338" s="2" t="n">
        <v>11.38887229802738</v>
      </c>
      <c r="JC338" s="2" t="n">
        <v>-0.07112770197262464</v>
      </c>
      <c r="JE338" s="2" t="n">
        <v>3085.2</v>
      </c>
      <c r="JF338" s="2" t="n">
        <v>0.8302087384934527</v>
      </c>
    </row>
    <row r="339">
      <c r="A339" s="1" t="n">
        <v>39356</v>
      </c>
      <c r="B339" s="2" t="n">
        <v>4912.37913</v>
      </c>
      <c r="C339" s="2" t="n">
        <v>4714.518</v>
      </c>
      <c r="D339" s="2" t="n">
        <v>242.45532</v>
      </c>
      <c r="E339" s="2" t="n">
        <v>979.402</v>
      </c>
      <c r="F339" s="2" t="n">
        <v>20.45965</v>
      </c>
      <c r="G339" s="2" t="inlineStr">
        <is>
          <t>NA</t>
        </is>
      </c>
      <c r="H339" s="2" t="inlineStr">
        <is>
          <t>NA</t>
        </is>
      </c>
      <c r="I339" s="2" t="inlineStr">
        <is>
          <t>NA</t>
        </is>
      </c>
      <c r="J339" s="2" t="inlineStr">
        <is>
          <t>NA</t>
        </is>
      </c>
      <c r="K339" s="2" t="n">
        <v>1868.60808</v>
      </c>
      <c r="L339" s="2" t="n">
        <v>3224.9</v>
      </c>
      <c r="M339" s="2" t="n">
        <v>2877.6</v>
      </c>
      <c r="N339" s="2" t="n">
        <v>347.3</v>
      </c>
      <c r="O339" s="2" t="n">
        <v>77.50583999999999</v>
      </c>
      <c r="P339" s="2" t="n">
        <v>90.09999999999999</v>
      </c>
      <c r="Q339" s="2" t="n">
        <v>8.199999999999999</v>
      </c>
      <c r="R339" s="2" t="n">
        <v>81.90000000000001</v>
      </c>
      <c r="T339" s="2" t="n">
        <v>17.3</v>
      </c>
      <c r="U339" s="2" t="n">
        <v>22.6</v>
      </c>
      <c r="V339" s="2" t="n">
        <v>20.4</v>
      </c>
      <c r="W339" s="2" t="n">
        <v>2.2</v>
      </c>
      <c r="X339" s="2" t="inlineStr">
        <is>
          <t>NA</t>
        </is>
      </c>
      <c r="Y339" s="2" t="inlineStr">
        <is>
          <t>(D)</t>
        </is>
      </c>
      <c r="Z339" s="2" t="n">
        <v>81.5</v>
      </c>
      <c r="AA339" s="2" t="inlineStr">
        <is>
          <t>(D)</t>
        </is>
      </c>
      <c r="AB339" s="2" t="inlineStr">
        <is>
          <t>(D)</t>
        </is>
      </c>
      <c r="AC339" s="2" t="inlineStr">
        <is>
          <t>NA</t>
        </is>
      </c>
      <c r="AD339" s="2" t="n">
        <v>102.8</v>
      </c>
      <c r="AE339" s="2" t="n">
        <v>110.7</v>
      </c>
      <c r="AF339" s="2" t="n">
        <v>125</v>
      </c>
      <c r="AG339" s="2" t="n">
        <v>84.3</v>
      </c>
      <c r="AH339" s="2" t="n">
        <v>40.7</v>
      </c>
      <c r="AI339" s="2" t="n">
        <v>213.45305</v>
      </c>
      <c r="AJ339" s="2" t="n">
        <v>209.7</v>
      </c>
      <c r="AK339" s="2" t="n">
        <v>3.4</v>
      </c>
      <c r="AL339" s="2" t="n">
        <v>170.2</v>
      </c>
      <c r="AM339" s="2" t="n">
        <v>119.6</v>
      </c>
      <c r="AN339" s="2" t="n">
        <v>50.6</v>
      </c>
      <c r="AO339" s="2" t="n">
        <v>3587.55509</v>
      </c>
      <c r="AP339" s="2" t="n">
        <v>274.757</v>
      </c>
      <c r="AQ339" s="2" t="n">
        <v>281.92317</v>
      </c>
      <c r="AR339" s="2" t="n">
        <v>30.39</v>
      </c>
      <c r="AS339" s="2" t="n">
        <v>112.53612</v>
      </c>
      <c r="AT339" s="2" t="n">
        <v>55.506</v>
      </c>
      <c r="AU339" s="2" t="n">
        <v>73.35491999999999</v>
      </c>
      <c r="AV339" s="2" t="n">
        <v>39.845</v>
      </c>
      <c r="AW339" s="2" t="n">
        <v>11.3247</v>
      </c>
      <c r="AX339" s="2" t="n">
        <v>3.164</v>
      </c>
      <c r="AY339" s="2" t="inlineStr">
        <is>
          <t>NA</t>
        </is>
      </c>
      <c r="AZ339" s="2" t="inlineStr">
        <is>
          <t>NA</t>
        </is>
      </c>
      <c r="BA339" s="2" t="inlineStr">
        <is>
          <t>NA</t>
        </is>
      </c>
      <c r="BB339" s="2" t="inlineStr">
        <is>
          <t>NA</t>
        </is>
      </c>
      <c r="BD339" s="2" t="n">
        <v>163.7</v>
      </c>
      <c r="BE339" s="2" t="n">
        <v>32.6</v>
      </c>
      <c r="BF339" s="2" t="n">
        <v>79.2</v>
      </c>
      <c r="BG339" s="2" t="n">
        <v>9</v>
      </c>
      <c r="BH339" s="2" t="n">
        <v>330.9</v>
      </c>
      <c r="BI339" s="2" t="n">
        <v>136.9</v>
      </c>
      <c r="BJ339" s="2" t="n">
        <v>113.9</v>
      </c>
      <c r="BK339" s="2" t="n">
        <v>250.8</v>
      </c>
      <c r="BM339" s="2" t="n">
        <v>581.7</v>
      </c>
      <c r="BN339" s="2" t="n">
        <v>244.7</v>
      </c>
      <c r="BO339" s="2" t="n">
        <v>70.2</v>
      </c>
      <c r="BP339" s="2" t="n">
        <v>22.9</v>
      </c>
      <c r="BQ339" s="2" t="n">
        <v>93.09999999999999</v>
      </c>
      <c r="BS339" s="2" t="n">
        <v>337.8</v>
      </c>
      <c r="BT339" s="2" t="n">
        <v>50.6</v>
      </c>
      <c r="BU339" s="2" t="n">
        <v>14.6</v>
      </c>
      <c r="BV339" s="2" t="inlineStr">
        <is>
          <t>NA</t>
        </is>
      </c>
      <c r="BW339" s="2" t="inlineStr">
        <is>
          <t>NA</t>
        </is>
      </c>
      <c r="BX339" s="2" t="n">
        <v>460.9</v>
      </c>
      <c r="BY339" s="2" t="inlineStr">
        <is>
          <t>NA</t>
        </is>
      </c>
      <c r="BZ339" s="2" t="inlineStr">
        <is>
          <t>NA</t>
        </is>
      </c>
      <c r="CA339" s="2" t="n">
        <v>68.90000000000001</v>
      </c>
      <c r="CB339" s="2" t="n">
        <v>125.2</v>
      </c>
      <c r="CC339" s="2" t="n">
        <v>20</v>
      </c>
      <c r="CD339" s="2" t="n">
        <v>130.3</v>
      </c>
      <c r="CE339" s="2" t="n">
        <v>23.8</v>
      </c>
      <c r="CF339" s="2" t="n">
        <v>100.3</v>
      </c>
      <c r="CG339" s="2" t="n">
        <v>186.3</v>
      </c>
      <c r="CH339" s="2" t="n">
        <v>6.1</v>
      </c>
      <c r="CI339" s="2" t="n">
        <v>42</v>
      </c>
      <c r="CJ339" s="2" t="n">
        <v>7.4</v>
      </c>
      <c r="CK339" s="2" t="n">
        <v>192.3</v>
      </c>
      <c r="CL339" s="2" t="n">
        <v>29.9</v>
      </c>
      <c r="CN339" s="2" t="n">
        <v>39.7</v>
      </c>
      <c r="CO339" s="2" t="n">
        <v>142.8</v>
      </c>
      <c r="CP339" s="2" t="n">
        <v>108.6</v>
      </c>
      <c r="CQ339" s="2" t="n">
        <v>34.1</v>
      </c>
      <c r="CR339" s="2" t="inlineStr">
        <is>
          <t>NA</t>
        </is>
      </c>
      <c r="CS339" s="2" t="n">
        <v>48.6</v>
      </c>
      <c r="CT339" s="2" t="n">
        <v>28.7</v>
      </c>
      <c r="CU339" s="2" t="n">
        <v>19.9</v>
      </c>
      <c r="CV339" s="2" t="n">
        <v>152.7</v>
      </c>
      <c r="CW339" s="2" t="inlineStr">
        <is>
          <t>(D)</t>
        </is>
      </c>
      <c r="CX339" s="2" t="inlineStr">
        <is>
          <t>(D)</t>
        </is>
      </c>
      <c r="CY339" s="2" t="inlineStr">
        <is>
          <t>(D)</t>
        </is>
      </c>
      <c r="CZ339" s="2" t="n">
        <v>66.40000000000001</v>
      </c>
      <c r="DA339" s="2" t="n">
        <v>16.9</v>
      </c>
      <c r="DB339" s="2" t="inlineStr">
        <is>
          <t>(D)</t>
        </is>
      </c>
      <c r="DC339" s="2" t="inlineStr">
        <is>
          <t>(D)</t>
        </is>
      </c>
      <c r="DI339" s="2" t="n">
        <v>751.447</v>
      </c>
      <c r="DJ339" s="2" t="n">
        <v>502.69655</v>
      </c>
      <c r="DK339" s="2" t="n">
        <v>1104.329</v>
      </c>
      <c r="DM339" s="2" t="n">
        <v>564.0309999999999</v>
      </c>
      <c r="DO339" s="2" t="n">
        <v>201.282</v>
      </c>
      <c r="DP339" s="2" t="n">
        <v>341.182</v>
      </c>
      <c r="DS339" s="2" t="n">
        <v>1442.406</v>
      </c>
      <c r="DT339" s="2" t="n">
        <v>4912.37913</v>
      </c>
      <c r="DU339" s="2" t="n">
        <v>-5.005580000000009</v>
      </c>
      <c r="DV339" s="2" t="n">
        <v>0</v>
      </c>
      <c r="EA339" s="2" t="n">
        <v>816.1660000000001</v>
      </c>
      <c r="EB339" s="2" t="n">
        <v>796.002</v>
      </c>
      <c r="EC339" s="2" t="n">
        <v>797.626</v>
      </c>
      <c r="EE339" s="2" t="n">
        <v>220.063</v>
      </c>
      <c r="EG339" s="2" t="inlineStr">
        <is>
          <t>(D)</t>
        </is>
      </c>
      <c r="EH339" s="2" t="inlineStr">
        <is>
          <t>(D)</t>
        </is>
      </c>
      <c r="EK339" s="2" t="n">
        <v>1437.565</v>
      </c>
      <c r="EL339" s="2" t="n">
        <v>4714.518</v>
      </c>
      <c r="EQ339" s="2" t="n">
        <v>286.971</v>
      </c>
      <c r="ER339" s="2" t="n">
        <v>190.3591</v>
      </c>
      <c r="ES339" s="2" t="n">
        <v>419.594</v>
      </c>
      <c r="EU339" s="2" t="n">
        <v>221.89</v>
      </c>
      <c r="EW339" s="2" t="n">
        <v>75.45099999999999</v>
      </c>
      <c r="EX339" s="2" t="n">
        <v>126.806</v>
      </c>
      <c r="FA339" s="2" t="n">
        <v>546.718</v>
      </c>
      <c r="FB339" s="2" t="n">
        <v>1868.60808</v>
      </c>
      <c r="FG339" s="2" t="n">
        <v>597.779</v>
      </c>
      <c r="FH339" s="2" t="n">
        <v>394.73585</v>
      </c>
      <c r="FI339" s="2" t="n">
        <v>863.866</v>
      </c>
      <c r="FK339" s="2" t="n">
        <v>441.455</v>
      </c>
      <c r="FM339" s="2" t="n">
        <v>159.027</v>
      </c>
      <c r="FN339" s="2" t="n">
        <v>274.82</v>
      </c>
      <c r="FQ339" s="2" t="n">
        <v>1176.275</v>
      </c>
      <c r="FR339" s="2" t="n">
        <v>3879.48218</v>
      </c>
      <c r="FW339" s="2" t="n">
        <v>295.116</v>
      </c>
      <c r="FX339" s="2" t="n">
        <v>144.878</v>
      </c>
      <c r="FY339" s="2" t="n">
        <v>138.236</v>
      </c>
      <c r="GA339" s="2" t="n">
        <v>86.19499999999999</v>
      </c>
      <c r="GC339" s="2" t="inlineStr">
        <is>
          <t>(D)</t>
        </is>
      </c>
      <c r="GD339" s="2" t="inlineStr">
        <is>
          <t>(D)</t>
        </is>
      </c>
      <c r="GG339" s="2" t="n">
        <v>300.157</v>
      </c>
      <c r="GH339" s="2" t="n">
        <v>1257.33</v>
      </c>
      <c r="GM339" s="2" t="n">
        <v>64.574</v>
      </c>
      <c r="GN339" s="2" t="n">
        <v>60.668</v>
      </c>
      <c r="GO339" s="2" t="n">
        <v>55.181</v>
      </c>
      <c r="GQ339" s="2" t="n">
        <v>20.483</v>
      </c>
      <c r="GS339" s="2" t="inlineStr">
        <is>
          <t>(D)</t>
        </is>
      </c>
      <c r="GT339" s="2" t="inlineStr">
        <is>
          <t>(D)</t>
        </is>
      </c>
      <c r="GW339" s="2" t="n">
        <v>89.611</v>
      </c>
      <c r="GX339" s="2" t="n">
        <v>305.147</v>
      </c>
      <c r="GY339" s="2" t="n">
        <v>0.981638512385658</v>
      </c>
      <c r="GZ339" s="2" t="n">
        <v>1470.2</v>
      </c>
      <c r="HA339" s="2" t="n">
        <v>1497.7</v>
      </c>
      <c r="HB339" s="2" t="n">
        <v>-119.3854957522005</v>
      </c>
      <c r="HC339" s="2" t="n">
        <v>-54.23546621860032</v>
      </c>
      <c r="HD339" s="2" t="n">
        <v>1602.8145042478</v>
      </c>
      <c r="HE339" s="2" t="n">
        <v>75.20000000000005</v>
      </c>
      <c r="HF339" s="2" t="n">
        <v>1722.2</v>
      </c>
      <c r="HG339" s="2" t="n">
        <v>1437.6</v>
      </c>
      <c r="HH339" s="2" t="n">
        <v>469.4</v>
      </c>
      <c r="HI339" s="2" t="n">
        <v>82.90600000000001</v>
      </c>
      <c r="HJ339" s="2" t="n">
        <v>875.2</v>
      </c>
      <c r="HK339" s="2" t="n">
        <v>9.221</v>
      </c>
      <c r="HL339" s="2" t="n">
        <v>284.6</v>
      </c>
      <c r="HM339" s="2" t="n">
        <v>246.8</v>
      </c>
      <c r="HN339" s="2" t="n">
        <v>64.7</v>
      </c>
      <c r="HO339" s="2" t="n">
        <v>182.1</v>
      </c>
      <c r="HQ339" s="2" t="n">
        <v>2.800000000000011</v>
      </c>
      <c r="HR339" s="2" t="n">
        <v>14</v>
      </c>
      <c r="HT339" s="2" t="n">
        <v>21</v>
      </c>
      <c r="HW339" s="2" t="n">
        <v>372.1</v>
      </c>
      <c r="HX339" s="2" t="inlineStr">
        <is>
          <t>-</t>
        </is>
      </c>
      <c r="HY339" s="2" t="n">
        <v>372.1</v>
      </c>
      <c r="HZ339" s="2" t="n">
        <v>78.5</v>
      </c>
      <c r="IA339" s="2" t="n">
        <v>226.6</v>
      </c>
      <c r="IB339" s="2" t="n">
        <v>55.2</v>
      </c>
      <c r="IC339" s="2" t="n">
        <v>171.4</v>
      </c>
      <c r="ID339" s="2" t="n">
        <v>94.3</v>
      </c>
      <c r="IE339" s="2" t="n">
        <v>77.09999999999999</v>
      </c>
      <c r="IH339" s="2" t="n">
        <v>20.4</v>
      </c>
      <c r="II339" s="2" t="n">
        <v>4.2</v>
      </c>
      <c r="IJ339" s="2" t="n">
        <v>8.699999999999999</v>
      </c>
      <c r="IK339" s="2" t="n">
        <v>7.5</v>
      </c>
      <c r="IL339" s="2" t="n">
        <v>46.6</v>
      </c>
      <c r="IN339" s="2" t="n">
        <v>59.3</v>
      </c>
      <c r="IO339" s="2" t="n">
        <v>59.6</v>
      </c>
      <c r="IP339" s="2" t="inlineStr">
        <is>
          <t>(D)</t>
        </is>
      </c>
      <c r="IQ339" s="2" t="n">
        <v>67.5</v>
      </c>
      <c r="IR339" s="2" t="n">
        <v>14.8</v>
      </c>
      <c r="IT339" s="2" t="n">
        <v>51.1</v>
      </c>
      <c r="IU339" s="2" t="n">
        <v>1.5</v>
      </c>
      <c r="IV339" s="2" t="inlineStr">
        <is>
          <t>(D)</t>
        </is>
      </c>
      <c r="IW339" s="2" t="inlineStr">
        <is>
          <t>(D)</t>
        </is>
      </c>
      <c r="IX339" s="2" t="inlineStr">
        <is>
          <t>(D)</t>
        </is>
      </c>
      <c r="IY339" s="2" t="n">
        <v>47.26196603640403</v>
      </c>
      <c r="IZ339" s="2" t="n">
        <v>0.2519660364040348</v>
      </c>
      <c r="JB339" s="2" t="n">
        <v>11.41162783174677</v>
      </c>
      <c r="JC339" s="2" t="n">
        <v>-0.05837216825322677</v>
      </c>
      <c r="JE339" s="2" t="n">
        <v>3224.9</v>
      </c>
      <c r="JF339" s="2" t="n">
        <v>0.8309708828180717</v>
      </c>
    </row>
    <row r="340">
      <c r="A340" s="1" t="n">
        <v>39387</v>
      </c>
      <c r="B340" s="2" t="n">
        <v>4688.4612</v>
      </c>
      <c r="C340" s="2" t="n">
        <v>4184.807</v>
      </c>
      <c r="D340" s="2" t="n">
        <v>241.2059</v>
      </c>
      <c r="E340" s="2" t="n">
        <v>1500.117</v>
      </c>
      <c r="F340" s="2" t="n">
        <v>14.3143</v>
      </c>
      <c r="G340" s="2" t="inlineStr">
        <is>
          <t>NA</t>
        </is>
      </c>
      <c r="H340" s="2" t="inlineStr">
        <is>
          <t>NA</t>
        </is>
      </c>
      <c r="I340" s="2" t="inlineStr">
        <is>
          <t>NA</t>
        </is>
      </c>
      <c r="J340" s="2" t="inlineStr">
        <is>
          <t>NA</t>
        </is>
      </c>
      <c r="K340" s="2" t="n">
        <v>1805.4337</v>
      </c>
      <c r="L340" s="2" t="n">
        <v>3235.2</v>
      </c>
      <c r="M340" s="2" t="n">
        <v>2917.8</v>
      </c>
      <c r="N340" s="2" t="n">
        <v>317.4</v>
      </c>
      <c r="O340" s="2" t="n">
        <v>73.78689999999999</v>
      </c>
      <c r="P340" s="2" t="n">
        <v>89.8</v>
      </c>
      <c r="Q340" s="2" t="n">
        <v>8.9</v>
      </c>
      <c r="R340" s="2" t="n">
        <v>80.8</v>
      </c>
      <c r="T340" s="2" t="n">
        <v>12</v>
      </c>
      <c r="U340" s="2" t="n">
        <v>15.2</v>
      </c>
      <c r="V340" s="2" t="n">
        <v>13.6</v>
      </c>
      <c r="W340" s="2" t="n">
        <v>1.6</v>
      </c>
      <c r="X340" s="2" t="inlineStr">
        <is>
          <t>NA</t>
        </is>
      </c>
      <c r="Y340" s="2" t="inlineStr">
        <is>
          <t>(D)</t>
        </is>
      </c>
      <c r="Z340" s="2" t="n">
        <v>67.5</v>
      </c>
      <c r="AA340" s="2" t="inlineStr">
        <is>
          <t>(D)</t>
        </is>
      </c>
      <c r="AB340" s="2" t="inlineStr">
        <is>
          <t>(D)</t>
        </is>
      </c>
      <c r="AC340" s="2" t="inlineStr">
        <is>
          <t>NA</t>
        </is>
      </c>
      <c r="AD340" s="2" t="n">
        <v>109</v>
      </c>
      <c r="AE340" s="2" t="n">
        <v>112.3</v>
      </c>
      <c r="AF340" s="2" t="n">
        <v>205.7</v>
      </c>
      <c r="AG340" s="2" t="n">
        <v>156.3</v>
      </c>
      <c r="AH340" s="2" t="n">
        <v>49.4</v>
      </c>
      <c r="AI340" s="2" t="n">
        <v>213.013</v>
      </c>
      <c r="AJ340" s="2" t="n">
        <v>210.5</v>
      </c>
      <c r="AK340" s="2" t="n">
        <v>2.5</v>
      </c>
      <c r="AL340" s="2" t="n">
        <v>181</v>
      </c>
      <c r="AM340" s="2" t="n">
        <v>138.6</v>
      </c>
      <c r="AN340" s="2" t="n">
        <v>42.4</v>
      </c>
      <c r="AO340" s="2" t="n">
        <v>3434.1827</v>
      </c>
      <c r="AP340" s="2" t="n">
        <v>266.814</v>
      </c>
      <c r="AQ340" s="2" t="n">
        <v>275.2598</v>
      </c>
      <c r="AR340" s="2" t="n">
        <v>28.654</v>
      </c>
      <c r="AS340" s="2" t="n">
        <v>111.0379</v>
      </c>
      <c r="AT340" s="2" t="n">
        <v>37.717</v>
      </c>
      <c r="AU340" s="2" t="n">
        <v>70.16200000000001</v>
      </c>
      <c r="AV340" s="2" t="n">
        <v>38.31</v>
      </c>
      <c r="AW340" s="2" t="n">
        <v>7.692</v>
      </c>
      <c r="AX340" s="2" t="n">
        <v>1.2</v>
      </c>
      <c r="AY340" s="2" t="inlineStr">
        <is>
          <t>NA</t>
        </is>
      </c>
      <c r="AZ340" s="2" t="inlineStr">
        <is>
          <t>NA</t>
        </is>
      </c>
      <c r="BA340" s="2" t="inlineStr">
        <is>
          <t>NA</t>
        </is>
      </c>
      <c r="BB340" s="2" t="inlineStr">
        <is>
          <t>NA</t>
        </is>
      </c>
      <c r="BD340" s="2" t="n">
        <v>149.3</v>
      </c>
      <c r="BE340" s="2" t="n">
        <v>36</v>
      </c>
      <c r="BF340" s="2" t="n">
        <v>75.2</v>
      </c>
      <c r="BG340" s="2" t="n">
        <v>8.300000000000001</v>
      </c>
      <c r="BH340" s="2" t="n">
        <v>314.3</v>
      </c>
      <c r="BI340" s="2" t="n">
        <v>125.7</v>
      </c>
      <c r="BJ340" s="2" t="n">
        <v>108</v>
      </c>
      <c r="BK340" s="2" t="n">
        <v>233.7</v>
      </c>
      <c r="BM340" s="2" t="n">
        <v>547.9</v>
      </c>
      <c r="BN340" s="2" t="n">
        <v>272</v>
      </c>
      <c r="BO340" s="2" t="n">
        <v>70</v>
      </c>
      <c r="BP340" s="2" t="n">
        <v>26.3</v>
      </c>
      <c r="BQ340" s="2" t="n">
        <v>96.3</v>
      </c>
      <c r="BS340" s="2" t="n">
        <v>368.3</v>
      </c>
      <c r="BT340" s="2" t="n">
        <v>51.8</v>
      </c>
      <c r="BU340" s="2" t="n">
        <v>18.8</v>
      </c>
      <c r="BV340" s="2" t="inlineStr">
        <is>
          <t>NA</t>
        </is>
      </c>
      <c r="BW340" s="2" t="inlineStr">
        <is>
          <t>NA</t>
        </is>
      </c>
      <c r="BX340" s="2" t="n">
        <v>440.8</v>
      </c>
      <c r="BY340" s="2" t="inlineStr">
        <is>
          <t>NA</t>
        </is>
      </c>
      <c r="BZ340" s="2" t="inlineStr">
        <is>
          <t>NA</t>
        </is>
      </c>
      <c r="CA340" s="2" t="n">
        <v>64.2</v>
      </c>
      <c r="CB340" s="2" t="n">
        <v>121.5</v>
      </c>
      <c r="CC340" s="2" t="n">
        <v>21.8</v>
      </c>
      <c r="CD340" s="2" t="n">
        <v>127.3</v>
      </c>
      <c r="CE340" s="2" t="n">
        <v>25.9</v>
      </c>
      <c r="CF340" s="2" t="n">
        <v>103.2</v>
      </c>
      <c r="CG340" s="2" t="n">
        <v>168.5</v>
      </c>
      <c r="CH340" s="2" t="n">
        <v>4.7</v>
      </c>
      <c r="CI340" s="2" t="n">
        <v>41.2</v>
      </c>
      <c r="CJ340" s="2" t="n">
        <v>7.1</v>
      </c>
      <c r="CK340" s="2" t="n">
        <v>177.1</v>
      </c>
      <c r="CL340" s="2" t="n">
        <v>32.9</v>
      </c>
      <c r="CN340" s="2" t="n">
        <v>51.3</v>
      </c>
      <c r="CO340" s="2" t="n">
        <v>212.6</v>
      </c>
      <c r="CP340" s="2" t="n">
        <v>163.9</v>
      </c>
      <c r="CQ340" s="2" t="n">
        <v>48.7</v>
      </c>
      <c r="CR340" s="2" t="inlineStr">
        <is>
          <t>NA</t>
        </is>
      </c>
      <c r="CS340" s="2" t="n">
        <v>48.2</v>
      </c>
      <c r="CT340" s="2" t="n">
        <v>26.3</v>
      </c>
      <c r="CU340" s="2" t="n">
        <v>22</v>
      </c>
      <c r="CV340" s="2" t="n">
        <v>242.4</v>
      </c>
      <c r="CW340" s="2" t="inlineStr">
        <is>
          <t>(D)</t>
        </is>
      </c>
      <c r="CX340" s="2" t="inlineStr">
        <is>
          <t>(D)</t>
        </is>
      </c>
      <c r="CY340" s="2" t="inlineStr">
        <is>
          <t>(D)</t>
        </is>
      </c>
      <c r="CZ340" s="2" t="n">
        <v>73.09999999999999</v>
      </c>
      <c r="DA340" s="2" t="n">
        <v>20.2</v>
      </c>
      <c r="DB340" s="2" t="inlineStr">
        <is>
          <t>(D)</t>
        </is>
      </c>
      <c r="DC340" s="2" t="inlineStr">
        <is>
          <t>(D)</t>
        </is>
      </c>
      <c r="DI340" s="2" t="n">
        <v>702.4450000000001</v>
      </c>
      <c r="DJ340" s="2" t="n">
        <v>486.481</v>
      </c>
      <c r="DK340" s="2" t="n">
        <v>1046.013</v>
      </c>
      <c r="DM340" s="2" t="n">
        <v>494.776</v>
      </c>
      <c r="DO340" s="2" t="n">
        <v>188.622</v>
      </c>
      <c r="DP340" s="2" t="n">
        <v>329.728</v>
      </c>
      <c r="DS340" s="2" t="n">
        <v>1435.159</v>
      </c>
      <c r="DT340" s="2" t="n">
        <v>4688.4612</v>
      </c>
      <c r="DU340" s="2" t="n">
        <v>-5.237199999999575</v>
      </c>
      <c r="DV340" s="2" t="n">
        <v>0</v>
      </c>
      <c r="EA340" s="2" t="n">
        <v>724.833</v>
      </c>
      <c r="EB340" s="2" t="n">
        <v>666.561</v>
      </c>
      <c r="EC340" s="2" t="n">
        <v>599.013</v>
      </c>
      <c r="EE340" s="2" t="n">
        <v>196.587</v>
      </c>
      <c r="EG340" s="2" t="inlineStr">
        <is>
          <t>(D)</t>
        </is>
      </c>
      <c r="EH340" s="2" t="inlineStr">
        <is>
          <t>(D)</t>
        </is>
      </c>
      <c r="EK340" s="2" t="n">
        <v>1466.898</v>
      </c>
      <c r="EL340" s="2" t="n">
        <v>4184.807</v>
      </c>
      <c r="EQ340" s="2" t="n">
        <v>277.409</v>
      </c>
      <c r="ER340" s="2" t="n">
        <v>184.6171</v>
      </c>
      <c r="ES340" s="2" t="n">
        <v>394.645</v>
      </c>
      <c r="EU340" s="2" t="n">
        <v>197.149</v>
      </c>
      <c r="EW340" s="2" t="n">
        <v>71.215</v>
      </c>
      <c r="EX340" s="2" t="n">
        <v>121.988</v>
      </c>
      <c r="FA340" s="2" t="n">
        <v>557.506</v>
      </c>
      <c r="FB340" s="2" t="n">
        <v>1805.4337</v>
      </c>
      <c r="FG340" s="2" t="n">
        <v>573.249</v>
      </c>
      <c r="FH340" s="2" t="n">
        <v>384.2066</v>
      </c>
      <c r="FI340" s="2" t="n">
        <v>822.8440000000001</v>
      </c>
      <c r="FK340" s="2" t="n">
        <v>388.684</v>
      </c>
      <c r="FM340" s="2" t="n">
        <v>149.535</v>
      </c>
      <c r="FN340" s="2" t="n">
        <v>263.38</v>
      </c>
      <c r="FQ340" s="2" t="n">
        <v>1164.649</v>
      </c>
      <c r="FR340" s="2" t="n">
        <v>3717.4155</v>
      </c>
      <c r="FW340" s="2" t="n">
        <v>317.663</v>
      </c>
      <c r="FX340" s="2" t="n">
        <v>153.875</v>
      </c>
      <c r="FY340" s="2" t="n">
        <v>117.648</v>
      </c>
      <c r="GA340" s="2" t="n">
        <v>87.869</v>
      </c>
      <c r="GC340" s="2" t="inlineStr">
        <is>
          <t>(D)</t>
        </is>
      </c>
      <c r="GD340" s="2" t="inlineStr">
        <is>
          <t>(D)</t>
        </is>
      </c>
      <c r="GG340" s="2" t="n">
        <v>305.788</v>
      </c>
      <c r="GH340" s="2" t="n">
        <v>1283.149</v>
      </c>
      <c r="GM340" s="2" t="inlineStr">
        <is>
          <t>(D)</t>
        </is>
      </c>
      <c r="GN340" s="2" t="n">
        <v>48.157</v>
      </c>
      <c r="GO340" s="2" t="n">
        <v>45.608</v>
      </c>
      <c r="GQ340" s="2" t="n">
        <v>23.393</v>
      </c>
      <c r="GS340" s="2" t="n">
        <v>2.251</v>
      </c>
      <c r="GT340" s="2" t="inlineStr">
        <is>
          <t>(D)</t>
        </is>
      </c>
      <c r="GW340" s="2" t="n">
        <v>92.608</v>
      </c>
      <c r="GX340" s="2" t="n">
        <v>295.468</v>
      </c>
      <c r="GY340" s="2" t="n">
        <v>0.980295566502463</v>
      </c>
      <c r="GZ340" s="2" t="n">
        <v>1373.1</v>
      </c>
      <c r="HA340" s="2" t="n">
        <v>1400.7</v>
      </c>
      <c r="HB340" s="2" t="n">
        <v>18.45356606320047</v>
      </c>
      <c r="HC340" s="2" t="n">
        <v>86.16564571100116</v>
      </c>
      <c r="HD340" s="2" t="n">
        <v>1599.353566063201</v>
      </c>
      <c r="HE340" s="2" t="n">
        <v>47.30000000000018</v>
      </c>
      <c r="HF340" s="2" t="n">
        <v>1580.9</v>
      </c>
      <c r="HG340" s="2" t="n">
        <v>1323.3</v>
      </c>
      <c r="HH340" s="2" t="n">
        <v>388.7</v>
      </c>
      <c r="HI340" s="2" t="n">
        <v>80.791</v>
      </c>
      <c r="HJ340" s="2" t="n">
        <v>844.4</v>
      </c>
      <c r="HK340" s="2" t="n">
        <v>8.805</v>
      </c>
      <c r="HL340" s="2" t="n">
        <v>257.5</v>
      </c>
      <c r="HM340" s="2" t="n">
        <v>219.1</v>
      </c>
      <c r="HN340" s="2" t="n">
        <v>63.7</v>
      </c>
      <c r="HO340" s="2" t="n">
        <v>155.4</v>
      </c>
      <c r="HQ340" s="2" t="inlineStr">
        <is>
          <t>(D)</t>
        </is>
      </c>
      <c r="HR340" s="2" t="inlineStr">
        <is>
          <t>(D)</t>
        </is>
      </c>
      <c r="HT340" s="2" t="n">
        <v>18.2</v>
      </c>
      <c r="HW340" s="2" t="n">
        <v>319.6</v>
      </c>
      <c r="HX340" s="2" t="inlineStr">
        <is>
          <t>-</t>
        </is>
      </c>
      <c r="HY340" s="2" t="n">
        <v>319.6</v>
      </c>
      <c r="HZ340" s="2" t="n">
        <v>58.2</v>
      </c>
      <c r="IA340" s="2" t="n">
        <v>217.2</v>
      </c>
      <c r="IB340" s="2" t="n">
        <v>61.1</v>
      </c>
      <c r="IC340" s="2" t="n">
        <v>156.2</v>
      </c>
      <c r="ID340" s="2" t="n">
        <v>84.59999999999999</v>
      </c>
      <c r="IE340" s="2" t="n">
        <v>71.5</v>
      </c>
      <c r="IH340" s="2" t="n">
        <v>15.9</v>
      </c>
      <c r="II340" s="2" t="n">
        <v>4.1</v>
      </c>
      <c r="IJ340" s="2" t="n">
        <v>4.7</v>
      </c>
      <c r="IK340" s="2" t="n">
        <v>7.2</v>
      </c>
      <c r="IL340" s="2" t="n">
        <v>28.3</v>
      </c>
      <c r="IN340" s="2" t="n">
        <v>60.9</v>
      </c>
      <c r="IO340" s="2" t="n">
        <v>60.9</v>
      </c>
      <c r="IP340" s="2" t="inlineStr">
        <is>
          <t>(D)</t>
        </is>
      </c>
      <c r="IQ340" s="2" t="n">
        <v>68</v>
      </c>
      <c r="IR340" s="2" t="n">
        <v>16</v>
      </c>
      <c r="IT340" s="2" t="n">
        <v>50.8</v>
      </c>
      <c r="IU340" s="2" t="n">
        <v>1.2</v>
      </c>
      <c r="IV340" s="2" t="inlineStr">
        <is>
          <t>(D)</t>
        </is>
      </c>
      <c r="IW340" s="2" t="inlineStr">
        <is>
          <t>(D)</t>
        </is>
      </c>
      <c r="IX340" s="2" t="inlineStr">
        <is>
          <t>(D)</t>
        </is>
      </c>
      <c r="IY340" s="2" t="n">
        <v>47.47112976001593</v>
      </c>
      <c r="IZ340" s="2" t="n">
        <v>0.1611297600159318</v>
      </c>
      <c r="JB340" s="2" t="n">
        <v>11.55240678967334</v>
      </c>
      <c r="JC340" s="2" t="n">
        <v>0.06240678967333757</v>
      </c>
      <c r="JE340" s="2" t="n">
        <v>3235.2</v>
      </c>
      <c r="JF340" s="2" t="n">
        <v>0.8312806008902077</v>
      </c>
    </row>
    <row r="341">
      <c r="A341" s="1" t="n">
        <v>39417</v>
      </c>
      <c r="B341" s="2" t="n">
        <v>4921.759849999999</v>
      </c>
      <c r="C341" s="2" t="n">
        <v>3536.882</v>
      </c>
      <c r="D341" s="2" t="n">
        <v>252.14824</v>
      </c>
      <c r="E341" s="2" t="n">
        <v>1709.505</v>
      </c>
      <c r="F341" s="2" t="n">
        <v>16.87464</v>
      </c>
      <c r="G341" s="2" t="inlineStr">
        <is>
          <t>NA</t>
        </is>
      </c>
      <c r="H341" s="2" t="inlineStr">
        <is>
          <t>NA</t>
        </is>
      </c>
      <c r="I341" s="2" t="inlineStr">
        <is>
          <t>NA</t>
        </is>
      </c>
      <c r="J341" s="2" t="inlineStr">
        <is>
          <t>NA</t>
        </is>
      </c>
      <c r="K341" s="2" t="n">
        <v>1879.4398</v>
      </c>
      <c r="L341" s="2" t="n">
        <v>3277.1</v>
      </c>
      <c r="M341" s="2" t="n">
        <v>2916.1</v>
      </c>
      <c r="N341" s="2" t="n">
        <v>360.9</v>
      </c>
      <c r="O341" s="2" t="n">
        <v>76.78988000000001</v>
      </c>
      <c r="P341" s="2" t="n">
        <v>95.90000000000001</v>
      </c>
      <c r="Q341" s="2" t="n">
        <v>8.800000000000001</v>
      </c>
      <c r="R341" s="2" t="n">
        <v>87.09999999999999</v>
      </c>
      <c r="T341" s="2" t="n">
        <v>14</v>
      </c>
      <c r="U341" s="2" t="n">
        <v>18.1</v>
      </c>
      <c r="V341" s="2" t="n">
        <v>16.2</v>
      </c>
      <c r="W341" s="2" t="n">
        <v>1.9</v>
      </c>
      <c r="X341" s="2" t="inlineStr">
        <is>
          <t>NA</t>
        </is>
      </c>
      <c r="Y341" s="2" t="inlineStr">
        <is>
          <t>(D)</t>
        </is>
      </c>
      <c r="Z341" s="2" t="n">
        <v>96.2</v>
      </c>
      <c r="AA341" s="2" t="inlineStr">
        <is>
          <t>(D)</t>
        </is>
      </c>
      <c r="AB341" s="2" t="inlineStr">
        <is>
          <t>(D)</t>
        </is>
      </c>
      <c r="AC341" s="2" t="inlineStr">
        <is>
          <t>NA</t>
        </is>
      </c>
      <c r="AD341" s="2" t="n">
        <v>98.40000000000001</v>
      </c>
      <c r="AE341" s="2" t="n">
        <v>100.1</v>
      </c>
      <c r="AF341" s="2" t="n">
        <v>136.2</v>
      </c>
      <c r="AG341" s="2" t="n">
        <v>88.40000000000001</v>
      </c>
      <c r="AH341" s="2" t="n">
        <v>47.8</v>
      </c>
      <c r="AI341" s="2" t="n">
        <v>214.016</v>
      </c>
      <c r="AJ341" s="2" t="n">
        <v>211</v>
      </c>
      <c r="AK341" s="2" t="n">
        <v>3</v>
      </c>
      <c r="AL341" s="2" t="n">
        <v>194.2</v>
      </c>
      <c r="AM341" s="2" t="n">
        <v>135.5</v>
      </c>
      <c r="AN341" s="2" t="n">
        <v>58.7</v>
      </c>
      <c r="AO341" s="2" t="n">
        <v>3604.53275</v>
      </c>
      <c r="AP341" s="2" t="n">
        <v>380.865</v>
      </c>
      <c r="AQ341" s="2" t="n">
        <v>283.0072</v>
      </c>
      <c r="AR341" s="2" t="n">
        <v>40.766</v>
      </c>
      <c r="AS341" s="2" t="n">
        <v>111.90888</v>
      </c>
      <c r="AT341" s="2" t="n">
        <v>27.27</v>
      </c>
      <c r="AU341" s="2" t="n">
        <v>70.07635999999999</v>
      </c>
      <c r="AV341" s="2" t="n">
        <v>35.907</v>
      </c>
      <c r="AW341" s="2" t="n">
        <v>9.11248</v>
      </c>
      <c r="AX341" s="2" t="n">
        <v>1.2</v>
      </c>
      <c r="AY341" s="2" t="inlineStr">
        <is>
          <t>NA</t>
        </is>
      </c>
      <c r="AZ341" s="2" t="inlineStr">
        <is>
          <t>NA</t>
        </is>
      </c>
      <c r="BA341" s="2" t="inlineStr">
        <is>
          <t>NA</t>
        </is>
      </c>
      <c r="BB341" s="2" t="inlineStr">
        <is>
          <t>NA</t>
        </is>
      </c>
      <c r="BD341" s="2" t="n">
        <v>143.3</v>
      </c>
      <c r="BE341" s="2" t="n">
        <v>38.9</v>
      </c>
      <c r="BF341" s="2" t="n">
        <v>74.09999999999999</v>
      </c>
      <c r="BG341" s="2" t="n">
        <v>15.8</v>
      </c>
      <c r="BH341" s="2" t="n">
        <v>314.3</v>
      </c>
      <c r="BI341" s="2" t="n">
        <v>121</v>
      </c>
      <c r="BJ341" s="2" t="n">
        <v>96.40000000000001</v>
      </c>
      <c r="BK341" s="2" t="n">
        <v>217.4</v>
      </c>
      <c r="BM341" s="2" t="n">
        <v>531.7</v>
      </c>
      <c r="BN341" s="2" t="n">
        <v>235.5</v>
      </c>
      <c r="BO341" s="2" t="n">
        <v>78.8</v>
      </c>
      <c r="BP341" s="2" t="n">
        <v>24</v>
      </c>
      <c r="BQ341" s="2" t="n">
        <v>102.8</v>
      </c>
      <c r="BS341" s="2" t="n">
        <v>338.3</v>
      </c>
      <c r="BT341" s="2" t="n">
        <v>51</v>
      </c>
      <c r="BU341" s="2" t="n">
        <v>13.9</v>
      </c>
      <c r="BV341" s="2" t="inlineStr">
        <is>
          <t>NA</t>
        </is>
      </c>
      <c r="BW341" s="2" t="inlineStr">
        <is>
          <t>NA</t>
        </is>
      </c>
      <c r="BX341" s="2" t="n">
        <v>471.8</v>
      </c>
      <c r="BY341" s="2" t="inlineStr">
        <is>
          <t>NA</t>
        </is>
      </c>
      <c r="BZ341" s="2" t="inlineStr">
        <is>
          <t>NA</t>
        </is>
      </c>
      <c r="CA341" s="2" t="n">
        <v>63.9</v>
      </c>
      <c r="CB341" s="2" t="n">
        <v>127.5</v>
      </c>
      <c r="CC341" s="2" t="n">
        <v>21.4</v>
      </c>
      <c r="CD341" s="2" t="n">
        <v>129.1</v>
      </c>
      <c r="CE341" s="2" t="n">
        <v>20.7</v>
      </c>
      <c r="CF341" s="2" t="n">
        <v>107.4</v>
      </c>
      <c r="CG341" s="2" t="n">
        <v>177</v>
      </c>
      <c r="CH341" s="2" t="n">
        <v>5.8</v>
      </c>
      <c r="CI341" s="2" t="n">
        <v>34.3</v>
      </c>
      <c r="CJ341" s="2" t="n">
        <v>5.4</v>
      </c>
      <c r="CK341" s="2" t="n">
        <v>169.8</v>
      </c>
      <c r="CL341" s="2" t="n">
        <v>28.2</v>
      </c>
      <c r="CN341" s="2" t="n">
        <v>48.9</v>
      </c>
      <c r="CO341" s="2" t="n">
        <v>205.5</v>
      </c>
      <c r="CP341" s="2" t="n">
        <v>156.1</v>
      </c>
      <c r="CQ341" s="2" t="n">
        <v>49.5</v>
      </c>
      <c r="CR341" s="2" t="inlineStr">
        <is>
          <t>NA</t>
        </is>
      </c>
      <c r="CS341" s="2" t="n">
        <v>33.4</v>
      </c>
      <c r="CT341" s="2" t="n">
        <v>13.4</v>
      </c>
      <c r="CU341" s="2" t="n">
        <v>20</v>
      </c>
      <c r="CV341" s="2" t="n">
        <v>249.9</v>
      </c>
      <c r="CW341" s="2" t="inlineStr">
        <is>
          <t>(D)</t>
        </is>
      </c>
      <c r="CX341" s="2" t="inlineStr">
        <is>
          <t>(D)</t>
        </is>
      </c>
      <c r="CY341" s="2" t="inlineStr">
        <is>
          <t>(D)</t>
        </is>
      </c>
      <c r="CZ341" s="2" t="n">
        <v>79.90000000000001</v>
      </c>
      <c r="DA341" s="2" t="n">
        <v>13.6</v>
      </c>
      <c r="DB341" s="2" t="inlineStr">
        <is>
          <t>(D)</t>
        </is>
      </c>
      <c r="DC341" s="2" t="inlineStr">
        <is>
          <t>(D)</t>
        </is>
      </c>
      <c r="DI341" s="2" t="n">
        <v>745.006</v>
      </c>
      <c r="DJ341" s="2" t="n">
        <v>546.5867500000001</v>
      </c>
      <c r="DK341" s="2" t="n">
        <v>1090.748</v>
      </c>
      <c r="DM341" s="2" t="n">
        <v>539.795</v>
      </c>
      <c r="DO341" s="2" t="n">
        <v>196.535</v>
      </c>
      <c r="DP341" s="2" t="n">
        <v>331.021</v>
      </c>
      <c r="DS341" s="2" t="n">
        <v>1467.644</v>
      </c>
      <c r="DT341" s="2" t="n">
        <v>4921.759849999999</v>
      </c>
      <c r="DU341" s="2" t="n">
        <v>-4.424099999999271</v>
      </c>
      <c r="DV341" s="2" t="n">
        <v>0</v>
      </c>
      <c r="EA341" s="2" t="n">
        <v>603.044</v>
      </c>
      <c r="EB341" s="2" t="n">
        <v>615.288</v>
      </c>
      <c r="EC341" s="2" t="n">
        <v>457.492</v>
      </c>
      <c r="EE341" s="2" t="n">
        <v>179.709</v>
      </c>
      <c r="EG341" s="2" t="inlineStr">
        <is>
          <t>(D)</t>
        </is>
      </c>
      <c r="EH341" s="2" t="inlineStr">
        <is>
          <t>(D)</t>
        </is>
      </c>
      <c r="EK341" s="2" t="n">
        <v>1226.507</v>
      </c>
      <c r="EL341" s="2" t="n">
        <v>3536.882</v>
      </c>
      <c r="EQ341" s="2" t="n">
        <v>287.902</v>
      </c>
      <c r="ER341" s="2" t="n">
        <v>205.8996</v>
      </c>
      <c r="ES341" s="2" t="n">
        <v>417.589</v>
      </c>
      <c r="EU341" s="2" t="n">
        <v>214.761</v>
      </c>
      <c r="EW341" s="2" t="n">
        <v>73.038</v>
      </c>
      <c r="EX341" s="2" t="n">
        <v>123.797</v>
      </c>
      <c r="FA341" s="2" t="n">
        <v>555.548</v>
      </c>
      <c r="FB341" s="2" t="n">
        <v>1879.4398</v>
      </c>
      <c r="FG341" s="2" t="n">
        <v>589.181</v>
      </c>
      <c r="FH341" s="2" t="n">
        <v>431.7973</v>
      </c>
      <c r="FI341" s="2" t="n">
        <v>859.028</v>
      </c>
      <c r="FK341" s="2" t="n">
        <v>429.555</v>
      </c>
      <c r="FM341" s="2" t="n">
        <v>156.874</v>
      </c>
      <c r="FN341" s="2" t="n">
        <v>263.388</v>
      </c>
      <c r="FQ341" s="2" t="n">
        <v>1199.696</v>
      </c>
      <c r="FR341" s="2" t="n">
        <v>3898.70755</v>
      </c>
      <c r="FW341" s="2" t="n">
        <v>366.188</v>
      </c>
      <c r="FX341" s="2" t="n">
        <v>168.187</v>
      </c>
      <c r="FY341" s="2" t="n">
        <v>132.387</v>
      </c>
      <c r="GA341" s="2" t="n">
        <v>100.757</v>
      </c>
      <c r="GC341" s="2" t="inlineStr">
        <is>
          <t>(D)</t>
        </is>
      </c>
      <c r="GD341" s="2" t="inlineStr">
        <is>
          <t>(D)</t>
        </is>
      </c>
      <c r="GG341" s="2" t="n">
        <v>293.031</v>
      </c>
      <c r="GH341" s="2" t="n">
        <v>1356.484</v>
      </c>
      <c r="GM341" s="2" t="inlineStr">
        <is>
          <t>(D)</t>
        </is>
      </c>
      <c r="GN341" s="2" t="n">
        <v>86.264</v>
      </c>
      <c r="GO341" s="2" t="n">
        <v>63.03</v>
      </c>
      <c r="GQ341" s="2" t="n">
        <v>37.094</v>
      </c>
      <c r="GS341" s="2" t="n">
        <v>9.314</v>
      </c>
      <c r="GT341" s="2" t="inlineStr">
        <is>
          <t>(D)</t>
        </is>
      </c>
      <c r="GW341" s="2" t="n">
        <v>128.68</v>
      </c>
      <c r="GX341" s="2" t="n">
        <v>421.631</v>
      </c>
      <c r="GY341" s="2" t="n">
        <v>0.9804105149441843</v>
      </c>
      <c r="GZ341" s="2" t="n">
        <v>1361.3</v>
      </c>
      <c r="HA341" s="2" t="n">
        <v>1388.5</v>
      </c>
      <c r="HB341" s="2" t="n">
        <v>-73.69544043400083</v>
      </c>
      <c r="HC341" s="2" t="n">
        <v>-23.91024147300141</v>
      </c>
      <c r="HD341" s="2" t="n">
        <v>1450.304559565999</v>
      </c>
      <c r="HE341" s="2" t="n">
        <v>33.29999999999995</v>
      </c>
      <c r="HF341" s="2" t="n">
        <v>1524</v>
      </c>
      <c r="HG341" s="2" t="n">
        <v>1274.6</v>
      </c>
      <c r="HH341" s="2" t="n">
        <v>378.3</v>
      </c>
      <c r="HI341" s="2" t="n">
        <v>77.8</v>
      </c>
      <c r="HJ341" s="2" t="n">
        <v>810.8</v>
      </c>
      <c r="HK341" s="2" t="n">
        <v>7.6</v>
      </c>
      <c r="HL341" s="2" t="n">
        <v>249.5</v>
      </c>
      <c r="HM341" s="2" t="n">
        <v>219.3</v>
      </c>
      <c r="HN341" s="2" t="n">
        <v>49</v>
      </c>
      <c r="HO341" s="2" t="n">
        <v>170.3</v>
      </c>
      <c r="HQ341" s="2" t="inlineStr">
        <is>
          <t>(D)</t>
        </is>
      </c>
      <c r="HR341" s="2" t="inlineStr">
        <is>
          <t>(D)</t>
        </is>
      </c>
      <c r="HT341" s="2" t="n">
        <v>20.6</v>
      </c>
      <c r="HW341" s="2" t="n">
        <v>340.7</v>
      </c>
      <c r="HX341" s="2" t="inlineStr">
        <is>
          <t>-</t>
        </is>
      </c>
      <c r="HY341" s="2" t="n">
        <v>340.7</v>
      </c>
      <c r="HZ341" s="2" t="n">
        <v>65.90000000000001</v>
      </c>
      <c r="IA341" s="2" t="n">
        <v>228.8</v>
      </c>
      <c r="IB341" s="2" t="n">
        <v>64.2</v>
      </c>
      <c r="IC341" s="2" t="n">
        <v>164.6</v>
      </c>
      <c r="ID341" s="2" t="n">
        <v>100.2</v>
      </c>
      <c r="IE341" s="2" t="n">
        <v>64.40000000000001</v>
      </c>
      <c r="IH341" s="2" t="n">
        <v>15</v>
      </c>
      <c r="II341" s="2" t="n">
        <v>4.3</v>
      </c>
      <c r="IJ341" s="2" t="n">
        <v>4.3</v>
      </c>
      <c r="IK341" s="2" t="n">
        <v>6.4</v>
      </c>
      <c r="IL341" s="2" t="n">
        <v>31.1</v>
      </c>
      <c r="IN341" s="2" t="n">
        <v>61.6</v>
      </c>
      <c r="IO341" s="2" t="n">
        <v>61.7</v>
      </c>
      <c r="IP341" s="2" t="inlineStr">
        <is>
          <t>(D)</t>
        </is>
      </c>
      <c r="IQ341" s="2" t="n">
        <v>63.3</v>
      </c>
      <c r="IR341" s="2" t="n">
        <v>14.8</v>
      </c>
      <c r="IT341" s="2" t="n">
        <v>47.2</v>
      </c>
      <c r="IU341" s="2" t="n">
        <v>1.3</v>
      </c>
      <c r="IV341" s="2" t="inlineStr">
        <is>
          <t>(D)</t>
        </is>
      </c>
      <c r="IW341" s="2" t="inlineStr">
        <is>
          <t>(D)</t>
        </is>
      </c>
      <c r="IX341" s="2" t="inlineStr">
        <is>
          <t>(D)</t>
        </is>
      </c>
      <c r="IY341" s="2" t="n">
        <v>47.39207196385253</v>
      </c>
      <c r="IZ341" s="2" t="n">
        <v>0.05207196385252644</v>
      </c>
      <c r="JB341" s="2" t="n">
        <v>11.45590108383692</v>
      </c>
      <c r="JC341" s="2" t="n">
        <v>-0.0640989161630845</v>
      </c>
      <c r="JE341" s="2" t="n">
        <v>3277.1</v>
      </c>
      <c r="JF341" s="2" t="n">
        <v>0.8276915565591529</v>
      </c>
    </row>
    <row r="342">
      <c r="A342" s="1" t="n">
        <v>39448</v>
      </c>
      <c r="B342" s="2" t="n">
        <v>4814.01795</v>
      </c>
      <c r="C342" s="2" t="n">
        <v>4064.537</v>
      </c>
      <c r="D342" s="2" t="n">
        <v>267.50708</v>
      </c>
      <c r="E342" s="2" t="n">
        <v>1720.79</v>
      </c>
      <c r="F342" s="2" t="n">
        <v>18.76345</v>
      </c>
      <c r="G342" s="2" t="inlineStr">
        <is>
          <t>NA</t>
        </is>
      </c>
      <c r="H342" s="2" t="inlineStr">
        <is>
          <t>NA</t>
        </is>
      </c>
      <c r="I342" s="2" t="inlineStr">
        <is>
          <t>NA</t>
        </is>
      </c>
      <c r="J342" s="2" t="inlineStr">
        <is>
          <t>NA</t>
        </is>
      </c>
      <c r="K342" s="2" t="n">
        <v>1845.2</v>
      </c>
      <c r="L342" s="2" t="n">
        <v>3408</v>
      </c>
      <c r="M342" s="2" t="n">
        <v>3030.5</v>
      </c>
      <c r="N342" s="2" t="n">
        <v>377.5</v>
      </c>
      <c r="O342" s="2" t="n">
        <v>83.5</v>
      </c>
      <c r="P342" s="2" t="n">
        <v>111.1</v>
      </c>
      <c r="Q342" s="2" t="n">
        <v>9.4</v>
      </c>
      <c r="R342" s="2" t="n">
        <v>101.7</v>
      </c>
      <c r="T342" s="2" t="n">
        <v>14.9</v>
      </c>
      <c r="U342" s="2" t="n">
        <v>30.5</v>
      </c>
      <c r="V342" s="2" t="n">
        <v>26</v>
      </c>
      <c r="W342" s="2" t="n">
        <v>4.5</v>
      </c>
      <c r="X342" s="2" t="inlineStr">
        <is>
          <t>NA</t>
        </is>
      </c>
      <c r="Y342" s="2" t="inlineStr">
        <is>
          <t>(D)</t>
        </is>
      </c>
      <c r="Z342" s="2" t="n">
        <v>112.1</v>
      </c>
      <c r="AA342" s="2" t="inlineStr">
        <is>
          <t>(D)</t>
        </is>
      </c>
      <c r="AB342" s="2" t="inlineStr">
        <is>
          <t>(D)</t>
        </is>
      </c>
      <c r="AC342" s="2" t="inlineStr">
        <is>
          <t>NA</t>
        </is>
      </c>
      <c r="AD342" s="2" t="n">
        <v>110</v>
      </c>
      <c r="AE342" s="2" t="n">
        <v>114.1</v>
      </c>
      <c r="AF342" s="2" t="n">
        <v>158.8</v>
      </c>
      <c r="AG342" s="2" t="n">
        <v>100.4</v>
      </c>
      <c r="AH342" s="2" t="n">
        <v>58.4</v>
      </c>
      <c r="AI342" s="2" t="n">
        <v>205.4</v>
      </c>
      <c r="AJ342" s="2" t="n">
        <v>202.314</v>
      </c>
      <c r="AK342" s="2" t="n">
        <v>3.171</v>
      </c>
      <c r="AL342" s="2" t="n">
        <v>189.3</v>
      </c>
      <c r="AM342" s="2" t="n">
        <v>135.1</v>
      </c>
      <c r="AN342" s="2" t="n">
        <v>54.2</v>
      </c>
      <c r="AO342" s="2" t="n">
        <v>3515.1</v>
      </c>
      <c r="AP342" s="2" t="n">
        <v>259.5</v>
      </c>
      <c r="AQ342" s="2" t="n">
        <v>276.1</v>
      </c>
      <c r="AR342" s="2" t="n">
        <v>27.9</v>
      </c>
      <c r="AS342" s="2" t="n">
        <v>125.6</v>
      </c>
      <c r="AT342" s="2" t="n">
        <v>21</v>
      </c>
      <c r="AU342" s="2" t="n">
        <v>81</v>
      </c>
      <c r="AV342" s="2" t="n">
        <v>39.9</v>
      </c>
      <c r="AW342" s="2" t="n">
        <v>9.9</v>
      </c>
      <c r="AX342" s="2" t="n">
        <v>2.677</v>
      </c>
      <c r="AY342" s="2" t="inlineStr">
        <is>
          <t>NA</t>
        </is>
      </c>
      <c r="AZ342" s="2" t="inlineStr">
        <is>
          <t>NA</t>
        </is>
      </c>
      <c r="BA342" s="2" t="inlineStr">
        <is>
          <t>NA</t>
        </is>
      </c>
      <c r="BB342" s="2" t="inlineStr">
        <is>
          <t>NA</t>
        </is>
      </c>
      <c r="BD342" s="2" t="n">
        <v>152.5</v>
      </c>
      <c r="BE342" s="2" t="n">
        <v>39.5</v>
      </c>
      <c r="BF342" s="2" t="n">
        <v>83</v>
      </c>
      <c r="BG342" s="2" t="n">
        <v>6.9</v>
      </c>
      <c r="BH342" s="2" t="n">
        <v>304.7</v>
      </c>
      <c r="BI342" s="2" t="n">
        <v>142.9</v>
      </c>
      <c r="BJ342" s="2" t="n">
        <v>84.59999999999999</v>
      </c>
      <c r="BK342" s="2" t="n">
        <v>227.6</v>
      </c>
      <c r="BM342" s="2" t="n">
        <v>532.3</v>
      </c>
      <c r="BN342" s="2" t="n">
        <v>253.8</v>
      </c>
      <c r="BO342" s="2" t="n">
        <v>93.90000000000001</v>
      </c>
      <c r="BP342" s="2" t="n">
        <v>25.8</v>
      </c>
      <c r="BQ342" s="2" t="n">
        <v>119.6</v>
      </c>
      <c r="BS342" s="2" t="n">
        <v>373.4</v>
      </c>
      <c r="BT342" s="2" t="n">
        <v>56.6</v>
      </c>
      <c r="BU342" s="2" t="n">
        <v>24.4</v>
      </c>
      <c r="BV342" s="2" t="inlineStr">
        <is>
          <t>NA</t>
        </is>
      </c>
      <c r="BW342" s="2" t="inlineStr">
        <is>
          <t>NA</t>
        </is>
      </c>
      <c r="BX342" s="2" t="n">
        <v>451.3</v>
      </c>
      <c r="BY342" s="2" t="inlineStr">
        <is>
          <t>NA</t>
        </is>
      </c>
      <c r="BZ342" s="2" t="inlineStr">
        <is>
          <t>NA</t>
        </is>
      </c>
      <c r="CA342" s="2" t="n">
        <v>64.8</v>
      </c>
      <c r="CB342" s="2" t="n">
        <v>140.8</v>
      </c>
      <c r="CC342" s="2" t="n">
        <v>23.1</v>
      </c>
      <c r="CD342" s="2" t="n">
        <v>152.8</v>
      </c>
      <c r="CE342" s="2" t="n">
        <v>13.1</v>
      </c>
      <c r="CF342" s="2" t="n">
        <v>113.4</v>
      </c>
      <c r="CG342" s="2" t="n">
        <v>176.2</v>
      </c>
      <c r="CH342" s="2" t="n">
        <v>5.994</v>
      </c>
      <c r="CI342" s="2" t="n">
        <v>31.8</v>
      </c>
      <c r="CJ342" s="2" t="n">
        <v>6.3</v>
      </c>
      <c r="CK342" s="2" t="n">
        <v>156.6</v>
      </c>
      <c r="CL342" s="2" t="n">
        <v>28.8</v>
      </c>
      <c r="CN342" s="2" t="n">
        <v>63.3</v>
      </c>
      <c r="CO342" s="2" t="n">
        <v>193.2</v>
      </c>
      <c r="CP342" s="2" t="n">
        <v>143.9</v>
      </c>
      <c r="CQ342" s="2" t="n">
        <v>49.2</v>
      </c>
      <c r="CR342" s="2" t="inlineStr">
        <is>
          <t>NA</t>
        </is>
      </c>
      <c r="CS342" s="2" t="n">
        <v>30</v>
      </c>
      <c r="CT342" s="2" t="n">
        <v>13.8</v>
      </c>
      <c r="CU342" s="2" t="n">
        <v>16.2</v>
      </c>
      <c r="CV342" s="2" t="n">
        <v>214.1</v>
      </c>
      <c r="CW342" s="2" t="inlineStr">
        <is>
          <t>(D)</t>
        </is>
      </c>
      <c r="CX342" s="2" t="inlineStr">
        <is>
          <t>(D)</t>
        </is>
      </c>
      <c r="CY342" s="2" t="inlineStr">
        <is>
          <t>(D)</t>
        </is>
      </c>
      <c r="CZ342" s="2" t="n">
        <v>82.7</v>
      </c>
      <c r="DA342" s="2" t="n">
        <v>15.7</v>
      </c>
      <c r="DB342" s="2" t="inlineStr">
        <is>
          <t>(D)</t>
        </is>
      </c>
      <c r="DC342" s="2" t="inlineStr">
        <is>
          <t>(D)</t>
        </is>
      </c>
      <c r="DI342" s="2" t="n">
        <v>732.909</v>
      </c>
      <c r="DJ342" s="2" t="n">
        <v>547.95775</v>
      </c>
      <c r="DK342" s="2" t="n">
        <v>1069.041</v>
      </c>
      <c r="DM342" s="2" t="n">
        <v>543.353</v>
      </c>
      <c r="DO342" s="2" t="n">
        <v>200.206</v>
      </c>
      <c r="DP342" s="2" t="n">
        <v>327.61</v>
      </c>
      <c r="DS342" s="2" t="n">
        <v>1392.9412</v>
      </c>
      <c r="DT342" s="2" t="n">
        <v>4814.01795</v>
      </c>
      <c r="DU342" s="2" t="n">
        <v>0</v>
      </c>
      <c r="DV342" s="2" t="n">
        <v>0</v>
      </c>
      <c r="EA342" s="2" t="n">
        <v>764.287</v>
      </c>
      <c r="EB342" s="2" t="n">
        <v>726.931</v>
      </c>
      <c r="EC342" s="2" t="n">
        <v>542.783</v>
      </c>
      <c r="EE342" s="2" t="n">
        <v>266.763</v>
      </c>
      <c r="EG342" s="2" t="inlineStr">
        <is>
          <t>(D)</t>
        </is>
      </c>
      <c r="EH342" s="2" t="inlineStr">
        <is>
          <t>(D)</t>
        </is>
      </c>
      <c r="EK342" s="2" t="n">
        <v>1240.475</v>
      </c>
      <c r="EL342" s="2" t="n">
        <v>4064.537</v>
      </c>
      <c r="EQ342" s="2" t="n">
        <v>286.7</v>
      </c>
      <c r="ER342" s="2" t="n">
        <v>209.1</v>
      </c>
      <c r="ES342" s="2" t="n">
        <v>409</v>
      </c>
      <c r="EU342" s="2" t="n">
        <v>214.9</v>
      </c>
      <c r="EW342" s="2" t="n">
        <v>75.40000000000001</v>
      </c>
      <c r="EX342" s="2" t="n">
        <v>122.7</v>
      </c>
      <c r="FA342" s="2" t="n">
        <v>527.5444800000002</v>
      </c>
      <c r="FB342" s="2" t="n">
        <v>1845.2</v>
      </c>
      <c r="FG342" s="2" t="n">
        <v>579.4</v>
      </c>
      <c r="FH342" s="2" t="n">
        <v>433.7</v>
      </c>
      <c r="FI342" s="2" t="n">
        <v>843.9</v>
      </c>
      <c r="FK342" s="2" t="n">
        <v>420.7</v>
      </c>
      <c r="FM342" s="2" t="n">
        <v>159.9</v>
      </c>
      <c r="FN342" s="2" t="n">
        <v>262.2</v>
      </c>
      <c r="FQ342" s="2" t="n">
        <v>1101.18796</v>
      </c>
      <c r="FR342" s="2" t="n">
        <v>3801.1</v>
      </c>
      <c r="FW342" s="2" t="n">
        <v>368.2</v>
      </c>
      <c r="FX342" s="2" t="n">
        <v>178.9</v>
      </c>
      <c r="FY342" s="2" t="n">
        <v>141.2</v>
      </c>
      <c r="GA342" s="2" t="n">
        <v>111.7</v>
      </c>
      <c r="GC342" s="2" t="inlineStr">
        <is>
          <t>(D)</t>
        </is>
      </c>
      <c r="GD342" s="2" t="inlineStr">
        <is>
          <t>(D)</t>
        </is>
      </c>
      <c r="GG342" s="2" t="n">
        <v>473.9629999999999</v>
      </c>
      <c r="GH342" s="2" t="n">
        <v>1395.4</v>
      </c>
      <c r="GM342" s="2" t="n">
        <v>67.40000000000001</v>
      </c>
      <c r="GN342" s="2" t="n">
        <v>33.8</v>
      </c>
      <c r="GO342" s="2" t="n">
        <v>49.5</v>
      </c>
      <c r="GQ342" s="2" t="n">
        <v>24</v>
      </c>
      <c r="GS342" s="2" t="n">
        <v>6.1</v>
      </c>
      <c r="GT342" s="2" t="n">
        <v>9.9</v>
      </c>
      <c r="GW342" s="2" t="n">
        <v>96.69600000000001</v>
      </c>
      <c r="GX342" s="2" t="n">
        <v>287.4</v>
      </c>
      <c r="GY342" s="2" t="n">
        <v>0.993815033107764</v>
      </c>
      <c r="GZ342" s="2" t="n">
        <v>1365.8</v>
      </c>
      <c r="HA342" s="2" t="n">
        <v>1374.3</v>
      </c>
      <c r="HB342" s="2" t="n">
        <v>-99.91499102839998</v>
      </c>
      <c r="HC342" s="2" t="n">
        <v>78.66688554239954</v>
      </c>
      <c r="HD342" s="2" t="n">
        <v>1559.6850089716</v>
      </c>
      <c r="HE342" s="2" t="n">
        <v>205.8999999999999</v>
      </c>
      <c r="HF342" s="2" t="n">
        <v>1659.6</v>
      </c>
      <c r="HG342" s="2" t="n">
        <v>1340.7</v>
      </c>
      <c r="HH342" s="2" t="n">
        <v>391.2</v>
      </c>
      <c r="HI342" s="2" t="n">
        <v>70.342</v>
      </c>
      <c r="HJ342" s="2" t="n">
        <v>861.3</v>
      </c>
      <c r="HK342" s="2" t="n">
        <v>9.694000000000001</v>
      </c>
      <c r="HL342" s="2" t="n">
        <v>318.9</v>
      </c>
      <c r="HM342" s="2" t="n">
        <v>289</v>
      </c>
      <c r="HN342" s="2" t="n">
        <v>101.6</v>
      </c>
      <c r="HO342" s="2" t="n">
        <v>187.4</v>
      </c>
      <c r="HQ342" s="2" t="n">
        <v>2.4</v>
      </c>
      <c r="HR342" s="2" t="n">
        <v>9.9</v>
      </c>
      <c r="HT342" s="2" t="n">
        <v>17.7</v>
      </c>
      <c r="HW342" s="2" t="n">
        <v>282.7</v>
      </c>
      <c r="HX342" s="2" t="inlineStr">
        <is>
          <t>-</t>
        </is>
      </c>
      <c r="HY342" s="2" t="n">
        <v>282.7</v>
      </c>
      <c r="HZ342" s="2" t="n">
        <v>46.9</v>
      </c>
      <c r="IA342" s="2" t="n">
        <v>191.5</v>
      </c>
      <c r="IB342" s="2" t="n">
        <v>44.5</v>
      </c>
      <c r="IC342" s="2" t="n">
        <v>147</v>
      </c>
      <c r="ID342" s="2" t="n">
        <v>97</v>
      </c>
      <c r="IE342" s="2" t="n">
        <v>50.1</v>
      </c>
      <c r="IH342" s="2" t="n">
        <v>18</v>
      </c>
      <c r="II342" s="2" t="n">
        <v>5.9</v>
      </c>
      <c r="IJ342" s="2" t="n">
        <v>4.7</v>
      </c>
      <c r="IK342" s="2" t="n">
        <v>7.3</v>
      </c>
      <c r="IL342" s="2" t="n">
        <v>26.3</v>
      </c>
      <c r="IN342" s="2" t="n">
        <v>73.8</v>
      </c>
      <c r="IO342" s="2" t="n">
        <v>74</v>
      </c>
      <c r="IP342" s="2" t="inlineStr">
        <is>
          <t>(D)</t>
        </is>
      </c>
      <c r="IQ342" s="2" t="n">
        <v>64.7</v>
      </c>
      <c r="IR342" s="2" t="n">
        <v>13.918</v>
      </c>
      <c r="IT342" s="2" t="n">
        <v>48.6</v>
      </c>
      <c r="IU342" s="2" t="n">
        <v>1.599</v>
      </c>
      <c r="IV342" s="2" t="inlineStr">
        <is>
          <t>(D)</t>
        </is>
      </c>
      <c r="IW342" s="2" t="inlineStr">
        <is>
          <t>(D)</t>
        </is>
      </c>
      <c r="IX342" s="2" t="inlineStr">
        <is>
          <t>(D)</t>
        </is>
      </c>
      <c r="IY342" s="2" t="n">
        <v>47.25200494942067</v>
      </c>
      <c r="IZ342" s="2" t="n">
        <v>0.0120049494206711</v>
      </c>
      <c r="JB342" s="2" t="n">
        <v>11.49891848658354</v>
      </c>
      <c r="JC342" s="2" t="n">
        <v>-0.06108151341646106</v>
      </c>
      <c r="JE342" s="2" t="n">
        <v>3408</v>
      </c>
      <c r="JF342" s="2" t="n">
        <v>0.826818661971831</v>
      </c>
    </row>
    <row r="343">
      <c r="A343" s="1" t="n">
        <v>39479</v>
      </c>
      <c r="B343" s="2" t="n">
        <v>4395.3</v>
      </c>
      <c r="C343" s="2" t="n">
        <v>3659.7</v>
      </c>
      <c r="D343" s="2" t="n">
        <v>264.1</v>
      </c>
      <c r="E343" s="2" t="n">
        <v>1670.7</v>
      </c>
      <c r="F343" s="2" t="n">
        <v>7.895</v>
      </c>
      <c r="G343" s="2" t="inlineStr">
        <is>
          <t>NA</t>
        </is>
      </c>
      <c r="H343" s="2" t="inlineStr">
        <is>
          <t>NA</t>
        </is>
      </c>
      <c r="I343" s="2" t="inlineStr">
        <is>
          <t>NA</t>
        </is>
      </c>
      <c r="J343" s="2" t="inlineStr">
        <is>
          <t>NA</t>
        </is>
      </c>
      <c r="K343" s="2" t="n">
        <v>1687.7</v>
      </c>
      <c r="L343" s="2" t="n">
        <v>3278.3</v>
      </c>
      <c r="M343" s="2" t="n">
        <v>2899.9</v>
      </c>
      <c r="N343" s="2" t="n">
        <v>378.4</v>
      </c>
      <c r="O343" s="2" t="n">
        <v>82.09999999999999</v>
      </c>
      <c r="P343" s="2" t="n">
        <v>132.6</v>
      </c>
      <c r="Q343" s="2" t="n">
        <v>14.2</v>
      </c>
      <c r="R343" s="2" t="n">
        <v>118.4</v>
      </c>
      <c r="T343" s="2" t="n">
        <v>6</v>
      </c>
      <c r="U343" s="2" t="n">
        <v>31.2</v>
      </c>
      <c r="V343" s="2" t="n">
        <v>25.3</v>
      </c>
      <c r="W343" s="2" t="n">
        <v>5.9</v>
      </c>
      <c r="X343" s="2" t="inlineStr">
        <is>
          <t>NA</t>
        </is>
      </c>
      <c r="Y343" s="2" t="inlineStr">
        <is>
          <t>(D)</t>
        </is>
      </c>
      <c r="Z343" s="2" t="n">
        <v>113.6</v>
      </c>
      <c r="AA343" s="2" t="inlineStr">
        <is>
          <t>(D)</t>
        </is>
      </c>
      <c r="AB343" s="2" t="inlineStr">
        <is>
          <t>(D)</t>
        </is>
      </c>
      <c r="AC343" s="2" t="inlineStr">
        <is>
          <t>NA</t>
        </is>
      </c>
      <c r="AD343" s="2" t="inlineStr">
        <is>
          <t>(D)</t>
        </is>
      </c>
      <c r="AE343" s="2" t="inlineStr">
        <is>
          <t>(D)</t>
        </is>
      </c>
      <c r="AF343" s="2" t="n">
        <v>128.7</v>
      </c>
      <c r="AG343" s="2" t="n">
        <v>89</v>
      </c>
      <c r="AH343" s="2" t="n">
        <v>39.7</v>
      </c>
      <c r="AI343" s="2" t="n">
        <v>193.7</v>
      </c>
      <c r="AJ343" s="2" t="n">
        <v>190.984</v>
      </c>
      <c r="AK343" s="2" t="n">
        <v>2.673</v>
      </c>
      <c r="AL343" s="2" t="n">
        <v>200.3</v>
      </c>
      <c r="AM343" s="2" t="n">
        <v>144.4</v>
      </c>
      <c r="AN343" s="2" t="n">
        <v>55.9</v>
      </c>
      <c r="AO343" s="2" t="n">
        <v>3223.9</v>
      </c>
      <c r="AP343" s="2" t="n">
        <v>306.6</v>
      </c>
      <c r="AQ343" s="2" t="n">
        <v>249.8</v>
      </c>
      <c r="AR343" s="2" t="n">
        <v>24.8</v>
      </c>
      <c r="AS343" s="2" t="n">
        <v>119.9</v>
      </c>
      <c r="AT343" s="2" t="n">
        <v>22.5</v>
      </c>
      <c r="AU343" s="2" t="n">
        <v>74.3</v>
      </c>
      <c r="AV343" s="2" t="n">
        <v>42.1</v>
      </c>
      <c r="AW343" s="2" t="n">
        <v>3.975</v>
      </c>
      <c r="AX343" s="2" t="n">
        <v>0.9</v>
      </c>
      <c r="AY343" s="2" t="inlineStr">
        <is>
          <t>NA</t>
        </is>
      </c>
      <c r="AZ343" s="2" t="inlineStr">
        <is>
          <t>NA</t>
        </is>
      </c>
      <c r="BA343" s="2" t="inlineStr">
        <is>
          <t>NA</t>
        </is>
      </c>
      <c r="BB343" s="2" t="inlineStr">
        <is>
          <t>NA</t>
        </is>
      </c>
      <c r="BD343" s="2" t="n">
        <v>148.5</v>
      </c>
      <c r="BE343" s="2" t="n">
        <v>32.3</v>
      </c>
      <c r="BF343" s="2" t="n">
        <v>81.7</v>
      </c>
      <c r="BG343" s="2" t="n">
        <v>6.2</v>
      </c>
      <c r="BH343" s="2" t="n">
        <v>301.2</v>
      </c>
      <c r="BI343" s="2" t="n">
        <v>128.9</v>
      </c>
      <c r="BJ343" s="2" t="n">
        <v>82.09999999999999</v>
      </c>
      <c r="BK343" s="2" t="n">
        <v>211</v>
      </c>
      <c r="BM343" s="2" t="n">
        <v>512.2</v>
      </c>
      <c r="BN343" s="2" t="n">
        <v>271.5</v>
      </c>
      <c r="BO343" s="2" t="n">
        <v>98.8</v>
      </c>
      <c r="BP343" s="2" t="n">
        <v>30.4</v>
      </c>
      <c r="BQ343" s="2" t="n">
        <v>129.2</v>
      </c>
      <c r="BS343" s="2" t="n">
        <v>400.7</v>
      </c>
      <c r="BT343" s="2" t="n">
        <v>48.2</v>
      </c>
      <c r="BU343" s="2" t="n">
        <v>26.2</v>
      </c>
      <c r="BV343" s="2" t="inlineStr">
        <is>
          <t>NA</t>
        </is>
      </c>
      <c r="BW343" s="2" t="inlineStr">
        <is>
          <t>NA</t>
        </is>
      </c>
      <c r="BX343" s="2" t="n">
        <v>415.5</v>
      </c>
      <c r="BY343" s="2" t="inlineStr">
        <is>
          <t>NA</t>
        </is>
      </c>
      <c r="BZ343" s="2" t="inlineStr">
        <is>
          <t>NA</t>
        </is>
      </c>
      <c r="CA343" s="2" t="n">
        <v>58.2</v>
      </c>
      <c r="CB343" s="2" t="n">
        <v>117.7</v>
      </c>
      <c r="CC343" s="2" t="n">
        <v>22.7</v>
      </c>
      <c r="CD343" s="2" t="n">
        <v>128.4</v>
      </c>
      <c r="CE343" s="2" t="n">
        <v>12.6</v>
      </c>
      <c r="CF343" s="2" t="n">
        <v>111.7</v>
      </c>
      <c r="CG343" s="2" t="n">
        <v>162.8</v>
      </c>
      <c r="CH343" s="2" t="n">
        <v>7.546</v>
      </c>
      <c r="CI343" s="2" t="n">
        <v>30.1</v>
      </c>
      <c r="CJ343" s="2" t="n">
        <v>4.7</v>
      </c>
      <c r="CK343" s="2" t="n">
        <v>156.6</v>
      </c>
      <c r="CL343" s="2" t="n">
        <v>28</v>
      </c>
      <c r="CN343" s="2" t="n">
        <v>57.7</v>
      </c>
      <c r="CO343" s="2" t="n">
        <v>179.6</v>
      </c>
      <c r="CP343" s="2" t="n">
        <v>133.4</v>
      </c>
      <c r="CQ343" s="2" t="n">
        <v>46.1</v>
      </c>
      <c r="CR343" s="2" t="inlineStr">
        <is>
          <t>NA</t>
        </is>
      </c>
      <c r="CS343" s="2" t="n">
        <v>33.1</v>
      </c>
      <c r="CT343" s="2" t="n">
        <v>19.3</v>
      </c>
      <c r="CU343" s="2" t="n">
        <v>13.8</v>
      </c>
      <c r="CV343" s="2" t="n">
        <v>227.8</v>
      </c>
      <c r="CW343" s="2" t="inlineStr">
        <is>
          <t>(D)</t>
        </is>
      </c>
      <c r="CX343" s="2" t="inlineStr">
        <is>
          <t>(D)</t>
        </is>
      </c>
      <c r="CY343" s="2" t="inlineStr">
        <is>
          <t>(D)</t>
        </is>
      </c>
      <c r="CZ343" s="2" t="n">
        <v>80.09999999999999</v>
      </c>
      <c r="DA343" s="2" t="n">
        <v>23</v>
      </c>
      <c r="DB343" s="2" t="n">
        <v>14.4</v>
      </c>
      <c r="DC343" s="2" t="n">
        <v>8.6</v>
      </c>
      <c r="DI343" s="2" t="n">
        <v>657.4</v>
      </c>
      <c r="DJ343" s="2" t="n">
        <v>482.6</v>
      </c>
      <c r="DK343" s="2" t="n">
        <v>988.4</v>
      </c>
      <c r="DM343" s="2" t="n">
        <v>509.5</v>
      </c>
      <c r="DO343" s="2" t="n">
        <v>180.4</v>
      </c>
      <c r="DP343" s="2" t="n">
        <v>302</v>
      </c>
      <c r="DS343" s="2" t="n">
        <v>1275.086300000001</v>
      </c>
      <c r="DT343" s="2" t="n">
        <v>4395.3</v>
      </c>
      <c r="DU343" s="2" t="n">
        <v>0.08630000000084692</v>
      </c>
      <c r="DV343" s="2" t="n">
        <v>0</v>
      </c>
      <c r="EA343" s="2" t="n">
        <v>634.8</v>
      </c>
      <c r="EB343" s="2" t="n">
        <v>603.8</v>
      </c>
      <c r="EC343" s="2" t="n">
        <v>523.9</v>
      </c>
      <c r="EE343" s="2" t="n">
        <v>261.4</v>
      </c>
      <c r="EG343" s="2" t="inlineStr">
        <is>
          <t>(D)</t>
        </is>
      </c>
      <c r="EH343" s="2" t="inlineStr">
        <is>
          <t>(D)</t>
        </is>
      </c>
      <c r="EK343" s="2" t="n">
        <v>1167.995</v>
      </c>
      <c r="EL343" s="2" t="n">
        <v>3659.7</v>
      </c>
      <c r="EQ343" s="2" t="n">
        <v>254.6</v>
      </c>
      <c r="ER343" s="2" t="n">
        <v>186.5</v>
      </c>
      <c r="ES343" s="2" t="n">
        <v>379.2</v>
      </c>
      <c r="EU343" s="2" t="n">
        <v>200.8</v>
      </c>
      <c r="EW343" s="2" t="n">
        <v>65.09999999999999</v>
      </c>
      <c r="EX343" s="2" t="n">
        <v>115.5</v>
      </c>
      <c r="FA343" s="2" t="n">
        <v>486.0180999999999</v>
      </c>
      <c r="FB343" s="2" t="n">
        <v>1687.7</v>
      </c>
      <c r="FG343" s="2" t="n">
        <v>516.7</v>
      </c>
      <c r="FH343" s="2" t="n">
        <v>379.8</v>
      </c>
      <c r="FI343" s="2" t="n">
        <v>781.2</v>
      </c>
      <c r="FK343" s="2" t="n">
        <v>405.8</v>
      </c>
      <c r="FM343" s="2" t="n">
        <v>144.6</v>
      </c>
      <c r="FN343" s="2" t="n">
        <v>239.8</v>
      </c>
      <c r="FQ343" s="2" t="n">
        <v>1014.78175</v>
      </c>
      <c r="FR343" s="2" t="n">
        <v>3482.7</v>
      </c>
      <c r="FW343" s="2" t="n">
        <v>333</v>
      </c>
      <c r="FX343" s="2" t="n">
        <v>156.1</v>
      </c>
      <c r="FY343" s="2" t="n">
        <v>185.3</v>
      </c>
      <c r="GA343" s="2" t="n">
        <v>135.5</v>
      </c>
      <c r="GC343" s="2" t="inlineStr">
        <is>
          <t>(D)</t>
        </is>
      </c>
      <c r="GD343" s="2" t="inlineStr">
        <is>
          <t>(D)</t>
        </is>
      </c>
      <c r="GG343" s="2" t="n">
        <v>461.17</v>
      </c>
      <c r="GH343" s="2" t="n">
        <v>1383.4</v>
      </c>
      <c r="GM343" s="2" t="n">
        <v>45.5</v>
      </c>
      <c r="GN343" s="2" t="n">
        <v>81.09999999999999</v>
      </c>
      <c r="GO343" s="2" t="n">
        <v>59.9</v>
      </c>
      <c r="GQ343" s="2" t="n">
        <v>27.1</v>
      </c>
      <c r="GS343" s="2" t="inlineStr">
        <is>
          <t>(D)</t>
        </is>
      </c>
      <c r="GT343" s="2" t="inlineStr">
        <is>
          <t>(D)</t>
        </is>
      </c>
      <c r="GW343" s="2" t="n">
        <v>102.788</v>
      </c>
      <c r="GX343" s="2" t="n">
        <v>331.3</v>
      </c>
      <c r="GY343" s="2" t="n">
        <v>0.9922480620155039</v>
      </c>
      <c r="GZ343" s="2" t="n">
        <v>1280</v>
      </c>
      <c r="HA343" s="2" t="n">
        <v>1290</v>
      </c>
      <c r="HB343" s="2" t="n">
        <v>-266.3333791722002</v>
      </c>
      <c r="HC343" s="2" t="n">
        <v>-2.691922659800639</v>
      </c>
      <c r="HD343" s="2" t="n">
        <v>1310.7666208278</v>
      </c>
      <c r="HE343" s="2" t="n">
        <v>248.5</v>
      </c>
      <c r="HF343" s="2" t="n">
        <v>1577.1</v>
      </c>
      <c r="HG343" s="2" t="n">
        <v>1294.2</v>
      </c>
      <c r="HH343" s="2" t="n">
        <v>390.2</v>
      </c>
      <c r="HI343" s="2" t="n">
        <v>62.4</v>
      </c>
      <c r="HJ343" s="2" t="n">
        <v>833.2</v>
      </c>
      <c r="HK343" s="2" t="n">
        <v>6.798</v>
      </c>
      <c r="HL343" s="2" t="n">
        <v>283</v>
      </c>
      <c r="HM343" s="2" t="n">
        <v>247.5</v>
      </c>
      <c r="HN343" s="2" t="n">
        <v>103.4</v>
      </c>
      <c r="HO343" s="2" t="n">
        <v>144</v>
      </c>
      <c r="HQ343" s="2" t="n">
        <v>2.4</v>
      </c>
      <c r="HR343" s="2" t="n">
        <v>10.7</v>
      </c>
      <c r="HT343" s="2" t="n">
        <v>22.4</v>
      </c>
      <c r="HW343" s="2" t="n">
        <v>305.2</v>
      </c>
      <c r="HX343" s="2" t="inlineStr">
        <is>
          <t>-</t>
        </is>
      </c>
      <c r="HY343" s="2" t="n">
        <v>305.2</v>
      </c>
      <c r="HZ343" s="2" t="n">
        <v>68.3</v>
      </c>
      <c r="IA343" s="2" t="n">
        <v>174.8</v>
      </c>
      <c r="IB343" s="2" t="n">
        <v>50.6</v>
      </c>
      <c r="IC343" s="2" t="n">
        <v>124.2</v>
      </c>
      <c r="ID343" s="2" t="n">
        <v>75.5</v>
      </c>
      <c r="IE343" s="2" t="n">
        <v>48.7</v>
      </c>
      <c r="IH343" s="2" t="n">
        <v>23.5</v>
      </c>
      <c r="II343" s="2" t="n">
        <v>5</v>
      </c>
      <c r="IJ343" s="2" t="n">
        <v>4</v>
      </c>
      <c r="IK343" s="2" t="n">
        <v>14.4</v>
      </c>
      <c r="IL343" s="2" t="n">
        <v>38.7</v>
      </c>
      <c r="IN343" s="2" t="n">
        <v>70</v>
      </c>
      <c r="IO343" s="2" t="n">
        <v>70.2</v>
      </c>
      <c r="IP343" s="2" t="inlineStr">
        <is>
          <t>(D)</t>
        </is>
      </c>
      <c r="IQ343" s="2" t="n">
        <v>65.2</v>
      </c>
      <c r="IR343" s="2" t="n">
        <v>12.839</v>
      </c>
      <c r="IT343" s="2" t="n">
        <v>51</v>
      </c>
      <c r="IU343" s="2" t="n">
        <v>1.142</v>
      </c>
      <c r="IV343" s="2" t="inlineStr">
        <is>
          <t>(D)</t>
        </is>
      </c>
      <c r="IW343" s="2" t="inlineStr">
        <is>
          <t>-</t>
        </is>
      </c>
      <c r="IX343" s="2" t="inlineStr">
        <is>
          <t>(D)</t>
        </is>
      </c>
      <c r="IY343" s="2" t="n">
        <v>47.41928878574841</v>
      </c>
      <c r="IZ343" s="2" t="n">
        <v>0.07928878574841036</v>
      </c>
      <c r="JB343" s="2" t="n">
        <v>11.51935021500239</v>
      </c>
      <c r="JC343" s="2" t="n">
        <v>-0.06064978499761153</v>
      </c>
      <c r="JE343" s="2" t="n">
        <v>3278.3</v>
      </c>
      <c r="JF343" s="2" t="n">
        <v>0.8289146813897447</v>
      </c>
    </row>
    <row r="344">
      <c r="A344" s="1" t="n">
        <v>39508</v>
      </c>
      <c r="B344" s="2" t="n">
        <v>4678.7</v>
      </c>
      <c r="C344" s="2" t="n">
        <v>3132.9</v>
      </c>
      <c r="D344" s="2" t="n">
        <v>236.3</v>
      </c>
      <c r="E344" s="2" t="n">
        <v>1539</v>
      </c>
      <c r="F344" s="2" t="n">
        <v>17.7</v>
      </c>
      <c r="G344" s="2" t="inlineStr">
        <is>
          <t>NA</t>
        </is>
      </c>
      <c r="H344" s="2" t="inlineStr">
        <is>
          <t>NA</t>
        </is>
      </c>
      <c r="I344" s="2" t="inlineStr">
        <is>
          <t>NA</t>
        </is>
      </c>
      <c r="J344" s="2" t="inlineStr">
        <is>
          <t>NA</t>
        </is>
      </c>
      <c r="K344" s="2" t="n">
        <v>1827.8</v>
      </c>
      <c r="L344" s="2" t="n">
        <v>3083.5</v>
      </c>
      <c r="M344" s="2" t="n">
        <v>2720.5</v>
      </c>
      <c r="N344" s="2" t="n">
        <v>362.9</v>
      </c>
      <c r="O344" s="2" t="n">
        <v>77.09999999999999</v>
      </c>
      <c r="P344" s="2" t="n">
        <v>140.1</v>
      </c>
      <c r="Q344" s="2" t="n">
        <v>15.8</v>
      </c>
      <c r="R344" s="2" t="n">
        <v>124.2</v>
      </c>
      <c r="T344" s="2" t="n">
        <v>14.3</v>
      </c>
      <c r="U344" s="2" t="n">
        <v>40.5</v>
      </c>
      <c r="V344" s="2" t="n">
        <v>35.8</v>
      </c>
      <c r="W344" s="2" t="n">
        <v>4.7</v>
      </c>
      <c r="X344" s="2" t="inlineStr">
        <is>
          <t>NA</t>
        </is>
      </c>
      <c r="Y344" s="2" t="inlineStr">
        <is>
          <t>(D)</t>
        </is>
      </c>
      <c r="Z344" s="2" t="n">
        <v>114.8</v>
      </c>
      <c r="AA344" s="2" t="inlineStr">
        <is>
          <t>(D)</t>
        </is>
      </c>
      <c r="AB344" s="2" t="inlineStr">
        <is>
          <t>(D)</t>
        </is>
      </c>
      <c r="AC344" s="2" t="inlineStr">
        <is>
          <t>NA</t>
        </is>
      </c>
      <c r="AD344" s="2" t="n">
        <v>129.4</v>
      </c>
      <c r="AE344" s="2" t="n">
        <v>133.7</v>
      </c>
      <c r="AF344" s="2" t="n">
        <v>132.3</v>
      </c>
      <c r="AG344" s="2" t="n">
        <v>84.7</v>
      </c>
      <c r="AH344" s="2" t="n">
        <v>47.5</v>
      </c>
      <c r="AI344" s="2" t="n">
        <v>222.5</v>
      </c>
      <c r="AJ344" s="2" t="n">
        <v>219.647</v>
      </c>
      <c r="AK344" s="2" t="n">
        <v>2.859</v>
      </c>
      <c r="AL344" s="2" t="n">
        <v>161.5</v>
      </c>
      <c r="AM344" s="2" t="n">
        <v>108.3</v>
      </c>
      <c r="AN344" s="2" t="n">
        <v>53.2</v>
      </c>
      <c r="AO344" s="2" t="n">
        <v>3428.2</v>
      </c>
      <c r="AP344" s="2" t="n">
        <v>359.7</v>
      </c>
      <c r="AQ344" s="2" t="n">
        <v>272.9</v>
      </c>
      <c r="AR344" s="2" t="n">
        <v>35.8</v>
      </c>
      <c r="AS344" s="2" t="n">
        <v>116.3</v>
      </c>
      <c r="AT344" s="2" t="n">
        <v>23</v>
      </c>
      <c r="AU344" s="2" t="n">
        <v>76.7</v>
      </c>
      <c r="AV344" s="2" t="n">
        <v>45.3</v>
      </c>
      <c r="AW344" s="2" t="n">
        <v>9.6</v>
      </c>
      <c r="AX344" s="2" t="inlineStr">
        <is>
          <t>NA</t>
        </is>
      </c>
      <c r="AY344" s="2" t="inlineStr">
        <is>
          <t>NA</t>
        </is>
      </c>
      <c r="AZ344" s="2" t="inlineStr">
        <is>
          <t>NA</t>
        </is>
      </c>
      <c r="BA344" s="2" t="inlineStr">
        <is>
          <t>NA</t>
        </is>
      </c>
      <c r="BB344" s="2" t="inlineStr">
        <is>
          <t>NA</t>
        </is>
      </c>
      <c r="BD344" s="2" t="n">
        <v>158.4</v>
      </c>
      <c r="BE344" s="2" t="n">
        <v>31.8</v>
      </c>
      <c r="BF344" s="2" t="n">
        <v>75.59999999999999</v>
      </c>
      <c r="BG344" s="2" t="n">
        <v>8.4</v>
      </c>
      <c r="BH344" s="2" t="n">
        <v>308.5</v>
      </c>
      <c r="BI344" s="2" t="n">
        <v>142.4</v>
      </c>
      <c r="BJ344" s="2" t="n">
        <v>89.59999999999999</v>
      </c>
      <c r="BK344" s="2" t="n">
        <v>232</v>
      </c>
      <c r="BM344" s="2" t="n">
        <v>540.5</v>
      </c>
      <c r="BN344" s="2" t="n">
        <v>260.1</v>
      </c>
      <c r="BO344" s="2" t="n">
        <v>86.7</v>
      </c>
      <c r="BP344" s="2" t="n">
        <v>28.3</v>
      </c>
      <c r="BQ344" s="2" t="n">
        <v>115</v>
      </c>
      <c r="BS344" s="2" t="n">
        <v>375.1</v>
      </c>
      <c r="BT344" s="2" t="n">
        <v>50.6</v>
      </c>
      <c r="BU344" s="2" t="n">
        <v>22.7</v>
      </c>
      <c r="BV344" s="2" t="inlineStr">
        <is>
          <t>NA</t>
        </is>
      </c>
      <c r="BW344" s="2" t="inlineStr">
        <is>
          <t>NA</t>
        </is>
      </c>
      <c r="BX344" s="2" t="n">
        <v>429</v>
      </c>
      <c r="BY344" s="2" t="inlineStr">
        <is>
          <t>NA</t>
        </is>
      </c>
      <c r="BZ344" s="2" t="inlineStr">
        <is>
          <t>NA</t>
        </is>
      </c>
      <c r="CA344" s="2" t="n">
        <v>68.90000000000001</v>
      </c>
      <c r="CB344" s="2" t="n">
        <v>117.3</v>
      </c>
      <c r="CC344" s="2" t="n">
        <v>20.6</v>
      </c>
      <c r="CD344" s="2" t="n">
        <v>132.1</v>
      </c>
      <c r="CE344" s="2" t="n">
        <v>17.4</v>
      </c>
      <c r="CF344" s="2" t="n">
        <v>115.6</v>
      </c>
      <c r="CG344" s="2" t="n">
        <v>156.2</v>
      </c>
      <c r="CH344" s="2" t="n">
        <v>6.753</v>
      </c>
      <c r="CI344" s="2" t="n">
        <v>36.9</v>
      </c>
      <c r="CJ344" s="2" t="n">
        <v>8.6</v>
      </c>
      <c r="CK344" s="2" t="n">
        <v>148.7</v>
      </c>
      <c r="CL344" s="2" t="n">
        <v>26.2</v>
      </c>
      <c r="CN344" s="2" t="n">
        <v>44.9</v>
      </c>
      <c r="CO344" s="2" t="n">
        <v>186.8</v>
      </c>
      <c r="CP344" s="2" t="n">
        <v>145.4</v>
      </c>
      <c r="CQ344" s="2" t="n">
        <v>41.3</v>
      </c>
      <c r="CR344" s="2" t="inlineStr">
        <is>
          <t>NA</t>
        </is>
      </c>
      <c r="CS344" s="2" t="n">
        <v>27.17</v>
      </c>
      <c r="CT344" s="2" t="n">
        <v>12.157</v>
      </c>
      <c r="CU344" s="2" t="n">
        <v>15</v>
      </c>
      <c r="CV344" s="2" t="n">
        <v>226.2</v>
      </c>
      <c r="CW344" s="2" t="inlineStr">
        <is>
          <t>(D)</t>
        </is>
      </c>
      <c r="CX344" s="2" t="inlineStr">
        <is>
          <t>(D)</t>
        </is>
      </c>
      <c r="CY344" s="2" t="inlineStr">
        <is>
          <t>(D)</t>
        </is>
      </c>
      <c r="CZ344" s="2" t="n">
        <v>94.09999999999999</v>
      </c>
      <c r="DA344" s="2" t="n">
        <v>21.3</v>
      </c>
      <c r="DB344" s="2" t="inlineStr">
        <is>
          <t>(D)</t>
        </is>
      </c>
      <c r="DC344" s="2" t="inlineStr">
        <is>
          <t>(D)</t>
        </is>
      </c>
      <c r="DI344" s="2" t="n">
        <v>713.4</v>
      </c>
      <c r="DJ344" s="2" t="n">
        <v>529.4</v>
      </c>
      <c r="DK344" s="2" t="n">
        <v>1040.1</v>
      </c>
      <c r="DM344" s="2" t="n">
        <v>544</v>
      </c>
      <c r="DO344" s="2" t="n">
        <v>192.8</v>
      </c>
      <c r="DP344" s="2" t="n">
        <v>316.2</v>
      </c>
      <c r="DS344" s="2" t="n">
        <v>1342.7854</v>
      </c>
      <c r="DT344" s="2" t="n">
        <v>4678.7</v>
      </c>
      <c r="DU344" s="2" t="n">
        <v>-0.01460000000042783</v>
      </c>
      <c r="DV344" s="2" t="n">
        <v>0</v>
      </c>
      <c r="EA344" s="2" t="inlineStr">
        <is>
          <t>(D)</t>
        </is>
      </c>
      <c r="EB344" s="2" t="n">
        <v>485.3</v>
      </c>
      <c r="EC344" s="2" t="n">
        <v>548.6</v>
      </c>
      <c r="EE344" s="2" t="n">
        <v>236.7</v>
      </c>
      <c r="EG344" s="2" t="inlineStr">
        <is>
          <t>(D)</t>
        </is>
      </c>
      <c r="EH344" s="2" t="inlineStr">
        <is>
          <t>(D)</t>
        </is>
      </c>
      <c r="EK344" s="2" t="n">
        <v>945.4380000000001</v>
      </c>
      <c r="EL344" s="2" t="n">
        <v>3132.9</v>
      </c>
      <c r="EQ344" s="2" t="n">
        <v>275.1</v>
      </c>
      <c r="ER344" s="2" t="n">
        <v>204.2</v>
      </c>
      <c r="ES344" s="2" t="n">
        <v>400.7</v>
      </c>
      <c r="EU344" s="2" t="n">
        <v>220.2</v>
      </c>
      <c r="EW344" s="2" t="n">
        <v>73</v>
      </c>
      <c r="EX344" s="2" t="n">
        <v>120.3</v>
      </c>
      <c r="FA344" s="2" t="n">
        <v>534.2379000000001</v>
      </c>
      <c r="FB344" s="2" t="n">
        <v>1827.8</v>
      </c>
      <c r="FG344" s="2" t="n">
        <v>566.3</v>
      </c>
      <c r="FH344" s="2" t="n">
        <v>418.2</v>
      </c>
      <c r="FI344" s="2" t="n">
        <v>814.8</v>
      </c>
      <c r="FK344" s="2" t="n">
        <v>433.6</v>
      </c>
      <c r="FM344" s="2" t="n">
        <v>153.6</v>
      </c>
      <c r="FN344" s="2" t="n">
        <v>252.3</v>
      </c>
      <c r="FQ344" s="2" t="n">
        <v>1071.3045</v>
      </c>
      <c r="FR344" s="2" t="n">
        <v>3710.2</v>
      </c>
      <c r="FW344" s="2" t="n">
        <v>301.1</v>
      </c>
      <c r="FX344" s="2" t="n">
        <v>146.7</v>
      </c>
      <c r="FY344" s="2" t="n">
        <v>159.6</v>
      </c>
      <c r="GA344" s="2" t="n">
        <v>141.8</v>
      </c>
      <c r="GC344" s="2" t="inlineStr">
        <is>
          <t>(D)</t>
        </is>
      </c>
      <c r="GD344" s="2" t="inlineStr">
        <is>
          <t>(D)</t>
        </is>
      </c>
      <c r="GG344" s="2" t="n">
        <v>424.3729999999999</v>
      </c>
      <c r="GH344" s="2" t="n">
        <v>1293.3</v>
      </c>
      <c r="GM344" s="2" t="n">
        <v>62.1</v>
      </c>
      <c r="GN344" s="2" t="n">
        <v>66</v>
      </c>
      <c r="GO344" s="2" t="n">
        <v>61.9</v>
      </c>
      <c r="GQ344" s="2" t="n">
        <v>38.9</v>
      </c>
      <c r="GS344" s="2" t="inlineStr">
        <is>
          <t>(D)</t>
        </is>
      </c>
      <c r="GT344" s="2" t="inlineStr">
        <is>
          <t>(D)</t>
        </is>
      </c>
      <c r="GW344" s="2" t="n">
        <v>141.64</v>
      </c>
      <c r="GX344" s="2" t="n">
        <v>395.4</v>
      </c>
      <c r="GY344" s="2" t="n">
        <v>0.9935211267605634</v>
      </c>
      <c r="GZ344" s="2" t="n">
        <v>1410.8</v>
      </c>
      <c r="HA344" s="2" t="n">
        <v>1420</v>
      </c>
      <c r="HB344" s="2" t="n">
        <v>-51.39018288579973</v>
      </c>
      <c r="HC344" s="2" t="n">
        <v>29.67091794400039</v>
      </c>
      <c r="HD344" s="2" t="n">
        <v>1643.1098171142</v>
      </c>
      <c r="HE344" s="2" t="n">
        <v>98.09999999999991</v>
      </c>
      <c r="HF344" s="2" t="n">
        <v>1694.5</v>
      </c>
      <c r="HG344" s="2" t="n">
        <v>1396</v>
      </c>
      <c r="HH344" s="2" t="n">
        <v>409.7</v>
      </c>
      <c r="HI344" s="2" t="inlineStr">
        <is>
          <t>(D)</t>
        </is>
      </c>
      <c r="HJ344" s="2" t="n">
        <v>913</v>
      </c>
      <c r="HK344" s="2" t="inlineStr">
        <is>
          <t>(D)</t>
        </is>
      </c>
      <c r="HL344" s="2" t="n">
        <v>298.5</v>
      </c>
      <c r="HM344" s="2" t="n">
        <v>259.5</v>
      </c>
      <c r="HN344" s="2" t="n">
        <v>115</v>
      </c>
      <c r="HO344" s="2" t="n">
        <v>144.6</v>
      </c>
      <c r="HQ344" s="2" t="n">
        <v>2.4</v>
      </c>
      <c r="HR344" s="2" t="n">
        <v>10.9</v>
      </c>
      <c r="HT344" s="2" t="n">
        <v>25.7</v>
      </c>
      <c r="HW344" s="2" t="n">
        <v>310.6</v>
      </c>
      <c r="HX344" s="2" t="inlineStr">
        <is>
          <t>-</t>
        </is>
      </c>
      <c r="HY344" s="2" t="n">
        <v>310.6</v>
      </c>
      <c r="HZ344" s="2" t="n">
        <v>60</v>
      </c>
      <c r="IA344" s="2" t="n">
        <v>183.3</v>
      </c>
      <c r="IB344" s="2" t="n">
        <v>52</v>
      </c>
      <c r="IC344" s="2" t="n">
        <v>131.3</v>
      </c>
      <c r="ID344" s="2" t="n">
        <v>82.7</v>
      </c>
      <c r="IE344" s="2" t="n">
        <v>48.6</v>
      </c>
      <c r="IH344" s="2" t="n">
        <v>30.4</v>
      </c>
      <c r="II344" s="2" t="n">
        <v>5.3</v>
      </c>
      <c r="IJ344" s="2" t="n">
        <v>8</v>
      </c>
      <c r="IK344" s="2" t="n">
        <v>17</v>
      </c>
      <c r="IL344" s="2" t="n">
        <v>36.9</v>
      </c>
      <c r="IN344" s="2" t="n">
        <v>67.8</v>
      </c>
      <c r="IO344" s="2" t="n">
        <v>68</v>
      </c>
      <c r="IP344" s="2" t="inlineStr">
        <is>
          <t>(D)</t>
        </is>
      </c>
      <c r="IQ344" s="2" t="n">
        <v>63.9</v>
      </c>
      <c r="IR344" s="2" t="n">
        <v>10.128</v>
      </c>
      <c r="IT344" s="2" t="n">
        <v>52.1</v>
      </c>
      <c r="IU344" s="2" t="n">
        <v>1.17</v>
      </c>
      <c r="IV344" s="2" t="inlineStr">
        <is>
          <t>(D)</t>
        </is>
      </c>
      <c r="IW344" s="2" t="inlineStr">
        <is>
          <t>-</t>
        </is>
      </c>
      <c r="IX344" s="2" t="inlineStr">
        <is>
          <t>(D)</t>
        </is>
      </c>
      <c r="IY344" s="2" t="n">
        <v>47.46318421783829</v>
      </c>
      <c r="IZ344" s="2" t="n">
        <v>0.0731842178382891</v>
      </c>
      <c r="JB344" s="2" t="n">
        <v>11.71992220061128</v>
      </c>
      <c r="JC344" s="2" t="n">
        <v>0.06992220061128229</v>
      </c>
      <c r="JE344" s="2" t="n">
        <v>3083.5</v>
      </c>
      <c r="JF344" s="2" t="n">
        <v>0.8202584725149992</v>
      </c>
    </row>
    <row r="345">
      <c r="A345" s="1" t="n">
        <v>39539</v>
      </c>
      <c r="B345" s="2" t="n">
        <v>4423.5</v>
      </c>
      <c r="C345" s="2" t="n">
        <v>3023.2</v>
      </c>
      <c r="D345" s="2" t="n">
        <v>245.2</v>
      </c>
      <c r="E345" s="2" t="n">
        <v>1306.9</v>
      </c>
      <c r="F345" s="2" t="n">
        <v>17.66</v>
      </c>
      <c r="G345" s="2" t="inlineStr">
        <is>
          <t>NA</t>
        </is>
      </c>
      <c r="H345" s="2" t="inlineStr">
        <is>
          <t>NA</t>
        </is>
      </c>
      <c r="I345" s="2" t="inlineStr">
        <is>
          <t>NA</t>
        </is>
      </c>
      <c r="J345" s="2" t="inlineStr">
        <is>
          <t>NA</t>
        </is>
      </c>
      <c r="K345" s="2" t="n">
        <v>1707</v>
      </c>
      <c r="L345" s="2" t="n">
        <v>2925.8</v>
      </c>
      <c r="M345" s="2" t="n">
        <v>2581.1</v>
      </c>
      <c r="N345" s="2" t="n">
        <v>344.7</v>
      </c>
      <c r="O345" s="2" t="n">
        <v>77.09999999999999</v>
      </c>
      <c r="P345" s="2" t="n">
        <v>153</v>
      </c>
      <c r="Q345" s="2" t="n">
        <v>19.5</v>
      </c>
      <c r="R345" s="2" t="n">
        <v>133.5</v>
      </c>
      <c r="T345" s="2" t="n">
        <v>14.2</v>
      </c>
      <c r="U345" s="2" t="n">
        <v>36.3</v>
      </c>
      <c r="V345" s="2" t="n">
        <v>31.7</v>
      </c>
      <c r="W345" s="2" t="n">
        <v>4.7</v>
      </c>
      <c r="X345" s="2" t="inlineStr">
        <is>
          <t>NA</t>
        </is>
      </c>
      <c r="Y345" s="2" t="inlineStr">
        <is>
          <t>(D)</t>
        </is>
      </c>
      <c r="Z345" s="2" t="n">
        <v>91.09999999999999</v>
      </c>
      <c r="AA345" s="2" t="inlineStr">
        <is>
          <t>(D)</t>
        </is>
      </c>
      <c r="AB345" s="2" t="inlineStr">
        <is>
          <t>(D)</t>
        </is>
      </c>
      <c r="AC345" s="2" t="inlineStr">
        <is>
          <t>NA</t>
        </is>
      </c>
      <c r="AD345" s="2" t="inlineStr">
        <is>
          <t>(D)</t>
        </is>
      </c>
      <c r="AE345" s="2" t="inlineStr">
        <is>
          <t>(D)</t>
        </is>
      </c>
      <c r="AF345" s="2" t="n">
        <v>142.9</v>
      </c>
      <c r="AG345" s="2" t="n">
        <v>100.9</v>
      </c>
      <c r="AH345" s="2" t="n">
        <v>42</v>
      </c>
      <c r="AI345" s="2" t="n">
        <v>190.7</v>
      </c>
      <c r="AJ345" s="2" t="n">
        <v>187.895</v>
      </c>
      <c r="AK345" s="2" t="n">
        <v>2.78</v>
      </c>
      <c r="AL345" s="2" t="n">
        <v>168.8</v>
      </c>
      <c r="AM345" s="2" t="n">
        <v>118.7</v>
      </c>
      <c r="AN345" s="2" t="n">
        <v>50.1</v>
      </c>
      <c r="AO345" s="2" t="n">
        <v>3245.8</v>
      </c>
      <c r="AP345" s="2" t="n">
        <v>304.6</v>
      </c>
      <c r="AQ345" s="2" t="n">
        <v>254.8</v>
      </c>
      <c r="AR345" s="2" t="n">
        <v>35.4</v>
      </c>
      <c r="AS345" s="2" t="n">
        <v>110.4</v>
      </c>
      <c r="AT345" s="2" t="n">
        <v>24.4</v>
      </c>
      <c r="AU345" s="2" t="n">
        <v>73.40000000000001</v>
      </c>
      <c r="AV345" s="2" t="n">
        <v>48</v>
      </c>
      <c r="AW345" s="2" t="n">
        <v>9.300000000000001</v>
      </c>
      <c r="AX345" s="2" t="n">
        <v>3.4</v>
      </c>
      <c r="AY345" s="2" t="inlineStr">
        <is>
          <t>NA</t>
        </is>
      </c>
      <c r="AZ345" s="2" t="inlineStr">
        <is>
          <t>NA</t>
        </is>
      </c>
      <c r="BA345" s="2" t="inlineStr">
        <is>
          <t>NA</t>
        </is>
      </c>
      <c r="BB345" s="2" t="inlineStr">
        <is>
          <t>NA</t>
        </is>
      </c>
      <c r="BD345" s="2" t="n">
        <v>162</v>
      </c>
      <c r="BE345" s="2" t="n">
        <v>31.7</v>
      </c>
      <c r="BF345" s="2" t="n">
        <v>79.40000000000001</v>
      </c>
      <c r="BG345" s="2" t="n">
        <v>10.1</v>
      </c>
      <c r="BH345" s="2" t="n">
        <v>311.9</v>
      </c>
      <c r="BI345" s="2" t="n">
        <v>143.8</v>
      </c>
      <c r="BJ345" s="2" t="n">
        <v>80.90000000000001</v>
      </c>
      <c r="BK345" s="2" t="n">
        <v>224.6</v>
      </c>
      <c r="BM345" s="2" t="n">
        <v>536.5</v>
      </c>
      <c r="BN345" s="2" t="n">
        <v>257.2</v>
      </c>
      <c r="BO345" s="2" t="n">
        <v>100.9</v>
      </c>
      <c r="BP345" s="2" t="n">
        <v>25.6</v>
      </c>
      <c r="BQ345" s="2" t="n">
        <v>126.5</v>
      </c>
      <c r="BS345" s="2" t="n">
        <v>383.7</v>
      </c>
      <c r="BT345" s="2" t="n">
        <v>48.5</v>
      </c>
      <c r="BU345" s="2" t="n">
        <v>22.8</v>
      </c>
      <c r="BV345" s="2" t="inlineStr">
        <is>
          <t>NA</t>
        </is>
      </c>
      <c r="BW345" s="2" t="inlineStr">
        <is>
          <t>NA</t>
        </is>
      </c>
      <c r="BX345" s="2" t="n">
        <v>437.6</v>
      </c>
      <c r="BY345" s="2" t="inlineStr">
        <is>
          <t>NA</t>
        </is>
      </c>
      <c r="BZ345" s="2" t="inlineStr">
        <is>
          <t>NA</t>
        </is>
      </c>
      <c r="CA345" s="2" t="n">
        <v>66.09999999999999</v>
      </c>
      <c r="CB345" s="2" t="n">
        <v>134.4</v>
      </c>
      <c r="CC345" s="2" t="n">
        <v>25.6</v>
      </c>
      <c r="CD345" s="2" t="n">
        <v>140.7</v>
      </c>
      <c r="CE345" s="2" t="n">
        <v>25.3</v>
      </c>
      <c r="CF345" s="2" t="n">
        <v>116.9</v>
      </c>
      <c r="CG345" s="2" t="n">
        <v>187.6</v>
      </c>
      <c r="CH345" s="2" t="n">
        <v>7.284</v>
      </c>
      <c r="CI345" s="2" t="n">
        <v>40.7</v>
      </c>
      <c r="CJ345" s="2" t="n">
        <v>8.9</v>
      </c>
      <c r="CK345" s="2" t="n">
        <v>169.8</v>
      </c>
      <c r="CL345" s="2" t="n">
        <v>29</v>
      </c>
      <c r="CN345" s="2" t="n">
        <v>55.1</v>
      </c>
      <c r="CO345" s="2" t="n">
        <v>223.9</v>
      </c>
      <c r="CP345" s="2" t="n">
        <v>174.3</v>
      </c>
      <c r="CQ345" s="2" t="n">
        <v>49.6</v>
      </c>
      <c r="CR345" s="2" t="inlineStr">
        <is>
          <t>NA</t>
        </is>
      </c>
      <c r="CS345" s="2" t="n">
        <v>35.384</v>
      </c>
      <c r="CT345" s="2" t="n">
        <v>20.47</v>
      </c>
      <c r="CU345" s="2" t="n">
        <v>14.914</v>
      </c>
      <c r="CV345" s="2" t="n">
        <v>233.1</v>
      </c>
      <c r="CW345" s="2" t="inlineStr">
        <is>
          <t>(D)</t>
        </is>
      </c>
      <c r="CX345" s="2" t="inlineStr">
        <is>
          <t>(D)</t>
        </is>
      </c>
      <c r="CY345" s="2" t="inlineStr">
        <is>
          <t>(D)</t>
        </is>
      </c>
      <c r="CZ345" s="2" t="n">
        <v>99.5</v>
      </c>
      <c r="DA345" s="2" t="n">
        <v>19</v>
      </c>
      <c r="DB345" s="2" t="inlineStr">
        <is>
          <t>(D)</t>
        </is>
      </c>
      <c r="DC345" s="2" t="inlineStr">
        <is>
          <t>(D)</t>
        </is>
      </c>
      <c r="DI345" s="2" t="n">
        <v>625.5</v>
      </c>
      <c r="DJ345" s="2" t="n">
        <v>482.7</v>
      </c>
      <c r="DK345" s="2" t="n">
        <v>1020.7</v>
      </c>
      <c r="DM345" s="2" t="n">
        <v>524.3</v>
      </c>
      <c r="DO345" s="2" t="n">
        <v>182.7</v>
      </c>
      <c r="DP345" s="2" t="n">
        <v>314.3</v>
      </c>
      <c r="DS345" s="2" t="n">
        <v>1273.35492</v>
      </c>
      <c r="DT345" s="2" t="n">
        <v>4423.5</v>
      </c>
      <c r="DU345" s="2" t="n">
        <v>0.05491999999958352</v>
      </c>
      <c r="DV345" s="2" t="n">
        <v>0</v>
      </c>
      <c r="EA345" s="2" t="n">
        <v>497.4</v>
      </c>
      <c r="EB345" s="2" t="n">
        <v>378.9</v>
      </c>
      <c r="EC345" s="2" t="n">
        <v>524.3</v>
      </c>
      <c r="EE345" s="2" t="n">
        <v>254.4</v>
      </c>
      <c r="EG345" s="2" t="n">
        <v>131.9</v>
      </c>
      <c r="EH345" s="2" t="n">
        <v>261.9</v>
      </c>
      <c r="EK345" s="2" t="n">
        <v>974.235</v>
      </c>
      <c r="EL345" s="2" t="n">
        <v>3023.2</v>
      </c>
      <c r="EQ345" s="2" t="n">
        <v>242.3</v>
      </c>
      <c r="ER345" s="2" t="n">
        <v>185.8</v>
      </c>
      <c r="ES345" s="2" t="n">
        <v>393.1</v>
      </c>
      <c r="EU345" s="2" t="n">
        <v>210.3</v>
      </c>
      <c r="EW345" s="2" t="n">
        <v>68.59999999999999</v>
      </c>
      <c r="EX345" s="2" t="n">
        <v>119</v>
      </c>
      <c r="FA345" s="2" t="n">
        <v>487.9017600000001</v>
      </c>
      <c r="FB345" s="2" t="n">
        <v>1707</v>
      </c>
      <c r="FG345" s="2" t="n">
        <v>497.2</v>
      </c>
      <c r="FH345" s="2" t="n">
        <v>383.3</v>
      </c>
      <c r="FI345" s="2" t="n">
        <v>806.3</v>
      </c>
      <c r="FK345" s="2" t="n">
        <v>414.8</v>
      </c>
      <c r="FM345" s="2" t="n">
        <v>145.9</v>
      </c>
      <c r="FN345" s="2" t="n">
        <v>251.4</v>
      </c>
      <c r="FQ345" s="2" t="n">
        <v>1009.134559999999</v>
      </c>
      <c r="FR345" s="2" t="n">
        <v>3508.1</v>
      </c>
      <c r="FW345" s="2" t="n">
        <v>248</v>
      </c>
      <c r="FX345" s="2" t="n">
        <v>124.6</v>
      </c>
      <c r="FY345" s="2" t="n">
        <v>165.8</v>
      </c>
      <c r="GA345" s="2" t="n">
        <v>125.3</v>
      </c>
      <c r="GC345" s="2" t="inlineStr">
        <is>
          <t>(D)</t>
        </is>
      </c>
      <c r="GD345" s="2" t="inlineStr">
        <is>
          <t>(D)</t>
        </is>
      </c>
      <c r="GG345" s="2" t="n">
        <v>441.701</v>
      </c>
      <c r="GH345" s="2" t="n">
        <v>1227.9</v>
      </c>
      <c r="GM345" s="2" t="n">
        <v>67.3</v>
      </c>
      <c r="GN345" s="2" t="n">
        <v>60.2</v>
      </c>
      <c r="GO345" s="2" t="n">
        <v>57</v>
      </c>
      <c r="GQ345" s="2" t="n">
        <v>42</v>
      </c>
      <c r="GS345" s="2" t="n">
        <v>9.6</v>
      </c>
      <c r="GT345" s="2" t="n">
        <v>9.1</v>
      </c>
      <c r="GW345" s="2" t="n">
        <v>94.74800000000005</v>
      </c>
      <c r="GX345" s="2" t="n">
        <v>339.9</v>
      </c>
      <c r="GY345" s="2" t="n">
        <v>0.9910707750859986</v>
      </c>
      <c r="GZ345" s="2" t="n">
        <v>1354.1</v>
      </c>
      <c r="HA345" s="2" t="n">
        <v>1366.3</v>
      </c>
      <c r="HB345" s="2" t="n">
        <v>-203.2910324010006</v>
      </c>
      <c r="HC345" s="2" t="n">
        <v>-138.5324942132002</v>
      </c>
      <c r="HD345" s="2" t="n">
        <v>1444.508967598999</v>
      </c>
      <c r="HE345" s="2" t="n">
        <v>90.20000000000005</v>
      </c>
      <c r="HF345" s="2" t="n">
        <v>1647.8</v>
      </c>
      <c r="HG345" s="2" t="n">
        <v>1347</v>
      </c>
      <c r="HH345" s="2" t="n">
        <v>385.2</v>
      </c>
      <c r="HI345" s="2" t="inlineStr">
        <is>
          <t>(D)</t>
        </is>
      </c>
      <c r="HJ345" s="2" t="n">
        <v>880.6</v>
      </c>
      <c r="HK345" s="2" t="inlineStr">
        <is>
          <t>(D)</t>
        </is>
      </c>
      <c r="HL345" s="2" t="n">
        <v>300.8</v>
      </c>
      <c r="HM345" s="2" t="n">
        <v>266.5</v>
      </c>
      <c r="HN345" s="2" t="n">
        <v>124.4</v>
      </c>
      <c r="HO345" s="2" t="n">
        <v>142</v>
      </c>
      <c r="HQ345" s="2" t="n">
        <v>2.4</v>
      </c>
      <c r="HR345" s="2" t="n">
        <v>9.800000000000001</v>
      </c>
      <c r="HT345" s="2" t="n">
        <v>22.1</v>
      </c>
      <c r="HW345" s="2" t="n">
        <v>338.7</v>
      </c>
      <c r="HX345" s="2" t="inlineStr">
        <is>
          <t>-</t>
        </is>
      </c>
      <c r="HY345" s="2" t="n">
        <v>338.7</v>
      </c>
      <c r="HZ345" s="2" t="n">
        <v>62.8</v>
      </c>
      <c r="IA345" s="2" t="n">
        <v>190.5</v>
      </c>
      <c r="IB345" s="2" t="n">
        <v>54.4</v>
      </c>
      <c r="IC345" s="2" t="n">
        <v>136.1</v>
      </c>
      <c r="ID345" s="2" t="n">
        <v>85</v>
      </c>
      <c r="IE345" s="2" t="n">
        <v>51.1</v>
      </c>
      <c r="IH345" s="2" t="n">
        <v>44.4</v>
      </c>
      <c r="II345" s="2" t="n">
        <v>7.1</v>
      </c>
      <c r="IJ345" s="2" t="n">
        <v>10.5</v>
      </c>
      <c r="IK345" s="2" t="n">
        <v>26.7</v>
      </c>
      <c r="IL345" s="2" t="n">
        <v>41</v>
      </c>
      <c r="IN345" s="2" t="n">
        <v>70.5</v>
      </c>
      <c r="IO345" s="2" t="n">
        <v>70.90000000000001</v>
      </c>
      <c r="IP345" s="2" t="inlineStr">
        <is>
          <t>(D)</t>
        </is>
      </c>
      <c r="IQ345" s="2" t="n">
        <v>71.09999999999999</v>
      </c>
      <c r="IR345" s="2" t="n">
        <v>13.353</v>
      </c>
      <c r="IT345" s="2" t="n">
        <v>56.1</v>
      </c>
      <c r="IU345" s="2" t="n">
        <v>1.283</v>
      </c>
      <c r="IV345" s="2" t="inlineStr">
        <is>
          <t>(D)</t>
        </is>
      </c>
      <c r="IW345" s="2" t="inlineStr">
        <is>
          <t>-</t>
        </is>
      </c>
      <c r="IX345" s="2" t="inlineStr">
        <is>
          <t>(D)</t>
        </is>
      </c>
      <c r="IY345" s="2" t="n">
        <v>47.48185825703629</v>
      </c>
      <c r="IZ345" s="2" t="n">
        <v>0.1718582570362912</v>
      </c>
      <c r="JB345" s="2" t="n">
        <v>11.57680569684639</v>
      </c>
      <c r="JC345" s="2" t="n">
        <v>-0.08319430315361132</v>
      </c>
      <c r="JE345" s="2" t="n">
        <v>2925.8</v>
      </c>
      <c r="JF345" s="2" t="n">
        <v>0.823511176430378</v>
      </c>
    </row>
    <row r="346">
      <c r="A346" s="1" t="n">
        <v>39569</v>
      </c>
      <c r="B346" s="2" t="n">
        <v>4578.1</v>
      </c>
      <c r="C346" s="2" t="n">
        <v>2366.4</v>
      </c>
      <c r="D346" s="2" t="n">
        <v>234.5</v>
      </c>
      <c r="E346" s="2" t="n">
        <v>1058.7</v>
      </c>
      <c r="F346" s="2" t="n">
        <v>17.3</v>
      </c>
      <c r="G346" s="2" t="inlineStr">
        <is>
          <t>NA</t>
        </is>
      </c>
      <c r="H346" s="2" t="inlineStr">
        <is>
          <t>NA</t>
        </is>
      </c>
      <c r="I346" s="2" t="inlineStr">
        <is>
          <t>NA</t>
        </is>
      </c>
      <c r="J346" s="2" t="inlineStr">
        <is>
          <t>NA</t>
        </is>
      </c>
      <c r="K346" s="2" t="n">
        <v>1756.4</v>
      </c>
      <c r="L346" s="2" t="n">
        <v>2989</v>
      </c>
      <c r="M346" s="2" t="n">
        <v>2641.8</v>
      </c>
      <c r="N346" s="2" t="n">
        <v>347.2</v>
      </c>
      <c r="O346" s="2" t="n">
        <v>70.3</v>
      </c>
      <c r="P346" s="2" t="n">
        <v>160.1</v>
      </c>
      <c r="Q346" s="2" t="n">
        <v>23.1</v>
      </c>
      <c r="R346" s="2" t="n">
        <v>137</v>
      </c>
      <c r="T346" s="2" t="n">
        <v>13.8</v>
      </c>
      <c r="U346" s="2" t="n">
        <v>36.7</v>
      </c>
      <c r="V346" s="2" t="n">
        <v>31.6</v>
      </c>
      <c r="W346" s="2" t="n">
        <v>5.1</v>
      </c>
      <c r="X346" s="2" t="inlineStr">
        <is>
          <t>NA</t>
        </is>
      </c>
      <c r="Y346" s="2" t="inlineStr">
        <is>
          <t>(D)</t>
        </is>
      </c>
      <c r="Z346" s="2" t="n">
        <v>89.90000000000001</v>
      </c>
      <c r="AA346" s="2" t="inlineStr">
        <is>
          <t>(D)</t>
        </is>
      </c>
      <c r="AB346" s="2" t="inlineStr">
        <is>
          <t>(D)</t>
        </is>
      </c>
      <c r="AC346" s="2" t="inlineStr">
        <is>
          <t>NA</t>
        </is>
      </c>
      <c r="AD346" s="2" t="n">
        <v>92.59999999999999</v>
      </c>
      <c r="AE346" s="2" t="n">
        <v>96.09999999999999</v>
      </c>
      <c r="AF346" s="2" t="n">
        <v>140.2</v>
      </c>
      <c r="AG346" s="2" t="n">
        <v>89.90000000000001</v>
      </c>
      <c r="AH346" s="2" t="n">
        <v>50.2</v>
      </c>
      <c r="AI346" s="2" t="n">
        <v>220.9</v>
      </c>
      <c r="AJ346" s="2" t="n">
        <v>217.969</v>
      </c>
      <c r="AK346" s="2" t="n">
        <v>2.883</v>
      </c>
      <c r="AL346" s="2" t="n">
        <v>161.8</v>
      </c>
      <c r="AM346" s="2" t="n">
        <v>92.7</v>
      </c>
      <c r="AN346" s="2" t="n">
        <v>69.09999999999999</v>
      </c>
      <c r="AO346" s="2" t="n">
        <v>3366.9</v>
      </c>
      <c r="AP346" s="2" t="n">
        <v>388.2</v>
      </c>
      <c r="AQ346" s="2" t="n">
        <v>266.9</v>
      </c>
      <c r="AR346" s="2" t="n">
        <v>44.8</v>
      </c>
      <c r="AS346" s="2" t="n">
        <v>103.2</v>
      </c>
      <c r="AT346" s="2" t="n">
        <v>35.4</v>
      </c>
      <c r="AU346" s="2" t="n">
        <v>70.59999999999999</v>
      </c>
      <c r="AV346" s="2" t="n">
        <v>49.4</v>
      </c>
      <c r="AW346" s="2" t="n">
        <v>9.532999999999999</v>
      </c>
      <c r="AX346" s="2" t="inlineStr">
        <is>
          <t>NA</t>
        </is>
      </c>
      <c r="AY346" s="2" t="inlineStr">
        <is>
          <t>NA</t>
        </is>
      </c>
      <c r="AZ346" s="2" t="inlineStr">
        <is>
          <t>NA</t>
        </is>
      </c>
      <c r="BA346" s="2" t="inlineStr">
        <is>
          <t>NA</t>
        </is>
      </c>
      <c r="BB346" s="2" t="inlineStr">
        <is>
          <t>NA</t>
        </is>
      </c>
      <c r="BD346" s="2" t="n">
        <v>163.6</v>
      </c>
      <c r="BE346" s="2" t="n">
        <v>38.4</v>
      </c>
      <c r="BF346" s="2" t="n">
        <v>82.90000000000001</v>
      </c>
      <c r="BG346" s="2" t="n">
        <v>12.5</v>
      </c>
      <c r="BH346" s="2" t="n">
        <v>308.1</v>
      </c>
      <c r="BI346" s="2" t="n">
        <v>142.9</v>
      </c>
      <c r="BJ346" s="2" t="n">
        <v>98.8</v>
      </c>
      <c r="BK346" s="2" t="n">
        <v>241.8</v>
      </c>
      <c r="BM346" s="2" t="n">
        <v>549.9</v>
      </c>
      <c r="BN346" s="2" t="n">
        <v>249.4</v>
      </c>
      <c r="BO346" s="2" t="n">
        <v>90.59999999999999</v>
      </c>
      <c r="BP346" s="2" t="n">
        <v>27.4</v>
      </c>
      <c r="BQ346" s="2" t="n">
        <v>118</v>
      </c>
      <c r="BS346" s="2" t="n">
        <v>367.5</v>
      </c>
      <c r="BT346" s="2" t="n">
        <v>42.6</v>
      </c>
      <c r="BU346" s="2" t="n">
        <v>19</v>
      </c>
      <c r="BV346" s="2" t="inlineStr">
        <is>
          <t>NA</t>
        </is>
      </c>
      <c r="BW346" s="2" t="inlineStr">
        <is>
          <t>NA</t>
        </is>
      </c>
      <c r="BX346" s="2" t="n">
        <v>443.4</v>
      </c>
      <c r="BY346" s="2" t="inlineStr">
        <is>
          <t>NA</t>
        </is>
      </c>
      <c r="BZ346" s="2" t="inlineStr">
        <is>
          <t>NA</t>
        </is>
      </c>
      <c r="CA346" s="2" t="n">
        <v>74.8</v>
      </c>
      <c r="CB346" s="2" t="n">
        <v>134.5</v>
      </c>
      <c r="CC346" s="2" t="n">
        <v>32</v>
      </c>
      <c r="CD346" s="2" t="n">
        <v>134.7</v>
      </c>
      <c r="CE346" s="2" t="n">
        <v>24.7</v>
      </c>
      <c r="CF346" s="2" t="n">
        <v>112.6</v>
      </c>
      <c r="CG346" s="2" t="n">
        <v>182.1</v>
      </c>
      <c r="CH346" s="2" t="n">
        <v>6.472</v>
      </c>
      <c r="CI346" s="2" t="n">
        <v>33.2</v>
      </c>
      <c r="CJ346" s="2" t="n">
        <v>10.3</v>
      </c>
      <c r="CK346" s="2" t="n">
        <v>166.2</v>
      </c>
      <c r="CL346" s="2" t="n">
        <v>32.7</v>
      </c>
      <c r="CN346" s="2" t="n">
        <v>46.8</v>
      </c>
      <c r="CO346" s="2" t="n">
        <v>204</v>
      </c>
      <c r="CP346" s="2" t="n">
        <v>159</v>
      </c>
      <c r="CQ346" s="2" t="n">
        <v>45.1</v>
      </c>
      <c r="CR346" s="2" t="inlineStr">
        <is>
          <t>NA</t>
        </is>
      </c>
      <c r="CS346" s="2" t="n">
        <v>26.231</v>
      </c>
      <c r="CT346" s="2" t="n">
        <v>13.697</v>
      </c>
      <c r="CU346" s="2" t="n">
        <v>12.534</v>
      </c>
      <c r="CV346" s="2" t="n">
        <v>220.6</v>
      </c>
      <c r="CW346" s="2" t="inlineStr">
        <is>
          <t>(D)</t>
        </is>
      </c>
      <c r="CX346" s="2" t="inlineStr">
        <is>
          <t>(D)</t>
        </is>
      </c>
      <c r="CY346" s="2" t="inlineStr">
        <is>
          <t>(D)</t>
        </is>
      </c>
      <c r="CZ346" s="2" t="n">
        <v>99</v>
      </c>
      <c r="DA346" s="2" t="n">
        <v>37.6</v>
      </c>
      <c r="DB346" s="2" t="inlineStr">
        <is>
          <t>(D)</t>
        </is>
      </c>
      <c r="DC346" s="2" t="inlineStr">
        <is>
          <t>(D)</t>
        </is>
      </c>
      <c r="DI346" s="2" t="n">
        <v>697.8</v>
      </c>
      <c r="DJ346" s="2" t="n">
        <v>545.6</v>
      </c>
      <c r="DK346" s="2" t="n">
        <v>964.1</v>
      </c>
      <c r="DM346" s="2" t="n">
        <v>488.8</v>
      </c>
      <c r="DO346" s="2" t="n">
        <v>196.9</v>
      </c>
      <c r="DP346" s="2" t="n">
        <v>283.2</v>
      </c>
      <c r="DS346" s="2" t="n">
        <v>1401.949499999999</v>
      </c>
      <c r="DT346" s="2" t="n">
        <v>4578.1</v>
      </c>
      <c r="DU346" s="2" t="n">
        <v>0.2494999999989886</v>
      </c>
      <c r="DV346" s="2" t="n">
        <v>0</v>
      </c>
      <c r="EA346" s="2" t="n">
        <v>461.2</v>
      </c>
      <c r="EB346" s="2" t="n">
        <v>265.1</v>
      </c>
      <c r="EC346" s="2" t="n">
        <v>411</v>
      </c>
      <c r="EE346" s="2" t="n">
        <v>210.8</v>
      </c>
      <c r="EG346" s="2" t="n">
        <v>56.9</v>
      </c>
      <c r="EH346" s="2" t="n">
        <v>184.2</v>
      </c>
      <c r="EK346" s="2" t="n">
        <v>777.2279999999998</v>
      </c>
      <c r="EL346" s="2" t="n">
        <v>2366.4</v>
      </c>
      <c r="EQ346" s="2" t="n">
        <v>267.3</v>
      </c>
      <c r="ER346" s="2" t="n">
        <v>212.2</v>
      </c>
      <c r="ES346" s="2" t="n">
        <v>372.6</v>
      </c>
      <c r="EU346" s="2" t="n">
        <v>183.8</v>
      </c>
      <c r="EW346" s="2" t="n">
        <v>74.3</v>
      </c>
      <c r="EX346" s="2" t="n">
        <v>108</v>
      </c>
      <c r="FA346" s="2" t="n">
        <v>538.2556</v>
      </c>
      <c r="FB346" s="2" t="n">
        <v>1756.4</v>
      </c>
      <c r="FG346" s="2" t="n">
        <v>552.5</v>
      </c>
      <c r="FH346" s="2" t="n">
        <v>434.1</v>
      </c>
      <c r="FI346" s="2" t="n">
        <v>760.9</v>
      </c>
      <c r="FK346" s="2" t="n">
        <v>396.5</v>
      </c>
      <c r="FM346" s="2" t="n">
        <v>159.2</v>
      </c>
      <c r="FN346" s="2" t="n">
        <v>224.9</v>
      </c>
      <c r="FQ346" s="2" t="n">
        <v>1113.7585</v>
      </c>
      <c r="FR346" s="2" t="n">
        <v>3641.8</v>
      </c>
      <c r="FW346" s="2" t="inlineStr">
        <is>
          <t>(D)</t>
        </is>
      </c>
      <c r="FX346" s="2" t="n">
        <v>136.3</v>
      </c>
      <c r="FY346" s="2" t="n">
        <v>190.3</v>
      </c>
      <c r="GA346" s="2" t="n">
        <v>97.3</v>
      </c>
      <c r="GC346" s="2" t="n">
        <v>53.868</v>
      </c>
      <c r="GD346" s="2" t="inlineStr">
        <is>
          <t>(D)</t>
        </is>
      </c>
      <c r="GG346" s="2" t="n">
        <v>474.19</v>
      </c>
      <c r="GH346" s="2" t="n">
        <v>1232.5</v>
      </c>
      <c r="GM346" s="2" t="inlineStr">
        <is>
          <t>(D)</t>
        </is>
      </c>
      <c r="GN346" s="2" t="n">
        <v>62.8</v>
      </c>
      <c r="GO346" s="2" t="n">
        <v>65.09999999999999</v>
      </c>
      <c r="GQ346" s="2" t="n">
        <v>28.7</v>
      </c>
      <c r="GS346" s="2" t="n">
        <v>8.199999999999999</v>
      </c>
      <c r="GT346" s="2" t="inlineStr">
        <is>
          <t>(D)</t>
        </is>
      </c>
      <c r="GW346" s="2" t="n">
        <v>139.815</v>
      </c>
      <c r="GX346" s="2" t="n">
        <v>433</v>
      </c>
      <c r="GY346" s="2" t="n">
        <v>0.9910282953761216</v>
      </c>
      <c r="GZ346" s="2" t="n">
        <v>1292.4</v>
      </c>
      <c r="HA346" s="2" t="n">
        <v>1304.1</v>
      </c>
      <c r="HB346" s="2" t="n">
        <v>-56.83502113699979</v>
      </c>
      <c r="HC346" s="2" t="n">
        <v>-106.1320748027993</v>
      </c>
      <c r="HD346" s="2" t="n">
        <v>1535.164978863</v>
      </c>
      <c r="HE346" s="2" t="n">
        <v>-104.5</v>
      </c>
      <c r="HF346" s="2" t="n">
        <v>1592</v>
      </c>
      <c r="HG346" s="2" t="n">
        <v>1290.2</v>
      </c>
      <c r="HH346" s="2" t="n">
        <v>365.1</v>
      </c>
      <c r="HI346" s="2" t="n">
        <v>62.6</v>
      </c>
      <c r="HJ346" s="2" t="n">
        <v>837.7</v>
      </c>
      <c r="HK346" s="2" t="n">
        <v>24.8</v>
      </c>
      <c r="HL346" s="2" t="n">
        <v>301.8</v>
      </c>
      <c r="HM346" s="2" t="n">
        <v>269.8</v>
      </c>
      <c r="HN346" s="2" t="n">
        <v>132.2</v>
      </c>
      <c r="HO346" s="2" t="n">
        <v>137.6</v>
      </c>
      <c r="HQ346" s="2" t="n">
        <v>3.1</v>
      </c>
      <c r="HR346" s="2" t="n">
        <v>6.1</v>
      </c>
      <c r="HT346" s="2" t="n">
        <v>22.8</v>
      </c>
      <c r="HW346" s="2" t="n">
        <v>339.2</v>
      </c>
      <c r="HX346" s="2" t="inlineStr">
        <is>
          <t>-</t>
        </is>
      </c>
      <c r="HY346" s="2" t="n">
        <v>339.2</v>
      </c>
      <c r="HZ346" s="2" t="n">
        <v>56.9</v>
      </c>
      <c r="IA346" s="2" t="n">
        <v>190.3</v>
      </c>
      <c r="IB346" s="2" t="n">
        <v>53.3</v>
      </c>
      <c r="IC346" s="2" t="n">
        <v>137</v>
      </c>
      <c r="ID346" s="2" t="n">
        <v>82.40000000000001</v>
      </c>
      <c r="IE346" s="2" t="n">
        <v>54.6</v>
      </c>
      <c r="IH346" s="2" t="n">
        <v>59</v>
      </c>
      <c r="II346" s="2" t="n">
        <v>14.2</v>
      </c>
      <c r="IJ346" s="2" t="n">
        <v>12.3</v>
      </c>
      <c r="IK346" s="2" t="n">
        <v>32.5</v>
      </c>
      <c r="IL346" s="2" t="n">
        <v>33</v>
      </c>
      <c r="IN346" s="2" t="n">
        <v>62.1</v>
      </c>
      <c r="IO346" s="2" t="n">
        <v>62.2</v>
      </c>
      <c r="IP346" s="2" t="inlineStr">
        <is>
          <t>(D)</t>
        </is>
      </c>
      <c r="IQ346" s="2" t="n">
        <v>70.90000000000001</v>
      </c>
      <c r="IR346" s="2" t="n">
        <v>10.032</v>
      </c>
      <c r="IT346" s="2" t="n">
        <v>56.7</v>
      </c>
      <c r="IU346" s="2" t="n">
        <v>3.908</v>
      </c>
      <c r="IV346" s="2" t="inlineStr">
        <is>
          <t>(D)</t>
        </is>
      </c>
      <c r="IW346" s="2" t="inlineStr">
        <is>
          <t>-</t>
        </is>
      </c>
      <c r="IX346" s="2" t="inlineStr">
        <is>
          <t>(D)</t>
        </is>
      </c>
      <c r="IY346" s="2" t="n">
        <v>47.62412354470194</v>
      </c>
      <c r="IZ346" s="2" t="n">
        <v>0.2841235447019415</v>
      </c>
      <c r="JB346" s="2" t="n">
        <v>11.5095782093008</v>
      </c>
      <c r="JC346" s="2" t="n">
        <v>-0.1604217906991998</v>
      </c>
      <c r="JE346" s="2" t="n">
        <v>2989</v>
      </c>
      <c r="JF346" s="2" t="n">
        <v>0.832779524924724</v>
      </c>
    </row>
    <row r="347">
      <c r="A347" s="1" t="n">
        <v>39600</v>
      </c>
      <c r="B347" s="2" t="n">
        <v>4231.5</v>
      </c>
      <c r="C347" s="2" t="n">
        <v>2244.7</v>
      </c>
      <c r="D347" s="2" t="n">
        <v>190.6</v>
      </c>
      <c r="E347" s="2" t="n">
        <v>838</v>
      </c>
      <c r="F347" s="2" t="n">
        <v>15.9</v>
      </c>
      <c r="G347" s="2" t="inlineStr">
        <is>
          <t>NA</t>
        </is>
      </c>
      <c r="H347" s="2" t="inlineStr">
        <is>
          <t>NA</t>
        </is>
      </c>
      <c r="I347" s="2" t="inlineStr">
        <is>
          <t>NA</t>
        </is>
      </c>
      <c r="J347" s="2" t="inlineStr">
        <is>
          <t>NA</t>
        </is>
      </c>
      <c r="K347" s="2" t="n">
        <v>1632.8</v>
      </c>
      <c r="L347" s="2" t="n">
        <v>2906</v>
      </c>
      <c r="M347" s="2" t="n">
        <v>2565.1</v>
      </c>
      <c r="N347" s="2" t="n">
        <v>340.9</v>
      </c>
      <c r="O347" s="2" t="n">
        <v>58.5</v>
      </c>
      <c r="P347" s="2" t="n">
        <v>156.6</v>
      </c>
      <c r="Q347" s="2" t="n">
        <v>20.9</v>
      </c>
      <c r="R347" s="2" t="n">
        <v>135.6</v>
      </c>
      <c r="T347" s="2" t="n">
        <v>12.595</v>
      </c>
      <c r="U347" s="2" t="n">
        <v>33.9</v>
      </c>
      <c r="V347" s="2" t="n">
        <v>28.2</v>
      </c>
      <c r="W347" s="2" t="n">
        <v>5.7</v>
      </c>
      <c r="X347" s="2" t="inlineStr">
        <is>
          <t>NA</t>
        </is>
      </c>
      <c r="Y347" s="2" t="inlineStr">
        <is>
          <t>(D)</t>
        </is>
      </c>
      <c r="Z347" s="2" t="n">
        <v>91.7</v>
      </c>
      <c r="AA347" s="2" t="inlineStr">
        <is>
          <t>(D)</t>
        </is>
      </c>
      <c r="AB347" s="2" t="inlineStr">
        <is>
          <t>(D)</t>
        </is>
      </c>
      <c r="AC347" s="2" t="inlineStr">
        <is>
          <t>NA</t>
        </is>
      </c>
      <c r="AD347" s="2" t="n">
        <v>106.6</v>
      </c>
      <c r="AE347" s="2" t="n">
        <v>110.3</v>
      </c>
      <c r="AF347" s="2" t="n">
        <v>145.2</v>
      </c>
      <c r="AG347" s="2" t="n">
        <v>92.40000000000001</v>
      </c>
      <c r="AH347" s="2" t="n">
        <v>52.8</v>
      </c>
      <c r="AI347" s="2" t="n">
        <v>193.7</v>
      </c>
      <c r="AJ347" s="2" t="n">
        <v>190.421</v>
      </c>
      <c r="AK347" s="2" t="n">
        <v>3.302</v>
      </c>
      <c r="AL347" s="2" t="n">
        <v>188.3</v>
      </c>
      <c r="AM347" s="2" t="n">
        <v>136.8</v>
      </c>
      <c r="AN347" s="2" t="n">
        <v>51.5</v>
      </c>
      <c r="AO347" s="2" t="n">
        <v>3098</v>
      </c>
      <c r="AP347" s="2" t="n">
        <v>379.4</v>
      </c>
      <c r="AQ347" s="2" t="n">
        <v>254.3</v>
      </c>
      <c r="AR347" s="2" t="n">
        <v>44.9</v>
      </c>
      <c r="AS347" s="2" t="n">
        <v>86.8</v>
      </c>
      <c r="AT347" s="2" t="n">
        <v>29.7</v>
      </c>
      <c r="AU347" s="2" t="n">
        <v>53.7</v>
      </c>
      <c r="AV347" s="2" t="n">
        <v>38.3</v>
      </c>
      <c r="AW347" s="2" t="n">
        <v>8.494</v>
      </c>
      <c r="AX347" s="2" t="inlineStr">
        <is>
          <t>NA</t>
        </is>
      </c>
      <c r="AY347" s="2" t="inlineStr">
        <is>
          <t>NA</t>
        </is>
      </c>
      <c r="AZ347" s="2" t="inlineStr">
        <is>
          <t>NA</t>
        </is>
      </c>
      <c r="BA347" s="2" t="inlineStr">
        <is>
          <t>NA</t>
        </is>
      </c>
      <c r="BB347" s="2" t="inlineStr">
        <is>
          <t>NA</t>
        </is>
      </c>
      <c r="BD347" s="2" t="n">
        <v>139.8</v>
      </c>
      <c r="BE347" s="2" t="n">
        <v>29.6</v>
      </c>
      <c r="BF347" s="2" t="n">
        <v>78.3</v>
      </c>
      <c r="BG347" s="2" t="n">
        <v>10.3</v>
      </c>
      <c r="BH347" s="2" t="n">
        <v>285.4</v>
      </c>
      <c r="BI347" s="2" t="n">
        <v>140.5</v>
      </c>
      <c r="BJ347" s="2" t="n">
        <v>91.5</v>
      </c>
      <c r="BK347" s="2" t="n">
        <v>232</v>
      </c>
      <c r="BM347" s="2" t="n">
        <v>517.4</v>
      </c>
      <c r="BN347" s="2" t="n">
        <v>231</v>
      </c>
      <c r="BO347" s="2" t="n">
        <v>99.3</v>
      </c>
      <c r="BP347" s="2" t="n">
        <v>30.1</v>
      </c>
      <c r="BQ347" s="2" t="n">
        <v>129.4</v>
      </c>
      <c r="BS347" s="2" t="n">
        <v>360.4</v>
      </c>
      <c r="BT347" s="2" t="n">
        <v>39.3</v>
      </c>
      <c r="BU347" s="2" t="n">
        <v>22.3</v>
      </c>
      <c r="BV347" s="2" t="inlineStr">
        <is>
          <t>NA</t>
        </is>
      </c>
      <c r="BW347" s="2" t="inlineStr">
        <is>
          <t>NA</t>
        </is>
      </c>
      <c r="BX347" s="2" t="n">
        <v>417.6</v>
      </c>
      <c r="BY347" s="2" t="inlineStr">
        <is>
          <t>NA</t>
        </is>
      </c>
      <c r="BZ347" s="2" t="inlineStr">
        <is>
          <t>NA</t>
        </is>
      </c>
      <c r="CA347" s="2" t="n">
        <v>60.6</v>
      </c>
      <c r="CB347" s="2" t="n">
        <v>122.5</v>
      </c>
      <c r="CC347" s="2" t="n">
        <v>32.9</v>
      </c>
      <c r="CD347" s="2" t="n">
        <v>128.2</v>
      </c>
      <c r="CE347" s="2" t="n">
        <v>29.4</v>
      </c>
      <c r="CF347" s="2" t="n">
        <v>102.8</v>
      </c>
      <c r="CG347" s="2" t="n">
        <v>145</v>
      </c>
      <c r="CH347" s="2" t="n">
        <v>5.429</v>
      </c>
      <c r="CI347" s="2" t="n">
        <v>33</v>
      </c>
      <c r="CJ347" s="2" t="n">
        <v>6.8</v>
      </c>
      <c r="CK347" s="2" t="n">
        <v>136.3</v>
      </c>
      <c r="CL347" s="2" t="n">
        <v>27.9</v>
      </c>
      <c r="CN347" s="2" t="n">
        <v>59.1</v>
      </c>
      <c r="CO347" s="2" t="n">
        <v>187.9</v>
      </c>
      <c r="CP347" s="2" t="n">
        <v>129</v>
      </c>
      <c r="CQ347" s="2" t="n">
        <v>58.9</v>
      </c>
      <c r="CR347" s="2" t="inlineStr">
        <is>
          <t>NA</t>
        </is>
      </c>
      <c r="CS347" s="2" t="n">
        <v>22.161</v>
      </c>
      <c r="CT347" s="2" t="inlineStr">
        <is>
          <t>(D)</t>
        </is>
      </c>
      <c r="CU347" s="2" t="inlineStr">
        <is>
          <t>(D)</t>
        </is>
      </c>
      <c r="CV347" s="2" t="n">
        <v>235.3</v>
      </c>
      <c r="CW347" s="2" t="inlineStr">
        <is>
          <t>(D)</t>
        </is>
      </c>
      <c r="CX347" s="2" t="inlineStr">
        <is>
          <t>(D)</t>
        </is>
      </c>
      <c r="CY347" s="2" t="inlineStr">
        <is>
          <t>(D)</t>
        </is>
      </c>
      <c r="CZ347" s="2" t="n">
        <v>96</v>
      </c>
      <c r="DA347" s="2" t="n">
        <v>29.6</v>
      </c>
      <c r="DB347" s="2" t="inlineStr">
        <is>
          <t>(D)</t>
        </is>
      </c>
      <c r="DC347" s="2" t="inlineStr">
        <is>
          <t>(D)</t>
        </is>
      </c>
      <c r="DI347" s="2" t="n">
        <v>599.9</v>
      </c>
      <c r="DJ347" s="2" t="n">
        <v>483.8</v>
      </c>
      <c r="DK347" s="2" t="n">
        <v>955.5</v>
      </c>
      <c r="DM347" s="2" t="n">
        <v>466.6</v>
      </c>
      <c r="DO347" s="2" t="n">
        <v>183.1</v>
      </c>
      <c r="DP347" s="2" t="n">
        <v>258.4</v>
      </c>
      <c r="DS347" s="2" t="n">
        <v>1284.284099999999</v>
      </c>
      <c r="DT347" s="2" t="n">
        <v>4231.5</v>
      </c>
      <c r="DU347" s="2" t="n">
        <v>0.08409999999912543</v>
      </c>
      <c r="DV347" s="2" t="n">
        <v>0</v>
      </c>
      <c r="EA347" s="2" t="n">
        <v>403.4</v>
      </c>
      <c r="EB347" s="2" t="n">
        <v>256.8</v>
      </c>
      <c r="EC347" s="2" t="n">
        <v>390.4</v>
      </c>
      <c r="EE347" s="2" t="n">
        <v>242.9</v>
      </c>
      <c r="EG347" s="2" t="inlineStr">
        <is>
          <t>(D)</t>
        </is>
      </c>
      <c r="EH347" s="2" t="inlineStr">
        <is>
          <t>(D)</t>
        </is>
      </c>
      <c r="EK347" s="2" t="n">
        <v>704.9219999999996</v>
      </c>
      <c r="EL347" s="2" t="n">
        <v>2244.7</v>
      </c>
      <c r="EQ347" s="2" t="n">
        <v>236.8</v>
      </c>
      <c r="ER347" s="2" t="n">
        <v>189.3</v>
      </c>
      <c r="ES347" s="2" t="n">
        <v>367.6</v>
      </c>
      <c r="EU347" s="2" t="n">
        <v>181.5</v>
      </c>
      <c r="EW347" s="2" t="n">
        <v>68.09999999999999</v>
      </c>
      <c r="EX347" s="2" t="n">
        <v>98.40000000000001</v>
      </c>
      <c r="FA347" s="2" t="n">
        <v>491.0704000000001</v>
      </c>
      <c r="FB347" s="2" t="n">
        <v>1632.8</v>
      </c>
      <c r="FG347" s="2" t="n">
        <v>473.8</v>
      </c>
      <c r="FH347" s="2" t="n">
        <v>384.1</v>
      </c>
      <c r="FI347" s="2" t="n">
        <v>753.3</v>
      </c>
      <c r="FK347" s="2" t="n">
        <v>373</v>
      </c>
      <c r="FM347" s="2" t="n">
        <v>147.1</v>
      </c>
      <c r="FN347" s="2" t="n">
        <v>208.3</v>
      </c>
      <c r="FQ347" s="2" t="n">
        <v>1017.5439</v>
      </c>
      <c r="FR347" s="2" t="n">
        <v>3357.2</v>
      </c>
      <c r="FW347" s="2" t="n">
        <v>179.4</v>
      </c>
      <c r="FX347" s="2" t="n">
        <v>151.4</v>
      </c>
      <c r="FY347" s="2" t="n">
        <v>194.2</v>
      </c>
      <c r="GA347" s="2" t="n">
        <v>87.2</v>
      </c>
      <c r="GC347" s="2" t="inlineStr">
        <is>
          <t>(D)</t>
        </is>
      </c>
      <c r="GD347" s="2" t="inlineStr">
        <is>
          <t>(D)</t>
        </is>
      </c>
      <c r="GG347" s="2" t="n">
        <v>479.1739999999999</v>
      </c>
      <c r="GH347" s="2" t="n">
        <v>1209</v>
      </c>
      <c r="GM347" s="2" t="n">
        <v>64.90000000000001</v>
      </c>
      <c r="GN347" s="2" t="n">
        <v>78.40000000000001</v>
      </c>
      <c r="GO347" s="2" t="n">
        <v>86.59999999999999</v>
      </c>
      <c r="GQ347" s="2" t="n">
        <v>23.1</v>
      </c>
      <c r="GS347" s="2" t="inlineStr">
        <is>
          <t>(D)</t>
        </is>
      </c>
      <c r="GT347" s="2" t="inlineStr">
        <is>
          <t>(D)</t>
        </is>
      </c>
      <c r="GW347" s="2" t="n">
        <v>142.8340000000001</v>
      </c>
      <c r="GX347" s="2" t="n">
        <v>424.2</v>
      </c>
      <c r="GY347" s="2" t="n">
        <v>0.9886097675144329</v>
      </c>
      <c r="GZ347" s="2" t="n">
        <v>1267.2</v>
      </c>
      <c r="HA347" s="2" t="n">
        <v>1281.8</v>
      </c>
      <c r="HB347" s="2" t="n">
        <v>-33.26760161519951</v>
      </c>
      <c r="HC347" s="2" t="n">
        <v>61.7402246192014</v>
      </c>
      <c r="HD347" s="2" t="n">
        <v>1552.632398384801</v>
      </c>
      <c r="HE347" s="2" t="n">
        <v>-16.59999999999991</v>
      </c>
      <c r="HF347" s="2" t="n">
        <v>1585.9</v>
      </c>
      <c r="HG347" s="2" t="n">
        <v>1251.1</v>
      </c>
      <c r="HH347" s="2" t="n">
        <v>333.5</v>
      </c>
      <c r="HI347" s="2" t="inlineStr">
        <is>
          <t>(D)</t>
        </is>
      </c>
      <c r="HJ347" s="2" t="n">
        <v>839.8</v>
      </c>
      <c r="HK347" s="2" t="inlineStr">
        <is>
          <t>(D)</t>
        </is>
      </c>
      <c r="HL347" s="2" t="n">
        <v>334.8</v>
      </c>
      <c r="HM347" s="2" t="n">
        <v>298.8</v>
      </c>
      <c r="HN347" s="2" t="n">
        <v>146.4</v>
      </c>
      <c r="HO347" s="2" t="n">
        <v>152.4</v>
      </c>
      <c r="HQ347" s="2" t="n">
        <v>2.7</v>
      </c>
      <c r="HR347" s="2" t="n">
        <v>12.1</v>
      </c>
      <c r="HT347" s="2" t="n">
        <v>21.3</v>
      </c>
      <c r="HW347" s="2" t="n">
        <v>342.8</v>
      </c>
      <c r="HX347" s="2" t="inlineStr">
        <is>
          <t>-</t>
        </is>
      </c>
      <c r="HY347" s="2" t="n">
        <v>342.8</v>
      </c>
      <c r="HZ347" s="2" t="n">
        <v>53</v>
      </c>
      <c r="IA347" s="2" t="n">
        <v>174.9</v>
      </c>
      <c r="IB347" s="2" t="n">
        <v>51.1</v>
      </c>
      <c r="IC347" s="2" t="n">
        <v>123.8</v>
      </c>
      <c r="ID347" s="2" t="n">
        <v>76.90000000000001</v>
      </c>
      <c r="IE347" s="2" t="n">
        <v>46.90000000000001</v>
      </c>
      <c r="IH347" s="2" t="n">
        <v>80.8</v>
      </c>
      <c r="II347" s="2" t="n">
        <v>20.2</v>
      </c>
      <c r="IJ347" s="2" t="n">
        <v>26.9</v>
      </c>
      <c r="IK347" s="2" t="n">
        <v>33.7</v>
      </c>
      <c r="IL347" s="2" t="n">
        <v>34.10000000000001</v>
      </c>
      <c r="IN347" s="2" t="n">
        <v>52.3</v>
      </c>
      <c r="IO347" s="2" t="n">
        <v>52.3</v>
      </c>
      <c r="IP347" s="2" t="inlineStr">
        <is>
          <t>(D)</t>
        </is>
      </c>
      <c r="IQ347" s="2" t="n">
        <v>64.2</v>
      </c>
      <c r="IR347" s="2" t="n">
        <v>12.115</v>
      </c>
      <c r="IT347" s="2" t="n">
        <v>50.4</v>
      </c>
      <c r="IU347" s="2" t="n">
        <v>1.306</v>
      </c>
      <c r="IV347" s="2" t="inlineStr">
        <is>
          <t>(D)</t>
        </is>
      </c>
      <c r="IW347" s="2" t="inlineStr">
        <is>
          <t>-</t>
        </is>
      </c>
      <c r="IX347" s="2" t="inlineStr">
        <is>
          <t>(D)</t>
        </is>
      </c>
      <c r="IY347" s="2" t="n">
        <v>47.53349875930521</v>
      </c>
      <c r="IZ347" s="2" t="n">
        <v>0.1734987593052111</v>
      </c>
      <c r="JB347" s="2" t="n">
        <v>11.57603686635945</v>
      </c>
      <c r="JC347" s="2" t="n">
        <v>-0.09396313364055331</v>
      </c>
      <c r="JE347" s="2" t="n">
        <v>2906</v>
      </c>
      <c r="JF347" s="2" t="n">
        <v>0.8428434273916036</v>
      </c>
    </row>
    <row r="348">
      <c r="A348" s="1" t="n">
        <v>39630</v>
      </c>
      <c r="B348" s="2" t="n">
        <v>4179.5</v>
      </c>
      <c r="C348" s="2" t="n">
        <v>2210.3</v>
      </c>
      <c r="D348" s="2" t="n">
        <v>193.1</v>
      </c>
      <c r="E348" s="2" t="n">
        <v>643.1</v>
      </c>
      <c r="F348" s="2" t="inlineStr">
        <is>
          <t>NA</t>
        </is>
      </c>
      <c r="G348" s="2" t="inlineStr">
        <is>
          <t>NA</t>
        </is>
      </c>
      <c r="H348" s="2" t="inlineStr">
        <is>
          <t>NA</t>
        </is>
      </c>
      <c r="I348" s="2" t="inlineStr">
        <is>
          <t>NA</t>
        </is>
      </c>
      <c r="J348" s="2" t="inlineStr">
        <is>
          <t>NA</t>
        </is>
      </c>
      <c r="K348" s="2" t="n">
        <v>1616.4</v>
      </c>
      <c r="L348" s="2" t="n">
        <v>2793.2</v>
      </c>
      <c r="M348" s="2" t="n">
        <v>2492.2</v>
      </c>
      <c r="N348" s="2" t="n">
        <v>301.1</v>
      </c>
      <c r="O348" s="2" t="n">
        <v>60.3</v>
      </c>
      <c r="P348" s="2" t="n">
        <v>141.3</v>
      </c>
      <c r="Q348" s="2" t="n">
        <v>16.7</v>
      </c>
      <c r="R348" s="2" t="n">
        <v>124.6</v>
      </c>
      <c r="T348" s="2" t="n">
        <v>13.046</v>
      </c>
      <c r="U348" s="2" t="n">
        <v>24.2</v>
      </c>
      <c r="V348" s="2" t="n">
        <v>18.4</v>
      </c>
      <c r="W348" s="2" t="n">
        <v>5.8</v>
      </c>
      <c r="X348" s="2" t="inlineStr">
        <is>
          <t>NA</t>
        </is>
      </c>
      <c r="Y348" s="2" t="inlineStr">
        <is>
          <t>(D)</t>
        </is>
      </c>
      <c r="Z348" s="2" t="n">
        <v>84.40000000000001</v>
      </c>
      <c r="AA348" s="2" t="inlineStr">
        <is>
          <t>(D)</t>
        </is>
      </c>
      <c r="AB348" s="2" t="inlineStr">
        <is>
          <t>(D)</t>
        </is>
      </c>
      <c r="AC348" s="2" t="inlineStr">
        <is>
          <t>NA</t>
        </is>
      </c>
      <c r="AD348" s="2" t="n">
        <v>116.3</v>
      </c>
      <c r="AE348" s="2" t="n">
        <v>120.5</v>
      </c>
      <c r="AF348" s="2" t="n">
        <v>142</v>
      </c>
      <c r="AG348" s="2" t="n">
        <v>98.09999999999999</v>
      </c>
      <c r="AH348" s="2" t="n">
        <v>43.9</v>
      </c>
      <c r="AI348" s="2" t="n">
        <v>214.9</v>
      </c>
      <c r="AJ348" s="2" t="n">
        <v>212.073</v>
      </c>
      <c r="AK348" s="2" t="n">
        <v>2.818</v>
      </c>
      <c r="AL348" s="2" t="n">
        <v>214.9</v>
      </c>
      <c r="AM348" s="2" t="n">
        <v>163.0532826116361</v>
      </c>
      <c r="AN348" s="2" t="n">
        <v>51.84671738836394</v>
      </c>
      <c r="AO348" s="2" t="n">
        <v>3072.4</v>
      </c>
      <c r="AP348" s="2" t="n">
        <v>268.2</v>
      </c>
      <c r="AQ348" s="2" t="n">
        <v>243.9</v>
      </c>
      <c r="AR348" s="2" t="n">
        <v>29.2</v>
      </c>
      <c r="AS348" s="2" t="n">
        <v>90.7</v>
      </c>
      <c r="AT348" s="2" t="n">
        <v>25.8</v>
      </c>
      <c r="AU348" s="2" t="n">
        <v>58.4</v>
      </c>
      <c r="AV348" s="2" t="n">
        <v>36.3</v>
      </c>
      <c r="AW348" s="2" t="n">
        <v>8.826000000000001</v>
      </c>
      <c r="AX348" s="2" t="inlineStr">
        <is>
          <t>NA</t>
        </is>
      </c>
      <c r="AY348" s="2" t="inlineStr">
        <is>
          <t>NA</t>
        </is>
      </c>
      <c r="AZ348" s="2" t="inlineStr">
        <is>
          <t>NA</t>
        </is>
      </c>
      <c r="BA348" s="2" t="inlineStr">
        <is>
          <t>NA</t>
        </is>
      </c>
      <c r="BB348" s="2" t="inlineStr">
        <is>
          <t>NA</t>
        </is>
      </c>
      <c r="BD348" s="2" t="n">
        <v>136.1</v>
      </c>
      <c r="BE348" s="2" t="n">
        <v>36.7</v>
      </c>
      <c r="BF348" s="2" t="n">
        <v>82.2</v>
      </c>
      <c r="BG348" s="2" t="n">
        <v>10.2</v>
      </c>
      <c r="BH348" s="2" t="n">
        <v>295.4</v>
      </c>
      <c r="BI348" s="2" t="n">
        <v>147.2</v>
      </c>
      <c r="BJ348" s="2" t="n">
        <v>100.2</v>
      </c>
      <c r="BK348" s="2" t="n">
        <v>247.4</v>
      </c>
      <c r="BM348" s="2" t="n">
        <v>542.8</v>
      </c>
      <c r="BN348" s="2" t="n">
        <v>194.1</v>
      </c>
      <c r="BO348" s="2" t="n">
        <v>103.1</v>
      </c>
      <c r="BP348" s="2" t="n">
        <v>27.6</v>
      </c>
      <c r="BQ348" s="2" t="n">
        <v>130.7</v>
      </c>
      <c r="BS348" s="2" t="n">
        <v>324.8</v>
      </c>
      <c r="BT348" s="2" t="n">
        <v>38.5</v>
      </c>
      <c r="BU348" s="2" t="n">
        <v>13.6</v>
      </c>
      <c r="BV348" s="2" t="inlineStr">
        <is>
          <t>NA</t>
        </is>
      </c>
      <c r="BW348" s="2" t="inlineStr">
        <is>
          <t>NA</t>
        </is>
      </c>
      <c r="BX348" s="2" t="n">
        <v>443.2</v>
      </c>
      <c r="BY348" s="2" t="inlineStr">
        <is>
          <t>NA</t>
        </is>
      </c>
      <c r="BZ348" s="2" t="inlineStr">
        <is>
          <t>NA</t>
        </is>
      </c>
      <c r="CA348" s="2" t="n">
        <v>48.7</v>
      </c>
      <c r="CB348" s="2" t="n">
        <v>126.6</v>
      </c>
      <c r="CC348" s="2" t="n">
        <v>30.8</v>
      </c>
      <c r="CD348" s="2" t="n">
        <v>136.8</v>
      </c>
      <c r="CE348" s="2" t="n">
        <v>27.2</v>
      </c>
      <c r="CF348" s="2" t="n">
        <v>102.6</v>
      </c>
      <c r="CG348" s="2" t="n">
        <v>137.7</v>
      </c>
      <c r="CH348" s="2" t="n">
        <v>5.324</v>
      </c>
      <c r="CI348" s="2" t="n">
        <v>38</v>
      </c>
      <c r="CJ348" s="2" t="n">
        <v>6.3</v>
      </c>
      <c r="CK348" s="2" t="n">
        <v>156.2</v>
      </c>
      <c r="CL348" s="2" t="n">
        <v>25.4</v>
      </c>
      <c r="CN348" s="2" t="n">
        <v>54.2</v>
      </c>
      <c r="CO348" s="2" t="n">
        <v>181.6</v>
      </c>
      <c r="CP348" s="2" t="n">
        <v>149.7</v>
      </c>
      <c r="CQ348" s="2" t="n">
        <v>31.9</v>
      </c>
      <c r="CR348" s="2" t="inlineStr">
        <is>
          <t>NA</t>
        </is>
      </c>
      <c r="CS348" s="2" t="n">
        <v>25.83</v>
      </c>
      <c r="CT348" s="2" t="n">
        <v>11.048</v>
      </c>
      <c r="CU348" s="2" t="n">
        <v>14.782</v>
      </c>
      <c r="CV348" s="2" t="n">
        <v>208</v>
      </c>
      <c r="CW348" s="2" t="inlineStr">
        <is>
          <t>(D)</t>
        </is>
      </c>
      <c r="CX348" s="2" t="inlineStr">
        <is>
          <t>(D)</t>
        </is>
      </c>
      <c r="CY348" s="2" t="inlineStr">
        <is>
          <t>(D)</t>
        </is>
      </c>
      <c r="CZ348" s="2" t="n">
        <v>79</v>
      </c>
      <c r="DA348" s="2" t="n">
        <v>17.927</v>
      </c>
      <c r="DB348" s="2" t="inlineStr">
        <is>
          <t>(D)</t>
        </is>
      </c>
      <c r="DC348" s="2" t="inlineStr">
        <is>
          <t>(D)</t>
        </is>
      </c>
      <c r="DI348" s="2" t="n">
        <v>664.5</v>
      </c>
      <c r="DJ348" s="2" t="n">
        <v>474.7</v>
      </c>
      <c r="DK348" s="2" t="n">
        <v>818</v>
      </c>
      <c r="DM348" s="2" t="n">
        <v>547.8</v>
      </c>
      <c r="DO348" s="2" t="n">
        <v>120.1</v>
      </c>
      <c r="DP348" s="2" t="n">
        <v>283.8</v>
      </c>
      <c r="DS348" s="2" t="n">
        <v>1270.59116</v>
      </c>
      <c r="DT348" s="2" t="n">
        <v>4179.5</v>
      </c>
      <c r="DU348" s="2" t="n">
        <v>-0.008839999999509018</v>
      </c>
      <c r="DV348" s="2" t="n">
        <v>0</v>
      </c>
      <c r="EA348" s="2" t="n">
        <v>401.4</v>
      </c>
      <c r="EB348" s="2" t="n">
        <v>259.5</v>
      </c>
      <c r="EC348" s="2" t="n">
        <v>530.3</v>
      </c>
      <c r="EE348" s="2" t="n">
        <v>273</v>
      </c>
      <c r="EG348" s="2" t="n">
        <v>43.5</v>
      </c>
      <c r="EH348" s="2" t="n">
        <v>116.4</v>
      </c>
      <c r="EK348" s="2" t="n">
        <v>586.26</v>
      </c>
      <c r="EL348" s="2" t="n">
        <v>2210.3</v>
      </c>
      <c r="EQ348" s="2" t="n">
        <v>258.1</v>
      </c>
      <c r="ER348" s="2" t="n">
        <v>184.1</v>
      </c>
      <c r="ES348" s="2" t="n">
        <v>316.6</v>
      </c>
      <c r="EU348" s="2" t="n">
        <v>216.6</v>
      </c>
      <c r="EW348" s="2" t="n">
        <v>46</v>
      </c>
      <c r="EX348" s="2" t="n">
        <v>110.1</v>
      </c>
      <c r="FA348" s="2" t="n">
        <v>484.9232800000001</v>
      </c>
      <c r="FB348" s="2" t="n">
        <v>1616.4</v>
      </c>
      <c r="FG348" s="2" t="n">
        <v>530.6</v>
      </c>
      <c r="FH348" s="2" t="n">
        <v>386.3</v>
      </c>
      <c r="FI348" s="2" t="n">
        <v>646.2</v>
      </c>
      <c r="FK348" s="2" t="n">
        <v>431.5</v>
      </c>
      <c r="FM348" s="2" t="n">
        <v>98.59999999999999</v>
      </c>
      <c r="FN348" s="2" t="n">
        <v>225</v>
      </c>
      <c r="FQ348" s="2" t="n">
        <v>1006.3242</v>
      </c>
      <c r="FR348" s="2" t="n">
        <v>3324.5</v>
      </c>
      <c r="FW348" s="2" t="n">
        <v>190.2</v>
      </c>
      <c r="FX348" s="2" t="n">
        <v>128.7</v>
      </c>
      <c r="FY348" s="2" t="n">
        <v>170.7</v>
      </c>
      <c r="GA348" s="2" t="n">
        <v>68.59999999999999</v>
      </c>
      <c r="GC348" s="2" t="inlineStr">
        <is>
          <t>(D)</t>
        </is>
      </c>
      <c r="GD348" s="2" t="inlineStr">
        <is>
          <t>(D)</t>
        </is>
      </c>
      <c r="GG348" s="2" t="n">
        <v>463.6</v>
      </c>
      <c r="GH348" s="2" t="n">
        <v>1133.2</v>
      </c>
      <c r="GM348" s="2" t="n">
        <v>47.8</v>
      </c>
      <c r="GN348" s="2" t="n">
        <v>50.4</v>
      </c>
      <c r="GO348" s="2" t="n">
        <v>46.8</v>
      </c>
      <c r="GQ348" s="2" t="n">
        <v>27.9</v>
      </c>
      <c r="GS348" s="2" t="n">
        <v>2</v>
      </c>
      <c r="GT348" s="2" t="n">
        <v>10.6</v>
      </c>
      <c r="GW348" s="2" t="n">
        <v>113.824</v>
      </c>
      <c r="GX348" s="2" t="n">
        <v>299.3</v>
      </c>
      <c r="GY348" s="2" t="n">
        <v>0.9937951675304767</v>
      </c>
      <c r="GZ348" s="2" t="n">
        <v>1361.4</v>
      </c>
      <c r="HA348" s="2" t="n">
        <v>1369.9</v>
      </c>
      <c r="HB348" s="2" t="n">
        <v>-46.73280862739944</v>
      </c>
      <c r="HC348" s="2" t="n">
        <v>-52.8922926257992</v>
      </c>
      <c r="HD348" s="2" t="n">
        <v>1608.967191372601</v>
      </c>
      <c r="HE348" s="2" t="n">
        <v>-121.5999999999999</v>
      </c>
      <c r="HF348" s="2" t="n">
        <v>1655.7</v>
      </c>
      <c r="HG348" s="2" t="n">
        <v>1305.6</v>
      </c>
      <c r="HH348" s="2" t="n">
        <v>352.4</v>
      </c>
      <c r="HI348" s="2" t="inlineStr">
        <is>
          <t>(S)</t>
        </is>
      </c>
      <c r="HJ348" s="2" t="n">
        <v>881.8</v>
      </c>
      <c r="HK348" s="2" t="inlineStr">
        <is>
          <t>(S)</t>
        </is>
      </c>
      <c r="HL348" s="2" t="n">
        <v>350.1</v>
      </c>
      <c r="HM348" s="2" t="n">
        <v>319.1</v>
      </c>
      <c r="HN348" s="2" t="n">
        <v>150.4</v>
      </c>
      <c r="HO348" s="2" t="n">
        <v>168.7</v>
      </c>
      <c r="HQ348" s="2" t="n">
        <v>3.9</v>
      </c>
      <c r="HR348" s="2" t="n">
        <v>7.3</v>
      </c>
      <c r="HT348" s="2" t="n">
        <v>19.8</v>
      </c>
      <c r="HW348" s="2" t="n">
        <v>358.8</v>
      </c>
      <c r="HX348" s="2" t="inlineStr">
        <is>
          <t>-</t>
        </is>
      </c>
      <c r="HY348" s="2" t="n">
        <v>358.8</v>
      </c>
      <c r="HZ348" s="2" t="n">
        <v>75.7</v>
      </c>
      <c r="IA348" s="2" t="n">
        <v>163.8</v>
      </c>
      <c r="IB348" s="2" t="n">
        <v>52.8</v>
      </c>
      <c r="IC348" s="2" t="n">
        <v>111</v>
      </c>
      <c r="ID348" s="2" t="n">
        <v>63.7</v>
      </c>
      <c r="IE348" s="2" t="n">
        <v>47.3</v>
      </c>
      <c r="IH348" s="2" t="n">
        <v>84.5</v>
      </c>
      <c r="II348" s="2" t="n">
        <v>27.1</v>
      </c>
      <c r="IJ348" s="2" t="n">
        <v>16.8</v>
      </c>
      <c r="IK348" s="2" t="n">
        <v>40.5</v>
      </c>
      <c r="IL348" s="2" t="n">
        <v>34.9</v>
      </c>
      <c r="IN348" s="2" t="n">
        <v>55.2</v>
      </c>
      <c r="IO348" s="2" t="n">
        <v>55.3</v>
      </c>
      <c r="IP348" s="2" t="inlineStr">
        <is>
          <t>(D)</t>
        </is>
      </c>
      <c r="IQ348" s="2" t="n">
        <v>72.5</v>
      </c>
      <c r="IR348" s="2" t="inlineStr">
        <is>
          <t>(D)</t>
        </is>
      </c>
      <c r="IT348" s="2" t="n">
        <v>59.9</v>
      </c>
      <c r="IU348" s="2" t="inlineStr">
        <is>
          <t>(D)</t>
        </is>
      </c>
      <c r="IV348" s="2" t="inlineStr">
        <is>
          <t>(D)</t>
        </is>
      </c>
      <c r="IW348" s="2" t="inlineStr">
        <is>
          <t>-</t>
        </is>
      </c>
      <c r="IX348" s="2" t="inlineStr">
        <is>
          <t>(D)</t>
        </is>
      </c>
      <c r="IY348" s="2" t="n">
        <v>47.60808709175739</v>
      </c>
      <c r="IZ348" s="2" t="n">
        <v>0.2180870917573898</v>
      </c>
      <c r="JB348" s="2" t="n">
        <v>11.6023447780835</v>
      </c>
      <c r="JC348" s="2" t="n">
        <v>-0.0576552219164963</v>
      </c>
      <c r="JE348" s="2" t="n">
        <v>2793.2</v>
      </c>
      <c r="JF348" s="2" t="n">
        <v>0.8474212372905627</v>
      </c>
    </row>
    <row r="349">
      <c r="A349" s="1" t="n">
        <v>39661</v>
      </c>
      <c r="B349" s="2" t="n">
        <v>3858.8</v>
      </c>
      <c r="C349" s="2" t="n">
        <v>1599.8</v>
      </c>
      <c r="D349" s="2" t="n">
        <v>202.3</v>
      </c>
      <c r="E349" s="2" t="n">
        <v>516.1</v>
      </c>
      <c r="F349" s="2" t="n">
        <v>15.5</v>
      </c>
      <c r="G349" s="2" t="inlineStr">
        <is>
          <t>NA</t>
        </is>
      </c>
      <c r="H349" s="2" t="inlineStr">
        <is>
          <t>NA</t>
        </is>
      </c>
      <c r="I349" s="2" t="inlineStr">
        <is>
          <t>NA</t>
        </is>
      </c>
      <c r="J349" s="2" t="inlineStr">
        <is>
          <t>NA</t>
        </is>
      </c>
      <c r="K349" s="2" t="n">
        <v>1507.5</v>
      </c>
      <c r="L349" s="2" t="n">
        <v>2567.4</v>
      </c>
      <c r="M349" s="2" t="n">
        <v>2272</v>
      </c>
      <c r="N349" s="2" t="n">
        <v>295.4</v>
      </c>
      <c r="O349" s="2" t="n">
        <v>64.40000000000001</v>
      </c>
      <c r="P349" s="2" t="n">
        <v>149.8</v>
      </c>
      <c r="Q349" s="2" t="n">
        <v>25.4</v>
      </c>
      <c r="R349" s="2" t="n">
        <v>124.5</v>
      </c>
      <c r="T349" s="2" t="n">
        <v>11.8</v>
      </c>
      <c r="U349" s="2" t="n">
        <v>14.4</v>
      </c>
      <c r="V349" s="2" t="n">
        <v>8.800000000000001</v>
      </c>
      <c r="W349" s="2" t="n">
        <v>5.6</v>
      </c>
      <c r="X349" s="2" t="inlineStr">
        <is>
          <t>NA</t>
        </is>
      </c>
      <c r="Y349" s="2" t="inlineStr">
        <is>
          <t>(D)</t>
        </is>
      </c>
      <c r="Z349" s="2" t="n">
        <v>60.7</v>
      </c>
      <c r="AA349" s="2" t="inlineStr">
        <is>
          <t>(D)</t>
        </is>
      </c>
      <c r="AB349" s="2" t="inlineStr">
        <is>
          <t>(D)</t>
        </is>
      </c>
      <c r="AC349" s="2" t="inlineStr">
        <is>
          <t>NA</t>
        </is>
      </c>
      <c r="AD349" s="2" t="n">
        <v>90.7</v>
      </c>
      <c r="AE349" s="2" t="n">
        <v>94.2</v>
      </c>
      <c r="AF349" s="2" t="n">
        <v>199.9</v>
      </c>
      <c r="AG349" s="2" t="n">
        <v>134.2</v>
      </c>
      <c r="AH349" s="2" t="n">
        <v>65.8</v>
      </c>
      <c r="AI349" s="2" t="n">
        <v>217.3</v>
      </c>
      <c r="AJ349" s="2" t="n">
        <v>213.715</v>
      </c>
      <c r="AK349" s="2" t="n">
        <v>3.605</v>
      </c>
      <c r="AL349" s="2" t="n">
        <v>198.7</v>
      </c>
      <c r="AM349" s="2" t="n">
        <v>125.7</v>
      </c>
      <c r="AN349" s="2" t="n">
        <v>73</v>
      </c>
      <c r="AO349" s="2" t="n">
        <v>2821.7</v>
      </c>
      <c r="AP349" s="2" t="n">
        <v>375.9</v>
      </c>
      <c r="AQ349" s="2" t="n">
        <v>230.6</v>
      </c>
      <c r="AR349" s="2" t="n">
        <v>39.4</v>
      </c>
      <c r="AS349" s="2" t="n">
        <v>96.5</v>
      </c>
      <c r="AT349" s="2" t="n">
        <v>42.5</v>
      </c>
      <c r="AU349" s="2" t="n">
        <v>59.5</v>
      </c>
      <c r="AV349" s="2" t="n">
        <v>39.2</v>
      </c>
      <c r="AW349" s="2" t="n">
        <v>7.7</v>
      </c>
      <c r="AX349" s="2" t="inlineStr">
        <is>
          <t>NA</t>
        </is>
      </c>
      <c r="AY349" s="2" t="inlineStr">
        <is>
          <t>NA</t>
        </is>
      </c>
      <c r="AZ349" s="2" t="inlineStr">
        <is>
          <t>NA</t>
        </is>
      </c>
      <c r="BA349" s="2" t="inlineStr">
        <is>
          <t>NA</t>
        </is>
      </c>
      <c r="BB349" s="2" t="inlineStr">
        <is>
          <t>NA</t>
        </is>
      </c>
      <c r="BD349" s="2" t="n">
        <v>112.6</v>
      </c>
      <c r="BE349" s="2" t="n">
        <v>28</v>
      </c>
      <c r="BF349" s="2" t="n">
        <v>74.5</v>
      </c>
      <c r="BG349" s="2" t="n">
        <v>10.2</v>
      </c>
      <c r="BH349" s="2" t="n">
        <v>277.5</v>
      </c>
      <c r="BI349" s="2" t="n">
        <v>127.7</v>
      </c>
      <c r="BJ349" s="2" t="n">
        <v>95.5</v>
      </c>
      <c r="BK349" s="2" t="n">
        <v>223.2</v>
      </c>
      <c r="BM349" s="2" t="n">
        <v>500.8</v>
      </c>
      <c r="BN349" s="2" t="n">
        <v>173.1</v>
      </c>
      <c r="BO349" s="2" t="n">
        <v>98.5</v>
      </c>
      <c r="BP349" s="2" t="n">
        <v>31.2</v>
      </c>
      <c r="BQ349" s="2" t="n">
        <v>129.7</v>
      </c>
      <c r="BS349" s="2" t="n">
        <v>302.8</v>
      </c>
      <c r="BT349" s="2" t="n">
        <v>42.5</v>
      </c>
      <c r="BU349" s="2" t="n">
        <v>17.9</v>
      </c>
      <c r="BV349" s="2" t="inlineStr">
        <is>
          <t>NA</t>
        </is>
      </c>
      <c r="BW349" s="2" t="inlineStr">
        <is>
          <t>NA</t>
        </is>
      </c>
      <c r="BX349" s="2" t="n">
        <v>412.5</v>
      </c>
      <c r="BY349" s="2" t="inlineStr">
        <is>
          <t>NA</t>
        </is>
      </c>
      <c r="BZ349" s="2" t="inlineStr">
        <is>
          <t>NA</t>
        </is>
      </c>
      <c r="CA349" s="2" t="n">
        <v>60</v>
      </c>
      <c r="CB349" s="2" t="n">
        <v>113.8</v>
      </c>
      <c r="CC349" s="2" t="n">
        <v>33.9</v>
      </c>
      <c r="CD349" s="2" t="n">
        <v>131.8</v>
      </c>
      <c r="CE349" s="2" t="n">
        <v>31.5</v>
      </c>
      <c r="CF349" s="2" t="n">
        <v>107.2</v>
      </c>
      <c r="CG349" s="2" t="n">
        <v>138.5</v>
      </c>
      <c r="CH349" s="2" t="n">
        <v>8.244</v>
      </c>
      <c r="CI349" s="2" t="n">
        <v>39.3</v>
      </c>
      <c r="CJ349" s="2" t="n">
        <v>9.800000000000001</v>
      </c>
      <c r="CK349" s="2" t="n">
        <v>145.5</v>
      </c>
      <c r="CL349" s="2" t="n">
        <v>25.2</v>
      </c>
      <c r="CN349" s="2" t="n">
        <v>58.5</v>
      </c>
      <c r="CO349" s="2" t="n">
        <v>180.4</v>
      </c>
      <c r="CP349" s="2" t="n">
        <v>130.9</v>
      </c>
      <c r="CQ349" s="2" t="n">
        <v>49.5</v>
      </c>
      <c r="CR349" s="2" t="inlineStr">
        <is>
          <t>NA</t>
        </is>
      </c>
      <c r="CS349" s="2" t="n">
        <v>31.568</v>
      </c>
      <c r="CT349" s="2" t="n">
        <v>14.016</v>
      </c>
      <c r="CU349" s="2" t="n">
        <v>17.552</v>
      </c>
      <c r="CV349" s="2" t="n">
        <v>222</v>
      </c>
      <c r="CW349" s="2" t="inlineStr">
        <is>
          <t>(D)</t>
        </is>
      </c>
      <c r="CX349" s="2" t="inlineStr">
        <is>
          <t>(D)</t>
        </is>
      </c>
      <c r="CY349" s="2" t="inlineStr">
        <is>
          <t>(D)</t>
        </is>
      </c>
      <c r="CZ349" s="2" t="n">
        <v>92.8</v>
      </c>
      <c r="DA349" s="2" t="n">
        <v>17.07</v>
      </c>
      <c r="DB349" s="2" t="inlineStr">
        <is>
          <t>(D)</t>
        </is>
      </c>
      <c r="DC349" s="2" t="inlineStr">
        <is>
          <t>(D)</t>
        </is>
      </c>
      <c r="DI349" s="2" t="n">
        <v>610.4</v>
      </c>
      <c r="DJ349" s="2" t="n">
        <v>512.9</v>
      </c>
      <c r="DK349" s="2" t="n">
        <v>812.4</v>
      </c>
      <c r="DM349" s="2" t="n">
        <v>530.8</v>
      </c>
      <c r="DO349" s="2" t="n">
        <v>107.3</v>
      </c>
      <c r="DP349" s="2" t="n">
        <v>241.3</v>
      </c>
      <c r="DS349" s="2" t="n">
        <v>1043.69665</v>
      </c>
      <c r="DT349" s="2" t="n">
        <v>3858.8</v>
      </c>
      <c r="DU349" s="2" t="n">
        <v>-0.003349999999954889</v>
      </c>
      <c r="DV349" s="2" t="n">
        <v>0</v>
      </c>
      <c r="EA349" s="2" t="n">
        <v>336.7</v>
      </c>
      <c r="EB349" s="2" t="n">
        <v>140</v>
      </c>
      <c r="EC349" s="2" t="n">
        <v>471</v>
      </c>
      <c r="EE349" s="2" t="n">
        <v>105</v>
      </c>
      <c r="EG349" s="2" t="n">
        <v>79.8</v>
      </c>
      <c r="EH349" s="2" t="n">
        <v>71.8</v>
      </c>
      <c r="EK349" s="2" t="n">
        <v>395.58</v>
      </c>
      <c r="EL349" s="2" t="n">
        <v>1599.8</v>
      </c>
      <c r="EQ349" s="2" t="n">
        <v>242</v>
      </c>
      <c r="ER349" s="2" t="n">
        <v>198</v>
      </c>
      <c r="ES349" s="2" t="n">
        <v>313.4</v>
      </c>
      <c r="EU349" s="2" t="n">
        <v>213.2</v>
      </c>
      <c r="EW349" s="2" t="n">
        <v>40.9</v>
      </c>
      <c r="EX349" s="2" t="n">
        <v>92.8</v>
      </c>
      <c r="FA349" s="2" t="n">
        <v>407.2556499999998</v>
      </c>
      <c r="FB349" s="2" t="n">
        <v>1507.5</v>
      </c>
      <c r="FG349" s="2" t="n">
        <v>491.2</v>
      </c>
      <c r="FH349" s="2" t="n">
        <v>407.7</v>
      </c>
      <c r="FI349" s="2" t="n">
        <v>639.8</v>
      </c>
      <c r="FK349" s="2" t="n">
        <v>416.2</v>
      </c>
      <c r="FM349" s="2" t="n">
        <v>86.2</v>
      </c>
      <c r="FN349" s="2" t="n">
        <v>192.7</v>
      </c>
      <c r="FQ349" s="2" t="n">
        <v>826.16005</v>
      </c>
      <c r="FR349" s="2" t="n">
        <v>3060</v>
      </c>
      <c r="FW349" s="2" t="n">
        <v>166.2</v>
      </c>
      <c r="FX349" s="2" t="n">
        <v>118.1</v>
      </c>
      <c r="FY349" s="2" t="n">
        <v>212.3</v>
      </c>
      <c r="GA349" s="2" t="n">
        <v>49.5</v>
      </c>
      <c r="GC349" s="2" t="inlineStr">
        <is>
          <t>(D)</t>
        </is>
      </c>
      <c r="GD349" s="2" t="inlineStr">
        <is>
          <t>(D)</t>
        </is>
      </c>
      <c r="GG349" s="2" t="n">
        <v>409.689</v>
      </c>
      <c r="GH349" s="2" t="n">
        <v>1053</v>
      </c>
      <c r="GM349" s="2" t="n">
        <v>71.90000000000001</v>
      </c>
      <c r="GN349" s="2" t="n">
        <v>101</v>
      </c>
      <c r="GO349" s="2" t="n">
        <v>53.2</v>
      </c>
      <c r="GQ349" s="2" t="n">
        <v>44.2</v>
      </c>
      <c r="GS349" s="2" t="inlineStr">
        <is>
          <t>(D)</t>
        </is>
      </c>
      <c r="GT349" s="2" t="inlineStr">
        <is>
          <t>(D)</t>
        </is>
      </c>
      <c r="GW349" s="2" t="n">
        <v>108.573</v>
      </c>
      <c r="GX349" s="2" t="n">
        <v>415.2</v>
      </c>
      <c r="GY349" s="2" t="n">
        <v>0.988834812482107</v>
      </c>
      <c r="GZ349" s="2" t="n">
        <v>1381.6</v>
      </c>
      <c r="HA349" s="2" t="n">
        <v>1397.2</v>
      </c>
      <c r="HB349" s="2" t="n">
        <v>-148.1182953257996</v>
      </c>
      <c r="HC349" s="2" t="n">
        <v>-117.2248936185997</v>
      </c>
      <c r="HD349" s="2" t="n">
        <v>1552.1817046742</v>
      </c>
      <c r="HE349" s="2" t="n">
        <v>3.099999999999909</v>
      </c>
      <c r="HF349" s="2" t="n">
        <v>1700.3</v>
      </c>
      <c r="HG349" s="2" t="n">
        <v>1331.8</v>
      </c>
      <c r="HH349" s="2" t="n">
        <v>365.6</v>
      </c>
      <c r="HI349" s="2" t="inlineStr">
        <is>
          <t>(S)</t>
        </is>
      </c>
      <c r="HJ349" s="2" t="n">
        <v>893.4</v>
      </c>
      <c r="HK349" s="2" t="inlineStr">
        <is>
          <t>(S)</t>
        </is>
      </c>
      <c r="HL349" s="2" t="n">
        <v>368.5</v>
      </c>
      <c r="HM349" s="2" t="n">
        <v>331.9</v>
      </c>
      <c r="HN349" s="2" t="n">
        <v>164.9</v>
      </c>
      <c r="HO349" s="2" t="n">
        <v>166.9</v>
      </c>
      <c r="HQ349" s="2" t="n">
        <v>3.9</v>
      </c>
      <c r="HR349" s="2" t="n">
        <v>11.7</v>
      </c>
      <c r="HT349" s="2" t="n">
        <v>21</v>
      </c>
      <c r="HW349" s="2" t="n">
        <v>351.3</v>
      </c>
      <c r="HX349" s="2" t="inlineStr">
        <is>
          <t>-</t>
        </is>
      </c>
      <c r="HY349" s="2" t="n">
        <v>351.3</v>
      </c>
      <c r="HZ349" s="2" t="n">
        <v>61.8</v>
      </c>
      <c r="IA349" s="2" t="n">
        <v>170.4</v>
      </c>
      <c r="IB349" s="2" t="n">
        <v>41.5</v>
      </c>
      <c r="IC349" s="2" t="n">
        <v>128.9</v>
      </c>
      <c r="ID349" s="2" t="n">
        <v>76.7</v>
      </c>
      <c r="IE349" s="2" t="n">
        <v>52.2</v>
      </c>
      <c r="IH349" s="2" t="n">
        <v>88</v>
      </c>
      <c r="II349" s="2" t="n">
        <v>39.6</v>
      </c>
      <c r="IJ349" s="2" t="n">
        <v>8.4</v>
      </c>
      <c r="IK349" s="2" t="n">
        <v>40</v>
      </c>
      <c r="IL349" s="2" t="n">
        <v>31.1</v>
      </c>
      <c r="IN349" s="2" t="n">
        <v>56.9</v>
      </c>
      <c r="IO349" s="2" t="n">
        <v>57.1</v>
      </c>
      <c r="IP349" s="2" t="inlineStr">
        <is>
          <t>(D)</t>
        </is>
      </c>
      <c r="IQ349" s="2" t="n">
        <v>63.8</v>
      </c>
      <c r="IR349" s="2" t="inlineStr">
        <is>
          <t>(D)</t>
        </is>
      </c>
      <c r="IT349" s="2" t="n">
        <v>52.3</v>
      </c>
      <c r="IU349" s="2" t="inlineStr">
        <is>
          <t>(D)</t>
        </is>
      </c>
      <c r="IV349" s="2" t="inlineStr">
        <is>
          <t>(D)</t>
        </is>
      </c>
      <c r="IW349" s="2" t="inlineStr">
        <is>
          <t>-</t>
        </is>
      </c>
      <c r="IX349" s="2" t="inlineStr">
        <is>
          <t>(D)</t>
        </is>
      </c>
      <c r="IY349" s="2" t="n">
        <v>47.45983207214677</v>
      </c>
      <c r="IZ349" s="2" t="n">
        <v>0.1998320721467763</v>
      </c>
      <c r="JB349" s="2" t="n">
        <v>11.71996475588266</v>
      </c>
      <c r="JC349" s="2" t="n">
        <v>-0.05003524411734084</v>
      </c>
      <c r="JE349" s="2" t="n">
        <v>2567.4</v>
      </c>
      <c r="JF349" s="2" t="n">
        <v>0.8383228168575212</v>
      </c>
    </row>
    <row r="350">
      <c r="A350" s="1" t="n">
        <v>39692</v>
      </c>
      <c r="B350" s="2" t="n">
        <v>3770.7</v>
      </c>
      <c r="C350" s="2" t="n">
        <v>1502.5</v>
      </c>
      <c r="D350" s="2" t="n">
        <v>147.4</v>
      </c>
      <c r="E350" s="2" t="n">
        <v>443</v>
      </c>
      <c r="F350" s="2" t="n">
        <v>17.942</v>
      </c>
      <c r="G350" s="2" t="inlineStr">
        <is>
          <t>NA</t>
        </is>
      </c>
      <c r="H350" s="2" t="inlineStr">
        <is>
          <t>NA</t>
        </is>
      </c>
      <c r="I350" s="2" t="inlineStr">
        <is>
          <t>NA</t>
        </is>
      </c>
      <c r="J350" s="2" t="inlineStr">
        <is>
          <t>NA</t>
        </is>
      </c>
      <c r="K350" s="2" t="n">
        <v>1445.5</v>
      </c>
      <c r="L350" s="2" t="n">
        <v>2484.6</v>
      </c>
      <c r="M350" s="2" t="n">
        <v>2203.5</v>
      </c>
      <c r="N350" s="2" t="n">
        <v>281.1</v>
      </c>
      <c r="O350" s="2" t="n">
        <v>55</v>
      </c>
      <c r="P350" s="2" t="n">
        <v>146.6</v>
      </c>
      <c r="Q350" s="2" t="n">
        <v>27.8</v>
      </c>
      <c r="R350" s="2" t="n">
        <v>118.8</v>
      </c>
      <c r="T350" s="2" t="n">
        <v>14.6</v>
      </c>
      <c r="U350" s="2" t="n">
        <v>33.9</v>
      </c>
      <c r="V350" s="2" t="n">
        <v>30.5</v>
      </c>
      <c r="W350" s="2" t="n">
        <v>3.5</v>
      </c>
      <c r="X350" s="2" t="inlineStr">
        <is>
          <t>NA</t>
        </is>
      </c>
      <c r="Y350" s="2" t="inlineStr">
        <is>
          <t>(D)</t>
        </is>
      </c>
      <c r="Z350" s="2" t="n">
        <v>26.3</v>
      </c>
      <c r="AA350" s="2" t="inlineStr">
        <is>
          <t>(D)</t>
        </is>
      </c>
      <c r="AB350" s="2" t="inlineStr">
        <is>
          <t>(D)</t>
        </is>
      </c>
      <c r="AC350" s="2" t="inlineStr">
        <is>
          <t>NA</t>
        </is>
      </c>
      <c r="AD350" s="2" t="n">
        <v>104.3</v>
      </c>
      <c r="AE350" s="2" t="n">
        <v>108.2</v>
      </c>
      <c r="AF350" s="2" t="n">
        <v>133</v>
      </c>
      <c r="AG350" s="2" t="n">
        <v>72.40000000000001</v>
      </c>
      <c r="AH350" s="2" t="n">
        <v>60.6</v>
      </c>
      <c r="AI350" s="2" t="n">
        <v>207.3</v>
      </c>
      <c r="AJ350" s="2" t="n">
        <v>203.393</v>
      </c>
      <c r="AK350" s="2" t="n">
        <v>3.898</v>
      </c>
      <c r="AL350" s="2" t="n">
        <v>205.4</v>
      </c>
      <c r="AM350" s="2" t="n">
        <v>135.2</v>
      </c>
      <c r="AN350" s="2" t="n">
        <v>70.2</v>
      </c>
      <c r="AO350" s="2" t="n">
        <v>2772.8</v>
      </c>
      <c r="AP350" s="2" t="n">
        <v>259.9</v>
      </c>
      <c r="AQ350" s="2" t="n">
        <v>223.5</v>
      </c>
      <c r="AR350" s="2" t="n">
        <v>34</v>
      </c>
      <c r="AS350" s="2" t="n">
        <v>76.90000000000001</v>
      </c>
      <c r="AT350" s="2" t="n">
        <v>55.4</v>
      </c>
      <c r="AU350" s="2" t="n">
        <v>48.6</v>
      </c>
      <c r="AV350" s="2" t="n">
        <v>31.7</v>
      </c>
      <c r="AW350" s="2" t="n">
        <v>9.6</v>
      </c>
      <c r="AX350" s="2" t="inlineStr">
        <is>
          <t>NA</t>
        </is>
      </c>
      <c r="AY350" s="2" t="inlineStr">
        <is>
          <t>NA</t>
        </is>
      </c>
      <c r="AZ350" s="2" t="inlineStr">
        <is>
          <t>NA</t>
        </is>
      </c>
      <c r="BA350" s="2" t="inlineStr">
        <is>
          <t>NA</t>
        </is>
      </c>
      <c r="BB350" s="2" t="inlineStr">
        <is>
          <t>NA</t>
        </is>
      </c>
      <c r="BD350" s="2" t="n">
        <v>159.3</v>
      </c>
      <c r="BE350" s="2" t="n">
        <v>31.2</v>
      </c>
      <c r="BF350" s="2" t="n">
        <v>64.59999999999999</v>
      </c>
      <c r="BG350" s="2" t="n">
        <v>9</v>
      </c>
      <c r="BH350" s="2" t="n">
        <v>300.7</v>
      </c>
      <c r="BI350" s="2" t="n">
        <v>127.7</v>
      </c>
      <c r="BJ350" s="2" t="n">
        <v>93.5</v>
      </c>
      <c r="BK350" s="2" t="n">
        <v>221.1</v>
      </c>
      <c r="BM350" s="2" t="n">
        <v>521.8</v>
      </c>
      <c r="BN350" s="2" t="n">
        <v>161.4</v>
      </c>
      <c r="BO350" s="2" t="n">
        <v>107.7</v>
      </c>
      <c r="BP350" s="2" t="n">
        <v>27.8</v>
      </c>
      <c r="BQ350" s="2" t="n">
        <v>135.5</v>
      </c>
      <c r="BS350" s="2" t="n">
        <v>296.9</v>
      </c>
      <c r="BT350" s="2" t="n">
        <v>29.1</v>
      </c>
      <c r="BU350" s="2" t="n">
        <v>17.9</v>
      </c>
      <c r="BV350" s="2" t="inlineStr">
        <is>
          <t>NA</t>
        </is>
      </c>
      <c r="BW350" s="2" t="inlineStr">
        <is>
          <t>NA</t>
        </is>
      </c>
      <c r="BX350" s="2" t="n">
        <v>422.9</v>
      </c>
      <c r="BY350" s="2" t="inlineStr">
        <is>
          <t>NA</t>
        </is>
      </c>
      <c r="BZ350" s="2" t="inlineStr">
        <is>
          <t>NA</t>
        </is>
      </c>
      <c r="CA350" s="2" t="n">
        <v>58.9</v>
      </c>
      <c r="CB350" s="2" t="n">
        <v>112.9</v>
      </c>
      <c r="CC350" s="2" t="n">
        <v>30.5</v>
      </c>
      <c r="CD350" s="2" t="n">
        <v>131.9</v>
      </c>
      <c r="CE350" s="2" t="n">
        <v>30.3</v>
      </c>
      <c r="CF350" s="2" t="n">
        <v>104.8</v>
      </c>
      <c r="CG350" s="2" t="n">
        <v>135.6</v>
      </c>
      <c r="CH350" s="2" t="n">
        <v>6.606</v>
      </c>
      <c r="CI350" s="2" t="n">
        <v>39.4</v>
      </c>
      <c r="CJ350" s="2" t="n">
        <v>17.2</v>
      </c>
      <c r="CK350" s="2" t="n">
        <v>157</v>
      </c>
      <c r="CL350" s="2" t="n">
        <v>23.3</v>
      </c>
      <c r="CN350" s="2" t="n">
        <v>47.8</v>
      </c>
      <c r="CO350" s="2" t="n">
        <v>181.4</v>
      </c>
      <c r="CP350" s="2" t="n">
        <v>116.6</v>
      </c>
      <c r="CQ350" s="2" t="n">
        <v>64.7</v>
      </c>
      <c r="CR350" s="2" t="inlineStr">
        <is>
          <t>NA</t>
        </is>
      </c>
      <c r="CS350" s="2" t="n">
        <v>28.212</v>
      </c>
      <c r="CT350" s="2" t="inlineStr">
        <is>
          <t>(D)</t>
        </is>
      </c>
      <c r="CU350" s="2" t="inlineStr">
        <is>
          <t>(D)</t>
        </is>
      </c>
      <c r="CV350" s="2" t="n">
        <v>161.3</v>
      </c>
      <c r="CW350" s="2" t="inlineStr">
        <is>
          <t>(D)</t>
        </is>
      </c>
      <c r="CX350" s="2" t="inlineStr">
        <is>
          <t>(D)</t>
        </is>
      </c>
      <c r="CY350" s="2" t="inlineStr">
        <is>
          <t>(D)</t>
        </is>
      </c>
      <c r="CZ350" s="2" t="n">
        <v>72.5</v>
      </c>
      <c r="DA350" s="2" t="n">
        <v>22.2</v>
      </c>
      <c r="DB350" s="2" t="inlineStr">
        <is>
          <t>(D)</t>
        </is>
      </c>
      <c r="DC350" s="2" t="inlineStr">
        <is>
          <t>(D)</t>
        </is>
      </c>
      <c r="DI350" s="2" t="n">
        <v>591.8</v>
      </c>
      <c r="DJ350" s="2" t="n">
        <v>447.9</v>
      </c>
      <c r="DK350" s="2" t="n">
        <v>887.2</v>
      </c>
      <c r="DM350" s="2" t="n">
        <v>408.7</v>
      </c>
      <c r="DO350" s="2" t="n">
        <v>189.4</v>
      </c>
      <c r="DP350" s="2" t="n">
        <v>234.9</v>
      </c>
      <c r="DS350" s="2" t="n">
        <v>1010.9402</v>
      </c>
      <c r="DT350" s="2" t="n">
        <v>3770.7</v>
      </c>
      <c r="DU350" s="2" t="n">
        <v>0.1402000000002772</v>
      </c>
      <c r="DV350" s="2" t="n">
        <v>0</v>
      </c>
      <c r="EA350" s="2" t="n">
        <v>208.3</v>
      </c>
      <c r="EB350" s="2" t="n">
        <v>322.2</v>
      </c>
      <c r="EC350" s="2" t="n">
        <v>277.8</v>
      </c>
      <c r="EE350" s="2" t="n">
        <v>157.9</v>
      </c>
      <c r="EG350" s="2" t="n">
        <v>40</v>
      </c>
      <c r="EH350" s="2" t="n">
        <v>169.6</v>
      </c>
      <c r="EK350" s="2" t="n">
        <v>326.7629999999999</v>
      </c>
      <c r="EL350" s="2" t="n">
        <v>1502.5</v>
      </c>
      <c r="EQ350" s="2" t="n">
        <v>225.1</v>
      </c>
      <c r="ER350" s="2" t="n">
        <v>172.8</v>
      </c>
      <c r="ES350" s="2" t="n">
        <v>342.3</v>
      </c>
      <c r="EU350" s="2" t="n">
        <v>161.1</v>
      </c>
      <c r="EW350" s="2" t="n">
        <v>72.8</v>
      </c>
      <c r="EX350" s="2" t="n">
        <v>90.8</v>
      </c>
      <c r="FA350" s="2" t="n">
        <v>380.5947</v>
      </c>
      <c r="FB350" s="2" t="n">
        <v>1445.5</v>
      </c>
      <c r="FG350" s="2" t="n">
        <v>471.9</v>
      </c>
      <c r="FH350" s="2" t="n">
        <v>360.4</v>
      </c>
      <c r="FI350" s="2" t="n">
        <v>698.1</v>
      </c>
      <c r="FK350" s="2" t="n">
        <v>326.4</v>
      </c>
      <c r="FM350" s="2" t="n">
        <v>150.8</v>
      </c>
      <c r="FN350" s="2" t="n">
        <v>188.7</v>
      </c>
      <c r="FQ350" s="2" t="n">
        <v>807.6266000000003</v>
      </c>
      <c r="FR350" s="2" t="n">
        <v>3003.9</v>
      </c>
      <c r="FW350" s="2" t="n">
        <v>155.7</v>
      </c>
      <c r="FX350" s="2" t="n">
        <v>118</v>
      </c>
      <c r="FY350" s="2" t="n">
        <v>208.6</v>
      </c>
      <c r="GA350" s="2" t="n">
        <v>35.3</v>
      </c>
      <c r="GC350" s="2" t="inlineStr">
        <is>
          <t>(D)</t>
        </is>
      </c>
      <c r="GD350" s="2" t="inlineStr">
        <is>
          <t>(D)</t>
        </is>
      </c>
      <c r="GG350" s="2" t="n">
        <v>372.3310000000001</v>
      </c>
      <c r="GH350" s="2" t="n">
        <v>978.2</v>
      </c>
      <c r="GM350" s="2" t="n">
        <v>51.6</v>
      </c>
      <c r="GN350" s="2" t="n">
        <v>67.5</v>
      </c>
      <c r="GO350" s="2" t="n">
        <v>61.8</v>
      </c>
      <c r="GQ350" s="2" t="n">
        <v>29.6</v>
      </c>
      <c r="GS350" s="2" t="inlineStr">
        <is>
          <t>(D)</t>
        </is>
      </c>
      <c r="GT350" s="2" t="inlineStr">
        <is>
          <t>(D)</t>
        </is>
      </c>
      <c r="GW350" s="2" t="n">
        <v>63.84399999999999</v>
      </c>
      <c r="GX350" s="2" t="n">
        <v>293.8</v>
      </c>
      <c r="GY350" s="2" t="n">
        <v>0.9863844901583543</v>
      </c>
      <c r="GZ350" s="2" t="n">
        <v>1333</v>
      </c>
      <c r="HA350" s="2" t="n">
        <v>1351.4</v>
      </c>
      <c r="HB350" s="2" t="n">
        <v>-165.4756226597999</v>
      </c>
      <c r="HC350" s="2" t="n">
        <v>-138.4155447671992</v>
      </c>
      <c r="HD350" s="2" t="n">
        <v>1469.3243773402</v>
      </c>
      <c r="HE350" s="2" t="n">
        <v>-36.5</v>
      </c>
      <c r="HF350" s="2" t="n">
        <v>1634.8</v>
      </c>
      <c r="HG350" s="2" t="n">
        <v>1324.3</v>
      </c>
      <c r="HH350" s="2" t="n">
        <v>378.9</v>
      </c>
      <c r="HI350" s="2" t="n">
        <v>73.2</v>
      </c>
      <c r="HJ350" s="2" t="n">
        <v>866.5</v>
      </c>
      <c r="HK350" s="2" t="n">
        <v>5.7</v>
      </c>
      <c r="HL350" s="2" t="n">
        <v>310.5</v>
      </c>
      <c r="HM350" s="2" t="n">
        <v>278.1</v>
      </c>
      <c r="HN350" s="2" t="n">
        <v>138.7</v>
      </c>
      <c r="HO350" s="2" t="n">
        <v>139.4</v>
      </c>
      <c r="HQ350" s="2" t="n">
        <v>3.9</v>
      </c>
      <c r="HR350" s="2" t="n">
        <v>8.300000000000001</v>
      </c>
      <c r="HT350" s="2" t="n">
        <v>20.2</v>
      </c>
      <c r="HW350" s="2" t="n">
        <v>333.9</v>
      </c>
      <c r="HX350" s="2" t="inlineStr">
        <is>
          <t>-</t>
        </is>
      </c>
      <c r="HY350" s="2" t="n">
        <v>333.9</v>
      </c>
      <c r="HZ350" s="2" t="n">
        <v>60.5</v>
      </c>
      <c r="IA350" s="2" t="n">
        <v>162.4</v>
      </c>
      <c r="IB350" s="2" t="n">
        <v>39.9</v>
      </c>
      <c r="IC350" s="2" t="n">
        <v>122.5</v>
      </c>
      <c r="ID350" s="2" t="n">
        <v>75</v>
      </c>
      <c r="IE350" s="2" t="n">
        <v>47.5</v>
      </c>
      <c r="IH350" s="2" t="n">
        <v>76.8</v>
      </c>
      <c r="II350" s="2" t="n">
        <v>30.4</v>
      </c>
      <c r="IJ350" s="2" t="n">
        <v>9.1</v>
      </c>
      <c r="IK350" s="2" t="n">
        <v>37.3</v>
      </c>
      <c r="IL350" s="2" t="n">
        <v>34.2</v>
      </c>
      <c r="IN350" s="2" t="n">
        <v>52.6</v>
      </c>
      <c r="IO350" s="2" t="n">
        <v>52.8</v>
      </c>
      <c r="IP350" s="2" t="inlineStr">
        <is>
          <t>(D)</t>
        </is>
      </c>
      <c r="IQ350" s="2" t="n">
        <v>60.1</v>
      </c>
      <c r="IR350" s="2" t="inlineStr">
        <is>
          <t>(D)</t>
        </is>
      </c>
      <c r="IT350" s="2" t="n">
        <v>48.4</v>
      </c>
      <c r="IU350" s="2" t="inlineStr">
        <is>
          <t>(D)</t>
        </is>
      </c>
      <c r="IV350" s="2" t="inlineStr">
        <is>
          <t>(D)</t>
        </is>
      </c>
      <c r="IW350" s="2" t="inlineStr">
        <is>
          <t>-</t>
        </is>
      </c>
      <c r="IX350" s="2" t="inlineStr">
        <is>
          <t>(D)</t>
        </is>
      </c>
      <c r="IY350" s="2" t="n">
        <v>47.67761954013844</v>
      </c>
      <c r="IZ350" s="2" t="n">
        <v>-0.03238045986156379</v>
      </c>
      <c r="JB350" s="2" t="n">
        <v>11.50051714535763</v>
      </c>
      <c r="JC350" s="2" t="n">
        <v>-0.1194828546423725</v>
      </c>
      <c r="JE350" s="2" t="n">
        <v>2484.6</v>
      </c>
      <c r="JF350" s="2" t="n">
        <v>0.8001396603074942</v>
      </c>
    </row>
    <row r="351">
      <c r="A351" s="1" t="n">
        <v>39722</v>
      </c>
      <c r="B351" s="2" t="n">
        <v>4501.5</v>
      </c>
      <c r="C351" s="2" t="n">
        <v>3910.6</v>
      </c>
      <c r="D351" s="2" t="n">
        <v>175.2</v>
      </c>
      <c r="E351" s="2" t="n">
        <v>733.6</v>
      </c>
      <c r="F351" s="2" t="n">
        <v>22.1</v>
      </c>
      <c r="G351" s="2" t="inlineStr">
        <is>
          <t>NA</t>
        </is>
      </c>
      <c r="H351" s="2" t="inlineStr">
        <is>
          <t>NA</t>
        </is>
      </c>
      <c r="I351" s="2" t="inlineStr">
        <is>
          <t>NA</t>
        </is>
      </c>
      <c r="J351" s="2" t="inlineStr">
        <is>
          <t>NA</t>
        </is>
      </c>
      <c r="K351" s="2" t="n">
        <v>1715.9</v>
      </c>
      <c r="L351" s="2" t="n">
        <v>2388.5</v>
      </c>
      <c r="M351" s="2" t="n">
        <v>2085.4</v>
      </c>
      <c r="N351" s="2" t="n">
        <v>303.1</v>
      </c>
      <c r="O351" s="2" t="n">
        <v>49.4</v>
      </c>
      <c r="P351" s="2" t="n">
        <v>143.1</v>
      </c>
      <c r="Q351" s="2" t="n">
        <v>37</v>
      </c>
      <c r="R351" s="2" t="n">
        <v>106.1</v>
      </c>
      <c r="T351" s="2" t="n">
        <v>17.8</v>
      </c>
      <c r="U351" s="2" t="n">
        <v>19.8</v>
      </c>
      <c r="V351" s="2" t="n">
        <v>18.4</v>
      </c>
      <c r="W351" s="2" t="n">
        <v>1.4</v>
      </c>
      <c r="X351" s="2" t="inlineStr">
        <is>
          <t>NA</t>
        </is>
      </c>
      <c r="Y351" s="2" t="inlineStr">
        <is>
          <t>(D)</t>
        </is>
      </c>
      <c r="Z351" s="2" t="n">
        <v>48.7</v>
      </c>
      <c r="AA351" s="2" t="inlineStr">
        <is>
          <t>(D)</t>
        </is>
      </c>
      <c r="AB351" s="2" t="inlineStr">
        <is>
          <t>(D)</t>
        </is>
      </c>
      <c r="AC351" s="2" t="inlineStr">
        <is>
          <t>NA</t>
        </is>
      </c>
      <c r="AD351" s="2" t="n">
        <v>133.1</v>
      </c>
      <c r="AE351" s="2" t="n">
        <v>134.5</v>
      </c>
      <c r="AF351" s="2" t="n">
        <v>146.4</v>
      </c>
      <c r="AG351" s="2" t="n">
        <v>94.8</v>
      </c>
      <c r="AH351" s="2" t="n">
        <v>51.6</v>
      </c>
      <c r="AI351" s="2" t="n">
        <v>206.3</v>
      </c>
      <c r="AJ351" s="2" t="n">
        <v>202.373</v>
      </c>
      <c r="AK351" s="2" t="n">
        <v>3.602</v>
      </c>
      <c r="AL351" s="2" t="n">
        <v>206.6</v>
      </c>
      <c r="AM351" s="2" t="n">
        <v>140.1</v>
      </c>
      <c r="AN351" s="2" t="n">
        <v>66.40000000000001</v>
      </c>
      <c r="AO351" s="2" t="n">
        <v>3267.4</v>
      </c>
      <c r="AP351" s="2" t="n">
        <v>335.5</v>
      </c>
      <c r="AQ351" s="2" t="n">
        <v>252</v>
      </c>
      <c r="AR351" s="2" t="n">
        <v>36.5</v>
      </c>
      <c r="AS351" s="2" t="n">
        <v>74.8</v>
      </c>
      <c r="AT351" s="2" t="n">
        <v>44.5</v>
      </c>
      <c r="AU351" s="2" t="n">
        <v>52.5</v>
      </c>
      <c r="AV351" s="2" t="n">
        <v>15.2</v>
      </c>
      <c r="AW351" s="2" t="n">
        <v>11.5</v>
      </c>
      <c r="AX351" s="2" t="n">
        <v>3.93</v>
      </c>
      <c r="AY351" s="2" t="inlineStr">
        <is>
          <t>NA</t>
        </is>
      </c>
      <c r="AZ351" s="2" t="inlineStr">
        <is>
          <t>NA</t>
        </is>
      </c>
      <c r="BA351" s="2" t="inlineStr">
        <is>
          <t>NA</t>
        </is>
      </c>
      <c r="BB351" s="2" t="inlineStr">
        <is>
          <t>NA</t>
        </is>
      </c>
      <c r="BD351" s="2" t="n">
        <v>173.8</v>
      </c>
      <c r="BE351" s="2" t="n">
        <v>27.2</v>
      </c>
      <c r="BF351" s="2" t="n">
        <v>68.7</v>
      </c>
      <c r="BG351" s="2" t="n">
        <v>11.6</v>
      </c>
      <c r="BH351" s="2" t="n">
        <v>306.5</v>
      </c>
      <c r="BI351" s="2" t="n">
        <v>132.2</v>
      </c>
      <c r="BJ351" s="2" t="n">
        <v>97.5</v>
      </c>
      <c r="BK351" s="2" t="n">
        <v>229.7</v>
      </c>
      <c r="BM351" s="2" t="n">
        <v>536.2</v>
      </c>
      <c r="BN351" s="2" t="n">
        <v>198.7</v>
      </c>
      <c r="BO351" s="2" t="n">
        <v>104.4</v>
      </c>
      <c r="BP351" s="2" t="n">
        <v>30</v>
      </c>
      <c r="BQ351" s="2" t="n">
        <v>134.5</v>
      </c>
      <c r="BS351" s="2" t="n">
        <v>333.2</v>
      </c>
      <c r="BT351" s="2" t="n">
        <v>32</v>
      </c>
      <c r="BU351" s="2" t="n">
        <v>16</v>
      </c>
      <c r="BV351" s="2" t="inlineStr">
        <is>
          <t>NA</t>
        </is>
      </c>
      <c r="BW351" s="2" t="inlineStr">
        <is>
          <t>NA</t>
        </is>
      </c>
      <c r="BX351" s="2" t="n">
        <v>453.3</v>
      </c>
      <c r="BY351" s="2" t="inlineStr">
        <is>
          <t>NA</t>
        </is>
      </c>
      <c r="BZ351" s="2" t="inlineStr">
        <is>
          <t>NA</t>
        </is>
      </c>
      <c r="CA351" s="2" t="n">
        <v>74.2</v>
      </c>
      <c r="CB351" s="2" t="n">
        <v>118.5</v>
      </c>
      <c r="CC351" s="2" t="n">
        <v>31.4</v>
      </c>
      <c r="CD351" s="2" t="n">
        <v>136.2</v>
      </c>
      <c r="CE351" s="2" t="n">
        <v>25.3</v>
      </c>
      <c r="CF351" s="2" t="n">
        <v>107.3</v>
      </c>
      <c r="CG351" s="2" t="n">
        <v>110.7</v>
      </c>
      <c r="CH351" s="2" t="n">
        <v>5.005</v>
      </c>
      <c r="CI351" s="2" t="n">
        <v>39.2</v>
      </c>
      <c r="CJ351" s="2" t="n">
        <v>7.7</v>
      </c>
      <c r="CK351" s="2" t="n">
        <v>157.4</v>
      </c>
      <c r="CL351" s="2" t="n">
        <v>21.9</v>
      </c>
      <c r="CN351" s="2" t="n">
        <v>45.2</v>
      </c>
      <c r="CO351" s="2" t="n">
        <v>163.2</v>
      </c>
      <c r="CP351" s="2" t="n">
        <v>118.8</v>
      </c>
      <c r="CQ351" s="2" t="n">
        <v>44.5</v>
      </c>
      <c r="CR351" s="2" t="inlineStr">
        <is>
          <t>NA</t>
        </is>
      </c>
      <c r="CS351" s="2" t="n">
        <v>30.085</v>
      </c>
      <c r="CT351" s="2" t="inlineStr">
        <is>
          <t>(D)</t>
        </is>
      </c>
      <c r="CU351" s="2" t="inlineStr">
        <is>
          <t>(D)</t>
        </is>
      </c>
      <c r="CV351" s="2" t="n">
        <v>169.2</v>
      </c>
      <c r="CW351" s="2" t="inlineStr">
        <is>
          <t>(D)</t>
        </is>
      </c>
      <c r="CX351" s="2" t="inlineStr">
        <is>
          <t>(D)</t>
        </is>
      </c>
      <c r="CY351" s="2" t="inlineStr">
        <is>
          <t>(D)</t>
        </is>
      </c>
      <c r="CZ351" s="2" t="n">
        <v>70.7</v>
      </c>
      <c r="DA351" s="2" t="n">
        <v>32.4</v>
      </c>
      <c r="DB351" s="2" t="inlineStr">
        <is>
          <t>(D)</t>
        </is>
      </c>
      <c r="DC351" s="2" t="inlineStr">
        <is>
          <t>(D)</t>
        </is>
      </c>
      <c r="DI351" s="2" t="n">
        <v>692.2</v>
      </c>
      <c r="DJ351" s="2" t="n">
        <v>587.1</v>
      </c>
      <c r="DK351" s="2" t="n">
        <v>917.3</v>
      </c>
      <c r="DM351" s="2" t="n">
        <v>519.3</v>
      </c>
      <c r="DO351" s="2" t="n">
        <v>237.1</v>
      </c>
      <c r="DP351" s="2" t="n">
        <v>265.7</v>
      </c>
      <c r="DS351" s="2" t="n">
        <v>1282.68744</v>
      </c>
      <c r="DT351" s="2" t="n">
        <v>4501.5</v>
      </c>
      <c r="DU351" s="2" t="n">
        <v>-0.1125599999995757</v>
      </c>
      <c r="DV351" s="2" t="n">
        <v>0</v>
      </c>
      <c r="EA351" s="2" t="inlineStr">
        <is>
          <t>(D)</t>
        </is>
      </c>
      <c r="EB351" s="2" t="n">
        <v>779.2</v>
      </c>
      <c r="EC351" s="2" t="n">
        <v>657.4</v>
      </c>
      <c r="EE351" s="2" t="n">
        <v>295.3</v>
      </c>
      <c r="EG351" s="2" t="inlineStr">
        <is>
          <t>(D)</t>
        </is>
      </c>
      <c r="EH351" s="2" t="n">
        <v>308.3</v>
      </c>
      <c r="EK351" s="2" t="n">
        <v>1094.253</v>
      </c>
      <c r="EL351" s="2" t="n">
        <v>3910.6</v>
      </c>
      <c r="EQ351" s="2" t="n">
        <v>272.8</v>
      </c>
      <c r="ER351" s="2" t="n">
        <v>219.1</v>
      </c>
      <c r="ES351" s="2" t="n">
        <v>346</v>
      </c>
      <c r="EU351" s="2" t="n">
        <v>189.1</v>
      </c>
      <c r="EW351" s="2" t="n">
        <v>89.2</v>
      </c>
      <c r="EX351" s="2" t="n">
        <v>102.3</v>
      </c>
      <c r="FA351" s="2" t="n">
        <v>497.4074399999999</v>
      </c>
      <c r="FB351" s="2" t="n">
        <v>1715.9</v>
      </c>
      <c r="FG351" s="2" t="n">
        <v>538.2</v>
      </c>
      <c r="FH351" s="2" t="n">
        <v>461.3</v>
      </c>
      <c r="FI351" s="2" t="n">
        <v>716.4</v>
      </c>
      <c r="FK351" s="2" t="n">
        <v>404.5</v>
      </c>
      <c r="FM351" s="2" t="n">
        <v>186</v>
      </c>
      <c r="FN351" s="2" t="n">
        <v>210.2</v>
      </c>
      <c r="FQ351" s="2" t="n">
        <v>1011.24552</v>
      </c>
      <c r="FR351" s="2" t="n">
        <v>3527.8</v>
      </c>
      <c r="FW351" s="2" t="n">
        <v>136.1</v>
      </c>
      <c r="FX351" s="2" t="n">
        <v>116.4</v>
      </c>
      <c r="FY351" s="2" t="n">
        <v>185.6</v>
      </c>
      <c r="GA351" s="2" t="n">
        <v>25.5</v>
      </c>
      <c r="GC351" s="2" t="inlineStr">
        <is>
          <t>(D)</t>
        </is>
      </c>
      <c r="GD351" s="2" t="inlineStr">
        <is>
          <t>(D)</t>
        </is>
      </c>
      <c r="GG351" s="2" t="n">
        <v>426.1439999999999</v>
      </c>
      <c r="GH351" s="2" t="n">
        <v>970.5</v>
      </c>
      <c r="GM351" s="2" t="n">
        <v>70.40000000000001</v>
      </c>
      <c r="GN351" s="2" t="n">
        <v>98.40000000000001</v>
      </c>
      <c r="GO351" s="2" t="n">
        <v>57.4</v>
      </c>
      <c r="GQ351" s="2" t="n">
        <v>28.4</v>
      </c>
      <c r="GS351" s="2" t="inlineStr">
        <is>
          <t>(D)</t>
        </is>
      </c>
      <c r="GT351" s="2" t="inlineStr">
        <is>
          <t>(D)</t>
        </is>
      </c>
      <c r="GW351" s="2" t="n">
        <v>100.345</v>
      </c>
      <c r="GX351" s="2" t="n">
        <v>372</v>
      </c>
      <c r="GY351" s="2" t="n">
        <v>0.9951333051206095</v>
      </c>
      <c r="GZ351" s="2" t="n">
        <v>1410.9</v>
      </c>
      <c r="HA351" s="2" t="n">
        <v>1417.8</v>
      </c>
      <c r="HB351" s="2" t="n">
        <v>-52.0231182504001</v>
      </c>
      <c r="HC351" s="2" t="n">
        <v>80.36237750180044</v>
      </c>
      <c r="HD351" s="2" t="n">
        <v>1683.1768817496</v>
      </c>
      <c r="HE351" s="2" t="n">
        <v>13</v>
      </c>
      <c r="HF351" s="2" t="n">
        <v>1735.2</v>
      </c>
      <c r="HG351" s="2" t="n">
        <v>1401.5</v>
      </c>
      <c r="HH351" s="2" t="n">
        <v>388.7</v>
      </c>
      <c r="HI351" s="2" t="n">
        <v>73.09999999999999</v>
      </c>
      <c r="HJ351" s="2" t="n">
        <v>933.2</v>
      </c>
      <c r="HK351" s="2" t="n">
        <v>6.5</v>
      </c>
      <c r="HL351" s="2" t="n">
        <v>333.8</v>
      </c>
      <c r="HM351" s="2" t="n">
        <v>295.3</v>
      </c>
      <c r="HN351" s="2" t="n">
        <v>132.2</v>
      </c>
      <c r="HO351" s="2" t="n">
        <v>163.1</v>
      </c>
      <c r="HQ351" s="2" t="n">
        <v>3.9</v>
      </c>
      <c r="HR351" s="2" t="n">
        <v>12.5</v>
      </c>
      <c r="HT351" s="2" t="n">
        <v>22.1</v>
      </c>
      <c r="HW351" s="2" t="n">
        <v>309.5</v>
      </c>
      <c r="HX351" s="2" t="inlineStr">
        <is>
          <t>-</t>
        </is>
      </c>
      <c r="HY351" s="2" t="n">
        <v>309.5</v>
      </c>
      <c r="HZ351" s="2" t="n">
        <v>59.9</v>
      </c>
      <c r="IA351" s="2" t="n">
        <v>167.2</v>
      </c>
      <c r="IB351" s="2" t="n">
        <v>33.4</v>
      </c>
      <c r="IC351" s="2" t="n">
        <v>133.8</v>
      </c>
      <c r="ID351" s="2" t="n">
        <v>85.7</v>
      </c>
      <c r="IE351" s="2" t="n">
        <v>48.1</v>
      </c>
      <c r="IH351" s="2" t="n">
        <v>37.6</v>
      </c>
      <c r="II351" s="2" t="n">
        <v>18.5</v>
      </c>
      <c r="IJ351" s="2" t="n">
        <v>5.1</v>
      </c>
      <c r="IK351" s="2" t="n">
        <v>14</v>
      </c>
      <c r="IL351" s="2" t="n">
        <v>44.8</v>
      </c>
      <c r="IN351" s="2" t="n">
        <v>46.9</v>
      </c>
      <c r="IO351" s="2" t="n">
        <v>47.2</v>
      </c>
      <c r="IP351" s="2" t="inlineStr">
        <is>
          <t>(D)</t>
        </is>
      </c>
      <c r="IQ351" s="2" t="n">
        <v>65.7</v>
      </c>
      <c r="IR351" s="2" t="inlineStr">
        <is>
          <t>(D)</t>
        </is>
      </c>
      <c r="IT351" s="2" t="n">
        <v>52.8</v>
      </c>
      <c r="IU351" s="2" t="inlineStr">
        <is>
          <t>(D)</t>
        </is>
      </c>
      <c r="IV351" s="2" t="inlineStr">
        <is>
          <t>(D)</t>
        </is>
      </c>
      <c r="IW351" s="2" t="inlineStr">
        <is>
          <t>(D)</t>
        </is>
      </c>
      <c r="IX351" s="2" t="inlineStr">
        <is>
          <t>(D)</t>
        </is>
      </c>
      <c r="IY351" s="2" t="n">
        <v>46.90969676774408</v>
      </c>
      <c r="IZ351" s="2" t="n">
        <v>0.2696967677440796</v>
      </c>
      <c r="JB351" s="2" t="n">
        <v>11.43552149283572</v>
      </c>
      <c r="JC351" s="2" t="n">
        <v>-0.1144785071642804</v>
      </c>
      <c r="JE351" s="2" t="n">
        <v>2388.5</v>
      </c>
      <c r="JF351" s="2" t="n">
        <v>0.8305928406949969</v>
      </c>
    </row>
    <row r="352">
      <c r="A352" s="1" t="n">
        <v>39753</v>
      </c>
      <c r="B352" s="2" t="n">
        <v>4340.5</v>
      </c>
      <c r="C352" s="2" t="n">
        <v>3651.9</v>
      </c>
      <c r="D352" s="2" t="n">
        <v>206.5</v>
      </c>
      <c r="E352" s="2" t="n">
        <v>1224.1</v>
      </c>
      <c r="F352" s="2" t="n">
        <v>15.8</v>
      </c>
      <c r="G352" s="2" t="inlineStr">
        <is>
          <t>NA</t>
        </is>
      </c>
      <c r="H352" s="2" t="inlineStr">
        <is>
          <t>NA</t>
        </is>
      </c>
      <c r="I352" s="2" t="inlineStr">
        <is>
          <t>NA</t>
        </is>
      </c>
      <c r="J352" s="2" t="inlineStr">
        <is>
          <t>NA</t>
        </is>
      </c>
      <c r="K352" s="2" t="n">
        <v>1622.9</v>
      </c>
      <c r="L352" s="2" t="n">
        <v>2519</v>
      </c>
      <c r="M352" s="2" t="n">
        <v>2187.4</v>
      </c>
      <c r="N352" s="2" t="n">
        <v>331.6</v>
      </c>
      <c r="O352" s="2" t="n">
        <v>64.40000000000001</v>
      </c>
      <c r="P352" s="2" t="n">
        <v>126.4</v>
      </c>
      <c r="Q352" s="2" t="n">
        <v>22.8</v>
      </c>
      <c r="R352" s="2" t="n">
        <v>103.6</v>
      </c>
      <c r="T352" s="2" t="n">
        <v>12.4</v>
      </c>
      <c r="U352" s="2" t="n">
        <v>12.8</v>
      </c>
      <c r="V352" s="2" t="n">
        <v>10</v>
      </c>
      <c r="W352" s="2" t="n">
        <v>2.8</v>
      </c>
      <c r="X352" s="2" t="inlineStr">
        <is>
          <t>NA</t>
        </is>
      </c>
      <c r="Y352" s="2" t="inlineStr">
        <is>
          <t>(D)</t>
        </is>
      </c>
      <c r="Z352" s="2" t="n">
        <v>81.8</v>
      </c>
      <c r="AA352" s="2" t="inlineStr">
        <is>
          <t>(D)</t>
        </is>
      </c>
      <c r="AB352" s="2" t="inlineStr">
        <is>
          <t>(D)</t>
        </is>
      </c>
      <c r="AC352" s="2" t="inlineStr">
        <is>
          <t>NA</t>
        </is>
      </c>
      <c r="AD352" s="2" t="n">
        <v>93.3</v>
      </c>
      <c r="AE352" s="2" t="n">
        <v>93.59999999999999</v>
      </c>
      <c r="AF352" s="2" t="n">
        <v>175.9</v>
      </c>
      <c r="AG352" s="2" t="n">
        <v>113.7</v>
      </c>
      <c r="AH352" s="2" t="n">
        <v>62.2</v>
      </c>
      <c r="AI352" s="2" t="n">
        <v>210.6</v>
      </c>
      <c r="AJ352" s="2" t="n">
        <v>207.365</v>
      </c>
      <c r="AK352" s="2" t="n">
        <v>3.216</v>
      </c>
      <c r="AL352" s="2" t="n">
        <v>219.6</v>
      </c>
      <c r="AM352" s="2" t="n">
        <v>149.9</v>
      </c>
      <c r="AN352" s="2" t="n">
        <v>69.7</v>
      </c>
      <c r="AO352" s="2" t="n">
        <v>3158</v>
      </c>
      <c r="AP352" s="2" t="n">
        <v>543.9</v>
      </c>
      <c r="AQ352" s="2" t="n">
        <v>255.4</v>
      </c>
      <c r="AR352" s="2" t="n">
        <v>56.2</v>
      </c>
      <c r="AS352" s="2" t="n">
        <v>89.7</v>
      </c>
      <c r="AT352" s="2" t="n">
        <v>56.7</v>
      </c>
      <c r="AU352" s="2" t="n">
        <v>59.4</v>
      </c>
      <c r="AV352" s="2" t="n">
        <v>19.8</v>
      </c>
      <c r="AW352" s="2" t="n">
        <v>8.199999999999999</v>
      </c>
      <c r="AX352" s="2" t="n">
        <v>3.092</v>
      </c>
      <c r="AY352" s="2" t="inlineStr">
        <is>
          <t>NA</t>
        </is>
      </c>
      <c r="AZ352" s="2" t="inlineStr">
        <is>
          <t>NA</t>
        </is>
      </c>
      <c r="BA352" s="2" t="inlineStr">
        <is>
          <t>NA</t>
        </is>
      </c>
      <c r="BB352" s="2" t="inlineStr">
        <is>
          <t>NA</t>
        </is>
      </c>
      <c r="BD352" s="2" t="n">
        <v>136.3</v>
      </c>
      <c r="BE352" s="2" t="n">
        <v>31.4</v>
      </c>
      <c r="BF352" s="2" t="n">
        <v>60</v>
      </c>
      <c r="BG352" s="2" t="n">
        <v>12.4</v>
      </c>
      <c r="BH352" s="2" t="n">
        <v>272</v>
      </c>
      <c r="BI352" s="2" t="n">
        <v>118.6</v>
      </c>
      <c r="BJ352" s="2" t="n">
        <v>97.7</v>
      </c>
      <c r="BK352" s="2" t="n">
        <v>216.3</v>
      </c>
      <c r="BM352" s="2" t="n">
        <v>488.3</v>
      </c>
      <c r="BN352" s="2" t="n">
        <v>200.9</v>
      </c>
      <c r="BO352" s="2" t="n">
        <v>122.6</v>
      </c>
      <c r="BP352" s="2" t="n">
        <v>28.9</v>
      </c>
      <c r="BQ352" s="2" t="n">
        <v>151.5</v>
      </c>
      <c r="BS352" s="2" t="n">
        <v>352.4</v>
      </c>
      <c r="BT352" s="2" t="n">
        <v>30.6</v>
      </c>
      <c r="BU352" s="2" t="n">
        <v>20.3</v>
      </c>
      <c r="BV352" s="2" t="inlineStr">
        <is>
          <t>NA</t>
        </is>
      </c>
      <c r="BW352" s="2" t="inlineStr">
        <is>
          <t>NA</t>
        </is>
      </c>
      <c r="BX352" s="2" t="n">
        <v>371.3</v>
      </c>
      <c r="BY352" s="2" t="inlineStr">
        <is>
          <t>NA</t>
        </is>
      </c>
      <c r="BZ352" s="2" t="inlineStr">
        <is>
          <t>NA</t>
        </is>
      </c>
      <c r="CA352" s="2" t="n">
        <v>81.09999999999999</v>
      </c>
      <c r="CB352" s="2" t="n">
        <v>102.7</v>
      </c>
      <c r="CC352" s="2" t="n">
        <v>23.8</v>
      </c>
      <c r="CD352" s="2" t="n">
        <v>121.6</v>
      </c>
      <c r="CE352" s="2" t="n">
        <v>25.9</v>
      </c>
      <c r="CF352" s="2" t="n">
        <v>100.5</v>
      </c>
      <c r="CG352" s="2" t="n">
        <v>95.59999999999999</v>
      </c>
      <c r="CH352" s="2" t="n">
        <v>6.572</v>
      </c>
      <c r="CI352" s="2" t="n">
        <v>33.5</v>
      </c>
      <c r="CJ352" s="2" t="n">
        <v>7.5</v>
      </c>
      <c r="CK352" s="2" t="n">
        <v>143.9</v>
      </c>
      <c r="CL352" s="2" t="n">
        <v>26.9</v>
      </c>
      <c r="CN352" s="2" t="n">
        <v>63.5</v>
      </c>
      <c r="CO352" s="2" t="n">
        <v>174.6</v>
      </c>
      <c r="CP352" s="2" t="n">
        <v>109.6</v>
      </c>
      <c r="CQ352" s="2" t="n">
        <v>65</v>
      </c>
      <c r="CR352" s="2" t="inlineStr">
        <is>
          <t>NA</t>
        </is>
      </c>
      <c r="CS352" s="2" t="n">
        <v>37.426</v>
      </c>
      <c r="CT352" s="2" t="inlineStr">
        <is>
          <t>(D)</t>
        </is>
      </c>
      <c r="CU352" s="2" t="inlineStr">
        <is>
          <t>(D)</t>
        </is>
      </c>
      <c r="CV352" s="2" t="n">
        <v>261.7</v>
      </c>
      <c r="CW352" s="2" t="inlineStr">
        <is>
          <t>(D)</t>
        </is>
      </c>
      <c r="CX352" s="2" t="inlineStr">
        <is>
          <t>(D)</t>
        </is>
      </c>
      <c r="CY352" s="2" t="inlineStr">
        <is>
          <t>(D)</t>
        </is>
      </c>
      <c r="CZ352" s="2" t="n">
        <v>79.8</v>
      </c>
      <c r="DA352" s="2" t="n">
        <v>25.5</v>
      </c>
      <c r="DB352" s="2" t="inlineStr">
        <is>
          <t>(D)</t>
        </is>
      </c>
      <c r="DC352" s="2" t="inlineStr">
        <is>
          <t>(D)</t>
        </is>
      </c>
      <c r="DI352" s="2" t="n">
        <v>663.5</v>
      </c>
      <c r="DJ352" s="2" t="n">
        <v>535.3</v>
      </c>
      <c r="DK352" s="2" t="n">
        <v>895.9</v>
      </c>
      <c r="DM352" s="2" t="n">
        <v>460.6</v>
      </c>
      <c r="DO352" s="2" t="n">
        <v>254.7</v>
      </c>
      <c r="DP352" s="2" t="n">
        <v>261</v>
      </c>
      <c r="DS352" s="2" t="n">
        <v>1269.545</v>
      </c>
      <c r="DT352" s="2" t="n">
        <v>4340.5</v>
      </c>
      <c r="DU352" s="2" t="n">
        <v>0.04500000000007276</v>
      </c>
      <c r="DV352" s="2" t="n">
        <v>0</v>
      </c>
      <c r="EA352" s="2" t="n">
        <v>551.7</v>
      </c>
      <c r="EB352" s="2" t="n">
        <v>678.4</v>
      </c>
      <c r="EC352" s="2" t="n">
        <v>439.6</v>
      </c>
      <c r="EE352" s="2" t="n">
        <v>182.7</v>
      </c>
      <c r="EG352" s="2" t="inlineStr">
        <is>
          <t>(D)</t>
        </is>
      </c>
      <c r="EH352" s="2" t="inlineStr">
        <is>
          <t>(D)</t>
        </is>
      </c>
      <c r="EK352" s="2" t="n">
        <v>1359.873</v>
      </c>
      <c r="EL352" s="2" t="n">
        <v>3651.9</v>
      </c>
      <c r="EQ352" s="2" t="n">
        <v>245.7</v>
      </c>
      <c r="ER352" s="2" t="n">
        <v>201.3</v>
      </c>
      <c r="ES352" s="2" t="n">
        <v>342.4</v>
      </c>
      <c r="EU352" s="2" t="n">
        <v>171.1</v>
      </c>
      <c r="EW352" s="2" t="n">
        <v>92.8</v>
      </c>
      <c r="EX352" s="2" t="n">
        <v>98.3</v>
      </c>
      <c r="FA352" s="2" t="n">
        <v>471.2630000000003</v>
      </c>
      <c r="FB352" s="2" t="n">
        <v>1622.9</v>
      </c>
      <c r="FG352" s="2" t="n">
        <v>518.9</v>
      </c>
      <c r="FH352" s="2" t="n">
        <v>426.3</v>
      </c>
      <c r="FI352" s="2" t="n">
        <v>699.1</v>
      </c>
      <c r="FK352" s="2" t="n">
        <v>361.2</v>
      </c>
      <c r="FM352" s="2" t="n">
        <v>202.9</v>
      </c>
      <c r="FN352" s="2" t="n">
        <v>208.4</v>
      </c>
      <c r="FQ352" s="2" t="n">
        <v>1004.231</v>
      </c>
      <c r="FR352" s="2" t="n">
        <v>3421</v>
      </c>
      <c r="FW352" s="2" t="inlineStr">
        <is>
          <t>(D)</t>
        </is>
      </c>
      <c r="FX352" s="2" t="n">
        <v>124.2</v>
      </c>
      <c r="FY352" s="2" t="n">
        <v>204.1</v>
      </c>
      <c r="GA352" s="2" t="n">
        <v>33.9</v>
      </c>
      <c r="GC352" s="2" t="inlineStr">
        <is>
          <t>(D)</t>
        </is>
      </c>
      <c r="GD352" s="2" t="inlineStr">
        <is>
          <t>(D)</t>
        </is>
      </c>
      <c r="GG352" s="2" t="n">
        <v>452.6329999999999</v>
      </c>
      <c r="GH352" s="2" t="n">
        <v>1041.3</v>
      </c>
      <c r="GM352" s="2" t="inlineStr">
        <is>
          <t>(D)</t>
        </is>
      </c>
      <c r="GN352" s="2" t="n">
        <v>127.5</v>
      </c>
      <c r="GO352" s="2" t="n">
        <v>97.8</v>
      </c>
      <c r="GQ352" s="2" t="n">
        <v>56.9</v>
      </c>
      <c r="GS352" s="2" t="inlineStr">
        <is>
          <t>(D)</t>
        </is>
      </c>
      <c r="GT352" s="2" t="inlineStr">
        <is>
          <t>(D)</t>
        </is>
      </c>
      <c r="GW352" s="2" t="n">
        <v>154.887</v>
      </c>
      <c r="GX352" s="2" t="n">
        <v>599.7</v>
      </c>
      <c r="GY352" s="2" t="n">
        <v>0.9906868451688009</v>
      </c>
      <c r="GZ352" s="2" t="n">
        <v>1276.5</v>
      </c>
      <c r="HA352" s="2" t="n">
        <v>1288.5</v>
      </c>
      <c r="HB352" s="2" t="n">
        <v>-167.1986975092</v>
      </c>
      <c r="HC352" s="2" t="n">
        <v>-204.1522635724004</v>
      </c>
      <c r="HD352" s="2" t="n">
        <v>1395.2013024908</v>
      </c>
      <c r="HE352" s="2" t="n">
        <v>-18.5</v>
      </c>
      <c r="HF352" s="2" t="n">
        <v>1562.4</v>
      </c>
      <c r="HG352" s="2" t="n">
        <v>1275.5</v>
      </c>
      <c r="HH352" s="2" t="n">
        <v>348.6</v>
      </c>
      <c r="HI352" s="2" t="n">
        <v>80.40000000000001</v>
      </c>
      <c r="HJ352" s="2" t="n">
        <v>840.6</v>
      </c>
      <c r="HK352" s="2" t="n">
        <v>5.9</v>
      </c>
      <c r="HL352" s="2" t="n">
        <v>286.9</v>
      </c>
      <c r="HM352" s="2" t="n">
        <v>252.4</v>
      </c>
      <c r="HN352" s="2" t="n">
        <v>119.9</v>
      </c>
      <c r="HO352" s="2" t="n">
        <v>132.5</v>
      </c>
      <c r="HQ352" s="2" t="n">
        <v>3.9</v>
      </c>
      <c r="HR352" s="2" t="n">
        <v>10.4</v>
      </c>
      <c r="HT352" s="2" t="n">
        <v>20.3</v>
      </c>
      <c r="HW352" s="2" t="n">
        <v>293.7</v>
      </c>
      <c r="HX352" s="2" t="inlineStr">
        <is>
          <t>-</t>
        </is>
      </c>
      <c r="HY352" s="2" t="n">
        <v>293.7</v>
      </c>
      <c r="HZ352" s="2" t="n">
        <v>46.4</v>
      </c>
      <c r="IA352" s="2" t="n">
        <v>171.2</v>
      </c>
      <c r="IB352" s="2" t="n">
        <v>36.5</v>
      </c>
      <c r="IC352" s="2" t="n">
        <v>134.7</v>
      </c>
      <c r="ID352" s="2" t="n">
        <v>81.3</v>
      </c>
      <c r="IE352" s="2" t="n">
        <v>53.4</v>
      </c>
      <c r="IH352" s="2" t="n">
        <v>47.1</v>
      </c>
      <c r="II352" s="2" t="n">
        <v>21.2</v>
      </c>
      <c r="IJ352" s="2" t="n">
        <v>5.3</v>
      </c>
      <c r="IK352" s="2" t="n">
        <v>20.6</v>
      </c>
      <c r="IL352" s="2" t="n">
        <v>28.99999999999999</v>
      </c>
      <c r="IN352" s="2" t="n">
        <v>56.3</v>
      </c>
      <c r="IO352" s="2" t="n">
        <v>56.4</v>
      </c>
      <c r="IP352" s="2" t="inlineStr">
        <is>
          <t>(D)</t>
        </is>
      </c>
      <c r="IQ352" s="2" t="n">
        <v>66.7</v>
      </c>
      <c r="IR352" s="2" t="inlineStr">
        <is>
          <t>(D)</t>
        </is>
      </c>
      <c r="IT352" s="2" t="n">
        <v>54.9</v>
      </c>
      <c r="IU352" s="2" t="inlineStr">
        <is>
          <t>(D)</t>
        </is>
      </c>
      <c r="IV352" s="2" t="inlineStr">
        <is>
          <t>(D)</t>
        </is>
      </c>
      <c r="IW352" s="2" t="inlineStr">
        <is>
          <t>(D)</t>
        </is>
      </c>
      <c r="IX352" s="2" t="inlineStr">
        <is>
          <t>(D)</t>
        </is>
      </c>
      <c r="IY352" s="2" t="n">
        <v>47.18442575740122</v>
      </c>
      <c r="IZ352" s="2" t="n">
        <v>0.234425757401219</v>
      </c>
      <c r="JB352" s="2" t="n">
        <v>11.2169104941827</v>
      </c>
      <c r="JC352" s="2" t="n">
        <v>-0.04308950581730109</v>
      </c>
      <c r="JE352" s="2" t="n">
        <v>2519</v>
      </c>
      <c r="JF352" s="2" t="n">
        <v>0.8108038904327114</v>
      </c>
    </row>
    <row r="353">
      <c r="A353" s="1" t="n">
        <v>39783</v>
      </c>
      <c r="B353" s="2" t="n">
        <v>4240.4</v>
      </c>
      <c r="C353" s="2" t="n">
        <v>3492.8</v>
      </c>
      <c r="D353" s="2" t="n">
        <v>230</v>
      </c>
      <c r="E353" s="2" t="n">
        <v>1400.1</v>
      </c>
      <c r="F353" s="2" t="n">
        <v>17.5</v>
      </c>
      <c r="G353" s="2" t="inlineStr">
        <is>
          <t>NA</t>
        </is>
      </c>
      <c r="H353" s="2" t="inlineStr">
        <is>
          <t>NA</t>
        </is>
      </c>
      <c r="I353" s="2" t="inlineStr">
        <is>
          <t>NA</t>
        </is>
      </c>
      <c r="J353" s="2" t="inlineStr">
        <is>
          <t>NA</t>
        </is>
      </c>
      <c r="K353" s="2" t="n">
        <v>1597</v>
      </c>
      <c r="L353" s="2" t="n">
        <v>2629.6</v>
      </c>
      <c r="M353" s="2" t="n">
        <v>2342.8</v>
      </c>
      <c r="N353" s="2" t="n">
        <v>286.8</v>
      </c>
      <c r="O353" s="2" t="n">
        <v>71.2</v>
      </c>
      <c r="P353" s="2" t="n">
        <v>120.9</v>
      </c>
      <c r="Q353" s="2" t="n">
        <v>20.4</v>
      </c>
      <c r="R353" s="2" t="n">
        <v>100.5</v>
      </c>
      <c r="T353" s="2" t="n">
        <v>13.9</v>
      </c>
      <c r="U353" s="2" t="n">
        <v>20.8</v>
      </c>
      <c r="V353" s="2" t="n">
        <v>17.6</v>
      </c>
      <c r="W353" s="2" t="n">
        <v>3.2</v>
      </c>
      <c r="X353" s="2" t="inlineStr">
        <is>
          <t>NA</t>
        </is>
      </c>
      <c r="Y353" s="2" t="inlineStr">
        <is>
          <t>(D)</t>
        </is>
      </c>
      <c r="Z353" s="2" t="n">
        <v>93</v>
      </c>
      <c r="AA353" s="2" t="n">
        <v>82.14400000000001</v>
      </c>
      <c r="AB353" s="2" t="n">
        <v>10.689</v>
      </c>
      <c r="AC353" s="2" t="inlineStr">
        <is>
          <t>NA</t>
        </is>
      </c>
      <c r="AD353" s="2" t="n">
        <v>62.1</v>
      </c>
      <c r="AE353" s="2" t="n">
        <v>64.40000000000001</v>
      </c>
      <c r="AF353" s="2" t="n">
        <v>138.4</v>
      </c>
      <c r="AG353" s="2" t="n">
        <v>87.2</v>
      </c>
      <c r="AH353" s="2" t="n">
        <v>51.2</v>
      </c>
      <c r="AI353" s="2" t="n">
        <v>198.7</v>
      </c>
      <c r="AJ353" s="2" t="n">
        <v>195.266</v>
      </c>
      <c r="AK353" s="2" t="n">
        <v>3.434</v>
      </c>
      <c r="AL353" s="2" t="n">
        <v>257.1</v>
      </c>
      <c r="AM353" s="2" t="n">
        <v>162.2</v>
      </c>
      <c r="AN353" s="2" t="n">
        <v>94.90000000000001</v>
      </c>
      <c r="AO353" s="2" t="n">
        <v>3101.8</v>
      </c>
      <c r="AP353" s="2" t="n">
        <v>372.3</v>
      </c>
      <c r="AQ353" s="2" t="n">
        <v>244.2</v>
      </c>
      <c r="AR353" s="2" t="n">
        <v>41.6</v>
      </c>
      <c r="AS353" s="2" t="n">
        <v>103.5</v>
      </c>
      <c r="AT353" s="2" t="n">
        <v>54.3</v>
      </c>
      <c r="AU353" s="2" t="n">
        <v>63.2</v>
      </c>
      <c r="AV353" s="2" t="n">
        <v>19.8</v>
      </c>
      <c r="AW353" s="2" t="n">
        <v>9.199999999999999</v>
      </c>
      <c r="AX353" s="2" t="n">
        <v>1.995</v>
      </c>
      <c r="AY353" s="2" t="inlineStr">
        <is>
          <t>NA</t>
        </is>
      </c>
      <c r="AZ353" s="2" t="inlineStr">
        <is>
          <t>NA</t>
        </is>
      </c>
      <c r="BA353" s="2" t="inlineStr">
        <is>
          <t>NA</t>
        </is>
      </c>
      <c r="BB353" s="2" t="inlineStr">
        <is>
          <t>NA</t>
        </is>
      </c>
      <c r="BD353" s="2" t="n">
        <v>150.9</v>
      </c>
      <c r="BE353" s="2" t="n">
        <v>30.1</v>
      </c>
      <c r="BF353" s="2" t="n">
        <v>61.5</v>
      </c>
      <c r="BG353" s="2" t="n">
        <v>9.300000000000001</v>
      </c>
      <c r="BH353" s="2" t="n">
        <v>279</v>
      </c>
      <c r="BI353" s="2" t="n">
        <v>200.8</v>
      </c>
      <c r="BJ353" s="2" t="n">
        <v>92.90000000000001</v>
      </c>
      <c r="BK353" s="2" t="n">
        <v>293.6</v>
      </c>
      <c r="BM353" s="2" t="n">
        <v>572.7</v>
      </c>
      <c r="BN353" s="2" t="n">
        <v>171.4</v>
      </c>
      <c r="BO353" s="2" t="n">
        <v>96.59999999999999</v>
      </c>
      <c r="BP353" s="2" t="n">
        <v>21</v>
      </c>
      <c r="BQ353" s="2" t="n">
        <v>117.5</v>
      </c>
      <c r="BS353" s="2" t="n">
        <v>288.9</v>
      </c>
      <c r="BT353" s="2" t="n">
        <v>32.3</v>
      </c>
      <c r="BU353" s="2" t="n">
        <v>12.1</v>
      </c>
      <c r="BV353" s="2" t="inlineStr">
        <is>
          <t>NA</t>
        </is>
      </c>
      <c r="BW353" s="2" t="inlineStr">
        <is>
          <t>NA</t>
        </is>
      </c>
      <c r="BX353" s="2" t="n">
        <v>403.6</v>
      </c>
      <c r="BY353" s="2" t="inlineStr">
        <is>
          <t>NA</t>
        </is>
      </c>
      <c r="BZ353" s="2" t="inlineStr">
        <is>
          <t>NA</t>
        </is>
      </c>
      <c r="CA353" s="2" t="n">
        <v>79.40000000000001</v>
      </c>
      <c r="CB353" s="2" t="n">
        <v>111.7</v>
      </c>
      <c r="CC353" s="2" t="n">
        <v>24.9</v>
      </c>
      <c r="CD353" s="2" t="n">
        <v>125.1</v>
      </c>
      <c r="CE353" s="2" t="n">
        <v>20.5</v>
      </c>
      <c r="CF353" s="2" t="n">
        <v>86.8</v>
      </c>
      <c r="CG353" s="2" t="n">
        <v>110.7</v>
      </c>
      <c r="CH353" s="2" t="n">
        <v>5.227</v>
      </c>
      <c r="CI353" s="2" t="n">
        <v>29.2</v>
      </c>
      <c r="CJ353" s="2" t="n">
        <v>5.5</v>
      </c>
      <c r="CK353" s="2" t="n">
        <v>150.5</v>
      </c>
      <c r="CL353" s="2" t="n">
        <v>29.9</v>
      </c>
      <c r="CN353" s="2" t="n">
        <v>38.9</v>
      </c>
      <c r="CO353" s="2" t="n">
        <v>164.1</v>
      </c>
      <c r="CP353" s="2" t="n">
        <v>101.4</v>
      </c>
      <c r="CQ353" s="2" t="n">
        <v>62.7</v>
      </c>
      <c r="CR353" s="2" t="inlineStr">
        <is>
          <t>NA</t>
        </is>
      </c>
      <c r="CS353" s="2" t="n">
        <v>37.482</v>
      </c>
      <c r="CT353" s="2" t="inlineStr">
        <is>
          <t>(D)</t>
        </is>
      </c>
      <c r="CU353" s="2" t="inlineStr">
        <is>
          <t>(D)</t>
        </is>
      </c>
      <c r="CV353" s="2" t="n">
        <v>169.8</v>
      </c>
      <c r="CW353" s="2" t="inlineStr">
        <is>
          <t>(D)</t>
        </is>
      </c>
      <c r="CX353" s="2" t="inlineStr">
        <is>
          <t>(D)</t>
        </is>
      </c>
      <c r="CY353" s="2" t="inlineStr">
        <is>
          <t>(D)</t>
        </is>
      </c>
      <c r="CZ353" s="2" t="n">
        <v>56.8</v>
      </c>
      <c r="DA353" s="2" t="n">
        <v>21.4</v>
      </c>
      <c r="DB353" s="2" t="inlineStr">
        <is>
          <t>(D)</t>
        </is>
      </c>
      <c r="DC353" s="2" t="inlineStr">
        <is>
          <t>(D)</t>
        </is>
      </c>
      <c r="DI353" s="2" t="n">
        <v>659.7</v>
      </c>
      <c r="DJ353" s="2" t="n">
        <v>466.8</v>
      </c>
      <c r="DK353" s="2" t="n">
        <v>935.7</v>
      </c>
      <c r="DM353" s="2" t="n">
        <v>446.4</v>
      </c>
      <c r="DO353" s="2" t="n">
        <v>251.9</v>
      </c>
      <c r="DP353" s="2" t="n">
        <v>229.2</v>
      </c>
      <c r="DS353" s="2" t="n">
        <v>1250.672550000001</v>
      </c>
      <c r="DT353" s="2" t="n">
        <v>4240.4</v>
      </c>
      <c r="DU353" s="2" t="n">
        <v>-0.02744999999958964</v>
      </c>
      <c r="DV353" s="2" t="n">
        <v>0</v>
      </c>
      <c r="EA353" s="2" t="n">
        <v>360.4</v>
      </c>
      <c r="EB353" s="2" t="n">
        <v>587</v>
      </c>
      <c r="EC353" s="2" t="n">
        <v>473</v>
      </c>
      <c r="EE353" s="2" t="n">
        <v>243.9</v>
      </c>
      <c r="EG353" s="2" t="inlineStr">
        <is>
          <t>(D)</t>
        </is>
      </c>
      <c r="EH353" s="2" t="inlineStr">
        <is>
          <t>(D)</t>
        </is>
      </c>
      <c r="EK353" s="2" t="n">
        <v>1427.149</v>
      </c>
      <c r="EL353" s="2" t="n">
        <v>3492.8</v>
      </c>
      <c r="EQ353" s="2" t="n">
        <v>250.6</v>
      </c>
      <c r="ER353" s="2" t="n">
        <v>177.9</v>
      </c>
      <c r="ES353" s="2" t="n">
        <v>351.7</v>
      </c>
      <c r="EU353" s="2" t="n">
        <v>174.9</v>
      </c>
      <c r="EW353" s="2" t="n">
        <v>91</v>
      </c>
      <c r="EX353" s="2" t="n">
        <v>87.2</v>
      </c>
      <c r="FA353" s="2" t="n">
        <v>463.7879</v>
      </c>
      <c r="FB353" s="2" t="n">
        <v>1597</v>
      </c>
      <c r="FG353" s="2" t="n">
        <v>519</v>
      </c>
      <c r="FH353" s="2" t="n">
        <v>369.8</v>
      </c>
      <c r="FI353" s="2" t="n">
        <v>733.4</v>
      </c>
      <c r="FK353" s="2" t="n">
        <v>358.4</v>
      </c>
      <c r="FM353" s="2" t="n">
        <v>199.9</v>
      </c>
      <c r="FN353" s="2" t="n">
        <v>182.8</v>
      </c>
      <c r="FQ353" s="2" t="n">
        <v>990.3907000000002</v>
      </c>
      <c r="FR353" s="2" t="n">
        <v>3353.8</v>
      </c>
      <c r="FW353" s="2" t="n">
        <v>191.5</v>
      </c>
      <c r="FX353" s="2" t="n">
        <v>145.1</v>
      </c>
      <c r="FY353" s="2" t="n">
        <v>242.2</v>
      </c>
      <c r="GA353" s="2" t="n">
        <v>57.9</v>
      </c>
      <c r="GC353" s="2" t="inlineStr">
        <is>
          <t>(D)</t>
        </is>
      </c>
      <c r="GD353" s="2" t="inlineStr">
        <is>
          <t>(D)</t>
        </is>
      </c>
      <c r="GG353" s="2" t="n">
        <v>438.6780000000001</v>
      </c>
      <c r="GH353" s="2" t="n">
        <v>1139.9</v>
      </c>
      <c r="GM353" s="2" t="n">
        <v>102.8</v>
      </c>
      <c r="GN353" s="2" t="n">
        <v>68.5</v>
      </c>
      <c r="GO353" s="2" t="n">
        <v>61.4</v>
      </c>
      <c r="GQ353" s="2" t="n">
        <v>27</v>
      </c>
      <c r="GS353" s="2" t="inlineStr">
        <is>
          <t>(D)</t>
        </is>
      </c>
      <c r="GT353" s="2" t="inlineStr">
        <is>
          <t>(D)</t>
        </is>
      </c>
      <c r="GW353" s="2" t="n">
        <v>133.418</v>
      </c>
      <c r="GX353" s="2" t="n">
        <v>413.9</v>
      </c>
      <c r="GY353" s="2" t="n">
        <v>0.997178876840342</v>
      </c>
      <c r="GZ353" s="2" t="n">
        <v>1131.1</v>
      </c>
      <c r="HA353" s="2" t="n">
        <v>1134.3</v>
      </c>
      <c r="HB353" s="2" t="n">
        <v>-33.14145458059966</v>
      </c>
      <c r="HC353" s="2" t="n">
        <v>-79.04601414659874</v>
      </c>
      <c r="HD353" s="2" t="n">
        <v>1371.2585454194</v>
      </c>
      <c r="HE353" s="2" t="n">
        <v>-119.5999999999999</v>
      </c>
      <c r="HF353" s="2" t="n">
        <v>1404.4</v>
      </c>
      <c r="HG353" s="2" t="n">
        <v>1167.1</v>
      </c>
      <c r="HH353" s="2" t="n">
        <v>335.7</v>
      </c>
      <c r="HI353" s="2" t="inlineStr">
        <is>
          <t>(D)</t>
        </is>
      </c>
      <c r="HJ353" s="2" t="n">
        <v>740.1</v>
      </c>
      <c r="HK353" s="2" t="inlineStr">
        <is>
          <t>(D)</t>
        </is>
      </c>
      <c r="HL353" s="2" t="n">
        <v>237.3</v>
      </c>
      <c r="HM353" s="2" t="n">
        <v>207</v>
      </c>
      <c r="HN353" s="2" t="n">
        <v>96.8</v>
      </c>
      <c r="HO353" s="2" t="n">
        <v>110.2</v>
      </c>
      <c r="HQ353" s="2" t="n">
        <v>3.9</v>
      </c>
      <c r="HR353" s="2" t="n">
        <v>8.300000000000001</v>
      </c>
      <c r="HT353" s="2" t="n">
        <v>18.1</v>
      </c>
      <c r="HW353" s="2" t="n">
        <v>297.2</v>
      </c>
      <c r="HX353" s="2" t="inlineStr">
        <is>
          <t>-</t>
        </is>
      </c>
      <c r="HY353" s="2" t="n">
        <v>297.2</v>
      </c>
      <c r="HZ353" s="2" t="n">
        <v>49.5</v>
      </c>
      <c r="IA353" s="2" t="n">
        <v>166.5</v>
      </c>
      <c r="IB353" s="2" t="n">
        <v>34.7</v>
      </c>
      <c r="IC353" s="2" t="n">
        <v>131.8</v>
      </c>
      <c r="ID353" s="2" t="n">
        <v>78.09999999999999</v>
      </c>
      <c r="IE353" s="2" t="n">
        <v>53.7</v>
      </c>
      <c r="IH353" s="2" t="n">
        <v>51.1</v>
      </c>
      <c r="II353" s="2" t="n">
        <v>28.4</v>
      </c>
      <c r="IJ353" s="2" t="n">
        <v>5</v>
      </c>
      <c r="IK353" s="2" t="n">
        <v>17.7</v>
      </c>
      <c r="IL353" s="2" t="n">
        <v>30.09999999999999</v>
      </c>
      <c r="IN353" s="2" t="n">
        <v>63.2</v>
      </c>
      <c r="IO353" s="2" t="n">
        <v>63.5</v>
      </c>
      <c r="IP353" s="2" t="inlineStr">
        <is>
          <t>(D)</t>
        </is>
      </c>
      <c r="IQ353" s="2" t="n">
        <v>64.59999999999999</v>
      </c>
      <c r="IR353" s="2" t="inlineStr">
        <is>
          <t>(D)</t>
        </is>
      </c>
      <c r="IT353" s="2" t="n">
        <v>54.3</v>
      </c>
      <c r="IU353" s="2" t="inlineStr">
        <is>
          <t>(D)</t>
        </is>
      </c>
      <c r="IV353" s="2" t="inlineStr">
        <is>
          <t>(D)</t>
        </is>
      </c>
      <c r="IW353" s="2" t="inlineStr">
        <is>
          <t>(D)</t>
        </is>
      </c>
      <c r="IX353" s="2" t="inlineStr">
        <is>
          <t>(D)</t>
        </is>
      </c>
      <c r="IY353" s="2" t="n">
        <v>47.34459013300632</v>
      </c>
      <c r="IZ353" s="2" t="n">
        <v>0.2145901330063182</v>
      </c>
      <c r="JB353" s="2" t="n">
        <v>11.29846240920668</v>
      </c>
      <c r="JC353" s="2" t="n">
        <v>-0.06153759079332133</v>
      </c>
      <c r="JE353" s="2" t="n">
        <v>2629.6</v>
      </c>
      <c r="JF353" s="2" t="n">
        <v>0.8274399148159415</v>
      </c>
    </row>
    <row r="354">
      <c r="A354" s="1" t="n">
        <v>39814</v>
      </c>
      <c r="B354" s="2" t="n">
        <v>4356.119</v>
      </c>
      <c r="C354" s="2" t="n">
        <v>3101.433</v>
      </c>
      <c r="D354" s="2" t="n">
        <v>234.3319</v>
      </c>
      <c r="E354" s="2" t="n">
        <v>1391.221</v>
      </c>
      <c r="F354" s="2" t="n">
        <v>17.648</v>
      </c>
      <c r="G354" s="2" t="inlineStr">
        <is>
          <t>NA</t>
        </is>
      </c>
      <c r="H354" s="2" t="inlineStr">
        <is>
          <t>NA</t>
        </is>
      </c>
      <c r="I354" s="2" t="inlineStr">
        <is>
          <t>NA</t>
        </is>
      </c>
      <c r="J354" s="2" t="inlineStr">
        <is>
          <t>NA</t>
        </is>
      </c>
      <c r="K354" s="2" t="n">
        <v>1615.1</v>
      </c>
      <c r="L354" s="2" t="n">
        <v>2992.3</v>
      </c>
      <c r="M354" s="2" t="n">
        <v>2692.7</v>
      </c>
      <c r="N354" s="2" t="n">
        <v>299.6</v>
      </c>
      <c r="O354" s="2" t="n">
        <v>70.40000000000001</v>
      </c>
      <c r="P354" s="2" t="n">
        <v>130.8</v>
      </c>
      <c r="Q354" s="2" t="n">
        <v>51.2</v>
      </c>
      <c r="R354" s="2" t="n">
        <v>79.59999999999999</v>
      </c>
      <c r="T354" s="2" t="n">
        <v>13.8</v>
      </c>
      <c r="U354" s="2" t="n">
        <v>24</v>
      </c>
      <c r="V354" s="2" t="n">
        <v>20.4</v>
      </c>
      <c r="W354" s="2" t="n">
        <v>3.5</v>
      </c>
      <c r="X354" s="2" t="inlineStr">
        <is>
          <t>NA</t>
        </is>
      </c>
      <c r="Y354" s="2" t="inlineStr">
        <is>
          <t>(D)</t>
        </is>
      </c>
      <c r="Z354" s="2" t="n">
        <v>106.1</v>
      </c>
      <c r="AA354" s="2" t="n">
        <v>100.2</v>
      </c>
      <c r="AB354" s="2" t="n">
        <v>5.9</v>
      </c>
      <c r="AC354" s="2" t="inlineStr">
        <is>
          <t>NA</t>
        </is>
      </c>
      <c r="AD354" s="2" t="n">
        <v>70</v>
      </c>
      <c r="AE354" s="2" t="n">
        <v>73.90000000000001</v>
      </c>
      <c r="AF354" s="2" t="n">
        <v>156.2</v>
      </c>
      <c r="AG354" s="2" t="n">
        <v>96.40000000000001</v>
      </c>
      <c r="AH354" s="2" t="n">
        <v>59.8</v>
      </c>
      <c r="AI354" s="2" t="n">
        <v>200.3</v>
      </c>
      <c r="AJ354" s="2" t="n">
        <v>197.3</v>
      </c>
      <c r="AK354" s="2" t="n">
        <v>3</v>
      </c>
      <c r="AL354" s="2" t="n">
        <v>264.8</v>
      </c>
      <c r="AM354" s="2" t="n">
        <v>153.8</v>
      </c>
      <c r="AN354" s="2" t="n">
        <v>111.1</v>
      </c>
      <c r="AO354" s="2" t="n">
        <v>3184.5717</v>
      </c>
      <c r="AP354" s="2" t="n">
        <v>400.217</v>
      </c>
      <c r="AQ354" s="2" t="n">
        <v>254.61388</v>
      </c>
      <c r="AR354" s="2" t="n">
        <v>45.021</v>
      </c>
      <c r="AS354" s="2" t="n">
        <v>102.7176</v>
      </c>
      <c r="AT354" s="2" t="n">
        <v>48.355</v>
      </c>
      <c r="AU354" s="2" t="n">
        <v>68.7773</v>
      </c>
      <c r="AV354" s="2" t="n">
        <v>31.374</v>
      </c>
      <c r="AW354" s="2" t="n">
        <v>9.007899999999999</v>
      </c>
      <c r="AX354" s="2" t="n">
        <v>2.251</v>
      </c>
      <c r="AY354" s="2" t="inlineStr">
        <is>
          <t>NA</t>
        </is>
      </c>
      <c r="AZ354" s="2" t="inlineStr">
        <is>
          <t>NA</t>
        </is>
      </c>
      <c r="BA354" s="2" t="inlineStr">
        <is>
          <t>NA</t>
        </is>
      </c>
      <c r="BB354" s="2" t="inlineStr">
        <is>
          <t>NA</t>
        </is>
      </c>
      <c r="BD354" s="2" t="n">
        <v>143.1</v>
      </c>
      <c r="BE354" s="2" t="n">
        <v>41.5</v>
      </c>
      <c r="BF354" s="2" t="n">
        <v>63</v>
      </c>
      <c r="BG354" s="2" t="n">
        <v>7.7</v>
      </c>
      <c r="BH354" s="2" t="n">
        <v>283.6</v>
      </c>
      <c r="BI354" s="2" t="n">
        <v>145.9</v>
      </c>
      <c r="BJ354" s="2" t="n">
        <v>102.4</v>
      </c>
      <c r="BK354" s="2" t="n">
        <v>248.3</v>
      </c>
      <c r="BM354" s="2" t="n">
        <v>531.8</v>
      </c>
      <c r="BN354" s="2" t="n">
        <v>180.4</v>
      </c>
      <c r="BO354" s="2" t="n">
        <v>91</v>
      </c>
      <c r="BP354" s="2" t="n">
        <v>35.8</v>
      </c>
      <c r="BQ354" s="2" t="n">
        <v>126.8</v>
      </c>
      <c r="BS354" s="2" t="n">
        <v>307.2</v>
      </c>
      <c r="BT354" s="2" t="n">
        <v>31.3</v>
      </c>
      <c r="BU354" s="2" t="n">
        <v>17.5</v>
      </c>
      <c r="BV354" s="2" t="inlineStr">
        <is>
          <t>NA</t>
        </is>
      </c>
      <c r="BW354" s="2" t="inlineStr">
        <is>
          <t>NA</t>
        </is>
      </c>
      <c r="BX354" s="2" t="n">
        <v>423.8</v>
      </c>
      <c r="BY354" s="2" t="inlineStr">
        <is>
          <t>NA</t>
        </is>
      </c>
      <c r="BZ354" s="2" t="inlineStr">
        <is>
          <t>NA</t>
        </is>
      </c>
      <c r="CA354" s="2" t="n">
        <v>58.1</v>
      </c>
      <c r="CB354" s="2" t="n">
        <v>109.1</v>
      </c>
      <c r="CC354" s="2" t="n">
        <v>21.7</v>
      </c>
      <c r="CD354" s="2" t="n">
        <v>129</v>
      </c>
      <c r="CE354" s="2" t="n">
        <v>19.3</v>
      </c>
      <c r="CF354" s="2" t="n">
        <v>91.59999999999999</v>
      </c>
      <c r="CG354" s="2" t="n">
        <v>103.4</v>
      </c>
      <c r="CH354" s="2" t="n">
        <v>5.4</v>
      </c>
      <c r="CI354" s="2" t="n">
        <v>28.7</v>
      </c>
      <c r="CJ354" s="2" t="n">
        <v>7.3</v>
      </c>
      <c r="CK354" s="2" t="n">
        <v>141.1</v>
      </c>
      <c r="CL354" s="2" t="n">
        <v>21</v>
      </c>
      <c r="CN354" s="2" t="n">
        <v>46.8</v>
      </c>
      <c r="CO354" s="2" t="n">
        <v>184.4</v>
      </c>
      <c r="CP354" s="2" t="n">
        <v>127.2</v>
      </c>
      <c r="CQ354" s="2" t="n">
        <v>57.2</v>
      </c>
      <c r="CR354" s="2" t="inlineStr">
        <is>
          <t>NA</t>
        </is>
      </c>
      <c r="CS354" s="2" t="n">
        <v>59.4</v>
      </c>
      <c r="CT354" s="2" t="inlineStr">
        <is>
          <t>(D)</t>
        </is>
      </c>
      <c r="CU354" s="2" t="inlineStr">
        <is>
          <t>(D)</t>
        </is>
      </c>
      <c r="CV354" s="2" t="n">
        <v>291.7</v>
      </c>
      <c r="CW354" s="2" t="n">
        <v>51</v>
      </c>
      <c r="CX354" s="2" t="n">
        <v>240.7</v>
      </c>
      <c r="CY354" s="2" t="inlineStr">
        <is>
          <t>(D)</t>
        </is>
      </c>
      <c r="CZ354" s="2" t="n">
        <v>94</v>
      </c>
      <c r="DA354" s="2" t="n">
        <v>33</v>
      </c>
      <c r="DB354" s="2" t="inlineStr">
        <is>
          <t>(D)</t>
        </is>
      </c>
      <c r="DC354" s="2" t="inlineStr">
        <is>
          <t>(D)</t>
        </is>
      </c>
      <c r="DI354" s="2" t="n">
        <v>659.821</v>
      </c>
      <c r="DJ354" s="2" t="n">
        <v>492.7278</v>
      </c>
      <c r="DK354" s="2" t="n">
        <v>945.47</v>
      </c>
      <c r="DM354" s="2" t="n">
        <v>468.578</v>
      </c>
      <c r="DO354" s="2" t="n">
        <v>243.789</v>
      </c>
      <c r="DP354" s="2" t="n">
        <v>227.707</v>
      </c>
      <c r="DS354" s="2" t="n">
        <v>1318.0262</v>
      </c>
      <c r="DT354" s="2" t="n">
        <v>4356.119</v>
      </c>
      <c r="DU354" s="2" t="n">
        <v>0</v>
      </c>
      <c r="DV354" s="2" t="n">
        <v>0</v>
      </c>
      <c r="EA354" s="2" t="n">
        <v>318.004</v>
      </c>
      <c r="EB354" s="2" t="n">
        <v>581.622</v>
      </c>
      <c r="EC354" s="2" t="n">
        <v>470.354</v>
      </c>
      <c r="EE354" s="2" t="n">
        <v>171.211</v>
      </c>
      <c r="EG354" s="2" t="n">
        <v>108.594</v>
      </c>
      <c r="EH354" s="2" t="n">
        <v>245.991</v>
      </c>
      <c r="EK354" s="2" t="n">
        <v>1244.077</v>
      </c>
      <c r="EL354" s="2" t="n">
        <v>3101.433</v>
      </c>
      <c r="EQ354" s="2" t="n">
        <v>235.4</v>
      </c>
      <c r="ER354" s="2" t="n">
        <v>187.5</v>
      </c>
      <c r="ES354" s="2" t="n">
        <v>356.6</v>
      </c>
      <c r="EU354" s="2" t="n">
        <v>177.8</v>
      </c>
      <c r="EW354" s="2" t="n">
        <v>88.2</v>
      </c>
      <c r="EX354" s="2" t="n">
        <v>82.40000000000001</v>
      </c>
      <c r="FA354" s="2" t="n">
        <v>487.29108</v>
      </c>
      <c r="FB354" s="2" t="n">
        <v>1615.1</v>
      </c>
      <c r="FG354" s="2" t="n">
        <v>521.4</v>
      </c>
      <c r="FH354" s="2" t="n">
        <v>391.4</v>
      </c>
      <c r="FI354" s="2" t="n">
        <v>748.7</v>
      </c>
      <c r="FK354" s="2" t="n">
        <v>367.6</v>
      </c>
      <c r="FM354" s="2" t="n">
        <v>190.8</v>
      </c>
      <c r="FN354" s="2" t="n">
        <v>181.7</v>
      </c>
      <c r="FQ354" s="2" t="n">
        <v>1044.80808</v>
      </c>
      <c r="FR354" s="2" t="n">
        <v>3446.4</v>
      </c>
      <c r="FW354" s="2" t="n">
        <v>212.2</v>
      </c>
      <c r="FX354" s="2" t="n">
        <v>149.8</v>
      </c>
      <c r="FY354" s="2" t="n">
        <v>261.6</v>
      </c>
      <c r="GA354" s="2" t="n">
        <v>87.59999999999999</v>
      </c>
      <c r="GC354" s="2" t="inlineStr">
        <is>
          <t>(D)</t>
        </is>
      </c>
      <c r="GD354" s="2" t="inlineStr">
        <is>
          <t>(D)</t>
        </is>
      </c>
      <c r="GG354" s="2" t="n">
        <v>484.2189999999998</v>
      </c>
      <c r="GH354" s="2" t="n">
        <v>1278.9</v>
      </c>
      <c r="GM354" s="2" t="n">
        <v>108.8</v>
      </c>
      <c r="GN354" s="2" t="n">
        <v>91.8</v>
      </c>
      <c r="GO354" s="2" t="n">
        <v>73.3</v>
      </c>
      <c r="GQ354" s="2" t="n">
        <v>35.5</v>
      </c>
      <c r="GS354" s="2" t="inlineStr">
        <is>
          <t>(D)</t>
        </is>
      </c>
      <c r="GT354" s="2" t="inlineStr">
        <is>
          <t>(D)</t>
        </is>
      </c>
      <c r="GW354" s="2" t="n">
        <v>116.95</v>
      </c>
      <c r="GX354" s="2" t="n">
        <v>445.2</v>
      </c>
      <c r="GY354" s="2" t="n">
        <v>0.9849348880755808</v>
      </c>
      <c r="GZ354" s="2" t="n">
        <v>1157.2</v>
      </c>
      <c r="HA354" s="2" t="n">
        <v>1174.9</v>
      </c>
      <c r="HB354" s="2" t="n">
        <v>-117.4309400606003</v>
      </c>
      <c r="HC354" s="2" t="n">
        <v>-394.5159490322003</v>
      </c>
      <c r="HD354" s="2" t="n">
        <v>1165.1690599394</v>
      </c>
      <c r="HE354" s="2" t="n">
        <v>-377</v>
      </c>
      <c r="HF354" s="2" t="n">
        <v>1282.6</v>
      </c>
      <c r="HG354" s="2" t="n">
        <v>1124.5</v>
      </c>
      <c r="HH354" s="2" t="n">
        <v>329.1</v>
      </c>
      <c r="HI354" s="2" t="inlineStr">
        <is>
          <t>(D)</t>
        </is>
      </c>
      <c r="HJ354" s="2" t="n">
        <v>727.4</v>
      </c>
      <c r="HK354" s="2" t="inlineStr">
        <is>
          <t>(D)</t>
        </is>
      </c>
      <c r="HL354" s="2" t="n">
        <v>158.1</v>
      </c>
      <c r="HM354" s="2" t="n">
        <v>133.3</v>
      </c>
      <c r="HN354" s="2" t="n">
        <v>70.09999999999999</v>
      </c>
      <c r="HO354" s="2" t="n">
        <v>63.2</v>
      </c>
      <c r="HQ354" s="2" t="inlineStr">
        <is>
          <t>(S)</t>
        </is>
      </c>
      <c r="HR354" s="2" t="inlineStr">
        <is>
          <t>(S)</t>
        </is>
      </c>
      <c r="HT354" s="2" t="n">
        <v>19.4</v>
      </c>
      <c r="HW354" s="2" t="n">
        <v>284.4</v>
      </c>
      <c r="HX354" s="2" t="inlineStr">
        <is>
          <t>-</t>
        </is>
      </c>
      <c r="HY354" s="2" t="n">
        <v>284.4</v>
      </c>
      <c r="HZ354" s="2" t="n">
        <v>36.6</v>
      </c>
      <c r="IA354" s="2" t="n">
        <v>176.5</v>
      </c>
      <c r="IB354" s="2" t="n">
        <v>43.6</v>
      </c>
      <c r="IC354" s="2" t="n">
        <v>132.9</v>
      </c>
      <c r="ID354" s="2" t="n">
        <v>81.59999999999999</v>
      </c>
      <c r="IE354" s="2" t="n">
        <v>51.3</v>
      </c>
      <c r="IH354" s="2" t="n">
        <v>24.201</v>
      </c>
      <c r="II354" s="2" t="n">
        <v>9.638</v>
      </c>
      <c r="IJ354" s="2" t="n">
        <v>3.163</v>
      </c>
      <c r="IK354" s="2" t="n">
        <v>11.4</v>
      </c>
      <c r="IL354" s="2" t="n">
        <v>47.09899999999998</v>
      </c>
      <c r="IN354" s="2" t="n">
        <v>57.9</v>
      </c>
      <c r="IO354" s="2" t="n">
        <v>58.3</v>
      </c>
      <c r="IP354" s="2" t="inlineStr">
        <is>
          <t>(D)</t>
        </is>
      </c>
      <c r="IQ354" s="2" t="n">
        <v>58</v>
      </c>
      <c r="IR354" s="2" t="n">
        <v>9.209</v>
      </c>
      <c r="IT354" s="2" t="n">
        <v>47.5</v>
      </c>
      <c r="IU354" s="2" t="inlineStr">
        <is>
          <t>(D)</t>
        </is>
      </c>
      <c r="IV354" s="2" t="inlineStr">
        <is>
          <t>(D)</t>
        </is>
      </c>
      <c r="IW354" s="2" t="inlineStr">
        <is>
          <t>(D)</t>
        </is>
      </c>
      <c r="IX354" s="2" t="inlineStr">
        <is>
          <t>(D)</t>
        </is>
      </c>
      <c r="IY354" s="2" t="n">
        <v>47.37040810868574</v>
      </c>
      <c r="IZ354" s="2" t="n">
        <v>0.1304081086857423</v>
      </c>
      <c r="JB354" s="2" t="n">
        <v>11.12297437237137</v>
      </c>
      <c r="JC354" s="2" t="n">
        <v>-0.1770256276286304</v>
      </c>
      <c r="JE354" s="2" t="n">
        <v>2992.3</v>
      </c>
      <c r="JF354" s="2" t="n">
        <v>0.7998943956154128</v>
      </c>
    </row>
    <row r="355">
      <c r="A355" s="1" t="n">
        <v>39845</v>
      </c>
      <c r="B355" s="2" t="n">
        <v>4061.3</v>
      </c>
      <c r="C355" s="2" t="n">
        <v>2993.2</v>
      </c>
      <c r="D355" s="2" t="n">
        <v>217.6</v>
      </c>
      <c r="E355" s="2" t="n">
        <v>1243.9</v>
      </c>
      <c r="F355" s="2" t="n">
        <v>8.800000000000001</v>
      </c>
      <c r="G355" s="2" t="inlineStr">
        <is>
          <t>NA</t>
        </is>
      </c>
      <c r="H355" s="2" t="inlineStr">
        <is>
          <t>NA</t>
        </is>
      </c>
      <c r="I355" s="2" t="inlineStr">
        <is>
          <t>NA</t>
        </is>
      </c>
      <c r="J355" s="2" t="inlineStr">
        <is>
          <t>NA</t>
        </is>
      </c>
      <c r="K355" s="2" t="n">
        <v>1536.1</v>
      </c>
      <c r="L355" s="2" t="n">
        <v>3124.1</v>
      </c>
      <c r="M355" s="2" t="n">
        <v>2816.9</v>
      </c>
      <c r="N355" s="2" t="n">
        <v>307.2</v>
      </c>
      <c r="O355" s="2" t="n">
        <v>68.40000000000001</v>
      </c>
      <c r="P355" s="2" t="n">
        <v>134.6</v>
      </c>
      <c r="Q355" s="2" t="n">
        <v>57.5</v>
      </c>
      <c r="R355" s="2" t="n">
        <v>77.09999999999999</v>
      </c>
      <c r="T355" s="2" t="n">
        <v>6.8</v>
      </c>
      <c r="U355" s="2" t="n">
        <v>23.4</v>
      </c>
      <c r="V355" s="2" t="n">
        <v>20.6</v>
      </c>
      <c r="W355" s="2" t="n">
        <v>2.8</v>
      </c>
      <c r="X355" s="2" t="inlineStr">
        <is>
          <t>NA</t>
        </is>
      </c>
      <c r="Y355" s="2" t="inlineStr">
        <is>
          <t>(D)</t>
        </is>
      </c>
      <c r="Z355" s="2" t="n">
        <v>122.5</v>
      </c>
      <c r="AA355" s="2" t="n">
        <v>110</v>
      </c>
      <c r="AB355" s="2" t="n">
        <v>12.5</v>
      </c>
      <c r="AC355" s="2" t="inlineStr">
        <is>
          <t>NA</t>
        </is>
      </c>
      <c r="AD355" s="2" t="n">
        <v>48.2</v>
      </c>
      <c r="AE355" s="2" t="n">
        <v>49.4</v>
      </c>
      <c r="AF355" s="2" t="n">
        <v>178.4</v>
      </c>
      <c r="AG355" s="2" t="n">
        <v>127.3</v>
      </c>
      <c r="AH355" s="2" t="n">
        <v>51.1</v>
      </c>
      <c r="AI355" s="2" t="n">
        <v>199.8</v>
      </c>
      <c r="AJ355" s="2" t="n">
        <v>197.001</v>
      </c>
      <c r="AK355" s="2" t="n">
        <v>2.799000000000007</v>
      </c>
      <c r="AL355" s="2" t="n">
        <v>255.1</v>
      </c>
      <c r="AM355" s="2" t="n">
        <v>134.6</v>
      </c>
      <c r="AN355" s="2" t="n">
        <v>120.6</v>
      </c>
      <c r="AO355" s="2" t="n">
        <v>2972.2</v>
      </c>
      <c r="AP355" s="2" t="n">
        <v>393.1</v>
      </c>
      <c r="AQ355" s="2" t="n">
        <v>230.9</v>
      </c>
      <c r="AR355" s="2" t="n">
        <v>43.9</v>
      </c>
      <c r="AS355" s="2" t="n">
        <v>99.2</v>
      </c>
      <c r="AT355" s="2" t="n">
        <v>49.4</v>
      </c>
      <c r="AU355" s="2" t="n">
        <v>62.6</v>
      </c>
      <c r="AV355" s="2" t="n">
        <v>38.9</v>
      </c>
      <c r="AW355" s="2" t="n">
        <v>4.5</v>
      </c>
      <c r="AX355" s="2" t="n">
        <v>1.81</v>
      </c>
      <c r="AY355" s="2" t="inlineStr">
        <is>
          <t>NA</t>
        </is>
      </c>
      <c r="AZ355" s="2" t="inlineStr">
        <is>
          <t>NA</t>
        </is>
      </c>
      <c r="BA355" s="2" t="inlineStr">
        <is>
          <t>NA</t>
        </is>
      </c>
      <c r="BB355" s="2" t="inlineStr">
        <is>
          <t>NA</t>
        </is>
      </c>
      <c r="BD355" s="2" t="n">
        <v>143.4</v>
      </c>
      <c r="BE355" s="2" t="n">
        <v>38.9</v>
      </c>
      <c r="BF355" s="2" t="n">
        <v>57.3</v>
      </c>
      <c r="BG355" s="2" t="n">
        <v>4.8</v>
      </c>
      <c r="BH355" s="2" t="n">
        <v>274.6</v>
      </c>
      <c r="BI355" s="2" t="n">
        <v>139.6</v>
      </c>
      <c r="BJ355" s="2" t="n">
        <v>99.2</v>
      </c>
      <c r="BK355" s="2" t="n">
        <v>238.7</v>
      </c>
      <c r="BM355" s="2" t="n">
        <v>513.4</v>
      </c>
      <c r="BN355" s="2" t="n">
        <v>215</v>
      </c>
      <c r="BO355" s="2" t="n">
        <v>98.90000000000001</v>
      </c>
      <c r="BP355" s="2" t="n">
        <v>43.7</v>
      </c>
      <c r="BQ355" s="2" t="n">
        <v>142.5</v>
      </c>
      <c r="BS355" s="2" t="n">
        <v>357.5</v>
      </c>
      <c r="BT355" s="2" t="n">
        <v>27.2</v>
      </c>
      <c r="BU355" s="2" t="n">
        <v>19.1</v>
      </c>
      <c r="BV355" s="2" t="inlineStr">
        <is>
          <t>NA</t>
        </is>
      </c>
      <c r="BW355" s="2" t="inlineStr">
        <is>
          <t>NA</t>
        </is>
      </c>
      <c r="BX355" s="2" t="n">
        <v>381.4</v>
      </c>
      <c r="BY355" s="2" t="inlineStr">
        <is>
          <t>NA</t>
        </is>
      </c>
      <c r="BZ355" s="2" t="inlineStr">
        <is>
          <t>NA</t>
        </is>
      </c>
      <c r="CA355" s="2" t="n">
        <v>49.9</v>
      </c>
      <c r="CB355" s="2" t="n">
        <v>101.7</v>
      </c>
      <c r="CC355" s="2" t="n">
        <v>18.6</v>
      </c>
      <c r="CD355" s="2" t="n">
        <v>120.9</v>
      </c>
      <c r="CE355" s="2" t="n">
        <v>16.6</v>
      </c>
      <c r="CF355" s="2" t="n">
        <v>93.7</v>
      </c>
      <c r="CG355" s="2" t="n">
        <v>113.6</v>
      </c>
      <c r="CH355" s="2" t="n">
        <v>4.3</v>
      </c>
      <c r="CI355" s="2" t="n">
        <v>26.5</v>
      </c>
      <c r="CJ355" s="2" t="n">
        <v>10</v>
      </c>
      <c r="CK355" s="2" t="n">
        <v>128.8</v>
      </c>
      <c r="CL355" s="2" t="n">
        <v>19.6</v>
      </c>
      <c r="CN355" s="2" t="n">
        <v>44.3</v>
      </c>
      <c r="CO355" s="2" t="n">
        <v>216.3</v>
      </c>
      <c r="CP355" s="2" t="n">
        <v>131.8</v>
      </c>
      <c r="CQ355" s="2" t="n">
        <v>84.5</v>
      </c>
      <c r="CR355" s="2" t="inlineStr">
        <is>
          <t>NA</t>
        </is>
      </c>
      <c r="CS355" s="2" t="n">
        <v>55</v>
      </c>
      <c r="CT355" s="2" t="inlineStr">
        <is>
          <t>(D)</t>
        </is>
      </c>
      <c r="CU355" s="2" t="inlineStr">
        <is>
          <t>(D)</t>
        </is>
      </c>
      <c r="CV355" s="2" t="n">
        <v>327.7</v>
      </c>
      <c r="CW355" s="2" t="n">
        <v>47.2</v>
      </c>
      <c r="CX355" s="2" t="n">
        <v>280.5</v>
      </c>
      <c r="CY355" s="2" t="inlineStr">
        <is>
          <t>(D)</t>
        </is>
      </c>
      <c r="CZ355" s="2" t="n">
        <v>90.40000000000001</v>
      </c>
      <c r="DA355" s="2" t="n">
        <v>26.6</v>
      </c>
      <c r="DB355" s="2" t="inlineStr">
        <is>
          <t>(D)</t>
        </is>
      </c>
      <c r="DC355" s="2" t="inlineStr">
        <is>
          <t>(D)</t>
        </is>
      </c>
      <c r="DI355" s="2" t="n">
        <v>614.1</v>
      </c>
      <c r="DJ355" s="2" t="n">
        <v>509.8</v>
      </c>
      <c r="DK355" s="2" t="n">
        <v>861.2</v>
      </c>
      <c r="DM355" s="2" t="n">
        <v>420.3</v>
      </c>
      <c r="DO355" s="2" t="n">
        <v>232</v>
      </c>
      <c r="DP355" s="2" t="n">
        <v>218.6</v>
      </c>
      <c r="DS355" s="2" t="n">
        <v>1205.317</v>
      </c>
      <c r="DT355" s="2" t="n">
        <v>4061.3</v>
      </c>
      <c r="DU355" s="2" t="n">
        <v>0.01700000000028012</v>
      </c>
      <c r="DV355" s="2" t="n">
        <v>0</v>
      </c>
      <c r="EA355" s="2" t="n">
        <v>284.6</v>
      </c>
      <c r="EB355" s="2" t="n">
        <v>590.9</v>
      </c>
      <c r="EC355" s="2" t="n">
        <v>505.3</v>
      </c>
      <c r="EE355" s="2" t="n">
        <v>169.6</v>
      </c>
      <c r="EG355" s="2" t="inlineStr">
        <is>
          <t>(D)</t>
        </is>
      </c>
      <c r="EH355" s="2" t="inlineStr">
        <is>
          <t>(D)</t>
        </is>
      </c>
      <c r="EK355" s="2" t="n">
        <v>1117.492</v>
      </c>
      <c r="EL355" s="2" t="n">
        <v>2993.2</v>
      </c>
      <c r="EQ355" s="2" t="n">
        <v>231</v>
      </c>
      <c r="ER355" s="2" t="n">
        <v>194.9</v>
      </c>
      <c r="ES355" s="2" t="n">
        <v>324.8</v>
      </c>
      <c r="EU355" s="2" t="n">
        <v>158.9</v>
      </c>
      <c r="EW355" s="2" t="n">
        <v>85.3</v>
      </c>
      <c r="EX355" s="2" t="n">
        <v>84</v>
      </c>
      <c r="FA355" s="2" t="n">
        <v>457.18</v>
      </c>
      <c r="FB355" s="2" t="n">
        <v>1536.1</v>
      </c>
      <c r="FG355" s="2" t="n">
        <v>485.9</v>
      </c>
      <c r="FH355" s="2" t="n">
        <v>405.7</v>
      </c>
      <c r="FI355" s="2" t="n">
        <v>675.9</v>
      </c>
      <c r="FK355" s="2" t="n">
        <v>331</v>
      </c>
      <c r="FM355" s="2" t="n">
        <v>183.3</v>
      </c>
      <c r="FN355" s="2" t="n">
        <v>176.8</v>
      </c>
      <c r="FQ355" s="2" t="n">
        <v>951.8729999999998</v>
      </c>
      <c r="FR355" s="2" t="n">
        <v>3210.5</v>
      </c>
      <c r="FW355" s="2" t="n">
        <v>265.2</v>
      </c>
      <c r="FX355" s="2" t="n">
        <v>161.3</v>
      </c>
      <c r="FY355" s="2" t="n">
        <v>273.3</v>
      </c>
      <c r="GA355" s="2" t="n">
        <v>87</v>
      </c>
      <c r="GC355" s="2" t="inlineStr">
        <is>
          <t>(D)</t>
        </is>
      </c>
      <c r="GD355" s="2" t="inlineStr">
        <is>
          <t>(D)</t>
        </is>
      </c>
      <c r="GG355" s="2" t="n">
        <v>452.1680000000002</v>
      </c>
      <c r="GH355" s="2" t="n">
        <v>1337.5</v>
      </c>
      <c r="GM355" s="2" t="n">
        <v>90.90000000000001</v>
      </c>
      <c r="GN355" s="2" t="n">
        <v>115.1</v>
      </c>
      <c r="GO355" s="2" t="n">
        <v>78.5</v>
      </c>
      <c r="GQ355" s="2" t="n">
        <v>32.5</v>
      </c>
      <c r="GS355" s="2" t="inlineStr">
        <is>
          <t>(D)</t>
        </is>
      </c>
      <c r="GT355" s="2" t="inlineStr">
        <is>
          <t>(D)</t>
        </is>
      </c>
      <c r="GW355" s="2" t="n">
        <v>98.574</v>
      </c>
      <c r="GX355" s="2" t="n">
        <v>437.1</v>
      </c>
      <c r="GY355" s="2" t="n">
        <v>0.9799755159146556</v>
      </c>
      <c r="GZ355" s="2" t="n">
        <v>1120.7</v>
      </c>
      <c r="HA355" s="2" t="n">
        <v>1143.6</v>
      </c>
      <c r="HB355" s="2" t="n">
        <v>-64.93287045840043</v>
      </c>
      <c r="HC355" s="2" t="n">
        <v>-49.09949128620019</v>
      </c>
      <c r="HD355" s="2" t="n">
        <v>1261.667129541599</v>
      </c>
      <c r="HE355" s="2" t="n">
        <v>-250.5</v>
      </c>
      <c r="HF355" s="2" t="n">
        <v>1326.6</v>
      </c>
      <c r="HG355" s="2" t="n">
        <v>1105.4</v>
      </c>
      <c r="HH355" s="2" t="n">
        <v>312</v>
      </c>
      <c r="HI355" s="2" t="inlineStr">
        <is>
          <t>(D)</t>
        </is>
      </c>
      <c r="HJ355" s="2" t="n">
        <v>725.4</v>
      </c>
      <c r="HK355" s="2" t="inlineStr">
        <is>
          <t>(D)</t>
        </is>
      </c>
      <c r="HL355" s="2" t="n">
        <v>221.1</v>
      </c>
      <c r="HM355" s="2" t="n">
        <v>148.1</v>
      </c>
      <c r="HN355" s="2" t="n">
        <v>75.3</v>
      </c>
      <c r="HO355" s="2" t="n">
        <v>72.8</v>
      </c>
      <c r="HQ355" s="2" t="inlineStr">
        <is>
          <t>(S)</t>
        </is>
      </c>
      <c r="HR355" s="2" t="n">
        <v>6.6</v>
      </c>
      <c r="HT355" s="2" t="n">
        <v>18.3</v>
      </c>
      <c r="HW355" s="2" t="n">
        <v>277.9</v>
      </c>
      <c r="HX355" s="2" t="inlineStr">
        <is>
          <t>-</t>
        </is>
      </c>
      <c r="HY355" s="2" t="n">
        <v>277.9</v>
      </c>
      <c r="HZ355" s="2" t="n">
        <v>56.3</v>
      </c>
      <c r="IA355" s="2" t="n">
        <v>156.8</v>
      </c>
      <c r="IB355" s="2" t="n">
        <v>36.7</v>
      </c>
      <c r="IC355" s="2" t="n">
        <v>120.1</v>
      </c>
      <c r="ID355" s="2" t="n">
        <v>78.7</v>
      </c>
      <c r="IE355" s="2" t="n">
        <v>41.4</v>
      </c>
      <c r="IH355" s="2" t="n">
        <v>28.374</v>
      </c>
      <c r="II355" s="2" t="n">
        <v>13.509</v>
      </c>
      <c r="IJ355" s="2" t="n">
        <v>4.265</v>
      </c>
      <c r="IK355" s="2" t="n">
        <v>10.6</v>
      </c>
      <c r="IL355" s="2" t="n">
        <v>36.42599999999996</v>
      </c>
      <c r="IN355" s="2" t="n">
        <v>58.1</v>
      </c>
      <c r="IO355" s="2" t="n">
        <v>58.4</v>
      </c>
      <c r="IP355" s="2" t="inlineStr">
        <is>
          <t>(D)</t>
        </is>
      </c>
      <c r="IQ355" s="2" t="n">
        <v>52</v>
      </c>
      <c r="IR355" s="2" t="n">
        <v>9.351000000000001</v>
      </c>
      <c r="IT355" s="2" t="n">
        <v>41.5</v>
      </c>
      <c r="IU355" s="2" t="inlineStr">
        <is>
          <t>(D)</t>
        </is>
      </c>
      <c r="IV355" s="2" t="inlineStr">
        <is>
          <t>(D)</t>
        </is>
      </c>
      <c r="IW355" s="2" t="inlineStr">
        <is>
          <t>(D)</t>
        </is>
      </c>
      <c r="IX355" s="2" t="inlineStr">
        <is>
          <t>(D)</t>
        </is>
      </c>
      <c r="IY355" s="2" t="n">
        <v>47.32130106123655</v>
      </c>
      <c r="IZ355" s="2" t="n">
        <v>0.191301061236544</v>
      </c>
      <c r="JB355" s="2" t="n">
        <v>11.34685938000148</v>
      </c>
      <c r="JC355" s="2" t="n">
        <v>-0.0631406199985225</v>
      </c>
      <c r="JE355" s="2" t="n">
        <v>3124.1</v>
      </c>
      <c r="JF355" s="2" t="n">
        <v>0.8005220703562627</v>
      </c>
    </row>
    <row r="356">
      <c r="A356" s="1" t="n">
        <v>39873</v>
      </c>
      <c r="B356" s="2" t="n">
        <v>4331.6</v>
      </c>
      <c r="C356" s="2" t="n">
        <v>3016.2</v>
      </c>
      <c r="D356" s="2" t="n">
        <v>206.5</v>
      </c>
      <c r="E356" s="2" t="n">
        <v>1091.6</v>
      </c>
      <c r="F356" s="2" t="n">
        <v>17.2</v>
      </c>
      <c r="G356" s="2" t="inlineStr">
        <is>
          <t>NA</t>
        </is>
      </c>
      <c r="H356" s="2" t="inlineStr">
        <is>
          <t>NA</t>
        </is>
      </c>
      <c r="I356" s="2" t="inlineStr">
        <is>
          <t>NA</t>
        </is>
      </c>
      <c r="J356" s="2" t="inlineStr">
        <is>
          <t>NA</t>
        </is>
      </c>
      <c r="K356" s="2" t="n">
        <v>1636</v>
      </c>
      <c r="L356" s="2" t="n">
        <v>3191.6</v>
      </c>
      <c r="M356" s="2" t="n">
        <v>2904.2</v>
      </c>
      <c r="N356" s="2" t="n">
        <v>287.4</v>
      </c>
      <c r="O356" s="2" t="n">
        <v>65.90000000000001</v>
      </c>
      <c r="P356" s="2" t="n">
        <v>149.8</v>
      </c>
      <c r="Q356" s="2" t="n">
        <v>65.7</v>
      </c>
      <c r="R356" s="2" t="n">
        <v>84.09999999999999</v>
      </c>
      <c r="T356" s="2" t="n">
        <v>14.1</v>
      </c>
      <c r="U356" s="2" t="n">
        <v>23.7</v>
      </c>
      <c r="V356" s="2" t="n">
        <v>16.8</v>
      </c>
      <c r="W356" s="2" t="n">
        <v>6.9</v>
      </c>
      <c r="X356" s="2" t="inlineStr">
        <is>
          <t>NA</t>
        </is>
      </c>
      <c r="Y356" s="2" t="inlineStr">
        <is>
          <t>(D)</t>
        </is>
      </c>
      <c r="Z356" s="2" t="n">
        <v>127.1</v>
      </c>
      <c r="AA356" s="2" t="n">
        <v>116.6</v>
      </c>
      <c r="AB356" s="2" t="n">
        <v>10.5</v>
      </c>
      <c r="AC356" s="2" t="inlineStr">
        <is>
          <t>NA</t>
        </is>
      </c>
      <c r="AD356" s="2" t="n">
        <v>65.09999999999999</v>
      </c>
      <c r="AE356" s="2" t="n">
        <v>66</v>
      </c>
      <c r="AF356" s="2" t="n">
        <v>192.9</v>
      </c>
      <c r="AG356" s="2" t="n">
        <v>136.4</v>
      </c>
      <c r="AH356" s="2" t="n">
        <v>56.5</v>
      </c>
      <c r="AI356" s="2" t="n">
        <v>218.8</v>
      </c>
      <c r="AJ356" s="2" t="n">
        <v>215.8</v>
      </c>
      <c r="AK356" s="2" t="n">
        <v>3</v>
      </c>
      <c r="AL356" s="2" t="n">
        <v>258.8</v>
      </c>
      <c r="AM356" s="2" t="n">
        <v>136.3</v>
      </c>
      <c r="AN356" s="2" t="n">
        <v>122.6</v>
      </c>
      <c r="AO356" s="2" t="n">
        <v>3171</v>
      </c>
      <c r="AP356" s="2" t="n">
        <v>313</v>
      </c>
      <c r="AQ356" s="2" t="n">
        <v>253.8</v>
      </c>
      <c r="AR356" s="2" t="n">
        <v>47.7</v>
      </c>
      <c r="AS356" s="2" t="n">
        <v>90.8</v>
      </c>
      <c r="AT356" s="2" t="n">
        <v>48.8</v>
      </c>
      <c r="AU356" s="2" t="n">
        <v>58.1</v>
      </c>
      <c r="AV356" s="2" t="n">
        <v>38.1</v>
      </c>
      <c r="AW356" s="2" t="n">
        <v>9.300000000000001</v>
      </c>
      <c r="AX356" s="2" t="n">
        <v>1.296</v>
      </c>
      <c r="AY356" s="2" t="inlineStr">
        <is>
          <t>NA</t>
        </is>
      </c>
      <c r="AZ356" s="2" t="inlineStr">
        <is>
          <t>NA</t>
        </is>
      </c>
      <c r="BA356" s="2" t="inlineStr">
        <is>
          <t>NA</t>
        </is>
      </c>
      <c r="BB356" s="2" t="inlineStr">
        <is>
          <t>NA</t>
        </is>
      </c>
      <c r="BD356" s="2" t="n">
        <v>156.9</v>
      </c>
      <c r="BE356" s="2" t="n">
        <v>41.5</v>
      </c>
      <c r="BF356" s="2" t="n">
        <v>66.3</v>
      </c>
      <c r="BG356" s="2" t="n">
        <v>5.3</v>
      </c>
      <c r="BH356" s="2" t="n">
        <v>294.9</v>
      </c>
      <c r="BI356" s="2" t="n">
        <v>156.2</v>
      </c>
      <c r="BJ356" s="2" t="n">
        <v>108.7</v>
      </c>
      <c r="BK356" s="2" t="n">
        <v>264.9</v>
      </c>
      <c r="BM356" s="2" t="n">
        <v>559.8</v>
      </c>
      <c r="BN356" s="2" t="n">
        <v>278.3</v>
      </c>
      <c r="BO356" s="2" t="n">
        <v>97.59999999999999</v>
      </c>
      <c r="BP356" s="2" t="n">
        <v>45.4</v>
      </c>
      <c r="BQ356" s="2" t="n">
        <v>143</v>
      </c>
      <c r="BS356" s="2" t="n">
        <v>421.3</v>
      </c>
      <c r="BT356" s="2" t="n">
        <v>27.7</v>
      </c>
      <c r="BU356" s="2" t="n">
        <v>19.9</v>
      </c>
      <c r="BV356" s="2" t="inlineStr">
        <is>
          <t>NA</t>
        </is>
      </c>
      <c r="BW356" s="2" t="inlineStr">
        <is>
          <t>NA</t>
        </is>
      </c>
      <c r="BX356" s="2" t="n">
        <v>406.5</v>
      </c>
      <c r="BY356" s="2" t="inlineStr">
        <is>
          <t>NA</t>
        </is>
      </c>
      <c r="BZ356" s="2" t="inlineStr">
        <is>
          <t>NA</t>
        </is>
      </c>
      <c r="CA356" s="2" t="n">
        <v>51</v>
      </c>
      <c r="CB356" s="2" t="n">
        <v>109.2</v>
      </c>
      <c r="CC356" s="2" t="n">
        <v>19.4</v>
      </c>
      <c r="CD356" s="2" t="n">
        <v>132.1</v>
      </c>
      <c r="CE356" s="2" t="n">
        <v>14.2</v>
      </c>
      <c r="CF356" s="2" t="n">
        <v>106.8</v>
      </c>
      <c r="CG356" s="2" t="n">
        <v>117.4</v>
      </c>
      <c r="CH356" s="2" t="n">
        <v>5.1</v>
      </c>
      <c r="CI356" s="2" t="n">
        <v>29.7</v>
      </c>
      <c r="CJ356" s="2" t="n">
        <v>9.300000000000001</v>
      </c>
      <c r="CK356" s="2" t="n">
        <v>131.6</v>
      </c>
      <c r="CL356" s="2" t="n">
        <v>20.6</v>
      </c>
      <c r="CN356" s="2" t="n">
        <v>40</v>
      </c>
      <c r="CO356" s="2" t="n">
        <v>167.9</v>
      </c>
      <c r="CP356" s="2" t="n">
        <v>107.3</v>
      </c>
      <c r="CQ356" s="2" t="n">
        <v>60.7</v>
      </c>
      <c r="CR356" s="2" t="inlineStr">
        <is>
          <t>NA</t>
        </is>
      </c>
      <c r="CS356" s="2" t="n">
        <v>51.8</v>
      </c>
      <c r="CT356" s="2" t="inlineStr">
        <is>
          <t>(D)</t>
        </is>
      </c>
      <c r="CU356" s="2" t="inlineStr">
        <is>
          <t>(D)</t>
        </is>
      </c>
      <c r="CV356" s="2" t="n">
        <v>289.7</v>
      </c>
      <c r="CW356" s="2" t="n">
        <v>32.6</v>
      </c>
      <c r="CX356" s="2" t="n">
        <v>257.1</v>
      </c>
      <c r="CY356" s="2" t="inlineStr">
        <is>
          <t>(D)</t>
        </is>
      </c>
      <c r="CZ356" s="2" t="n">
        <v>118.3</v>
      </c>
      <c r="DA356" s="2" t="n">
        <v>37.8</v>
      </c>
      <c r="DB356" s="2" t="inlineStr">
        <is>
          <t>(D)</t>
        </is>
      </c>
      <c r="DC356" s="2" t="inlineStr">
        <is>
          <t>(D)</t>
        </is>
      </c>
      <c r="DI356" s="2" t="n">
        <v>645.5</v>
      </c>
      <c r="DJ356" s="2" t="n">
        <v>472</v>
      </c>
      <c r="DK356" s="2" t="n">
        <v>962.5</v>
      </c>
      <c r="DM356" s="2" t="n">
        <v>434.8</v>
      </c>
      <c r="DO356" s="2" t="n">
        <v>243.3</v>
      </c>
      <c r="DP356" s="2" t="n">
        <v>248.3</v>
      </c>
      <c r="DS356" s="2" t="n">
        <v>1325.3022</v>
      </c>
      <c r="DT356" s="2" t="n">
        <v>4331.6</v>
      </c>
      <c r="DU356" s="2" t="n">
        <v>0.1022000000002663</v>
      </c>
      <c r="DV356" s="2" t="n">
        <v>0</v>
      </c>
      <c r="EA356" s="2" t="n">
        <v>324.2</v>
      </c>
      <c r="EB356" s="2" t="n">
        <v>663.1</v>
      </c>
      <c r="EC356" s="2" t="n">
        <v>515.3</v>
      </c>
      <c r="EE356" s="2" t="n">
        <v>177.8</v>
      </c>
      <c r="EG356" s="2" t="n">
        <v>115</v>
      </c>
      <c r="EH356" s="2" t="n">
        <v>231.5</v>
      </c>
      <c r="EK356" s="2" t="n">
        <v>989.325</v>
      </c>
      <c r="EL356" s="2" t="n">
        <v>3016.2</v>
      </c>
      <c r="EQ356" s="2" t="n">
        <v>244.3</v>
      </c>
      <c r="ER356" s="2" t="n">
        <v>179.6</v>
      </c>
      <c r="ES356" s="2" t="n">
        <v>364.9</v>
      </c>
      <c r="EU356" s="2" t="n">
        <v>165.7</v>
      </c>
      <c r="EW356" s="2" t="n">
        <v>90.09999999999999</v>
      </c>
      <c r="EX356" s="2" t="n">
        <v>95.5</v>
      </c>
      <c r="FA356" s="2" t="n">
        <v>495.9654000000001</v>
      </c>
      <c r="FB356" s="2" t="n">
        <v>1636</v>
      </c>
      <c r="FG356" s="2" t="n">
        <v>507.5</v>
      </c>
      <c r="FH356" s="2" t="n">
        <v>376.6</v>
      </c>
      <c r="FI356" s="2" t="n">
        <v>758.9</v>
      </c>
      <c r="FK356" s="2" t="n">
        <v>346.4</v>
      </c>
      <c r="FM356" s="2" t="n">
        <v>192.4</v>
      </c>
      <c r="FN356" s="2" t="n">
        <v>199.3</v>
      </c>
      <c r="FQ356" s="2" t="n">
        <v>1051.3484</v>
      </c>
      <c r="FR356" s="2" t="n">
        <v>3432.5</v>
      </c>
      <c r="FW356" s="2" t="n">
        <v>285.3</v>
      </c>
      <c r="FX356" s="2" t="n">
        <v>137.8</v>
      </c>
      <c r="FY356" s="2" t="n">
        <v>300.8</v>
      </c>
      <c r="GA356" s="2" t="n">
        <v>86.7</v>
      </c>
      <c r="GC356" s="2" t="inlineStr">
        <is>
          <t>(D)</t>
        </is>
      </c>
      <c r="GD356" s="2" t="inlineStr">
        <is>
          <t>(D)</t>
        </is>
      </c>
      <c r="GG356" s="2" t="n">
        <v>444.015</v>
      </c>
      <c r="GH356" s="2" t="n">
        <v>1381.2</v>
      </c>
      <c r="GM356" s="2" t="n">
        <v>83.8</v>
      </c>
      <c r="GN356" s="2" t="n">
        <v>56.4</v>
      </c>
      <c r="GO356" s="2" t="n">
        <v>61.6</v>
      </c>
      <c r="GQ356" s="2" t="n">
        <v>29</v>
      </c>
      <c r="GS356" s="2" t="inlineStr">
        <is>
          <t>(D)</t>
        </is>
      </c>
      <c r="GT356" s="2" t="inlineStr">
        <is>
          <t>(D)</t>
        </is>
      </c>
      <c r="GW356" s="2" t="n">
        <v>114.834</v>
      </c>
      <c r="GX356" s="2" t="n">
        <v>360.8</v>
      </c>
      <c r="GY356" s="2" t="n">
        <v>0.9796131310699092</v>
      </c>
      <c r="GZ356" s="2" t="n">
        <v>1220.5</v>
      </c>
      <c r="HA356" s="2" t="n">
        <v>1245.9</v>
      </c>
      <c r="HB356" s="2" t="n">
        <v>64.39065171340098</v>
      </c>
      <c r="HC356" s="2" t="n">
        <v>-226.6191654007994</v>
      </c>
      <c r="HD356" s="2" t="n">
        <v>1416.490651713401</v>
      </c>
      <c r="HE356" s="2" t="n">
        <v>-342.4000000000001</v>
      </c>
      <c r="HF356" s="2" t="n">
        <v>1352.1</v>
      </c>
      <c r="HG356" s="2" t="n">
        <v>1223.6</v>
      </c>
      <c r="HH356" s="2" t="n">
        <v>341</v>
      </c>
      <c r="HI356" s="2" t="inlineStr">
        <is>
          <t>(D)</t>
        </is>
      </c>
      <c r="HJ356" s="2" t="n">
        <v>805.2</v>
      </c>
      <c r="HK356" s="2" t="inlineStr">
        <is>
          <t>(D)</t>
        </is>
      </c>
      <c r="HL356" s="2" t="n">
        <v>128.5</v>
      </c>
      <c r="HM356" s="2" t="n">
        <v>107.4</v>
      </c>
      <c r="HN356" s="2" t="n">
        <v>52.7</v>
      </c>
      <c r="HO356" s="2" t="n">
        <v>54.7</v>
      </c>
      <c r="HQ356" s="2" t="inlineStr">
        <is>
          <t>(S)</t>
        </is>
      </c>
      <c r="HR356" s="2" t="n">
        <v>8.426</v>
      </c>
      <c r="HT356" s="2" t="n">
        <v>14.7</v>
      </c>
      <c r="HW356" s="2" t="n">
        <v>304.6</v>
      </c>
      <c r="HX356" s="2" t="inlineStr">
        <is>
          <t>-</t>
        </is>
      </c>
      <c r="HY356" s="2" t="n">
        <v>304.6</v>
      </c>
      <c r="HZ356" s="2" t="n">
        <v>57</v>
      </c>
      <c r="IA356" s="2" t="n">
        <v>169</v>
      </c>
      <c r="IB356" s="2" t="n">
        <v>38.5</v>
      </c>
      <c r="IC356" s="2" t="n">
        <v>130.5</v>
      </c>
      <c r="ID356" s="2" t="n">
        <v>85.8</v>
      </c>
      <c r="IE356" s="2" t="n">
        <v>44.7</v>
      </c>
      <c r="IH356" s="2" t="n">
        <v>36.082</v>
      </c>
      <c r="II356" s="2" t="n">
        <v>13.871</v>
      </c>
      <c r="IJ356" s="2" t="n">
        <v>6.411</v>
      </c>
      <c r="IK356" s="2" t="n">
        <v>15.8</v>
      </c>
      <c r="IL356" s="2" t="n">
        <v>42.51800000000002</v>
      </c>
      <c r="IN356" s="2" t="n">
        <v>57.2</v>
      </c>
      <c r="IO356" s="2" t="n">
        <v>57.5</v>
      </c>
      <c r="IP356" s="2" t="inlineStr">
        <is>
          <t>(D)</t>
        </is>
      </c>
      <c r="IQ356" s="2" t="n">
        <v>57.7</v>
      </c>
      <c r="IR356" s="2" t="n">
        <v>9.047000000000001</v>
      </c>
      <c r="IT356" s="2" t="n">
        <v>47.5</v>
      </c>
      <c r="IU356" s="2" t="inlineStr">
        <is>
          <t>(D)</t>
        </is>
      </c>
      <c r="IV356" s="2" t="inlineStr">
        <is>
          <t>(D)</t>
        </is>
      </c>
      <c r="IW356" s="2" t="inlineStr">
        <is>
          <t>(D)</t>
        </is>
      </c>
      <c r="IX356" s="2" t="inlineStr">
        <is>
          <t>(D)</t>
        </is>
      </c>
      <c r="IY356" s="2" t="n">
        <v>47.43928340566995</v>
      </c>
      <c r="IZ356" s="2" t="n">
        <v>0.08928340566995274</v>
      </c>
      <c r="JB356" s="2" t="n">
        <v>11.33068612060208</v>
      </c>
      <c r="JC356" s="2" t="n">
        <v>-0.08931387939791513</v>
      </c>
      <c r="JE356" s="2" t="n">
        <v>3191.6</v>
      </c>
      <c r="JF356" s="2" t="n">
        <v>0.8122897606216318</v>
      </c>
    </row>
    <row r="357">
      <c r="A357" s="1" t="n">
        <v>39904</v>
      </c>
      <c r="B357" s="2" t="n">
        <v>4209</v>
      </c>
      <c r="C357" s="2" t="n">
        <v>2963.1</v>
      </c>
      <c r="D357" s="2" t="n">
        <v>170.7</v>
      </c>
      <c r="E357" s="2" t="n">
        <v>942.5</v>
      </c>
      <c r="F357" s="2" t="n">
        <v>15.3</v>
      </c>
      <c r="G357" s="2" t="inlineStr">
        <is>
          <t>NA</t>
        </is>
      </c>
      <c r="H357" s="2" t="inlineStr">
        <is>
          <t>NA</t>
        </is>
      </c>
      <c r="I357" s="2" t="inlineStr">
        <is>
          <t>NA</t>
        </is>
      </c>
      <c r="J357" s="2" t="inlineStr">
        <is>
          <t>NA</t>
        </is>
      </c>
      <c r="K357" s="2" t="n">
        <v>1596</v>
      </c>
      <c r="L357" s="2" t="n">
        <v>3279.4</v>
      </c>
      <c r="M357" s="2" t="n">
        <v>2975.6</v>
      </c>
      <c r="N357" s="2" t="n">
        <v>303.8</v>
      </c>
      <c r="O357" s="2" t="n">
        <v>53.5</v>
      </c>
      <c r="P357" s="2" t="n">
        <v>152.1</v>
      </c>
      <c r="Q357" s="2" t="n">
        <v>68.19999999999999</v>
      </c>
      <c r="R357" s="2" t="n">
        <v>83.90000000000001</v>
      </c>
      <c r="T357" s="2" t="n">
        <v>12.177</v>
      </c>
      <c r="U357" s="2" t="n">
        <v>22.3</v>
      </c>
      <c r="V357" s="2" t="n">
        <v>18.9</v>
      </c>
      <c r="W357" s="2" t="n">
        <v>3.4</v>
      </c>
      <c r="X357" s="2" t="inlineStr">
        <is>
          <t>NA</t>
        </is>
      </c>
      <c r="Y357" s="2" t="inlineStr">
        <is>
          <t>(D)</t>
        </is>
      </c>
      <c r="Z357" s="2" t="n">
        <v>113.1</v>
      </c>
      <c r="AA357" s="2" t="inlineStr">
        <is>
          <t>(D)</t>
        </is>
      </c>
      <c r="AB357" s="2" t="inlineStr">
        <is>
          <t>(D)</t>
        </is>
      </c>
      <c r="AC357" s="2" t="inlineStr">
        <is>
          <t>NA</t>
        </is>
      </c>
      <c r="AD357" s="2" t="n">
        <v>63.6</v>
      </c>
      <c r="AE357" s="2" t="n">
        <v>65.09999999999999</v>
      </c>
      <c r="AF357" s="2" t="n">
        <v>151.4</v>
      </c>
      <c r="AG357" s="2" t="n">
        <v>108.2</v>
      </c>
      <c r="AH357" s="2" t="n">
        <v>43.2</v>
      </c>
      <c r="AI357" s="2" t="n">
        <v>189.4</v>
      </c>
      <c r="AJ357" s="2" t="n">
        <v>186.4</v>
      </c>
      <c r="AK357" s="2" t="n">
        <v>3</v>
      </c>
      <c r="AL357" s="2" t="n">
        <v>234.9</v>
      </c>
      <c r="AM357" s="2" t="n">
        <v>124.6</v>
      </c>
      <c r="AN357" s="2" t="n">
        <v>110.3</v>
      </c>
      <c r="AO357" s="2" t="n">
        <v>3092.5</v>
      </c>
      <c r="AP357" s="2" t="n">
        <v>375.9</v>
      </c>
      <c r="AQ357" s="2" t="n">
        <v>243.4</v>
      </c>
      <c r="AR357" s="2" t="n">
        <v>46.3</v>
      </c>
      <c r="AS357" s="2" t="n">
        <v>76.59999999999999</v>
      </c>
      <c r="AT357" s="2" t="n">
        <v>39.9</v>
      </c>
      <c r="AU357" s="2" t="n">
        <v>51.5</v>
      </c>
      <c r="AV357" s="2" t="n">
        <v>37.7</v>
      </c>
      <c r="AW357" s="2" t="n">
        <v>8.199999999999999</v>
      </c>
      <c r="AX357" s="2" t="inlineStr">
        <is>
          <t>NA</t>
        </is>
      </c>
      <c r="AY357" s="2" t="inlineStr">
        <is>
          <t>NA</t>
        </is>
      </c>
      <c r="AZ357" s="2" t="inlineStr">
        <is>
          <t>NA</t>
        </is>
      </c>
      <c r="BA357" s="2" t="inlineStr">
        <is>
          <t>NA</t>
        </is>
      </c>
      <c r="BB357" s="2" t="inlineStr">
        <is>
          <t>NA</t>
        </is>
      </c>
      <c r="BD357" s="2" t="n">
        <v>156.2</v>
      </c>
      <c r="BE357" s="2" t="n">
        <v>49.2</v>
      </c>
      <c r="BF357" s="2" t="n">
        <v>63.9</v>
      </c>
      <c r="BG357" s="2" t="n">
        <v>7.3</v>
      </c>
      <c r="BH357" s="2" t="n">
        <v>286.1</v>
      </c>
      <c r="BI357" s="2" t="n">
        <v>148.1</v>
      </c>
      <c r="BJ357" s="2" t="n">
        <v>99</v>
      </c>
      <c r="BK357" s="2" t="n">
        <v>247</v>
      </c>
      <c r="BM357" s="2" t="n">
        <v>533.1</v>
      </c>
      <c r="BN357" s="2" t="n">
        <v>209</v>
      </c>
      <c r="BO357" s="2" t="n">
        <v>105.7</v>
      </c>
      <c r="BP357" s="2" t="n">
        <v>41.9</v>
      </c>
      <c r="BQ357" s="2" t="n">
        <v>147.6</v>
      </c>
      <c r="BS357" s="2" t="n">
        <v>356.6</v>
      </c>
      <c r="BT357" s="2" t="n">
        <v>26</v>
      </c>
      <c r="BU357" s="2" t="n">
        <v>18.1</v>
      </c>
      <c r="BV357" s="2" t="inlineStr">
        <is>
          <t>NA</t>
        </is>
      </c>
      <c r="BW357" s="2" t="inlineStr">
        <is>
          <t>NA</t>
        </is>
      </c>
      <c r="BX357" s="2" t="n">
        <v>411</v>
      </c>
      <c r="BY357" s="2" t="inlineStr">
        <is>
          <t>NA</t>
        </is>
      </c>
      <c r="BZ357" s="2" t="inlineStr">
        <is>
          <t>NA</t>
        </is>
      </c>
      <c r="CA357" s="2" t="n">
        <v>49.3</v>
      </c>
      <c r="CB357" s="2" t="n">
        <v>114.2</v>
      </c>
      <c r="CC357" s="2" t="n">
        <v>20.7</v>
      </c>
      <c r="CD357" s="2" t="n">
        <v>127.5</v>
      </c>
      <c r="CE357" s="2" t="n">
        <v>14.8</v>
      </c>
      <c r="CF357" s="2" t="n">
        <v>105.8</v>
      </c>
      <c r="CG357" s="2" t="n">
        <v>136.7</v>
      </c>
      <c r="CH357" s="2" t="n">
        <v>4.4</v>
      </c>
      <c r="CI357" s="2" t="n">
        <v>28.5</v>
      </c>
      <c r="CJ357" s="2" t="n">
        <v>5.3</v>
      </c>
      <c r="CK357" s="2" t="n">
        <v>131.3</v>
      </c>
      <c r="CL357" s="2" t="n">
        <v>23.2</v>
      </c>
      <c r="CN357" s="2" t="n">
        <v>44.4</v>
      </c>
      <c r="CO357" s="2" t="n">
        <v>144.6</v>
      </c>
      <c r="CP357" s="2" t="n">
        <v>88.5</v>
      </c>
      <c r="CQ357" s="2" t="n">
        <v>56.2</v>
      </c>
      <c r="CR357" s="2" t="inlineStr">
        <is>
          <t>NA</t>
        </is>
      </c>
      <c r="CS357" s="2" t="n">
        <v>70.3</v>
      </c>
      <c r="CT357" s="2" t="inlineStr">
        <is>
          <t>(D)</t>
        </is>
      </c>
      <c r="CU357" s="2" t="inlineStr">
        <is>
          <t>(D)</t>
        </is>
      </c>
      <c r="CV357" s="2" t="n">
        <v>275</v>
      </c>
      <c r="CW357" s="2" t="n">
        <v>19.7</v>
      </c>
      <c r="CX357" s="2" t="n">
        <v>255.3</v>
      </c>
      <c r="CY357" s="2" t="inlineStr">
        <is>
          <t>(D)</t>
        </is>
      </c>
      <c r="CZ357" s="2" t="n">
        <v>101.7</v>
      </c>
      <c r="DA357" s="2" t="n">
        <v>25.6</v>
      </c>
      <c r="DB357" s="2" t="inlineStr">
        <is>
          <t>(D)</t>
        </is>
      </c>
      <c r="DC357" s="2" t="inlineStr">
        <is>
          <t>(D)</t>
        </is>
      </c>
      <c r="DI357" s="2" t="n">
        <v>653.4</v>
      </c>
      <c r="DJ357" s="2" t="n">
        <v>500.8</v>
      </c>
      <c r="DK357" s="2" t="n">
        <v>908.5</v>
      </c>
      <c r="DM357" s="2" t="n">
        <v>395</v>
      </c>
      <c r="DO357" s="2" t="n">
        <v>266</v>
      </c>
      <c r="DP357" s="2" t="n">
        <v>237.8</v>
      </c>
      <c r="DS357" s="2" t="n">
        <v>1247.57276</v>
      </c>
      <c r="DT357" s="2" t="n">
        <v>4209</v>
      </c>
      <c r="DU357" s="2" t="n">
        <v>0.07276000000001659</v>
      </c>
      <c r="DV357" s="2" t="n">
        <v>0</v>
      </c>
      <c r="EA357" s="2" t="n">
        <v>351.9</v>
      </c>
      <c r="EB357" s="2" t="n">
        <v>595</v>
      </c>
      <c r="EC357" s="2" t="n">
        <v>467.3</v>
      </c>
      <c r="EE357" s="2" t="n">
        <v>186.9</v>
      </c>
      <c r="EG357" s="2" t="n">
        <v>100.7</v>
      </c>
      <c r="EH357" s="2" t="n">
        <v>241.9</v>
      </c>
      <c r="EK357" s="2" t="n">
        <v>1019.413</v>
      </c>
      <c r="EL357" s="2" t="n">
        <v>2963.1</v>
      </c>
      <c r="EQ357" s="2" t="n">
        <v>246.5</v>
      </c>
      <c r="ER357" s="2" t="n">
        <v>193.1</v>
      </c>
      <c r="ES357" s="2" t="n">
        <v>345.7</v>
      </c>
      <c r="EU357" s="2" t="n">
        <v>153.1</v>
      </c>
      <c r="EW357" s="2" t="n">
        <v>99.2</v>
      </c>
      <c r="EX357" s="2" t="n">
        <v>90.8</v>
      </c>
      <c r="FA357" s="2" t="n">
        <v>467.6638799999999</v>
      </c>
      <c r="FB357" s="2" t="n">
        <v>1596</v>
      </c>
      <c r="FG357" s="2" t="n">
        <v>516.4</v>
      </c>
      <c r="FH357" s="2" t="n">
        <v>401.3</v>
      </c>
      <c r="FI357" s="2" t="n">
        <v>716.8</v>
      </c>
      <c r="FK357" s="2" t="n">
        <v>315.6</v>
      </c>
      <c r="FM357" s="2" t="n">
        <v>209.9</v>
      </c>
      <c r="FN357" s="2" t="n">
        <v>190.7</v>
      </c>
      <c r="FQ357" s="2" t="n">
        <v>992.9856400000003</v>
      </c>
      <c r="FR357" s="2" t="n">
        <v>3343.8</v>
      </c>
      <c r="FW357" s="2" t="n">
        <v>301.7</v>
      </c>
      <c r="FX357" s="2" t="n">
        <v>147.7</v>
      </c>
      <c r="FY357" s="2" t="n">
        <v>291.8</v>
      </c>
      <c r="GA357" s="2" t="n">
        <v>80</v>
      </c>
      <c r="GC357" s="2" t="inlineStr">
        <is>
          <t>(D)</t>
        </is>
      </c>
      <c r="GD357" s="2" t="inlineStr">
        <is>
          <t>(D)</t>
        </is>
      </c>
      <c r="GG357" s="2" t="n">
        <v>442.2359999999999</v>
      </c>
      <c r="GH357" s="2" t="n">
        <v>1392.9</v>
      </c>
      <c r="GM357" s="2" t="n">
        <v>74.90000000000001</v>
      </c>
      <c r="GN357" s="2" t="n">
        <v>91</v>
      </c>
      <c r="GO357" s="2" t="n">
        <v>108.5</v>
      </c>
      <c r="GQ357" s="2" t="n">
        <v>28.7</v>
      </c>
      <c r="GS357" s="2" t="inlineStr">
        <is>
          <t>(D)</t>
        </is>
      </c>
      <c r="GT357" s="2" t="inlineStr">
        <is>
          <t>(D)</t>
        </is>
      </c>
      <c r="GW357" s="2" t="n">
        <v>105.407</v>
      </c>
      <c r="GX357" s="2" t="n">
        <v>422.3</v>
      </c>
      <c r="GY357" s="2" t="n">
        <v>0.979125896934116</v>
      </c>
      <c r="GZ357" s="2" t="n">
        <v>1200.8</v>
      </c>
      <c r="HA357" s="2" t="n">
        <v>1226.4</v>
      </c>
      <c r="HB357" s="2" t="n">
        <v>-147.9139601070001</v>
      </c>
      <c r="HC357" s="2" t="n">
        <v>-276.5229277059993</v>
      </c>
      <c r="HD357" s="2" t="n">
        <v>1167.986039893</v>
      </c>
      <c r="HE357" s="2" t="n">
        <v>-331.8999999999999</v>
      </c>
      <c r="HF357" s="2" t="n">
        <v>1315.9</v>
      </c>
      <c r="HG357" s="2" t="n">
        <v>1194.8</v>
      </c>
      <c r="HH357" s="2" t="n">
        <v>324.9</v>
      </c>
      <c r="HI357" s="2" t="inlineStr">
        <is>
          <t>(D)</t>
        </is>
      </c>
      <c r="HJ357" s="2" t="n">
        <v>798.7</v>
      </c>
      <c r="HK357" s="2" t="inlineStr">
        <is>
          <t>(D)</t>
        </is>
      </c>
      <c r="HL357" s="2" t="n">
        <v>121.1</v>
      </c>
      <c r="HM357" s="2" t="n">
        <v>98.5</v>
      </c>
      <c r="HN357" s="2" t="n">
        <v>48.9</v>
      </c>
      <c r="HO357" s="2" t="n">
        <v>49.6</v>
      </c>
      <c r="HQ357" s="2" t="inlineStr">
        <is>
          <t>(S)</t>
        </is>
      </c>
      <c r="HR357" s="2" t="n">
        <v>10.2</v>
      </c>
      <c r="HT357" s="2" t="n">
        <v>12.1</v>
      </c>
      <c r="HW357" s="2" t="n">
        <v>319.5</v>
      </c>
      <c r="HX357" s="2" t="inlineStr">
        <is>
          <t>-</t>
        </is>
      </c>
      <c r="HY357" s="2" t="n">
        <v>319.5</v>
      </c>
      <c r="HZ357" s="2" t="n">
        <v>57</v>
      </c>
      <c r="IA357" s="2" t="n">
        <v>176.1</v>
      </c>
      <c r="IB357" s="2" t="n">
        <v>40</v>
      </c>
      <c r="IC357" s="2" t="n">
        <v>136</v>
      </c>
      <c r="ID357" s="2" t="n">
        <v>86.90000000000001</v>
      </c>
      <c r="IE357" s="2" t="n">
        <v>45.792</v>
      </c>
      <c r="IH357" s="2" t="n">
        <v>61.213</v>
      </c>
      <c r="II357" s="2" t="n">
        <v>20.913</v>
      </c>
      <c r="IJ357" s="2" t="n">
        <v>20</v>
      </c>
      <c r="IK357" s="2" t="n">
        <v>20.3</v>
      </c>
      <c r="IL357" s="2" t="n">
        <v>25.187</v>
      </c>
      <c r="IN357" s="2" t="n">
        <v>43.7</v>
      </c>
      <c r="IO357" s="2" t="n">
        <v>44</v>
      </c>
      <c r="IP357" s="2" t="inlineStr">
        <is>
          <t>(D)</t>
        </is>
      </c>
      <c r="IQ357" s="2" t="n">
        <v>50.8</v>
      </c>
      <c r="IR357" s="2" t="n">
        <v>8.988</v>
      </c>
      <c r="IT357" s="2" t="n">
        <v>40.7</v>
      </c>
      <c r="IU357" s="2" t="inlineStr">
        <is>
          <t>(D)</t>
        </is>
      </c>
      <c r="IV357" s="2" t="inlineStr">
        <is>
          <t>(D)</t>
        </is>
      </c>
      <c r="IW357" s="2" t="inlineStr">
        <is>
          <t>(D)</t>
        </is>
      </c>
      <c r="IX357" s="2" t="inlineStr">
        <is>
          <t>(D)</t>
        </is>
      </c>
      <c r="IY357" s="2" t="n">
        <v>47.55381325730577</v>
      </c>
      <c r="IZ357" s="2" t="n">
        <v>0.203813257305768</v>
      </c>
      <c r="JB357" s="2" t="n">
        <v>11.37562366357805</v>
      </c>
      <c r="JC357" s="2" t="n">
        <v>0.03562366357804692</v>
      </c>
      <c r="JE357" s="2" t="n">
        <v>3279.4</v>
      </c>
      <c r="JF357" s="2" t="n">
        <v>0.8263566506068184</v>
      </c>
    </row>
    <row r="358">
      <c r="A358" s="1" t="n">
        <v>39934</v>
      </c>
      <c r="B358" s="2" t="n">
        <v>4385.1</v>
      </c>
      <c r="C358" s="2" t="n">
        <v>2475.7</v>
      </c>
      <c r="D358" s="2" t="n">
        <v>168.1</v>
      </c>
      <c r="E358" s="2" t="n">
        <v>792.1</v>
      </c>
      <c r="F358" s="2" t="n">
        <v>15.082</v>
      </c>
      <c r="G358" s="2" t="inlineStr">
        <is>
          <t>NA</t>
        </is>
      </c>
      <c r="H358" s="2" t="inlineStr">
        <is>
          <t>NA</t>
        </is>
      </c>
      <c r="I358" s="2" t="inlineStr">
        <is>
          <t>NA</t>
        </is>
      </c>
      <c r="J358" s="2" t="inlineStr">
        <is>
          <t>NA</t>
        </is>
      </c>
      <c r="K358" s="2" t="n">
        <v>1683.2</v>
      </c>
      <c r="L358" s="2" t="n">
        <v>3338.8</v>
      </c>
      <c r="M358" s="2" t="n">
        <v>3034.7</v>
      </c>
      <c r="N358" s="2" t="n">
        <v>304</v>
      </c>
      <c r="O358" s="2" t="n">
        <v>57.2</v>
      </c>
      <c r="P358" s="2" t="n">
        <v>161.1</v>
      </c>
      <c r="Q358" s="2" t="n">
        <v>68.69999999999999</v>
      </c>
      <c r="R358" s="2" t="n">
        <v>92.40000000000001</v>
      </c>
      <c r="T358" s="2" t="n">
        <v>11.9</v>
      </c>
      <c r="U358" s="2" t="n">
        <v>21.6</v>
      </c>
      <c r="V358" s="2" t="n">
        <v>16.8</v>
      </c>
      <c r="W358" s="2" t="n">
        <v>4.8</v>
      </c>
      <c r="X358" s="2" t="inlineStr">
        <is>
          <t>NA</t>
        </is>
      </c>
      <c r="Y358" s="2" t="inlineStr">
        <is>
          <t>(D)</t>
        </is>
      </c>
      <c r="Z358" s="2" t="n">
        <v>124.7</v>
      </c>
      <c r="AA358" s="2" t="inlineStr">
        <is>
          <t>(D)</t>
        </is>
      </c>
      <c r="AB358" s="2" t="inlineStr">
        <is>
          <t>(D)</t>
        </is>
      </c>
      <c r="AC358" s="2" t="inlineStr">
        <is>
          <t>NA</t>
        </is>
      </c>
      <c r="AD358" s="2" t="n">
        <v>70.5</v>
      </c>
      <c r="AE358" s="2" t="n">
        <v>71.8</v>
      </c>
      <c r="AF358" s="2" t="n">
        <v>138.2</v>
      </c>
      <c r="AG358" s="2" t="n">
        <v>87.8</v>
      </c>
      <c r="AH358" s="2" t="n">
        <v>50.3</v>
      </c>
      <c r="AI358" s="2" t="n">
        <v>202.5</v>
      </c>
      <c r="AJ358" s="2" t="n">
        <v>199.5</v>
      </c>
      <c r="AK358" s="2" t="n">
        <v>3</v>
      </c>
      <c r="AL358" s="2" t="n">
        <v>226.9</v>
      </c>
      <c r="AM358" s="2" t="n">
        <v>132.3</v>
      </c>
      <c r="AN358" s="2" t="n">
        <v>94.59999999999999</v>
      </c>
      <c r="AO358" s="2" t="n">
        <v>3245</v>
      </c>
      <c r="AP358" s="2" t="n">
        <v>517.2</v>
      </c>
      <c r="AQ358" s="2" t="n">
        <v>255.4</v>
      </c>
      <c r="AR358" s="2" t="n">
        <v>59.8</v>
      </c>
      <c r="AS358" s="2" t="n">
        <v>73.09999999999999</v>
      </c>
      <c r="AT358" s="2" t="n">
        <v>42.9</v>
      </c>
      <c r="AU358" s="2" t="n">
        <v>52.4</v>
      </c>
      <c r="AV358" s="2" t="n">
        <v>44.3</v>
      </c>
      <c r="AW358" s="2" t="n">
        <v>8.143000000000001</v>
      </c>
      <c r="AX358" s="2" t="inlineStr">
        <is>
          <t>NA</t>
        </is>
      </c>
      <c r="AY358" s="2" t="inlineStr">
        <is>
          <t>NA</t>
        </is>
      </c>
      <c r="AZ358" s="2" t="inlineStr">
        <is>
          <t>NA</t>
        </is>
      </c>
      <c r="BA358" s="2" t="inlineStr">
        <is>
          <t>NA</t>
        </is>
      </c>
      <c r="BB358" s="2" t="inlineStr">
        <is>
          <t>NA</t>
        </is>
      </c>
      <c r="BD358" s="2" t="n">
        <v>160.5</v>
      </c>
      <c r="BE358" s="2" t="n">
        <v>41.1</v>
      </c>
      <c r="BF358" s="2" t="n">
        <v>64.2</v>
      </c>
      <c r="BG358" s="2" t="n">
        <v>8.1</v>
      </c>
      <c r="BH358" s="2" t="n">
        <v>284.8</v>
      </c>
      <c r="BI358" s="2" t="n">
        <v>147.1</v>
      </c>
      <c r="BJ358" s="2" t="n">
        <v>78.90000000000001</v>
      </c>
      <c r="BK358" s="2" t="n">
        <v>226</v>
      </c>
      <c r="BM358" s="2" t="n">
        <v>510.8</v>
      </c>
      <c r="BN358" s="2" t="n">
        <v>177.5</v>
      </c>
      <c r="BO358" s="2" t="n">
        <v>92.7</v>
      </c>
      <c r="BP358" s="2" t="n">
        <v>36.9</v>
      </c>
      <c r="BQ358" s="2" t="n">
        <v>129.6</v>
      </c>
      <c r="BS358" s="2" t="n">
        <v>307.1</v>
      </c>
      <c r="BT358" s="2" t="n">
        <v>23.7</v>
      </c>
      <c r="BU358" s="2" t="n">
        <v>22.5</v>
      </c>
      <c r="BV358" s="2" t="inlineStr">
        <is>
          <t>NA</t>
        </is>
      </c>
      <c r="BW358" s="2" t="inlineStr">
        <is>
          <t>NA</t>
        </is>
      </c>
      <c r="BX358" s="2" t="n">
        <v>386.9</v>
      </c>
      <c r="BY358" s="2" t="inlineStr">
        <is>
          <t>NA</t>
        </is>
      </c>
      <c r="BZ358" s="2" t="inlineStr">
        <is>
          <t>NA</t>
        </is>
      </c>
      <c r="CA358" s="2" t="n">
        <v>53.5</v>
      </c>
      <c r="CB358" s="2" t="n">
        <v>116.6</v>
      </c>
      <c r="CC358" s="2" t="n">
        <v>23.5</v>
      </c>
      <c r="CD358" s="2" t="n">
        <v>126</v>
      </c>
      <c r="CE358" s="2" t="n">
        <v>17.9</v>
      </c>
      <c r="CF358" s="2" t="n">
        <v>104.4</v>
      </c>
      <c r="CG358" s="2" t="n">
        <v>135.3</v>
      </c>
      <c r="CH358" s="2" t="n">
        <v>4</v>
      </c>
      <c r="CI358" s="2" t="n">
        <v>31.3</v>
      </c>
      <c r="CJ358" s="2" t="n">
        <v>9.300000000000001</v>
      </c>
      <c r="CK358" s="2" t="n">
        <v>139.2</v>
      </c>
      <c r="CL358" s="2" t="n">
        <v>24.2</v>
      </c>
      <c r="CN358" s="2" t="n">
        <v>44</v>
      </c>
      <c r="CO358" s="2" t="n">
        <v>138.7</v>
      </c>
      <c r="CP358" s="2" t="n">
        <v>94.09999999999999</v>
      </c>
      <c r="CQ358" s="2" t="n">
        <v>44.6</v>
      </c>
      <c r="CR358" s="2" t="inlineStr">
        <is>
          <t>NA</t>
        </is>
      </c>
      <c r="CS358" s="2" t="n">
        <v>72.5</v>
      </c>
      <c r="CT358" s="2" t="inlineStr">
        <is>
          <t>(D)</t>
        </is>
      </c>
      <c r="CU358" s="2" t="inlineStr">
        <is>
          <t>(D)</t>
        </is>
      </c>
      <c r="CV358" s="2" t="n">
        <v>289.5</v>
      </c>
      <c r="CW358" s="2" t="n">
        <v>34.45</v>
      </c>
      <c r="CX358" s="2" t="n">
        <v>254.949</v>
      </c>
      <c r="CY358" s="2" t="inlineStr">
        <is>
          <t>(D)</t>
        </is>
      </c>
      <c r="CZ358" s="2" t="n">
        <v>118.5</v>
      </c>
      <c r="DA358" s="2" t="n">
        <v>38.6</v>
      </c>
      <c r="DB358" s="2" t="inlineStr">
        <is>
          <t>(D)</t>
        </is>
      </c>
      <c r="DC358" s="2" t="inlineStr">
        <is>
          <t>(D)</t>
        </is>
      </c>
      <c r="DI358" s="2" t="n">
        <v>706.7</v>
      </c>
      <c r="DJ358" s="2" t="n">
        <v>591.6</v>
      </c>
      <c r="DK358" s="2" t="n">
        <v>899.1</v>
      </c>
      <c r="DM358" s="2" t="n">
        <v>422</v>
      </c>
      <c r="DO358" s="2" t="n">
        <v>242.3</v>
      </c>
      <c r="DP358" s="2" t="n">
        <v>199</v>
      </c>
      <c r="DS358" s="2" t="n">
        <v>1324.350150000001</v>
      </c>
      <c r="DT358" s="2" t="n">
        <v>4385.1</v>
      </c>
      <c r="DU358" s="2" t="n">
        <v>-0.04984999999942374</v>
      </c>
      <c r="DV358" s="2" t="n">
        <v>0</v>
      </c>
      <c r="EA358" s="2" t="n">
        <v>288.6</v>
      </c>
      <c r="EB358" s="2" t="n">
        <v>381.2</v>
      </c>
      <c r="EC358" s="2" t="n">
        <v>474</v>
      </c>
      <c r="EE358" s="2" t="n">
        <v>185.8</v>
      </c>
      <c r="EG358" s="2" t="n">
        <v>71.3</v>
      </c>
      <c r="EH358" s="2" t="n">
        <v>213</v>
      </c>
      <c r="EK358" s="2" t="n">
        <v>861.813</v>
      </c>
      <c r="EL358" s="2" t="n">
        <v>2475.7</v>
      </c>
      <c r="EQ358" s="2" t="n">
        <v>268</v>
      </c>
      <c r="ER358" s="2" t="n">
        <v>227.8</v>
      </c>
      <c r="ES358" s="2" t="n">
        <v>364</v>
      </c>
      <c r="EU358" s="2" t="n">
        <v>157.3</v>
      </c>
      <c r="EW358" s="2" t="n">
        <v>88.7</v>
      </c>
      <c r="EX358" s="2" t="n">
        <v>76.90000000000001</v>
      </c>
      <c r="FA358" s="2" t="n">
        <v>500.5683999999999</v>
      </c>
      <c r="FB358" s="2" t="n">
        <v>1683.2</v>
      </c>
      <c r="FG358" s="2" t="n">
        <v>556.5</v>
      </c>
      <c r="FH358" s="2" t="n">
        <v>475.6</v>
      </c>
      <c r="FI358" s="2" t="n">
        <v>730.7</v>
      </c>
      <c r="FK358" s="2" t="n">
        <v>335.6</v>
      </c>
      <c r="FM358" s="2" t="n">
        <v>192</v>
      </c>
      <c r="FN358" s="2" t="n">
        <v>158.6</v>
      </c>
      <c r="FQ358" s="2" t="n">
        <v>1059.3069</v>
      </c>
      <c r="FR358" s="2" t="n">
        <v>3508.3</v>
      </c>
      <c r="FW358" s="2" t="n">
        <v>376.5</v>
      </c>
      <c r="FX358" s="2" t="n">
        <v>120.8</v>
      </c>
      <c r="FY358" s="2" t="n">
        <v>307</v>
      </c>
      <c r="GA358" s="2" t="n">
        <v>73.40000000000001</v>
      </c>
      <c r="GC358" s="2" t="inlineStr">
        <is>
          <t>(D)</t>
        </is>
      </c>
      <c r="GD358" s="2" t="inlineStr">
        <is>
          <t>(D)</t>
        </is>
      </c>
      <c r="GG358" s="2" t="n">
        <v>464.8890000000001</v>
      </c>
      <c r="GH358" s="2" t="n">
        <v>1461.9</v>
      </c>
      <c r="GM358" s="2" t="n">
        <v>129.4</v>
      </c>
      <c r="GN358" s="2" t="n">
        <v>120.2</v>
      </c>
      <c r="GO358" s="2" t="n">
        <v>126.4</v>
      </c>
      <c r="GQ358" s="2" t="n">
        <v>44.3</v>
      </c>
      <c r="GS358" s="2" t="n">
        <v>13.2</v>
      </c>
      <c r="GT358" s="2" t="n">
        <v>6.9</v>
      </c>
      <c r="GW358" s="2" t="n">
        <v>136.75</v>
      </c>
      <c r="GX358" s="2" t="n">
        <v>577.1</v>
      </c>
      <c r="GY358" s="2" t="n">
        <v>0.9800206956937038</v>
      </c>
      <c r="GZ358" s="2" t="n">
        <v>1231.2</v>
      </c>
      <c r="HA358" s="2" t="n">
        <v>1256.3</v>
      </c>
      <c r="HB358" s="2" t="n">
        <v>42.04068067620005</v>
      </c>
      <c r="HC358" s="2" t="n">
        <v>-178.9242981868001</v>
      </c>
      <c r="HD358" s="2" t="n">
        <v>1356.2406806762</v>
      </c>
      <c r="HE358" s="2" t="n">
        <v>-277.8</v>
      </c>
      <c r="HF358" s="2" t="n">
        <v>1314.2</v>
      </c>
      <c r="HG358" s="2" t="n">
        <v>1196.7</v>
      </c>
      <c r="HH358" s="2" t="n">
        <v>317.8</v>
      </c>
      <c r="HI358" s="2" t="inlineStr">
        <is>
          <t>(D)</t>
        </is>
      </c>
      <c r="HJ358" s="2" t="n">
        <v>814.6</v>
      </c>
      <c r="HK358" s="2" t="inlineStr">
        <is>
          <t>(D)</t>
        </is>
      </c>
      <c r="HL358" s="2" t="n">
        <v>117.5</v>
      </c>
      <c r="HM358" s="2" t="n">
        <v>98.59999999999999</v>
      </c>
      <c r="HN358" s="2" t="n">
        <v>62.9</v>
      </c>
      <c r="HO358" s="2" t="n">
        <v>35.7</v>
      </c>
      <c r="HQ358" s="2" t="inlineStr">
        <is>
          <t>(S)</t>
        </is>
      </c>
      <c r="HR358" s="2" t="n">
        <v>7.7</v>
      </c>
      <c r="HT358" s="2" t="n">
        <v>10.9</v>
      </c>
      <c r="HW358" s="2" t="n">
        <v>305.1</v>
      </c>
      <c r="HX358" s="2" t="inlineStr">
        <is>
          <t>-</t>
        </is>
      </c>
      <c r="HY358" s="2" t="n">
        <v>305.1</v>
      </c>
      <c r="HZ358" s="2" t="n">
        <v>57</v>
      </c>
      <c r="IA358" s="2" t="n">
        <v>167.7</v>
      </c>
      <c r="IB358" s="2" t="n">
        <v>38.2</v>
      </c>
      <c r="IC358" s="2" t="n">
        <v>129.5</v>
      </c>
      <c r="ID358" s="2" t="n">
        <v>75.40000000000001</v>
      </c>
      <c r="IE358" s="2" t="n">
        <v>54.1</v>
      </c>
      <c r="IH358" s="2" t="n">
        <v>48.445</v>
      </c>
      <c r="II358" s="2" t="n">
        <v>11.479</v>
      </c>
      <c r="IJ358" s="2" t="n">
        <v>19.166</v>
      </c>
      <c r="IK358" s="2" t="n">
        <v>17.8</v>
      </c>
      <c r="IL358" s="2" t="n">
        <v>31.95500000000003</v>
      </c>
      <c r="IN358" s="2" t="n">
        <v>47.9</v>
      </c>
      <c r="IO358" s="2" t="n">
        <v>48.1</v>
      </c>
      <c r="IP358" s="2" t="inlineStr">
        <is>
          <t>(D)</t>
        </is>
      </c>
      <c r="IQ358" s="2" t="n">
        <v>47.5</v>
      </c>
      <c r="IR358" s="2" t="n">
        <v>7.845</v>
      </c>
      <c r="IT358" s="2" t="n">
        <v>38.5</v>
      </c>
      <c r="IU358" s="2" t="inlineStr">
        <is>
          <t>(D)</t>
        </is>
      </c>
      <c r="IV358" s="2" t="inlineStr">
        <is>
          <t>(D)</t>
        </is>
      </c>
      <c r="IW358" s="2" t="inlineStr">
        <is>
          <t>(D)</t>
        </is>
      </c>
      <c r="IX358" s="2" t="inlineStr">
        <is>
          <t>(D)</t>
        </is>
      </c>
      <c r="IY358" s="2" t="n">
        <v>47.89491687760826</v>
      </c>
      <c r="IZ358" s="2" t="n">
        <v>0.3849168776082621</v>
      </c>
      <c r="JB358" s="2" t="n">
        <v>11.51535882876103</v>
      </c>
      <c r="JC358" s="2" t="n">
        <v>0.0553588287610296</v>
      </c>
      <c r="JE358" s="2" t="n">
        <v>3338.8</v>
      </c>
      <c r="JF358" s="2" t="n">
        <v>0.8074589672936384</v>
      </c>
    </row>
    <row r="359">
      <c r="A359" s="1" t="n">
        <v>39965</v>
      </c>
      <c r="B359" s="2" t="n">
        <v>4202.9</v>
      </c>
      <c r="C359" s="2" t="n">
        <v>2687.6</v>
      </c>
      <c r="D359" s="2" t="n">
        <v>158.1</v>
      </c>
      <c r="E359" s="2" t="n">
        <v>622.7</v>
      </c>
      <c r="F359" s="2" t="n">
        <v>15.454</v>
      </c>
      <c r="G359" s="2" t="inlineStr">
        <is>
          <t>NA</t>
        </is>
      </c>
      <c r="H359" s="2" t="inlineStr">
        <is>
          <t>NA</t>
        </is>
      </c>
      <c r="I359" s="2" t="inlineStr">
        <is>
          <t>NA</t>
        </is>
      </c>
      <c r="J359" s="2" t="inlineStr">
        <is>
          <t>NA</t>
        </is>
      </c>
      <c r="K359" s="2" t="n">
        <v>1604.3</v>
      </c>
      <c r="L359" s="2" t="n">
        <v>3530.3</v>
      </c>
      <c r="M359" s="2" t="n">
        <v>3237.5</v>
      </c>
      <c r="N359" s="2" t="n">
        <v>292.8</v>
      </c>
      <c r="O359" s="2" t="n">
        <v>58.7</v>
      </c>
      <c r="P359" s="2" t="n">
        <v>147.2</v>
      </c>
      <c r="Q359" s="2" t="n">
        <v>61.59999999999999</v>
      </c>
      <c r="R359" s="2" t="n">
        <v>85.59999999999999</v>
      </c>
      <c r="T359" s="2" t="n">
        <v>12.159</v>
      </c>
      <c r="U359" s="2" t="n">
        <v>22</v>
      </c>
      <c r="V359" s="2" t="n">
        <v>14.4</v>
      </c>
      <c r="W359" s="2" t="n">
        <v>7.6</v>
      </c>
      <c r="X359" s="2" t="inlineStr">
        <is>
          <t>NA</t>
        </is>
      </c>
      <c r="Y359" s="2" t="inlineStr">
        <is>
          <t>(D)</t>
        </is>
      </c>
      <c r="Z359" s="2" t="n">
        <v>130</v>
      </c>
      <c r="AA359" s="2" t="inlineStr">
        <is>
          <t>(D)</t>
        </is>
      </c>
      <c r="AB359" s="2" t="inlineStr">
        <is>
          <t>(D)</t>
        </is>
      </c>
      <c r="AC359" s="2" t="inlineStr">
        <is>
          <t>NA</t>
        </is>
      </c>
      <c r="AD359" s="2" t="n">
        <v>38.1</v>
      </c>
      <c r="AE359" s="2" t="n">
        <v>38.7</v>
      </c>
      <c r="AF359" s="2" t="n">
        <v>133.2</v>
      </c>
      <c r="AG359" s="2" t="n">
        <v>98.90000000000001</v>
      </c>
      <c r="AH359" s="2" t="n">
        <v>34.4</v>
      </c>
      <c r="AI359" s="2" t="n">
        <v>189</v>
      </c>
      <c r="AJ359" s="2" t="n">
        <v>186</v>
      </c>
      <c r="AK359" s="2" t="n">
        <v>3</v>
      </c>
      <c r="AL359" s="2" t="n">
        <v>218</v>
      </c>
      <c r="AM359" s="2" t="n">
        <v>128.2</v>
      </c>
      <c r="AN359" s="2" t="n">
        <v>89.8</v>
      </c>
      <c r="AO359" s="2" t="n">
        <v>3082.2</v>
      </c>
      <c r="AP359" s="2" t="n">
        <v>385.9</v>
      </c>
      <c r="AQ359" s="2" t="n">
        <v>241</v>
      </c>
      <c r="AR359" s="2" t="n">
        <v>40.4</v>
      </c>
      <c r="AS359" s="2" t="n">
        <v>75.59999999999999</v>
      </c>
      <c r="AT359" s="2" t="n">
        <v>35</v>
      </c>
      <c r="AU359" s="2" t="n">
        <v>43.8</v>
      </c>
      <c r="AV359" s="2" t="n">
        <v>48.1</v>
      </c>
      <c r="AW359" s="2" t="n">
        <v>8.406000000000001</v>
      </c>
      <c r="AX359" s="2" t="inlineStr">
        <is>
          <t>NA</t>
        </is>
      </c>
      <c r="AY359" s="2" t="inlineStr">
        <is>
          <t>NA</t>
        </is>
      </c>
      <c r="AZ359" s="2" t="inlineStr">
        <is>
          <t>NA</t>
        </is>
      </c>
      <c r="BA359" s="2" t="inlineStr">
        <is>
          <t>NA</t>
        </is>
      </c>
      <c r="BB359" s="2" t="inlineStr">
        <is>
          <t>NA</t>
        </is>
      </c>
      <c r="BD359" s="2" t="n">
        <v>165.9</v>
      </c>
      <c r="BE359" s="2" t="n">
        <v>37.8</v>
      </c>
      <c r="BF359" s="2" t="n">
        <v>64.7</v>
      </c>
      <c r="BG359" s="2" t="n">
        <v>7.8</v>
      </c>
      <c r="BH359" s="2" t="n">
        <v>285.5</v>
      </c>
      <c r="BI359" s="2" t="n">
        <v>133.5</v>
      </c>
      <c r="BJ359" s="2" t="n">
        <v>94.09999999999999</v>
      </c>
      <c r="BK359" s="2" t="n">
        <v>227.6</v>
      </c>
      <c r="BM359" s="2" t="n">
        <v>513.1</v>
      </c>
      <c r="BN359" s="2" t="n">
        <v>135.5</v>
      </c>
      <c r="BO359" s="2" t="n">
        <v>109</v>
      </c>
      <c r="BP359" s="2" t="n">
        <v>47.2</v>
      </c>
      <c r="BQ359" s="2" t="n">
        <v>156.2</v>
      </c>
      <c r="BS359" s="2" t="n">
        <v>291.8</v>
      </c>
      <c r="BT359" s="2" t="n">
        <v>34.8</v>
      </c>
      <c r="BU359" s="2" t="n">
        <v>21.4</v>
      </c>
      <c r="BV359" s="2" t="inlineStr">
        <is>
          <t>NA</t>
        </is>
      </c>
      <c r="BW359" s="2" t="inlineStr">
        <is>
          <t>NA</t>
        </is>
      </c>
      <c r="BX359" s="2" t="n">
        <v>437.6</v>
      </c>
      <c r="BY359" s="2" t="inlineStr">
        <is>
          <t>NA</t>
        </is>
      </c>
      <c r="BZ359" s="2" t="inlineStr">
        <is>
          <t>NA</t>
        </is>
      </c>
      <c r="CA359" s="2" t="n">
        <v>63.5</v>
      </c>
      <c r="CB359" s="2" t="n">
        <v>121.1</v>
      </c>
      <c r="CC359" s="2" t="n">
        <v>21.6</v>
      </c>
      <c r="CD359" s="2" t="n">
        <v>137</v>
      </c>
      <c r="CE359" s="2" t="n">
        <v>17.3</v>
      </c>
      <c r="CF359" s="2" t="n">
        <v>103.3</v>
      </c>
      <c r="CG359" s="2" t="n">
        <v>139.2</v>
      </c>
      <c r="CH359" s="2" t="n">
        <v>5.9</v>
      </c>
      <c r="CI359" s="2" t="n">
        <v>27</v>
      </c>
      <c r="CJ359" s="2" t="n">
        <v>6.1</v>
      </c>
      <c r="CK359" s="2" t="n">
        <v>136.7</v>
      </c>
      <c r="CL359" s="2" t="n">
        <v>23.9</v>
      </c>
      <c r="CN359" s="2" t="n">
        <v>34.4</v>
      </c>
      <c r="CO359" s="2" t="n">
        <v>135.5</v>
      </c>
      <c r="CP359" s="2" t="n">
        <v>104.1</v>
      </c>
      <c r="CQ359" s="2" t="n">
        <v>31.4</v>
      </c>
      <c r="CR359" s="2" t="inlineStr">
        <is>
          <t>NA</t>
        </is>
      </c>
      <c r="CS359" s="2" t="n">
        <v>60.8</v>
      </c>
      <c r="CT359" s="2" t="inlineStr">
        <is>
          <t>(D)</t>
        </is>
      </c>
      <c r="CU359" s="2" t="inlineStr">
        <is>
          <t>(D)</t>
        </is>
      </c>
      <c r="CV359" s="2" t="n">
        <v>304.5</v>
      </c>
      <c r="CW359" s="2" t="inlineStr">
        <is>
          <t>(D)</t>
        </is>
      </c>
      <c r="CX359" s="2" t="inlineStr">
        <is>
          <t>(D)</t>
        </is>
      </c>
      <c r="CY359" s="2" t="inlineStr">
        <is>
          <t>(D)</t>
        </is>
      </c>
      <c r="CZ359" s="2" t="n">
        <v>98.3</v>
      </c>
      <c r="DA359" s="2" t="n">
        <v>28.2</v>
      </c>
      <c r="DB359" s="2" t="inlineStr">
        <is>
          <t>(D)</t>
        </is>
      </c>
      <c r="DC359" s="2" t="inlineStr">
        <is>
          <t>(D)</t>
        </is>
      </c>
      <c r="DI359" s="2" t="n">
        <v>673.6</v>
      </c>
      <c r="DJ359" s="2" t="n">
        <v>509.5</v>
      </c>
      <c r="DK359" s="2" t="n">
        <v>974.5</v>
      </c>
      <c r="DM359" s="2" t="n">
        <v>425.4</v>
      </c>
      <c r="DO359" s="2" t="n">
        <v>232.7</v>
      </c>
      <c r="DP359" s="2" t="n">
        <v>239</v>
      </c>
      <c r="DS359" s="2" t="n">
        <v>1148.308</v>
      </c>
      <c r="DT359" s="2" t="n">
        <v>4202.9</v>
      </c>
      <c r="DU359" s="2" t="n">
        <v>0.1080000000001746</v>
      </c>
      <c r="DV359" s="2" t="n">
        <v>0</v>
      </c>
      <c r="EA359" s="2" t="n">
        <v>340.4</v>
      </c>
      <c r="EB359" s="2" t="n">
        <v>392.4</v>
      </c>
      <c r="EC359" s="2" t="n">
        <v>535.5</v>
      </c>
      <c r="EE359" s="2" t="n">
        <v>263.7</v>
      </c>
      <c r="EG359" s="2" t="n">
        <v>81.2</v>
      </c>
      <c r="EH359" s="2" t="n">
        <v>204</v>
      </c>
      <c r="EK359" s="2" t="n">
        <v>870.255</v>
      </c>
      <c r="EL359" s="2" t="n">
        <v>2687.6</v>
      </c>
      <c r="EQ359" s="2" t="n">
        <v>264</v>
      </c>
      <c r="ER359" s="2" t="n">
        <v>198.9</v>
      </c>
      <c r="ES359" s="2" t="n">
        <v>368.5</v>
      </c>
      <c r="EU359" s="2" t="n">
        <v>167.3</v>
      </c>
      <c r="EW359" s="2" t="n">
        <v>86.3</v>
      </c>
      <c r="EX359" s="2" t="n">
        <v>91.3</v>
      </c>
      <c r="FA359" s="2" t="n">
        <v>428.0725</v>
      </c>
      <c r="FB359" s="2" t="n">
        <v>1604.3</v>
      </c>
      <c r="FG359" s="2" t="n">
        <v>527.3</v>
      </c>
      <c r="FH359" s="2" t="n">
        <v>413.7</v>
      </c>
      <c r="FI359" s="2" t="n">
        <v>765.6</v>
      </c>
      <c r="FK359" s="2" t="n">
        <v>338.3</v>
      </c>
      <c r="FM359" s="2" t="n">
        <v>184.4</v>
      </c>
      <c r="FN359" s="2" t="n">
        <v>192.1</v>
      </c>
      <c r="FQ359" s="2" t="n">
        <v>908.2962999999994</v>
      </c>
      <c r="FR359" s="2" t="n">
        <v>3329.7</v>
      </c>
      <c r="FW359" s="2" t="n">
        <v>406.7</v>
      </c>
      <c r="FX359" s="2" t="n">
        <v>145.1</v>
      </c>
      <c r="FY359" s="2" t="n">
        <v>310.5</v>
      </c>
      <c r="GA359" s="2" t="n">
        <v>69.40000000000001</v>
      </c>
      <c r="GC359" s="2" t="inlineStr">
        <is>
          <t>(D)</t>
        </is>
      </c>
      <c r="GD359" s="2" t="inlineStr">
        <is>
          <t>(D)</t>
        </is>
      </c>
      <c r="GG359" s="2" t="n">
        <v>472.612</v>
      </c>
      <c r="GH359" s="2" t="n">
        <v>1524</v>
      </c>
      <c r="GM359" s="2" t="n">
        <v>100.5</v>
      </c>
      <c r="GN359" s="2" t="n">
        <v>88.59999999999999</v>
      </c>
      <c r="GO359" s="2" t="n">
        <v>86.3</v>
      </c>
      <c r="GQ359" s="2" t="n">
        <v>28.2</v>
      </c>
      <c r="GS359" s="2" t="n">
        <v>7.1</v>
      </c>
      <c r="GT359" s="2" t="n">
        <v>4.3</v>
      </c>
      <c r="GW359" s="2" t="n">
        <v>111.2910000000001</v>
      </c>
      <c r="GX359" s="2" t="n">
        <v>426.3</v>
      </c>
      <c r="GY359" s="2" t="n">
        <v>0.9799054373522457</v>
      </c>
      <c r="GZ359" s="2" t="n">
        <v>1160.6</v>
      </c>
      <c r="HA359" s="2" t="n">
        <v>1184.4</v>
      </c>
      <c r="HB359" s="2" t="n">
        <v>18.12969756760072</v>
      </c>
      <c r="HC359" s="2" t="n">
        <v>-215.7027008171999</v>
      </c>
      <c r="HD359" s="2" t="n">
        <v>1336.929697567601</v>
      </c>
      <c r="HE359" s="2" t="n">
        <v>-267.1000000000001</v>
      </c>
      <c r="HF359" s="2" t="n">
        <v>1318.8</v>
      </c>
      <c r="HG359" s="2" t="n">
        <v>1175.9</v>
      </c>
      <c r="HH359" s="2" t="n">
        <v>311.5</v>
      </c>
      <c r="HI359" s="2" t="inlineStr">
        <is>
          <t>(D)</t>
        </is>
      </c>
      <c r="HJ359" s="2" t="n">
        <v>791</v>
      </c>
      <c r="HK359" s="2" t="inlineStr">
        <is>
          <t>(D)</t>
        </is>
      </c>
      <c r="HL359" s="2" t="n">
        <v>143</v>
      </c>
      <c r="HM359" s="2" t="n">
        <v>118.3</v>
      </c>
      <c r="HN359" s="2" t="n">
        <v>71</v>
      </c>
      <c r="HO359" s="2" t="n">
        <v>47.3</v>
      </c>
      <c r="HQ359" s="2" t="inlineStr">
        <is>
          <t>(S)</t>
        </is>
      </c>
      <c r="HR359" s="2" t="n">
        <v>10.5</v>
      </c>
      <c r="HT359" s="2" t="n">
        <v>13.8</v>
      </c>
      <c r="HW359" s="2" t="n">
        <v>318.9</v>
      </c>
      <c r="HX359" s="2" t="inlineStr">
        <is>
          <t>-</t>
        </is>
      </c>
      <c r="HY359" s="2" t="n">
        <v>318.9</v>
      </c>
      <c r="HZ359" s="2" t="n">
        <v>57.4</v>
      </c>
      <c r="IA359" s="2" t="n">
        <v>143.2</v>
      </c>
      <c r="IB359" s="2" t="n">
        <v>31.5</v>
      </c>
      <c r="IC359" s="2" t="n">
        <v>111.7</v>
      </c>
      <c r="ID359" s="2" t="n">
        <v>67.40000000000001</v>
      </c>
      <c r="IE359" s="2" t="n">
        <v>44.2</v>
      </c>
      <c r="IH359" s="2" t="n">
        <v>82.67700000000001</v>
      </c>
      <c r="II359" s="2" t="n">
        <v>12.45500000000001</v>
      </c>
      <c r="IJ359" s="2" t="n">
        <v>50.922</v>
      </c>
      <c r="IK359" s="2" t="n">
        <v>19.3</v>
      </c>
      <c r="IL359" s="2" t="n">
        <v>35.623</v>
      </c>
      <c r="IN359" s="2" t="n">
        <v>50.3</v>
      </c>
      <c r="IO359" s="2" t="n">
        <v>50.6</v>
      </c>
      <c r="IP359" s="2" t="inlineStr">
        <is>
          <t>(D)</t>
        </is>
      </c>
      <c r="IQ359" s="2" t="n">
        <v>55.9</v>
      </c>
      <c r="IR359" s="2" t="n">
        <v>8.92</v>
      </c>
      <c r="IT359" s="2" t="n">
        <v>45.9</v>
      </c>
      <c r="IU359" s="2" t="inlineStr">
        <is>
          <t>(D)</t>
        </is>
      </c>
      <c r="IV359" s="2" t="inlineStr">
        <is>
          <t>(D)</t>
        </is>
      </c>
      <c r="IW359" s="2" t="inlineStr">
        <is>
          <t>(D)</t>
        </is>
      </c>
      <c r="IX359" s="2" t="inlineStr">
        <is>
          <t>(D)</t>
        </is>
      </c>
      <c r="IY359" s="2" t="n">
        <v>47.44152846843846</v>
      </c>
      <c r="IZ359" s="2" t="n">
        <v>0.1615284684384548</v>
      </c>
      <c r="JB359" s="2" t="n">
        <v>11.45137880986938</v>
      </c>
      <c r="JC359" s="2" t="n">
        <v>-0.03862119013062504</v>
      </c>
      <c r="JE359" s="2" t="n">
        <v>3530.3</v>
      </c>
      <c r="JF359" s="2" t="n">
        <v>0.8234940373339376</v>
      </c>
    </row>
    <row r="360">
      <c r="A360" s="1" t="n">
        <v>39995</v>
      </c>
      <c r="B360" s="2" t="n">
        <v>3863.6</v>
      </c>
      <c r="C360" s="2" t="n">
        <v>2250.3</v>
      </c>
      <c r="D360" s="2" t="n">
        <v>123.2</v>
      </c>
      <c r="E360" s="2" t="n">
        <v>514.1</v>
      </c>
      <c r="F360" s="2" t="n">
        <v>12.8</v>
      </c>
      <c r="G360" s="2" t="inlineStr">
        <is>
          <t>NA</t>
        </is>
      </c>
      <c r="H360" s="2" t="inlineStr">
        <is>
          <t>NA</t>
        </is>
      </c>
      <c r="I360" s="2" t="inlineStr">
        <is>
          <t>NA</t>
        </is>
      </c>
      <c r="J360" s="2" t="inlineStr">
        <is>
          <t>NA</t>
        </is>
      </c>
      <c r="K360" s="2" t="n">
        <v>1469.2</v>
      </c>
      <c r="L360" s="2" t="n">
        <v>3448.9</v>
      </c>
      <c r="M360" s="2" t="n">
        <v>3148.7</v>
      </c>
      <c r="N360" s="2" t="n">
        <v>300.2</v>
      </c>
      <c r="O360" s="2" t="n">
        <v>39.6</v>
      </c>
      <c r="P360" s="2" t="n">
        <v>150.5</v>
      </c>
      <c r="Q360" s="2" t="n">
        <v>73.7</v>
      </c>
      <c r="R360" s="2" t="n">
        <v>76.8</v>
      </c>
      <c r="T360" s="2" t="n">
        <v>9.4</v>
      </c>
      <c r="U360" s="2" t="n">
        <v>18.1</v>
      </c>
      <c r="V360" s="2" t="n">
        <v>13.7</v>
      </c>
      <c r="W360" s="2" t="n">
        <v>4.4</v>
      </c>
      <c r="X360" s="2" t="inlineStr">
        <is>
          <t>NA</t>
        </is>
      </c>
      <c r="Y360" s="2" t="inlineStr">
        <is>
          <t>(D)</t>
        </is>
      </c>
      <c r="Z360" s="2" t="n">
        <v>119.8</v>
      </c>
      <c r="AA360" s="2" t="inlineStr">
        <is>
          <t>(D)</t>
        </is>
      </c>
      <c r="AB360" s="2" t="inlineStr">
        <is>
          <t>(D)</t>
        </is>
      </c>
      <c r="AC360" s="2" t="inlineStr">
        <is>
          <t>NA</t>
        </is>
      </c>
      <c r="AD360" s="2" t="n">
        <v>83.3</v>
      </c>
      <c r="AE360" s="2" t="n">
        <v>85.40000000000001</v>
      </c>
      <c r="AF360" s="2" t="n">
        <v>168.7</v>
      </c>
      <c r="AG360" s="2" t="n">
        <v>108.6</v>
      </c>
      <c r="AH360" s="2" t="n">
        <v>60</v>
      </c>
      <c r="AI360" s="2" t="n">
        <v>186</v>
      </c>
      <c r="AJ360" s="2" t="n">
        <v>183</v>
      </c>
      <c r="AK360" s="2" t="n">
        <v>3</v>
      </c>
      <c r="AL360" s="2" t="n">
        <v>193.9</v>
      </c>
      <c r="AM360" s="2" t="n">
        <v>113.5</v>
      </c>
      <c r="AN360" s="2" t="n">
        <v>80.40000000000001</v>
      </c>
      <c r="AO360" s="2" t="n">
        <v>2836.2</v>
      </c>
      <c r="AP360" s="2" t="n">
        <v>298.8</v>
      </c>
      <c r="AQ360" s="2" t="n">
        <v>230.5</v>
      </c>
      <c r="AR360" s="2" t="n">
        <v>29.6</v>
      </c>
      <c r="AS360" s="2" t="n">
        <v>56.5</v>
      </c>
      <c r="AT360" s="2" t="n">
        <v>29.4</v>
      </c>
      <c r="AU360" s="2" t="n">
        <v>35.9</v>
      </c>
      <c r="AV360" s="2" t="n">
        <v>42</v>
      </c>
      <c r="AW360" s="2" t="n">
        <v>6.2</v>
      </c>
      <c r="AX360" s="2" t="inlineStr">
        <is>
          <t>NA</t>
        </is>
      </c>
      <c r="AY360" s="2" t="inlineStr">
        <is>
          <t>NA</t>
        </is>
      </c>
      <c r="AZ360" s="2" t="inlineStr">
        <is>
          <t>NA</t>
        </is>
      </c>
      <c r="BA360" s="2" t="inlineStr">
        <is>
          <t>NA</t>
        </is>
      </c>
      <c r="BB360" s="2" t="inlineStr">
        <is>
          <t>NA</t>
        </is>
      </c>
      <c r="BD360" s="2" t="n">
        <v>155.1</v>
      </c>
      <c r="BE360" s="2" t="n">
        <v>38</v>
      </c>
      <c r="BF360" s="2" t="n">
        <v>66.8</v>
      </c>
      <c r="BG360" s="2" t="n">
        <v>6.7</v>
      </c>
      <c r="BH360" s="2" t="n">
        <v>281.1</v>
      </c>
      <c r="BI360" s="2" t="n">
        <v>135.7</v>
      </c>
      <c r="BJ360" s="2" t="n">
        <v>102.2</v>
      </c>
      <c r="BK360" s="2" t="n">
        <v>237.8</v>
      </c>
      <c r="BM360" s="2" t="n">
        <v>519</v>
      </c>
      <c r="BN360" s="2" t="n">
        <v>156.3</v>
      </c>
      <c r="BO360" s="2" t="n">
        <v>117.6</v>
      </c>
      <c r="BP360" s="2" t="n">
        <v>60.3</v>
      </c>
      <c r="BQ360" s="2" t="n">
        <v>177.9</v>
      </c>
      <c r="BS360" s="2" t="n">
        <v>334.2</v>
      </c>
      <c r="BT360" s="2" t="n">
        <v>32.2</v>
      </c>
      <c r="BU360" s="2" t="n">
        <v>24</v>
      </c>
      <c r="BV360" s="2" t="inlineStr">
        <is>
          <t>NA</t>
        </is>
      </c>
      <c r="BW360" s="2" t="inlineStr">
        <is>
          <t>NA</t>
        </is>
      </c>
      <c r="BX360" s="2" t="n">
        <v>429</v>
      </c>
      <c r="BY360" s="2" t="inlineStr">
        <is>
          <t>NA</t>
        </is>
      </c>
      <c r="BZ360" s="2" t="inlineStr">
        <is>
          <t>NA</t>
        </is>
      </c>
      <c r="CA360" s="2" t="n">
        <v>63.9</v>
      </c>
      <c r="CB360" s="2" t="n">
        <v>128.8</v>
      </c>
      <c r="CC360" s="2" t="n">
        <v>28.2</v>
      </c>
      <c r="CD360" s="2" t="n">
        <v>142.4</v>
      </c>
      <c r="CE360" s="2" t="n">
        <v>19.3</v>
      </c>
      <c r="CF360" s="2" t="n">
        <v>93.7</v>
      </c>
      <c r="CG360" s="2" t="n">
        <v>127.1</v>
      </c>
      <c r="CH360" s="2" t="n">
        <v>4.2</v>
      </c>
      <c r="CI360" s="2" t="n">
        <v>33.4</v>
      </c>
      <c r="CJ360" s="2" t="n">
        <v>4.7</v>
      </c>
      <c r="CK360" s="2" t="n">
        <v>138.1</v>
      </c>
      <c r="CL360" s="2" t="n">
        <v>20.4</v>
      </c>
      <c r="CN360" s="2" t="n">
        <v>66.90000000000001</v>
      </c>
      <c r="CO360" s="2" t="n">
        <v>133.9</v>
      </c>
      <c r="CP360" s="2" t="n">
        <v>76.7</v>
      </c>
      <c r="CQ360" s="2" t="n">
        <v>57.2</v>
      </c>
      <c r="CR360" s="2" t="inlineStr">
        <is>
          <t>NA</t>
        </is>
      </c>
      <c r="CS360" s="2" t="n">
        <v>61.5</v>
      </c>
      <c r="CT360" s="2" t="inlineStr">
        <is>
          <t>(D)</t>
        </is>
      </c>
      <c r="CU360" s="2" t="inlineStr">
        <is>
          <t>(D)</t>
        </is>
      </c>
      <c r="CV360" s="2" t="n">
        <v>254.8</v>
      </c>
      <c r="CW360" s="2" t="inlineStr">
        <is>
          <t>(D)</t>
        </is>
      </c>
      <c r="CX360" s="2" t="inlineStr">
        <is>
          <t>(D)</t>
        </is>
      </c>
      <c r="CY360" s="2" t="inlineStr">
        <is>
          <t>(D)</t>
        </is>
      </c>
      <c r="CZ360" s="2" t="n">
        <v>83.3</v>
      </c>
      <c r="DA360" s="2" t="n">
        <v>32</v>
      </c>
      <c r="DB360" s="2" t="inlineStr">
        <is>
          <t>(D)</t>
        </is>
      </c>
      <c r="DC360" s="2" t="inlineStr">
        <is>
          <t>(D)</t>
        </is>
      </c>
      <c r="DI360" s="2" t="n">
        <v>474.6</v>
      </c>
      <c r="DJ360" s="2" t="n">
        <v>481.7</v>
      </c>
      <c r="DK360" s="2" t="n">
        <v>850</v>
      </c>
      <c r="DM360" s="2" t="n">
        <v>436.8</v>
      </c>
      <c r="DO360" s="2" t="n">
        <v>220.3</v>
      </c>
      <c r="DP360" s="2" t="n">
        <v>227.1</v>
      </c>
      <c r="DS360" s="2" t="n">
        <v>1173.06672</v>
      </c>
      <c r="DT360" s="2" t="n">
        <v>3863.6</v>
      </c>
      <c r="DU360" s="2" t="n">
        <v>-0.03328000000010434</v>
      </c>
      <c r="DV360" s="2" t="n">
        <v>0</v>
      </c>
      <c r="EA360" s="2" t="n">
        <v>312.6</v>
      </c>
      <c r="EB360" s="2" t="n">
        <v>339.9</v>
      </c>
      <c r="EC360" s="2" t="n">
        <v>494.2</v>
      </c>
      <c r="EE360" s="2" t="n">
        <v>232.1</v>
      </c>
      <c r="EG360" s="2" t="n">
        <v>88.7</v>
      </c>
      <c r="EH360" s="2" t="n">
        <v>166.4</v>
      </c>
      <c r="EK360" s="2" t="n">
        <v>616.5639999999999</v>
      </c>
      <c r="EL360" s="2" t="n">
        <v>2250.3</v>
      </c>
      <c r="EQ360" s="2" t="n">
        <v>183.5</v>
      </c>
      <c r="ER360" s="2" t="n">
        <v>184.2</v>
      </c>
      <c r="ES360" s="2" t="n">
        <v>323.7</v>
      </c>
      <c r="EU360" s="2" t="n">
        <v>162.6</v>
      </c>
      <c r="EW360" s="2" t="n">
        <v>84.5</v>
      </c>
      <c r="EX360" s="2" t="n">
        <v>86.8</v>
      </c>
      <c r="FA360" s="2" t="n">
        <v>443.81231</v>
      </c>
      <c r="FB360" s="2" t="n">
        <v>1469.2</v>
      </c>
      <c r="FG360" s="2" t="n">
        <v>377.9</v>
      </c>
      <c r="FH360" s="2" t="n">
        <v>387.4</v>
      </c>
      <c r="FI360" s="2" t="n">
        <v>666.3</v>
      </c>
      <c r="FK360" s="2" t="n">
        <v>351.1</v>
      </c>
      <c r="FM360" s="2" t="n">
        <v>175.1</v>
      </c>
      <c r="FN360" s="2" t="n">
        <v>183.3</v>
      </c>
      <c r="FQ360" s="2" t="n">
        <v>932.0006299999998</v>
      </c>
      <c r="FR360" s="2" t="n">
        <v>3073.2</v>
      </c>
      <c r="FW360" s="2" t="n">
        <v>360.1</v>
      </c>
      <c r="FX360" s="2" t="n">
        <v>138.4</v>
      </c>
      <c r="FY360" s="2" t="n">
        <v>324.9</v>
      </c>
      <c r="GA360" s="2" t="n">
        <v>54.6</v>
      </c>
      <c r="GC360" s="2" t="inlineStr">
        <is>
          <t>(D)</t>
        </is>
      </c>
      <c r="GD360" s="2" t="inlineStr">
        <is>
          <t>(D)</t>
        </is>
      </c>
      <c r="GG360" s="2" t="n">
        <v>471.5170000000001</v>
      </c>
      <c r="GH360" s="2" t="n">
        <v>1457.6</v>
      </c>
      <c r="GM360" s="2" t="n">
        <v>68.09999999999999</v>
      </c>
      <c r="GN360" s="2" t="n">
        <v>62.1</v>
      </c>
      <c r="GO360" s="2" t="n">
        <v>62.7</v>
      </c>
      <c r="GQ360" s="2" t="n">
        <v>22.7</v>
      </c>
      <c r="GS360" s="2" t="n">
        <v>5.8</v>
      </c>
      <c r="GT360" s="2" t="n">
        <v>4.1</v>
      </c>
      <c r="GW360" s="2" t="n">
        <v>102.908</v>
      </c>
      <c r="GX360" s="2" t="n">
        <v>328.4</v>
      </c>
      <c r="GY360" s="2" t="n">
        <v>0.9792540792540793</v>
      </c>
      <c r="GZ360" s="2" t="n">
        <v>1260.3</v>
      </c>
      <c r="HA360" s="2" t="n">
        <v>1287</v>
      </c>
      <c r="HB360" s="2" t="n">
        <v>-88.62432635680011</v>
      </c>
      <c r="HC360" s="2" t="n">
        <v>-302.8915177294007</v>
      </c>
      <c r="HD360" s="2" t="n">
        <v>1306.0756736432</v>
      </c>
      <c r="HE360" s="2" t="n">
        <v>-261</v>
      </c>
      <c r="HF360" s="2" t="n">
        <v>1394.7</v>
      </c>
      <c r="HG360" s="2" t="n">
        <v>1204.3</v>
      </c>
      <c r="HH360" s="2" t="n">
        <v>328.1</v>
      </c>
      <c r="HI360" s="2" t="inlineStr">
        <is>
          <t>(D)</t>
        </is>
      </c>
      <c r="HJ360" s="2" t="n">
        <v>807.2</v>
      </c>
      <c r="HK360" s="2" t="inlineStr">
        <is>
          <t>(D)</t>
        </is>
      </c>
      <c r="HL360" s="2" t="n">
        <v>190.4</v>
      </c>
      <c r="HM360" s="2" t="n">
        <v>164.3</v>
      </c>
      <c r="HN360" s="2" t="n">
        <v>106.5</v>
      </c>
      <c r="HO360" s="2" t="n">
        <v>57.8</v>
      </c>
      <c r="HQ360" s="2" t="inlineStr">
        <is>
          <t>(S)</t>
        </is>
      </c>
      <c r="HR360" s="2" t="inlineStr">
        <is>
          <t>(S)</t>
        </is>
      </c>
      <c r="HT360" s="2" t="n">
        <v>16.7</v>
      </c>
      <c r="HW360" s="2" t="n">
        <v>320.3</v>
      </c>
      <c r="HX360" s="2" t="inlineStr">
        <is>
          <t>-</t>
        </is>
      </c>
      <c r="HY360" s="2" t="n">
        <v>320.3</v>
      </c>
      <c r="HZ360" s="2" t="n">
        <v>47.9</v>
      </c>
      <c r="IA360" s="2" t="n">
        <v>146.5</v>
      </c>
      <c r="IB360" s="2" t="n">
        <v>29.8</v>
      </c>
      <c r="IC360" s="2" t="n">
        <v>116.7</v>
      </c>
      <c r="ID360" s="2" t="n">
        <v>68</v>
      </c>
      <c r="IE360" s="2" t="n">
        <v>48.7</v>
      </c>
      <c r="IH360" s="2" t="n">
        <v>78.5</v>
      </c>
      <c r="II360" s="2" t="n">
        <v>15</v>
      </c>
      <c r="IJ360" s="2" t="n">
        <v>45</v>
      </c>
      <c r="IK360" s="2" t="n">
        <v>18.5</v>
      </c>
      <c r="IL360" s="2" t="n">
        <v>47.40000000000003</v>
      </c>
      <c r="IN360" s="2" t="n">
        <v>34.9</v>
      </c>
      <c r="IO360" s="2" t="n">
        <v>34.9</v>
      </c>
      <c r="IP360" s="2" t="n">
        <v>51.787</v>
      </c>
      <c r="IQ360" s="2" t="n">
        <v>51.8</v>
      </c>
      <c r="IR360" s="2" t="n">
        <v>9.034000000000001</v>
      </c>
      <c r="IT360" s="2" t="n">
        <v>41.5</v>
      </c>
      <c r="IU360" s="2" t="inlineStr">
        <is>
          <t>(D)</t>
        </is>
      </c>
      <c r="IV360" s="2" t="n">
        <v>0.048</v>
      </c>
      <c r="IW360" s="2" t="inlineStr">
        <is>
          <t>(D)</t>
        </is>
      </c>
      <c r="IX360" s="2" t="inlineStr">
        <is>
          <t>(D)</t>
        </is>
      </c>
      <c r="IY360" s="2" t="n">
        <v>47.62449528936743</v>
      </c>
      <c r="IZ360" s="2" t="n">
        <v>0.1144952893674329</v>
      </c>
      <c r="JB360" s="2" t="n">
        <v>11.40801325188943</v>
      </c>
      <c r="JC360" s="2" t="n">
        <v>-0.1219867481105688</v>
      </c>
      <c r="JE360" s="2" t="n">
        <v>3448.9</v>
      </c>
      <c r="JF360" s="2" t="n">
        <v>0.8130235727333351</v>
      </c>
    </row>
    <row r="361">
      <c r="A361" s="1" t="n">
        <v>40026</v>
      </c>
      <c r="B361" s="2" t="n">
        <v>3595</v>
      </c>
      <c r="C361" s="2" t="n">
        <v>1354.8</v>
      </c>
      <c r="D361" s="2" t="n">
        <v>107.1</v>
      </c>
      <c r="E361" s="2" t="n">
        <v>438.6</v>
      </c>
      <c r="F361" s="2" t="n">
        <v>14.4</v>
      </c>
      <c r="G361" s="2" t="inlineStr">
        <is>
          <t>NA</t>
        </is>
      </c>
      <c r="H361" s="2" t="inlineStr">
        <is>
          <t>NA</t>
        </is>
      </c>
      <c r="I361" s="2" t="inlineStr">
        <is>
          <t>NA</t>
        </is>
      </c>
      <c r="J361" s="2" t="inlineStr">
        <is>
          <t>NA</t>
        </is>
      </c>
      <c r="K361" s="2" t="n">
        <v>1369.4</v>
      </c>
      <c r="L361" s="2" t="n">
        <v>3134</v>
      </c>
      <c r="M361" s="2" t="n">
        <v>2863.9</v>
      </c>
      <c r="N361" s="2" t="n">
        <v>270.1</v>
      </c>
      <c r="O361" s="2" t="n">
        <v>34.5</v>
      </c>
      <c r="P361" s="2" t="n">
        <v>141.5</v>
      </c>
      <c r="Q361" s="2" t="n">
        <v>71</v>
      </c>
      <c r="R361" s="2" t="n">
        <v>70.5</v>
      </c>
      <c r="T361" s="2" t="n">
        <v>10.9</v>
      </c>
      <c r="U361" s="2" t="n">
        <v>21.2</v>
      </c>
      <c r="V361" s="2" t="n">
        <v>17.3</v>
      </c>
      <c r="W361" s="2" t="n">
        <v>3.9</v>
      </c>
      <c r="X361" s="2" t="inlineStr">
        <is>
          <t>NA</t>
        </is>
      </c>
      <c r="Y361" s="2" t="inlineStr">
        <is>
          <t>(D)</t>
        </is>
      </c>
      <c r="Z361" s="2" t="n">
        <v>95.09999999999999</v>
      </c>
      <c r="AA361" s="2" t="inlineStr">
        <is>
          <t>(D)</t>
        </is>
      </c>
      <c r="AB361" s="2" t="inlineStr">
        <is>
          <t>(D)</t>
        </is>
      </c>
      <c r="AC361" s="2" t="inlineStr">
        <is>
          <t>NA</t>
        </is>
      </c>
      <c r="AD361" s="2" t="n">
        <v>74.2</v>
      </c>
      <c r="AE361" s="2" t="n">
        <v>73.8</v>
      </c>
      <c r="AF361" s="2" t="n">
        <v>192.8</v>
      </c>
      <c r="AG361" s="2" t="n">
        <v>135.5</v>
      </c>
      <c r="AH361" s="2" t="n">
        <v>57.3</v>
      </c>
      <c r="AI361" s="2" t="n">
        <v>201.4</v>
      </c>
      <c r="AJ361" s="2" t="n">
        <v>198.4</v>
      </c>
      <c r="AK361" s="2" t="n">
        <v>3</v>
      </c>
      <c r="AL361" s="2" t="n">
        <v>209</v>
      </c>
      <c r="AM361" s="2" t="n">
        <v>123.9</v>
      </c>
      <c r="AN361" s="2" t="n">
        <v>85.09999999999999</v>
      </c>
      <c r="AO361" s="2" t="n">
        <v>2630.7</v>
      </c>
      <c r="AP361" s="2" t="n">
        <v>283.1</v>
      </c>
      <c r="AQ361" s="2" t="n">
        <v>216</v>
      </c>
      <c r="AR361" s="2" t="n">
        <v>33.8</v>
      </c>
      <c r="AS361" s="2" t="n">
        <v>46.9</v>
      </c>
      <c r="AT361" s="2" t="n">
        <v>20.8</v>
      </c>
      <c r="AU361" s="2" t="n">
        <v>31.6</v>
      </c>
      <c r="AV361" s="2" t="n">
        <v>37.6</v>
      </c>
      <c r="AW361" s="2" t="n">
        <v>7.2</v>
      </c>
      <c r="AX361" s="2" t="inlineStr">
        <is>
          <t>NA</t>
        </is>
      </c>
      <c r="AY361" s="2" t="inlineStr">
        <is>
          <t>NA</t>
        </is>
      </c>
      <c r="AZ361" s="2" t="inlineStr">
        <is>
          <t>NA</t>
        </is>
      </c>
      <c r="BA361" s="2" t="inlineStr">
        <is>
          <t>NA</t>
        </is>
      </c>
      <c r="BB361" s="2" t="inlineStr">
        <is>
          <t>NA</t>
        </is>
      </c>
      <c r="BD361" s="2" t="n">
        <v>127.1</v>
      </c>
      <c r="BE361" s="2" t="n">
        <v>35.6</v>
      </c>
      <c r="BF361" s="2" t="n">
        <v>63.4</v>
      </c>
      <c r="BG361" s="2" t="n">
        <v>7</v>
      </c>
      <c r="BH361" s="2" t="n">
        <v>269</v>
      </c>
      <c r="BI361" s="2" t="n">
        <v>118.1</v>
      </c>
      <c r="BJ361" s="2" t="n">
        <v>103.4</v>
      </c>
      <c r="BK361" s="2" t="n">
        <v>221.4</v>
      </c>
      <c r="BM361" s="2" t="n">
        <v>490.4</v>
      </c>
      <c r="BN361" s="2" t="n">
        <v>115.6</v>
      </c>
      <c r="BO361" s="2" t="n">
        <v>95.8</v>
      </c>
      <c r="BP361" s="2" t="n">
        <v>62.9</v>
      </c>
      <c r="BQ361" s="2" t="n">
        <v>158.7</v>
      </c>
      <c r="BS361" s="2" t="n">
        <v>274.3</v>
      </c>
      <c r="BT361" s="2" t="n">
        <v>25.2</v>
      </c>
      <c r="BU361" s="2" t="n">
        <v>23.9</v>
      </c>
      <c r="BV361" s="2" t="inlineStr">
        <is>
          <t>NA</t>
        </is>
      </c>
      <c r="BW361" s="2" t="inlineStr">
        <is>
          <t>NA</t>
        </is>
      </c>
      <c r="BX361" s="2" t="n">
        <v>412.1</v>
      </c>
      <c r="BY361" s="2" t="inlineStr">
        <is>
          <t>NA</t>
        </is>
      </c>
      <c r="BZ361" s="2" t="inlineStr">
        <is>
          <t>NA</t>
        </is>
      </c>
      <c r="CA361" s="2" t="n">
        <v>68</v>
      </c>
      <c r="CB361" s="2" t="n">
        <v>115.5</v>
      </c>
      <c r="CC361" s="2" t="n">
        <v>27.1</v>
      </c>
      <c r="CD361" s="2" t="n">
        <v>137.4</v>
      </c>
      <c r="CE361" s="2" t="n">
        <v>16.2</v>
      </c>
      <c r="CF361" s="2" t="n">
        <v>106.2</v>
      </c>
      <c r="CG361" s="2" t="n">
        <v>109.8</v>
      </c>
      <c r="CH361" s="2" t="n">
        <v>5.6</v>
      </c>
      <c r="CI361" s="2" t="n">
        <v>33.5</v>
      </c>
      <c r="CJ361" s="2" t="n">
        <v>6.4</v>
      </c>
      <c r="CK361" s="2" t="n">
        <v>131.9</v>
      </c>
      <c r="CL361" s="2" t="n">
        <v>20.9</v>
      </c>
      <c r="CN361" s="2" t="n">
        <v>65.40000000000001</v>
      </c>
      <c r="CO361" s="2" t="n">
        <v>103</v>
      </c>
      <c r="CP361" s="2" t="n">
        <v>68.2</v>
      </c>
      <c r="CQ361" s="2" t="n">
        <v>34.8</v>
      </c>
      <c r="CR361" s="2" t="inlineStr">
        <is>
          <t>NA</t>
        </is>
      </c>
      <c r="CS361" s="2" t="n">
        <v>82.40000000000001</v>
      </c>
      <c r="CT361" s="2" t="inlineStr">
        <is>
          <t>(D)</t>
        </is>
      </c>
      <c r="CU361" s="2" t="inlineStr">
        <is>
          <t>(D)</t>
        </is>
      </c>
      <c r="CV361" s="2" t="n">
        <v>202.4</v>
      </c>
      <c r="CW361" s="2" t="inlineStr">
        <is>
          <t>(D)</t>
        </is>
      </c>
      <c r="CX361" s="2" t="inlineStr">
        <is>
          <t>(D)</t>
        </is>
      </c>
      <c r="CY361" s="2" t="inlineStr">
        <is>
          <t>(D)</t>
        </is>
      </c>
      <c r="CZ361" s="2" t="n">
        <v>77.5</v>
      </c>
      <c r="DA361" s="2" t="n">
        <v>35.4</v>
      </c>
      <c r="DB361" s="2" t="inlineStr">
        <is>
          <t>(D)</t>
        </is>
      </c>
      <c r="DC361" s="2" t="inlineStr">
        <is>
          <t>(D)</t>
        </is>
      </c>
      <c r="DI361" s="2" t="n">
        <v>440.4</v>
      </c>
      <c r="DJ361" s="2" t="n">
        <v>392.5</v>
      </c>
      <c r="DK361" s="2" t="n">
        <v>845.7</v>
      </c>
      <c r="DM361" s="2" t="n">
        <v>431.2</v>
      </c>
      <c r="DO361" s="2" t="n">
        <v>194.9</v>
      </c>
      <c r="DP361" s="2" t="n">
        <v>206.5</v>
      </c>
      <c r="DS361" s="2" t="n">
        <v>1083.8062</v>
      </c>
      <c r="DT361" s="2" t="n">
        <v>3595</v>
      </c>
      <c r="DU361" s="2" t="n">
        <v>0.006199999999807915</v>
      </c>
      <c r="DV361" s="2" t="n">
        <v>0</v>
      </c>
      <c r="EA361" s="2" t="n">
        <v>196.5</v>
      </c>
      <c r="EB361" s="2" t="n">
        <v>189.2</v>
      </c>
      <c r="EC361" s="2" t="n">
        <v>265.3</v>
      </c>
      <c r="EE361" s="2" t="n">
        <v>138.2</v>
      </c>
      <c r="EG361" s="2" t="inlineStr">
        <is>
          <t>(D)</t>
        </is>
      </c>
      <c r="EH361" s="2" t="inlineStr">
        <is>
          <t>(D)</t>
        </is>
      </c>
      <c r="EK361" s="2" t="n">
        <v>395.135</v>
      </c>
      <c r="EL361" s="2" t="n">
        <v>1354.8</v>
      </c>
      <c r="EQ361" s="2" t="n">
        <v>168.6</v>
      </c>
      <c r="ER361" s="2" t="n">
        <v>148.9</v>
      </c>
      <c r="ES361" s="2" t="n">
        <v>322.6</v>
      </c>
      <c r="EU361" s="2" t="n">
        <v>162.3</v>
      </c>
      <c r="EW361" s="2" t="n">
        <v>73.5</v>
      </c>
      <c r="EX361" s="2" t="n">
        <v>78.5</v>
      </c>
      <c r="FA361" s="2" t="n">
        <v>415.00465</v>
      </c>
      <c r="FB361" s="2" t="n">
        <v>1369.4</v>
      </c>
      <c r="FG361" s="2" t="n">
        <v>346.4</v>
      </c>
      <c r="FH361" s="2" t="n">
        <v>311.1</v>
      </c>
      <c r="FI361" s="2" t="n">
        <v>663.9</v>
      </c>
      <c r="FK361" s="2" t="n">
        <v>343.2</v>
      </c>
      <c r="FM361" s="2" t="n">
        <v>155.6</v>
      </c>
      <c r="FN361" s="2" t="n">
        <v>167.3</v>
      </c>
      <c r="FQ361" s="2" t="n">
        <v>864.7189999999999</v>
      </c>
      <c r="FR361" s="2" t="n">
        <v>2852.1</v>
      </c>
      <c r="FW361" s="2" t="n">
        <v>280.5</v>
      </c>
      <c r="FX361" s="2" t="n">
        <v>136.7</v>
      </c>
      <c r="FY361" s="2" t="n">
        <v>297.6</v>
      </c>
      <c r="GA361" s="2" t="n">
        <v>49.2</v>
      </c>
      <c r="GC361" s="2" t="inlineStr">
        <is>
          <t>(D)</t>
        </is>
      </c>
      <c r="GD361" s="2" t="inlineStr">
        <is>
          <t>(D)</t>
        </is>
      </c>
      <c r="GG361" s="2" t="n">
        <v>469.9690000000001</v>
      </c>
      <c r="GH361" s="2" t="n">
        <v>1333.5</v>
      </c>
      <c r="GM361" s="2" t="n">
        <v>50.7</v>
      </c>
      <c r="GN361" s="2" t="n">
        <v>32.5</v>
      </c>
      <c r="GO361" s="2" t="n">
        <v>61.5</v>
      </c>
      <c r="GQ361" s="2" t="n">
        <v>32.6</v>
      </c>
      <c r="GS361" s="2" t="n">
        <v>6.6</v>
      </c>
      <c r="GT361" s="2" t="n">
        <v>6.5</v>
      </c>
      <c r="GW361" s="2" t="n">
        <v>126.475</v>
      </c>
      <c r="GX361" s="2" t="n">
        <v>316.9</v>
      </c>
      <c r="GY361" s="2" t="n">
        <v>0.9786040548120842</v>
      </c>
      <c r="GZ361" s="2" t="n">
        <v>1221.2</v>
      </c>
      <c r="HA361" s="2" t="n">
        <v>1247.9</v>
      </c>
      <c r="HB361" s="2" t="n">
        <v>-26.8467757150006</v>
      </c>
      <c r="HC361" s="2" t="n">
        <v>-166.1284803892008</v>
      </c>
      <c r="HD361" s="2" t="n">
        <v>1386.053224284999</v>
      </c>
      <c r="HE361" s="2" t="n">
        <v>-287.3999999999999</v>
      </c>
      <c r="HF361" s="2" t="n">
        <v>1412.9</v>
      </c>
      <c r="HG361" s="2" t="n">
        <v>1213.2</v>
      </c>
      <c r="HH361" s="2" t="n">
        <v>355.3</v>
      </c>
      <c r="HI361" s="2" t="inlineStr">
        <is>
          <t>(D)</t>
        </is>
      </c>
      <c r="HJ361" s="2" t="n">
        <v>785.6</v>
      </c>
      <c r="HK361" s="2" t="inlineStr">
        <is>
          <t>(D)</t>
        </is>
      </c>
      <c r="HL361" s="2" t="n">
        <v>199.7</v>
      </c>
      <c r="HM361" s="2" t="n">
        <v>174.8</v>
      </c>
      <c r="HN361" s="2" t="n">
        <v>97.09999999999999</v>
      </c>
      <c r="HO361" s="2" t="n">
        <v>77.7</v>
      </c>
      <c r="HQ361" s="2" t="inlineStr">
        <is>
          <t>(S)</t>
        </is>
      </c>
      <c r="HR361" s="2" t="inlineStr">
        <is>
          <t>(S)</t>
        </is>
      </c>
      <c r="HT361" s="2" t="n">
        <v>15.5</v>
      </c>
      <c r="HW361" s="2" t="n">
        <v>298.7</v>
      </c>
      <c r="HX361" s="2" t="inlineStr">
        <is>
          <t>-</t>
        </is>
      </c>
      <c r="HY361" s="2" t="n">
        <v>298.7</v>
      </c>
      <c r="HZ361" s="2" t="n">
        <v>64.5</v>
      </c>
      <c r="IA361" s="2" t="n">
        <v>125.7</v>
      </c>
      <c r="IB361" s="2" t="n">
        <v>23.6</v>
      </c>
      <c r="IC361" s="2" t="n">
        <v>102.1</v>
      </c>
      <c r="ID361" s="2" t="n">
        <v>63.4</v>
      </c>
      <c r="IE361" s="2" t="n">
        <v>38.7</v>
      </c>
      <c r="IH361" s="2" t="n">
        <v>77.685</v>
      </c>
      <c r="II361" s="2" t="n">
        <v>14.897</v>
      </c>
      <c r="IJ361" s="2" t="n">
        <v>43.188</v>
      </c>
      <c r="IK361" s="2" t="n">
        <v>19.6</v>
      </c>
      <c r="IL361" s="2" t="n">
        <v>30.81499999999998</v>
      </c>
      <c r="IN361" s="2" t="n">
        <v>39.2</v>
      </c>
      <c r="IO361" s="2" t="n">
        <v>39.3</v>
      </c>
      <c r="IP361" s="2" t="n">
        <v>48.555</v>
      </c>
      <c r="IQ361" s="2" t="n">
        <v>48.6</v>
      </c>
      <c r="IR361" s="2" t="n">
        <v>9.298</v>
      </c>
      <c r="IT361" s="2" t="n">
        <v>38.1</v>
      </c>
      <c r="IU361" s="2" t="inlineStr">
        <is>
          <t>(D)</t>
        </is>
      </c>
      <c r="IV361" s="2" t="n">
        <v>0.076</v>
      </c>
      <c r="IW361" s="2" t="inlineStr">
        <is>
          <t>(D)</t>
        </is>
      </c>
      <c r="IX361" s="2" t="inlineStr">
        <is>
          <t>(D)</t>
        </is>
      </c>
      <c r="IY361" s="2" t="n">
        <v>47.51098748261474</v>
      </c>
      <c r="IZ361" s="2" t="n">
        <v>0.09098748261474299</v>
      </c>
      <c r="JB361" s="2" t="n">
        <v>11.42753824756607</v>
      </c>
      <c r="JC361" s="2" t="n">
        <v>-0.1024617524339337</v>
      </c>
      <c r="JE361" s="2" t="n">
        <v>3134</v>
      </c>
      <c r="JF361" s="2" t="n">
        <v>0.804126356094448</v>
      </c>
    </row>
    <row r="362">
      <c r="A362" s="1" t="n">
        <v>40057</v>
      </c>
      <c r="B362" s="2" t="n">
        <v>3399.8</v>
      </c>
      <c r="C362" s="2" t="n">
        <v>946.1</v>
      </c>
      <c r="D362" s="2" t="n">
        <v>92.8</v>
      </c>
      <c r="E362" s="2" t="n">
        <v>393.8</v>
      </c>
      <c r="F362" s="2" t="n">
        <v>16.6</v>
      </c>
      <c r="G362" s="2" t="inlineStr">
        <is>
          <t>NA</t>
        </is>
      </c>
      <c r="H362" s="2" t="inlineStr">
        <is>
          <t>NA</t>
        </is>
      </c>
      <c r="I362" s="2" t="inlineStr">
        <is>
          <t>NA</t>
        </is>
      </c>
      <c r="J362" s="2" t="inlineStr">
        <is>
          <t>NA</t>
        </is>
      </c>
      <c r="K362" s="2" t="n">
        <v>1299.9</v>
      </c>
      <c r="L362" s="2" t="n">
        <v>2860.5</v>
      </c>
      <c r="M362" s="2" t="n">
        <v>2612.5</v>
      </c>
      <c r="N362" s="2" t="n">
        <v>248</v>
      </c>
      <c r="O362" s="2" t="n">
        <v>35.5</v>
      </c>
      <c r="P362" s="2" t="n">
        <v>121.1</v>
      </c>
      <c r="Q362" s="2" t="n">
        <v>64.5</v>
      </c>
      <c r="R362" s="2" t="n">
        <v>56.6</v>
      </c>
      <c r="T362" s="2" t="n">
        <v>12.5</v>
      </c>
      <c r="U362" s="2" t="n">
        <v>22.9</v>
      </c>
      <c r="V362" s="2" t="n">
        <v>18.9</v>
      </c>
      <c r="W362" s="2" t="n">
        <v>4</v>
      </c>
      <c r="X362" s="2" t="inlineStr">
        <is>
          <t>NA</t>
        </is>
      </c>
      <c r="Y362" s="2" t="inlineStr">
        <is>
          <t>(D)</t>
        </is>
      </c>
      <c r="Z362" s="2" t="n">
        <v>111.1</v>
      </c>
      <c r="AA362" s="2" t="inlineStr">
        <is>
          <t>(D)</t>
        </is>
      </c>
      <c r="AB362" s="2" t="inlineStr">
        <is>
          <t>(D)</t>
        </is>
      </c>
      <c r="AC362" s="2" t="inlineStr">
        <is>
          <t>NA</t>
        </is>
      </c>
      <c r="AD362" s="2" t="n">
        <v>86</v>
      </c>
      <c r="AE362" s="2" t="n">
        <v>86.7</v>
      </c>
      <c r="AF362" s="2" t="n">
        <v>171.8</v>
      </c>
      <c r="AG362" s="2" t="n">
        <v>118.9</v>
      </c>
      <c r="AH362" s="2" t="n">
        <v>52.9</v>
      </c>
      <c r="AI362" s="2" t="n">
        <v>215.8</v>
      </c>
      <c r="AJ362" s="2" t="n">
        <v>212.8</v>
      </c>
      <c r="AK362" s="2" t="n">
        <v>3</v>
      </c>
      <c r="AL362" s="2" t="n">
        <v>285.8</v>
      </c>
      <c r="AM362" s="2" t="n">
        <v>212.2</v>
      </c>
      <c r="AN362" s="2" t="n">
        <v>73.59999999999999</v>
      </c>
      <c r="AO362" s="2" t="n">
        <v>2482.7</v>
      </c>
      <c r="AP362" s="2" t="n">
        <v>206.8</v>
      </c>
      <c r="AQ362" s="2" t="n">
        <v>200.9</v>
      </c>
      <c r="AR362" s="2" t="n">
        <v>27.9</v>
      </c>
      <c r="AS362" s="2" t="n">
        <v>48.9</v>
      </c>
      <c r="AT362" s="2" t="n">
        <v>17.3</v>
      </c>
      <c r="AU362" s="2" t="n">
        <v>35.4</v>
      </c>
      <c r="AV362" s="2" t="n">
        <v>29.1</v>
      </c>
      <c r="AW362" s="2" t="n">
        <v>8.300000000000001</v>
      </c>
      <c r="AX362" s="2" t="inlineStr">
        <is>
          <t>NA</t>
        </is>
      </c>
      <c r="AY362" s="2" t="inlineStr">
        <is>
          <t>NA</t>
        </is>
      </c>
      <c r="AZ362" s="2" t="inlineStr">
        <is>
          <t>NA</t>
        </is>
      </c>
      <c r="BA362" s="2" t="inlineStr">
        <is>
          <t>NA</t>
        </is>
      </c>
      <c r="BB362" s="2" t="inlineStr">
        <is>
          <t>NA</t>
        </is>
      </c>
      <c r="BD362" s="2" t="n">
        <v>176.9</v>
      </c>
      <c r="BE362" s="2" t="n">
        <v>47.5</v>
      </c>
      <c r="BF362" s="2" t="n">
        <v>64.40000000000001</v>
      </c>
      <c r="BG362" s="2" t="n">
        <v>7.3</v>
      </c>
      <c r="BH362" s="2" t="n">
        <v>291.5</v>
      </c>
      <c r="BI362" s="2" t="n">
        <v>128.6</v>
      </c>
      <c r="BJ362" s="2" t="n">
        <v>117.6</v>
      </c>
      <c r="BK362" s="2" t="n">
        <v>246.2</v>
      </c>
      <c r="BM362" s="2" t="n">
        <v>537.7</v>
      </c>
      <c r="BN362" s="2" t="n">
        <v>165.3</v>
      </c>
      <c r="BO362" s="2" t="n">
        <v>101.3</v>
      </c>
      <c r="BP362" s="2" t="n">
        <v>58.5</v>
      </c>
      <c r="BQ362" s="2" t="n">
        <v>159.7</v>
      </c>
      <c r="BS362" s="2" t="n">
        <v>325</v>
      </c>
      <c r="BT362" s="2" t="n">
        <v>31.2</v>
      </c>
      <c r="BU362" s="2" t="n">
        <v>30.3</v>
      </c>
      <c r="BV362" s="2" t="inlineStr">
        <is>
          <t>NA</t>
        </is>
      </c>
      <c r="BW362" s="2" t="inlineStr">
        <is>
          <t>NA</t>
        </is>
      </c>
      <c r="BX362" s="2" t="n">
        <v>440.6</v>
      </c>
      <c r="BY362" s="2" t="inlineStr">
        <is>
          <t>NA</t>
        </is>
      </c>
      <c r="BZ362" s="2" t="inlineStr">
        <is>
          <t>NA</t>
        </is>
      </c>
      <c r="CA362" s="2" t="n">
        <v>70.40000000000001</v>
      </c>
      <c r="CB362" s="2" t="n">
        <v>116.6</v>
      </c>
      <c r="CC362" s="2" t="n">
        <v>21</v>
      </c>
      <c r="CD362" s="2" t="n">
        <v>138.6</v>
      </c>
      <c r="CE362" s="2" t="n">
        <v>17.6</v>
      </c>
      <c r="CF362" s="2" t="n">
        <v>101.4</v>
      </c>
      <c r="CG362" s="2" t="n">
        <v>99.3</v>
      </c>
      <c r="CH362" s="2" t="n">
        <v>5.1</v>
      </c>
      <c r="CI362" s="2" t="n">
        <v>34</v>
      </c>
      <c r="CJ362" s="2" t="n">
        <v>16.3</v>
      </c>
      <c r="CK362" s="2" t="n">
        <v>136.1</v>
      </c>
      <c r="CL362" s="2" t="n">
        <v>22</v>
      </c>
      <c r="CN362" s="2" t="n">
        <v>52.9</v>
      </c>
      <c r="CO362" s="2" t="n">
        <v>183</v>
      </c>
      <c r="CP362" s="2" t="n">
        <v>128</v>
      </c>
      <c r="CQ362" s="2" t="n">
        <v>55.1</v>
      </c>
      <c r="CR362" s="2" t="inlineStr">
        <is>
          <t>NA</t>
        </is>
      </c>
      <c r="CS362" s="2" t="n">
        <v>40.3</v>
      </c>
      <c r="CT362" s="2" t="inlineStr">
        <is>
          <t>(D)</t>
        </is>
      </c>
      <c r="CU362" s="2" t="inlineStr">
        <is>
          <t>(D)</t>
        </is>
      </c>
      <c r="CV362" s="2" t="n">
        <v>285.7</v>
      </c>
      <c r="CW362" s="2" t="inlineStr">
        <is>
          <t>(D)</t>
        </is>
      </c>
      <c r="CX362" s="2" t="inlineStr">
        <is>
          <t>(D)</t>
        </is>
      </c>
      <c r="CY362" s="2" t="inlineStr">
        <is>
          <t>(D)</t>
        </is>
      </c>
      <c r="CZ362" s="2" t="n">
        <v>76.2</v>
      </c>
      <c r="DA362" s="2" t="n">
        <v>25.7</v>
      </c>
      <c r="DB362" s="2" t="inlineStr">
        <is>
          <t>(D)</t>
        </is>
      </c>
      <c r="DC362" s="2" t="inlineStr">
        <is>
          <t>(D)</t>
        </is>
      </c>
      <c r="DI362" s="2" t="n">
        <v>444.7</v>
      </c>
      <c r="DJ362" s="2" t="n">
        <v>458.4</v>
      </c>
      <c r="DK362" s="2" t="n">
        <v>760.3</v>
      </c>
      <c r="DM362" s="2" t="n">
        <v>395.7</v>
      </c>
      <c r="DO362" s="2" t="n">
        <v>122.9</v>
      </c>
      <c r="DP362" s="2" t="n">
        <v>192.9</v>
      </c>
      <c r="DS362" s="2" t="n">
        <v>1024.9034</v>
      </c>
      <c r="DT362" s="2" t="n">
        <v>3399.8</v>
      </c>
      <c r="DU362" s="2" t="n">
        <v>0.003399999999601278</v>
      </c>
      <c r="DV362" s="2" t="n">
        <v>0</v>
      </c>
      <c r="EA362" s="2" t="n">
        <v>136.1</v>
      </c>
      <c r="EB362" s="2" t="n">
        <v>94.7</v>
      </c>
      <c r="EC362" s="2" t="n">
        <v>263.6</v>
      </c>
      <c r="EE362" s="2" t="n">
        <v>128.6</v>
      </c>
      <c r="EG362" s="2" t="inlineStr">
        <is>
          <t>(D)</t>
        </is>
      </c>
      <c r="EH362" s="2" t="inlineStr">
        <is>
          <t>(D)</t>
        </is>
      </c>
      <c r="EK362" s="2" t="n">
        <v>245</v>
      </c>
      <c r="EL362" s="2" t="n">
        <v>946.1</v>
      </c>
      <c r="EQ362" s="2" t="n">
        <v>170.1</v>
      </c>
      <c r="ER362" s="2" t="n">
        <v>178.5</v>
      </c>
      <c r="ES362" s="2" t="n">
        <v>289.2</v>
      </c>
      <c r="EU362" s="2" t="n">
        <v>150.2</v>
      </c>
      <c r="EW362" s="2" t="n">
        <v>46.3</v>
      </c>
      <c r="EX362" s="2" t="n">
        <v>74.3</v>
      </c>
      <c r="FA362" s="2" t="n">
        <v>391.2494</v>
      </c>
      <c r="FB362" s="2" t="n">
        <v>1299.9</v>
      </c>
      <c r="FG362" s="2" t="n">
        <v>360.1</v>
      </c>
      <c r="FH362" s="2" t="n">
        <v>366.7</v>
      </c>
      <c r="FI362" s="2" t="n">
        <v>591.2</v>
      </c>
      <c r="FK362" s="2" t="n">
        <v>311.6</v>
      </c>
      <c r="FM362" s="2" t="n">
        <v>97.40000000000001</v>
      </c>
      <c r="FN362" s="2" t="n">
        <v>158.8</v>
      </c>
      <c r="FQ362" s="2" t="n">
        <v>803.1970999999999</v>
      </c>
      <c r="FR362" s="2" t="n">
        <v>2689</v>
      </c>
      <c r="FW362" s="2" t="n">
        <v>214.4</v>
      </c>
      <c r="FX362" s="2" t="n">
        <v>119.9</v>
      </c>
      <c r="FY362" s="2" t="n">
        <v>268.3</v>
      </c>
      <c r="GA362" s="2" t="n">
        <v>40.8</v>
      </c>
      <c r="GC362" s="2" t="inlineStr">
        <is>
          <t>(D)</t>
        </is>
      </c>
      <c r="GD362" s="2" t="inlineStr">
        <is>
          <t>(D)</t>
        </is>
      </c>
      <c r="GG362" s="2" t="n">
        <v>443.2619999999999</v>
      </c>
      <c r="GH362" s="2" t="n">
        <v>1162.8</v>
      </c>
      <c r="GM362" s="2" t="n">
        <v>29.6</v>
      </c>
      <c r="GN362" s="2" t="n">
        <v>19.4</v>
      </c>
      <c r="GO362" s="2" t="n">
        <v>62.3</v>
      </c>
      <c r="GQ362" s="2" t="n">
        <v>24.3</v>
      </c>
      <c r="GS362" s="2" t="inlineStr">
        <is>
          <t>(D)</t>
        </is>
      </c>
      <c r="GT362" s="2" t="inlineStr">
        <is>
          <t>(D)</t>
        </is>
      </c>
      <c r="GW362" s="2" t="n">
        <v>89.47099999999999</v>
      </c>
      <c r="GX362" s="2" t="n">
        <v>234.7</v>
      </c>
      <c r="GY362" s="2" t="n">
        <v>0.9783665151277631</v>
      </c>
      <c r="GZ362" s="2" t="n">
        <v>1248.2</v>
      </c>
      <c r="HA362" s="2" t="n">
        <v>1275.8</v>
      </c>
      <c r="HB362" s="2" t="n">
        <v>-14.93000726680043</v>
      </c>
      <c r="HC362" s="2" t="n">
        <v>-52.05438460700043</v>
      </c>
      <c r="HD362" s="2" t="n">
        <v>1417.2699927332</v>
      </c>
      <c r="HE362" s="2" t="n">
        <v>-202.5999999999999</v>
      </c>
      <c r="HF362" s="2" t="n">
        <v>1432.2</v>
      </c>
      <c r="HG362" s="2" t="n">
        <v>1184.8</v>
      </c>
      <c r="HH362" s="2" t="n">
        <v>317.2</v>
      </c>
      <c r="HI362" s="2" t="inlineStr">
        <is>
          <t>(D)</t>
        </is>
      </c>
      <c r="HJ362" s="2" t="n">
        <v>791.1</v>
      </c>
      <c r="HK362" s="2" t="inlineStr">
        <is>
          <t>(D)</t>
        </is>
      </c>
      <c r="HL362" s="2" t="n">
        <v>247.3</v>
      </c>
      <c r="HM362" s="2" t="n">
        <v>223</v>
      </c>
      <c r="HN362" s="2" t="n">
        <v>122.5</v>
      </c>
      <c r="HO362" s="2" t="n">
        <v>100.5</v>
      </c>
      <c r="HQ362" s="2" t="inlineStr">
        <is>
          <t>(S)</t>
        </is>
      </c>
      <c r="HR362" s="2" t="inlineStr">
        <is>
          <t>(S)</t>
        </is>
      </c>
      <c r="HT362" s="2" t="n">
        <v>15</v>
      </c>
      <c r="HW362" s="2" t="n">
        <v>303.4</v>
      </c>
      <c r="HX362" s="2" t="inlineStr">
        <is>
          <t>-</t>
        </is>
      </c>
      <c r="HY362" s="2" t="n">
        <v>303.4</v>
      </c>
      <c r="HZ362" s="2" t="n">
        <v>67.2</v>
      </c>
      <c r="IA362" s="2" t="n">
        <v>145.8</v>
      </c>
      <c r="IB362" s="2" t="n">
        <v>32.5</v>
      </c>
      <c r="IC362" s="2" t="n">
        <v>113.2</v>
      </c>
      <c r="ID362" s="2" t="n">
        <v>71.5</v>
      </c>
      <c r="IE362" s="2" t="n">
        <v>41.7</v>
      </c>
      <c r="IH362" s="2" t="n">
        <v>56.651</v>
      </c>
      <c r="II362" s="2" t="n">
        <v>18.367</v>
      </c>
      <c r="IJ362" s="2" t="n">
        <v>21.484</v>
      </c>
      <c r="IK362" s="2" t="n">
        <v>16.8</v>
      </c>
      <c r="IL362" s="2" t="n">
        <v>33.74899999999997</v>
      </c>
      <c r="IN362" s="2" t="n">
        <v>37.5</v>
      </c>
      <c r="IO362" s="2" t="n">
        <v>37.5</v>
      </c>
      <c r="IP362" s="2" t="n">
        <v>51.09</v>
      </c>
      <c r="IQ362" s="2" t="n">
        <v>51</v>
      </c>
      <c r="IR362" s="2" t="inlineStr">
        <is>
          <t>(D)</t>
        </is>
      </c>
      <c r="IT362" s="2" t="n">
        <v>40</v>
      </c>
      <c r="IU362" s="2" t="inlineStr">
        <is>
          <t>(D)</t>
        </is>
      </c>
      <c r="IV362" s="2" t="n">
        <v>0.074</v>
      </c>
      <c r="IW362" s="2" t="inlineStr">
        <is>
          <t>(D)</t>
        </is>
      </c>
      <c r="IX362" s="2" t="inlineStr">
        <is>
          <t>(D)</t>
        </is>
      </c>
      <c r="IY362" s="2" t="n">
        <v>47.36043296664509</v>
      </c>
      <c r="IZ362" s="2" t="n">
        <v>0.4204329666450946</v>
      </c>
      <c r="JB362" s="2" t="n">
        <v>11.47038061062415</v>
      </c>
      <c r="JC362" s="2" t="n">
        <v>-0.07961938937584634</v>
      </c>
      <c r="JE362" s="2" t="n">
        <v>2860.5</v>
      </c>
      <c r="JF362" s="2" t="n">
        <v>0.7907512672609683</v>
      </c>
    </row>
    <row r="363">
      <c r="A363" s="1" t="n">
        <v>40087</v>
      </c>
      <c r="B363" s="2" t="n">
        <v>4891.5</v>
      </c>
      <c r="C363" s="2" t="n">
        <v>2976.8</v>
      </c>
      <c r="D363" s="2" t="n">
        <v>131.2</v>
      </c>
      <c r="E363" s="2" t="n">
        <v>501.3</v>
      </c>
      <c r="F363" s="2" t="n">
        <v>19.1</v>
      </c>
      <c r="G363" s="2" t="inlineStr">
        <is>
          <t>NA</t>
        </is>
      </c>
      <c r="H363" s="2" t="inlineStr">
        <is>
          <t>NA</t>
        </is>
      </c>
      <c r="I363" s="2" t="inlineStr">
        <is>
          <t>NA</t>
        </is>
      </c>
      <c r="J363" s="2" t="inlineStr">
        <is>
          <t>NA</t>
        </is>
      </c>
      <c r="K363" s="2" t="n">
        <v>1825.2</v>
      </c>
      <c r="L363" s="2" t="n">
        <v>2809.4</v>
      </c>
      <c r="M363" s="2" t="n">
        <v>2547.7</v>
      </c>
      <c r="N363" s="2" t="n">
        <v>261.7</v>
      </c>
      <c r="O363" s="2" t="n">
        <v>38.3</v>
      </c>
      <c r="P363" s="2" t="n">
        <v>99.3</v>
      </c>
      <c r="Q363" s="2" t="n">
        <v>50.8</v>
      </c>
      <c r="R363" s="2" t="n">
        <v>48.5</v>
      </c>
      <c r="T363" s="2" t="n">
        <v>15.1</v>
      </c>
      <c r="U363" s="2" t="n">
        <v>31.8</v>
      </c>
      <c r="V363" s="2" t="n">
        <v>28</v>
      </c>
      <c r="W363" s="2" t="n">
        <v>3.8</v>
      </c>
      <c r="X363" s="2" t="inlineStr">
        <is>
          <t>NA</t>
        </is>
      </c>
      <c r="Y363" s="2" t="inlineStr">
        <is>
          <t>(D)</t>
        </is>
      </c>
      <c r="Z363" s="2" t="n">
        <v>131.2</v>
      </c>
      <c r="AA363" s="2" t="n">
        <v>118.858</v>
      </c>
      <c r="AB363" s="2" t="n">
        <v>11.871</v>
      </c>
      <c r="AC363" s="2" t="inlineStr">
        <is>
          <t>NA</t>
        </is>
      </c>
      <c r="AD363" s="2" t="n">
        <v>162.4</v>
      </c>
      <c r="AE363" s="2" t="n">
        <v>160.5</v>
      </c>
      <c r="AF363" s="2" t="n">
        <v>224.6</v>
      </c>
      <c r="AG363" s="2" t="n">
        <v>119.7</v>
      </c>
      <c r="AH363" s="2" t="n">
        <v>104.9</v>
      </c>
      <c r="AI363" s="2" t="n">
        <v>212.9</v>
      </c>
      <c r="AJ363" s="2" t="n">
        <v>209.9</v>
      </c>
      <c r="AK363" s="2" t="n">
        <v>3</v>
      </c>
      <c r="AL363" s="2" t="n">
        <v>218.9</v>
      </c>
      <c r="AM363" s="2" t="n">
        <v>135.4</v>
      </c>
      <c r="AN363" s="2" t="n">
        <v>83.5</v>
      </c>
      <c r="AO363" s="2" t="n">
        <v>3578.7</v>
      </c>
      <c r="AP363" s="2" t="n">
        <v>401</v>
      </c>
      <c r="AQ363" s="2" t="n">
        <v>267</v>
      </c>
      <c r="AR363" s="2" t="n">
        <v>44</v>
      </c>
      <c r="AS363" s="2" t="n">
        <v>60.9</v>
      </c>
      <c r="AT363" s="2" t="n">
        <v>14.4</v>
      </c>
      <c r="AU363" s="2" t="n">
        <v>40.7</v>
      </c>
      <c r="AV363" s="2" t="n">
        <v>25</v>
      </c>
      <c r="AW363" s="2" t="n">
        <v>9.699999999999999</v>
      </c>
      <c r="AX363" s="2" t="inlineStr">
        <is>
          <t>NA</t>
        </is>
      </c>
      <c r="AY363" s="2" t="inlineStr">
        <is>
          <t>NA</t>
        </is>
      </c>
      <c r="AZ363" s="2" t="inlineStr">
        <is>
          <t>NA</t>
        </is>
      </c>
      <c r="BA363" s="2" t="inlineStr">
        <is>
          <t>NA</t>
        </is>
      </c>
      <c r="BB363" s="2" t="inlineStr">
        <is>
          <t>NA</t>
        </is>
      </c>
      <c r="BD363" s="2" t="n">
        <v>163.4</v>
      </c>
      <c r="BE363" s="2" t="n">
        <v>43.4</v>
      </c>
      <c r="BF363" s="2" t="n">
        <v>67.3</v>
      </c>
      <c r="BG363" s="2" t="n">
        <v>8.300000000000001</v>
      </c>
      <c r="BH363" s="2" t="n">
        <v>290.5</v>
      </c>
      <c r="BI363" s="2" t="n">
        <v>131.7</v>
      </c>
      <c r="BJ363" s="2" t="n">
        <v>109.3</v>
      </c>
      <c r="BK363" s="2" t="n">
        <v>241</v>
      </c>
      <c r="BM363" s="2" t="n">
        <v>531.4</v>
      </c>
      <c r="BN363" s="2" t="n">
        <v>182.1</v>
      </c>
      <c r="BO363" s="2" t="n">
        <v>102</v>
      </c>
      <c r="BP363" s="2" t="n">
        <v>66.90000000000001</v>
      </c>
      <c r="BQ363" s="2" t="n">
        <v>169</v>
      </c>
      <c r="BS363" s="2" t="n">
        <v>351</v>
      </c>
      <c r="BT363" s="2" t="n">
        <v>30.6</v>
      </c>
      <c r="BU363" s="2" t="n">
        <v>23.1</v>
      </c>
      <c r="BV363" s="2" t="inlineStr">
        <is>
          <t>NA</t>
        </is>
      </c>
      <c r="BW363" s="2" t="inlineStr">
        <is>
          <t>NA</t>
        </is>
      </c>
      <c r="BX363" s="2" t="n">
        <v>439.8</v>
      </c>
      <c r="BY363" s="2" t="inlineStr">
        <is>
          <t>NA</t>
        </is>
      </c>
      <c r="BZ363" s="2" t="inlineStr">
        <is>
          <t>NA</t>
        </is>
      </c>
      <c r="CA363" s="2" t="n">
        <v>77.3</v>
      </c>
      <c r="CB363" s="2" t="n">
        <v>119.8</v>
      </c>
      <c r="CC363" s="2" t="n">
        <v>23.2</v>
      </c>
      <c r="CD363" s="2" t="n">
        <v>149.4</v>
      </c>
      <c r="CE363" s="2" t="n">
        <v>22.7</v>
      </c>
      <c r="CF363" s="2" t="n">
        <v>105.5</v>
      </c>
      <c r="CG363" s="2" t="n">
        <v>86.90000000000001</v>
      </c>
      <c r="CH363" s="2" t="n">
        <v>7.2</v>
      </c>
      <c r="CI363" s="2" t="n">
        <v>34.2</v>
      </c>
      <c r="CJ363" s="2" t="n">
        <v>6.9</v>
      </c>
      <c r="CK363" s="2" t="n">
        <v>142.5</v>
      </c>
      <c r="CL363" s="2" t="n">
        <v>20.8</v>
      </c>
      <c r="CN363" s="2" t="n">
        <v>52.4</v>
      </c>
      <c r="CO363" s="2" t="n">
        <v>159.8</v>
      </c>
      <c r="CP363" s="2" t="n">
        <v>118.3</v>
      </c>
      <c r="CQ363" s="2" t="n">
        <v>41.5</v>
      </c>
      <c r="CR363" s="2" t="inlineStr">
        <is>
          <t>NA</t>
        </is>
      </c>
      <c r="CS363" s="2" t="n">
        <v>53.8</v>
      </c>
      <c r="CT363" s="2" t="inlineStr">
        <is>
          <t>(D)</t>
        </is>
      </c>
      <c r="CU363" s="2" t="inlineStr">
        <is>
          <t>(D)</t>
        </is>
      </c>
      <c r="CV363" s="2" t="n">
        <v>235.7</v>
      </c>
      <c r="CW363" s="2" t="n">
        <v>19.286</v>
      </c>
      <c r="CX363" s="2" t="n">
        <v>216.276</v>
      </c>
      <c r="CY363" s="2" t="inlineStr">
        <is>
          <t>(D)</t>
        </is>
      </c>
      <c r="CZ363" s="2" t="n">
        <v>49.2</v>
      </c>
      <c r="DA363" s="2" t="n">
        <v>35.3</v>
      </c>
      <c r="DB363" s="2" t="inlineStr">
        <is>
          <t>(D)</t>
        </is>
      </c>
      <c r="DC363" s="2" t="inlineStr">
        <is>
          <t>(D)</t>
        </is>
      </c>
      <c r="DI363" s="2" t="n">
        <v>728.9</v>
      </c>
      <c r="DJ363" s="2" t="n">
        <v>681.3</v>
      </c>
      <c r="DK363" s="2" t="n">
        <v>1072.9</v>
      </c>
      <c r="DM363" s="2" t="n">
        <v>514.2</v>
      </c>
      <c r="DO363" s="2" t="n">
        <v>311.6</v>
      </c>
      <c r="DP363" s="2" t="n">
        <v>273.6</v>
      </c>
      <c r="DS363" s="2" t="n">
        <v>1308.97836</v>
      </c>
      <c r="DT363" s="2" t="n">
        <v>4891.5</v>
      </c>
      <c r="DU363" s="2" t="n">
        <v>-0.02163999999993393</v>
      </c>
      <c r="DV363" s="2" t="n">
        <v>0</v>
      </c>
      <c r="EA363" s="2" t="n">
        <v>401.8</v>
      </c>
      <c r="EB363" s="2" t="n">
        <v>711.9</v>
      </c>
      <c r="EC363" s="2" t="n">
        <v>480.9</v>
      </c>
      <c r="EE363" s="2" t="n">
        <v>277.6</v>
      </c>
      <c r="EG363" s="2" t="n">
        <v>114.4</v>
      </c>
      <c r="EH363" s="2" t="n">
        <v>223.5</v>
      </c>
      <c r="EK363" s="2" t="n">
        <v>766.662</v>
      </c>
      <c r="EL363" s="2" t="n">
        <v>2976.8</v>
      </c>
      <c r="EQ363" s="2" t="n">
        <v>269.6</v>
      </c>
      <c r="ER363" s="2" t="n">
        <v>251</v>
      </c>
      <c r="ES363" s="2" t="n">
        <v>399.9</v>
      </c>
      <c r="EU363" s="2" t="n">
        <v>191.8</v>
      </c>
      <c r="EW363" s="2" t="n">
        <v>113.3</v>
      </c>
      <c r="EX363" s="2" t="n">
        <v>100</v>
      </c>
      <c r="FA363" s="2" t="n">
        <v>499.67944</v>
      </c>
      <c r="FB363" s="2" t="n">
        <v>1825.2</v>
      </c>
      <c r="FG363" s="2" t="n">
        <v>582.8</v>
      </c>
      <c r="FH363" s="2" t="n">
        <v>537.9</v>
      </c>
      <c r="FI363" s="2" t="n">
        <v>835.8</v>
      </c>
      <c r="FK363" s="2" t="n">
        <v>392.2</v>
      </c>
      <c r="FM363" s="2" t="n">
        <v>255.4</v>
      </c>
      <c r="FN363" s="2" t="n">
        <v>214.6</v>
      </c>
      <c r="FQ363" s="2" t="n">
        <v>1034.00352</v>
      </c>
      <c r="FR363" s="2" t="n">
        <v>3852.7</v>
      </c>
      <c r="FW363" s="2" t="n">
        <v>232.9</v>
      </c>
      <c r="FX363" s="2" t="n">
        <v>116.5</v>
      </c>
      <c r="FY363" s="2" t="n">
        <v>273.6</v>
      </c>
      <c r="GA363" s="2" t="n">
        <v>35.3</v>
      </c>
      <c r="GC363" s="2" t="inlineStr">
        <is>
          <t>(D)</t>
        </is>
      </c>
      <c r="GD363" s="2" t="inlineStr">
        <is>
          <t>(D)</t>
        </is>
      </c>
      <c r="GG363" s="2" t="n">
        <v>423.3030000000001</v>
      </c>
      <c r="GH363" s="2" t="n">
        <v>1150</v>
      </c>
      <c r="GM363" s="2" t="n">
        <v>98</v>
      </c>
      <c r="GN363" s="2" t="n">
        <v>69.09999999999999</v>
      </c>
      <c r="GO363" s="2" t="n">
        <v>101.2</v>
      </c>
      <c r="GQ363" s="2" t="n">
        <v>33.1</v>
      </c>
      <c r="GS363" s="2" t="n">
        <v>14.7</v>
      </c>
      <c r="GT363" s="2" t="n">
        <v>6.9</v>
      </c>
      <c r="GW363" s="2" t="n">
        <v>123.1529999999999</v>
      </c>
      <c r="GX363" s="2" t="n">
        <v>446.2</v>
      </c>
      <c r="GY363" s="2" t="n">
        <v>0.9792775133015961</v>
      </c>
      <c r="GZ363" s="2" t="n">
        <v>1398.8</v>
      </c>
      <c r="HA363" s="2" t="n">
        <v>1428.4</v>
      </c>
      <c r="HB363" s="2" t="n">
        <v>-74.43023014480104</v>
      </c>
      <c r="HC363" s="2" t="n">
        <v>-131.107111894401</v>
      </c>
      <c r="HD363" s="2" t="n">
        <v>1552.069769855199</v>
      </c>
      <c r="HE363" s="2" t="n">
        <v>-108.7</v>
      </c>
      <c r="HF363" s="2" t="n">
        <v>1626.5</v>
      </c>
      <c r="HG363" s="2" t="n">
        <v>1357.5</v>
      </c>
      <c r="HH363" s="2" t="n">
        <v>363.7</v>
      </c>
      <c r="HI363" s="2" t="inlineStr">
        <is>
          <t>(D)</t>
        </is>
      </c>
      <c r="HJ363" s="2" t="n">
        <v>915.9</v>
      </c>
      <c r="HK363" s="2" t="inlineStr">
        <is>
          <t>(D)</t>
        </is>
      </c>
      <c r="HL363" s="2" t="n">
        <v>269.1</v>
      </c>
      <c r="HM363" s="2" t="n">
        <v>246.7</v>
      </c>
      <c r="HN363" s="2" t="n">
        <v>132.4</v>
      </c>
      <c r="HO363" s="2" t="n">
        <v>114.4</v>
      </c>
      <c r="HQ363" s="2" t="inlineStr">
        <is>
          <t>(S)</t>
        </is>
      </c>
      <c r="HR363" s="2" t="inlineStr">
        <is>
          <t>(S)</t>
        </is>
      </c>
      <c r="HT363" s="2" t="n">
        <v>14.9</v>
      </c>
      <c r="HW363" s="2" t="n">
        <v>295.8</v>
      </c>
      <c r="HX363" s="2" t="inlineStr">
        <is>
          <t>-</t>
        </is>
      </c>
      <c r="HY363" s="2" t="n">
        <v>295.8</v>
      </c>
      <c r="HZ363" s="2" t="n">
        <v>64</v>
      </c>
      <c r="IA363" s="2" t="n">
        <v>138.6</v>
      </c>
      <c r="IB363" s="2" t="n">
        <v>25.4</v>
      </c>
      <c r="IC363" s="2" t="n">
        <v>113.1</v>
      </c>
      <c r="ID363" s="2" t="n">
        <v>69.5</v>
      </c>
      <c r="IE363" s="2" t="n">
        <v>43.7</v>
      </c>
      <c r="IH363" s="2" t="n">
        <v>52.512</v>
      </c>
      <c r="II363" s="2" t="n">
        <v>15</v>
      </c>
      <c r="IJ363" s="2" t="n">
        <v>16.412</v>
      </c>
      <c r="IK363" s="2" t="n">
        <v>21.1</v>
      </c>
      <c r="IL363" s="2" t="n">
        <v>40.68800000000002</v>
      </c>
      <c r="IN363" s="2" t="n">
        <v>32.6</v>
      </c>
      <c r="IO363" s="2" t="n">
        <v>32.6</v>
      </c>
      <c r="IP363" s="2" t="inlineStr">
        <is>
          <t>(D)</t>
        </is>
      </c>
      <c r="IQ363" s="2" t="n">
        <v>56.3</v>
      </c>
      <c r="IR363" s="2" t="inlineStr">
        <is>
          <t>(D)</t>
        </is>
      </c>
      <c r="IT363" s="2" t="n">
        <v>46</v>
      </c>
      <c r="IU363" s="2" t="inlineStr">
        <is>
          <t>(D)</t>
        </is>
      </c>
      <c r="IV363" s="2" t="inlineStr">
        <is>
          <t>(D)</t>
        </is>
      </c>
      <c r="IW363" s="2" t="inlineStr">
        <is>
          <t>(D)</t>
        </is>
      </c>
      <c r="IX363" s="2" t="inlineStr">
        <is>
          <t>(D)</t>
        </is>
      </c>
      <c r="IY363" s="2" t="n">
        <v>47.17203311867524</v>
      </c>
      <c r="IZ363" s="2" t="n">
        <v>0.4020331186752415</v>
      </c>
      <c r="JB363" s="2" t="n">
        <v>11.19411223551058</v>
      </c>
      <c r="JC363" s="2" t="n">
        <v>-0.03588776448942177</v>
      </c>
      <c r="JE363" s="2" t="n">
        <v>2809.4</v>
      </c>
      <c r="JF363" s="2" t="n">
        <v>0.8137196554424432</v>
      </c>
    </row>
    <row r="364">
      <c r="A364" s="1" t="n">
        <v>40118</v>
      </c>
      <c r="B364" s="2" t="n">
        <v>5060.6</v>
      </c>
      <c r="C364" s="2" t="n">
        <v>3886.8</v>
      </c>
      <c r="D364" s="2" t="n">
        <v>169.2</v>
      </c>
      <c r="E364" s="2" t="n">
        <v>1188</v>
      </c>
      <c r="F364" s="2" t="n">
        <v>17.7</v>
      </c>
      <c r="G364" s="2" t="inlineStr">
        <is>
          <t>NA</t>
        </is>
      </c>
      <c r="H364" s="2" t="inlineStr">
        <is>
          <t>NA</t>
        </is>
      </c>
      <c r="I364" s="2" t="inlineStr">
        <is>
          <t>NA</t>
        </is>
      </c>
      <c r="J364" s="2" t="inlineStr">
        <is>
          <t>NA</t>
        </is>
      </c>
      <c r="K364" s="2" t="n">
        <v>1854</v>
      </c>
      <c r="L364" s="2" t="n">
        <v>2990.5</v>
      </c>
      <c r="M364" s="2" t="n">
        <v>2712</v>
      </c>
      <c r="N364" s="2" t="n">
        <v>278.5</v>
      </c>
      <c r="O364" s="2" t="n">
        <v>54.1</v>
      </c>
      <c r="P364" s="2" t="n">
        <v>88</v>
      </c>
      <c r="Q364" s="2" t="n">
        <v>38.9</v>
      </c>
      <c r="R364" s="2" t="n">
        <v>49.1</v>
      </c>
      <c r="T364" s="2" t="n">
        <v>13.6</v>
      </c>
      <c r="U364" s="2" t="n">
        <v>26.6</v>
      </c>
      <c r="V364" s="2" t="n">
        <v>24.6</v>
      </c>
      <c r="W364" s="2" t="n">
        <v>2</v>
      </c>
      <c r="X364" s="2" t="inlineStr">
        <is>
          <t>NA</t>
        </is>
      </c>
      <c r="Y364" s="2" t="inlineStr">
        <is>
          <t>(D)</t>
        </is>
      </c>
      <c r="Z364" s="2" t="n">
        <v>139.7</v>
      </c>
      <c r="AA364" s="2" t="n">
        <v>128.007</v>
      </c>
      <c r="AB364" s="2" t="n">
        <v>10.735</v>
      </c>
      <c r="AC364" s="2" t="inlineStr">
        <is>
          <t>NA</t>
        </is>
      </c>
      <c r="AD364" s="2" t="n">
        <v>96</v>
      </c>
      <c r="AE364" s="2" t="n">
        <v>97.3</v>
      </c>
      <c r="AF364" s="2" t="n">
        <v>196.4</v>
      </c>
      <c r="AG364" s="2" t="n">
        <v>136.2</v>
      </c>
      <c r="AH364" s="2" t="n">
        <v>60.2</v>
      </c>
      <c r="AI364" s="2" t="n">
        <v>205.2</v>
      </c>
      <c r="AJ364" s="2" t="n">
        <v>202.2</v>
      </c>
      <c r="AK364" s="2" t="n">
        <v>3</v>
      </c>
      <c r="AL364" s="2" t="n">
        <v>212.8</v>
      </c>
      <c r="AM364" s="2" t="n">
        <v>124.1</v>
      </c>
      <c r="AN364" s="2" t="n">
        <v>88.7</v>
      </c>
      <c r="AO364" s="2" t="n">
        <v>3696.4</v>
      </c>
      <c r="AP364" s="2" t="n">
        <v>569.4</v>
      </c>
      <c r="AQ364" s="2" t="n">
        <v>280.2</v>
      </c>
      <c r="AR364" s="2" t="n">
        <v>58</v>
      </c>
      <c r="AS364" s="2" t="n">
        <v>73.40000000000001</v>
      </c>
      <c r="AT364" s="2" t="n">
        <v>18.6</v>
      </c>
      <c r="AU364" s="2" t="n">
        <v>47.6</v>
      </c>
      <c r="AV364" s="2" t="n">
        <v>24.3</v>
      </c>
      <c r="AW364" s="2" t="n">
        <v>8.699999999999999</v>
      </c>
      <c r="AX364" s="2" t="inlineStr">
        <is>
          <t>NA</t>
        </is>
      </c>
      <c r="AY364" s="2" t="inlineStr">
        <is>
          <t>NA</t>
        </is>
      </c>
      <c r="AZ364" s="2" t="inlineStr">
        <is>
          <t>NA</t>
        </is>
      </c>
      <c r="BA364" s="2" t="inlineStr">
        <is>
          <t>NA</t>
        </is>
      </c>
      <c r="BB364" s="2" t="inlineStr">
        <is>
          <t>NA</t>
        </is>
      </c>
      <c r="BD364" s="2" t="n">
        <v>137.2</v>
      </c>
      <c r="BE364" s="2" t="n">
        <v>36.6</v>
      </c>
      <c r="BF364" s="2" t="n">
        <v>60.3</v>
      </c>
      <c r="BG364" s="2" t="n">
        <v>10.4</v>
      </c>
      <c r="BH364" s="2" t="n">
        <v>255.3</v>
      </c>
      <c r="BI364" s="2" t="n">
        <v>124.6</v>
      </c>
      <c r="BJ364" s="2" t="n">
        <v>94</v>
      </c>
      <c r="BK364" s="2" t="n">
        <v>218.7</v>
      </c>
      <c r="BM364" s="2" t="n">
        <v>474</v>
      </c>
      <c r="BN364" s="2" t="n">
        <v>148.2</v>
      </c>
      <c r="BO364" s="2" t="n">
        <v>99.09999999999999</v>
      </c>
      <c r="BP364" s="2" t="n">
        <v>66.2</v>
      </c>
      <c r="BQ364" s="2" t="n">
        <v>165.3</v>
      </c>
      <c r="BS364" s="2" t="n">
        <v>313.6</v>
      </c>
      <c r="BT364" s="2" t="n">
        <v>26.6</v>
      </c>
      <c r="BU364" s="2" t="n">
        <v>19.5</v>
      </c>
      <c r="BV364" s="2" t="inlineStr">
        <is>
          <t>NA</t>
        </is>
      </c>
      <c r="BW364" s="2" t="inlineStr">
        <is>
          <t>NA</t>
        </is>
      </c>
      <c r="BX364" s="2" t="n">
        <v>398</v>
      </c>
      <c r="BY364" s="2" t="inlineStr">
        <is>
          <t>NA</t>
        </is>
      </c>
      <c r="BZ364" s="2" t="inlineStr">
        <is>
          <t>NA</t>
        </is>
      </c>
      <c r="CA364" s="2" t="n">
        <v>73</v>
      </c>
      <c r="CB364" s="2" t="n">
        <v>111</v>
      </c>
      <c r="CC364" s="2" t="n">
        <v>21.1</v>
      </c>
      <c r="CD364" s="2" t="n">
        <v>135.5</v>
      </c>
      <c r="CE364" s="2" t="n">
        <v>20.1</v>
      </c>
      <c r="CF364" s="2" t="n">
        <v>102.1</v>
      </c>
      <c r="CG364" s="2" t="n">
        <v>105.2</v>
      </c>
      <c r="CH364" s="2" t="n">
        <v>7.2</v>
      </c>
      <c r="CI364" s="2" t="n">
        <v>33.9</v>
      </c>
      <c r="CJ364" s="2" t="n">
        <v>5.6</v>
      </c>
      <c r="CK364" s="2" t="n">
        <v>117.4</v>
      </c>
      <c r="CL364" s="2" t="n">
        <v>20.5</v>
      </c>
      <c r="CN364" s="2" t="n">
        <v>63.5</v>
      </c>
      <c r="CO364" s="2" t="n">
        <v>155.4</v>
      </c>
      <c r="CP364" s="2" t="n">
        <v>107.6</v>
      </c>
      <c r="CQ364" s="2" t="n">
        <v>47.8</v>
      </c>
      <c r="CR364" s="2" t="inlineStr">
        <is>
          <t>NA</t>
        </is>
      </c>
      <c r="CS364" s="2" t="n">
        <v>47</v>
      </c>
      <c r="CT364" s="2" t="inlineStr">
        <is>
          <t>(D)</t>
        </is>
      </c>
      <c r="CU364" s="2" t="inlineStr">
        <is>
          <t>(D)</t>
        </is>
      </c>
      <c r="CV364" s="2" t="n">
        <v>224.1</v>
      </c>
      <c r="CW364" s="2" t="n">
        <v>28.5</v>
      </c>
      <c r="CX364" s="2" t="n">
        <v>195.5</v>
      </c>
      <c r="CY364" s="2" t="inlineStr">
        <is>
          <t>(D)</t>
        </is>
      </c>
      <c r="CZ364" s="2" t="n">
        <v>63.7</v>
      </c>
      <c r="DA364" s="2" t="n">
        <v>34.2</v>
      </c>
      <c r="DB364" s="2" t="inlineStr">
        <is>
          <t>(D)</t>
        </is>
      </c>
      <c r="DC364" s="2" t="inlineStr">
        <is>
          <t>(D)</t>
        </is>
      </c>
      <c r="DI364" s="2" t="n">
        <v>784.2</v>
      </c>
      <c r="DJ364" s="2" t="n">
        <v>675.8</v>
      </c>
      <c r="DK364" s="2" t="n">
        <v>1058.6</v>
      </c>
      <c r="DM364" s="2" t="n">
        <v>493.1</v>
      </c>
      <c r="DO364" s="2" t="n">
        <v>350.2</v>
      </c>
      <c r="DP364" s="2" t="n">
        <v>279.7</v>
      </c>
      <c r="DS364" s="2" t="n">
        <v>1418.85665</v>
      </c>
      <c r="DT364" s="2" t="n">
        <v>5060.6</v>
      </c>
      <c r="DU364" s="2" t="n">
        <v>-0.1433500000011918</v>
      </c>
      <c r="DV364" s="2" t="n">
        <v>0</v>
      </c>
      <c r="EA364" s="2" t="n">
        <v>597.5</v>
      </c>
      <c r="EB364" s="2" t="n">
        <v>840.8</v>
      </c>
      <c r="EC364" s="2" t="n">
        <v>525.6</v>
      </c>
      <c r="EE364" s="2" t="n">
        <v>219.2</v>
      </c>
      <c r="EG364" s="2" t="inlineStr">
        <is>
          <t>(D)</t>
        </is>
      </c>
      <c r="EH364" s="2" t="inlineStr">
        <is>
          <t>(D)</t>
        </is>
      </c>
      <c r="EK364" s="2" t="n">
        <v>1244.991</v>
      </c>
      <c r="EL364" s="2" t="n">
        <v>3886.8</v>
      </c>
      <c r="EQ364" s="2" t="n">
        <v>284.5</v>
      </c>
      <c r="ER364" s="2" t="n">
        <v>241.8</v>
      </c>
      <c r="ES364" s="2" t="n">
        <v>388.5</v>
      </c>
      <c r="EU364" s="2" t="n">
        <v>186.2</v>
      </c>
      <c r="EW364" s="2" t="n">
        <v>126.2</v>
      </c>
      <c r="EX364" s="2" t="n">
        <v>100</v>
      </c>
      <c r="FA364" s="2" t="n">
        <v>526.6417499999998</v>
      </c>
      <c r="FB364" s="2" t="n">
        <v>1854</v>
      </c>
      <c r="FG364" s="2" t="n">
        <v>621.8</v>
      </c>
      <c r="FH364" s="2" t="n">
        <v>535.4</v>
      </c>
      <c r="FI364" s="2" t="n">
        <v>823.4</v>
      </c>
      <c r="FK364" s="2" t="n">
        <v>384.4</v>
      </c>
      <c r="FM364" s="2" t="n">
        <v>276.6</v>
      </c>
      <c r="FN364" s="2" t="n">
        <v>224</v>
      </c>
      <c r="FQ364" s="2" t="n">
        <v>1117.06735</v>
      </c>
      <c r="FR364" s="2" t="n">
        <v>3982.5</v>
      </c>
      <c r="FW364" s="2" t="n">
        <v>258.9</v>
      </c>
      <c r="FX364" s="2" t="n">
        <v>124.5</v>
      </c>
      <c r="FY364" s="2" t="n">
        <v>277.9</v>
      </c>
      <c r="GA364" s="2" t="n">
        <v>42.5</v>
      </c>
      <c r="GC364" s="2" t="inlineStr">
        <is>
          <t>(D)</t>
        </is>
      </c>
      <c r="GD364" s="2" t="inlineStr">
        <is>
          <t>(D)</t>
        </is>
      </c>
      <c r="GG364" s="2" t="n">
        <v>435.3929999999999</v>
      </c>
      <c r="GH364" s="2" t="n">
        <v>1203</v>
      </c>
      <c r="GM364" s="2" t="n">
        <v>158.8</v>
      </c>
      <c r="GN364" s="2" t="n">
        <v>77</v>
      </c>
      <c r="GO364" s="2" t="n">
        <v>180.1</v>
      </c>
      <c r="GQ364" s="2" t="n">
        <v>35.9</v>
      </c>
      <c r="GS364" s="2" t="n">
        <v>17</v>
      </c>
      <c r="GT364" s="2" t="n">
        <v>4.6</v>
      </c>
      <c r="GW364" s="2" t="n">
        <v>153.935</v>
      </c>
      <c r="GX364" s="2" t="n">
        <v>627.4</v>
      </c>
      <c r="GY364" s="2" t="n">
        <v>0.9780227911795175</v>
      </c>
      <c r="GZ364" s="2" t="n">
        <v>1321.7</v>
      </c>
      <c r="HA364" s="2" t="n">
        <v>1351.4</v>
      </c>
      <c r="HB364" s="2" t="n">
        <v>-54.23185233300092</v>
      </c>
      <c r="HC364" s="2" t="n">
        <v>44.66684517619888</v>
      </c>
      <c r="HD364" s="2" t="n">
        <v>1439.868147666999</v>
      </c>
      <c r="HE364" s="2" t="n">
        <v>-68.30000000000018</v>
      </c>
      <c r="HF364" s="2" t="n">
        <v>1494.1</v>
      </c>
      <c r="HG364" s="2" t="n">
        <v>1235.5</v>
      </c>
      <c r="HH364" s="2" t="n">
        <v>312.6</v>
      </c>
      <c r="HI364" s="2" t="inlineStr">
        <is>
          <t>(D)</t>
        </is>
      </c>
      <c r="HJ364" s="2" t="n">
        <v>849.3</v>
      </c>
      <c r="HK364" s="2" t="inlineStr">
        <is>
          <t>(D)</t>
        </is>
      </c>
      <c r="HL364" s="2" t="n">
        <v>258.7</v>
      </c>
      <c r="HM364" s="2" t="n">
        <v>239.4</v>
      </c>
      <c r="HN364" s="2" t="n">
        <v>131.2</v>
      </c>
      <c r="HO364" s="2" t="n">
        <v>108.2</v>
      </c>
      <c r="HQ364" s="2" t="inlineStr">
        <is>
          <t>(S)</t>
        </is>
      </c>
      <c r="HR364" s="2" t="inlineStr">
        <is>
          <t>(S)</t>
        </is>
      </c>
      <c r="HT364" s="2" t="n">
        <v>12.3</v>
      </c>
      <c r="HW364" s="2" t="n">
        <v>299.8</v>
      </c>
      <c r="HX364" s="2" t="inlineStr">
        <is>
          <t>-</t>
        </is>
      </c>
      <c r="HY364" s="2" t="n">
        <v>299.8</v>
      </c>
      <c r="HZ364" s="2" t="n">
        <v>51.9</v>
      </c>
      <c r="IA364" s="2" t="n">
        <v>141.4</v>
      </c>
      <c r="IB364" s="2" t="n">
        <v>26.7</v>
      </c>
      <c r="IC364" s="2" t="n">
        <v>114.7</v>
      </c>
      <c r="ID364" s="2" t="n">
        <v>70.7</v>
      </c>
      <c r="IE364" s="2" t="n">
        <v>44</v>
      </c>
      <c r="IH364" s="2" t="n">
        <v>71.97</v>
      </c>
      <c r="II364" s="2" t="n">
        <v>20</v>
      </c>
      <c r="IJ364" s="2" t="n">
        <v>26.57</v>
      </c>
      <c r="IK364" s="2" t="n">
        <v>25.4</v>
      </c>
      <c r="IL364" s="2" t="n">
        <v>34.53</v>
      </c>
      <c r="IN364" s="2" t="n">
        <v>46.2</v>
      </c>
      <c r="IO364" s="2" t="n">
        <v>46.3</v>
      </c>
      <c r="IP364" s="2" t="inlineStr">
        <is>
          <t>(D)</t>
        </is>
      </c>
      <c r="IQ364" s="2" t="n">
        <v>51.4</v>
      </c>
      <c r="IR364" s="2" t="inlineStr">
        <is>
          <t>(D)</t>
        </is>
      </c>
      <c r="IT364" s="2" t="n">
        <v>41.1</v>
      </c>
      <c r="IU364" s="2" t="inlineStr">
        <is>
          <t>(D)</t>
        </is>
      </c>
      <c r="IV364" s="2" t="inlineStr">
        <is>
          <t>(D)</t>
        </is>
      </c>
      <c r="IW364" s="2" t="inlineStr">
        <is>
          <t>(D)</t>
        </is>
      </c>
      <c r="IX364" s="2" t="inlineStr">
        <is>
          <t>(D)</t>
        </is>
      </c>
      <c r="IY364" s="2" t="n">
        <v>47.14776903924436</v>
      </c>
      <c r="IZ364" s="2" t="n">
        <v>0.07776903924435885</v>
      </c>
      <c r="JB364" s="2" t="n">
        <v>10.99079160573845</v>
      </c>
      <c r="JC364" s="2" t="n">
        <v>-0.04920839426154977</v>
      </c>
      <c r="JE364" s="2" t="n">
        <v>2990.5</v>
      </c>
      <c r="JF364" s="2" t="n">
        <v>0.80617354957365</v>
      </c>
    </row>
    <row r="365">
      <c r="A365" s="1" t="n">
        <v>40148</v>
      </c>
      <c r="B365" s="2" t="n">
        <v>5194.1</v>
      </c>
      <c r="C365" s="2" t="n">
        <v>3238.9</v>
      </c>
      <c r="D365" s="2" t="n">
        <v>189.7</v>
      </c>
      <c r="E365" s="2" t="n">
        <v>1430.5</v>
      </c>
      <c r="F365" s="2" t="n">
        <v>14.7</v>
      </c>
      <c r="G365" s="2" t="inlineStr">
        <is>
          <t>NA</t>
        </is>
      </c>
      <c r="H365" s="2" t="inlineStr">
        <is>
          <t>NA</t>
        </is>
      </c>
      <c r="I365" s="2" t="inlineStr">
        <is>
          <t>NA</t>
        </is>
      </c>
      <c r="J365" s="2" t="inlineStr">
        <is>
          <t>NA</t>
        </is>
      </c>
      <c r="K365" s="2" t="n">
        <v>1898.3</v>
      </c>
      <c r="L365" s="2" t="n">
        <v>3150.5</v>
      </c>
      <c r="M365" s="2" t="n">
        <v>2874.7</v>
      </c>
      <c r="N365" s="2" t="n">
        <v>275.8</v>
      </c>
      <c r="O365" s="2" t="n">
        <v>59.1</v>
      </c>
      <c r="P365" s="2" t="n">
        <v>114.4</v>
      </c>
      <c r="Q365" s="2" t="n">
        <v>56.1</v>
      </c>
      <c r="R365" s="2" t="n">
        <v>58.3</v>
      </c>
      <c r="T365" s="2" t="n">
        <v>11.5</v>
      </c>
      <c r="U365" s="2" t="n">
        <v>20.4</v>
      </c>
      <c r="V365" s="2" t="n">
        <v>18.1</v>
      </c>
      <c r="W365" s="2" t="n">
        <v>2.3</v>
      </c>
      <c r="X365" s="2" t="inlineStr">
        <is>
          <t>NA</t>
        </is>
      </c>
      <c r="Y365" s="2" t="inlineStr">
        <is>
          <t>(D)</t>
        </is>
      </c>
      <c r="Z365" s="2" t="n">
        <v>161.4</v>
      </c>
      <c r="AA365" s="2" t="n">
        <v>151.623</v>
      </c>
      <c r="AB365" s="2" t="n">
        <v>9.324999999999999</v>
      </c>
      <c r="AC365" s="2" t="inlineStr">
        <is>
          <t>NA</t>
        </is>
      </c>
      <c r="AD365" s="2" t="n">
        <v>96.3</v>
      </c>
      <c r="AE365" s="2" t="n">
        <v>97.40000000000001</v>
      </c>
      <c r="AF365" s="2" t="n">
        <v>152.3</v>
      </c>
      <c r="AG365" s="2" t="n">
        <v>107.4</v>
      </c>
      <c r="AH365" s="2" t="n">
        <v>44.9</v>
      </c>
      <c r="AI365" s="2" t="n">
        <v>203.2</v>
      </c>
      <c r="AJ365" s="2" t="n">
        <v>200.2</v>
      </c>
      <c r="AK365" s="2" t="n">
        <v>3</v>
      </c>
      <c r="AL365" s="2" t="n">
        <v>209.1</v>
      </c>
      <c r="AM365" s="2" t="n">
        <v>133.1</v>
      </c>
      <c r="AN365" s="2" t="n">
        <v>76</v>
      </c>
      <c r="AO365" s="2" t="n">
        <v>3785</v>
      </c>
      <c r="AP365" s="2" t="n">
        <v>533.6</v>
      </c>
      <c r="AQ365" s="2" t="n">
        <v>291.1</v>
      </c>
      <c r="AR365" s="2" t="n">
        <v>35.2</v>
      </c>
      <c r="AS365" s="2" t="n">
        <v>82.09999999999999</v>
      </c>
      <c r="AT365" s="2" t="n">
        <v>12.3</v>
      </c>
      <c r="AU365" s="2" t="n">
        <v>58.9</v>
      </c>
      <c r="AV365" s="2" t="n">
        <v>25.2</v>
      </c>
      <c r="AW365" s="2" t="n">
        <v>7.5</v>
      </c>
      <c r="AX365" s="2" t="inlineStr">
        <is>
          <t>NA</t>
        </is>
      </c>
      <c r="AY365" s="2" t="inlineStr">
        <is>
          <t>NA</t>
        </is>
      </c>
      <c r="AZ365" s="2" t="inlineStr">
        <is>
          <t>NA</t>
        </is>
      </c>
      <c r="BA365" s="2" t="inlineStr">
        <is>
          <t>NA</t>
        </is>
      </c>
      <c r="BB365" s="2" t="inlineStr">
        <is>
          <t>NA</t>
        </is>
      </c>
      <c r="BD365" s="2" t="n">
        <v>151.6</v>
      </c>
      <c r="BE365" s="2" t="n">
        <v>30.7</v>
      </c>
      <c r="BF365" s="2" t="n">
        <v>64.90000000000001</v>
      </c>
      <c r="BG365" s="2" t="n">
        <v>7.9</v>
      </c>
      <c r="BH365" s="2" t="n">
        <v>278.7</v>
      </c>
      <c r="BI365" s="2" t="n">
        <v>123.1</v>
      </c>
      <c r="BJ365" s="2" t="n">
        <v>103.9</v>
      </c>
      <c r="BK365" s="2" t="n">
        <v>227.1</v>
      </c>
      <c r="BM365" s="2" t="n">
        <v>505.8</v>
      </c>
      <c r="BN365" s="2" t="n">
        <v>186.8</v>
      </c>
      <c r="BO365" s="2" t="n">
        <v>95.09999999999999</v>
      </c>
      <c r="BP365" s="2" t="n">
        <v>57.4</v>
      </c>
      <c r="BQ365" s="2" t="n">
        <v>152.5</v>
      </c>
      <c r="BS365" s="2" t="n">
        <v>339.3</v>
      </c>
      <c r="BT365" s="2" t="n">
        <v>29.6</v>
      </c>
      <c r="BU365" s="2" t="n">
        <v>17.5</v>
      </c>
      <c r="BV365" s="2" t="inlineStr">
        <is>
          <t>NA</t>
        </is>
      </c>
      <c r="BW365" s="2" t="inlineStr">
        <is>
          <t>NA</t>
        </is>
      </c>
      <c r="BX365" s="2" t="n">
        <v>429</v>
      </c>
      <c r="BY365" s="2" t="inlineStr">
        <is>
          <t>NA</t>
        </is>
      </c>
      <c r="BZ365" s="2" t="inlineStr">
        <is>
          <t>NA</t>
        </is>
      </c>
      <c r="CA365" s="2" t="n">
        <v>67.7</v>
      </c>
      <c r="CB365" s="2" t="n">
        <v>115.4</v>
      </c>
      <c r="CC365" s="2" t="n">
        <v>19.3</v>
      </c>
      <c r="CD365" s="2" t="n">
        <v>139.1</v>
      </c>
      <c r="CE365" s="2" t="n">
        <v>18.9</v>
      </c>
      <c r="CF365" s="2" t="n">
        <v>102.8</v>
      </c>
      <c r="CG365" s="2" t="n">
        <v>88.2</v>
      </c>
      <c r="CH365" s="2" t="n">
        <v>6.7</v>
      </c>
      <c r="CI365" s="2" t="n">
        <v>32.9</v>
      </c>
      <c r="CJ365" s="2" t="n">
        <v>6.9</v>
      </c>
      <c r="CK365" s="2" t="n">
        <v>132.2</v>
      </c>
      <c r="CL365" s="2" t="n">
        <v>21.5</v>
      </c>
      <c r="CN365" s="2" t="n">
        <v>63.3</v>
      </c>
      <c r="CO365" s="2" t="n">
        <v>220.9</v>
      </c>
      <c r="CP365" s="2" t="n">
        <v>167.1</v>
      </c>
      <c r="CQ365" s="2" t="n">
        <v>53.8</v>
      </c>
      <c r="CR365" s="2" t="inlineStr">
        <is>
          <t>NA</t>
        </is>
      </c>
      <c r="CS365" s="2" t="n">
        <v>53.8</v>
      </c>
      <c r="CT365" s="2" t="inlineStr">
        <is>
          <t>(D)</t>
        </is>
      </c>
      <c r="CU365" s="2" t="inlineStr">
        <is>
          <t>(D)</t>
        </is>
      </c>
      <c r="CV365" s="2" t="n">
        <v>240.7</v>
      </c>
      <c r="CW365" s="2" t="inlineStr">
        <is>
          <t>(D)</t>
        </is>
      </c>
      <c r="CX365" s="2" t="inlineStr">
        <is>
          <t>(D)</t>
        </is>
      </c>
      <c r="CY365" s="2" t="inlineStr">
        <is>
          <t>(D)</t>
        </is>
      </c>
      <c r="CZ365" s="2" t="n">
        <v>50.1</v>
      </c>
      <c r="DA365" s="2" t="n">
        <v>26.5</v>
      </c>
      <c r="DB365" s="2" t="inlineStr">
        <is>
          <t>(D)</t>
        </is>
      </c>
      <c r="DC365" s="2" t="inlineStr">
        <is>
          <t>(D)</t>
        </is>
      </c>
      <c r="DI365" s="2" t="n">
        <v>806.8</v>
      </c>
      <c r="DJ365" s="2" t="n">
        <v>682.5</v>
      </c>
      <c r="DK365" s="2" t="n">
        <v>1050.5</v>
      </c>
      <c r="DM365" s="2" t="n">
        <v>515.8</v>
      </c>
      <c r="DO365" s="2" t="n">
        <v>365.6</v>
      </c>
      <c r="DP365" s="2" t="n">
        <v>285.6</v>
      </c>
      <c r="DS365" s="2" t="n">
        <v>1487.37295</v>
      </c>
      <c r="DT365" s="2" t="n">
        <v>5194.1</v>
      </c>
      <c r="DU365" s="2" t="n">
        <v>0.07294999999976426</v>
      </c>
      <c r="DV365" s="2" t="n">
        <v>0</v>
      </c>
      <c r="EA365" s="2" t="n">
        <v>423.7</v>
      </c>
      <c r="EB365" s="2" t="n">
        <v>677.4</v>
      </c>
      <c r="EC365" s="2" t="n">
        <v>400.5</v>
      </c>
      <c r="EE365" s="2" t="n">
        <v>171</v>
      </c>
      <c r="EG365" s="2" t="inlineStr">
        <is>
          <t>(D)</t>
        </is>
      </c>
      <c r="EH365" s="2" t="inlineStr">
        <is>
          <t>(D)</t>
        </is>
      </c>
      <c r="EK365" s="2" t="n">
        <v>1170.930999999999</v>
      </c>
      <c r="EL365" s="2" t="n">
        <v>3238.9</v>
      </c>
      <c r="EQ365" s="2" t="n">
        <v>292.4</v>
      </c>
      <c r="ER365" s="2" t="n">
        <v>246</v>
      </c>
      <c r="ES365" s="2" t="n">
        <v>386.5</v>
      </c>
      <c r="EU365" s="2" t="n">
        <v>193.9</v>
      </c>
      <c r="EW365" s="2" t="n">
        <v>128.4</v>
      </c>
      <c r="EX365" s="2" t="n">
        <v>101.7</v>
      </c>
      <c r="FA365" s="2" t="n">
        <v>549.4456999999998</v>
      </c>
      <c r="FB365" s="2" t="n">
        <v>1898.3</v>
      </c>
      <c r="FG365" s="2" t="n">
        <v>634.5</v>
      </c>
      <c r="FH365" s="2" t="n">
        <v>541.1</v>
      </c>
      <c r="FI365" s="2" t="n">
        <v>819.1</v>
      </c>
      <c r="FK365" s="2" t="n">
        <v>399.7</v>
      </c>
      <c r="FM365" s="2" t="n">
        <v>290.7</v>
      </c>
      <c r="FN365" s="2" t="n">
        <v>228.9</v>
      </c>
      <c r="FQ365" s="2" t="n">
        <v>1169.05395</v>
      </c>
      <c r="FR365" s="2" t="n">
        <v>4083</v>
      </c>
      <c r="FW365" s="2" t="n">
        <v>280.3</v>
      </c>
      <c r="FX365" s="2" t="n">
        <v>139.6</v>
      </c>
      <c r="FY365" s="2" t="n">
        <v>300.5</v>
      </c>
      <c r="GA365" s="2" t="n">
        <v>57.7</v>
      </c>
      <c r="GC365" s="2" t="inlineStr">
        <is>
          <t>(D)</t>
        </is>
      </c>
      <c r="GD365" s="2" t="inlineStr">
        <is>
          <t>(D)</t>
        </is>
      </c>
      <c r="GG365" s="2" t="n">
        <v>484.8090000000001</v>
      </c>
      <c r="GH365" s="2" t="n">
        <v>1333.9</v>
      </c>
      <c r="GM365" s="2" t="n">
        <v>171.1</v>
      </c>
      <c r="GN365" s="2" t="n">
        <v>77.90000000000001</v>
      </c>
      <c r="GO365" s="2" t="n">
        <v>140.5</v>
      </c>
      <c r="GQ365" s="2" t="n">
        <v>27.3</v>
      </c>
      <c r="GS365" s="2" t="n">
        <v>10.1</v>
      </c>
      <c r="GT365" s="2" t="n">
        <v>3.3</v>
      </c>
      <c r="GW365" s="2" t="n">
        <v>138.6560000000001</v>
      </c>
      <c r="GX365" s="2" t="n">
        <v>568.8</v>
      </c>
      <c r="GY365" s="2" t="n">
        <v>0.9787251188653396</v>
      </c>
      <c r="GZ365" s="2" t="n">
        <v>1214.5</v>
      </c>
      <c r="HA365" s="2" t="n">
        <v>1240.9</v>
      </c>
      <c r="HB365" s="2" t="n">
        <v>-46.420623772</v>
      </c>
      <c r="HC365" s="2" t="n">
        <v>-16.17916919140043</v>
      </c>
      <c r="HD365" s="2" t="n">
        <v>1355.079376228</v>
      </c>
      <c r="HE365" s="2" t="n">
        <v>-2.900000000000091</v>
      </c>
      <c r="HF365" s="2" t="n">
        <v>1401.5</v>
      </c>
      <c r="HG365" s="2" t="n">
        <v>1147</v>
      </c>
      <c r="HH365" s="2" t="n">
        <v>281.9</v>
      </c>
      <c r="HI365" s="2" t="inlineStr">
        <is>
          <t>(D)</t>
        </is>
      </c>
      <c r="HJ365" s="2" t="n">
        <v>783.4</v>
      </c>
      <c r="HK365" s="2" t="inlineStr">
        <is>
          <t>(D)</t>
        </is>
      </c>
      <c r="HL365" s="2" t="n">
        <v>254.5</v>
      </c>
      <c r="HM365" s="2" t="n">
        <v>237</v>
      </c>
      <c r="HN365" s="2" t="n">
        <v>129.8</v>
      </c>
      <c r="HO365" s="2" t="n">
        <v>107.2</v>
      </c>
      <c r="HQ365" s="2" t="inlineStr">
        <is>
          <t>(S)</t>
        </is>
      </c>
      <c r="HR365" s="2" t="inlineStr">
        <is>
          <t>(S)</t>
        </is>
      </c>
      <c r="HT365" s="2" t="n">
        <v>12.5</v>
      </c>
      <c r="HW365" s="2" t="n">
        <v>314.2</v>
      </c>
      <c r="HX365" s="2" t="inlineStr">
        <is>
          <t>-</t>
        </is>
      </c>
      <c r="HY365" s="2" t="n">
        <v>314.2</v>
      </c>
      <c r="HZ365" s="2" t="n">
        <v>50.5</v>
      </c>
      <c r="IA365" s="2" t="n">
        <v>154.8</v>
      </c>
      <c r="IB365" s="2" t="n">
        <v>29.9</v>
      </c>
      <c r="IC365" s="2" t="n">
        <v>124.9</v>
      </c>
      <c r="ID365" s="2" t="n">
        <v>66.8</v>
      </c>
      <c r="IE365" s="2" t="n">
        <v>58</v>
      </c>
      <c r="IH365" s="2" t="n">
        <v>69.111</v>
      </c>
      <c r="II365" s="2" t="n">
        <v>17.5</v>
      </c>
      <c r="IJ365" s="2" t="n">
        <v>25.611</v>
      </c>
      <c r="IK365" s="2" t="n">
        <v>26</v>
      </c>
      <c r="IL365" s="2" t="n">
        <v>39.78899999999997</v>
      </c>
      <c r="IN365" s="2" t="n">
        <v>51.6</v>
      </c>
      <c r="IO365" s="2" t="n">
        <v>51.6</v>
      </c>
      <c r="IP365" s="2" t="inlineStr">
        <is>
          <t>(D)</t>
        </is>
      </c>
      <c r="IQ365" s="2" t="n">
        <v>50</v>
      </c>
      <c r="IR365" s="2" t="n">
        <v>8.348000000000001</v>
      </c>
      <c r="IT365" s="2" t="n">
        <v>40.4</v>
      </c>
      <c r="IU365" s="2" t="inlineStr">
        <is>
          <t>(D)</t>
        </is>
      </c>
      <c r="IV365" s="2" t="inlineStr">
        <is>
          <t>(D)</t>
        </is>
      </c>
      <c r="IW365" s="2" t="inlineStr">
        <is>
          <t>(D)</t>
        </is>
      </c>
      <c r="IX365" s="2" t="inlineStr">
        <is>
          <t>(D)</t>
        </is>
      </c>
      <c r="IY365" s="2" t="n">
        <v>47.08534683583296</v>
      </c>
      <c r="IZ365" s="2" t="n">
        <v>0.06534683583295475</v>
      </c>
      <c r="JB365" s="2" t="n">
        <v>10.9641708861978</v>
      </c>
      <c r="JC365" s="2" t="n">
        <v>-0.07582911380219848</v>
      </c>
      <c r="JE365" s="2" t="n">
        <v>3150.5</v>
      </c>
      <c r="JF365" s="2" t="n">
        <v>0.8234861133153468</v>
      </c>
    </row>
    <row r="366">
      <c r="A366" s="1" t="n">
        <v>40179</v>
      </c>
      <c r="B366" s="2" t="n">
        <v>5016.4272</v>
      </c>
      <c r="C366" s="2" t="n">
        <v>3041.561</v>
      </c>
      <c r="D366" s="2" t="n">
        <v>202.38515</v>
      </c>
      <c r="E366" s="2" t="n">
        <v>1403.959</v>
      </c>
      <c r="F366" s="2" t="n">
        <v>19.72995</v>
      </c>
      <c r="G366" s="2" t="inlineStr">
        <is>
          <t>NA</t>
        </is>
      </c>
      <c r="H366" s="2" t="inlineStr">
        <is>
          <t>NA</t>
        </is>
      </c>
      <c r="I366" s="2" t="inlineStr">
        <is>
          <t>NA</t>
        </is>
      </c>
      <c r="J366" s="2" t="inlineStr">
        <is>
          <t>NA</t>
        </is>
      </c>
      <c r="K366" s="2" t="n">
        <v>1844.85574</v>
      </c>
      <c r="L366" s="2" t="n">
        <v>3221.69</v>
      </c>
      <c r="M366" s="2" t="n">
        <v>2936.532</v>
      </c>
      <c r="N366" s="2" t="n">
        <v>285.158</v>
      </c>
      <c r="O366" s="2" t="n">
        <v>59.8782</v>
      </c>
      <c r="P366" s="2" t="n">
        <v>112.3</v>
      </c>
      <c r="Q366" s="2" t="n">
        <v>60.8</v>
      </c>
      <c r="R366" s="2" t="n">
        <v>51.5</v>
      </c>
      <c r="T366" s="2" t="n">
        <v>16.0061</v>
      </c>
      <c r="U366" s="2" t="n">
        <v>21.725</v>
      </c>
      <c r="V366" s="2" t="n">
        <v>14.738</v>
      </c>
      <c r="W366" s="2" t="n">
        <v>4.842</v>
      </c>
      <c r="X366" s="2" t="inlineStr">
        <is>
          <t>NA</t>
        </is>
      </c>
      <c r="Y366" s="2" t="e">
        <v>#VALUE!</v>
      </c>
      <c r="Z366" s="2" t="n">
        <v>171.95</v>
      </c>
      <c r="AA366" s="2" t="n">
        <v>163.261</v>
      </c>
      <c r="AB366" s="2" t="n">
        <v>8.689</v>
      </c>
      <c r="AC366" s="2" t="inlineStr">
        <is>
          <t>NA</t>
        </is>
      </c>
      <c r="AD366" s="2" t="n">
        <v>75.2501</v>
      </c>
      <c r="AE366" s="2" t="n">
        <v>76.923</v>
      </c>
      <c r="AF366" s="2" t="n">
        <v>171.482</v>
      </c>
      <c r="AG366" s="2" t="n">
        <v>122.897</v>
      </c>
      <c r="AH366" s="2" t="n">
        <v>48.585</v>
      </c>
      <c r="AI366" s="2" t="n">
        <v>197.936</v>
      </c>
      <c r="AJ366" s="2" t="n">
        <v>194.936</v>
      </c>
      <c r="AK366" s="2" t="n">
        <v>3</v>
      </c>
      <c r="AL366" s="2" t="n">
        <v>189.358</v>
      </c>
      <c r="AM366" s="2" t="n">
        <v>122.013</v>
      </c>
      <c r="AN366" s="2" t="n">
        <v>67.345</v>
      </c>
      <c r="AO366" s="2" t="n">
        <v>3656.43296</v>
      </c>
      <c r="AP366" s="2" t="n">
        <v>585.8200000000001</v>
      </c>
      <c r="AQ366" s="2" t="n">
        <v>276.80069</v>
      </c>
      <c r="AR366" s="2" t="n">
        <v>44.61</v>
      </c>
      <c r="AS366" s="2" t="n">
        <v>92.20365</v>
      </c>
      <c r="AT366" s="2" t="n">
        <v>20.155</v>
      </c>
      <c r="AU366" s="2" t="n">
        <v>62.33385</v>
      </c>
      <c r="AV366" s="2" t="n">
        <v>34.823</v>
      </c>
      <c r="AW366" s="2" t="n">
        <v>10.0454</v>
      </c>
      <c r="AX366" s="2" t="inlineStr">
        <is>
          <t>NA</t>
        </is>
      </c>
      <c r="AY366" s="2" t="inlineStr">
        <is>
          <t>NA</t>
        </is>
      </c>
      <c r="AZ366" s="2" t="inlineStr">
        <is>
          <t>NA</t>
        </is>
      </c>
      <c r="BA366" s="2" t="inlineStr">
        <is>
          <t>NA</t>
        </is>
      </c>
      <c r="BB366" s="2" t="inlineStr">
        <is>
          <t>NA</t>
        </is>
      </c>
      <c r="BD366" s="2" t="n">
        <v>151.0423</v>
      </c>
      <c r="BE366" s="2" t="n">
        <v>43.113</v>
      </c>
      <c r="BF366" s="2" t="n">
        <v>60.81854</v>
      </c>
      <c r="BG366" s="2" t="n">
        <v>8.412000000000001</v>
      </c>
      <c r="BH366" s="2" t="n">
        <v>276.32895</v>
      </c>
      <c r="BI366" s="2" t="n">
        <v>110.39785</v>
      </c>
      <c r="BJ366" s="2" t="n">
        <v>108.668</v>
      </c>
      <c r="BK366" s="2" t="n">
        <v>219.06585</v>
      </c>
      <c r="BM366" s="2" t="n">
        <v>495.3948</v>
      </c>
      <c r="BN366" s="2" t="n">
        <v>182.513</v>
      </c>
      <c r="BO366" s="2" t="n">
        <v>97.36</v>
      </c>
      <c r="BP366" s="2" t="n">
        <v>51.814</v>
      </c>
      <c r="BQ366" s="2" t="n">
        <v>149.174</v>
      </c>
      <c r="BS366" s="2" t="n">
        <v>331.687</v>
      </c>
      <c r="BT366" s="2" t="n">
        <v>25.49676</v>
      </c>
      <c r="BU366" s="2" t="n">
        <v>14.691</v>
      </c>
      <c r="BV366" s="2" t="inlineStr">
        <is>
          <t>NA</t>
        </is>
      </c>
      <c r="BW366" s="2" t="inlineStr">
        <is>
          <t>NA</t>
        </is>
      </c>
      <c r="BX366" s="2" t="n">
        <v>412.57054</v>
      </c>
      <c r="BY366" s="2" t="inlineStr">
        <is>
          <t>NA</t>
        </is>
      </c>
      <c r="BZ366" s="2" t="inlineStr">
        <is>
          <t>NA</t>
        </is>
      </c>
      <c r="CA366" s="2" t="n">
        <v>74.83199999999999</v>
      </c>
      <c r="CB366" s="2" t="n">
        <v>111.13759</v>
      </c>
      <c r="CC366" s="2" t="n">
        <v>22.059</v>
      </c>
      <c r="CD366" s="2" t="n">
        <v>139.09011</v>
      </c>
      <c r="CE366" s="2" t="n">
        <v>20.949</v>
      </c>
      <c r="CF366" s="2" t="n">
        <v>105.8434</v>
      </c>
      <c r="CG366" s="2" t="n">
        <v>109.875</v>
      </c>
      <c r="CH366" s="2" t="n">
        <v>5.594</v>
      </c>
      <c r="CI366" s="2" t="n">
        <v>28.79185</v>
      </c>
      <c r="CJ366" s="2" t="n">
        <v>7.02</v>
      </c>
      <c r="CK366" s="2" t="n">
        <v>132.0346</v>
      </c>
      <c r="CL366" s="2" t="n">
        <v>21.368</v>
      </c>
      <c r="CN366" s="2" t="n">
        <v>70.15915</v>
      </c>
      <c r="CO366" s="2" t="n">
        <v>204.976</v>
      </c>
      <c r="CP366" s="2" t="n">
        <v>137.313</v>
      </c>
      <c r="CQ366" s="2" t="n">
        <v>67.663</v>
      </c>
      <c r="CR366" s="2" t="inlineStr">
        <is>
          <t>NA</t>
        </is>
      </c>
      <c r="CS366" s="2" t="n">
        <v>33.337</v>
      </c>
      <c r="CT366" s="2" t="inlineStr">
        <is>
          <t>(D)</t>
        </is>
      </c>
      <c r="CU366" s="2" t="inlineStr">
        <is>
          <t>(D)</t>
        </is>
      </c>
      <c r="CV366" s="2" t="n">
        <v>269.894</v>
      </c>
      <c r="CW366" s="2" t="inlineStr">
        <is>
          <t>(D)</t>
        </is>
      </c>
      <c r="CX366" s="2" t="inlineStr">
        <is>
          <t>(D)</t>
        </is>
      </c>
      <c r="CY366" s="2" t="inlineStr">
        <is>
          <t>(D)</t>
        </is>
      </c>
      <c r="CZ366" s="2" t="n">
        <v>96.333</v>
      </c>
      <c r="DA366" s="2" t="n">
        <v>32.252</v>
      </c>
      <c r="DB366" s="2" t="inlineStr">
        <is>
          <t>(D)</t>
        </is>
      </c>
      <c r="DC366" s="2" t="inlineStr">
        <is>
          <t>(D)</t>
        </is>
      </c>
      <c r="DI366" s="2" t="n">
        <v>767.146</v>
      </c>
      <c r="DJ366" s="2" t="n">
        <v>686.2156</v>
      </c>
      <c r="DK366" s="2" t="n">
        <v>1010.174</v>
      </c>
      <c r="DM366" s="2" t="n">
        <v>488.103</v>
      </c>
      <c r="DO366" s="2" t="n">
        <v>349.956</v>
      </c>
      <c r="DP366" s="2" t="n">
        <v>273.197</v>
      </c>
      <c r="DS366" s="2" t="n">
        <v>1441.6356</v>
      </c>
      <c r="DT366" s="2" t="n">
        <v>5016.4272</v>
      </c>
      <c r="DU366" s="2" t="n">
        <v>0</v>
      </c>
      <c r="DV366" s="2" t="n">
        <v>0</v>
      </c>
      <c r="EA366" s="2" t="n">
        <v>448.32</v>
      </c>
      <c r="EB366" s="2" t="n">
        <v>593.296</v>
      </c>
      <c r="EC366" s="2" t="n">
        <v>365.973</v>
      </c>
      <c r="EE366" s="2" t="n">
        <v>159.234</v>
      </c>
      <c r="EG366" s="2" t="inlineStr">
        <is>
          <t>(D)</t>
        </is>
      </c>
      <c r="EH366" s="2" t="inlineStr">
        <is>
          <t>(D)</t>
        </is>
      </c>
      <c r="EK366" s="2" t="n">
        <v>1109.659</v>
      </c>
      <c r="EL366" s="2" t="n">
        <v>3041.561</v>
      </c>
      <c r="EQ366" s="2" t="n">
        <v>279.841</v>
      </c>
      <c r="ER366" s="2" t="n">
        <v>246.5001</v>
      </c>
      <c r="ES366" s="2" t="n">
        <v>372.733</v>
      </c>
      <c r="EU366" s="2" t="n">
        <v>186.25</v>
      </c>
      <c r="EW366" s="2" t="n">
        <v>126.413</v>
      </c>
      <c r="EX366" s="2" t="n">
        <v>98.327</v>
      </c>
      <c r="FA366" s="2" t="n">
        <v>534.7916400000001</v>
      </c>
      <c r="FB366" s="2" t="n">
        <v>1844.85574</v>
      </c>
      <c r="FG366" s="2" t="n">
        <v>601.646</v>
      </c>
      <c r="FH366" s="2" t="n">
        <v>541.99125</v>
      </c>
      <c r="FI366" s="2" t="n">
        <v>786.546</v>
      </c>
      <c r="FK366" s="2" t="n">
        <v>378.203</v>
      </c>
      <c r="FM366" s="2" t="n">
        <v>278.162</v>
      </c>
      <c r="FN366" s="2" t="n">
        <v>218.347</v>
      </c>
      <c r="FQ366" s="2" t="n">
        <v>1136.6</v>
      </c>
      <c r="FR366" s="2" t="n">
        <v>3941.4</v>
      </c>
      <c r="FW366" s="2" t="n">
        <v>358.065</v>
      </c>
      <c r="FX366" s="2" t="n">
        <v>169.768</v>
      </c>
      <c r="FY366" s="2" t="n">
        <v>328.672</v>
      </c>
      <c r="GA366" s="2" t="n">
        <v>87.98699999999999</v>
      </c>
      <c r="GC366" s="2" t="inlineStr">
        <is>
          <t>(D)</t>
        </is>
      </c>
      <c r="GD366" s="2" t="inlineStr">
        <is>
          <t>(D)</t>
        </is>
      </c>
      <c r="GG366" s="2" t="n">
        <v>451.1109999999999</v>
      </c>
      <c r="GH366" s="2" t="n">
        <v>1500.383</v>
      </c>
      <c r="GM366" s="2" t="n">
        <v>171.83</v>
      </c>
      <c r="GN366" s="2" t="n">
        <v>85.822</v>
      </c>
      <c r="GO366" s="2" t="n">
        <v>142.69</v>
      </c>
      <c r="GQ366" s="2" t="n">
        <v>48.736</v>
      </c>
      <c r="GS366" s="2" t="n">
        <v>23.449</v>
      </c>
      <c r="GT366" s="2" t="n">
        <v>4.91</v>
      </c>
      <c r="GW366" s="2" t="n">
        <v>152.9929999999999</v>
      </c>
      <c r="GX366" s="2" t="n">
        <v>630.4299999999999</v>
      </c>
      <c r="GY366" s="2" t="n">
        <v>0.9829604827701582</v>
      </c>
      <c r="GZ366" s="2" t="n">
        <v>1175.7325</v>
      </c>
      <c r="HA366" s="2" t="n">
        <v>1196.1137</v>
      </c>
      <c r="HB366" s="2" t="n">
        <v>4.864536034599951</v>
      </c>
      <c r="HC366" s="2" t="n">
        <v>104.2650160952003</v>
      </c>
      <c r="HD366" s="2" t="n">
        <v>1269.4340760346</v>
      </c>
      <c r="HE366" s="2" t="n">
        <v>-18.03045999999995</v>
      </c>
      <c r="HF366" s="2" t="n">
        <v>1264.56954</v>
      </c>
      <c r="HG366" s="2" t="n">
        <v>1148.33348</v>
      </c>
      <c r="HH366" s="2" t="n">
        <v>303.13733</v>
      </c>
      <c r="HI366" s="2" t="inlineStr">
        <is>
          <t>(D)</t>
        </is>
      </c>
      <c r="HJ366" s="2" t="n">
        <v>777.66814</v>
      </c>
      <c r="HK366" s="2" t="inlineStr">
        <is>
          <t>(D)</t>
        </is>
      </c>
      <c r="HL366" s="2" t="n">
        <v>116.23606</v>
      </c>
      <c r="HM366" s="2" t="n">
        <v>93.71299999999999</v>
      </c>
      <c r="HN366" s="2" t="n">
        <v>53.093</v>
      </c>
      <c r="HO366" s="2" t="n">
        <v>40.62</v>
      </c>
      <c r="HQ366" s="2" t="inlineStr">
        <is>
          <t>(S)</t>
        </is>
      </c>
      <c r="HR366" s="2" t="inlineStr">
        <is>
          <t>(S)</t>
        </is>
      </c>
      <c r="HT366" s="2" t="n">
        <v>12.32096</v>
      </c>
      <c r="HW366" s="2" t="n">
        <v>256.1345</v>
      </c>
      <c r="HX366" s="2" t="inlineStr">
        <is>
          <t>-</t>
        </is>
      </c>
      <c r="HY366" s="2" t="n">
        <v>256.1345</v>
      </c>
      <c r="HZ366" s="2" t="n">
        <v>54.109</v>
      </c>
      <c r="IA366" s="2" t="n">
        <v>141.5825</v>
      </c>
      <c r="IB366" s="2" t="n">
        <v>32.5974</v>
      </c>
      <c r="IC366" s="2" t="n">
        <v>108.9851</v>
      </c>
      <c r="ID366" s="2" t="n">
        <v>60.6115</v>
      </c>
      <c r="IE366" s="2" t="n">
        <v>48.3736</v>
      </c>
      <c r="IH366" s="2" t="n">
        <v>31.894</v>
      </c>
      <c r="II366" s="2" t="n">
        <v>10</v>
      </c>
      <c r="IJ366" s="2" t="n">
        <v>9.001000000000001</v>
      </c>
      <c r="IK366" s="2" t="n">
        <v>12.893</v>
      </c>
      <c r="IL366" s="2" t="n">
        <v>28.54899999999998</v>
      </c>
      <c r="IN366" s="2" t="n">
        <v>44.94595</v>
      </c>
      <c r="IO366" s="2" t="n">
        <v>44.97295</v>
      </c>
      <c r="IP366" s="2" t="inlineStr">
        <is>
          <t>(D)</t>
        </is>
      </c>
      <c r="IQ366" s="2" t="n">
        <v>53.982</v>
      </c>
      <c r="IR366" s="2" t="n">
        <v>8.2462</v>
      </c>
      <c r="IT366" s="2" t="n">
        <v>45.11055</v>
      </c>
      <c r="IU366" s="2" t="inlineStr">
        <is>
          <t>(D)</t>
        </is>
      </c>
      <c r="IV366" s="2" t="inlineStr">
        <is>
          <t>(D)</t>
        </is>
      </c>
      <c r="IW366" s="2" t="inlineStr">
        <is>
          <t>(D)</t>
        </is>
      </c>
      <c r="IX366" s="2" t="inlineStr">
        <is>
          <t>(D)</t>
        </is>
      </c>
      <c r="IY366" s="2" t="n">
        <v>47.04424276305654</v>
      </c>
      <c r="IZ366" s="2" t="n">
        <v>0.07424276305654587</v>
      </c>
      <c r="JB366" s="2" t="n">
        <v>11.03288655320265</v>
      </c>
      <c r="JC366" s="2" t="n">
        <v>-0.07711344679735355</v>
      </c>
      <c r="JE366" s="2" t="n">
        <v>3221.69</v>
      </c>
      <c r="JF366" s="2" t="n">
        <v>0.8364315002374529</v>
      </c>
    </row>
    <row r="367">
      <c r="A367" s="1" t="n">
        <v>40210</v>
      </c>
      <c r="B367" s="2" t="n">
        <v>4615.692</v>
      </c>
      <c r="C367" s="2" t="n">
        <v>2857.668</v>
      </c>
      <c r="D367" s="2" t="n">
        <v>184.566</v>
      </c>
      <c r="E367" s="2" t="n">
        <v>1259.774</v>
      </c>
      <c r="F367" s="2" t="n">
        <v>14.262</v>
      </c>
      <c r="G367" s="2" t="inlineStr">
        <is>
          <t>NA</t>
        </is>
      </c>
      <c r="H367" s="2" t="inlineStr">
        <is>
          <t>NA</t>
        </is>
      </c>
      <c r="I367" s="2" t="inlineStr">
        <is>
          <t>NA</t>
        </is>
      </c>
      <c r="J367" s="2" t="inlineStr">
        <is>
          <t>NA</t>
        </is>
      </c>
      <c r="K367" s="2" t="n">
        <v>1690.098</v>
      </c>
      <c r="L367" s="2" t="n">
        <v>3295.694</v>
      </c>
      <c r="M367" s="2" t="n">
        <v>2994.436</v>
      </c>
      <c r="N367" s="2" t="n">
        <v>301.258</v>
      </c>
      <c r="O367" s="2" t="n">
        <v>55.936</v>
      </c>
      <c r="P367" s="2" t="n">
        <v>123.242</v>
      </c>
      <c r="Q367" s="2" t="n">
        <v>68.173</v>
      </c>
      <c r="R367" s="2" t="n">
        <v>55.069</v>
      </c>
      <c r="T367" s="2" t="n">
        <v>10.677</v>
      </c>
      <c r="U367" s="2" t="n">
        <v>23.43</v>
      </c>
      <c r="V367" s="2" t="n">
        <v>16.293</v>
      </c>
      <c r="W367" s="2" t="n">
        <v>7.137</v>
      </c>
      <c r="X367" s="2" t="inlineStr">
        <is>
          <t>NA</t>
        </is>
      </c>
      <c r="Y367" s="2" t="e">
        <v>#VALUE!</v>
      </c>
      <c r="Z367" s="2" t="n">
        <v>130.358</v>
      </c>
      <c r="AA367" s="2" t="n">
        <v>125.816</v>
      </c>
      <c r="AB367" s="2" t="n">
        <v>4.542</v>
      </c>
      <c r="AC367" s="2" t="inlineStr">
        <is>
          <t>NA</t>
        </is>
      </c>
      <c r="AD367" s="2" t="n">
        <v>74.6662</v>
      </c>
      <c r="AE367" s="2" t="n">
        <v>75.4076</v>
      </c>
      <c r="AF367" s="2" t="n">
        <v>174.492</v>
      </c>
      <c r="AG367" s="2" t="n">
        <v>126.143</v>
      </c>
      <c r="AH367" s="2" t="n">
        <v>48.349</v>
      </c>
      <c r="AI367" s="2" t="n">
        <v>188.138</v>
      </c>
      <c r="AJ367" s="2" t="n">
        <v>185.138</v>
      </c>
      <c r="AK367" s="2" t="n">
        <v>3</v>
      </c>
      <c r="AL367" s="2" t="n">
        <v>168.111</v>
      </c>
      <c r="AM367" s="2" t="n">
        <v>105.578</v>
      </c>
      <c r="AN367" s="2" t="n">
        <v>62.533</v>
      </c>
      <c r="AO367" s="2" t="n">
        <v>3375.214</v>
      </c>
      <c r="AP367" s="2" t="n">
        <v>654.224</v>
      </c>
      <c r="AQ367" s="2" t="n">
        <v>260.295</v>
      </c>
      <c r="AR367" s="2" t="n">
        <v>48.144</v>
      </c>
      <c r="AS367" s="2" t="n">
        <v>81.042</v>
      </c>
      <c r="AT367" s="2" t="n">
        <v>27.181</v>
      </c>
      <c r="AU367" s="2" t="n">
        <v>52.13</v>
      </c>
      <c r="AV367" s="2" t="n">
        <v>35.056</v>
      </c>
      <c r="AW367" s="2" t="n">
        <v>7.356</v>
      </c>
      <c r="AX367" s="2" t="inlineStr">
        <is>
          <t>NA</t>
        </is>
      </c>
      <c r="AY367" s="2" t="inlineStr">
        <is>
          <t>NA</t>
        </is>
      </c>
      <c r="AZ367" s="2" t="inlineStr">
        <is>
          <t>NA</t>
        </is>
      </c>
      <c r="BA367" s="2" t="inlineStr">
        <is>
          <t>NA</t>
        </is>
      </c>
      <c r="BB367" s="2" t="inlineStr">
        <is>
          <t>NA</t>
        </is>
      </c>
      <c r="BD367" s="2" t="n">
        <v>140.8482</v>
      </c>
      <c r="BE367" s="2" t="n">
        <v>39.567</v>
      </c>
      <c r="BF367" s="2" t="n">
        <v>59.1966</v>
      </c>
      <c r="BG367" s="2" t="n">
        <v>9.196999999999999</v>
      </c>
      <c r="BH367" s="2" t="n">
        <v>254.8792</v>
      </c>
      <c r="BI367" s="2" t="n">
        <v>104.1236</v>
      </c>
      <c r="BJ367" s="2" t="n">
        <v>93.73860000000001</v>
      </c>
      <c r="BK367" s="2" t="n">
        <v>197.8622</v>
      </c>
      <c r="BM367" s="2" t="n">
        <v>452.7414000000001</v>
      </c>
      <c r="BN367" s="2" t="n">
        <v>154.482</v>
      </c>
      <c r="BO367" s="2" t="n">
        <v>89.253</v>
      </c>
      <c r="BP367" s="2" t="n">
        <v>55.892</v>
      </c>
      <c r="BQ367" s="2" t="n">
        <v>145.145</v>
      </c>
      <c r="BS367" s="2" t="n">
        <v>299.627</v>
      </c>
      <c r="BT367" s="2" t="n">
        <v>30.4898</v>
      </c>
      <c r="BU367" s="2" t="n">
        <v>24.924</v>
      </c>
      <c r="BV367" s="2" t="inlineStr">
        <is>
          <t>NA</t>
        </is>
      </c>
      <c r="BW367" s="2" t="inlineStr">
        <is>
          <t>NA</t>
        </is>
      </c>
      <c r="BX367" s="2" t="n">
        <v>384.6856</v>
      </c>
      <c r="BY367" s="2" t="inlineStr">
        <is>
          <t>NA</t>
        </is>
      </c>
      <c r="BZ367" s="2" t="inlineStr">
        <is>
          <t>NA</t>
        </is>
      </c>
      <c r="CA367" s="2" t="n">
        <v>69.532</v>
      </c>
      <c r="CB367" s="2" t="n">
        <v>101.089</v>
      </c>
      <c r="CC367" s="2" t="n">
        <v>19.162</v>
      </c>
      <c r="CD367" s="2" t="n">
        <v>127.4808</v>
      </c>
      <c r="CE367" s="2" t="n">
        <v>17.799</v>
      </c>
      <c r="CF367" s="2" t="n">
        <v>104.551</v>
      </c>
      <c r="CG367" s="2" t="n">
        <v>85.87</v>
      </c>
      <c r="CH367" s="2" t="n">
        <v>6.25</v>
      </c>
      <c r="CI367" s="2" t="n">
        <v>28.2204</v>
      </c>
      <c r="CJ367" s="2" t="n">
        <v>8.433999999999999</v>
      </c>
      <c r="CK367" s="2" t="n">
        <v>125.2448</v>
      </c>
      <c r="CL367" s="2" t="n">
        <v>20.354</v>
      </c>
      <c r="CN367" s="2" t="n">
        <v>68.479</v>
      </c>
      <c r="CO367" s="2" t="n">
        <v>171.23</v>
      </c>
      <c r="CP367" s="2" t="n">
        <v>129.179</v>
      </c>
      <c r="CQ367" s="2" t="n">
        <v>42.051</v>
      </c>
      <c r="CR367" s="2" t="inlineStr">
        <is>
          <t>NA</t>
        </is>
      </c>
      <c r="CS367" s="2" t="n">
        <v>46.437</v>
      </c>
      <c r="CT367" s="2" t="inlineStr">
        <is>
          <t>(D)</t>
        </is>
      </c>
      <c r="CU367" s="2" t="inlineStr">
        <is>
          <t>(D)</t>
        </is>
      </c>
      <c r="CV367" s="2" t="n">
        <v>301.106</v>
      </c>
      <c r="CW367" s="2" t="inlineStr">
        <is>
          <t>(D)</t>
        </is>
      </c>
      <c r="CX367" s="2" t="inlineStr">
        <is>
          <t>(D)</t>
        </is>
      </c>
      <c r="CY367" s="2" t="inlineStr">
        <is>
          <t>(D)</t>
        </is>
      </c>
      <c r="CZ367" s="2" t="n">
        <v>72.43000000000001</v>
      </c>
      <c r="DA367" s="2" t="n">
        <v>25.375</v>
      </c>
      <c r="DB367" s="2" t="inlineStr">
        <is>
          <t>(D)</t>
        </is>
      </c>
      <c r="DC367" s="2" t="inlineStr">
        <is>
          <t>(D)</t>
        </is>
      </c>
      <c r="DI367" s="2" t="n">
        <v>730.745</v>
      </c>
      <c r="DJ367" s="2" t="n">
        <v>616.888</v>
      </c>
      <c r="DK367" s="2" t="n">
        <v>920.808</v>
      </c>
      <c r="DM367" s="2" t="n">
        <v>468.089</v>
      </c>
      <c r="DO367" s="2" t="n">
        <v>313.61</v>
      </c>
      <c r="DP367" s="2" t="n">
        <v>247.322</v>
      </c>
      <c r="DS367" s="2" t="n">
        <v>1318.23</v>
      </c>
      <c r="DT367" s="2" t="n">
        <v>4615.692</v>
      </c>
      <c r="DU367" s="2" t="n">
        <v>0</v>
      </c>
      <c r="DV367" s="2" t="n">
        <v>0</v>
      </c>
      <c r="EA367" s="2" t="n">
        <v>373.175</v>
      </c>
      <c r="EB367" s="2" t="n">
        <v>507.899</v>
      </c>
      <c r="EC367" s="2" t="n">
        <v>447.712</v>
      </c>
      <c r="EE367" s="2" t="n">
        <v>169.421</v>
      </c>
      <c r="EG367" s="2" t="n">
        <v>114.206</v>
      </c>
      <c r="EH367" s="2" t="n">
        <v>222.411</v>
      </c>
      <c r="EK367" s="2" t="n">
        <v>1022.844</v>
      </c>
      <c r="EL367" s="2" t="n">
        <v>2857.668</v>
      </c>
      <c r="EQ367" s="2" t="n">
        <v>265.165</v>
      </c>
      <c r="ER367" s="2" t="n">
        <v>223.295</v>
      </c>
      <c r="ES367" s="2" t="n">
        <v>338.035</v>
      </c>
      <c r="EU367" s="2" t="n">
        <v>172.323</v>
      </c>
      <c r="EW367" s="2" t="n">
        <v>111.717</v>
      </c>
      <c r="EX367" s="2" t="n">
        <v>89.645</v>
      </c>
      <c r="FA367" s="2" t="n">
        <v>489.9179999999999</v>
      </c>
      <c r="FB367" s="2" t="n">
        <v>1690.098</v>
      </c>
      <c r="FG367" s="2" t="n">
        <v>573.102</v>
      </c>
      <c r="FH367" s="2" t="n">
        <v>489.718</v>
      </c>
      <c r="FI367" s="2" t="n">
        <v>722.1420000000001</v>
      </c>
      <c r="FK367" s="2" t="n">
        <v>363.499</v>
      </c>
      <c r="FM367" s="2" t="n">
        <v>251.724</v>
      </c>
      <c r="FN367" s="2" t="n">
        <v>199.916</v>
      </c>
      <c r="FQ367" s="2" t="n">
        <v>1043.74</v>
      </c>
      <c r="FR367" s="2" t="n">
        <v>3643.841</v>
      </c>
      <c r="FW367" s="2" t="n">
        <v>390.317</v>
      </c>
      <c r="FX367" s="2" t="n">
        <v>153.167</v>
      </c>
      <c r="FY367" s="2" t="n">
        <v>317.395</v>
      </c>
      <c r="GA367" s="2" t="n">
        <v>93.44</v>
      </c>
      <c r="GC367" s="2" t="inlineStr">
        <is>
          <t>(D)</t>
        </is>
      </c>
      <c r="GD367" s="2" t="inlineStr">
        <is>
          <t>(D)</t>
        </is>
      </c>
      <c r="GG367" s="2" t="n">
        <v>458.1370000000001</v>
      </c>
      <c r="GH367" s="2" t="n">
        <v>1532.736</v>
      </c>
      <c r="GM367" s="2" t="n">
        <v>172.572</v>
      </c>
      <c r="GN367" s="2" t="n">
        <v>113.835</v>
      </c>
      <c r="GO367" s="2" t="n">
        <v>132.504</v>
      </c>
      <c r="GQ367" s="2" t="n">
        <v>53.283</v>
      </c>
      <c r="GS367" s="2" t="n">
        <v>21.908</v>
      </c>
      <c r="GT367" s="2" t="n">
        <v>6.831</v>
      </c>
      <c r="GW367" s="2" t="n">
        <v>201.435</v>
      </c>
      <c r="GX367" s="2" t="n">
        <v>702.3</v>
      </c>
      <c r="GY367" s="2" t="n">
        <v>0.9812593249350677</v>
      </c>
      <c r="GZ367" s="2" t="n">
        <v>1154.1058</v>
      </c>
      <c r="HA367" s="2" t="n">
        <v>1176.1476</v>
      </c>
      <c r="HB367" s="2" t="n">
        <v>-40.15387490619946</v>
      </c>
      <c r="HC367" s="2" t="n">
        <v>-34.91400444779902</v>
      </c>
      <c r="HD367" s="2" t="n">
        <v>1226.7531250938</v>
      </c>
      <c r="HE367" s="2" t="n">
        <v>-59.69299999999998</v>
      </c>
      <c r="HF367" s="2" t="n">
        <v>1266.907</v>
      </c>
      <c r="HG367" s="2" t="n">
        <v>1134.904</v>
      </c>
      <c r="HH367" s="2" t="n">
        <v>256.6124</v>
      </c>
      <c r="HI367" s="2" t="inlineStr">
        <is>
          <t>(D)</t>
        </is>
      </c>
      <c r="HJ367" s="2" t="n">
        <v>814.3381999999999</v>
      </c>
      <c r="HK367" s="2" t="inlineStr">
        <is>
          <t>(D)</t>
        </is>
      </c>
      <c r="HL367" s="2" t="n">
        <v>132.003</v>
      </c>
      <c r="HM367" s="2" t="n">
        <v>109.518</v>
      </c>
      <c r="HN367" s="2" t="n">
        <v>50.653</v>
      </c>
      <c r="HO367" s="2" t="n">
        <v>58.865</v>
      </c>
      <c r="HQ367" s="2" t="inlineStr">
        <is>
          <t>(S)</t>
        </is>
      </c>
      <c r="HR367" s="2" t="inlineStr">
        <is>
          <t>(S)</t>
        </is>
      </c>
      <c r="HT367" s="2" t="n">
        <v>13.162</v>
      </c>
      <c r="HW367" s="2" t="n">
        <v>263.5685999999999</v>
      </c>
      <c r="HX367" s="2" t="inlineStr">
        <is>
          <t>-</t>
        </is>
      </c>
      <c r="HY367" s="2" t="n">
        <v>263.5685999999999</v>
      </c>
      <c r="HZ367" s="2" t="n">
        <v>61.069</v>
      </c>
      <c r="IA367" s="2" t="n">
        <v>137.0026</v>
      </c>
      <c r="IB367" s="2" t="n">
        <v>27.644</v>
      </c>
      <c r="IC367" s="2" t="n">
        <v>109.3586</v>
      </c>
      <c r="ID367" s="2" t="n">
        <v>63.7368</v>
      </c>
      <c r="IE367" s="2" t="n">
        <v>45.6218</v>
      </c>
      <c r="IH367" s="2" t="n">
        <v>34.768</v>
      </c>
      <c r="II367" s="2" t="n">
        <v>12.5</v>
      </c>
      <c r="IJ367" s="2" t="n">
        <v>9.418000000000001</v>
      </c>
      <c r="IK367" s="2" t="n">
        <v>12.85</v>
      </c>
      <c r="IL367" s="2" t="n">
        <v>30.72899999999993</v>
      </c>
      <c r="IN367" s="2" t="n">
        <v>41.373</v>
      </c>
      <c r="IO367" s="2" t="n">
        <v>41.396</v>
      </c>
      <c r="IP367" s="2" t="inlineStr">
        <is>
          <t>(D)</t>
        </is>
      </c>
      <c r="IQ367" s="2" t="n">
        <v>51.091</v>
      </c>
      <c r="IR367" s="2" t="n">
        <v>8.818</v>
      </c>
      <c r="IT367" s="2" t="n">
        <v>41.2822</v>
      </c>
      <c r="IU367" s="2" t="inlineStr">
        <is>
          <t>(D)</t>
        </is>
      </c>
      <c r="IV367" s="2" t="inlineStr">
        <is>
          <t>(D)</t>
        </is>
      </c>
      <c r="IW367" s="2" t="inlineStr">
        <is>
          <t>(D)</t>
        </is>
      </c>
      <c r="IX367" s="2" t="inlineStr">
        <is>
          <t>(D)</t>
        </is>
      </c>
      <c r="IY367" s="2" t="n">
        <v>47.25846958592557</v>
      </c>
      <c r="IZ367" s="2" t="n">
        <v>0.0384695859255757</v>
      </c>
      <c r="JB367" s="2" t="n">
        <v>10.98490540530001</v>
      </c>
      <c r="JC367" s="2" t="n">
        <v>-0.1250945946999931</v>
      </c>
      <c r="JE367" s="2" t="n">
        <v>3295.694</v>
      </c>
      <c r="JF367" s="2" t="n">
        <v>0.8653609831495279</v>
      </c>
    </row>
    <row r="368">
      <c r="A368" s="1" t="n">
        <v>40238</v>
      </c>
      <c r="B368" s="2" t="n">
        <v>4681.65478</v>
      </c>
      <c r="C368" s="2" t="n">
        <v>2898.803</v>
      </c>
      <c r="D368" s="2" t="n">
        <v>187.315</v>
      </c>
      <c r="E368" s="2" t="n">
        <v>1094.569</v>
      </c>
      <c r="F368" s="2" t="n">
        <v>15.076</v>
      </c>
      <c r="G368" s="2" t="inlineStr">
        <is>
          <t>NA</t>
        </is>
      </c>
      <c r="H368" s="2" t="inlineStr">
        <is>
          <t>NA</t>
        </is>
      </c>
      <c r="I368" s="2" t="inlineStr">
        <is>
          <t>NA</t>
        </is>
      </c>
      <c r="J368" s="2" t="inlineStr">
        <is>
          <t>NA</t>
        </is>
      </c>
      <c r="K368" s="2" t="n">
        <v>1727.70571</v>
      </c>
      <c r="L368" s="2" t="n">
        <v>3317.647</v>
      </c>
      <c r="M368" s="2" t="n">
        <v>3048.158</v>
      </c>
      <c r="N368" s="2" t="n">
        <v>269.489</v>
      </c>
      <c r="O368" s="2" t="n">
        <v>60.148</v>
      </c>
      <c r="P368" s="2" t="n">
        <v>139.492</v>
      </c>
      <c r="Q368" s="2" t="n">
        <v>85.116</v>
      </c>
      <c r="R368" s="2" t="n">
        <v>54.376</v>
      </c>
      <c r="T368" s="2" t="n">
        <v>12.0976</v>
      </c>
      <c r="U368" s="2" t="n">
        <v>25.461</v>
      </c>
      <c r="V368" s="2" t="e">
        <v>#VALUE!</v>
      </c>
      <c r="W368" s="2" t="e">
        <v>#VALUE!</v>
      </c>
      <c r="X368" s="2" t="inlineStr">
        <is>
          <t>NA</t>
        </is>
      </c>
      <c r="Y368" s="2" t="e">
        <v>#VALUE!</v>
      </c>
      <c r="Z368" s="2" t="n">
        <v>123.511</v>
      </c>
      <c r="AA368" s="2" t="n">
        <v>120.33</v>
      </c>
      <c r="AB368" s="2" t="n">
        <v>3.181</v>
      </c>
      <c r="AC368" s="2" t="inlineStr">
        <is>
          <t>NA</t>
        </is>
      </c>
      <c r="AD368" s="2" t="n">
        <v>66.26416999999999</v>
      </c>
      <c r="AE368" s="2" t="n">
        <v>67.1279</v>
      </c>
      <c r="AF368" s="2" t="n">
        <v>216.518</v>
      </c>
      <c r="AG368" s="2" t="n">
        <v>166.899</v>
      </c>
      <c r="AH368" s="2" t="n">
        <v>49.619</v>
      </c>
      <c r="AI368" s="2" t="n">
        <v>212.43</v>
      </c>
      <c r="AJ368" s="2" t="n">
        <v>209.43</v>
      </c>
      <c r="AK368" s="2" t="n">
        <v>3</v>
      </c>
      <c r="AL368" s="2" t="n">
        <v>190.333</v>
      </c>
      <c r="AM368" s="2" t="n">
        <v>135.151</v>
      </c>
      <c r="AN368" s="2" t="n">
        <v>55.182</v>
      </c>
      <c r="AO368" s="2" t="n">
        <v>3415.26438</v>
      </c>
      <c r="AP368" s="2" t="n">
        <v>328.144</v>
      </c>
      <c r="AQ368" s="2" t="n">
        <v>264.84859</v>
      </c>
      <c r="AR368" s="2" t="n">
        <v>33.643</v>
      </c>
      <c r="AS368" s="2" t="n">
        <v>78.867</v>
      </c>
      <c r="AT368" s="2" t="n">
        <v>34.639</v>
      </c>
      <c r="AU368" s="2" t="n">
        <v>61.656</v>
      </c>
      <c r="AV368" s="2" t="n">
        <v>33.183</v>
      </c>
      <c r="AW368" s="2" t="n">
        <v>8.233000000000001</v>
      </c>
      <c r="AX368" s="2" t="inlineStr">
        <is>
          <t>NA</t>
        </is>
      </c>
      <c r="AY368" s="2" t="inlineStr">
        <is>
          <t>NA</t>
        </is>
      </c>
      <c r="AZ368" s="2" t="inlineStr">
        <is>
          <t>NA</t>
        </is>
      </c>
      <c r="BA368" s="2" t="inlineStr">
        <is>
          <t>NA</t>
        </is>
      </c>
      <c r="BB368" s="2" t="inlineStr">
        <is>
          <t>NA</t>
        </is>
      </c>
      <c r="BD368" s="2" t="n">
        <v>145.44483</v>
      </c>
      <c r="BE368" s="2" t="n">
        <v>36.754</v>
      </c>
      <c r="BF368" s="2" t="n">
        <v>66.37591</v>
      </c>
      <c r="BG368" s="2" t="n">
        <v>7.986</v>
      </c>
      <c r="BH368" s="2" t="n">
        <v>298.00406</v>
      </c>
      <c r="BI368" s="2" t="n">
        <v>112.79988</v>
      </c>
      <c r="BJ368" s="2" t="n">
        <v>112.61749</v>
      </c>
      <c r="BK368" s="2" t="n">
        <v>225.41737</v>
      </c>
      <c r="BM368" s="2" t="n">
        <v>523.42143</v>
      </c>
      <c r="BN368" s="2" t="n">
        <v>176.28</v>
      </c>
      <c r="BO368" s="2" t="n">
        <v>106.655</v>
      </c>
      <c r="BP368" s="2" t="n">
        <v>62.995</v>
      </c>
      <c r="BQ368" s="2" t="n">
        <v>169.65</v>
      </c>
      <c r="BS368" s="2" t="n">
        <v>345.93</v>
      </c>
      <c r="BT368" s="2" t="n">
        <v>30.18093</v>
      </c>
      <c r="BU368" s="2" t="n">
        <v>31.66</v>
      </c>
      <c r="BV368" s="2" t="inlineStr">
        <is>
          <t>NA</t>
        </is>
      </c>
      <c r="BW368" s="2" t="inlineStr">
        <is>
          <t>NA</t>
        </is>
      </c>
      <c r="BX368" s="2" t="n">
        <v>442.7068</v>
      </c>
      <c r="BY368" s="2" t="inlineStr">
        <is>
          <t>NA</t>
        </is>
      </c>
      <c r="BZ368" s="2" t="inlineStr">
        <is>
          <t>NA</t>
        </is>
      </c>
      <c r="CA368" s="2" t="n">
        <v>62.702</v>
      </c>
      <c r="CB368" s="2" t="n">
        <v>118.79325</v>
      </c>
      <c r="CC368" s="2" t="n">
        <v>24.674</v>
      </c>
      <c r="CD368" s="2" t="n">
        <v>140.37764</v>
      </c>
      <c r="CE368" s="2" t="n">
        <v>15.252</v>
      </c>
      <c r="CF368" s="2" t="n">
        <v>115.73251</v>
      </c>
      <c r="CG368" s="2" t="n">
        <v>127.765</v>
      </c>
      <c r="CH368" s="2" t="n">
        <v>5.899</v>
      </c>
      <c r="CI368" s="2" t="n">
        <v>32.1135</v>
      </c>
      <c r="CJ368" s="2" t="n">
        <v>5.935</v>
      </c>
      <c r="CK368" s="2" t="n">
        <v>139.99988</v>
      </c>
      <c r="CL368" s="2" t="n">
        <v>26.26</v>
      </c>
      <c r="CN368" s="2" t="n">
        <v>74.29008</v>
      </c>
      <c r="CO368" s="2" t="n">
        <v>137.734</v>
      </c>
      <c r="CP368" s="2" t="n">
        <v>101.156</v>
      </c>
      <c r="CQ368" s="2" t="n">
        <v>36.578</v>
      </c>
      <c r="CR368" s="2" t="inlineStr">
        <is>
          <t>NA</t>
        </is>
      </c>
      <c r="CS368" s="2" t="n">
        <v>39.613</v>
      </c>
      <c r="CT368" s="2" t="inlineStr">
        <is>
          <t>(D)</t>
        </is>
      </c>
      <c r="CU368" s="2" t="inlineStr">
        <is>
          <t>(D)</t>
        </is>
      </c>
      <c r="CV368" s="2" t="n">
        <v>227.221</v>
      </c>
      <c r="CW368" s="2" t="inlineStr">
        <is>
          <t>(D)</t>
        </is>
      </c>
      <c r="CX368" s="2" t="inlineStr">
        <is>
          <t>(D)</t>
        </is>
      </c>
      <c r="CY368" s="2" t="n">
        <v>21.36976</v>
      </c>
      <c r="CZ368" s="2" t="n">
        <v>72.92399999999999</v>
      </c>
      <c r="DA368" s="2" t="n">
        <v>24.669</v>
      </c>
      <c r="DB368" s="2" t="inlineStr">
        <is>
          <t>(D)</t>
        </is>
      </c>
      <c r="DC368" s="2" t="inlineStr">
        <is>
          <t>(D)</t>
        </is>
      </c>
      <c r="DI368" s="2" t="n">
        <v>615.567</v>
      </c>
      <c r="DJ368" s="2" t="n">
        <v>617.5434799999999</v>
      </c>
      <c r="DK368" s="2" t="n">
        <v>987.004</v>
      </c>
      <c r="DM368" s="2" t="n">
        <v>488.724</v>
      </c>
      <c r="DO368" s="2" t="n">
        <v>293.123</v>
      </c>
      <c r="DP368" s="2" t="n">
        <v>262.595</v>
      </c>
      <c r="DS368" s="2" t="n">
        <v>1417.0983</v>
      </c>
      <c r="DT368" s="2" t="n">
        <v>4681.65478</v>
      </c>
      <c r="DU368" s="2" t="n">
        <v>0</v>
      </c>
      <c r="DV368" s="2" t="n">
        <v>0</v>
      </c>
      <c r="EA368" s="2" t="n">
        <v>320.283</v>
      </c>
      <c r="EB368" s="2" t="n">
        <v>440.505</v>
      </c>
      <c r="EC368" s="2" t="n">
        <v>546.543</v>
      </c>
      <c r="EE368" s="2" t="n">
        <v>168.76</v>
      </c>
      <c r="EG368" s="2" t="n">
        <v>109.799</v>
      </c>
      <c r="EH368" s="2" t="n">
        <v>227.723</v>
      </c>
      <c r="EK368" s="2" t="n">
        <v>1085.19</v>
      </c>
      <c r="EL368" s="2" t="n">
        <v>2898.803</v>
      </c>
      <c r="EQ368" s="2" t="n">
        <v>222.187</v>
      </c>
      <c r="ER368" s="2" t="n">
        <v>224.41936</v>
      </c>
      <c r="ES368" s="2" t="n">
        <v>366.635</v>
      </c>
      <c r="EU368" s="2" t="n">
        <v>185.972</v>
      </c>
      <c r="EW368" s="2" t="n">
        <v>105.778</v>
      </c>
      <c r="EX368" s="2" t="n">
        <v>96.334</v>
      </c>
      <c r="FA368" s="2" t="n">
        <v>526.3803499999999</v>
      </c>
      <c r="FB368" s="2" t="n">
        <v>1727.70571</v>
      </c>
      <c r="FG368" s="2" t="n">
        <v>481.569</v>
      </c>
      <c r="FH368" s="2" t="n">
        <v>487.12932</v>
      </c>
      <c r="FI368" s="2" t="n">
        <v>769.179</v>
      </c>
      <c r="FK368" s="2" t="n">
        <v>382.707</v>
      </c>
      <c r="FM368" s="2" t="n">
        <v>234.646</v>
      </c>
      <c r="FN368" s="2" t="n">
        <v>210.904</v>
      </c>
      <c r="FQ368" s="2" t="n">
        <v>1120.64565</v>
      </c>
      <c r="FR368" s="2" t="n">
        <v>3686.77997</v>
      </c>
      <c r="FW368" s="2" t="n">
        <v>404.487</v>
      </c>
      <c r="FX368" s="2" t="n">
        <v>164.527</v>
      </c>
      <c r="FY368" s="2" t="n">
        <v>310.341</v>
      </c>
      <c r="GA368" s="2" t="n">
        <v>113.243</v>
      </c>
      <c r="GC368" s="2" t="inlineStr">
        <is>
          <t>(D)</t>
        </is>
      </c>
      <c r="GD368" s="2" t="inlineStr">
        <is>
          <t>(D)</t>
        </is>
      </c>
      <c r="GG368" s="2" t="n">
        <v>476.035</v>
      </c>
      <c r="GH368" s="2" t="n">
        <v>1592.709</v>
      </c>
      <c r="GM368" s="2" t="n">
        <v>68.45399999999999</v>
      </c>
      <c r="GN368" s="2" t="n">
        <v>70.79600000000001</v>
      </c>
      <c r="GO368" s="2" t="n">
        <v>89.90300000000001</v>
      </c>
      <c r="GQ368" s="2" t="n">
        <v>37.772</v>
      </c>
      <c r="GS368" s="2" t="inlineStr">
        <is>
          <t>(D)</t>
        </is>
      </c>
      <c r="GT368" s="2" t="inlineStr">
        <is>
          <t>(D)</t>
        </is>
      </c>
      <c r="GW368" s="2" t="n">
        <v>74.91200000000001</v>
      </c>
      <c r="GX368" s="2" t="n">
        <v>361.725</v>
      </c>
      <c r="GY368" s="2" t="n">
        <v>0.9820261280057779</v>
      </c>
      <c r="GZ368" s="2" t="n">
        <v>1272.70979</v>
      </c>
      <c r="HA368" s="2" t="n">
        <v>1296.004</v>
      </c>
      <c r="HB368" s="2" t="n">
        <v>-74.24698697160034</v>
      </c>
      <c r="HC368" s="2" t="n">
        <v>-105.0738286850014</v>
      </c>
      <c r="HD368" s="2" t="n">
        <v>1311.416823028399</v>
      </c>
      <c r="HE368" s="2" t="n">
        <v>33.56380999999988</v>
      </c>
      <c r="HF368" s="2" t="n">
        <v>1385.66381</v>
      </c>
      <c r="HG368" s="2" t="n">
        <v>1228.90913</v>
      </c>
      <c r="HH368" s="2" t="n">
        <v>320.79819</v>
      </c>
      <c r="HI368" s="2" t="inlineStr">
        <is>
          <t>(D)</t>
        </is>
      </c>
      <c r="HJ368" s="2" t="n">
        <v>837.01855</v>
      </c>
      <c r="HK368" s="2" t="n">
        <v>1.496</v>
      </c>
      <c r="HL368" s="2" t="n">
        <v>156.75468</v>
      </c>
      <c r="HM368" s="2" t="n">
        <v>133.736</v>
      </c>
      <c r="HN368" s="2" t="n">
        <v>50.926</v>
      </c>
      <c r="HO368" s="2" t="n">
        <v>82.81</v>
      </c>
      <c r="HQ368" s="2" t="inlineStr">
        <is>
          <t>(S)</t>
        </is>
      </c>
      <c r="HR368" s="2" t="inlineStr">
        <is>
          <t>(S)</t>
        </is>
      </c>
      <c r="HT368" s="2" t="n">
        <v>12.74784</v>
      </c>
      <c r="HW368" s="2" t="n">
        <v>302.42885</v>
      </c>
      <c r="HX368" s="2" t="inlineStr">
        <is>
          <t>-</t>
        </is>
      </c>
      <c r="HY368" s="2" t="n">
        <v>302.42885</v>
      </c>
      <c r="HZ368" s="2" t="n">
        <v>67.40600000000001</v>
      </c>
      <c r="IA368" s="2" t="n">
        <v>147.39085</v>
      </c>
      <c r="IB368" s="2" t="n">
        <v>30.63598</v>
      </c>
      <c r="IC368" s="2" t="n">
        <v>116.75487</v>
      </c>
      <c r="ID368" s="2" t="n">
        <v>68.80962</v>
      </c>
      <c r="IE368" s="2" t="n">
        <v>47.94525</v>
      </c>
      <c r="IH368" s="2" t="n">
        <v>53.20100000000001</v>
      </c>
      <c r="II368" s="2" t="n">
        <v>17.5</v>
      </c>
      <c r="IJ368" s="2" t="n">
        <v>16.46500000000001</v>
      </c>
      <c r="IK368" s="2" t="n">
        <v>19.236</v>
      </c>
      <c r="IL368" s="2" t="n">
        <v>34.431</v>
      </c>
      <c r="IN368" s="2" t="n">
        <v>43.93712</v>
      </c>
      <c r="IO368" s="2" t="n">
        <v>43.94112000000001</v>
      </c>
      <c r="IP368" s="2" t="inlineStr">
        <is>
          <t>(D)</t>
        </is>
      </c>
      <c r="IQ368" s="2" t="n">
        <v>53.061</v>
      </c>
      <c r="IR368" s="2" t="n">
        <v>6.54495</v>
      </c>
      <c r="IT368" s="2" t="n">
        <v>45.909</v>
      </c>
      <c r="IU368" s="2" t="inlineStr">
        <is>
          <t>(D)</t>
        </is>
      </c>
      <c r="IV368" s="2" t="inlineStr">
        <is>
          <t>(D)</t>
        </is>
      </c>
      <c r="IW368" s="2" t="inlineStr">
        <is>
          <t>(D)</t>
        </is>
      </c>
      <c r="IX368" s="2" t="inlineStr">
        <is>
          <t>(D)</t>
        </is>
      </c>
      <c r="IY368" s="2" t="n">
        <v>47.16425891616041</v>
      </c>
      <c r="IZ368" s="2" t="n">
        <v>0.1242589161604144</v>
      </c>
      <c r="JB368" s="2" t="n">
        <v>11.07112201468217</v>
      </c>
      <c r="JC368" s="2" t="n">
        <v>-0.07887798531783297</v>
      </c>
      <c r="JE368" s="2" t="n">
        <v>3317.647</v>
      </c>
      <c r="JF368" s="2" t="n">
        <v>0.8253898018686134</v>
      </c>
    </row>
    <row r="369">
      <c r="A369" s="1" t="n">
        <v>40269</v>
      </c>
      <c r="B369" s="2" t="n">
        <v>4093.78492</v>
      </c>
      <c r="C369" s="2" t="n">
        <v>2423.172</v>
      </c>
      <c r="D369" s="2" t="n">
        <v>180.0072</v>
      </c>
      <c r="E369" s="2" t="n">
        <v>906.124</v>
      </c>
      <c r="F369" s="2" t="n">
        <v>12.6</v>
      </c>
      <c r="G369" s="2" t="inlineStr">
        <is>
          <t>NA</t>
        </is>
      </c>
      <c r="H369" s="2" t="inlineStr">
        <is>
          <t>NA</t>
        </is>
      </c>
      <c r="I369" s="2" t="inlineStr">
        <is>
          <t>NA</t>
        </is>
      </c>
      <c r="J369" s="2" t="inlineStr">
        <is>
          <t>NA</t>
        </is>
      </c>
      <c r="K369" s="2" t="n">
        <v>1518.1203</v>
      </c>
      <c r="L369" s="2" t="n">
        <v>3414.793</v>
      </c>
      <c r="M369" s="2" t="n">
        <v>3151.812</v>
      </c>
      <c r="N369" s="2" t="n">
        <v>262.981</v>
      </c>
      <c r="O369" s="2" t="n">
        <v>51.4957</v>
      </c>
      <c r="P369" s="2" t="n">
        <v>135.666</v>
      </c>
      <c r="Q369" s="2" t="n">
        <v>87.968</v>
      </c>
      <c r="R369" s="2" t="n">
        <v>47.698</v>
      </c>
      <c r="T369" s="2" t="n">
        <v>10.0092</v>
      </c>
      <c r="U369" s="2" t="n">
        <v>20.942</v>
      </c>
      <c r="V369" s="2" t="e">
        <v>#VALUE!</v>
      </c>
      <c r="W369" s="2" t="e">
        <v>#VALUE!</v>
      </c>
      <c r="X369" s="2" t="inlineStr">
        <is>
          <t>NA</t>
        </is>
      </c>
      <c r="Y369" s="2" t="e">
        <v>#VALUE!</v>
      </c>
      <c r="Z369" s="2" t="n">
        <v>122.111</v>
      </c>
      <c r="AA369" s="2" t="n">
        <v>119.209</v>
      </c>
      <c r="AB369" s="2" t="n">
        <v>2.902</v>
      </c>
      <c r="AC369" s="2" t="inlineStr">
        <is>
          <t>NA</t>
        </is>
      </c>
      <c r="AD369" s="2" t="n">
        <v>96.5946</v>
      </c>
      <c r="AE369" s="2" t="n">
        <v>98.97710000000001</v>
      </c>
      <c r="AF369" s="2" t="n">
        <v>246.43</v>
      </c>
      <c r="AG369" s="2" t="n">
        <v>173.622</v>
      </c>
      <c r="AH369" s="2" t="n">
        <v>72.80800000000001</v>
      </c>
      <c r="AI369" s="2" t="n">
        <v>214.7</v>
      </c>
      <c r="AJ369" s="2" t="n">
        <v>211.7</v>
      </c>
      <c r="AK369" s="2" t="n">
        <v>3</v>
      </c>
      <c r="AL369" s="2" t="n">
        <v>173.873</v>
      </c>
      <c r="AM369" s="2" t="n">
        <v>108.152</v>
      </c>
      <c r="AN369" s="2" t="n">
        <v>65.721</v>
      </c>
      <c r="AO369" s="2" t="n">
        <v>2981.511759999999</v>
      </c>
      <c r="AP369" s="2" t="n">
        <v>265.076</v>
      </c>
      <c r="AQ369" s="2" t="n">
        <v>230.30494</v>
      </c>
      <c r="AR369" s="2" t="n">
        <v>30.959</v>
      </c>
      <c r="AS369" s="2" t="n">
        <v>76.7671</v>
      </c>
      <c r="AT369" s="2" t="n">
        <v>47.843</v>
      </c>
      <c r="AU369" s="2" t="n">
        <v>55.3093</v>
      </c>
      <c r="AV369" s="2" t="n">
        <v>33.251</v>
      </c>
      <c r="AW369" s="2" t="n">
        <v>6.7959</v>
      </c>
      <c r="AX369" s="2" t="inlineStr">
        <is>
          <t>NA</t>
        </is>
      </c>
      <c r="AY369" s="2" t="inlineStr">
        <is>
          <t>NA</t>
        </is>
      </c>
      <c r="AZ369" s="2" t="inlineStr">
        <is>
          <t>NA</t>
        </is>
      </c>
      <c r="BA369" s="2" t="inlineStr">
        <is>
          <t>NA</t>
        </is>
      </c>
      <c r="BB369" s="2" t="inlineStr">
        <is>
          <t>NA</t>
        </is>
      </c>
      <c r="BD369" s="2" t="n">
        <v>134.72062</v>
      </c>
      <c r="BE369" s="2" t="n">
        <v>35.757</v>
      </c>
      <c r="BF369" s="2" t="n">
        <v>67.26891999999999</v>
      </c>
      <c r="BG369" s="2" t="n">
        <v>8.773999999999999</v>
      </c>
      <c r="BH369" s="2" t="n">
        <v>264.954</v>
      </c>
      <c r="BI369" s="2" t="n">
        <v>121.86678</v>
      </c>
      <c r="BJ369" s="2" t="n">
        <v>115.9234</v>
      </c>
      <c r="BK369" s="2" t="n">
        <v>237.79018</v>
      </c>
      <c r="BM369" s="2" t="n">
        <v>502.74418</v>
      </c>
      <c r="BN369" s="2" t="n">
        <v>170.195</v>
      </c>
      <c r="BO369" s="2" t="n">
        <v>149.594</v>
      </c>
      <c r="BP369" s="2" t="n">
        <v>64.81399999999999</v>
      </c>
      <c r="BQ369" s="2" t="n">
        <v>214.408</v>
      </c>
      <c r="BS369" s="2" t="n">
        <v>384.603</v>
      </c>
      <c r="BT369" s="2" t="n">
        <v>26.0695</v>
      </c>
      <c r="BU369" s="2" t="n">
        <v>35.337</v>
      </c>
      <c r="BV369" s="2" t="inlineStr">
        <is>
          <t>NA</t>
        </is>
      </c>
      <c r="BW369" s="2" t="inlineStr">
        <is>
          <t>NA</t>
        </is>
      </c>
      <c r="BX369" s="2" t="n">
        <v>413.94844</v>
      </c>
      <c r="BY369" s="2" t="inlineStr">
        <is>
          <t>NA</t>
        </is>
      </c>
      <c r="BZ369" s="2" t="inlineStr">
        <is>
          <t>NA</t>
        </is>
      </c>
      <c r="CA369" s="2" t="n">
        <v>60.724</v>
      </c>
      <c r="CB369" s="2" t="n">
        <v>117.26074</v>
      </c>
      <c r="CC369" s="2" t="n">
        <v>26.462</v>
      </c>
      <c r="CD369" s="2" t="n">
        <v>150.50912</v>
      </c>
      <c r="CE369" s="2" t="n">
        <v>18.37</v>
      </c>
      <c r="CF369" s="2" t="n">
        <v>116.8407</v>
      </c>
      <c r="CG369" s="2" t="n">
        <v>109.228</v>
      </c>
      <c r="CH369" s="2" t="n">
        <v>6.063</v>
      </c>
      <c r="CI369" s="2" t="n">
        <v>28.1993</v>
      </c>
      <c r="CJ369" s="2" t="n">
        <v>5.127</v>
      </c>
      <c r="CK369" s="2" t="n">
        <v>135.1827</v>
      </c>
      <c r="CL369" s="2" t="n">
        <v>24.746</v>
      </c>
      <c r="CN369" s="2" t="n">
        <v>64.93899999999999</v>
      </c>
      <c r="CO369" s="2" t="n">
        <v>119.791</v>
      </c>
      <c r="CP369" s="2" t="n">
        <v>108.837</v>
      </c>
      <c r="CQ369" s="2" t="n">
        <v>10.954</v>
      </c>
      <c r="CR369" s="2" t="inlineStr">
        <is>
          <t>NA</t>
        </is>
      </c>
      <c r="CS369" s="2" t="n">
        <v>40.828</v>
      </c>
      <c r="CT369" s="2" t="inlineStr">
        <is>
          <t>(D)</t>
        </is>
      </c>
      <c r="CU369" s="2" t="inlineStr">
        <is>
          <t>(D)</t>
        </is>
      </c>
      <c r="CV369" s="2" t="n">
        <v>233.338</v>
      </c>
      <c r="CW369" s="2" t="inlineStr">
        <is>
          <t>(D)</t>
        </is>
      </c>
      <c r="CX369" s="2" t="inlineStr">
        <is>
          <t>(D)</t>
        </is>
      </c>
      <c r="CY369" s="2" t="inlineStr">
        <is>
          <t>(D)</t>
        </is>
      </c>
      <c r="CZ369" s="2" t="n">
        <v>53.599</v>
      </c>
      <c r="DA369" s="2" t="n">
        <v>33.98</v>
      </c>
      <c r="DB369" s="2" t="inlineStr">
        <is>
          <t>(D)</t>
        </is>
      </c>
      <c r="DC369" s="2" t="inlineStr">
        <is>
          <t>(D)</t>
        </is>
      </c>
      <c r="DI369" s="2" t="n">
        <v>519.005</v>
      </c>
      <c r="DJ369" s="2" t="n">
        <v>556.9908</v>
      </c>
      <c r="DK369" s="2" t="n">
        <v>913.045</v>
      </c>
      <c r="DM369" s="2" t="n">
        <v>436.679</v>
      </c>
      <c r="DO369" s="2" t="n">
        <v>226.887</v>
      </c>
      <c r="DP369" s="2" t="n">
        <v>207.225</v>
      </c>
      <c r="DS369" s="2" t="n">
        <v>1233.95312</v>
      </c>
      <c r="DT369" s="2" t="n">
        <v>4093.78492</v>
      </c>
      <c r="DU369" s="2" t="n">
        <v>0</v>
      </c>
      <c r="DV369" s="2" t="n">
        <v>0</v>
      </c>
      <c r="EA369" s="2" t="n">
        <v>248.347</v>
      </c>
      <c r="EB369" s="2" t="n">
        <v>298.72</v>
      </c>
      <c r="EC369" s="2" t="n">
        <v>443.22</v>
      </c>
      <c r="EE369" s="2" t="n">
        <v>157.437</v>
      </c>
      <c r="EG369" s="2" t="n">
        <v>96.88</v>
      </c>
      <c r="EH369" s="2" t="n">
        <v>170.674</v>
      </c>
      <c r="EK369" s="2" t="n">
        <v>1007.894</v>
      </c>
      <c r="EL369" s="2" t="n">
        <v>2423.172</v>
      </c>
      <c r="EQ369" s="2" t="n">
        <v>189.497</v>
      </c>
      <c r="ER369" s="2" t="n">
        <v>202.5425</v>
      </c>
      <c r="ES369" s="2" t="n">
        <v>339.438</v>
      </c>
      <c r="EU369" s="2" t="n">
        <v>165.179</v>
      </c>
      <c r="EW369" s="2" t="n">
        <v>83.33199999999999</v>
      </c>
      <c r="EX369" s="2" t="n">
        <v>76.021</v>
      </c>
      <c r="FA369" s="2" t="n">
        <v>462.1108</v>
      </c>
      <c r="FB369" s="2" t="n">
        <v>1518.1203</v>
      </c>
      <c r="FG369" s="2" t="n">
        <v>405.15</v>
      </c>
      <c r="FH369" s="2" t="n">
        <v>439.9329</v>
      </c>
      <c r="FI369" s="2" t="n">
        <v>713.7670000000001</v>
      </c>
      <c r="FK369" s="2" t="n">
        <v>343.052</v>
      </c>
      <c r="FM369" s="2" t="n">
        <v>180.913</v>
      </c>
      <c r="FN369" s="2" t="n">
        <v>166.14</v>
      </c>
      <c r="FQ369" s="2" t="n">
        <v>971.2068000000003</v>
      </c>
      <c r="FR369" s="2" t="n">
        <v>3220.1</v>
      </c>
      <c r="FW369" s="2" t="n">
        <v>423.697</v>
      </c>
      <c r="FX369" s="2" t="n">
        <v>177.927</v>
      </c>
      <c r="FY369" s="2" t="n">
        <v>264.224</v>
      </c>
      <c r="GA369" s="2" t="n">
        <v>128.957</v>
      </c>
      <c r="GC369" s="2" t="inlineStr">
        <is>
          <t>(D)</t>
        </is>
      </c>
      <c r="GD369" s="2" t="inlineStr">
        <is>
          <t>(D)</t>
        </is>
      </c>
      <c r="GG369" s="2" t="n">
        <v>449.0030000000002</v>
      </c>
      <c r="GH369" s="2" t="n">
        <v>1554.928</v>
      </c>
      <c r="GM369" s="2" t="n">
        <v>56.482</v>
      </c>
      <c r="GN369" s="2" t="n">
        <v>67.24299999999999</v>
      </c>
      <c r="GO369" s="2" t="n">
        <v>39.499</v>
      </c>
      <c r="GQ369" s="2" t="n">
        <v>21.665</v>
      </c>
      <c r="GS369" s="2" t="inlineStr">
        <is>
          <t>(D)</t>
        </is>
      </c>
      <c r="GT369" s="2" t="inlineStr">
        <is>
          <t>(D)</t>
        </is>
      </c>
      <c r="GW369" s="2" t="n">
        <v>97.28600000000004</v>
      </c>
      <c r="GX369" s="2" t="n">
        <v>296.035</v>
      </c>
      <c r="GY369" s="2" t="n">
        <v>0.9831120935528966</v>
      </c>
      <c r="GZ369" s="2" t="n">
        <v>1148.12504</v>
      </c>
      <c r="HA369" s="2" t="n">
        <v>1167.84754</v>
      </c>
      <c r="HB369" s="2" t="n">
        <v>41.35293331359958</v>
      </c>
      <c r="HC369" s="2" t="n">
        <v>118.7902734205995</v>
      </c>
      <c r="HD369" s="2" t="n">
        <v>1286.7763133136</v>
      </c>
      <c r="HE369" s="2" t="n">
        <v>-70.47662000000014</v>
      </c>
      <c r="HF369" s="2" t="n">
        <v>1245.42338</v>
      </c>
      <c r="HG369" s="2" t="n">
        <v>1098.85712</v>
      </c>
      <c r="HH369" s="2" t="n">
        <v>309.86976</v>
      </c>
      <c r="HI369" s="2" t="inlineStr">
        <is>
          <t>(D)</t>
        </is>
      </c>
      <c r="HJ369" s="2" t="n">
        <v>730.01616</v>
      </c>
      <c r="HK369" s="2" t="inlineStr">
        <is>
          <t>(D)</t>
        </is>
      </c>
      <c r="HL369" s="2" t="n">
        <v>146.56626</v>
      </c>
      <c r="HM369" s="2" t="n">
        <v>123.179</v>
      </c>
      <c r="HN369" s="2" t="n">
        <v>63.005</v>
      </c>
      <c r="HO369" s="2" t="n">
        <v>60.174</v>
      </c>
      <c r="HQ369" s="2" t="inlineStr">
        <is>
          <t>(S)</t>
        </is>
      </c>
      <c r="HR369" s="2" t="inlineStr">
        <is>
          <t>(S)</t>
        </is>
      </c>
      <c r="HT369" s="2" t="n">
        <v>12.2605</v>
      </c>
      <c r="HW369" s="2" t="n">
        <v>311.3237</v>
      </c>
      <c r="HX369" s="2" t="inlineStr">
        <is>
          <t>-</t>
        </is>
      </c>
      <c r="HY369" s="2" t="n">
        <v>311.3237</v>
      </c>
      <c r="HZ369" s="2" t="n">
        <v>73.56100000000001</v>
      </c>
      <c r="IA369" s="2" t="n">
        <v>144.4417</v>
      </c>
      <c r="IB369" s="2" t="n">
        <v>29.5531</v>
      </c>
      <c r="IC369" s="2" t="n">
        <v>114.8886</v>
      </c>
      <c r="ID369" s="2" t="n">
        <v>71.4606</v>
      </c>
      <c r="IE369" s="2" t="n">
        <v>43.428</v>
      </c>
      <c r="IH369" s="2" t="n">
        <v>60.915</v>
      </c>
      <c r="II369" s="2" t="n">
        <v>12.5</v>
      </c>
      <c r="IJ369" s="2" t="n">
        <v>32.683</v>
      </c>
      <c r="IK369" s="2" t="n">
        <v>15.732</v>
      </c>
      <c r="IL369" s="2" t="n">
        <v>32.40600000000003</v>
      </c>
      <c r="IN369" s="2" t="n">
        <v>38.494</v>
      </c>
      <c r="IO369" s="2" t="n">
        <v>38.516</v>
      </c>
      <c r="IP369" s="2" t="inlineStr">
        <is>
          <t>(D)</t>
        </is>
      </c>
      <c r="IQ369" s="2" t="n">
        <v>54.767</v>
      </c>
      <c r="IR369" s="2" t="n">
        <v>9.640000000000001</v>
      </c>
      <c r="IT369" s="2" t="n">
        <v>44.5162</v>
      </c>
      <c r="IU369" s="2" t="inlineStr">
        <is>
          <t>(D)</t>
        </is>
      </c>
      <c r="IV369" s="2" t="inlineStr">
        <is>
          <t>(D)</t>
        </is>
      </c>
      <c r="IW369" s="2" t="inlineStr">
        <is>
          <t>(D)</t>
        </is>
      </c>
      <c r="IX369" s="2" t="inlineStr">
        <is>
          <t>(D)</t>
        </is>
      </c>
      <c r="IY369" s="2" t="n">
        <v>47.07355314602115</v>
      </c>
      <c r="IZ369" s="2" t="n">
        <v>0.1935531460211521</v>
      </c>
      <c r="JB369" s="2" t="n">
        <v>11.12506149932273</v>
      </c>
      <c r="JC369" s="2" t="n">
        <v>-0.06839578474410501</v>
      </c>
      <c r="JE369" s="2" t="n">
        <v>3414.793</v>
      </c>
      <c r="JF369" s="2" t="n">
        <v>0.8233316045804242</v>
      </c>
    </row>
    <row r="370">
      <c r="A370" s="1" t="n">
        <v>40299</v>
      </c>
      <c r="B370" s="2" t="n">
        <v>3988.61645</v>
      </c>
      <c r="C370" s="2" t="n">
        <v>1880.035</v>
      </c>
      <c r="D370" s="2" t="n">
        <v>191.28048</v>
      </c>
      <c r="E370" s="2" t="n">
        <v>688.696</v>
      </c>
      <c r="F370" s="2" t="n">
        <v>17.50805</v>
      </c>
      <c r="G370" s="2" t="inlineStr">
        <is>
          <t>NA</t>
        </is>
      </c>
      <c r="H370" s="2" t="inlineStr">
        <is>
          <t>NA</t>
        </is>
      </c>
      <c r="I370" s="2" t="inlineStr">
        <is>
          <t>NA</t>
        </is>
      </c>
      <c r="J370" s="2" t="inlineStr">
        <is>
          <t>NA</t>
        </is>
      </c>
      <c r="K370" s="2" t="n">
        <v>1481.56485</v>
      </c>
      <c r="L370" s="2" t="n">
        <v>3521.917</v>
      </c>
      <c r="M370" s="2" t="n">
        <v>3237.012</v>
      </c>
      <c r="N370" s="2" t="n">
        <v>284.905</v>
      </c>
      <c r="O370" s="2" t="n">
        <v>59.80584</v>
      </c>
      <c r="P370" s="2" t="n">
        <v>137.465</v>
      </c>
      <c r="Q370" s="2" t="n">
        <v>82.952</v>
      </c>
      <c r="R370" s="2" t="n">
        <v>54.513</v>
      </c>
      <c r="T370" s="2" t="n">
        <v>13.76345</v>
      </c>
      <c r="U370" s="2" t="n">
        <v>15.695</v>
      </c>
      <c r="V370" s="2" t="e">
        <v>#VALUE!</v>
      </c>
      <c r="W370" s="2" t="e">
        <v>#VALUE!</v>
      </c>
      <c r="X370" s="2" t="inlineStr">
        <is>
          <t>NA</t>
        </is>
      </c>
      <c r="Y370" s="2" t="e">
        <v>#VALUE!</v>
      </c>
      <c r="Z370" s="2" t="n">
        <v>155.162</v>
      </c>
      <c r="AA370" s="2" t="n">
        <v>149.379</v>
      </c>
      <c r="AB370" s="2" t="n">
        <v>5.783</v>
      </c>
      <c r="AC370" s="2" t="inlineStr">
        <is>
          <t>NA</t>
        </is>
      </c>
      <c r="AD370" s="2" t="n">
        <v>112.28384</v>
      </c>
      <c r="AE370" s="2" t="n">
        <v>115.2674</v>
      </c>
      <c r="AF370" s="2" t="n">
        <v>205.842</v>
      </c>
      <c r="AG370" s="2" t="n">
        <v>143.91</v>
      </c>
      <c r="AH370" s="2" t="n">
        <v>61.932</v>
      </c>
      <c r="AI370" s="2" t="n">
        <v>205.419</v>
      </c>
      <c r="AJ370" s="2" t="n">
        <v>202.419</v>
      </c>
      <c r="AK370" s="2" t="n">
        <v>3</v>
      </c>
      <c r="AL370" s="2" t="n">
        <v>115.429</v>
      </c>
      <c r="AM370" s="2" t="n">
        <v>86.306</v>
      </c>
      <c r="AN370" s="2" t="n">
        <v>29.123</v>
      </c>
      <c r="AO370" s="2" t="n">
        <v>2921.0122</v>
      </c>
      <c r="AP370" s="2" t="n">
        <v>423.871</v>
      </c>
      <c r="AQ370" s="2" t="n">
        <v>223.45025</v>
      </c>
      <c r="AR370" s="2" t="n">
        <v>43.806</v>
      </c>
      <c r="AS370" s="2" t="n">
        <v>87.22676</v>
      </c>
      <c r="AT370" s="2" t="n">
        <v>85.825</v>
      </c>
      <c r="AU370" s="2" t="n">
        <v>52.01092</v>
      </c>
      <c r="AV370" s="2" t="n">
        <v>37.141</v>
      </c>
      <c r="AW370" s="2" t="n">
        <v>9.337549999999998</v>
      </c>
      <c r="AX370" s="2" t="inlineStr">
        <is>
          <t>NA</t>
        </is>
      </c>
      <c r="AY370" s="2" t="inlineStr">
        <is>
          <t>NA</t>
        </is>
      </c>
      <c r="AZ370" s="2" t="inlineStr">
        <is>
          <t>NA</t>
        </is>
      </c>
      <c r="BA370" s="2" t="inlineStr">
        <is>
          <t>NA</t>
        </is>
      </c>
      <c r="BB370" s="2" t="inlineStr">
        <is>
          <t>NA</t>
        </is>
      </c>
      <c r="BD370" s="2" t="n">
        <v>148.64168</v>
      </c>
      <c r="BE370" s="2" t="n">
        <v>34.299</v>
      </c>
      <c r="BF370" s="2" t="n">
        <v>66.38935000000001</v>
      </c>
      <c r="BG370" s="2" t="n">
        <v>8.468999999999999</v>
      </c>
      <c r="BH370" s="2" t="n">
        <v>269.39284</v>
      </c>
      <c r="BI370" s="2" t="n">
        <v>117.65704</v>
      </c>
      <c r="BJ370" s="2" t="n">
        <v>96.4141</v>
      </c>
      <c r="BK370" s="2" t="n">
        <v>214.07114</v>
      </c>
      <c r="BM370" s="2" t="n">
        <v>483.46398</v>
      </c>
      <c r="BN370" s="2" t="n">
        <v>141.543</v>
      </c>
      <c r="BO370" s="2" t="n">
        <v>105.345</v>
      </c>
      <c r="BP370" s="2" t="n">
        <v>69.629</v>
      </c>
      <c r="BQ370" s="2" t="n">
        <v>174.974</v>
      </c>
      <c r="BS370" s="2" t="n">
        <v>316.517</v>
      </c>
      <c r="BT370" s="2" t="n">
        <v>31.37603</v>
      </c>
      <c r="BU370" s="2" t="n">
        <v>23.788</v>
      </c>
      <c r="BV370" s="2" t="inlineStr">
        <is>
          <t>NA</t>
        </is>
      </c>
      <c r="BW370" s="2" t="inlineStr">
        <is>
          <t>NA</t>
        </is>
      </c>
      <c r="BX370" s="2" t="n">
        <v>407.52603</v>
      </c>
      <c r="BY370" s="2" t="inlineStr">
        <is>
          <t>NA</t>
        </is>
      </c>
      <c r="BZ370" s="2" t="inlineStr">
        <is>
          <t>NA</t>
        </is>
      </c>
      <c r="CA370" s="2" t="n">
        <v>60.982</v>
      </c>
      <c r="CB370" s="2" t="n">
        <v>118.38805</v>
      </c>
      <c r="CC370" s="2" t="n">
        <v>29.337</v>
      </c>
      <c r="CD370" s="2" t="n">
        <v>117.90579</v>
      </c>
      <c r="CE370" s="2" t="n">
        <v>15.089</v>
      </c>
      <c r="CF370" s="2" t="n">
        <v>118.94915</v>
      </c>
      <c r="CG370" s="2" t="n">
        <v>114.571</v>
      </c>
      <c r="CH370" s="2" t="n">
        <v>6.429</v>
      </c>
      <c r="CI370" s="2" t="n">
        <v>27.69908</v>
      </c>
      <c r="CJ370" s="2" t="inlineStr">
        <is>
          <t>(D)</t>
        </is>
      </c>
      <c r="CK370" s="2" t="n">
        <v>142.61881</v>
      </c>
      <c r="CL370" s="2" t="n">
        <v>24.576</v>
      </c>
      <c r="CN370" s="2" t="n">
        <v>74.756</v>
      </c>
      <c r="CO370" s="2" t="n">
        <v>120.611</v>
      </c>
      <c r="CP370" s="2" t="n">
        <v>89.22</v>
      </c>
      <c r="CQ370" s="2" t="n">
        <v>31.391</v>
      </c>
      <c r="CR370" s="2" t="inlineStr">
        <is>
          <t>NA</t>
        </is>
      </c>
      <c r="CS370" s="2" t="n">
        <v>36.964</v>
      </c>
      <c r="CT370" s="2" t="inlineStr">
        <is>
          <t>(D)</t>
        </is>
      </c>
      <c r="CU370" s="2" t="inlineStr">
        <is>
          <t>(D)</t>
        </is>
      </c>
      <c r="CV370" s="2" t="n">
        <v>187.979</v>
      </c>
      <c r="CW370" s="2" t="inlineStr">
        <is>
          <t>(D)</t>
        </is>
      </c>
      <c r="CX370" s="2" t="inlineStr">
        <is>
          <t>(D)</t>
        </is>
      </c>
      <c r="CY370" s="2" t="inlineStr">
        <is>
          <t>(D)</t>
        </is>
      </c>
      <c r="CZ370" s="2" t="n">
        <v>47.699</v>
      </c>
      <c r="DA370" s="2" t="n">
        <v>31.177</v>
      </c>
      <c r="DB370" s="2" t="inlineStr">
        <is>
          <t>(D)</t>
        </is>
      </c>
      <c r="DC370" s="2" t="inlineStr">
        <is>
          <t>(D)</t>
        </is>
      </c>
      <c r="DI370" s="2" t="n">
        <v>529.4349999999999</v>
      </c>
      <c r="DJ370" s="2" t="n">
        <v>509.93535</v>
      </c>
      <c r="DK370" s="2" t="n">
        <v>852.914</v>
      </c>
      <c r="DM370" s="2" t="n">
        <v>409.183</v>
      </c>
      <c r="DO370" s="2" t="n">
        <v>229.012</v>
      </c>
      <c r="DP370" s="2" t="n">
        <v>209.1</v>
      </c>
      <c r="DS370" s="2" t="n">
        <v>1249.037100000001</v>
      </c>
      <c r="DT370" s="2" t="n">
        <v>3988.61645</v>
      </c>
      <c r="DU370" s="2" t="n">
        <v>0</v>
      </c>
      <c r="DV370" s="2" t="n">
        <v>0</v>
      </c>
      <c r="EA370" s="2" t="n">
        <v>202.108</v>
      </c>
      <c r="EB370" s="2" t="n">
        <v>214.825</v>
      </c>
      <c r="EC370" s="2" t="n">
        <v>388.123</v>
      </c>
      <c r="EE370" s="2" t="n">
        <v>128.652</v>
      </c>
      <c r="EG370" s="2" t="n">
        <v>51.598</v>
      </c>
      <c r="EH370" s="2" t="n">
        <v>109.326</v>
      </c>
      <c r="EK370" s="2" t="n">
        <v>785.403</v>
      </c>
      <c r="EL370" s="2" t="n">
        <v>1880.035</v>
      </c>
      <c r="EQ370" s="2" t="n">
        <v>197.126</v>
      </c>
      <c r="ER370" s="2" t="n">
        <v>186.60785</v>
      </c>
      <c r="ES370" s="2" t="n">
        <v>319.308</v>
      </c>
      <c r="EU370" s="2" t="n">
        <v>154.431</v>
      </c>
      <c r="EW370" s="2" t="n">
        <v>84.88500000000001</v>
      </c>
      <c r="EX370" s="2" t="n">
        <v>76.051</v>
      </c>
      <c r="FA370" s="2" t="n">
        <v>463.1560000000001</v>
      </c>
      <c r="FB370" s="2" t="n">
        <v>1481.56485</v>
      </c>
      <c r="FG370" s="2" t="n">
        <v>426.554</v>
      </c>
      <c r="FH370" s="2" t="n">
        <v>399.30215</v>
      </c>
      <c r="FI370" s="2" t="n">
        <v>663.265</v>
      </c>
      <c r="FK370" s="2" t="n">
        <v>321.448</v>
      </c>
      <c r="FM370" s="2" t="n">
        <v>183.854</v>
      </c>
      <c r="FN370" s="2" t="n">
        <v>167.238</v>
      </c>
      <c r="FQ370" s="2" t="n">
        <v>990.8663000000001</v>
      </c>
      <c r="FR370" s="2" t="n">
        <v>3152.6</v>
      </c>
      <c r="FW370" s="2" t="n">
        <v>442.594</v>
      </c>
      <c r="FX370" s="2" t="n">
        <v>171.383</v>
      </c>
      <c r="FY370" s="2" t="n">
        <v>264.198</v>
      </c>
      <c r="GA370" s="2" t="n">
        <v>127.354</v>
      </c>
      <c r="GC370" s="2" t="inlineStr">
        <is>
          <t>(D)</t>
        </is>
      </c>
      <c r="GD370" s="2" t="inlineStr">
        <is>
          <t>(D)</t>
        </is>
      </c>
      <c r="GG370" s="2" t="n">
        <v>470.5219999999998</v>
      </c>
      <c r="GH370" s="2" t="n">
        <v>1599.646</v>
      </c>
      <c r="GM370" s="2" t="n">
        <v>85.56699999999999</v>
      </c>
      <c r="GN370" s="2" t="n">
        <v>80.42400000000001</v>
      </c>
      <c r="GO370" s="2" t="n">
        <v>84.593</v>
      </c>
      <c r="GQ370" s="2" t="n">
        <v>52.774</v>
      </c>
      <c r="GS370" s="2" t="n">
        <v>14.905</v>
      </c>
      <c r="GT370" s="2" t="n">
        <v>6.159</v>
      </c>
      <c r="GW370" s="2" t="n">
        <v>143.255</v>
      </c>
      <c r="GX370" s="2" t="n">
        <v>467.677</v>
      </c>
      <c r="GY370" s="2" t="n">
        <v>0.9829353364715719</v>
      </c>
      <c r="GZ370" s="2" t="n">
        <v>1162.76775</v>
      </c>
      <c r="HA370" s="2" t="n">
        <v>1182.95447</v>
      </c>
      <c r="HB370" s="2" t="n">
        <v>54.86518357</v>
      </c>
      <c r="HC370" s="2" t="n">
        <v>-54.69565710620009</v>
      </c>
      <c r="HD370" s="2" t="n">
        <v>1301.54502357</v>
      </c>
      <c r="HE370" s="2" t="n">
        <v>-67.52016000000003</v>
      </c>
      <c r="HF370" s="2" t="n">
        <v>1246.67984</v>
      </c>
      <c r="HG370" s="2" t="n">
        <v>1111.83364</v>
      </c>
      <c r="HH370" s="2" t="n">
        <v>286.72128</v>
      </c>
      <c r="HI370" s="2" t="inlineStr">
        <is>
          <t>(D)</t>
        </is>
      </c>
      <c r="HJ370" s="2" t="n">
        <v>771.25588</v>
      </c>
      <c r="HK370" s="2" t="inlineStr">
        <is>
          <t>(D)</t>
        </is>
      </c>
      <c r="HL370" s="2" t="n">
        <v>134.8462</v>
      </c>
      <c r="HM370" s="2" t="n">
        <v>106.503</v>
      </c>
      <c r="HN370" s="2" t="n">
        <v>53.19</v>
      </c>
      <c r="HO370" s="2" t="n">
        <v>53.313</v>
      </c>
      <c r="HQ370" s="2" t="inlineStr">
        <is>
          <t>(S)</t>
        </is>
      </c>
      <c r="HR370" s="2" t="inlineStr">
        <is>
          <t>(S)</t>
        </is>
      </c>
      <c r="HT370" s="2" t="n">
        <v>13.9611</v>
      </c>
      <c r="HW370" s="2" t="n">
        <v>299.87825</v>
      </c>
      <c r="HX370" s="2" t="inlineStr">
        <is>
          <t>-</t>
        </is>
      </c>
      <c r="HY370" s="2" t="n">
        <v>299.87825</v>
      </c>
      <c r="HZ370" s="2" t="n">
        <v>73.532</v>
      </c>
      <c r="IA370" s="2" t="n">
        <v>140.19025</v>
      </c>
      <c r="IB370" s="2" t="n">
        <v>28.78512</v>
      </c>
      <c r="IC370" s="2" t="n">
        <v>111.40513</v>
      </c>
      <c r="ID370" s="2" t="n">
        <v>64.22129</v>
      </c>
      <c r="IE370" s="2" t="n">
        <v>47.18384</v>
      </c>
      <c r="IH370" s="2" t="n">
        <v>56.245</v>
      </c>
      <c r="II370" s="2" t="n">
        <v>17.5</v>
      </c>
      <c r="IJ370" s="2" t="n">
        <v>28.334</v>
      </c>
      <c r="IK370" s="2" t="n">
        <v>10.411</v>
      </c>
      <c r="IL370" s="2" t="n">
        <v>29.91100000000001</v>
      </c>
      <c r="IN370" s="2" t="n">
        <v>42.657</v>
      </c>
      <c r="IO370" s="2" t="n">
        <v>42.679</v>
      </c>
      <c r="IP370" s="2" t="inlineStr">
        <is>
          <t>(D)</t>
        </is>
      </c>
      <c r="IQ370" s="2" t="n">
        <v>48.993</v>
      </c>
      <c r="IR370" s="2" t="n">
        <v>9.088559999999999</v>
      </c>
      <c r="IT370" s="2" t="n">
        <v>39.39152</v>
      </c>
      <c r="IU370" s="2" t="inlineStr">
        <is>
          <t>(D)</t>
        </is>
      </c>
      <c r="IV370" s="2" t="inlineStr">
        <is>
          <t>(D)</t>
        </is>
      </c>
      <c r="IW370" s="2" t="inlineStr">
        <is>
          <t>(D)</t>
        </is>
      </c>
      <c r="IX370" s="2" t="inlineStr">
        <is>
          <t>(D)</t>
        </is>
      </c>
      <c r="IY370" s="2" t="n">
        <v>47.30155164455585</v>
      </c>
      <c r="IZ370" s="2" t="n">
        <v>0.1215516445558507</v>
      </c>
      <c r="JB370" s="2" t="n">
        <v>11.14344937829257</v>
      </c>
      <c r="JC370" s="2" t="n">
        <v>-0.04655062170743207</v>
      </c>
      <c r="JE370" s="2" t="n">
        <v>3521.917</v>
      </c>
      <c r="JF370" s="2" t="n">
        <v>0.8249955918893033</v>
      </c>
    </row>
    <row r="371">
      <c r="A371" s="1" t="n">
        <v>40330</v>
      </c>
      <c r="B371" s="2" t="n">
        <v>3884.29876</v>
      </c>
      <c r="C371" s="2" t="n">
        <v>1979.855</v>
      </c>
      <c r="D371" s="2" t="n">
        <v>141.207</v>
      </c>
      <c r="E371" s="2" t="n">
        <v>502.563</v>
      </c>
      <c r="F371" s="2" t="n">
        <v>10.39608</v>
      </c>
      <c r="G371" s="2" t="inlineStr">
        <is>
          <t>NA</t>
        </is>
      </c>
      <c r="H371" s="2" t="inlineStr">
        <is>
          <t>NA</t>
        </is>
      </c>
      <c r="I371" s="2" t="inlineStr">
        <is>
          <t>NA</t>
        </is>
      </c>
      <c r="J371" s="2" t="inlineStr">
        <is>
          <t>NA</t>
        </is>
      </c>
      <c r="K371" s="2" t="n">
        <v>1442.2389</v>
      </c>
      <c r="L371" s="2" t="n">
        <v>3597.482</v>
      </c>
      <c r="M371" s="2" t="n">
        <v>3297.846</v>
      </c>
      <c r="N371" s="2" t="n">
        <v>299.636</v>
      </c>
      <c r="O371" s="2" t="n">
        <v>41.0676</v>
      </c>
      <c r="P371" s="2" t="n">
        <v>128.1</v>
      </c>
      <c r="Q371" s="2" t="n">
        <v>74.145</v>
      </c>
      <c r="R371" s="2" t="n">
        <v>53.955</v>
      </c>
      <c r="T371" s="2" t="n">
        <v>7.83368</v>
      </c>
      <c r="U371" s="2" t="n">
        <v>17.681</v>
      </c>
      <c r="V371" s="2" t="e">
        <v>#VALUE!</v>
      </c>
      <c r="W371" s="2" t="e">
        <v>#VALUE!</v>
      </c>
      <c r="X371" s="2" t="inlineStr">
        <is>
          <t>NA</t>
        </is>
      </c>
      <c r="Y371" s="2" t="e">
        <v>#VALUE!</v>
      </c>
      <c r="Z371" s="2" t="n">
        <v>121.568</v>
      </c>
      <c r="AA371" s="2" t="n">
        <v>113.553</v>
      </c>
      <c r="AB371" s="2" t="n">
        <v>8.015000000000001</v>
      </c>
      <c r="AC371" s="2" t="inlineStr">
        <is>
          <t>NA</t>
        </is>
      </c>
      <c r="AD371" s="2" t="n">
        <v>69.7641</v>
      </c>
      <c r="AE371" s="2" t="n">
        <v>71.741</v>
      </c>
      <c r="AF371" s="2" t="n">
        <v>189.672</v>
      </c>
      <c r="AG371" s="2" t="n">
        <v>142.915</v>
      </c>
      <c r="AH371" s="2" t="n">
        <v>46.757</v>
      </c>
      <c r="AI371" s="2" t="n">
        <v>214.693</v>
      </c>
      <c r="AJ371" s="2" t="n">
        <v>211.693</v>
      </c>
      <c r="AK371" s="2" t="n">
        <v>3</v>
      </c>
      <c r="AL371" s="2" t="n">
        <v>121.009</v>
      </c>
      <c r="AM371" s="2" t="n">
        <v>94.337</v>
      </c>
      <c r="AN371" s="2" t="n">
        <v>26.672</v>
      </c>
      <c r="AO371" s="2" t="n">
        <v>2839.78764</v>
      </c>
      <c r="AP371" s="2" t="n">
        <v>307.603</v>
      </c>
      <c r="AQ371" s="2" t="n">
        <v>216.92932</v>
      </c>
      <c r="AR371" s="2" t="n">
        <v>36.013</v>
      </c>
      <c r="AS371" s="2" t="n">
        <v>59.8598</v>
      </c>
      <c r="AT371" s="2" t="n">
        <v>81.83499999999999</v>
      </c>
      <c r="AU371" s="2" t="n">
        <v>44.9586</v>
      </c>
      <c r="AV371" s="2" t="n">
        <v>40.475</v>
      </c>
      <c r="AW371" s="2" t="n">
        <v>5.209479999999999</v>
      </c>
      <c r="AX371" s="2" t="inlineStr">
        <is>
          <t>NA</t>
        </is>
      </c>
      <c r="AY371" s="2" t="inlineStr">
        <is>
          <t>NA</t>
        </is>
      </c>
      <c r="AZ371" s="2" t="inlineStr">
        <is>
          <t>NA</t>
        </is>
      </c>
      <c r="BA371" s="2" t="inlineStr">
        <is>
          <t>NA</t>
        </is>
      </c>
      <c r="BB371" s="2" t="inlineStr">
        <is>
          <t>NA</t>
        </is>
      </c>
      <c r="BD371" s="2" t="n">
        <v>156.59376</v>
      </c>
      <c r="BE371" s="2" t="n">
        <v>31.89</v>
      </c>
      <c r="BF371" s="2" t="n">
        <v>66.11074000000001</v>
      </c>
      <c r="BG371" s="2" t="n">
        <v>8.914999999999999</v>
      </c>
      <c r="BH371" s="2" t="n">
        <v>281.19918</v>
      </c>
      <c r="BI371" s="2" t="n">
        <v>132.54562</v>
      </c>
      <c r="BJ371" s="2" t="n">
        <v>108.15302</v>
      </c>
      <c r="BK371" s="2" t="n">
        <v>240.69864</v>
      </c>
      <c r="BM371" s="2" t="n">
        <v>521.89782</v>
      </c>
      <c r="BN371" s="2" t="n">
        <v>167.195</v>
      </c>
      <c r="BO371" s="2" t="n">
        <v>161.143</v>
      </c>
      <c r="BP371" s="2" t="n">
        <v>78.21899999999999</v>
      </c>
      <c r="BQ371" s="2" t="n">
        <v>239.362</v>
      </c>
      <c r="BS371" s="2" t="n">
        <v>406.557</v>
      </c>
      <c r="BT371" s="2" t="n">
        <v>24.18968</v>
      </c>
      <c r="BU371" s="2" t="n">
        <v>28.452</v>
      </c>
      <c r="BV371" s="2" t="inlineStr">
        <is>
          <t>NA</t>
        </is>
      </c>
      <c r="BW371" s="2" t="inlineStr">
        <is>
          <t>NA</t>
        </is>
      </c>
      <c r="BX371" s="2" t="n">
        <v>411.78828</v>
      </c>
      <c r="BY371" s="2" t="inlineStr">
        <is>
          <t>NA</t>
        </is>
      </c>
      <c r="BZ371" s="2" t="inlineStr">
        <is>
          <t>NA</t>
        </is>
      </c>
      <c r="CA371" s="2" t="n">
        <v>62.085</v>
      </c>
      <c r="CB371" s="2" t="n">
        <v>124.04114</v>
      </c>
      <c r="CC371" s="2" t="n">
        <v>27.254</v>
      </c>
      <c r="CD371" s="2" t="n">
        <v>130.73656</v>
      </c>
      <c r="CE371" s="2" t="n">
        <v>22.142</v>
      </c>
      <c r="CF371" s="2" t="n">
        <v>119.73164</v>
      </c>
      <c r="CG371" s="2" t="n">
        <v>112.593</v>
      </c>
      <c r="CH371" s="2" t="n">
        <v>5.412</v>
      </c>
      <c r="CI371" s="2" t="n">
        <v>30.6088</v>
      </c>
      <c r="CJ371" s="2" t="inlineStr">
        <is>
          <t>(D)</t>
        </is>
      </c>
      <c r="CK371" s="2" t="n">
        <v>137.73458</v>
      </c>
      <c r="CL371" s="2" t="n">
        <v>23.258</v>
      </c>
      <c r="CN371" s="2" t="n">
        <v>72.211</v>
      </c>
      <c r="CO371" s="2" t="n">
        <v>172.523</v>
      </c>
      <c r="CP371" s="2" t="n">
        <v>138.097</v>
      </c>
      <c r="CQ371" s="2" t="n">
        <v>34.426</v>
      </c>
      <c r="CR371" s="2" t="inlineStr">
        <is>
          <t>NA</t>
        </is>
      </c>
      <c r="CS371" s="2" t="n">
        <v>39.199</v>
      </c>
      <c r="CT371" s="2" t="inlineStr">
        <is>
          <t>(D)</t>
        </is>
      </c>
      <c r="CU371" s="2" t="inlineStr">
        <is>
          <t>(D)</t>
        </is>
      </c>
      <c r="CV371" s="2" t="n">
        <v>223.17</v>
      </c>
      <c r="CW371" s="2" t="inlineStr">
        <is>
          <t>(D)</t>
        </is>
      </c>
      <c r="CX371" s="2" t="inlineStr">
        <is>
          <t>(D)</t>
        </is>
      </c>
      <c r="CY371" s="2" t="inlineStr">
        <is>
          <t>(D)</t>
        </is>
      </c>
      <c r="CZ371" s="2" t="n">
        <v>43.243</v>
      </c>
      <c r="DA371" s="2" t="n">
        <v>34.008</v>
      </c>
      <c r="DB371" s="2" t="inlineStr">
        <is>
          <t>(D)</t>
        </is>
      </c>
      <c r="DC371" s="2" t="inlineStr">
        <is>
          <t>(D)</t>
        </is>
      </c>
      <c r="DI371" s="2" t="n">
        <v>470.503</v>
      </c>
      <c r="DJ371" s="2" t="n">
        <v>496.84096</v>
      </c>
      <c r="DK371" s="2" t="n">
        <v>899.52</v>
      </c>
      <c r="DM371" s="2" t="n">
        <v>414.708</v>
      </c>
      <c r="DO371" s="2" t="n">
        <v>173.527</v>
      </c>
      <c r="DP371" s="2" t="n">
        <v>221.197</v>
      </c>
      <c r="DS371" s="2" t="n">
        <v>1208.002799999999</v>
      </c>
      <c r="DT371" s="2" t="n">
        <v>3884.29876</v>
      </c>
      <c r="DU371" s="2" t="n">
        <v>0</v>
      </c>
      <c r="DV371" s="2" t="n">
        <v>0</v>
      </c>
      <c r="EA371" s="2" t="n">
        <v>232.804</v>
      </c>
      <c r="EB371" s="2" t="n">
        <v>225.021</v>
      </c>
      <c r="EC371" s="2" t="n">
        <v>410.945</v>
      </c>
      <c r="EE371" s="2" t="n">
        <v>162.663</v>
      </c>
      <c r="EG371" s="2" t="n">
        <v>120.955</v>
      </c>
      <c r="EH371" s="2" t="n">
        <v>115.699</v>
      </c>
      <c r="EK371" s="2" t="n">
        <v>711.768</v>
      </c>
      <c r="EL371" s="2" t="n">
        <v>1979.855</v>
      </c>
      <c r="EQ371" s="2" t="n">
        <v>175.856</v>
      </c>
      <c r="ER371" s="2" t="n">
        <v>183.5486</v>
      </c>
      <c r="ES371" s="2" t="n">
        <v>334.873</v>
      </c>
      <c r="EU371" s="2" t="n">
        <v>158.291</v>
      </c>
      <c r="EW371" s="2" t="n">
        <v>63.403</v>
      </c>
      <c r="EX371" s="2" t="n">
        <v>80.842</v>
      </c>
      <c r="FA371" s="2" t="n">
        <v>445.4252999999998</v>
      </c>
      <c r="FB371" s="2" t="n">
        <v>1442.2389</v>
      </c>
      <c r="FG371" s="2" t="n">
        <v>373.412</v>
      </c>
      <c r="FH371" s="2" t="n">
        <v>400.89636</v>
      </c>
      <c r="FI371" s="2" t="n">
        <v>701.957</v>
      </c>
      <c r="FK371" s="2" t="n">
        <v>322.401</v>
      </c>
      <c r="FM371" s="2" t="n">
        <v>137.598</v>
      </c>
      <c r="FN371" s="2" t="n">
        <v>177.763</v>
      </c>
      <c r="FQ371" s="2" t="n">
        <v>951.3336</v>
      </c>
      <c r="FR371" s="2" t="n">
        <v>3065.3</v>
      </c>
      <c r="FW371" s="2" t="n">
        <v>405.552</v>
      </c>
      <c r="FX371" s="2" t="n">
        <v>158.204</v>
      </c>
      <c r="FY371" s="2" t="n">
        <v>275.478</v>
      </c>
      <c r="GA371" s="2" t="n">
        <v>107.877</v>
      </c>
      <c r="GC371" s="2" t="inlineStr">
        <is>
          <t>(D)</t>
        </is>
      </c>
      <c r="GD371" s="2" t="inlineStr">
        <is>
          <t>(D)</t>
        </is>
      </c>
      <c r="GG371" s="2" t="n">
        <v>492.24</v>
      </c>
      <c r="GH371" s="2" t="n">
        <v>1566.79</v>
      </c>
      <c r="GM371" s="2" t="n">
        <v>49.502</v>
      </c>
      <c r="GN371" s="2" t="n">
        <v>62.03</v>
      </c>
      <c r="GO371" s="2" t="n">
        <v>86.124</v>
      </c>
      <c r="GQ371" s="2" t="n">
        <v>22.932</v>
      </c>
      <c r="GS371" s="2" t="n">
        <v>6.814</v>
      </c>
      <c r="GT371" s="2" t="n">
        <v>5.383</v>
      </c>
      <c r="GW371" s="2" t="n">
        <v>110.831</v>
      </c>
      <c r="GX371" s="2" t="n">
        <v>343.616</v>
      </c>
      <c r="GY371" s="2" t="n">
        <v>0.9829257889027896</v>
      </c>
      <c r="GZ371" s="2" t="n">
        <v>1134.438</v>
      </c>
      <c r="HA371" s="2" t="n">
        <v>1154.1441</v>
      </c>
      <c r="HB371" s="2" t="n">
        <v>-21.74320383000031</v>
      </c>
      <c r="HC371" s="2" t="n">
        <v>-90.99192139760089</v>
      </c>
      <c r="HD371" s="2" t="n">
        <v>1245.93777617</v>
      </c>
      <c r="HE371" s="2" t="n">
        <v>-51.11901999999986</v>
      </c>
      <c r="HF371" s="2" t="n">
        <v>1267.68098</v>
      </c>
      <c r="HG371" s="2" t="n">
        <v>1140.6283</v>
      </c>
      <c r="HH371" s="2" t="n">
        <v>290.2476</v>
      </c>
      <c r="HI371" s="2" t="inlineStr">
        <is>
          <t>(D)</t>
        </is>
      </c>
      <c r="HJ371" s="2" t="n">
        <v>786.8129</v>
      </c>
      <c r="HK371" s="2" t="inlineStr">
        <is>
          <t>(D)</t>
        </is>
      </c>
      <c r="HL371" s="2" t="n">
        <v>127.05268</v>
      </c>
      <c r="HM371" s="2" t="n">
        <v>94.804</v>
      </c>
      <c r="HN371" s="2" t="n">
        <v>52.235</v>
      </c>
      <c r="HO371" s="2" t="n">
        <v>42.569</v>
      </c>
      <c r="HQ371" s="2" t="inlineStr">
        <is>
          <t>(S)</t>
        </is>
      </c>
      <c r="HR371" s="2" t="inlineStr">
        <is>
          <t>(S)</t>
        </is>
      </c>
      <c r="HT371" s="2" t="n">
        <v>17.30392</v>
      </c>
      <c r="HW371" s="2" t="n">
        <v>294.19906</v>
      </c>
      <c r="HX371" s="2" t="inlineStr">
        <is>
          <t>-</t>
        </is>
      </c>
      <c r="HY371" s="2" t="n">
        <v>294.19906</v>
      </c>
      <c r="HZ371" s="2" t="n">
        <v>62.674</v>
      </c>
      <c r="IA371" s="2" t="n">
        <v>145.45406</v>
      </c>
      <c r="IB371" s="2" t="n">
        <v>31.27552</v>
      </c>
      <c r="IC371" s="2" t="n">
        <v>114.17854</v>
      </c>
      <c r="ID371" s="2" t="n">
        <v>70.26194</v>
      </c>
      <c r="IE371" s="2" t="n">
        <v>43.9166</v>
      </c>
      <c r="IH371" s="2" t="n">
        <v>52.51900000000001</v>
      </c>
      <c r="II371" s="2" t="n">
        <v>12.5</v>
      </c>
      <c r="IJ371" s="2" t="n">
        <v>26.66400000000001</v>
      </c>
      <c r="IK371" s="2" t="n">
        <v>13.355</v>
      </c>
      <c r="IL371" s="2" t="n">
        <v>33.55200000000002</v>
      </c>
      <c r="IN371" s="2" t="n">
        <v>39.526</v>
      </c>
      <c r="IO371" s="2" t="n">
        <v>39.546</v>
      </c>
      <c r="IP371" s="2" t="inlineStr">
        <is>
          <t>(D)</t>
        </is>
      </c>
      <c r="IQ371" s="2" t="n">
        <v>51.542</v>
      </c>
      <c r="IR371" s="2" t="n">
        <v>10.677</v>
      </c>
      <c r="IT371" s="2" t="n">
        <v>40.5733</v>
      </c>
      <c r="IU371" s="2" t="inlineStr">
        <is>
          <t>(D)</t>
        </is>
      </c>
      <c r="IV371" s="2" t="inlineStr">
        <is>
          <t>(D)</t>
        </is>
      </c>
      <c r="IW371" s="2" t="inlineStr">
        <is>
          <t>(D)</t>
        </is>
      </c>
      <c r="IX371" s="2" t="inlineStr">
        <is>
          <t>(D)</t>
        </is>
      </c>
      <c r="IY371" s="2" t="n">
        <v>47.21650648726105</v>
      </c>
      <c r="IZ371" s="2" t="n">
        <v>0.1865064872610489</v>
      </c>
      <c r="JB371" s="2" t="n">
        <v>11.13899050339784</v>
      </c>
      <c r="JC371" s="2" t="n">
        <v>-0.0610094966021606</v>
      </c>
      <c r="JE371" s="2" t="n">
        <v>3597.482</v>
      </c>
      <c r="JF371" s="2" t="n">
        <v>0.843946404735312</v>
      </c>
    </row>
    <row r="372">
      <c r="A372" s="1" t="n">
        <v>40360</v>
      </c>
      <c r="B372" s="2" t="n">
        <v>3880.92194</v>
      </c>
      <c r="C372" s="2" t="n">
        <v>1906.47</v>
      </c>
      <c r="D372" s="2" t="n">
        <v>123.9831</v>
      </c>
      <c r="E372" s="2" t="n">
        <v>341.601</v>
      </c>
      <c r="F372" s="2" t="n">
        <v>16.1248</v>
      </c>
      <c r="G372" s="2" t="inlineStr">
        <is>
          <t>NA</t>
        </is>
      </c>
      <c r="H372" s="2" t="inlineStr">
        <is>
          <t>NA</t>
        </is>
      </c>
      <c r="I372" s="2" t="inlineStr">
        <is>
          <t>NA</t>
        </is>
      </c>
      <c r="J372" s="2" t="inlineStr">
        <is>
          <t>NA</t>
        </is>
      </c>
      <c r="K372" s="2" t="n">
        <v>1440.45102</v>
      </c>
      <c r="L372" s="2" t="n">
        <v>3594.068</v>
      </c>
      <c r="M372" s="2" t="n">
        <v>3312.471</v>
      </c>
      <c r="N372" s="2" t="n">
        <v>281.597</v>
      </c>
      <c r="O372" s="2" t="n">
        <v>36.6008</v>
      </c>
      <c r="P372" s="2" t="n">
        <v>103.73</v>
      </c>
      <c r="Q372" s="2" t="n">
        <v>64.848</v>
      </c>
      <c r="R372" s="2" t="n">
        <v>38.882</v>
      </c>
      <c r="T372" s="2" t="n">
        <v>12.3371</v>
      </c>
      <c r="U372" s="2" t="n">
        <v>21.659</v>
      </c>
      <c r="V372" s="2" t="e">
        <v>#VALUE!</v>
      </c>
      <c r="W372" s="2" t="e">
        <v>#VALUE!</v>
      </c>
      <c r="X372" s="2" t="inlineStr">
        <is>
          <t>NA</t>
        </is>
      </c>
      <c r="Y372" s="2" t="e">
        <v>#VALUE!</v>
      </c>
      <c r="Z372" s="2" t="n">
        <v>110.219</v>
      </c>
      <c r="AA372" s="2" t="n">
        <v>106.323</v>
      </c>
      <c r="AB372" s="2" t="n">
        <v>3.896</v>
      </c>
      <c r="AC372" s="2" t="inlineStr">
        <is>
          <t>NA</t>
        </is>
      </c>
      <c r="AD372" s="2" t="n">
        <v>79.7325</v>
      </c>
      <c r="AE372" s="2" t="n">
        <v>81.5128</v>
      </c>
      <c r="AF372" s="2" t="n">
        <v>183.812</v>
      </c>
      <c r="AG372" s="2" t="n">
        <v>134.597</v>
      </c>
      <c r="AH372" s="2" t="n">
        <v>49.215</v>
      </c>
      <c r="AI372" s="2" t="n">
        <v>216.847</v>
      </c>
      <c r="AJ372" s="2" t="n">
        <v>213.847</v>
      </c>
      <c r="AK372" s="2" t="n">
        <v>3</v>
      </c>
      <c r="AL372" s="2" t="n">
        <v>122.168</v>
      </c>
      <c r="AM372" s="2" t="n">
        <v>93.998</v>
      </c>
      <c r="AN372" s="2" t="n">
        <v>28.17</v>
      </c>
      <c r="AO372" s="2" t="n">
        <v>2837.93716</v>
      </c>
      <c r="AP372" s="2" t="n">
        <v>386.502</v>
      </c>
      <c r="AQ372" s="2" t="n">
        <v>218.17026</v>
      </c>
      <c r="AR372" s="2" t="n">
        <v>38.512</v>
      </c>
      <c r="AS372" s="2" t="n">
        <v>52.9818</v>
      </c>
      <c r="AT372" s="2" t="n">
        <v>71.42700000000001</v>
      </c>
      <c r="AU372" s="2" t="n">
        <v>40.623</v>
      </c>
      <c r="AV372" s="2" t="n">
        <v>36.231</v>
      </c>
      <c r="AW372" s="2" t="n">
        <v>8.2445</v>
      </c>
      <c r="AX372" s="2" t="inlineStr">
        <is>
          <t>NA</t>
        </is>
      </c>
      <c r="AY372" s="2" t="inlineStr">
        <is>
          <t>NA</t>
        </is>
      </c>
      <c r="AZ372" s="2" t="inlineStr">
        <is>
          <t>NA</t>
        </is>
      </c>
      <c r="BA372" s="2" t="inlineStr">
        <is>
          <t>NA</t>
        </is>
      </c>
      <c r="BB372" s="2" t="inlineStr">
        <is>
          <t>NA</t>
        </is>
      </c>
      <c r="BD372" s="2" t="n">
        <v>163.36082</v>
      </c>
      <c r="BE372" s="2" t="n">
        <v>35.141</v>
      </c>
      <c r="BF372" s="2" t="n">
        <v>68.50167999999999</v>
      </c>
      <c r="BG372" s="2" t="n">
        <v>11.718</v>
      </c>
      <c r="BH372" s="2" t="n">
        <v>272.70192</v>
      </c>
      <c r="BI372" s="2" t="n">
        <v>128.44968</v>
      </c>
      <c r="BJ372" s="2" t="n">
        <v>111.3717</v>
      </c>
      <c r="BK372" s="2" t="n">
        <v>239.82138</v>
      </c>
      <c r="BM372" s="2" t="n">
        <v>512.5232999999999</v>
      </c>
      <c r="BN372" s="2" t="n">
        <v>152.703</v>
      </c>
      <c r="BO372" s="2" t="n">
        <v>179.579</v>
      </c>
      <c r="BP372" s="2" t="n">
        <v>68.705</v>
      </c>
      <c r="BQ372" s="2" t="n">
        <v>248.284</v>
      </c>
      <c r="BS372" s="2" t="n">
        <v>400.987</v>
      </c>
      <c r="BT372" s="2" t="n">
        <v>22.4553</v>
      </c>
      <c r="BU372" s="2" t="n">
        <v>26.201</v>
      </c>
      <c r="BV372" s="2" t="inlineStr">
        <is>
          <t>NA</t>
        </is>
      </c>
      <c r="BW372" s="2" t="inlineStr">
        <is>
          <t>NA</t>
        </is>
      </c>
      <c r="BX372" s="2" t="n">
        <v>404.98272</v>
      </c>
      <c r="BY372" s="2" t="inlineStr">
        <is>
          <t>NA</t>
        </is>
      </c>
      <c r="BZ372" s="2" t="inlineStr">
        <is>
          <t>NA</t>
        </is>
      </c>
      <c r="CA372" s="2" t="n">
        <v>74.937</v>
      </c>
      <c r="CB372" s="2" t="n">
        <v>124.49252</v>
      </c>
      <c r="CC372" s="2" t="n">
        <v>23.119</v>
      </c>
      <c r="CD372" s="2" t="n">
        <v>126.83004</v>
      </c>
      <c r="CE372" s="2" t="n">
        <v>24.054</v>
      </c>
      <c r="CF372" s="2" t="n">
        <v>113.1349</v>
      </c>
      <c r="CG372" s="2" t="n">
        <v>112.932</v>
      </c>
      <c r="CH372" s="2" t="n">
        <v>5.091</v>
      </c>
      <c r="CI372" s="2" t="n">
        <v>33.2213</v>
      </c>
      <c r="CJ372" s="2" t="inlineStr">
        <is>
          <t>(D)</t>
        </is>
      </c>
      <c r="CK372" s="2" t="n">
        <v>142.27412</v>
      </c>
      <c r="CL372" s="2" t="n">
        <v>22.597</v>
      </c>
      <c r="CN372" s="2" t="n">
        <v>72.291</v>
      </c>
      <c r="CO372" s="2" t="n">
        <v>179.713</v>
      </c>
      <c r="CP372" s="2" t="n">
        <v>142.014</v>
      </c>
      <c r="CQ372" s="2" t="n">
        <v>37.699</v>
      </c>
      <c r="CR372" s="2" t="inlineStr">
        <is>
          <t>NA</t>
        </is>
      </c>
      <c r="CS372" s="2" t="n">
        <v>40.406</v>
      </c>
      <c r="CT372" s="2" t="n">
        <v>31.192</v>
      </c>
      <c r="CU372" s="2" t="n">
        <v>9.214</v>
      </c>
      <c r="CV372" s="2" t="n">
        <v>357.546</v>
      </c>
      <c r="CW372" s="2" t="inlineStr">
        <is>
          <t>(D)</t>
        </is>
      </c>
      <c r="CX372" s="2" t="inlineStr">
        <is>
          <t>(D)</t>
        </is>
      </c>
      <c r="CY372" s="2" t="inlineStr">
        <is>
          <t>(D)</t>
        </is>
      </c>
      <c r="CZ372" s="2" t="n">
        <v>75.78</v>
      </c>
      <c r="DA372" s="2" t="n">
        <v>22.417</v>
      </c>
      <c r="DB372" s="2" t="inlineStr">
        <is>
          <t>(D)</t>
        </is>
      </c>
      <c r="DC372" s="2" t="inlineStr">
        <is>
          <t>(D)</t>
        </is>
      </c>
      <c r="DI372" s="2" t="n">
        <v>547.9160000000001</v>
      </c>
      <c r="DJ372" s="2" t="n">
        <v>455.7519</v>
      </c>
      <c r="DK372" s="2" t="n">
        <v>816.768</v>
      </c>
      <c r="DM372" s="2" t="n">
        <v>473.343</v>
      </c>
      <c r="DO372" s="2" t="n">
        <v>237</v>
      </c>
      <c r="DP372" s="2" t="n">
        <v>216.78</v>
      </c>
      <c r="DS372" s="2" t="n">
        <v>1133.349039999999</v>
      </c>
      <c r="DT372" s="2" t="n">
        <v>3880.92194</v>
      </c>
      <c r="DU372" s="2" t="n">
        <v>-0.01399999999966894</v>
      </c>
      <c r="DV372" s="2" t="n">
        <v>0</v>
      </c>
      <c r="EA372" s="2" t="n">
        <v>270.924</v>
      </c>
      <c r="EB372" s="2" t="n">
        <v>253.983</v>
      </c>
      <c r="EC372" s="2" t="n">
        <v>443.763</v>
      </c>
      <c r="EE372" s="2" t="n">
        <v>139.824</v>
      </c>
      <c r="EG372" s="2" t="n">
        <v>118.816</v>
      </c>
      <c r="EH372" s="2" t="n">
        <v>88.898</v>
      </c>
      <c r="EK372" s="2" t="n">
        <v>590.2620000000001</v>
      </c>
      <c r="EL372" s="2" t="n">
        <v>1906.47</v>
      </c>
      <c r="EQ372" s="2" t="n">
        <v>200.097</v>
      </c>
      <c r="ER372" s="2" t="n">
        <v>169.3761</v>
      </c>
      <c r="ES372" s="2" t="n">
        <v>304.17</v>
      </c>
      <c r="EU372" s="2" t="n">
        <v>179.768</v>
      </c>
      <c r="EW372" s="2" t="n">
        <v>86.245</v>
      </c>
      <c r="EX372" s="2" t="n">
        <v>78.908</v>
      </c>
      <c r="FA372" s="2" t="n">
        <v>421.8869199999999</v>
      </c>
      <c r="FB372" s="2" t="n">
        <v>1440.45102</v>
      </c>
      <c r="FG372" s="2" t="n">
        <v>428.308</v>
      </c>
      <c r="FH372" s="2" t="n">
        <v>363.3247</v>
      </c>
      <c r="FI372" s="2" t="n">
        <v>637.391</v>
      </c>
      <c r="FK372" s="2" t="n">
        <v>370.548</v>
      </c>
      <c r="FM372" s="2" t="n">
        <v>188.548</v>
      </c>
      <c r="FN372" s="2" t="n">
        <v>173.004</v>
      </c>
      <c r="FQ372" s="2" t="n">
        <v>902.4007199999995</v>
      </c>
      <c r="FR372" s="2" t="n">
        <v>3063.52442</v>
      </c>
      <c r="FW372" s="2" t="n">
        <v>407.646</v>
      </c>
      <c r="FX372" s="2" t="n">
        <v>144.394</v>
      </c>
      <c r="FY372" s="2" t="n">
        <v>306.735</v>
      </c>
      <c r="GA372" s="2" t="n">
        <v>123.162</v>
      </c>
      <c r="GC372" s="2" t="inlineStr">
        <is>
          <t>(D)</t>
        </is>
      </c>
      <c r="GD372" s="2" t="inlineStr">
        <is>
          <t>(D)</t>
        </is>
      </c>
      <c r="GG372" s="2" t="n">
        <v>502.0940000000001</v>
      </c>
      <c r="GH372" s="2" t="n">
        <v>1621.871</v>
      </c>
      <c r="GM372" s="2" t="n">
        <v>65.886</v>
      </c>
      <c r="GN372" s="2" t="n">
        <v>46.831</v>
      </c>
      <c r="GO372" s="2" t="n">
        <v>134.41</v>
      </c>
      <c r="GQ372" s="2" t="n">
        <v>36.47</v>
      </c>
      <c r="GS372" s="2" t="n">
        <v>12.165</v>
      </c>
      <c r="GT372" s="2" t="n">
        <v>6.188</v>
      </c>
      <c r="GW372" s="2" t="n">
        <v>123.064</v>
      </c>
      <c r="GX372" s="2" t="n">
        <v>425.014</v>
      </c>
      <c r="GY372" s="2" t="n">
        <v>0.9829605755287339</v>
      </c>
      <c r="GZ372" s="2" t="n">
        <v>1173.81802</v>
      </c>
      <c r="HA372" s="2" t="n">
        <v>1194.16592</v>
      </c>
      <c r="HB372" s="2" t="n">
        <v>3.322185129800573</v>
      </c>
      <c r="HC372" s="2" t="n">
        <v>-30.56462851339938</v>
      </c>
      <c r="HD372" s="2" t="n">
        <v>1275.511045129801</v>
      </c>
      <c r="HE372" s="2" t="n">
        <v>-122.5111400000001</v>
      </c>
      <c r="HF372" s="2" t="n">
        <v>1272.18886</v>
      </c>
      <c r="HG372" s="2" t="n">
        <v>1140.25336</v>
      </c>
      <c r="HH372" s="2" t="n">
        <v>291.1263</v>
      </c>
      <c r="HI372" s="2" t="inlineStr">
        <is>
          <t>(D)</t>
        </is>
      </c>
      <c r="HJ372" s="2" t="n">
        <v>792.82012</v>
      </c>
      <c r="HK372" s="2" t="inlineStr">
        <is>
          <t>(D)</t>
        </is>
      </c>
      <c r="HL372" s="2" t="n">
        <v>131.9355</v>
      </c>
      <c r="HM372" s="2" t="n">
        <v>103.575</v>
      </c>
      <c r="HN372" s="2" t="n">
        <v>48.776</v>
      </c>
      <c r="HO372" s="2" t="n">
        <v>54.799</v>
      </c>
      <c r="HQ372" s="2" t="inlineStr">
        <is>
          <t>(S)</t>
        </is>
      </c>
      <c r="HR372" s="2" t="inlineStr">
        <is>
          <t>(S)</t>
        </is>
      </c>
      <c r="HT372" s="2" t="n">
        <v>16.3263</v>
      </c>
      <c r="HW372" s="2" t="n">
        <v>301.50504</v>
      </c>
      <c r="HX372" s="2" t="inlineStr">
        <is>
          <t>-</t>
        </is>
      </c>
      <c r="HY372" s="2" t="n">
        <v>301.50504</v>
      </c>
      <c r="HZ372" s="2" t="n">
        <v>66.79900000000001</v>
      </c>
      <c r="IA372" s="2" t="n">
        <v>147.92204</v>
      </c>
      <c r="IB372" s="2" t="n">
        <v>30.18644</v>
      </c>
      <c r="IC372" s="2" t="n">
        <v>117.7356</v>
      </c>
      <c r="ID372" s="2" t="n">
        <v>67.30969999999999</v>
      </c>
      <c r="IE372" s="2" t="n">
        <v>50.4259</v>
      </c>
      <c r="IH372" s="2" t="n">
        <v>56.765</v>
      </c>
      <c r="II372" s="2" t="n">
        <v>8.075000000000003</v>
      </c>
      <c r="IJ372" s="2" t="n">
        <v>38.69</v>
      </c>
      <c r="IK372" s="2" t="n">
        <v>10</v>
      </c>
      <c r="IL372" s="2" t="n">
        <v>30.01900000000002</v>
      </c>
      <c r="IN372" s="2" t="inlineStr">
        <is>
          <t>(D)</t>
        </is>
      </c>
      <c r="IO372" s="2" t="inlineStr">
        <is>
          <t>(D)</t>
        </is>
      </c>
      <c r="IP372" s="2" t="inlineStr">
        <is>
          <t>(D)</t>
        </is>
      </c>
      <c r="IQ372" s="2" t="n">
        <v>56.745</v>
      </c>
      <c r="IR372" s="2" t="n">
        <v>9.7217</v>
      </c>
      <c r="IT372" s="2" t="n">
        <v>47.0296</v>
      </c>
      <c r="IU372" s="2" t="inlineStr">
        <is>
          <t>(D)</t>
        </is>
      </c>
      <c r="IV372" s="2" t="inlineStr">
        <is>
          <t>(D)</t>
        </is>
      </c>
      <c r="IW372" s="2" t="inlineStr">
        <is>
          <t>(D)</t>
        </is>
      </c>
      <c r="IX372" s="2" t="inlineStr">
        <is>
          <t>(D)</t>
        </is>
      </c>
      <c r="IY372" s="2" t="n">
        <v>47.24816629524891</v>
      </c>
      <c r="IZ372" s="2" t="n">
        <v>0.04816629524891169</v>
      </c>
      <c r="JB372" s="2" t="n">
        <v>11.13486209413426</v>
      </c>
      <c r="JC372" s="2" t="n">
        <v>-0.0651379058657362</v>
      </c>
      <c r="JE372" s="2" t="n">
        <v>3594.068</v>
      </c>
      <c r="JF372" s="2" t="n">
        <v>0.8419974246452765</v>
      </c>
    </row>
    <row r="373">
      <c r="A373" s="1" t="n">
        <v>40391</v>
      </c>
      <c r="B373" s="2" t="n">
        <v>3843.195</v>
      </c>
      <c r="C373" s="2" t="n">
        <v>1245.182</v>
      </c>
      <c r="D373" s="2" t="n">
        <v>151.03764</v>
      </c>
      <c r="E373" s="2" t="n">
        <v>229.145</v>
      </c>
      <c r="F373" s="2" t="n">
        <v>17.281</v>
      </c>
      <c r="G373" s="2" t="inlineStr">
        <is>
          <t>NA</t>
        </is>
      </c>
      <c r="H373" s="2" t="inlineStr">
        <is>
          <t>NA</t>
        </is>
      </c>
      <c r="I373" s="2" t="inlineStr">
        <is>
          <t>NA</t>
        </is>
      </c>
      <c r="J373" s="2" t="inlineStr">
        <is>
          <t>NA</t>
        </is>
      </c>
      <c r="K373" s="2" t="n">
        <v>1418.4478</v>
      </c>
      <c r="L373" s="2" t="n">
        <v>3337.84</v>
      </c>
      <c r="M373" s="2" t="n">
        <v>3081.425</v>
      </c>
      <c r="N373" s="2" t="n">
        <v>256.415</v>
      </c>
      <c r="O373" s="2" t="n">
        <v>47.95404</v>
      </c>
      <c r="P373" s="2" t="n">
        <v>86.092</v>
      </c>
      <c r="Q373" s="2" t="n">
        <v>49.419</v>
      </c>
      <c r="R373" s="2" t="n">
        <v>36.673</v>
      </c>
      <c r="T373" s="2" t="n">
        <v>12.7914</v>
      </c>
      <c r="U373" s="2" t="n">
        <v>17.401</v>
      </c>
      <c r="V373" s="2" t="e">
        <v>#VALUE!</v>
      </c>
      <c r="W373" s="2" t="e">
        <v>#VALUE!</v>
      </c>
      <c r="X373" s="2" t="inlineStr">
        <is>
          <t>NA</t>
        </is>
      </c>
      <c r="Y373" s="2" t="e">
        <v>#VALUE!</v>
      </c>
      <c r="Z373" s="2" t="n">
        <v>70.384</v>
      </c>
      <c r="AA373" s="2" t="n">
        <v>66.892</v>
      </c>
      <c r="AB373" s="2" t="n">
        <v>3.492</v>
      </c>
      <c r="AC373" s="2" t="inlineStr">
        <is>
          <t>NA</t>
        </is>
      </c>
      <c r="AD373" s="2" t="n">
        <v>102.87468</v>
      </c>
      <c r="AE373" s="2" t="n">
        <v>105.14868</v>
      </c>
      <c r="AF373" s="2" t="n">
        <v>190.583</v>
      </c>
      <c r="AG373" s="2" t="n">
        <v>137.759</v>
      </c>
      <c r="AH373" s="2" t="n">
        <v>52.824</v>
      </c>
      <c r="AI373" s="2" t="n">
        <v>213.558</v>
      </c>
      <c r="AJ373" s="2" t="n">
        <v>210.558</v>
      </c>
      <c r="AK373" s="2" t="n">
        <v>3</v>
      </c>
      <c r="AL373" s="2" t="n">
        <v>146.136</v>
      </c>
      <c r="AM373" s="2" t="n">
        <v>104.589</v>
      </c>
      <c r="AN373" s="2" t="n">
        <v>41.547</v>
      </c>
      <c r="AO373" s="2" t="n">
        <v>2806.1809</v>
      </c>
      <c r="AP373" s="2" t="n">
        <v>241.288</v>
      </c>
      <c r="AQ373" s="2" t="n">
        <v>224.409</v>
      </c>
      <c r="AR373" s="2" t="n">
        <v>31.224</v>
      </c>
      <c r="AS373" s="2" t="n">
        <v>63.16988</v>
      </c>
      <c r="AT373" s="2" t="n">
        <v>61.05</v>
      </c>
      <c r="AU373" s="2" t="n">
        <v>51.034</v>
      </c>
      <c r="AV373" s="2" t="n">
        <v>37.168</v>
      </c>
      <c r="AW373" s="2" t="n">
        <v>8.82</v>
      </c>
      <c r="AX373" s="2" t="inlineStr">
        <is>
          <t>NA</t>
        </is>
      </c>
      <c r="AY373" s="2" t="inlineStr">
        <is>
          <t>NA</t>
        </is>
      </c>
      <c r="AZ373" s="2" t="inlineStr">
        <is>
          <t>NA</t>
        </is>
      </c>
      <c r="BA373" s="2" t="inlineStr">
        <is>
          <t>NA</t>
        </is>
      </c>
      <c r="BB373" s="2" t="inlineStr">
        <is>
          <t>NA</t>
        </is>
      </c>
      <c r="BD373" s="2" t="n">
        <v>169.0205</v>
      </c>
      <c r="BE373" s="2" t="n">
        <v>30.698</v>
      </c>
      <c r="BF373" s="2" t="n">
        <v>65.5264</v>
      </c>
      <c r="BG373" s="2" t="n">
        <v>10.833</v>
      </c>
      <c r="BH373" s="2" t="n">
        <v>272.22626</v>
      </c>
      <c r="BI373" s="2" t="n">
        <v>111.53128</v>
      </c>
      <c r="BJ373" s="2" t="n">
        <v>115.26674</v>
      </c>
      <c r="BK373" s="2" t="n">
        <v>226.79802</v>
      </c>
      <c r="BM373" s="2" t="n">
        <v>499.02428</v>
      </c>
      <c r="BN373" s="2" t="n">
        <v>172.859</v>
      </c>
      <c r="BO373" s="2" t="n">
        <v>105.994</v>
      </c>
      <c r="BP373" s="2" t="n">
        <v>76.063</v>
      </c>
      <c r="BQ373" s="2" t="n">
        <v>182.057</v>
      </c>
      <c r="BS373" s="2" t="n">
        <v>354.9160000000001</v>
      </c>
      <c r="BT373" s="2" t="n">
        <v>21.2027</v>
      </c>
      <c r="BU373" s="2" t="n">
        <v>22.178</v>
      </c>
      <c r="BV373" s="2" t="inlineStr">
        <is>
          <t>NA</t>
        </is>
      </c>
      <c r="BW373" s="2" t="inlineStr">
        <is>
          <t>NA</t>
        </is>
      </c>
      <c r="BX373" s="2" t="n">
        <v>418.39766</v>
      </c>
      <c r="BY373" s="2" t="inlineStr">
        <is>
          <t>NA</t>
        </is>
      </c>
      <c r="BZ373" s="2" t="inlineStr">
        <is>
          <t>NA</t>
        </is>
      </c>
      <c r="CA373" s="2" t="n">
        <v>74.619</v>
      </c>
      <c r="CB373" s="2" t="n">
        <v>127.30052</v>
      </c>
      <c r="CC373" s="2" t="n">
        <v>24.046</v>
      </c>
      <c r="CD373" s="2" t="n">
        <v>131.84546</v>
      </c>
      <c r="CE373" s="2" t="n">
        <v>24.159</v>
      </c>
      <c r="CF373" s="2" t="n">
        <v>107.2477</v>
      </c>
      <c r="CG373" s="2" t="n">
        <v>102.63</v>
      </c>
      <c r="CH373" s="2" t="n">
        <v>6.58</v>
      </c>
      <c r="CI373" s="2" t="n">
        <v>33.056</v>
      </c>
      <c r="CJ373" s="2" t="n">
        <v>5.3</v>
      </c>
      <c r="CK373" s="2" t="n">
        <v>136.40622</v>
      </c>
      <c r="CL373" s="2" t="n">
        <v>23.779</v>
      </c>
      <c r="CN373" s="2" t="n">
        <v>75.56610000000001</v>
      </c>
      <c r="CO373" s="2" t="n">
        <v>197.442</v>
      </c>
      <c r="CP373" s="2" t="n">
        <v>156.592</v>
      </c>
      <c r="CQ373" s="2" t="n">
        <v>40.85</v>
      </c>
      <c r="CR373" s="2" t="inlineStr">
        <is>
          <t>NA</t>
        </is>
      </c>
      <c r="CS373" s="2" t="n">
        <v>44.735</v>
      </c>
      <c r="CT373" s="2" t="n">
        <v>34.288</v>
      </c>
      <c r="CU373" s="2" t="n">
        <v>10.447</v>
      </c>
      <c r="CV373" s="2" t="n">
        <v>382.718</v>
      </c>
      <c r="CW373" s="2" t="inlineStr">
        <is>
          <t>(D)</t>
        </is>
      </c>
      <c r="CX373" s="2" t="inlineStr">
        <is>
          <t>(D)</t>
        </is>
      </c>
      <c r="CY373" s="2" t="inlineStr">
        <is>
          <t>(D)</t>
        </is>
      </c>
      <c r="CZ373" s="2" t="n">
        <v>74.285</v>
      </c>
      <c r="DA373" s="2" t="n">
        <v>17.651</v>
      </c>
      <c r="DB373" s="2" t="inlineStr">
        <is>
          <t>(D)</t>
        </is>
      </c>
      <c r="DC373" s="2" t="inlineStr">
        <is>
          <t>(D)</t>
        </is>
      </c>
      <c r="DI373" s="2" t="n">
        <v>547.499</v>
      </c>
      <c r="DJ373" s="2" t="n">
        <v>450.7414</v>
      </c>
      <c r="DK373" s="2" t="n">
        <v>868.467</v>
      </c>
      <c r="DM373" s="2" t="n">
        <v>476.321</v>
      </c>
      <c r="DO373" s="2" t="inlineStr">
        <is>
          <t>(D)</t>
        </is>
      </c>
      <c r="DP373" s="2" t="inlineStr">
        <is>
          <t>(D)</t>
        </is>
      </c>
      <c r="DS373" s="2" t="n">
        <v>1087.0676</v>
      </c>
      <c r="DT373" s="2" t="n">
        <v>3843.195</v>
      </c>
      <c r="DU373" s="2" t="n">
        <v>-413.0990000000002</v>
      </c>
      <c r="DV373" s="2" t="n">
        <v>0</v>
      </c>
      <c r="EA373" s="2" t="n">
        <v>170.978</v>
      </c>
      <c r="EB373" s="2" t="n">
        <v>157.972</v>
      </c>
      <c r="EC373" s="2" t="n">
        <v>312.651</v>
      </c>
      <c r="EE373" s="2" t="n">
        <v>90.393</v>
      </c>
      <c r="EG373" s="2" t="inlineStr">
        <is>
          <t>(D)</t>
        </is>
      </c>
      <c r="EH373" s="2" t="inlineStr">
        <is>
          <t>(D)</t>
        </is>
      </c>
      <c r="EK373" s="2" t="n">
        <v>396.9809999999999</v>
      </c>
      <c r="EL373" s="2" t="n">
        <v>1245.182</v>
      </c>
      <c r="EQ373" s="2" t="n">
        <v>199.545</v>
      </c>
      <c r="ER373" s="2" t="n">
        <v>166.2374</v>
      </c>
      <c r="ES373" s="2" t="n">
        <v>313.278</v>
      </c>
      <c r="EU373" s="2" t="n">
        <v>181.573</v>
      </c>
      <c r="EW373" s="2" t="inlineStr">
        <is>
          <t>(D)</t>
        </is>
      </c>
      <c r="EX373" s="2" t="inlineStr">
        <is>
          <t>(D)</t>
        </is>
      </c>
      <c r="FA373" s="2" t="n">
        <v>406.2774000000001</v>
      </c>
      <c r="FB373" s="2" t="n">
        <v>1418.4478</v>
      </c>
      <c r="FG373" s="2" t="n">
        <v>433.422</v>
      </c>
      <c r="FH373" s="2" t="n">
        <v>360.8549</v>
      </c>
      <c r="FI373" s="2" t="n">
        <v>679.9829999999999</v>
      </c>
      <c r="FK373" s="2" t="n">
        <v>370.717</v>
      </c>
      <c r="FM373" s="2" t="inlineStr">
        <is>
          <t>(D)</t>
        </is>
      </c>
      <c r="FN373" s="2" t="inlineStr">
        <is>
          <t>(D)</t>
        </is>
      </c>
      <c r="FQ373" s="2" t="n">
        <v>865.0590000000002</v>
      </c>
      <c r="FR373" s="2" t="n">
        <v>3037.9289</v>
      </c>
      <c r="FW373" s="2" t="n">
        <v>347.55</v>
      </c>
      <c r="FX373" s="2" t="n">
        <v>145.402</v>
      </c>
      <c r="FY373" s="2" t="n">
        <v>308.265</v>
      </c>
      <c r="GA373" s="2" t="n">
        <v>111.711</v>
      </c>
      <c r="GC373" s="2" t="inlineStr">
        <is>
          <t>(D)</t>
        </is>
      </c>
      <c r="GD373" s="2" t="inlineStr">
        <is>
          <t>(D)</t>
        </is>
      </c>
      <c r="GG373" s="2" t="n">
        <v>474.042</v>
      </c>
      <c r="GH373" s="2" t="n">
        <v>1514.944</v>
      </c>
      <c r="GM373" s="2" t="n">
        <v>53.39</v>
      </c>
      <c r="GN373" s="2" t="n">
        <v>24.225</v>
      </c>
      <c r="GO373" s="2" t="n">
        <v>63.364</v>
      </c>
      <c r="GQ373" s="2" t="n">
        <v>23.372</v>
      </c>
      <c r="GS373" s="2" t="n">
        <v>8.329000000000001</v>
      </c>
      <c r="GT373" s="2" t="n">
        <v>4.807</v>
      </c>
      <c r="GW373" s="2" t="n">
        <v>95.02500000000001</v>
      </c>
      <c r="GX373" s="2" t="n">
        <v>272.512</v>
      </c>
      <c r="GY373" s="2" t="n">
        <v>0.9770964551993719</v>
      </c>
      <c r="GZ373" s="2" t="n">
        <v>1169.9879</v>
      </c>
      <c r="HA373" s="2" t="n">
        <v>1197.4129</v>
      </c>
      <c r="HB373" s="2" t="n">
        <v>9.110066468399509</v>
      </c>
      <c r="HC373" s="2" t="n">
        <v>-71.49757781659991</v>
      </c>
      <c r="HD373" s="2" t="n">
        <v>1314.5556464684</v>
      </c>
      <c r="HE373" s="2" t="n">
        <v>-107.45442</v>
      </c>
      <c r="HF373" s="2" t="n">
        <v>1305.44558</v>
      </c>
      <c r="HG373" s="2" t="n">
        <v>1178.45598</v>
      </c>
      <c r="HH373" s="2" t="n">
        <v>317.98024</v>
      </c>
      <c r="HI373" s="2" t="inlineStr">
        <is>
          <t>(D)</t>
        </is>
      </c>
      <c r="HJ373" s="2" t="n">
        <v>796.9006999999999</v>
      </c>
      <c r="HK373" s="2" t="inlineStr">
        <is>
          <t>(D)</t>
        </is>
      </c>
      <c r="HL373" s="2" t="n">
        <v>126.9896</v>
      </c>
      <c r="HM373" s="2" t="n">
        <v>95.755</v>
      </c>
      <c r="HN373" s="2" t="n">
        <v>41.191</v>
      </c>
      <c r="HO373" s="2" t="n">
        <v>54.564</v>
      </c>
      <c r="HQ373" s="2" t="inlineStr">
        <is>
          <t>(S)</t>
        </is>
      </c>
      <c r="HR373" s="2" t="inlineStr">
        <is>
          <t>(S)</t>
        </is>
      </c>
      <c r="HT373" s="2" t="n">
        <v>17.1686</v>
      </c>
      <c r="HW373" s="2" t="n">
        <v>269.66984</v>
      </c>
      <c r="HX373" s="2" t="inlineStr">
        <is>
          <t>-</t>
        </is>
      </c>
      <c r="HY373" s="2" t="n">
        <v>269.66984</v>
      </c>
      <c r="HZ373" s="2" t="n">
        <v>62.734</v>
      </c>
      <c r="IA373" s="2" t="n">
        <v>135.72984</v>
      </c>
      <c r="IB373" s="2" t="n">
        <v>22.2217</v>
      </c>
      <c r="IC373" s="2" t="n">
        <v>113.50814</v>
      </c>
      <c r="ID373" s="2" t="n">
        <v>70.12342</v>
      </c>
      <c r="IE373" s="2" t="n">
        <v>43.38472</v>
      </c>
      <c r="IH373" s="2" t="n">
        <v>42.377</v>
      </c>
      <c r="II373" s="2" t="n">
        <v>10.152</v>
      </c>
      <c r="IJ373" s="2" t="n">
        <v>24.725</v>
      </c>
      <c r="IK373" s="2" t="n">
        <v>7.5</v>
      </c>
      <c r="IL373" s="2" t="n">
        <v>28.82900000000001</v>
      </c>
      <c r="IN373" s="2" t="n">
        <v>45.62</v>
      </c>
      <c r="IO373" s="2" t="n">
        <v>45.641</v>
      </c>
      <c r="IP373" s="2" t="inlineStr">
        <is>
          <t>(D)</t>
        </is>
      </c>
      <c r="IQ373" s="2" t="n">
        <v>61.422</v>
      </c>
      <c r="IR373" s="2" t="n">
        <v>12.43544</v>
      </c>
      <c r="IT373" s="2" t="n">
        <v>48.295</v>
      </c>
      <c r="IU373" s="2" t="inlineStr">
        <is>
          <t>(D)</t>
        </is>
      </c>
      <c r="IV373" s="2" t="inlineStr">
        <is>
          <t>(D)</t>
        </is>
      </c>
      <c r="IW373" s="2" t="n">
        <v>0</v>
      </c>
      <c r="IX373" s="2" t="inlineStr">
        <is>
          <t>(D)</t>
        </is>
      </c>
      <c r="IY373" s="2" t="n">
        <v>47.31360079309012</v>
      </c>
      <c r="IZ373" s="2" t="n">
        <v>0.08360079309012747</v>
      </c>
      <c r="JA373" s="2" t="n">
        <v>0.1273076779250132</v>
      </c>
      <c r="JB373" s="2" t="n">
        <v>11.07241084566357</v>
      </c>
      <c r="JC373" s="2" t="n">
        <v>-0.1375891543364318</v>
      </c>
      <c r="JD373" s="2" t="n">
        <v>-0.06640682896955355</v>
      </c>
      <c r="JE373" s="2" t="n">
        <v>3337.84</v>
      </c>
      <c r="JF373" s="2" t="n">
        <v>0.8443469429331544</v>
      </c>
      <c r="JG373" s="2" t="n">
        <v>0.8123549051700308</v>
      </c>
    </row>
    <row r="374">
      <c r="A374" s="1" t="n">
        <v>40422</v>
      </c>
      <c r="B374" s="2" t="n">
        <v>3910.8754</v>
      </c>
      <c r="C374" s="2" t="n">
        <v>2349.092</v>
      </c>
      <c r="D374" s="2" t="n">
        <v>143.9487</v>
      </c>
      <c r="E374" s="2" t="n">
        <v>387.897</v>
      </c>
      <c r="F374" s="2" t="n">
        <v>17.0712</v>
      </c>
      <c r="G374" s="2" t="inlineStr">
        <is>
          <t>NA</t>
        </is>
      </c>
      <c r="H374" s="2" t="inlineStr">
        <is>
          <t>NA</t>
        </is>
      </c>
      <c r="I374" s="2" t="inlineStr">
        <is>
          <t>NA</t>
        </is>
      </c>
      <c r="J374" s="2" t="inlineStr">
        <is>
          <t>NA</t>
        </is>
      </c>
      <c r="K374" s="2" t="n">
        <v>1474.4172</v>
      </c>
      <c r="L374" s="2" t="n">
        <v>3405.78</v>
      </c>
      <c r="M374" s="2" t="n">
        <v>3127.263</v>
      </c>
      <c r="N374" s="2" t="n">
        <v>278.517</v>
      </c>
      <c r="O374" s="2" t="n">
        <v>52.875</v>
      </c>
      <c r="P374" s="2" t="n">
        <v>92.539</v>
      </c>
      <c r="Q374" s="2" t="e">
        <v>#VALUE!</v>
      </c>
      <c r="R374" s="2" t="e">
        <v>#VALUE!</v>
      </c>
      <c r="T374" s="2" t="n">
        <v>13.94724</v>
      </c>
      <c r="U374" s="2" t="n">
        <v>17.528</v>
      </c>
      <c r="V374" s="2" t="e">
        <v>#VALUE!</v>
      </c>
      <c r="W374" s="2" t="e">
        <v>#VALUE!</v>
      </c>
      <c r="X374" s="2" t="inlineStr">
        <is>
          <t>NA</t>
        </is>
      </c>
      <c r="Y374" s="2" t="e">
        <v>#VALUE!</v>
      </c>
      <c r="Z374" s="2" t="n">
        <v>83.447</v>
      </c>
      <c r="AA374" s="2" t="n">
        <v>78.81</v>
      </c>
      <c r="AB374" s="2" t="n">
        <v>4.637</v>
      </c>
      <c r="AC374" s="2" t="inlineStr">
        <is>
          <t>NA</t>
        </is>
      </c>
      <c r="AD374" s="2" t="n">
        <v>93.0596</v>
      </c>
      <c r="AE374" s="2" t="n">
        <v>95.3096</v>
      </c>
      <c r="AF374" s="2" t="n">
        <v>193.732</v>
      </c>
      <c r="AG374" s="2" t="n">
        <v>124.463</v>
      </c>
      <c r="AH374" s="2" t="n">
        <v>69.26900000000001</v>
      </c>
      <c r="AI374" s="2" t="n">
        <v>200.119</v>
      </c>
      <c r="AJ374" s="2" t="n">
        <v>197.119</v>
      </c>
      <c r="AK374" s="2" t="n">
        <v>3</v>
      </c>
      <c r="AL374" s="2" t="n">
        <v>138.824</v>
      </c>
      <c r="AM374" s="2" t="n">
        <v>93.81999999999999</v>
      </c>
      <c r="AN374" s="2" t="n">
        <v>45.004</v>
      </c>
      <c r="AO374" s="2" t="n">
        <v>2836.0385</v>
      </c>
      <c r="AP374" s="2" t="n">
        <v>273.085</v>
      </c>
      <c r="AQ374" s="2" t="n">
        <v>223.6447</v>
      </c>
      <c r="AR374" s="2" t="n">
        <v>28.469</v>
      </c>
      <c r="AS374" s="2" t="n">
        <v>74.8509</v>
      </c>
      <c r="AT374" s="2" t="n">
        <v>54.233</v>
      </c>
      <c r="AU374" s="2" t="n">
        <v>50.4891</v>
      </c>
      <c r="AV374" s="2" t="n">
        <v>30.614</v>
      </c>
      <c r="AW374" s="2" t="n">
        <v>8.648200000000001</v>
      </c>
      <c r="AX374" s="2" t="inlineStr">
        <is>
          <t>NA</t>
        </is>
      </c>
      <c r="AY374" s="2" t="inlineStr">
        <is>
          <t>NA</t>
        </is>
      </c>
      <c r="AZ374" s="2" t="inlineStr">
        <is>
          <t>NA</t>
        </is>
      </c>
      <c r="BA374" s="2" t="inlineStr">
        <is>
          <t>NA</t>
        </is>
      </c>
      <c r="BB374" s="2" t="inlineStr">
        <is>
          <t>NA</t>
        </is>
      </c>
      <c r="BD374" s="2" t="n">
        <v>159.28098</v>
      </c>
      <c r="BE374" s="2" t="n">
        <v>32.638</v>
      </c>
      <c r="BF374" s="2" t="n">
        <v>68.63232000000001</v>
      </c>
      <c r="BG374" s="2" t="n">
        <v>10.647</v>
      </c>
      <c r="BH374" s="2" t="n">
        <v>271.25552</v>
      </c>
      <c r="BI374" s="2" t="n">
        <v>115.54848</v>
      </c>
      <c r="BJ374" s="2" t="n">
        <v>111.79478</v>
      </c>
      <c r="BK374" s="2" t="n">
        <v>227.34326</v>
      </c>
      <c r="BM374" s="2" t="n">
        <v>498.59878</v>
      </c>
      <c r="BN374" s="2" t="n">
        <v>158.654</v>
      </c>
      <c r="BO374" s="2" t="n">
        <v>117.458</v>
      </c>
      <c r="BP374" s="2" t="n">
        <v>73.94799999999999</v>
      </c>
      <c r="BQ374" s="2" t="n">
        <v>191.406</v>
      </c>
      <c r="BS374" s="2" t="n">
        <v>350.06</v>
      </c>
      <c r="BT374" s="2" t="n">
        <v>21.6044</v>
      </c>
      <c r="BU374" s="2" t="n">
        <v>21.735</v>
      </c>
      <c r="BV374" s="2" t="inlineStr">
        <is>
          <t>NA</t>
        </is>
      </c>
      <c r="BW374" s="2" t="inlineStr">
        <is>
          <t>NA</t>
        </is>
      </c>
      <c r="BX374" s="2" t="n">
        <v>426.88026</v>
      </c>
      <c r="BY374" s="2" t="inlineStr">
        <is>
          <t>NA</t>
        </is>
      </c>
      <c r="BZ374" s="2" t="inlineStr">
        <is>
          <t>NA</t>
        </is>
      </c>
      <c r="CA374" s="2" t="n">
        <v>79.604</v>
      </c>
      <c r="CB374" s="2" t="n">
        <v>125.66916</v>
      </c>
      <c r="CC374" s="2" t="n">
        <v>21.004</v>
      </c>
      <c r="CD374" s="2" t="n">
        <v>127.50108</v>
      </c>
      <c r="CE374" s="2" t="n">
        <v>24.383</v>
      </c>
      <c r="CF374" s="2" t="n">
        <v>112.13284</v>
      </c>
      <c r="CG374" s="2" t="n">
        <v>113.976</v>
      </c>
      <c r="CH374" s="2" t="n">
        <v>6.774</v>
      </c>
      <c r="CI374" s="2" t="n">
        <v>32.6302</v>
      </c>
      <c r="CJ374" s="2" t="n">
        <v>5.858</v>
      </c>
      <c r="CK374" s="2" t="n">
        <v>147.02802</v>
      </c>
      <c r="CL374" s="2" t="n">
        <v>23.294</v>
      </c>
      <c r="CN374" s="2" t="n">
        <v>69.68899999999999</v>
      </c>
      <c r="CO374" s="2" t="n">
        <v>185.969</v>
      </c>
      <c r="CP374" s="2" t="n">
        <v>144.334</v>
      </c>
      <c r="CQ374" s="2" t="n">
        <v>41.635</v>
      </c>
      <c r="CR374" s="2" t="inlineStr">
        <is>
          <t>NA</t>
        </is>
      </c>
      <c r="CS374" s="2" t="n">
        <v>37.506</v>
      </c>
      <c r="CT374" s="2" t="n">
        <v>26.922</v>
      </c>
      <c r="CU374" s="2" t="n">
        <v>10.584</v>
      </c>
      <c r="CV374" s="2" t="n">
        <v>332.22</v>
      </c>
      <c r="CW374" s="2" t="inlineStr">
        <is>
          <t>(D)</t>
        </is>
      </c>
      <c r="CX374" s="2" t="inlineStr">
        <is>
          <t>(D)</t>
        </is>
      </c>
      <c r="CY374" s="2" t="n">
        <v>26.52</v>
      </c>
      <c r="CZ374" s="2" t="n">
        <v>73.96900000000001</v>
      </c>
      <c r="DA374" s="2" t="n">
        <v>20.646</v>
      </c>
      <c r="DB374" s="2" t="inlineStr">
        <is>
          <t>(D)</t>
        </is>
      </c>
      <c r="DC374" s="2" t="inlineStr">
        <is>
          <t>(D)</t>
        </is>
      </c>
      <c r="DI374" s="2" t="n">
        <v>443.453</v>
      </c>
      <c r="DJ374" s="2" t="n">
        <v>607.9905</v>
      </c>
      <c r="DK374" s="2" t="n">
        <v>896.003</v>
      </c>
      <c r="DM374" s="2" t="n">
        <v>427.766</v>
      </c>
      <c r="DO374" s="2" t="n">
        <v>146.992</v>
      </c>
      <c r="DP374" s="2" t="n">
        <v>222.825</v>
      </c>
      <c r="DS374" s="2" t="n">
        <v>1165.8459</v>
      </c>
      <c r="DT374" s="2" t="n">
        <v>3910.8754</v>
      </c>
      <c r="DU374" s="2" t="n">
        <v>0</v>
      </c>
      <c r="DV374" s="2" t="n">
        <v>0</v>
      </c>
      <c r="EA374" s="2" t="n">
        <v>241.905</v>
      </c>
      <c r="EB374" s="2" t="n">
        <v>833.5839999999999</v>
      </c>
      <c r="EC374" s="2" t="n">
        <v>313.619</v>
      </c>
      <c r="EE374" s="2" t="n">
        <v>102.545</v>
      </c>
      <c r="EG374" s="2" t="n">
        <v>29.933</v>
      </c>
      <c r="EH374" s="2" t="n">
        <v>236.934</v>
      </c>
      <c r="EK374" s="2" t="n">
        <v>590.5720000000001</v>
      </c>
      <c r="EL374" s="2" t="n">
        <v>2349.092</v>
      </c>
      <c r="EQ374" s="2" t="n">
        <v>168.307</v>
      </c>
      <c r="ER374" s="2" t="n">
        <v>233.5174</v>
      </c>
      <c r="ES374" s="2" t="n">
        <v>330.908</v>
      </c>
      <c r="EU374" s="2" t="n">
        <v>162.654</v>
      </c>
      <c r="EW374" s="2" t="n">
        <v>53.074</v>
      </c>
      <c r="EX374" s="2" t="n">
        <v>84.673</v>
      </c>
      <c r="FA374" s="2" t="n">
        <v>441.2837999999999</v>
      </c>
      <c r="FB374" s="2" t="n">
        <v>1474.4172</v>
      </c>
      <c r="FG374" s="2" t="n">
        <v>349.144</v>
      </c>
      <c r="FH374" s="2" t="n">
        <v>477.7305</v>
      </c>
      <c r="FI374" s="2" t="n">
        <v>693.775</v>
      </c>
      <c r="FK374" s="2" t="n">
        <v>334.761</v>
      </c>
      <c r="FM374" s="2" t="n">
        <v>117.139</v>
      </c>
      <c r="FN374" s="2" t="n">
        <v>179.742</v>
      </c>
      <c r="FQ374" s="2" t="n">
        <v>915.3806999999997</v>
      </c>
      <c r="FR374" s="2" t="n">
        <v>3067.6</v>
      </c>
      <c r="FW374" s="2" t="n">
        <v>389.177</v>
      </c>
      <c r="FX374" s="2" t="n">
        <v>142.704</v>
      </c>
      <c r="FY374" s="2" t="n">
        <v>283.122</v>
      </c>
      <c r="GA374" s="2" t="n">
        <v>107.851</v>
      </c>
      <c r="GC374" s="2" t="inlineStr">
        <is>
          <t>(D)</t>
        </is>
      </c>
      <c r="GD374" s="2" t="inlineStr">
        <is>
          <t>(D)</t>
        </is>
      </c>
      <c r="GG374" s="2" t="n">
        <v>477.4280000000001</v>
      </c>
      <c r="GH374" s="2" t="n">
        <v>1531.423</v>
      </c>
      <c r="GM374" s="2" t="n">
        <v>60.283</v>
      </c>
      <c r="GN374" s="2" t="n">
        <v>49.661</v>
      </c>
      <c r="GO374" s="2" t="n">
        <v>69.803</v>
      </c>
      <c r="GQ374" s="2" t="n">
        <v>19.834</v>
      </c>
      <c r="GS374" s="2" t="n">
        <v>3.618</v>
      </c>
      <c r="GT374" s="2" t="n">
        <v>4.105</v>
      </c>
      <c r="GW374" s="2" t="n">
        <v>94.25</v>
      </c>
      <c r="GX374" s="2" t="n">
        <v>301.554</v>
      </c>
      <c r="GY374" s="2" t="n">
        <v>0.9838441525394274</v>
      </c>
      <c r="GZ374" s="2" t="n">
        <v>1200.1112</v>
      </c>
      <c r="HA374" s="2" t="n">
        <v>1219.8184</v>
      </c>
      <c r="HB374" s="2" t="n">
        <v>-63.7463562567998</v>
      </c>
      <c r="HC374" s="2" t="n">
        <v>-179.1474289899993</v>
      </c>
      <c r="HD374" s="2" t="n">
        <v>1238.1225637432</v>
      </c>
      <c r="HE374" s="2" t="n">
        <v>-130.3310799999999</v>
      </c>
      <c r="HF374" s="2" t="n">
        <v>1301.86892</v>
      </c>
      <c r="HG374" s="2" t="n">
        <v>1177.1736</v>
      </c>
      <c r="HH374" s="2" t="n">
        <v>318.7197</v>
      </c>
      <c r="HI374" s="2" t="inlineStr">
        <is>
          <t>(D)</t>
        </is>
      </c>
      <c r="HJ374" s="2" t="n">
        <v>793.5337</v>
      </c>
      <c r="HK374" s="2" t="inlineStr">
        <is>
          <t>(D)</t>
        </is>
      </c>
      <c r="HL374" s="2" t="n">
        <v>124.69532</v>
      </c>
      <c r="HM374" s="2" t="n">
        <v>96.34100000000001</v>
      </c>
      <c r="HN374" s="2" t="n">
        <v>45.085</v>
      </c>
      <c r="HO374" s="2" t="n">
        <v>51.256</v>
      </c>
      <c r="HQ374" s="2" t="inlineStr">
        <is>
          <t>(S)</t>
        </is>
      </c>
      <c r="HR374" s="2" t="inlineStr">
        <is>
          <t>(S)</t>
        </is>
      </c>
      <c r="HT374" s="2" t="n">
        <v>16.55156</v>
      </c>
      <c r="HW374" s="2" t="n">
        <v>288.57584</v>
      </c>
      <c r="HX374" s="2" t="inlineStr">
        <is>
          <t>-</t>
        </is>
      </c>
      <c r="HY374" s="2" t="n">
        <v>288.57584</v>
      </c>
      <c r="HZ374" s="2" t="n">
        <v>69.806</v>
      </c>
      <c r="IA374" s="2" t="n">
        <v>143.63784</v>
      </c>
      <c r="IB374" s="2" t="n">
        <v>27.47732</v>
      </c>
      <c r="IC374" s="2" t="n">
        <v>116.16052</v>
      </c>
      <c r="ID374" s="2" t="n">
        <v>66.95854</v>
      </c>
      <c r="IE374" s="2" t="n">
        <v>49.20198000000001</v>
      </c>
      <c r="IH374" s="2" t="n">
        <v>43.215</v>
      </c>
      <c r="II374" s="2" t="n">
        <v>13.249</v>
      </c>
      <c r="IJ374" s="2" t="n">
        <v>17.466</v>
      </c>
      <c r="IK374" s="2" t="n">
        <v>12.5</v>
      </c>
      <c r="IL374" s="2" t="n">
        <v>31.91700000000003</v>
      </c>
      <c r="IN374" s="2" t="n">
        <v>47.337</v>
      </c>
      <c r="IO374" s="2" t="n">
        <v>47.359</v>
      </c>
      <c r="IP374" s="2" t="inlineStr">
        <is>
          <t>(D)</t>
        </is>
      </c>
      <c r="IQ374" s="2" t="n">
        <v>51.776</v>
      </c>
      <c r="IR374" s="2" t="n">
        <v>12.4931</v>
      </c>
      <c r="IT374" s="2" t="n">
        <v>38.831</v>
      </c>
      <c r="IU374" s="2" t="inlineStr">
        <is>
          <t>(D)</t>
        </is>
      </c>
      <c r="IV374" s="2" t="inlineStr">
        <is>
          <t>(D)</t>
        </is>
      </c>
      <c r="IW374" s="2" t="n">
        <v>0</v>
      </c>
      <c r="IX374" s="2" t="inlineStr">
        <is>
          <t>(D)</t>
        </is>
      </c>
      <c r="IY374" s="2" t="n">
        <v>46.94115082265213</v>
      </c>
      <c r="IZ374" s="2" t="n">
        <v>0.1211508226521332</v>
      </c>
      <c r="JA374" s="2" t="n">
        <v>0.1110930083574374</v>
      </c>
      <c r="JB374" s="2" t="n">
        <v>11.31013174186015</v>
      </c>
      <c r="JC374" s="2" t="n">
        <v>-0.1198682581398547</v>
      </c>
      <c r="JD374" s="2" t="n">
        <v>-0.05213693919100084</v>
      </c>
      <c r="JE374" s="2" t="n">
        <v>3405.78</v>
      </c>
      <c r="JF374" s="2" t="n">
        <v>0.8119018257198057</v>
      </c>
      <c r="JG374" s="2" t="n">
        <v>0.7978778174985248</v>
      </c>
    </row>
    <row r="375">
      <c r="A375" s="1" t="n">
        <v>40452</v>
      </c>
      <c r="B375" s="2" t="n">
        <v>4716.39359</v>
      </c>
      <c r="C375" s="2" t="n">
        <v>4512.759</v>
      </c>
      <c r="D375" s="2" t="n">
        <v>172.7712</v>
      </c>
      <c r="E375" s="2" t="n">
        <v>1109.026</v>
      </c>
      <c r="F375" s="2" t="n">
        <v>22.753</v>
      </c>
      <c r="G375" s="2" t="inlineStr">
        <is>
          <t>NA</t>
        </is>
      </c>
      <c r="H375" s="2" t="inlineStr">
        <is>
          <t>NA</t>
        </is>
      </c>
      <c r="I375" s="2" t="inlineStr">
        <is>
          <t>NA</t>
        </is>
      </c>
      <c r="J375" s="2" t="inlineStr">
        <is>
          <t>NA</t>
        </is>
      </c>
      <c r="K375" s="2" t="n">
        <v>1790.54339</v>
      </c>
      <c r="L375" s="2" t="n">
        <v>3284.963</v>
      </c>
      <c r="M375" s="2" t="n">
        <v>3010.655</v>
      </c>
      <c r="N375" s="2" t="n">
        <v>274.308</v>
      </c>
      <c r="O375" s="2" t="n">
        <v>54.282</v>
      </c>
      <c r="P375" s="2" t="n">
        <v>81.265</v>
      </c>
      <c r="Q375" s="2" t="e">
        <v>#VALUE!</v>
      </c>
      <c r="R375" s="2" t="e">
        <v>#VALUE!</v>
      </c>
      <c r="T375" s="2" t="inlineStr">
        <is>
          <t>(D)</t>
        </is>
      </c>
      <c r="U375" s="2" t="n">
        <v>18.274</v>
      </c>
      <c r="V375" s="2" t="e">
        <v>#VALUE!</v>
      </c>
      <c r="W375" s="2" t="e">
        <v>#VALUE!</v>
      </c>
      <c r="X375" s="2" t="inlineStr">
        <is>
          <t>NA</t>
        </is>
      </c>
      <c r="Y375" s="2" t="e">
        <v>#VALUE!</v>
      </c>
      <c r="Z375" s="2" t="n">
        <v>93.666</v>
      </c>
      <c r="AA375" s="2" t="n">
        <v>90.664</v>
      </c>
      <c r="AB375" s="2" t="n">
        <v>3.002</v>
      </c>
      <c r="AC375" s="2" t="inlineStr">
        <is>
          <t>NA</t>
        </is>
      </c>
      <c r="AD375" s="2" t="n">
        <v>94.39239999999999</v>
      </c>
      <c r="AE375" s="2" t="n">
        <v>95.4609</v>
      </c>
      <c r="AF375" s="2" t="n">
        <v>218.195</v>
      </c>
      <c r="AG375" s="2" t="n">
        <v>157.569</v>
      </c>
      <c r="AH375" s="2" t="n">
        <v>60.626</v>
      </c>
      <c r="AI375" s="2" t="n">
        <v>205.148</v>
      </c>
      <c r="AJ375" s="2" t="n">
        <v>202.148</v>
      </c>
      <c r="AK375" s="2" t="n">
        <v>3</v>
      </c>
      <c r="AL375" s="2" t="n">
        <v>127.728</v>
      </c>
      <c r="AM375" s="2" t="n">
        <v>95.503</v>
      </c>
      <c r="AN375" s="2" t="n">
        <v>32.225</v>
      </c>
      <c r="AO375" s="2" t="n">
        <v>3475.80273</v>
      </c>
      <c r="AP375" s="2" t="n">
        <v>471.806</v>
      </c>
      <c r="AQ375" s="2" t="n">
        <v>262.26737</v>
      </c>
      <c r="AR375" s="2" t="n">
        <v>44.725</v>
      </c>
      <c r="AS375" s="2" t="n">
        <v>82.2469</v>
      </c>
      <c r="AT375" s="2" t="n">
        <v>48.229</v>
      </c>
      <c r="AU375" s="2" t="n">
        <v>49.5162</v>
      </c>
      <c r="AV375" s="2" t="n">
        <v>25.215</v>
      </c>
      <c r="AW375" s="2" t="inlineStr">
        <is>
          <t>(S)</t>
        </is>
      </c>
      <c r="AX375" s="2" t="inlineStr">
        <is>
          <t>NA</t>
        </is>
      </c>
      <c r="AY375" s="2" t="inlineStr">
        <is>
          <t>NA</t>
        </is>
      </c>
      <c r="AZ375" s="2" t="inlineStr">
        <is>
          <t>NA</t>
        </is>
      </c>
      <c r="BA375" s="2" t="inlineStr">
        <is>
          <t>NA</t>
        </is>
      </c>
      <c r="BB375" s="2" t="inlineStr">
        <is>
          <t>NA</t>
        </is>
      </c>
      <c r="BD375" s="2" t="n">
        <v>162.97965</v>
      </c>
      <c r="BE375" s="2" t="n">
        <v>32.624</v>
      </c>
      <c r="BF375" s="2" t="n">
        <v>68.75806</v>
      </c>
      <c r="BG375" s="2" t="n">
        <v>8.465999999999999</v>
      </c>
      <c r="BH375" s="2" t="n">
        <v>277.43724</v>
      </c>
      <c r="BI375" s="2" t="n">
        <v>109.57245</v>
      </c>
      <c r="BJ375" s="2" t="n">
        <v>116.57292</v>
      </c>
      <c r="BK375" s="2" t="n">
        <v>226.14537</v>
      </c>
      <c r="BM375" s="2" t="n">
        <v>503.58261</v>
      </c>
      <c r="BN375" s="2" t="n">
        <v>168.939</v>
      </c>
      <c r="BO375" s="2" t="n">
        <v>108.686</v>
      </c>
      <c r="BP375" s="2" t="n">
        <v>80.456</v>
      </c>
      <c r="BQ375" s="2" t="n">
        <v>189.142</v>
      </c>
      <c r="BS375" s="2" t="n">
        <v>358.081</v>
      </c>
      <c r="BT375" s="2" t="n">
        <v>25.01522</v>
      </c>
      <c r="BU375" s="2" t="n">
        <v>23.628</v>
      </c>
      <c r="BV375" s="2" t="inlineStr">
        <is>
          <t>NA</t>
        </is>
      </c>
      <c r="BW375" s="2" t="inlineStr">
        <is>
          <t>NA</t>
        </is>
      </c>
      <c r="BX375" s="2" t="n">
        <v>426.06262</v>
      </c>
      <c r="BY375" s="2" t="inlineStr">
        <is>
          <t>NA</t>
        </is>
      </c>
      <c r="BZ375" s="2" t="inlineStr">
        <is>
          <t>NA</t>
        </is>
      </c>
      <c r="CA375" s="2" t="n">
        <v>69.944</v>
      </c>
      <c r="CB375" s="2" t="n">
        <v>113.85185</v>
      </c>
      <c r="CC375" s="2" t="n">
        <v>23.811</v>
      </c>
      <c r="CD375" s="2" t="n">
        <v>142.39064</v>
      </c>
      <c r="CE375" s="2" t="n">
        <v>29.674</v>
      </c>
      <c r="CF375" s="2" t="n">
        <v>113.90855</v>
      </c>
      <c r="CG375" s="2" t="n">
        <v>112.324</v>
      </c>
      <c r="CH375" s="2" t="n">
        <v>6.086</v>
      </c>
      <c r="CI375" s="2" t="n">
        <v>29.09705</v>
      </c>
      <c r="CJ375" s="2" t="n">
        <v>6.78</v>
      </c>
      <c r="CK375" s="2" t="n">
        <v>152.54722</v>
      </c>
      <c r="CL375" s="2" t="n">
        <v>23.069</v>
      </c>
      <c r="CN375" s="2" t="n">
        <v>62.655</v>
      </c>
      <c r="CO375" s="2" t="n">
        <v>166.968</v>
      </c>
      <c r="CP375" s="2" t="n">
        <v>126.469</v>
      </c>
      <c r="CQ375" s="2" t="n">
        <v>40.499</v>
      </c>
      <c r="CR375" s="2" t="inlineStr">
        <is>
          <t>NA</t>
        </is>
      </c>
      <c r="CS375" s="2" t="n">
        <v>63.828</v>
      </c>
      <c r="CT375" s="2" t="n">
        <v>49.459</v>
      </c>
      <c r="CU375" s="2" t="n">
        <v>14.369</v>
      </c>
      <c r="CV375" s="2" t="n">
        <v>292.765</v>
      </c>
      <c r="CW375" s="2" t="inlineStr">
        <is>
          <t>(D)</t>
        </is>
      </c>
      <c r="CX375" s="2" t="inlineStr">
        <is>
          <t>(D)</t>
        </is>
      </c>
      <c r="CY375" s="2" t="n">
        <v>25.481</v>
      </c>
      <c r="CZ375" s="2" t="n">
        <v>77.57199999999999</v>
      </c>
      <c r="DA375" s="2" t="n">
        <v>35.835</v>
      </c>
      <c r="DB375" s="2" t="inlineStr">
        <is>
          <t>(D)</t>
        </is>
      </c>
      <c r="DC375" s="2" t="inlineStr">
        <is>
          <t>(D)</t>
        </is>
      </c>
      <c r="DI375" s="2" t="n">
        <v>588.134</v>
      </c>
      <c r="DJ375" s="2" t="n">
        <v>579.7189499999999</v>
      </c>
      <c r="DK375" s="2" t="n">
        <v>1103.215</v>
      </c>
      <c r="DM375" s="2" t="n">
        <v>525.399</v>
      </c>
      <c r="DO375" s="2" t="n">
        <v>301.78</v>
      </c>
      <c r="DP375" s="2" t="n">
        <v>283.206</v>
      </c>
      <c r="DS375" s="2" t="n">
        <v>1334.94064</v>
      </c>
      <c r="DT375" s="2" t="n">
        <v>4716.39359</v>
      </c>
      <c r="DU375" s="2" t="n">
        <v>0</v>
      </c>
      <c r="DV375" s="2" t="n">
        <v>0</v>
      </c>
      <c r="EA375" s="2" t="n">
        <v>584.191</v>
      </c>
      <c r="EB375" s="2" t="n">
        <v>907.684</v>
      </c>
      <c r="EC375" s="2" t="n">
        <v>799.675</v>
      </c>
      <c r="EE375" s="2" t="n">
        <v>326.449</v>
      </c>
      <c r="EG375" s="2" t="inlineStr">
        <is>
          <t>(D)</t>
        </is>
      </c>
      <c r="EH375" s="2" t="inlineStr">
        <is>
          <t>(D)</t>
        </is>
      </c>
      <c r="EK375" s="2" t="n">
        <v>1397.921</v>
      </c>
      <c r="EL375" s="2" t="n">
        <v>4512.759</v>
      </c>
      <c r="EQ375" s="2" t="n">
        <v>221.642</v>
      </c>
      <c r="ER375" s="2" t="n">
        <v>220.96835</v>
      </c>
      <c r="ES375" s="2" t="n">
        <v>417.312</v>
      </c>
      <c r="EU375" s="2" t="n">
        <v>205.5</v>
      </c>
      <c r="EW375" s="2" t="n">
        <v>115.385</v>
      </c>
      <c r="EX375" s="2" t="n">
        <v>106.28</v>
      </c>
      <c r="FA375" s="2" t="n">
        <v>503.4560399999997</v>
      </c>
      <c r="FB375" s="2" t="n">
        <v>1790.54339</v>
      </c>
      <c r="FG375" s="2" t="n">
        <v>463.543</v>
      </c>
      <c r="FH375" s="2" t="n">
        <v>464.6371</v>
      </c>
      <c r="FI375" s="2" t="n">
        <v>872.144</v>
      </c>
      <c r="FK375" s="2" t="n">
        <v>420.277</v>
      </c>
      <c r="FM375" s="2" t="n">
        <v>240.396</v>
      </c>
      <c r="FN375" s="2" t="n">
        <v>227.478</v>
      </c>
      <c r="FQ375" s="2" t="n">
        <v>1057.87</v>
      </c>
      <c r="FR375" s="2" t="n">
        <v>3746.4</v>
      </c>
      <c r="FW375" s="2" t="n">
        <v>279.388</v>
      </c>
      <c r="FX375" s="2" t="n">
        <v>152</v>
      </c>
      <c r="FY375" s="2" t="n">
        <v>309.69</v>
      </c>
      <c r="GA375" s="2" t="n">
        <v>101.201</v>
      </c>
      <c r="GC375" s="2" t="inlineStr">
        <is>
          <t>(D)</t>
        </is>
      </c>
      <c r="GD375" s="2" t="inlineStr">
        <is>
          <t>(D)</t>
        </is>
      </c>
      <c r="GG375" s="2" t="n">
        <v>533.654</v>
      </c>
      <c r="GH375" s="2" t="n">
        <v>1498.415</v>
      </c>
      <c r="GM375" s="2" t="n">
        <v>113.024</v>
      </c>
      <c r="GN375" s="2" t="n">
        <v>77.297</v>
      </c>
      <c r="GO375" s="2" t="n">
        <v>96.934</v>
      </c>
      <c r="GQ375" s="2" t="n">
        <v>44.168</v>
      </c>
      <c r="GS375" s="2" t="n">
        <v>23.322</v>
      </c>
      <c r="GT375" s="2" t="n">
        <v>5.114</v>
      </c>
      <c r="GW375" s="2" t="n">
        <v>156.6719999999999</v>
      </c>
      <c r="GX375" s="2" t="n">
        <v>516.5309999999999</v>
      </c>
      <c r="GY375" s="2" t="n">
        <v>0.9825158656196233</v>
      </c>
      <c r="GZ375" s="2" t="n">
        <v>1296.68451</v>
      </c>
      <c r="HA375" s="2" t="n">
        <v>1319.75936</v>
      </c>
      <c r="HB375" s="2" t="n">
        <v>105.1627340945993</v>
      </c>
      <c r="HC375" s="2" t="n">
        <v>-72.78376576059964</v>
      </c>
      <c r="HD375" s="2" t="n">
        <v>1479.286004094599</v>
      </c>
      <c r="HE375" s="2" t="n">
        <v>-252.37673</v>
      </c>
      <c r="HF375" s="2" t="n">
        <v>1374.12327</v>
      </c>
      <c r="HG375" s="2" t="n">
        <v>1246.30287</v>
      </c>
      <c r="HH375" s="2" t="n">
        <v>343.62886</v>
      </c>
      <c r="HI375" s="2" t="inlineStr">
        <is>
          <t>(D)</t>
        </is>
      </c>
      <c r="HJ375" s="2" t="n">
        <v>833.89991</v>
      </c>
      <c r="HK375" s="2" t="inlineStr">
        <is>
          <t>(D)</t>
        </is>
      </c>
      <c r="HL375" s="2" t="n">
        <v>127.8204</v>
      </c>
      <c r="HM375" s="2" t="n">
        <v>102.262</v>
      </c>
      <c r="HN375" s="2" t="n">
        <v>44.373</v>
      </c>
      <c r="HO375" s="2" t="n">
        <v>57.889</v>
      </c>
      <c r="HQ375" s="2" t="inlineStr">
        <is>
          <t>(S)</t>
        </is>
      </c>
      <c r="HR375" s="2" t="inlineStr">
        <is>
          <t>(S)</t>
        </is>
      </c>
      <c r="HT375" s="2" t="n">
        <v>14.5864</v>
      </c>
      <c r="HW375" s="2" t="n">
        <v>251.06516</v>
      </c>
      <c r="HX375" s="2" t="inlineStr">
        <is>
          <t>-</t>
        </is>
      </c>
      <c r="HY375" s="2" t="n">
        <v>251.06516</v>
      </c>
      <c r="HZ375" s="2" t="n">
        <v>58.983</v>
      </c>
      <c r="IA375" s="2" t="n">
        <v>129.50716</v>
      </c>
      <c r="IB375" s="2" t="n">
        <v>23.3557</v>
      </c>
      <c r="IC375" s="2" t="n">
        <v>106.15146</v>
      </c>
      <c r="ID375" s="2" t="n">
        <v>69.66734</v>
      </c>
      <c r="IE375" s="2" t="n">
        <v>36.48412</v>
      </c>
      <c r="IH375" s="2" t="n">
        <v>31.032</v>
      </c>
      <c r="II375" s="2" t="n">
        <v>11.24299999999999</v>
      </c>
      <c r="IJ375" s="2" t="n">
        <v>14.789</v>
      </c>
      <c r="IK375" s="2" t="n">
        <v>5</v>
      </c>
      <c r="IL375" s="2" t="n">
        <v>31.54299999999999</v>
      </c>
      <c r="IN375" s="2" t="n">
        <v>38.726</v>
      </c>
      <c r="IO375" s="2" t="n">
        <v>38.744</v>
      </c>
      <c r="IP375" s="2" t="inlineStr">
        <is>
          <t>(D)</t>
        </is>
      </c>
      <c r="IQ375" s="2" t="n">
        <v>54.366</v>
      </c>
      <c r="IR375" s="2" t="inlineStr">
        <is>
          <t>(D)</t>
        </is>
      </c>
      <c r="IT375" s="2" t="inlineStr">
        <is>
          <t>(D)</t>
        </is>
      </c>
      <c r="IU375" s="2" t="inlineStr">
        <is>
          <t>(D)</t>
        </is>
      </c>
      <c r="IV375" s="2" t="inlineStr">
        <is>
          <t>(D)</t>
        </is>
      </c>
      <c r="IW375" s="2" t="inlineStr">
        <is>
          <t>(D)</t>
        </is>
      </c>
      <c r="IX375" s="2" t="inlineStr">
        <is>
          <t>(D)</t>
        </is>
      </c>
      <c r="IY375" s="2" t="n">
        <v>47.5541749686756</v>
      </c>
      <c r="IZ375" s="2" t="n">
        <v>0.1541749686755978</v>
      </c>
      <c r="JA375" s="2" t="n">
        <v>0.127235570203333</v>
      </c>
      <c r="JB375" s="2" t="n">
        <v>11.38927459614328</v>
      </c>
      <c r="JC375" s="2" t="n">
        <v>-0.06072540385672021</v>
      </c>
      <c r="JD375" s="2" t="n">
        <v>-0.07142107326467624</v>
      </c>
      <c r="JE375" s="2" t="n">
        <v>3284.963</v>
      </c>
      <c r="JF375" s="2" t="n">
        <v>0.8588419412943159</v>
      </c>
      <c r="JG375" s="2" t="n">
        <v>0.8059610448033006</v>
      </c>
    </row>
    <row r="376">
      <c r="A376" s="1" t="n">
        <v>40483</v>
      </c>
      <c r="B376" s="2" t="n">
        <v>4651.751</v>
      </c>
      <c r="C376" s="2" t="n">
        <v>3689.877</v>
      </c>
      <c r="D376" s="2" t="n">
        <v>245.71788</v>
      </c>
      <c r="E376" s="2" t="n">
        <v>1666.745</v>
      </c>
      <c r="F376" s="2" t="n">
        <v>19.824</v>
      </c>
      <c r="G376" s="2" t="inlineStr">
        <is>
          <t>NA</t>
        </is>
      </c>
      <c r="H376" s="2" t="inlineStr">
        <is>
          <t>NA</t>
        </is>
      </c>
      <c r="I376" s="2" t="inlineStr">
        <is>
          <t>NA</t>
        </is>
      </c>
      <c r="J376" s="2" t="inlineStr">
        <is>
          <t>NA</t>
        </is>
      </c>
      <c r="K376" s="2" t="n">
        <v>1771.2012</v>
      </c>
      <c r="L376" s="2" t="n">
        <v>3349.474</v>
      </c>
      <c r="M376" s="2" t="n">
        <v>3049.295</v>
      </c>
      <c r="N376" s="2" t="n">
        <v>300.179</v>
      </c>
      <c r="O376" s="2" t="n">
        <v>79.13132</v>
      </c>
      <c r="P376" s="2" t="n">
        <v>91.36499999999999</v>
      </c>
      <c r="Q376" s="2" t="e">
        <v>#VALUE!</v>
      </c>
      <c r="R376" s="2" t="e">
        <v>#VALUE!</v>
      </c>
      <c r="T376" s="2" t="n">
        <v>15.6766</v>
      </c>
      <c r="U376" s="2" t="n">
        <v>6.077999999999999</v>
      </c>
      <c r="V376" s="2" t="e">
        <v>#VALUE!</v>
      </c>
      <c r="W376" s="2" t="e">
        <v>#VALUE!</v>
      </c>
      <c r="X376" s="2" t="inlineStr">
        <is>
          <t>NA</t>
        </is>
      </c>
      <c r="Y376" s="2" t="e">
        <v>#VALUE!</v>
      </c>
      <c r="Z376" s="2" t="n">
        <v>125.121</v>
      </c>
      <c r="AA376" s="2" t="n">
        <v>119.052</v>
      </c>
      <c r="AB376" s="2" t="n">
        <v>6.069</v>
      </c>
      <c r="AC376" s="2" t="inlineStr">
        <is>
          <t>NA</t>
        </is>
      </c>
      <c r="AD376" s="2" t="n">
        <v>83.40316</v>
      </c>
      <c r="AE376" s="2" t="n">
        <v>84.78184</v>
      </c>
      <c r="AF376" s="2" t="n">
        <v>201.098</v>
      </c>
      <c r="AG376" s="2" t="n">
        <v>155.683</v>
      </c>
      <c r="AH376" s="2" t="n">
        <v>45.415</v>
      </c>
      <c r="AI376" s="2" t="n">
        <v>211.183</v>
      </c>
      <c r="AJ376" s="2" t="n">
        <v>208.183</v>
      </c>
      <c r="AK376" s="2" t="n">
        <v>3</v>
      </c>
      <c r="AL376" s="2" t="n">
        <v>133.419</v>
      </c>
      <c r="AM376" s="2" t="n">
        <v>89.175</v>
      </c>
      <c r="AN376" s="2" t="n">
        <v>44.244</v>
      </c>
      <c r="AO376" s="2" t="n">
        <v>3447.6493</v>
      </c>
      <c r="AP376" s="2" t="n">
        <v>445.037</v>
      </c>
      <c r="AQ376" s="2" t="n">
        <v>272.3998</v>
      </c>
      <c r="AR376" s="2" t="n">
        <v>39.325</v>
      </c>
      <c r="AS376" s="2" t="n">
        <v>103.75332</v>
      </c>
      <c r="AT376" s="2" t="n">
        <v>46.282</v>
      </c>
      <c r="AU376" s="2" t="n">
        <v>69.63736</v>
      </c>
      <c r="AV376" s="2" t="n">
        <v>24.234</v>
      </c>
      <c r="AW376" s="2" t="n">
        <v>10.3301</v>
      </c>
      <c r="AX376" s="2" t="inlineStr">
        <is>
          <t>NA</t>
        </is>
      </c>
      <c r="AY376" s="2" t="inlineStr">
        <is>
          <t>NA</t>
        </is>
      </c>
      <c r="AZ376" s="2" t="inlineStr">
        <is>
          <t>NA</t>
        </is>
      </c>
      <c r="BA376" s="2" t="inlineStr">
        <is>
          <t>NA</t>
        </is>
      </c>
      <c r="BB376" s="2" t="inlineStr">
        <is>
          <t>NA</t>
        </is>
      </c>
      <c r="BD376" s="2" t="n">
        <v>160.8772</v>
      </c>
      <c r="BE376" s="2" t="n">
        <v>40.73</v>
      </c>
      <c r="BF376" s="2" t="n">
        <v>66.0222</v>
      </c>
      <c r="BG376" s="2" t="n">
        <v>8.215999999999999</v>
      </c>
      <c r="BH376" s="2" t="n">
        <v>274.94318</v>
      </c>
      <c r="BI376" s="2" t="n">
        <v>118.87002</v>
      </c>
      <c r="BJ376" s="2" t="n">
        <v>108.22876</v>
      </c>
      <c r="BK376" s="2" t="n">
        <v>227.09878</v>
      </c>
      <c r="BM376" s="2" t="n">
        <v>502.04196</v>
      </c>
      <c r="BN376" s="2" t="n">
        <v>158.888</v>
      </c>
      <c r="BO376" s="2" t="n">
        <v>98.01000000000001</v>
      </c>
      <c r="BP376" s="2" t="n">
        <v>79.64100000000001</v>
      </c>
      <c r="BQ376" s="2" t="n">
        <v>177.651</v>
      </c>
      <c r="BS376" s="2" t="n">
        <v>336.539</v>
      </c>
      <c r="BT376" s="2" t="n">
        <v>27.066</v>
      </c>
      <c r="BU376" s="2" t="n">
        <v>23.361</v>
      </c>
      <c r="BV376" s="2" t="inlineStr">
        <is>
          <t>NA</t>
        </is>
      </c>
      <c r="BW376" s="2" t="inlineStr">
        <is>
          <t>NA</t>
        </is>
      </c>
      <c r="BX376" s="2" t="n">
        <v>419.79766</v>
      </c>
      <c r="BY376" s="2" t="inlineStr">
        <is>
          <t>NA</t>
        </is>
      </c>
      <c r="BZ376" s="2" t="inlineStr">
        <is>
          <t>NA</t>
        </is>
      </c>
      <c r="CA376" s="2" t="n">
        <v>77.20099999999999</v>
      </c>
      <c r="CB376" s="2" t="n">
        <v>115.84834</v>
      </c>
      <c r="CC376" s="2" t="n">
        <v>23.777</v>
      </c>
      <c r="CD376" s="2" t="n">
        <v>139.41228</v>
      </c>
      <c r="CE376" s="2" t="n">
        <v>27.069</v>
      </c>
      <c r="CF376" s="2" t="n">
        <v>110.3261</v>
      </c>
      <c r="CG376" s="2" t="n">
        <v>89.783</v>
      </c>
      <c r="CH376" s="2" t="n">
        <v>4.356</v>
      </c>
      <c r="CI376" s="2" t="n">
        <v>25.49796</v>
      </c>
      <c r="CJ376" s="2" t="n">
        <v>4.249</v>
      </c>
      <c r="CK376" s="2" t="n">
        <v>134.88808</v>
      </c>
      <c r="CL376" s="2" t="n">
        <v>20.834</v>
      </c>
      <c r="CN376" s="2" t="n">
        <v>70.575</v>
      </c>
      <c r="CO376" s="2" t="n">
        <v>167.668</v>
      </c>
      <c r="CP376" s="2" t="n">
        <v>128.461</v>
      </c>
      <c r="CQ376" s="2" t="n">
        <v>39.207</v>
      </c>
      <c r="CR376" s="2" t="inlineStr">
        <is>
          <t>NA</t>
        </is>
      </c>
      <c r="CS376" s="2" t="n">
        <v>55.378</v>
      </c>
      <c r="CT376" s="2" t="n">
        <v>39.802</v>
      </c>
      <c r="CU376" s="2" t="n">
        <v>15.576</v>
      </c>
      <c r="CV376" s="2" t="n">
        <v>244.348</v>
      </c>
      <c r="CW376" s="2" t="inlineStr">
        <is>
          <t>(D)</t>
        </is>
      </c>
      <c r="CX376" s="2" t="inlineStr">
        <is>
          <t>(D)</t>
        </is>
      </c>
      <c r="CY376" s="2" t="n">
        <v>22.209</v>
      </c>
      <c r="CZ376" s="2" t="n">
        <v>86.259</v>
      </c>
      <c r="DA376" s="2" t="n">
        <v>21.999</v>
      </c>
      <c r="DB376" s="2" t="inlineStr">
        <is>
          <t>(D)</t>
        </is>
      </c>
      <c r="DC376" s="2" t="inlineStr">
        <is>
          <t>(D)</t>
        </is>
      </c>
      <c r="DI376" s="2" t="n">
        <v>596.1900000000001</v>
      </c>
      <c r="DJ376" s="2" t="n">
        <v>653.7051</v>
      </c>
      <c r="DK376" s="2" t="n">
        <v>1006.792</v>
      </c>
      <c r="DM376" s="2" t="n">
        <v>471.553</v>
      </c>
      <c r="DO376" s="2" t="n">
        <v>296.154</v>
      </c>
      <c r="DP376" s="2" t="n">
        <v>268.652</v>
      </c>
      <c r="DS376" s="2" t="n">
        <v>1358.7049</v>
      </c>
      <c r="DT376" s="2" t="n">
        <v>4651.751</v>
      </c>
      <c r="DU376" s="2" t="n">
        <v>0</v>
      </c>
      <c r="DV376" s="2" t="n">
        <v>0</v>
      </c>
      <c r="EA376" s="2" t="n">
        <v>475.033</v>
      </c>
      <c r="EB376" s="2" t="n">
        <v>638.675</v>
      </c>
      <c r="EC376" s="2" t="n">
        <v>641.602</v>
      </c>
      <c r="EE376" s="2" t="n">
        <v>250.516</v>
      </c>
      <c r="EG376" s="2" t="inlineStr">
        <is>
          <t>(D)</t>
        </is>
      </c>
      <c r="EH376" s="2" t="inlineStr">
        <is>
          <t>(D)</t>
        </is>
      </c>
      <c r="EK376" s="2" t="n">
        <v>1321.943</v>
      </c>
      <c r="EL376" s="2" t="n">
        <v>3689.877</v>
      </c>
      <c r="EQ376" s="2" t="n">
        <v>229.635</v>
      </c>
      <c r="ER376" s="2" t="n">
        <v>249.8164</v>
      </c>
      <c r="ES376" s="2" t="n">
        <v>383.9</v>
      </c>
      <c r="EU376" s="2" t="n">
        <v>185.896</v>
      </c>
      <c r="EW376" s="2" t="n">
        <v>110.796</v>
      </c>
      <c r="EX376" s="2" t="n">
        <v>99.31999999999999</v>
      </c>
      <c r="FA376" s="2" t="n">
        <v>511.8378000000001</v>
      </c>
      <c r="FB376" s="2" t="n">
        <v>1771.2012</v>
      </c>
      <c r="FG376" s="2" t="n">
        <v>472.368</v>
      </c>
      <c r="FH376" s="2" t="n">
        <v>523.648</v>
      </c>
      <c r="FI376" s="2" t="n">
        <v>811.321</v>
      </c>
      <c r="FK376" s="2" t="n">
        <v>376.619</v>
      </c>
      <c r="FM376" s="2" t="n">
        <v>240.408</v>
      </c>
      <c r="FN376" s="2" t="n">
        <v>217.172</v>
      </c>
      <c r="FQ376" s="2" t="n">
        <v>1087.8081</v>
      </c>
      <c r="FR376" s="2" t="n">
        <v>3729.3441</v>
      </c>
      <c r="FW376" s="2" t="n">
        <v>299.904</v>
      </c>
      <c r="FX376" s="2" t="n">
        <v>158.239</v>
      </c>
      <c r="FY376" s="2" t="n">
        <v>290.425</v>
      </c>
      <c r="GA376" s="2" t="n">
        <v>109.376</v>
      </c>
      <c r="GC376" s="2" t="inlineStr">
        <is>
          <t>(D)</t>
        </is>
      </c>
      <c r="GD376" s="2" t="inlineStr">
        <is>
          <t>(D)</t>
        </is>
      </c>
      <c r="GG376" s="2" t="n">
        <v>511.6709999999999</v>
      </c>
      <c r="GH376" s="2" t="n">
        <v>1485.849</v>
      </c>
      <c r="GM376" s="2" t="n">
        <v>109.353</v>
      </c>
      <c r="GN376" s="2" t="n">
        <v>68.027</v>
      </c>
      <c r="GO376" s="2" t="n">
        <v>118.271</v>
      </c>
      <c r="GQ376" s="2" t="n">
        <v>37.648</v>
      </c>
      <c r="GS376" s="2" t="n">
        <v>13.849</v>
      </c>
      <c r="GT376" s="2" t="n">
        <v>4.485</v>
      </c>
      <c r="GW376" s="2" t="n">
        <v>132.729</v>
      </c>
      <c r="GX376" s="2" t="n">
        <v>484.362</v>
      </c>
      <c r="GY376" s="2" t="n">
        <v>0.9828423079013692</v>
      </c>
      <c r="GZ376" s="2" t="n">
        <v>1234.97114</v>
      </c>
      <c r="HA376" s="2" t="n">
        <v>1256.5303</v>
      </c>
      <c r="HB376" s="2" t="n">
        <v>-48.40984963740038</v>
      </c>
      <c r="HC376" s="2" t="n">
        <v>-160.8563173043995</v>
      </c>
      <c r="HD376" s="2" t="n">
        <v>1279.0118303626</v>
      </c>
      <c r="HE376" s="2" t="n">
        <v>-166.67832</v>
      </c>
      <c r="HF376" s="2" t="n">
        <v>1327.42168</v>
      </c>
      <c r="HG376" s="2" t="n">
        <v>1233.81258</v>
      </c>
      <c r="HH376" s="2" t="n">
        <v>321.77086</v>
      </c>
      <c r="HI376" s="2" t="inlineStr">
        <is>
          <t>(D)</t>
        </is>
      </c>
      <c r="HJ376" s="2" t="n">
        <v>842.27836</v>
      </c>
      <c r="HK376" s="2" t="inlineStr">
        <is>
          <t>(D)</t>
        </is>
      </c>
      <c r="HL376" s="2" t="n">
        <v>93.60909999999998</v>
      </c>
      <c r="HM376" s="2" t="n">
        <v>70.455</v>
      </c>
      <c r="HN376" s="2" t="n">
        <v>37.166</v>
      </c>
      <c r="HO376" s="2" t="n">
        <v>33.289</v>
      </c>
      <c r="HQ376" s="2" t="inlineStr">
        <is>
          <t>(S)</t>
        </is>
      </c>
      <c r="HR376" s="2" t="inlineStr">
        <is>
          <t>(S)</t>
        </is>
      </c>
      <c r="HT376" s="2" t="n">
        <v>14.2969</v>
      </c>
      <c r="HW376" s="2" t="n">
        <v>246.43018</v>
      </c>
      <c r="HX376" s="2" t="inlineStr">
        <is>
          <t>-</t>
        </is>
      </c>
      <c r="HY376" s="2" t="n">
        <v>246.43018</v>
      </c>
      <c r="HZ376" s="2" t="n">
        <v>62.288</v>
      </c>
      <c r="IA376" s="2" t="n">
        <v>125.95118</v>
      </c>
      <c r="IB376" s="2" t="n">
        <v>19.1453</v>
      </c>
      <c r="IC376" s="2" t="n">
        <v>106.80588</v>
      </c>
      <c r="ID376" s="2" t="n">
        <v>69.27616</v>
      </c>
      <c r="IE376" s="2" t="n">
        <v>37.52972</v>
      </c>
      <c r="IH376" s="2" t="n">
        <v>22.827</v>
      </c>
      <c r="II376" s="2" t="n">
        <v>7.309999999999999</v>
      </c>
      <c r="IJ376" s="2" t="n">
        <v>10.517</v>
      </c>
      <c r="IK376" s="2" t="n">
        <v>5</v>
      </c>
      <c r="IL376" s="2" t="n">
        <v>35.364</v>
      </c>
      <c r="IN376" s="2" t="n">
        <v>60.083</v>
      </c>
      <c r="IO376" s="2" t="n">
        <v>60.109</v>
      </c>
      <c r="IP376" s="2" t="inlineStr">
        <is>
          <t>(D)</t>
        </is>
      </c>
      <c r="IQ376" s="2" t="n">
        <v>60.959</v>
      </c>
      <c r="IR376" s="2" t="inlineStr">
        <is>
          <t>(D)</t>
        </is>
      </c>
      <c r="IT376" s="2" t="inlineStr">
        <is>
          <t>(D)</t>
        </is>
      </c>
      <c r="IU376" s="2" t="inlineStr">
        <is>
          <t>(D)</t>
        </is>
      </c>
      <c r="IV376" s="2" t="inlineStr">
        <is>
          <t>(D)</t>
        </is>
      </c>
      <c r="IW376" s="2" t="inlineStr">
        <is>
          <t>(D)</t>
        </is>
      </c>
      <c r="IX376" s="2" t="inlineStr">
        <is>
          <t>(D)</t>
        </is>
      </c>
      <c r="IY376" s="2" t="n">
        <v>47.9825652748825</v>
      </c>
      <c r="IZ376" s="2" t="n">
        <v>0.1125652748825061</v>
      </c>
      <c r="JA376" s="2" t="n">
        <v>0.09986857348818035</v>
      </c>
      <c r="JB376" s="2" t="n">
        <v>11.42280315519898</v>
      </c>
      <c r="JC376" s="2" t="n">
        <v>-0.05719684480102316</v>
      </c>
      <c r="JD376" s="2" t="n">
        <v>-0.05339741662252528</v>
      </c>
      <c r="JE376" s="2" t="n">
        <v>3349.474</v>
      </c>
      <c r="JF376" s="2" t="n">
        <v>0.8450610454059354</v>
      </c>
      <c r="JG376" s="2" t="n">
        <v>0.81095782755311</v>
      </c>
    </row>
    <row r="377">
      <c r="A377" s="1" t="n">
        <v>40513</v>
      </c>
      <c r="B377" s="2" t="n">
        <v>4570.401849999999</v>
      </c>
      <c r="C377" s="2" t="n">
        <v>3866.09</v>
      </c>
      <c r="D377" s="2" t="n">
        <v>251.31565</v>
      </c>
      <c r="E377" s="2" t="n">
        <v>1976.131</v>
      </c>
      <c r="F377" s="2" t="n">
        <v>20.461</v>
      </c>
      <c r="G377" s="2" t="inlineStr">
        <is>
          <t>NA</t>
        </is>
      </c>
      <c r="H377" s="2" t="inlineStr">
        <is>
          <t>NA</t>
        </is>
      </c>
      <c r="I377" s="2" t="inlineStr">
        <is>
          <t>NA</t>
        </is>
      </c>
      <c r="J377" s="2" t="inlineStr">
        <is>
          <t>NA</t>
        </is>
      </c>
      <c r="K377" s="2" t="n">
        <v>1731.50615</v>
      </c>
      <c r="L377" s="2" t="n">
        <v>3531.941</v>
      </c>
      <c r="M377" s="2" t="n">
        <v>3220.826</v>
      </c>
      <c r="N377" s="2" t="n">
        <v>311.115</v>
      </c>
      <c r="O377" s="2" t="n">
        <v>79.82205</v>
      </c>
      <c r="P377" s="2" t="n">
        <v>119.05</v>
      </c>
      <c r="Q377" s="2" t="e">
        <v>#VALUE!</v>
      </c>
      <c r="R377" s="2" t="e">
        <v>#VALUE!</v>
      </c>
      <c r="T377" s="2" t="n">
        <v>15.764</v>
      </c>
      <c r="U377" s="2" t="n">
        <v>10.516</v>
      </c>
      <c r="V377" s="2" t="e">
        <v>#VALUE!</v>
      </c>
      <c r="W377" s="2" t="e">
        <v>#VALUE!</v>
      </c>
      <c r="X377" s="2" t="inlineStr">
        <is>
          <t>NA</t>
        </is>
      </c>
      <c r="Y377" s="2" t="e">
        <v>#VALUE!</v>
      </c>
      <c r="Z377" s="2" t="n">
        <v>123.295</v>
      </c>
      <c r="AA377" s="2" t="n">
        <v>117.771</v>
      </c>
      <c r="AB377" s="2" t="n">
        <v>5.524</v>
      </c>
      <c r="AC377" s="2" t="inlineStr">
        <is>
          <t>NA</t>
        </is>
      </c>
      <c r="AD377" s="2" t="n">
        <v>74.90745</v>
      </c>
      <c r="AE377" s="2" t="n">
        <v>75.81555</v>
      </c>
      <c r="AF377" s="2" t="n">
        <v>171.138</v>
      </c>
      <c r="AG377" s="2" t="n">
        <v>123.706</v>
      </c>
      <c r="AH377" s="2" t="n">
        <v>47.432</v>
      </c>
      <c r="AI377" s="2" t="n">
        <v>198.874</v>
      </c>
      <c r="AJ377" s="2" t="n">
        <v>195.874</v>
      </c>
      <c r="AK377" s="2" t="n">
        <v>3</v>
      </c>
      <c r="AL377" s="2" t="n">
        <v>135.655</v>
      </c>
      <c r="AM377" s="2" t="n">
        <v>97.51600000000001</v>
      </c>
      <c r="AN377" s="2" t="n">
        <v>38.139</v>
      </c>
      <c r="AO377" s="2" t="n">
        <v>3397.76335</v>
      </c>
      <c r="AP377" s="2" t="n">
        <v>473.178</v>
      </c>
      <c r="AQ377" s="2" t="n">
        <v>277.7805</v>
      </c>
      <c r="AR377" s="2" t="n">
        <v>37.52</v>
      </c>
      <c r="AS377" s="2" t="n">
        <v>111.97735</v>
      </c>
      <c r="AT377" s="2" t="n">
        <v>35.216</v>
      </c>
      <c r="AU377" s="2" t="n">
        <v>68.601</v>
      </c>
      <c r="AV377" s="2" t="n">
        <v>25.262</v>
      </c>
      <c r="AW377" s="2" t="n">
        <v>10.831</v>
      </c>
      <c r="AX377" s="2" t="inlineStr">
        <is>
          <t>NA</t>
        </is>
      </c>
      <c r="AY377" s="2" t="inlineStr">
        <is>
          <t>NA</t>
        </is>
      </c>
      <c r="AZ377" s="2" t="inlineStr">
        <is>
          <t>NA</t>
        </is>
      </c>
      <c r="BA377" s="2" t="inlineStr">
        <is>
          <t>NA</t>
        </is>
      </c>
      <c r="BB377" s="2" t="inlineStr">
        <is>
          <t>NA</t>
        </is>
      </c>
      <c r="BD377" s="2" t="n">
        <v>166.53554</v>
      </c>
      <c r="BE377" s="2" t="n">
        <v>37.602</v>
      </c>
      <c r="BF377" s="2" t="n">
        <v>66.11991</v>
      </c>
      <c r="BG377" s="2" t="n">
        <v>7.521</v>
      </c>
      <c r="BH377" s="2" t="n">
        <v>285.65693</v>
      </c>
      <c r="BI377" s="2" t="n">
        <v>120.20003</v>
      </c>
      <c r="BJ377" s="2" t="n">
        <v>120.61141</v>
      </c>
      <c r="BK377" s="2" t="n">
        <v>240.81144</v>
      </c>
      <c r="BM377" s="2" t="n">
        <v>526.46837</v>
      </c>
      <c r="BN377" s="2" t="n">
        <v>188.701</v>
      </c>
      <c r="BO377" s="2" t="n">
        <v>87.428</v>
      </c>
      <c r="BP377" s="2" t="n">
        <v>57.639</v>
      </c>
      <c r="BQ377" s="2" t="n">
        <v>145.067</v>
      </c>
      <c r="BS377" s="2" t="n">
        <v>333.768</v>
      </c>
      <c r="BT377" s="2" t="n">
        <v>26.95272</v>
      </c>
      <c r="BU377" s="2" t="n">
        <v>25.605</v>
      </c>
      <c r="BV377" s="2" t="inlineStr">
        <is>
          <t>NA</t>
        </is>
      </c>
      <c r="BW377" s="2" t="inlineStr">
        <is>
          <t>NA</t>
        </is>
      </c>
      <c r="BX377" s="2" t="n">
        <v>437.76258</v>
      </c>
      <c r="BY377" s="2" t="inlineStr">
        <is>
          <t>NA</t>
        </is>
      </c>
      <c r="BZ377" s="2" t="inlineStr">
        <is>
          <t>NA</t>
        </is>
      </c>
      <c r="CA377" s="2" t="n">
        <v>71.116</v>
      </c>
      <c r="CB377" s="2" t="n">
        <v>119.75515</v>
      </c>
      <c r="CC377" s="2" t="n">
        <v>24.631</v>
      </c>
      <c r="CD377" s="2" t="n">
        <v>146.73368</v>
      </c>
      <c r="CE377" s="2" t="n">
        <v>22.153</v>
      </c>
      <c r="CF377" s="2" t="n">
        <v>105.59244</v>
      </c>
      <c r="CG377" s="2" t="n">
        <v>87.361</v>
      </c>
      <c r="CH377" s="2" t="n">
        <v>5.844</v>
      </c>
      <c r="CI377" s="2" t="n">
        <v>26.25945</v>
      </c>
      <c r="CJ377" s="2" t="n">
        <v>6.481</v>
      </c>
      <c r="CK377" s="2" t="n">
        <v>141.24986</v>
      </c>
      <c r="CL377" s="2" t="n">
        <v>21.876</v>
      </c>
      <c r="CN377" s="2" t="n">
        <v>67.956</v>
      </c>
      <c r="CO377" s="2" t="n">
        <v>172.415</v>
      </c>
      <c r="CP377" s="2" t="n">
        <v>131.81</v>
      </c>
      <c r="CQ377" s="2" t="n">
        <v>40.605</v>
      </c>
      <c r="CR377" s="2" t="inlineStr">
        <is>
          <t>NA</t>
        </is>
      </c>
      <c r="CS377" s="2" t="n">
        <v>63.837</v>
      </c>
      <c r="CT377" s="2" t="n">
        <v>50.601</v>
      </c>
      <c r="CU377" s="2" t="n">
        <v>13.236</v>
      </c>
      <c r="CV377" s="2" t="n">
        <v>256.469</v>
      </c>
      <c r="CW377" s="2" t="n">
        <v>41.6</v>
      </c>
      <c r="CX377" s="2" t="n">
        <v>214.9</v>
      </c>
      <c r="CY377" s="2" t="n">
        <v>18.169</v>
      </c>
      <c r="CZ377" s="2" t="n">
        <v>86.334</v>
      </c>
      <c r="DA377" s="2" t="n">
        <v>18.45</v>
      </c>
      <c r="DB377" s="2" t="inlineStr">
        <is>
          <t>(D)</t>
        </is>
      </c>
      <c r="DC377" s="2" t="inlineStr">
        <is>
          <t>(D)</t>
        </is>
      </c>
      <c r="DI377" s="2" t="n">
        <v>550.028</v>
      </c>
      <c r="DJ377" s="2" t="n">
        <v>632.25</v>
      </c>
      <c r="DK377" s="2" t="n">
        <v>1011.743</v>
      </c>
      <c r="DM377" s="2" t="n">
        <v>480.416</v>
      </c>
      <c r="DO377" s="2" t="n">
        <v>291.527</v>
      </c>
      <c r="DP377" s="2" t="n">
        <v>242.469</v>
      </c>
      <c r="DS377" s="2" t="n">
        <v>1361.968849999999</v>
      </c>
      <c r="DT377" s="2" t="n">
        <v>4570.401849999999</v>
      </c>
      <c r="DU377" s="2" t="n">
        <v>0</v>
      </c>
      <c r="DV377" s="2" t="n">
        <v>0</v>
      </c>
      <c r="EA377" s="2" t="n">
        <v>506.584</v>
      </c>
      <c r="EB377" s="2" t="n">
        <v>664.607</v>
      </c>
      <c r="EC377" s="2" t="n">
        <v>718.269</v>
      </c>
      <c r="EE377" s="2" t="n">
        <v>259.742</v>
      </c>
      <c r="EG377" s="2" t="inlineStr">
        <is>
          <t>(D)</t>
        </is>
      </c>
      <c r="EH377" s="2" t="inlineStr">
        <is>
          <t>(D)</t>
        </is>
      </c>
      <c r="EK377" s="2" t="n">
        <v>1347.348</v>
      </c>
      <c r="EL377" s="2" t="n">
        <v>3866.09</v>
      </c>
      <c r="EQ377" s="2" t="n">
        <v>211.065</v>
      </c>
      <c r="ER377" s="2" t="n">
        <v>239.513</v>
      </c>
      <c r="ES377" s="2" t="n">
        <v>382.202</v>
      </c>
      <c r="EU377" s="2" t="n">
        <v>186.591</v>
      </c>
      <c r="EW377" s="2" t="n">
        <v>110.694</v>
      </c>
      <c r="EX377" s="2" t="n">
        <v>89.851</v>
      </c>
      <c r="FA377" s="2" t="n">
        <v>511.59015</v>
      </c>
      <c r="FB377" s="2" t="n">
        <v>1731.50615</v>
      </c>
      <c r="FG377" s="2" t="n">
        <v>441.482</v>
      </c>
      <c r="FH377" s="2" t="n">
        <v>511.17885</v>
      </c>
      <c r="FI377" s="2" t="n">
        <v>810.968</v>
      </c>
      <c r="FK377" s="2" t="n">
        <v>383.627</v>
      </c>
      <c r="FM377" s="2" t="n">
        <v>236.157</v>
      </c>
      <c r="FN377" s="2" t="n">
        <v>197.687</v>
      </c>
      <c r="FQ377" s="2" t="n">
        <v>1103.2</v>
      </c>
      <c r="FR377" s="2" t="n">
        <v>3684.3</v>
      </c>
      <c r="FW377" s="2" t="n">
        <v>320.447</v>
      </c>
      <c r="FX377" s="2" t="n">
        <v>160.833</v>
      </c>
      <c r="FY377" s="2" t="n">
        <v>286.303</v>
      </c>
      <c r="GA377" s="2" t="n">
        <v>129.924</v>
      </c>
      <c r="GC377" s="2" t="inlineStr">
        <is>
          <t>(D)</t>
        </is>
      </c>
      <c r="GD377" s="2" t="inlineStr">
        <is>
          <t>(D)</t>
        </is>
      </c>
      <c r="GG377" s="2" t="n">
        <v>551.3579999999998</v>
      </c>
      <c r="GH377" s="2" t="n">
        <v>1576.02</v>
      </c>
      <c r="GM377" s="2" t="n">
        <v>92.267</v>
      </c>
      <c r="GN377" s="2" t="n">
        <v>117.662</v>
      </c>
      <c r="GO377" s="2" t="n">
        <v>100.871</v>
      </c>
      <c r="GQ377" s="2" t="n">
        <v>30.721</v>
      </c>
      <c r="GS377" s="2" t="n">
        <v>19.162</v>
      </c>
      <c r="GT377" s="2" t="n">
        <v>3.073</v>
      </c>
      <c r="GW377" s="2" t="n">
        <v>146.942</v>
      </c>
      <c r="GX377" s="2" t="n">
        <v>510.698</v>
      </c>
      <c r="GY377" s="2" t="n">
        <v>0.9851171105438832</v>
      </c>
      <c r="GZ377" s="2" t="n">
        <v>1131.1655</v>
      </c>
      <c r="HA377" s="2" t="n">
        <v>1148.25485</v>
      </c>
      <c r="HB377" s="2" t="n">
        <v>-61.84946514539956</v>
      </c>
      <c r="HC377" s="2" t="n">
        <v>-192.7434913733996</v>
      </c>
      <c r="HD377" s="2" t="n">
        <v>1162.3358848546</v>
      </c>
      <c r="HE377" s="2" t="n">
        <v>-177.31465</v>
      </c>
      <c r="HF377" s="2" t="n">
        <v>1224.18535</v>
      </c>
      <c r="HG377" s="2" t="n">
        <v>1148.01055</v>
      </c>
      <c r="HH377" s="2" t="n">
        <v>309.22765</v>
      </c>
      <c r="HI377" s="2" t="inlineStr">
        <is>
          <t>(D)</t>
        </is>
      </c>
      <c r="HJ377" s="2" t="n">
        <v>764.63425</v>
      </c>
      <c r="HK377" s="2" t="inlineStr">
        <is>
          <t>(D)</t>
        </is>
      </c>
      <c r="HL377" s="2" t="n">
        <v>76.1748</v>
      </c>
      <c r="HM377" s="2" t="n">
        <v>53.884</v>
      </c>
      <c r="HN377" s="2" t="n">
        <v>26.589</v>
      </c>
      <c r="HO377" s="2" t="n">
        <v>27.295</v>
      </c>
      <c r="HQ377" s="2" t="inlineStr">
        <is>
          <t>(S)</t>
        </is>
      </c>
      <c r="HR377" s="2" t="inlineStr">
        <is>
          <t>(S)</t>
        </is>
      </c>
      <c r="HT377" s="2" t="n">
        <v>13.9488</v>
      </c>
      <c r="HW377" s="2" t="n">
        <v>256.72383</v>
      </c>
      <c r="HX377" s="2" t="inlineStr">
        <is>
          <t>-</t>
        </is>
      </c>
      <c r="HY377" s="2" t="n">
        <v>256.72383</v>
      </c>
      <c r="HZ377" s="2" t="n">
        <v>58.359</v>
      </c>
      <c r="IA377" s="2" t="n">
        <v>126.23083</v>
      </c>
      <c r="IB377" s="2" t="n">
        <v>28.82151</v>
      </c>
      <c r="IC377" s="2" t="n">
        <v>97.40932000000001</v>
      </c>
      <c r="ID377" s="2" t="n">
        <v>66.89882</v>
      </c>
      <c r="IE377" s="2" t="n">
        <v>30.5105</v>
      </c>
      <c r="IH377" s="2" t="n">
        <v>43.735</v>
      </c>
      <c r="II377" s="2" t="n">
        <v>13.911</v>
      </c>
      <c r="IJ377" s="2" t="n">
        <v>22.324</v>
      </c>
      <c r="IK377" s="2" t="n">
        <v>7.5</v>
      </c>
      <c r="IL377" s="2" t="n">
        <v>28.399</v>
      </c>
      <c r="IN377" s="2" t="n">
        <v>59.016</v>
      </c>
      <c r="IO377" s="2" t="n">
        <v>59.041</v>
      </c>
      <c r="IP377" s="2" t="inlineStr">
        <is>
          <t>(D)</t>
        </is>
      </c>
      <c r="IQ377" s="2" t="n">
        <v>50.797</v>
      </c>
      <c r="IR377" s="2" t="inlineStr">
        <is>
          <t>(D)</t>
        </is>
      </c>
      <c r="IT377" s="2" t="inlineStr">
        <is>
          <t>(D)</t>
        </is>
      </c>
      <c r="IU377" s="2" t="inlineStr">
        <is>
          <t>(D)</t>
        </is>
      </c>
      <c r="IV377" s="2" t="inlineStr">
        <is>
          <t>(D)</t>
        </is>
      </c>
      <c r="IW377" s="2" t="inlineStr">
        <is>
          <t>(D)</t>
        </is>
      </c>
      <c r="IX377" s="2" t="inlineStr">
        <is>
          <t>(D)</t>
        </is>
      </c>
      <c r="IY377" s="2" t="n">
        <v>48.25235028294065</v>
      </c>
      <c r="IZ377" s="2" t="n">
        <v>0.022350282940657</v>
      </c>
      <c r="JA377" s="2" t="n">
        <v>0.1265983916821398</v>
      </c>
      <c r="JB377" s="2" t="n">
        <v>11.36556176127051</v>
      </c>
      <c r="JC377" s="2" t="n">
        <v>-0.1644382387294883</v>
      </c>
      <c r="JD377" s="2" t="n">
        <v>-0.08537292984698794</v>
      </c>
      <c r="JE377" s="2" t="n">
        <v>3531.941</v>
      </c>
      <c r="JF377" s="2" t="n">
        <v>0.8551408418204042</v>
      </c>
      <c r="JG377" s="2" t="n">
        <v>0.8142947134269105</v>
      </c>
    </row>
    <row r="378">
      <c r="A378" s="1" t="n">
        <v>40544</v>
      </c>
      <c r="B378" s="2" t="n">
        <v>4475.043</v>
      </c>
      <c r="C378" s="2" t="n">
        <v>3623.213</v>
      </c>
      <c r="D378" s="2" t="n">
        <v>249.003</v>
      </c>
      <c r="E378" s="2" t="n">
        <v>1785.803</v>
      </c>
      <c r="F378" s="2" t="n">
        <v>21.218</v>
      </c>
      <c r="G378" s="2" t="inlineStr">
        <is>
          <t>NA</t>
        </is>
      </c>
      <c r="H378" s="2" t="inlineStr">
        <is>
          <t>NA</t>
        </is>
      </c>
      <c r="I378" s="2" t="inlineStr">
        <is>
          <t>NA</t>
        </is>
      </c>
      <c r="J378" s="2" t="inlineStr">
        <is>
          <t>NA</t>
        </is>
      </c>
      <c r="K378" s="2" t="n">
        <v>1722.94</v>
      </c>
      <c r="L378" s="2" t="n">
        <v>3415.395</v>
      </c>
      <c r="M378" s="2" t="n">
        <v>3078.691</v>
      </c>
      <c r="N378" s="2" t="n">
        <v>336.704</v>
      </c>
      <c r="O378" s="2" t="n">
        <v>79.28</v>
      </c>
      <c r="P378" s="2" t="n">
        <v>139.602</v>
      </c>
      <c r="Q378" s="2" t="e">
        <v>#VALUE!</v>
      </c>
      <c r="R378" s="2" t="e">
        <v>#VALUE!</v>
      </c>
      <c r="T378" s="2" t="n">
        <v>16.873</v>
      </c>
      <c r="U378" s="2" t="n">
        <v>8.367000000000001</v>
      </c>
      <c r="V378" s="2" t="e">
        <v>#VALUE!</v>
      </c>
      <c r="W378" s="2" t="e">
        <v>#VALUE!</v>
      </c>
      <c r="X378" s="2" t="inlineStr">
        <is>
          <t>NA</t>
        </is>
      </c>
      <c r="Y378" s="2" t="e">
        <v>#VALUE!</v>
      </c>
      <c r="Z378" s="2" t="n">
        <v>107.682</v>
      </c>
      <c r="AA378" s="2" t="e">
        <v>#VALUE!</v>
      </c>
      <c r="AB378" s="2" t="e">
        <v>#VALUE!</v>
      </c>
      <c r="AC378" s="2" t="inlineStr">
        <is>
          <t>NA</t>
        </is>
      </c>
      <c r="AD378" s="2" t="n">
        <v>90.447</v>
      </c>
      <c r="AE378" s="2" t="n">
        <v>92.839</v>
      </c>
      <c r="AF378" s="2" t="n">
        <v>238.854</v>
      </c>
      <c r="AG378" s="2" t="n">
        <v>192.019</v>
      </c>
      <c r="AH378" s="2" t="n">
        <v>46.835</v>
      </c>
      <c r="AI378" s="2" t="n">
        <v>220.867</v>
      </c>
      <c r="AJ378" s="2" t="n">
        <v>217.867</v>
      </c>
      <c r="AK378" s="2" t="n">
        <v>3</v>
      </c>
      <c r="AL378" s="2" t="n">
        <v>128.915</v>
      </c>
      <c r="AM378" s="2" t="n">
        <v>101.071</v>
      </c>
      <c r="AN378" s="2" t="n">
        <v>27.844</v>
      </c>
      <c r="AO378" s="2" t="n">
        <v>3298.36</v>
      </c>
      <c r="AP378" s="2" t="n">
        <v>408.208</v>
      </c>
      <c r="AQ378" s="2" t="n">
        <v>271.099</v>
      </c>
      <c r="AR378" s="2" t="n">
        <v>40.892</v>
      </c>
      <c r="AS378" s="2" t="n">
        <v>107.671</v>
      </c>
      <c r="AT378" s="2" t="n">
        <v>27.026</v>
      </c>
      <c r="AU378" s="2" t="n">
        <v>65.663</v>
      </c>
      <c r="AV378" s="2" t="n">
        <v>24.9</v>
      </c>
      <c r="AW378" s="2" t="n">
        <v>10.992</v>
      </c>
      <c r="AX378" s="2" t="e">
        <v>#VALUE!</v>
      </c>
      <c r="AY378" s="2" t="inlineStr">
        <is>
          <t>NA</t>
        </is>
      </c>
      <c r="AZ378" s="2" t="inlineStr">
        <is>
          <t>NA</t>
        </is>
      </c>
      <c r="BA378" s="2" t="inlineStr">
        <is>
          <t>NA</t>
        </is>
      </c>
      <c r="BB378" s="2" t="inlineStr">
        <is>
          <t>NA</t>
        </is>
      </c>
      <c r="BD378" s="2" t="n">
        <v>153.539</v>
      </c>
      <c r="BE378" s="2" t="n">
        <v>21.781</v>
      </c>
      <c r="BF378" s="2" t="n">
        <v>66.114</v>
      </c>
      <c r="BG378" s="2" t="n">
        <v>8.272</v>
      </c>
      <c r="BH378" s="2" t="n">
        <v>264.279</v>
      </c>
      <c r="BI378" s="2" t="n">
        <v>107.93</v>
      </c>
      <c r="BJ378" s="2" t="n">
        <v>106.545</v>
      </c>
      <c r="BK378" s="2" t="n">
        <v>214.475</v>
      </c>
      <c r="BM378" s="2" t="n">
        <v>478.754</v>
      </c>
      <c r="BN378" s="2" t="n">
        <v>159.147</v>
      </c>
      <c r="BO378" s="2" t="n">
        <v>91.794</v>
      </c>
      <c r="BP378" s="2" t="n">
        <v>49.804</v>
      </c>
      <c r="BQ378" s="2" t="n">
        <v>141.598</v>
      </c>
      <c r="BS378" s="2" t="n">
        <v>300.745</v>
      </c>
      <c r="BT378" s="2" t="n">
        <v>21.409</v>
      </c>
      <c r="BU378" s="2" t="n">
        <v>20.514</v>
      </c>
      <c r="BV378" s="2" t="inlineStr">
        <is>
          <t>NA</t>
        </is>
      </c>
      <c r="BW378" s="2" t="inlineStr">
        <is>
          <t>NA</t>
        </is>
      </c>
      <c r="BX378" s="2" t="n">
        <v>447.701</v>
      </c>
      <c r="BY378" s="2" t="inlineStr">
        <is>
          <t>NA</t>
        </is>
      </c>
      <c r="BZ378" s="2" t="inlineStr">
        <is>
          <t>NA</t>
        </is>
      </c>
      <c r="CA378" s="2" t="n">
        <v>65.38</v>
      </c>
      <c r="CB378" s="2" t="n">
        <v>115.093</v>
      </c>
      <c r="CC378" s="2" t="n">
        <v>20.204</v>
      </c>
      <c r="CD378" s="2" t="n">
        <v>146.344</v>
      </c>
      <c r="CE378" s="2" t="n">
        <v>16.995</v>
      </c>
      <c r="CF378" s="2" t="n">
        <v>113.831</v>
      </c>
      <c r="CG378" s="2" t="n">
        <v>87.706</v>
      </c>
      <c r="CH378" s="2" t="n">
        <v>5.54</v>
      </c>
      <c r="CI378" s="2" t="n">
        <v>28.256</v>
      </c>
      <c r="CJ378" s="2" t="n">
        <v>7.652</v>
      </c>
      <c r="CK378" s="2" t="n">
        <v>129.289</v>
      </c>
      <c r="CL378" s="2" t="n">
        <v>17.703</v>
      </c>
      <c r="CN378" s="2" t="e">
        <v>#VALUE!</v>
      </c>
      <c r="CO378" s="2" t="n">
        <v>150.165</v>
      </c>
      <c r="CP378" s="2" t="n">
        <v>128.782</v>
      </c>
      <c r="CQ378" s="2" t="n">
        <v>21.383</v>
      </c>
      <c r="CR378" s="2" t="inlineStr">
        <is>
          <t>NA</t>
        </is>
      </c>
      <c r="CS378" s="2" t="n">
        <v>53.504</v>
      </c>
      <c r="CT378" s="2" t="n">
        <v>46.315</v>
      </c>
      <c r="CU378" s="2" t="n">
        <v>7.189</v>
      </c>
      <c r="CV378" s="2" t="n">
        <v>245.84</v>
      </c>
      <c r="CW378" s="2" t="n">
        <v>47.85</v>
      </c>
      <c r="CX378" s="2" t="n">
        <v>197.99</v>
      </c>
      <c r="CY378" s="2" t="n">
        <v>18.708</v>
      </c>
      <c r="CZ378" s="2" t="n">
        <v>100.461</v>
      </c>
      <c r="DA378" s="2" t="n">
        <v>24.852</v>
      </c>
      <c r="DB378" s="2" t="e">
        <v>#VALUE!</v>
      </c>
      <c r="DC378" s="2" t="e">
        <v>#VALUE!</v>
      </c>
      <c r="DI378" s="2" t="n">
        <v>599.022</v>
      </c>
      <c r="DJ378" s="2" t="n">
        <v>629.3869999999999</v>
      </c>
      <c r="DK378" s="2" t="n">
        <v>1001.913</v>
      </c>
      <c r="DM378" s="2" t="n">
        <v>438.197</v>
      </c>
      <c r="DO378" s="2" t="n">
        <v>284.691</v>
      </c>
      <c r="DP378" s="2" t="n">
        <v>226.896</v>
      </c>
      <c r="DS378" s="2" t="n">
        <v>1294.937</v>
      </c>
      <c r="DT378" s="2" t="n">
        <v>4475.043</v>
      </c>
      <c r="DU378" s="2" t="n">
        <v>0</v>
      </c>
      <c r="DV378" s="2" t="n">
        <v>0</v>
      </c>
      <c r="EA378" s="2" t="n">
        <v>551.569</v>
      </c>
      <c r="EB378" s="2" t="n">
        <v>525.149</v>
      </c>
      <c r="EC378" s="2" t="n">
        <v>641.926</v>
      </c>
      <c r="EE378" s="2" t="n">
        <v>265.273</v>
      </c>
      <c r="EG378" s="2" t="n">
        <v>116.406</v>
      </c>
      <c r="EH378" s="2" t="n">
        <v>250.305</v>
      </c>
      <c r="EK378" s="2" t="n">
        <v>1272.585</v>
      </c>
      <c r="EL378" s="2" t="n">
        <v>3623.213</v>
      </c>
      <c r="EQ378" s="2" t="n">
        <v>230.11</v>
      </c>
      <c r="ER378" s="2" t="n">
        <v>244.142</v>
      </c>
      <c r="ES378" s="2" t="n">
        <v>380.615</v>
      </c>
      <c r="EU378" s="2" t="n">
        <v>183.733</v>
      </c>
      <c r="EW378" s="2" t="n">
        <v>108.637</v>
      </c>
      <c r="EX378" s="2" t="n">
        <v>84.77800000000001</v>
      </c>
      <c r="FA378" s="2" t="n">
        <v>490.925</v>
      </c>
      <c r="FB378" s="2" t="n">
        <v>1722.94</v>
      </c>
      <c r="FG378" s="2" t="n">
        <v>468.782</v>
      </c>
      <c r="FH378" s="2" t="n">
        <v>505.91</v>
      </c>
      <c r="FI378" s="2" t="n">
        <v>804.566</v>
      </c>
      <c r="FK378" s="2" t="n">
        <v>349.342</v>
      </c>
      <c r="FM378" s="2" t="n">
        <v>230.048</v>
      </c>
      <c r="FN378" s="2" t="n">
        <v>185.752</v>
      </c>
      <c r="FQ378" s="2" t="n">
        <v>1034.034</v>
      </c>
      <c r="FR378" s="2" t="n">
        <v>3578.434</v>
      </c>
      <c r="FW378" s="2" t="n">
        <v>312.768</v>
      </c>
      <c r="FX378" s="2" t="n">
        <v>133.054</v>
      </c>
      <c r="FY378" s="2" t="n">
        <v>267.583</v>
      </c>
      <c r="GA378" s="2" t="n">
        <v>134.519</v>
      </c>
      <c r="GC378" s="2" t="e">
        <v>#VALUE!</v>
      </c>
      <c r="GD378" s="2" t="e">
        <v>#VALUE!</v>
      </c>
      <c r="GG378" s="2" t="n">
        <v>527.01</v>
      </c>
      <c r="GH378" s="2" t="n">
        <v>1498.675</v>
      </c>
      <c r="GM378" s="2" t="n">
        <v>103.266</v>
      </c>
      <c r="GN378" s="2" t="n">
        <v>68.648</v>
      </c>
      <c r="GO378" s="2" t="n">
        <v>92.539</v>
      </c>
      <c r="GQ378" s="2" t="n">
        <v>38.636</v>
      </c>
      <c r="GS378" s="2" t="n">
        <v>15.597</v>
      </c>
      <c r="GT378" s="2" t="n">
        <v>3.023</v>
      </c>
      <c r="GW378" s="2" t="n">
        <v>127.391</v>
      </c>
      <c r="GX378" s="2" t="n">
        <v>449.1</v>
      </c>
      <c r="GY378" s="2" t="n">
        <v>0.9797132473949849</v>
      </c>
      <c r="GZ378" s="2" t="n">
        <v>1157.879</v>
      </c>
      <c r="HA378" s="2" t="n">
        <v>1181.855</v>
      </c>
      <c r="HB378" s="2" t="n">
        <v>168.1170215595996</v>
      </c>
      <c r="HC378" s="2" t="n">
        <v>121.2389455249995</v>
      </c>
      <c r="HD378" s="2" t="n">
        <v>1390.673021559599</v>
      </c>
      <c r="HE378" s="2" t="n">
        <v>-42.01354000000015</v>
      </c>
      <c r="HF378" s="2" t="n">
        <v>1222.556</v>
      </c>
      <c r="HG378" s="2" t="n">
        <v>1091.629</v>
      </c>
      <c r="HH378" s="2" t="n">
        <v>295.075</v>
      </c>
      <c r="HI378" s="2" t="e">
        <v>#VALUE!</v>
      </c>
      <c r="HJ378" s="2" t="n">
        <v>739.8579999999999</v>
      </c>
      <c r="HK378" s="2" t="e">
        <v>#VALUE!</v>
      </c>
      <c r="HL378" s="2" t="n">
        <v>130.927</v>
      </c>
      <c r="HM378" s="2" t="n">
        <v>110.421</v>
      </c>
      <c r="HN378" s="2" t="n">
        <v>52.673</v>
      </c>
      <c r="HO378" s="2" t="n">
        <v>57.748</v>
      </c>
      <c r="HP378" s="2" t="e">
        <v>#VALUE!</v>
      </c>
      <c r="HQ378" s="2" t="e">
        <v>#VALUE!</v>
      </c>
      <c r="HR378" s="2" t="e">
        <v>#VALUE!</v>
      </c>
      <c r="HS378" s="2" t="e">
        <v>#VALUE!</v>
      </c>
      <c r="HT378" s="2" t="n">
        <v>4.773</v>
      </c>
      <c r="HY378" s="2" t="n">
        <v>261.628</v>
      </c>
      <c r="HZ378" s="2" t="n">
        <v>62.5</v>
      </c>
      <c r="IA378" s="2" t="n">
        <v>125.172</v>
      </c>
      <c r="IB378" s="2" t="n">
        <v>31.297</v>
      </c>
      <c r="IC378" s="2" t="n">
        <v>93.874</v>
      </c>
      <c r="ID378" s="2" t="n">
        <v>67.273</v>
      </c>
      <c r="IE378" s="2" t="n">
        <v>26.601</v>
      </c>
      <c r="IF378" s="2" t="e">
        <v>#VALUE!</v>
      </c>
      <c r="IG378" s="2" t="e">
        <v>#VALUE!</v>
      </c>
      <c r="IH378" s="2" t="n">
        <v>43.837</v>
      </c>
      <c r="II378" s="2" t="n">
        <v>14.411</v>
      </c>
      <c r="IJ378" s="2" t="n">
        <v>16.926</v>
      </c>
      <c r="IK378" s="2" t="n">
        <v>12.5</v>
      </c>
      <c r="IL378" s="2" t="n">
        <v>30.11899999999999</v>
      </c>
      <c r="IN378" s="2" t="n">
        <v>56.597</v>
      </c>
      <c r="IO378" s="2" t="n">
        <v>56.62</v>
      </c>
      <c r="IP378" s="2" t="e">
        <v>#VALUE!</v>
      </c>
      <c r="IQ378" s="2" t="n">
        <v>49.935</v>
      </c>
      <c r="IR378" s="2" t="e">
        <v>#VALUE!</v>
      </c>
      <c r="IS378" s="2" t="e">
        <v>#VALUE!</v>
      </c>
      <c r="IT378" s="2" t="e">
        <v>#VALUE!</v>
      </c>
      <c r="IU378" s="2" t="e">
        <v>#VALUE!</v>
      </c>
      <c r="IV378" s="2" t="e">
        <v>#VALUE!</v>
      </c>
      <c r="IW378" s="2" t="e">
        <v>#VALUE!</v>
      </c>
      <c r="IY378" s="2" t="n">
        <v>47.85820828984214</v>
      </c>
      <c r="IZ378" s="2" t="n">
        <v>0.008208289842137617</v>
      </c>
      <c r="JA378" s="2" t="n">
        <v>0.08606729644509059</v>
      </c>
      <c r="JB378" s="2" t="n">
        <v>11.55032476782905</v>
      </c>
      <c r="JC378" s="2" t="n">
        <v>0.0003247678290474454</v>
      </c>
      <c r="JD378" s="2" t="n">
        <v>-0.0760648605736769</v>
      </c>
      <c r="JE378" s="2" t="n">
        <v>3415.395</v>
      </c>
      <c r="JF378" s="2" t="n">
        <v>0.9071878948115811</v>
      </c>
      <c r="JG378" s="2" t="n">
        <v>0.8030440604764906</v>
      </c>
    </row>
    <row r="379">
      <c r="A379" s="1" t="n">
        <v>40575</v>
      </c>
      <c r="B379" s="2" t="n">
        <v>3882.405</v>
      </c>
      <c r="C379" s="2" t="n">
        <v>3323.289</v>
      </c>
      <c r="D379" s="2" t="n">
        <v>229.391</v>
      </c>
      <c r="E379" s="2" t="n">
        <v>1721.761</v>
      </c>
      <c r="F379" s="2" t="n">
        <v>19.232</v>
      </c>
      <c r="G379" s="2" t="inlineStr">
        <is>
          <t>NA</t>
        </is>
      </c>
      <c r="H379" s="2" t="inlineStr">
        <is>
          <t>NA</t>
        </is>
      </c>
      <c r="I379" s="2" t="inlineStr">
        <is>
          <t>NA</t>
        </is>
      </c>
      <c r="J379" s="2" t="inlineStr">
        <is>
          <t>NA</t>
        </is>
      </c>
      <c r="K379" s="2" t="n">
        <v>1500.03</v>
      </c>
      <c r="L379" s="2" t="n">
        <v>3375.467</v>
      </c>
      <c r="M379" s="2" t="n">
        <v>3075.062</v>
      </c>
      <c r="N379" s="2" t="n">
        <v>300.405</v>
      </c>
      <c r="O379" s="2" t="n">
        <v>71.38200000000001</v>
      </c>
      <c r="P379" s="2" t="n">
        <v>152.118</v>
      </c>
      <c r="Q379" s="2" t="e">
        <v>#VALUE!</v>
      </c>
      <c r="R379" s="2" t="e">
        <v>#VALUE!</v>
      </c>
      <c r="T379" s="2" t="n">
        <v>15.256</v>
      </c>
      <c r="U379" s="2" t="n">
        <v>16.733</v>
      </c>
      <c r="V379" s="2" t="e">
        <v>#VALUE!</v>
      </c>
      <c r="W379" s="2" t="e">
        <v>#VALUE!</v>
      </c>
      <c r="X379" s="2" t="inlineStr">
        <is>
          <t>NA</t>
        </is>
      </c>
      <c r="Y379" s="2" t="e">
        <v>#VALUE!</v>
      </c>
      <c r="Z379" s="2" t="n">
        <v>121.895</v>
      </c>
      <c r="AA379" s="2" t="e">
        <v>#VALUE!</v>
      </c>
      <c r="AB379" s="2" t="e">
        <v>#VALUE!</v>
      </c>
      <c r="AC379" s="2" t="inlineStr">
        <is>
          <t>NA</t>
        </is>
      </c>
      <c r="AD379" s="2" t="n">
        <v>110.869</v>
      </c>
      <c r="AE379" s="2" t="n">
        <v>113.567</v>
      </c>
      <c r="AF379" s="2" t="n">
        <v>215.001</v>
      </c>
      <c r="AG379" s="2" t="n">
        <v>160.802</v>
      </c>
      <c r="AH379" s="2" t="n">
        <v>54.199</v>
      </c>
      <c r="AI379" s="2" t="n">
        <v>199.437</v>
      </c>
      <c r="AJ379" s="2" t="n">
        <v>196.437</v>
      </c>
      <c r="AK379" s="2" t="n">
        <v>3</v>
      </c>
      <c r="AL379" s="2" t="n">
        <v>144.017</v>
      </c>
      <c r="AM379" s="2" t="n">
        <v>110.721</v>
      </c>
      <c r="AN379" s="2" t="n">
        <v>33.296</v>
      </c>
      <c r="AO379" s="2" t="n">
        <v>2889.211</v>
      </c>
      <c r="AP379" s="2" t="n">
        <v>428.609</v>
      </c>
      <c r="AQ379" s="2" t="n">
        <v>236.939</v>
      </c>
      <c r="AR379" s="2" t="n">
        <v>37.979</v>
      </c>
      <c r="AS379" s="2" t="n">
        <v>103.994</v>
      </c>
      <c r="AT379" s="2" t="n">
        <v>24.705</v>
      </c>
      <c r="AU379" s="2" t="n">
        <v>65.47199999999999</v>
      </c>
      <c r="AV379" s="2" t="n">
        <v>30.75</v>
      </c>
      <c r="AW379" s="2" t="n">
        <v>9.930999999999999</v>
      </c>
      <c r="AX379" s="2" t="e">
        <v>#VALUE!</v>
      </c>
      <c r="AY379" s="2" t="inlineStr">
        <is>
          <t>NA</t>
        </is>
      </c>
      <c r="AZ379" s="2" t="inlineStr">
        <is>
          <t>NA</t>
        </is>
      </c>
      <c r="BA379" s="2" t="inlineStr">
        <is>
          <t>NA</t>
        </is>
      </c>
      <c r="BB379" s="2" t="inlineStr">
        <is>
          <t>NA</t>
        </is>
      </c>
      <c r="BD379" s="2" t="n">
        <v>150.601</v>
      </c>
      <c r="BE379" s="2" t="n">
        <v>31.322</v>
      </c>
      <c r="BF379" s="2" t="n">
        <v>60.448</v>
      </c>
      <c r="BG379" s="2" t="n">
        <v>6.236</v>
      </c>
      <c r="BH379" s="2" t="n">
        <v>260.812</v>
      </c>
      <c r="BI379" s="2" t="n">
        <v>100.881</v>
      </c>
      <c r="BJ379" s="2" t="n">
        <v>106.978</v>
      </c>
      <c r="BK379" s="2" t="n">
        <v>207.859</v>
      </c>
      <c r="BM379" s="2" t="n">
        <v>468.671</v>
      </c>
      <c r="BN379" s="2" t="n">
        <v>192.824</v>
      </c>
      <c r="BO379" s="2" t="n">
        <v>78.95999999999999</v>
      </c>
      <c r="BP379" s="2" t="n">
        <v>62.225</v>
      </c>
      <c r="BQ379" s="2" t="n">
        <v>141.185</v>
      </c>
      <c r="BS379" s="2" t="n">
        <v>334.009</v>
      </c>
      <c r="BT379" s="2" t="n">
        <v>19.435</v>
      </c>
      <c r="BU379" s="2" t="n">
        <v>25.331</v>
      </c>
      <c r="BV379" s="2" t="inlineStr">
        <is>
          <t>NA</t>
        </is>
      </c>
      <c r="BW379" s="2" t="inlineStr">
        <is>
          <t>NA</t>
        </is>
      </c>
      <c r="BX379" s="2" t="n">
        <v>388.236</v>
      </c>
      <c r="BY379" s="2" t="inlineStr">
        <is>
          <t>NA</t>
        </is>
      </c>
      <c r="BZ379" s="2" t="inlineStr">
        <is>
          <t>NA</t>
        </is>
      </c>
      <c r="CA379" s="2" t="n">
        <v>59.569</v>
      </c>
      <c r="CB379" s="2" t="n">
        <v>106.32</v>
      </c>
      <c r="CC379" s="2" t="n">
        <v>19.002</v>
      </c>
      <c r="CD379" s="2" t="n">
        <v>134.718</v>
      </c>
      <c r="CE379" s="2" t="n">
        <v>13.002</v>
      </c>
      <c r="CF379" s="2" t="n">
        <v>105.902</v>
      </c>
      <c r="CG379" s="2" t="n">
        <v>93.364</v>
      </c>
      <c r="CH379" s="2" t="n">
        <v>5.016</v>
      </c>
      <c r="CI379" s="2" t="n">
        <v>25.14</v>
      </c>
      <c r="CJ379" s="2" t="n">
        <v>6.309</v>
      </c>
      <c r="CK379" s="2" t="n">
        <v>117.326</v>
      </c>
      <c r="CL379" s="2" t="n">
        <v>15.022</v>
      </c>
      <c r="CN379" s="2" t="e">
        <v>#VALUE!</v>
      </c>
      <c r="CO379" s="2" t="n">
        <v>162.669</v>
      </c>
      <c r="CP379" s="2" t="n">
        <v>120.49</v>
      </c>
      <c r="CQ379" s="2" t="n">
        <v>42.179</v>
      </c>
      <c r="CR379" s="2" t="inlineStr">
        <is>
          <t>NA</t>
        </is>
      </c>
      <c r="CS379" s="2" t="n">
        <v>47.146</v>
      </c>
      <c r="CT379" s="2" t="n">
        <v>42.502</v>
      </c>
      <c r="CU379" s="2" t="n">
        <v>4.644</v>
      </c>
      <c r="CV379" s="2" t="n">
        <v>254.681</v>
      </c>
      <c r="CW379" s="2" t="n">
        <v>51.702</v>
      </c>
      <c r="CX379" s="2" t="n">
        <v>202.979</v>
      </c>
      <c r="CY379" s="2" t="n">
        <v>21.215</v>
      </c>
      <c r="CZ379" s="2" t="n">
        <v>93.65900000000001</v>
      </c>
      <c r="DA379" s="2" t="n">
        <v>19.386</v>
      </c>
      <c r="DB379" s="2" t="e">
        <v>#VALUE!</v>
      </c>
      <c r="DC379" s="2" t="e">
        <v>#VALUE!</v>
      </c>
      <c r="DI379" s="2" t="n">
        <v>505.652</v>
      </c>
      <c r="DJ379" s="2" t="n">
        <v>544.093</v>
      </c>
      <c r="DK379" s="2" t="n">
        <v>866.835</v>
      </c>
      <c r="DM379" s="2" t="n">
        <v>408.696</v>
      </c>
      <c r="DO379" s="2" t="n">
        <v>243.203</v>
      </c>
      <c r="DP379" s="2" t="n">
        <v>208.784</v>
      </c>
      <c r="DS379" s="2" t="n">
        <v>1105.142</v>
      </c>
      <c r="DT379" s="2" t="n">
        <v>3882.405</v>
      </c>
      <c r="DU379" s="2" t="n">
        <v>0</v>
      </c>
      <c r="DV379" s="2" t="n">
        <v>0</v>
      </c>
      <c r="EA379" s="2" t="n">
        <v>441.693</v>
      </c>
      <c r="EB379" s="2" t="n">
        <v>485.743</v>
      </c>
      <c r="EC379" s="2" t="n">
        <v>635.357</v>
      </c>
      <c r="EE379" s="2" t="n">
        <v>276.895</v>
      </c>
      <c r="EG379" s="2" t="n">
        <v>99.095</v>
      </c>
      <c r="EH379" s="2" t="n">
        <v>169.987</v>
      </c>
      <c r="EK379" s="2" t="n">
        <v>1214.519</v>
      </c>
      <c r="EL379" s="2" t="n">
        <v>3323.289</v>
      </c>
      <c r="EQ379" s="2" t="n">
        <v>198.106</v>
      </c>
      <c r="ER379" s="2" t="n">
        <v>213.393</v>
      </c>
      <c r="ES379" s="2" t="n">
        <v>333.019</v>
      </c>
      <c r="EU379" s="2" t="n">
        <v>161.155</v>
      </c>
      <c r="EW379" s="2" t="n">
        <v>92.93000000000001</v>
      </c>
      <c r="EX379" s="2" t="n">
        <v>78.267</v>
      </c>
      <c r="FA379" s="2" t="n">
        <v>423.16</v>
      </c>
      <c r="FB379" s="2" t="n">
        <v>1500.03</v>
      </c>
      <c r="FG379" s="2" t="n">
        <v>406.734</v>
      </c>
      <c r="FH379" s="2" t="n">
        <v>444.777</v>
      </c>
      <c r="FI379" s="2" t="n">
        <v>692.873</v>
      </c>
      <c r="FK379" s="2" t="n">
        <v>329.679</v>
      </c>
      <c r="FM379" s="2" t="n">
        <v>196.801</v>
      </c>
      <c r="FN379" s="2" t="n">
        <v>169.913</v>
      </c>
      <c r="FQ379" s="2" t="n">
        <v>893.316</v>
      </c>
      <c r="FR379" s="2" t="n">
        <v>3134.093</v>
      </c>
      <c r="FW379" s="2" t="n">
        <v>306.143</v>
      </c>
      <c r="FX379" s="2" t="n">
        <v>158.507</v>
      </c>
      <c r="FY379" s="2" t="n">
        <v>267.37</v>
      </c>
      <c r="GA379" s="2" t="n">
        <v>145.321</v>
      </c>
      <c r="GC379" s="2" t="e">
        <v>#VALUE!</v>
      </c>
      <c r="GD379" s="2" t="e">
        <v>#VALUE!</v>
      </c>
      <c r="GG379" s="2" t="n">
        <v>548.215</v>
      </c>
      <c r="GH379" s="2" t="n">
        <v>1563.847</v>
      </c>
      <c r="GM379" s="2" t="n">
        <v>100.497</v>
      </c>
      <c r="GN379" s="2" t="n">
        <v>103.354</v>
      </c>
      <c r="GO379" s="2" t="n">
        <v>98.755</v>
      </c>
      <c r="GQ379" s="2" t="n">
        <v>40.341</v>
      </c>
      <c r="GS379" s="2" t="n">
        <v>15.822</v>
      </c>
      <c r="GT379" s="2" t="n">
        <v>7.901</v>
      </c>
      <c r="GW379" s="2" t="n">
        <v>99.91800000000001</v>
      </c>
      <c r="GX379" s="2" t="n">
        <v>466.588</v>
      </c>
      <c r="GY379" s="2" t="n">
        <v>0.9821192688108225</v>
      </c>
      <c r="GZ379" s="2" t="n">
        <v>1085.505</v>
      </c>
      <c r="HA379" s="2" t="n">
        <v>1105.268</v>
      </c>
      <c r="HB379" s="2" t="n">
        <v>66.92369566940079</v>
      </c>
      <c r="HC379" s="2" t="n">
        <v>30.23657057560013</v>
      </c>
      <c r="HD379" s="2" t="n">
        <v>1256.989695669401</v>
      </c>
      <c r="HE379" s="2" t="n">
        <v>-76.84100000000012</v>
      </c>
      <c r="HF379" s="2" t="n">
        <v>1190.066</v>
      </c>
      <c r="HG379" s="2" t="n">
        <v>1054.426</v>
      </c>
      <c r="HH379" s="2" t="n">
        <v>261.509</v>
      </c>
      <c r="HI379" s="2" t="e">
        <v>#VALUE!</v>
      </c>
      <c r="HJ379" s="2" t="n">
        <v>735.707</v>
      </c>
      <c r="HK379" s="2" t="e">
        <v>#VALUE!</v>
      </c>
      <c r="HL379" s="2" t="n">
        <v>135.64</v>
      </c>
      <c r="HM379" s="2" t="n">
        <v>112.647</v>
      </c>
      <c r="HN379" s="2" t="n">
        <v>58.018</v>
      </c>
      <c r="HO379" s="2" t="n">
        <v>54.629</v>
      </c>
      <c r="HP379" s="2" t="e">
        <v>#VALUE!</v>
      </c>
      <c r="HQ379" s="2" t="e">
        <v>#VALUE!</v>
      </c>
      <c r="HR379" s="2" t="e">
        <v>#VALUE!</v>
      </c>
      <c r="HS379" s="2" t="e">
        <v>#VALUE!</v>
      </c>
      <c r="HT379" s="2" t="n">
        <v>5.412</v>
      </c>
      <c r="HY379" s="2" t="n">
        <v>261.498</v>
      </c>
      <c r="HZ379" s="2" t="n">
        <v>60</v>
      </c>
      <c r="IA379" s="2" t="n">
        <v>118.707</v>
      </c>
      <c r="IB379" s="2" t="n">
        <v>28.164</v>
      </c>
      <c r="IC379" s="2" t="n">
        <v>90.541</v>
      </c>
      <c r="ID379" s="2" t="n">
        <v>64.69199999999999</v>
      </c>
      <c r="IE379" s="2" t="n">
        <v>25.849</v>
      </c>
      <c r="IF379" s="2" t="e">
        <v>#VALUE!</v>
      </c>
      <c r="IG379" s="2" t="e">
        <v>#VALUE!</v>
      </c>
      <c r="IH379" s="2" t="n">
        <v>52.788</v>
      </c>
      <c r="II379" s="2" t="n">
        <v>14.622</v>
      </c>
      <c r="IJ379" s="2" t="n">
        <v>25.666</v>
      </c>
      <c r="IK379" s="2" t="n">
        <v>12.5</v>
      </c>
      <c r="IL379" s="2" t="n">
        <v>30.003</v>
      </c>
      <c r="IN379" s="2" t="n">
        <v>51.608</v>
      </c>
      <c r="IO379" s="2" t="n">
        <v>51.627</v>
      </c>
      <c r="IP379" s="2" t="e">
        <v>#VALUE!</v>
      </c>
      <c r="IQ379" s="2" t="n">
        <v>52.994</v>
      </c>
      <c r="IR379" s="2" t="e">
        <v>#VALUE!</v>
      </c>
      <c r="IS379" s="2" t="e">
        <v>#VALUE!</v>
      </c>
      <c r="IT379" s="2" t="e">
        <v>#VALUE!</v>
      </c>
      <c r="IU379" s="2" t="e">
        <v>#VALUE!</v>
      </c>
      <c r="IV379" s="2" t="e">
        <v>#VALUE!</v>
      </c>
      <c r="IW379" s="2" t="e">
        <v>#VALUE!</v>
      </c>
      <c r="IY379" s="2" t="n">
        <v>48.31257944495744</v>
      </c>
      <c r="IZ379" s="2" t="n">
        <v>0.1725794449574352</v>
      </c>
      <c r="JA379" s="2" t="n">
        <v>0.1525375242293592</v>
      </c>
      <c r="JB379" s="2" t="n">
        <v>11.59098548451282</v>
      </c>
      <c r="JC379" s="2" t="n">
        <v>-0.03901451548717993</v>
      </c>
      <c r="JD379" s="2" t="n">
        <v>-0.0684387433222005</v>
      </c>
      <c r="JE379" s="2" t="n">
        <v>3375.467</v>
      </c>
      <c r="JF379" s="2" t="n">
        <v>0.9189475115591412</v>
      </c>
      <c r="JG379" s="2" t="n">
        <v>0.8205472475747637</v>
      </c>
    </row>
    <row r="380">
      <c r="A380" s="1" t="n">
        <v>40603</v>
      </c>
      <c r="B380" s="2" t="n">
        <v>4208.023</v>
      </c>
      <c r="C380" s="2" t="n">
        <v>3098.834</v>
      </c>
      <c r="D380" s="2" t="n">
        <v>258.84</v>
      </c>
      <c r="E380" s="2" t="n">
        <v>1490.332</v>
      </c>
      <c r="G380" s="2" t="inlineStr">
        <is>
          <t>NA</t>
        </is>
      </c>
      <c r="H380" s="2" t="inlineStr">
        <is>
          <t>NA</t>
        </is>
      </c>
      <c r="I380" s="2" t="inlineStr">
        <is>
          <t>NA</t>
        </is>
      </c>
      <c r="J380" s="2" t="inlineStr">
        <is>
          <t>NA</t>
        </is>
      </c>
      <c r="K380" s="2" t="n">
        <v>1623.774</v>
      </c>
      <c r="L380" s="2" t="n">
        <v>3409.791</v>
      </c>
      <c r="M380" s="2" t="n">
        <v>3109.849</v>
      </c>
      <c r="N380" s="2" t="n">
        <v>299.942</v>
      </c>
      <c r="O380" s="2" t="n">
        <v>84.586</v>
      </c>
      <c r="P380" s="2" t="n">
        <v>163.546</v>
      </c>
      <c r="Q380" s="2" t="e">
        <v>#VALUE!</v>
      </c>
      <c r="R380" s="2" t="e">
        <v>#VALUE!</v>
      </c>
      <c r="T380" s="2" t="n">
        <v>20.041</v>
      </c>
      <c r="U380" s="2" t="n">
        <v>36.573</v>
      </c>
      <c r="V380" s="2" t="e">
        <v>#VALUE!</v>
      </c>
      <c r="W380" s="2" t="e">
        <v>#VALUE!</v>
      </c>
      <c r="X380" s="2" t="inlineStr">
        <is>
          <t>NA</t>
        </is>
      </c>
      <c r="Y380" s="2" t="e">
        <v>#VALUE!</v>
      </c>
      <c r="Z380" s="2" t="n">
        <v>135.856</v>
      </c>
      <c r="AA380" s="2" t="n">
        <v>127.379</v>
      </c>
      <c r="AB380" s="2" t="n">
        <v>8.477</v>
      </c>
      <c r="AC380" s="2" t="inlineStr">
        <is>
          <t>NA</t>
        </is>
      </c>
      <c r="AD380" s="2" t="n">
        <v>105.459</v>
      </c>
      <c r="AE380" s="2" t="n">
        <v>107.849</v>
      </c>
      <c r="AF380" s="2" t="n">
        <v>361.081</v>
      </c>
      <c r="AG380" s="2" t="n">
        <v>284.524</v>
      </c>
      <c r="AH380" s="2" t="n">
        <v>76.557</v>
      </c>
      <c r="AI380" s="2" t="n">
        <v>218.116</v>
      </c>
      <c r="AJ380" s="2" t="n">
        <v>215.116</v>
      </c>
      <c r="AK380" s="2" t="n">
        <v>3</v>
      </c>
      <c r="AL380" s="2" t="n">
        <v>112.499</v>
      </c>
      <c r="AM380" s="2" t="n">
        <v>84.95699999999999</v>
      </c>
      <c r="AN380" s="2" t="n">
        <v>27.542</v>
      </c>
      <c r="AO380" s="2" t="n">
        <v>3111.911</v>
      </c>
      <c r="AP380" s="2" t="n">
        <v>294.551</v>
      </c>
      <c r="AQ380" s="2" t="n">
        <v>259.694</v>
      </c>
      <c r="AR380" s="2" t="n">
        <v>30.585</v>
      </c>
      <c r="AS380" s="2" t="n">
        <v>113.491</v>
      </c>
      <c r="AT380" s="2" t="n">
        <v>27.586</v>
      </c>
      <c r="AU380" s="2" t="n">
        <v>78.82599999999999</v>
      </c>
      <c r="AV380" s="2" t="n">
        <v>39.456</v>
      </c>
      <c r="AW380" s="2" t="n">
        <v>13.602</v>
      </c>
      <c r="AX380" s="2" t="e">
        <v>#VALUE!</v>
      </c>
      <c r="AY380" s="2" t="inlineStr">
        <is>
          <t>NA</t>
        </is>
      </c>
      <c r="AZ380" s="2" t="inlineStr">
        <is>
          <t>NA</t>
        </is>
      </c>
      <c r="BA380" s="2" t="inlineStr">
        <is>
          <t>NA</t>
        </is>
      </c>
      <c r="BB380" s="2" t="inlineStr">
        <is>
          <t>NA</t>
        </is>
      </c>
      <c r="BD380" s="2" t="n">
        <v>172.882</v>
      </c>
      <c r="BE380" s="2" t="n">
        <v>32.378</v>
      </c>
      <c r="BF380" s="2" t="n">
        <v>67.572</v>
      </c>
      <c r="BG380" s="2" t="n">
        <v>5.877</v>
      </c>
      <c r="BH380" s="2" t="n">
        <v>295.692</v>
      </c>
      <c r="BI380" s="2" t="n">
        <v>122.484</v>
      </c>
      <c r="BJ380" s="2" t="n">
        <v>123.38</v>
      </c>
      <c r="BK380" s="2" t="n">
        <v>245.864</v>
      </c>
      <c r="BM380" s="2" t="n">
        <v>541.556</v>
      </c>
      <c r="BN380" s="2" t="n">
        <v>153.822</v>
      </c>
      <c r="BO380" s="2" t="n">
        <v>68.849</v>
      </c>
      <c r="BP380" s="2" t="n">
        <v>59.737</v>
      </c>
      <c r="BQ380" s="2" t="n">
        <v>128.586</v>
      </c>
      <c r="BS380" s="2" t="n">
        <v>282.408</v>
      </c>
      <c r="BT380" s="2" t="n">
        <v>19.342</v>
      </c>
      <c r="BU380" s="2" t="n">
        <v>20.902</v>
      </c>
      <c r="BV380" s="2" t="inlineStr">
        <is>
          <t>NA</t>
        </is>
      </c>
      <c r="BW380" s="2" t="inlineStr">
        <is>
          <t>NA</t>
        </is>
      </c>
      <c r="BX380" s="2" t="n">
        <v>439.371</v>
      </c>
      <c r="BY380" s="2" t="inlineStr">
        <is>
          <t>NA</t>
        </is>
      </c>
      <c r="BZ380" s="2" t="inlineStr">
        <is>
          <t>NA</t>
        </is>
      </c>
      <c r="CA380" s="2" t="n">
        <v>43.542</v>
      </c>
      <c r="CB380" s="2" t="n">
        <v>122.187</v>
      </c>
      <c r="CC380" s="2" t="n">
        <v>19.805</v>
      </c>
      <c r="CD380" s="2" t="n">
        <v>145.794</v>
      </c>
      <c r="CE380" s="2" t="n">
        <v>14.718</v>
      </c>
      <c r="CF380" s="2" t="n">
        <v>110.201</v>
      </c>
      <c r="CG380" s="2" t="n">
        <v>101.866</v>
      </c>
      <c r="CH380" s="2" t="n">
        <v>3.36</v>
      </c>
      <c r="CI380" s="2" t="n">
        <v>27.821</v>
      </c>
      <c r="CJ380" s="2" t="n">
        <v>4.663</v>
      </c>
      <c r="CK380" s="2" t="n">
        <v>134.933</v>
      </c>
      <c r="CL380" s="2" t="n">
        <v>15.673</v>
      </c>
      <c r="CN380" s="2" t="e">
        <v>#VALUE!</v>
      </c>
      <c r="CO380" s="2" t="n">
        <v>154.592</v>
      </c>
      <c r="CP380" s="2" t="n">
        <v>115.178</v>
      </c>
      <c r="CQ380" s="2" t="n">
        <v>39.414</v>
      </c>
      <c r="CR380" s="2" t="inlineStr">
        <is>
          <t>NA</t>
        </is>
      </c>
      <c r="CS380" s="2" t="n">
        <v>50.789</v>
      </c>
      <c r="CT380" s="2" t="n">
        <v>42.725</v>
      </c>
      <c r="CU380" s="2" t="n">
        <v>8.064</v>
      </c>
      <c r="CV380" s="2" t="n">
        <v>214.052</v>
      </c>
      <c r="CW380" s="2" t="n">
        <v>42.701</v>
      </c>
      <c r="CX380" s="2" t="n">
        <v>171.351</v>
      </c>
      <c r="CY380" s="2" t="n">
        <v>18.165</v>
      </c>
      <c r="CZ380" s="2" t="n">
        <v>62.746</v>
      </c>
      <c r="DA380" s="2" t="n">
        <v>23.561</v>
      </c>
      <c r="DB380" s="2" t="e">
        <v>#VALUE!</v>
      </c>
      <c r="DC380" s="2" t="e">
        <v>#VALUE!</v>
      </c>
      <c r="DI380" s="2" t="n">
        <v>548.981</v>
      </c>
      <c r="DJ380" s="2" t="n">
        <v>596.7430000000001</v>
      </c>
      <c r="DK380" s="2" t="n">
        <v>923.83</v>
      </c>
      <c r="DM380" s="2" t="n">
        <v>450.957</v>
      </c>
      <c r="DO380" s="2" t="n">
        <v>262.242</v>
      </c>
      <c r="DP380" s="2" t="n">
        <v>217.022</v>
      </c>
      <c r="DS380" s="2" t="n">
        <v>1208.248</v>
      </c>
      <c r="DT380" s="2" t="n">
        <v>4208.023</v>
      </c>
      <c r="DU380" s="2" t="n">
        <v>0</v>
      </c>
      <c r="DV380" s="2" t="n">
        <v>0</v>
      </c>
      <c r="EA380" s="2" t="n">
        <v>387.779</v>
      </c>
      <c r="EB380" s="2" t="n">
        <v>495.252</v>
      </c>
      <c r="EC380" s="2" t="n">
        <v>623.703</v>
      </c>
      <c r="EE380" s="2" t="n">
        <v>263.914</v>
      </c>
      <c r="EG380" s="2" t="n">
        <v>100.003</v>
      </c>
      <c r="EH380" s="2" t="n">
        <v>191.745</v>
      </c>
      <c r="EK380" s="2" t="n">
        <v>1036.438</v>
      </c>
      <c r="EL380" s="2" t="n">
        <v>3098.834</v>
      </c>
      <c r="EQ380" s="2" t="n">
        <v>212.658</v>
      </c>
      <c r="ER380" s="2" t="n">
        <v>229.388</v>
      </c>
      <c r="ES380" s="2" t="n">
        <v>355.766</v>
      </c>
      <c r="EU380" s="2" t="n">
        <v>178.704</v>
      </c>
      <c r="EW380" s="2" t="n">
        <v>100.304</v>
      </c>
      <c r="EX380" s="2" t="n">
        <v>83.07299999999999</v>
      </c>
      <c r="FA380" s="2" t="n">
        <v>463.881</v>
      </c>
      <c r="FB380" s="2" t="n">
        <v>1623.774</v>
      </c>
      <c r="FG380" s="2" t="n">
        <v>435.406</v>
      </c>
      <c r="FH380" s="2" t="n">
        <v>482.148</v>
      </c>
      <c r="FI380" s="2" t="n">
        <v>738.678</v>
      </c>
      <c r="FK380" s="2" t="n">
        <v>358.927</v>
      </c>
      <c r="FM380" s="2" t="n">
        <v>211.963</v>
      </c>
      <c r="FN380" s="2" t="n">
        <v>179.247</v>
      </c>
      <c r="FQ380" s="2" t="n">
        <v>973.283</v>
      </c>
      <c r="FR380" s="2" t="n">
        <v>3379.652</v>
      </c>
      <c r="FW380" s="2" t="n">
        <v>297.466</v>
      </c>
      <c r="FX380" s="2" t="n">
        <v>151.189</v>
      </c>
      <c r="FY380" s="2" t="n">
        <v>245.457</v>
      </c>
      <c r="GA380" s="2" t="n">
        <v>136.458</v>
      </c>
      <c r="GC380" s="2" t="e">
        <v>#VALUE!</v>
      </c>
      <c r="GD380" s="2" t="e">
        <v>#VALUE!</v>
      </c>
      <c r="GG380" s="2" t="n">
        <v>531.977</v>
      </c>
      <c r="GH380" s="2" t="n">
        <v>1514.838</v>
      </c>
      <c r="GM380" s="2" t="n">
        <v>47.931</v>
      </c>
      <c r="GN380" s="2" t="n">
        <v>95.64700000000001</v>
      </c>
      <c r="GO380" s="2" t="n">
        <v>62.446</v>
      </c>
      <c r="GQ380" s="2" t="n">
        <v>28.885</v>
      </c>
      <c r="GS380" s="2" t="n">
        <v>10.158</v>
      </c>
      <c r="GT380" s="2" t="n">
        <v>3.071</v>
      </c>
      <c r="GW380" s="2" t="n">
        <v>76.998</v>
      </c>
      <c r="GX380" s="2" t="n">
        <v>325.136</v>
      </c>
      <c r="GY380" s="2" t="n">
        <v>0.9825713707352381</v>
      </c>
      <c r="GZ380" s="2" t="n">
        <v>1281.446</v>
      </c>
      <c r="HA380" s="2" t="n">
        <v>1304.176</v>
      </c>
      <c r="HB380" s="2" t="n">
        <v>-184.5485390564006</v>
      </c>
      <c r="HC380" s="2" t="n">
        <v>-37.68236208479993</v>
      </c>
      <c r="HD380" s="2" t="n">
        <v>1273.7344609436</v>
      </c>
      <c r="HE380" s="2" t="n">
        <v>72.61919000000034</v>
      </c>
      <c r="HF380" s="2" t="n">
        <v>1458.283</v>
      </c>
      <c r="HG380" s="2" t="n">
        <v>1260.767</v>
      </c>
      <c r="HH380" s="2" t="n">
        <v>317.773</v>
      </c>
      <c r="HI380" s="2" t="e">
        <v>#VALUE!</v>
      </c>
      <c r="HJ380" s="2" t="n">
        <v>871.039</v>
      </c>
      <c r="HK380" s="2" t="e">
        <v>#VALUE!</v>
      </c>
      <c r="HL380" s="2" t="n">
        <v>197.516</v>
      </c>
      <c r="HM380" s="2" t="n">
        <v>176.313</v>
      </c>
      <c r="HN380" s="2" t="n">
        <v>103.786</v>
      </c>
      <c r="HO380" s="2" t="n">
        <v>72.527</v>
      </c>
      <c r="HP380" s="2" t="e">
        <v>#VALUE!</v>
      </c>
      <c r="HQ380" s="2" t="e">
        <v>#VALUE!</v>
      </c>
      <c r="HR380" s="2" t="e">
        <v>#VALUE!</v>
      </c>
      <c r="HS380" s="2" t="e">
        <v>#VALUE!</v>
      </c>
      <c r="HT380" s="2" t="n">
        <v>3.851</v>
      </c>
      <c r="HY380" s="2" t="n">
        <v>277.39</v>
      </c>
      <c r="HZ380" s="2" t="n">
        <v>55</v>
      </c>
      <c r="IA380" s="2" t="n">
        <v>126.287</v>
      </c>
      <c r="IB380" s="2" t="n">
        <v>20.014</v>
      </c>
      <c r="IC380" s="2" t="n">
        <v>106.273</v>
      </c>
      <c r="ID380" s="2" t="n">
        <v>74.211</v>
      </c>
      <c r="IE380" s="2" t="n">
        <v>32.062</v>
      </c>
      <c r="IF380" s="2" t="e">
        <v>#VALUE!</v>
      </c>
      <c r="IG380" s="2" t="e">
        <v>#VALUE!</v>
      </c>
      <c r="IH380" s="2" t="n">
        <v>78.148</v>
      </c>
      <c r="II380" s="2" t="n">
        <v>16.09</v>
      </c>
      <c r="IJ380" s="2" t="n">
        <v>44.558</v>
      </c>
      <c r="IK380" s="2" t="n">
        <v>17.5</v>
      </c>
      <c r="IL380" s="2" t="n">
        <v>17.95499999999998</v>
      </c>
      <c r="IN380" s="2" t="n">
        <v>60.173</v>
      </c>
      <c r="IO380" s="2" t="n">
        <v>60.195</v>
      </c>
      <c r="IP380" s="2" t="e">
        <v>#VALUE!</v>
      </c>
      <c r="IQ380" s="2" t="n">
        <v>68.443</v>
      </c>
      <c r="IR380" s="2" t="e">
        <v>#VALUE!</v>
      </c>
      <c r="IS380" s="2" t="e">
        <v>#VALUE!</v>
      </c>
      <c r="IT380" s="2" t="e">
        <v>#VALUE!</v>
      </c>
      <c r="IU380" s="2" t="e">
        <v>#VALUE!</v>
      </c>
      <c r="IV380" s="2" t="e">
        <v>#VALUE!</v>
      </c>
      <c r="IW380" s="2" t="e">
        <v>#VALUE!</v>
      </c>
      <c r="IY380" s="2" t="n">
        <v>48.07395301784234</v>
      </c>
      <c r="IZ380" s="2" t="n">
        <v>0.03395301784234306</v>
      </c>
      <c r="JA380" s="2" t="n">
        <v>0.04285178843942745</v>
      </c>
      <c r="JB380" s="2" t="n">
        <v>11.57627227797947</v>
      </c>
      <c r="JC380" s="2" t="n">
        <v>-0.07372772202053213</v>
      </c>
      <c r="JD380" s="2" t="n">
        <v>-0.05050430631111968</v>
      </c>
      <c r="JE380" s="2" t="n">
        <v>3409.791</v>
      </c>
      <c r="JF380" s="2" t="n">
        <v>0.8973549991773689</v>
      </c>
      <c r="JG380" s="2" t="n">
        <v>0.8158214725729318</v>
      </c>
    </row>
    <row r="381">
      <c r="A381" s="1" t="n">
        <v>40634</v>
      </c>
      <c r="B381" s="2" t="n">
        <v>3839.636</v>
      </c>
      <c r="C381" s="2" t="n">
        <v>2806.232</v>
      </c>
      <c r="D381" s="2" t="n">
        <v>235.614</v>
      </c>
      <c r="E381" s="2" t="n">
        <v>1248.229</v>
      </c>
      <c r="F381" s="2" t="n">
        <v>21.757</v>
      </c>
      <c r="G381" s="2" t="inlineStr">
        <is>
          <t>NA</t>
        </is>
      </c>
      <c r="H381" s="2" t="inlineStr">
        <is>
          <t>NA</t>
        </is>
      </c>
      <c r="I381" s="2" t="inlineStr">
        <is>
          <t>NA</t>
        </is>
      </c>
      <c r="J381" s="2" t="inlineStr">
        <is>
          <t>NA</t>
        </is>
      </c>
      <c r="K381" s="2" t="n">
        <v>1504.598</v>
      </c>
      <c r="L381" s="2" t="n">
        <v>3342.068</v>
      </c>
      <c r="M381" s="2" t="n">
        <v>3010.398</v>
      </c>
      <c r="N381" s="2" t="n">
        <v>331.67</v>
      </c>
      <c r="O381" s="2" t="n">
        <v>77.30800000000001</v>
      </c>
      <c r="P381" s="2" t="n">
        <v>163.152</v>
      </c>
      <c r="Q381" s="2" t="e">
        <v>#VALUE!</v>
      </c>
      <c r="R381" s="2" t="e">
        <v>#VALUE!</v>
      </c>
      <c r="T381" s="2" t="n">
        <v>17.907</v>
      </c>
      <c r="U381" s="2" t="n">
        <v>40.629</v>
      </c>
      <c r="V381" s="2" t="e">
        <v>#VALUE!</v>
      </c>
      <c r="W381" s="2" t="e">
        <v>#VALUE!</v>
      </c>
      <c r="X381" s="2" t="inlineStr">
        <is>
          <t>NA</t>
        </is>
      </c>
      <c r="Y381" s="2" t="e">
        <v>#VALUE!</v>
      </c>
      <c r="Z381" s="2" t="n">
        <v>127.323</v>
      </c>
      <c r="AA381" s="2" t="n">
        <v>122.141</v>
      </c>
      <c r="AB381" s="2" t="n">
        <v>5.182</v>
      </c>
      <c r="AC381" s="2" t="inlineStr">
        <is>
          <t>NA</t>
        </is>
      </c>
      <c r="AD381" s="2" t="n">
        <v>100.523</v>
      </c>
      <c r="AE381" s="2" t="n">
        <v>103.961</v>
      </c>
      <c r="AF381" s="2" t="n">
        <v>335.769</v>
      </c>
      <c r="AG381" s="2" t="n">
        <v>273.133</v>
      </c>
      <c r="AH381" s="2" t="n">
        <v>62.636</v>
      </c>
      <c r="AI381" s="2" t="n">
        <v>203.057</v>
      </c>
      <c r="AJ381" s="2" t="n">
        <v>200.057</v>
      </c>
      <c r="AK381" s="2" t="n">
        <v>3</v>
      </c>
      <c r="AL381" s="2" t="n">
        <v>148.084</v>
      </c>
      <c r="AM381" s="2" t="n">
        <v>105.514</v>
      </c>
      <c r="AN381" s="2" t="n">
        <v>42.57</v>
      </c>
      <c r="AO381" s="2" t="n">
        <v>2873.217</v>
      </c>
      <c r="AP381" s="2" t="n">
        <v>403.992</v>
      </c>
      <c r="AQ381" s="2" t="n">
        <v>239.721</v>
      </c>
      <c r="AR381" s="2" t="n">
        <v>38.951</v>
      </c>
      <c r="AS381" s="2" t="n">
        <v>106.765</v>
      </c>
      <c r="AT381" s="2" t="n">
        <v>36.893</v>
      </c>
      <c r="AU381" s="2" t="n">
        <v>65.48699999999999</v>
      </c>
      <c r="AV381" s="2" t="n">
        <v>40.162</v>
      </c>
      <c r="AW381" s="2" t="n">
        <v>11.941</v>
      </c>
      <c r="AX381" s="2" t="e">
        <v>#VALUE!</v>
      </c>
      <c r="AY381" s="2" t="inlineStr">
        <is>
          <t>NA</t>
        </is>
      </c>
      <c r="AZ381" s="2" t="inlineStr">
        <is>
          <t>NA</t>
        </is>
      </c>
      <c r="BA381" s="2" t="inlineStr">
        <is>
          <t>NA</t>
        </is>
      </c>
      <c r="BB381" s="2" t="inlineStr">
        <is>
          <t>NA</t>
        </is>
      </c>
      <c r="BD381" s="2" t="n">
        <v>157.618</v>
      </c>
      <c r="BE381" s="2" t="n">
        <v>33.753</v>
      </c>
      <c r="BF381" s="2" t="n">
        <v>64.15000000000001</v>
      </c>
      <c r="BG381" s="2" t="n">
        <v>7.543</v>
      </c>
      <c r="BH381" s="2" t="n">
        <v>261.624</v>
      </c>
      <c r="BI381" s="2" t="n">
        <v>108.627</v>
      </c>
      <c r="BJ381" s="2" t="n">
        <v>108.769</v>
      </c>
      <c r="BK381" s="2" t="n">
        <v>217.396</v>
      </c>
      <c r="BM381" s="2" t="n">
        <v>479.02</v>
      </c>
      <c r="BN381" s="2" t="n">
        <v>161.415</v>
      </c>
      <c r="BO381" s="2" t="n">
        <v>76.605</v>
      </c>
      <c r="BP381" s="2" t="n">
        <v>63.852</v>
      </c>
      <c r="BQ381" s="2" t="n">
        <v>140.457</v>
      </c>
      <c r="BS381" s="2" t="n">
        <v>301.872</v>
      </c>
      <c r="BT381" s="2" t="n">
        <v>18.844</v>
      </c>
      <c r="BU381" s="2" t="n">
        <v>26.195</v>
      </c>
      <c r="BV381" s="2" t="inlineStr">
        <is>
          <t>NA</t>
        </is>
      </c>
      <c r="BW381" s="2" t="inlineStr">
        <is>
          <t>NA</t>
        </is>
      </c>
      <c r="BX381" s="2" t="n">
        <v>378.964</v>
      </c>
      <c r="BY381" s="2" t="inlineStr">
        <is>
          <t>NA</t>
        </is>
      </c>
      <c r="BZ381" s="2" t="inlineStr">
        <is>
          <t>NA</t>
        </is>
      </c>
      <c r="CA381" s="2" t="n">
        <v>48.104</v>
      </c>
      <c r="CB381" s="2" t="n">
        <v>111.793</v>
      </c>
      <c r="CC381" s="2" t="n">
        <v>25.762</v>
      </c>
      <c r="CD381" s="2" t="n">
        <v>135.544</v>
      </c>
      <c r="CE381" s="2" t="n">
        <v>16.831</v>
      </c>
      <c r="CF381" s="2" t="n">
        <v>108.592</v>
      </c>
      <c r="CG381" s="2" t="n">
        <v>107.637</v>
      </c>
      <c r="CH381" s="2" t="n">
        <v>5.309</v>
      </c>
      <c r="CI381" s="2" t="n">
        <v>28.429</v>
      </c>
      <c r="CJ381" s="2" t="n">
        <v>6.756</v>
      </c>
      <c r="CK381" s="2" t="n">
        <v>128.208</v>
      </c>
      <c r="CL381" s="2" t="n">
        <v>17.119</v>
      </c>
      <c r="CN381" s="2" t="e">
        <v>#VALUE!</v>
      </c>
      <c r="CO381" s="2" t="n">
        <v>150.03</v>
      </c>
      <c r="CP381" s="2" t="n">
        <v>135.313</v>
      </c>
      <c r="CQ381" s="2" t="n">
        <v>14.717</v>
      </c>
      <c r="CR381" s="2" t="inlineStr">
        <is>
          <t>NA</t>
        </is>
      </c>
      <c r="CS381" s="2" t="n">
        <v>41.106</v>
      </c>
      <c r="CT381" s="2" t="n">
        <v>33.5</v>
      </c>
      <c r="CU381" s="2" t="n">
        <v>7.606</v>
      </c>
      <c r="CV381" s="2" t="n">
        <v>256.309</v>
      </c>
      <c r="CW381" s="2" t="n">
        <v>36.853</v>
      </c>
      <c r="CX381" s="2" t="n">
        <v>219.456</v>
      </c>
      <c r="CY381" s="2" t="n">
        <v>17.803</v>
      </c>
      <c r="CZ381" s="2" t="n">
        <v>59.341</v>
      </c>
      <c r="DA381" s="2" t="n">
        <v>19.728</v>
      </c>
      <c r="DB381" s="2" t="e">
        <v>#VALUE!</v>
      </c>
      <c r="DC381" s="2" t="e">
        <v>#VALUE!</v>
      </c>
      <c r="DI381" s="2" t="n">
        <v>516.886</v>
      </c>
      <c r="DJ381" s="2" t="n">
        <v>525.432</v>
      </c>
      <c r="DK381" s="2" t="n">
        <v>860.663</v>
      </c>
      <c r="DM381" s="2" t="n">
        <v>394.942</v>
      </c>
      <c r="DO381" s="2" t="n">
        <v>212.921</v>
      </c>
      <c r="DP381" s="2" t="n">
        <v>205.032</v>
      </c>
      <c r="DS381" s="2" t="n">
        <v>1123.76</v>
      </c>
      <c r="DT381" s="2" t="n">
        <v>3839.636</v>
      </c>
      <c r="DU381" s="2" t="n">
        <v>0</v>
      </c>
      <c r="DV381" s="2" t="n">
        <v>0</v>
      </c>
      <c r="EA381" s="2" t="n">
        <v>316.309</v>
      </c>
      <c r="EB381" s="2" t="n">
        <v>506.728</v>
      </c>
      <c r="EC381" s="2" t="n">
        <v>517.802</v>
      </c>
      <c r="EE381" s="2" t="n">
        <v>285.565</v>
      </c>
      <c r="EG381" s="2" t="n">
        <v>129.321</v>
      </c>
      <c r="EH381" s="2" t="n">
        <v>148.363</v>
      </c>
      <c r="EK381" s="2" t="n">
        <v>902.144</v>
      </c>
      <c r="EL381" s="2" t="n">
        <v>2806.232</v>
      </c>
      <c r="EQ381" s="2" t="n">
        <v>202.294</v>
      </c>
      <c r="ER381" s="2" t="n">
        <v>203.627</v>
      </c>
      <c r="ES381" s="2" t="n">
        <v>334.01</v>
      </c>
      <c r="EU381" s="2" t="n">
        <v>157.835</v>
      </c>
      <c r="EW381" s="2" t="n">
        <v>82.458</v>
      </c>
      <c r="EX381" s="2" t="n">
        <v>78.776</v>
      </c>
      <c r="FA381" s="2" t="n">
        <v>445.598</v>
      </c>
      <c r="FB381" s="2" t="n">
        <v>1504.598</v>
      </c>
      <c r="FG381" s="2" t="n">
        <v>411.366</v>
      </c>
      <c r="FH381" s="2" t="n">
        <v>426.129</v>
      </c>
      <c r="FI381" s="2" t="n">
        <v>692.204</v>
      </c>
      <c r="FK381" s="2" t="n">
        <v>319.131</v>
      </c>
      <c r="FM381" s="2" t="n">
        <v>172.138</v>
      </c>
      <c r="FN381" s="2" t="n">
        <v>169.95</v>
      </c>
      <c r="FQ381" s="2" t="n">
        <v>930.101</v>
      </c>
      <c r="FR381" s="2" t="n">
        <v>3121.019</v>
      </c>
      <c r="FW381" s="2" t="n">
        <v>300.449</v>
      </c>
      <c r="FX381" s="2" t="n">
        <v>136.191</v>
      </c>
      <c r="FY381" s="2" t="n">
        <v>231.658</v>
      </c>
      <c r="GA381" s="2" t="n">
        <v>134.057</v>
      </c>
      <c r="GC381" s="2" t="e">
        <v>#VALUE!</v>
      </c>
      <c r="GD381" s="2" t="e">
        <v>#VALUE!</v>
      </c>
      <c r="GG381" s="2" t="n">
        <v>554.843</v>
      </c>
      <c r="GH381" s="2" t="n">
        <v>1500.011</v>
      </c>
      <c r="GM381" s="2" t="n">
        <v>71.98</v>
      </c>
      <c r="GN381" s="2" t="n">
        <v>121.772</v>
      </c>
      <c r="GO381" s="2" t="n">
        <v>81.374</v>
      </c>
      <c r="GQ381" s="2" t="n">
        <v>27.672</v>
      </c>
      <c r="GS381" s="2" t="n">
        <v>13.338</v>
      </c>
      <c r="GT381" s="2" t="n">
        <v>4.195</v>
      </c>
      <c r="GW381" s="2" t="n">
        <v>122.612</v>
      </c>
      <c r="GX381" s="2" t="n">
        <v>442.943</v>
      </c>
      <c r="GY381" s="2" t="n">
        <v>0.9811222435020086</v>
      </c>
      <c r="GZ381" s="2" t="n">
        <v>1235.124</v>
      </c>
      <c r="HA381" s="2" t="n">
        <v>1258.889</v>
      </c>
      <c r="HB381" s="2" t="n">
        <v>-13.37625628679984</v>
      </c>
      <c r="HC381" s="2" t="n">
        <v>113.0784303996006</v>
      </c>
      <c r="HD381" s="2" t="n">
        <v>1399.8547437132</v>
      </c>
      <c r="HE381" s="2" t="n">
        <v>167.80762</v>
      </c>
      <c r="HF381" s="2" t="n">
        <v>1413.231</v>
      </c>
      <c r="HG381" s="2" t="n">
        <v>1171.509</v>
      </c>
      <c r="HH381" s="2" t="n">
        <v>299.662</v>
      </c>
      <c r="HI381" s="2" t="e">
        <v>#VALUE!</v>
      </c>
      <c r="HJ381" s="2" t="n">
        <v>808.3339999999999</v>
      </c>
      <c r="HK381" s="2" t="e">
        <v>#VALUE!</v>
      </c>
      <c r="HL381" s="2" t="n">
        <v>241.722</v>
      </c>
      <c r="HM381" s="2" t="n">
        <v>216.769</v>
      </c>
      <c r="HN381" s="2" t="n">
        <v>125.657</v>
      </c>
      <c r="HO381" s="2" t="n">
        <v>91.11199999999999</v>
      </c>
      <c r="HP381" s="2" t="e">
        <v>#VALUE!</v>
      </c>
      <c r="HQ381" s="2" t="e">
        <v>#VALUE!</v>
      </c>
      <c r="HR381" s="2" t="e">
        <v>#VALUE!</v>
      </c>
      <c r="HS381" s="2" t="e">
        <v>#VALUE!</v>
      </c>
      <c r="HT381" s="2" t="n">
        <v>4.859</v>
      </c>
      <c r="HY381" s="2" t="n">
        <v>296.185</v>
      </c>
      <c r="HZ381" s="2" t="n">
        <v>60</v>
      </c>
      <c r="IA381" s="2" t="n">
        <v>113.657</v>
      </c>
      <c r="IB381" s="2" t="n">
        <v>15</v>
      </c>
      <c r="IC381" s="2" t="n">
        <v>98.657</v>
      </c>
      <c r="ID381" s="2" t="n">
        <v>67.77200000000001</v>
      </c>
      <c r="IE381" s="2" t="n">
        <v>30.88499999999999</v>
      </c>
      <c r="IF381" s="2" t="e">
        <v>#VALUE!</v>
      </c>
      <c r="IG381" s="2" t="e">
        <v>#VALUE!</v>
      </c>
      <c r="IH381" s="2" t="n">
        <v>100.278</v>
      </c>
      <c r="II381" s="2" t="n">
        <v>24.219</v>
      </c>
      <c r="IJ381" s="2" t="n">
        <v>48.289</v>
      </c>
      <c r="IK381" s="2" t="n">
        <v>27.77</v>
      </c>
      <c r="IL381" s="2" t="n">
        <v>22.25</v>
      </c>
      <c r="IN381" s="2" t="n">
        <v>56.383</v>
      </c>
      <c r="IO381" s="2" t="n">
        <v>56.404</v>
      </c>
      <c r="IP381" s="2" t="e">
        <v>#VALUE!</v>
      </c>
      <c r="IQ381" s="2" t="n">
        <v>66.675</v>
      </c>
      <c r="IR381" s="2" t="e">
        <v>#VALUE!</v>
      </c>
      <c r="IS381" s="2" t="e">
        <v>#VALUE!</v>
      </c>
      <c r="IT381" s="2" t="e">
        <v>#VALUE!</v>
      </c>
      <c r="IU381" s="2" t="e">
        <v>#VALUE!</v>
      </c>
      <c r="IV381" s="2" t="e">
        <v>#VALUE!</v>
      </c>
      <c r="IW381" s="2" t="e">
        <v>#VALUE!</v>
      </c>
      <c r="IY381" s="2" t="n">
        <v>48.64426732117315</v>
      </c>
      <c r="IZ381" s="2" t="n">
        <v>0.4642673211731534</v>
      </c>
      <c r="JA381" s="2" t="n">
        <v>0.1796424529199228</v>
      </c>
      <c r="JB381" s="2" t="n">
        <v>11.7557862255693</v>
      </c>
      <c r="JC381" s="2" t="n">
        <v>0.03578622556929822</v>
      </c>
      <c r="JD381" s="2" t="n">
        <v>-0.05110027393101948</v>
      </c>
      <c r="JE381" s="2" t="n">
        <v>3342.068</v>
      </c>
      <c r="JF381" s="2" t="n">
        <v>0.806216989002019</v>
      </c>
      <c r="JG381" s="2" t="n">
        <v>0.8106046699794103</v>
      </c>
    </row>
    <row r="382">
      <c r="A382" s="1" t="n">
        <v>40664</v>
      </c>
      <c r="B382" s="2" t="n">
        <v>3841.157</v>
      </c>
      <c r="C382" s="2" t="n">
        <v>2459.501</v>
      </c>
      <c r="D382" s="2" t="n">
        <v>235.561</v>
      </c>
      <c r="E382" s="2" t="n">
        <v>1022.643</v>
      </c>
      <c r="F382" s="2" t="n">
        <v>20.853</v>
      </c>
      <c r="G382" s="2" t="inlineStr">
        <is>
          <t>NA</t>
        </is>
      </c>
      <c r="H382" s="2" t="inlineStr">
        <is>
          <t>NA</t>
        </is>
      </c>
      <c r="I382" s="2" t="inlineStr">
        <is>
          <t>NA</t>
        </is>
      </c>
      <c r="J382" s="2" t="inlineStr">
        <is>
          <t>NA</t>
        </is>
      </c>
      <c r="K382" s="2" t="n">
        <v>1491.195</v>
      </c>
      <c r="L382" s="2" t="n">
        <v>3177.323</v>
      </c>
      <c r="M382" s="2" t="n">
        <v>2917.354</v>
      </c>
      <c r="N382" s="2" t="n">
        <v>259.969</v>
      </c>
      <c r="O382" s="2" t="n">
        <v>80.006</v>
      </c>
      <c r="P382" s="2" t="n">
        <v>180.145</v>
      </c>
      <c r="Q382" s="2" t="e">
        <v>#VALUE!</v>
      </c>
      <c r="R382" s="2" t="e">
        <v>#VALUE!</v>
      </c>
      <c r="T382" s="2" t="n">
        <v>17.261</v>
      </c>
      <c r="U382" s="2" t="n">
        <v>26.138</v>
      </c>
      <c r="V382" s="2" t="e">
        <v>#VALUE!</v>
      </c>
      <c r="W382" s="2" t="e">
        <v>#VALUE!</v>
      </c>
      <c r="X382" s="2" t="inlineStr">
        <is>
          <t>NA</t>
        </is>
      </c>
      <c r="Y382" s="2" t="e">
        <v>#VALUE!</v>
      </c>
      <c r="Z382" s="2" t="n">
        <v>115.13</v>
      </c>
      <c r="AA382" s="2" t="n">
        <v>107.129</v>
      </c>
      <c r="AB382" s="2" t="n">
        <v>8.000999999999999</v>
      </c>
      <c r="AC382" s="2" t="inlineStr">
        <is>
          <t>NA</t>
        </is>
      </c>
      <c r="AD382" s="2" t="n">
        <v>112.692</v>
      </c>
      <c r="AE382" s="2" t="n">
        <v>115.947</v>
      </c>
      <c r="AF382" s="2" t="n">
        <v>401.433</v>
      </c>
      <c r="AG382" s="2" t="n">
        <v>299.175</v>
      </c>
      <c r="AH382" s="2" t="n">
        <v>102.258</v>
      </c>
      <c r="AI382" s="2" t="n">
        <v>215.005</v>
      </c>
      <c r="AJ382" s="2" t="n">
        <v>212.005</v>
      </c>
      <c r="AK382" s="2" t="n">
        <v>3</v>
      </c>
      <c r="AL382" s="2" t="n">
        <v>135.492</v>
      </c>
      <c r="AM382" s="2" t="n">
        <v>113.785</v>
      </c>
      <c r="AN382" s="2" t="n">
        <v>21.707</v>
      </c>
      <c r="AO382" s="2" t="n">
        <v>2865.776</v>
      </c>
      <c r="AP382" s="2" t="n">
        <v>333.547</v>
      </c>
      <c r="AQ382" s="2" t="n">
        <v>234.746</v>
      </c>
      <c r="AR382" s="2" t="n">
        <v>41.41</v>
      </c>
      <c r="AS382" s="2" t="n">
        <v>110.069</v>
      </c>
      <c r="AT382" s="2" t="n">
        <v>41.461</v>
      </c>
      <c r="AU382" s="2" t="n">
        <v>69.29000000000001</v>
      </c>
      <c r="AV382" s="2" t="n">
        <v>39.386</v>
      </c>
      <c r="AW382" s="2" t="n">
        <v>11.825</v>
      </c>
      <c r="AX382" s="2" t="e">
        <v>#VALUE!</v>
      </c>
      <c r="AY382" s="2" t="inlineStr">
        <is>
          <t>NA</t>
        </is>
      </c>
      <c r="AZ382" s="2" t="inlineStr">
        <is>
          <t>NA</t>
        </is>
      </c>
      <c r="BA382" s="2" t="inlineStr">
        <is>
          <t>NA</t>
        </is>
      </c>
      <c r="BB382" s="2" t="inlineStr">
        <is>
          <t>NA</t>
        </is>
      </c>
      <c r="BD382" s="2" t="n">
        <v>175.278</v>
      </c>
      <c r="BE382" s="2" t="n">
        <v>38.327</v>
      </c>
      <c r="BF382" s="2" t="n">
        <v>67.86499999999999</v>
      </c>
      <c r="BG382" s="2" t="n">
        <v>9.759</v>
      </c>
      <c r="BH382" s="2" t="n">
        <v>277.606</v>
      </c>
      <c r="BI382" s="2" t="n">
        <v>110.823</v>
      </c>
      <c r="BJ382" s="2" t="n">
        <v>112.911</v>
      </c>
      <c r="BK382" s="2" t="n">
        <v>223.734</v>
      </c>
      <c r="BM382" s="2" t="n">
        <v>501.34</v>
      </c>
      <c r="BN382" s="2" t="n">
        <v>140.026</v>
      </c>
      <c r="BO382" s="2" t="n">
        <v>80.32599999999999</v>
      </c>
      <c r="BP382" s="2" t="n">
        <v>54.36</v>
      </c>
      <c r="BQ382" s="2" t="n">
        <v>134.686</v>
      </c>
      <c r="BS382" s="2" t="n">
        <v>274.712</v>
      </c>
      <c r="BT382" s="2" t="n">
        <v>19.55</v>
      </c>
      <c r="BU382" s="2" t="n">
        <v>19.852</v>
      </c>
      <c r="BV382" s="2" t="inlineStr">
        <is>
          <t>NA</t>
        </is>
      </c>
      <c r="BW382" s="2" t="inlineStr">
        <is>
          <t>NA</t>
        </is>
      </c>
      <c r="BX382" s="2" t="n">
        <v>399.468</v>
      </c>
      <c r="BY382" s="2" t="inlineStr">
        <is>
          <t>NA</t>
        </is>
      </c>
      <c r="BZ382" s="2" t="inlineStr">
        <is>
          <t>NA</t>
        </is>
      </c>
      <c r="CA382" s="2" t="n">
        <v>53.253</v>
      </c>
      <c r="CB382" s="2" t="n">
        <v>121.705</v>
      </c>
      <c r="CC382" s="2" t="n">
        <v>26.477</v>
      </c>
      <c r="CD382" s="2" t="n">
        <v>138.903</v>
      </c>
      <c r="CE382" s="2" t="n">
        <v>17.914</v>
      </c>
      <c r="CF382" s="2" t="n">
        <v>119.463</v>
      </c>
      <c r="CG382" s="2" t="n">
        <v>105.231</v>
      </c>
      <c r="CH382" s="2" t="n">
        <v>5.531</v>
      </c>
      <c r="CI382" s="2" t="n">
        <v>30.748</v>
      </c>
      <c r="CJ382" s="2" t="n">
        <v>8.465</v>
      </c>
      <c r="CK382" s="2" t="n">
        <v>134.543</v>
      </c>
      <c r="CL382" s="2" t="n">
        <v>16.907</v>
      </c>
      <c r="CN382" s="2" t="e">
        <v>#VALUE!</v>
      </c>
      <c r="CO382" s="2" t="n">
        <v>157.636</v>
      </c>
      <c r="CP382" s="2" t="n">
        <v>102.583</v>
      </c>
      <c r="CQ382" s="2" t="n">
        <v>55.053</v>
      </c>
      <c r="CR382" s="2" t="inlineStr">
        <is>
          <t>NA</t>
        </is>
      </c>
      <c r="CS382" s="2" t="n">
        <v>38.188</v>
      </c>
      <c r="CT382" s="2" t="n">
        <v>33.151</v>
      </c>
      <c r="CU382" s="2" t="n">
        <v>5.037</v>
      </c>
      <c r="CV382" s="2" t="n">
        <v>282.823</v>
      </c>
      <c r="CW382" s="2" t="n">
        <v>43.324</v>
      </c>
      <c r="CX382" s="2" t="n">
        <v>239.499</v>
      </c>
      <c r="CY382" s="2" t="n">
        <v>21.419</v>
      </c>
      <c r="CZ382" s="2" t="n">
        <v>69.15600000000001</v>
      </c>
      <c r="DA382" s="2" t="n">
        <v>23.566</v>
      </c>
      <c r="DB382" s="2" t="e">
        <v>#VALUE!</v>
      </c>
      <c r="DC382" s="2" t="e">
        <v>#VALUE!</v>
      </c>
      <c r="DI382" s="2" t="n">
        <v>422.397</v>
      </c>
      <c r="DJ382" s="2" t="n">
        <v>526.677</v>
      </c>
      <c r="DK382" s="2" t="n">
        <v>903.62</v>
      </c>
      <c r="DM382" s="2" t="n">
        <v>446.425</v>
      </c>
      <c r="DO382" s="2" t="n">
        <v>196.782</v>
      </c>
      <c r="DP382" s="2" t="n">
        <v>217.983</v>
      </c>
      <c r="DS382" s="2" t="n">
        <v>1127.273</v>
      </c>
      <c r="DT382" s="2" t="n">
        <v>3841.157</v>
      </c>
      <c r="DU382" s="2" t="n">
        <v>0</v>
      </c>
      <c r="DV382" s="2" t="n">
        <v>0</v>
      </c>
      <c r="EA382" s="2" t="n">
        <v>291.894</v>
      </c>
      <c r="EB382" s="2" t="n">
        <v>378.301</v>
      </c>
      <c r="EC382" s="2" t="n">
        <v>508.932</v>
      </c>
      <c r="EE382" s="2" t="n">
        <v>243.434</v>
      </c>
      <c r="EG382" s="2" t="n">
        <v>110.319</v>
      </c>
      <c r="EH382" s="2" t="n">
        <v>96.77500000000001</v>
      </c>
      <c r="EK382" s="2" t="n">
        <v>829.846</v>
      </c>
      <c r="EL382" s="2" t="n">
        <v>2459.501</v>
      </c>
      <c r="EQ382" s="2" t="n">
        <v>164.422</v>
      </c>
      <c r="ER382" s="2" t="n">
        <v>206.218</v>
      </c>
      <c r="ES382" s="2" t="n">
        <v>352.001</v>
      </c>
      <c r="EU382" s="2" t="n">
        <v>177.295</v>
      </c>
      <c r="EW382" s="2" t="n">
        <v>75.29300000000001</v>
      </c>
      <c r="EX382" s="2" t="n">
        <v>82.63200000000001</v>
      </c>
      <c r="FA382" s="2" t="n">
        <v>433.334</v>
      </c>
      <c r="FB382" s="2" t="n">
        <v>1491.195</v>
      </c>
      <c r="FG382" s="2" t="n">
        <v>336.367</v>
      </c>
      <c r="FH382" s="2" t="n">
        <v>430.086</v>
      </c>
      <c r="FI382" s="2" t="n">
        <v>728.721</v>
      </c>
      <c r="FK382" s="2" t="n">
        <v>357.39</v>
      </c>
      <c r="FM382" s="2" t="n">
        <v>159.256</v>
      </c>
      <c r="FN382" s="2" t="n">
        <v>178.794</v>
      </c>
      <c r="FQ382" s="2" t="n">
        <v>917.876</v>
      </c>
      <c r="FR382" s="2" t="n">
        <v>3108.49</v>
      </c>
      <c r="FW382" s="2" t="n">
        <v>283.814</v>
      </c>
      <c r="FX382" s="2" t="n">
        <v>139.074</v>
      </c>
      <c r="FY382" s="2" t="n">
        <v>208.385</v>
      </c>
      <c r="GA382" s="2" t="n">
        <v>149.021</v>
      </c>
      <c r="GC382" s="2" t="e">
        <v>#VALUE!</v>
      </c>
      <c r="GD382" s="2" t="e">
        <v>#VALUE!</v>
      </c>
      <c r="GG382" s="2" t="n">
        <v>517.1180000000001</v>
      </c>
      <c r="GH382" s="2" t="n">
        <v>1436.96</v>
      </c>
      <c r="GM382" s="2" t="n">
        <v>58.068</v>
      </c>
      <c r="GN382" s="2" t="n">
        <v>77.58199999999999</v>
      </c>
      <c r="GO382" s="2" t="n">
        <v>59.797</v>
      </c>
      <c r="GQ382" s="2" t="n">
        <v>36.3</v>
      </c>
      <c r="GS382" s="2" t="n">
        <v>15.162</v>
      </c>
      <c r="GT382" s="2" t="n">
        <v>4.759</v>
      </c>
      <c r="GW382" s="2" t="n">
        <v>123.289</v>
      </c>
      <c r="GX382" s="2" t="n">
        <v>374.957</v>
      </c>
      <c r="GY382" s="2" t="n">
        <v>0.9902331356715613</v>
      </c>
      <c r="GZ382" s="2" t="n">
        <v>1229.723</v>
      </c>
      <c r="HA382" s="2" t="n">
        <v>1241.852</v>
      </c>
      <c r="HB382" s="2" t="n">
        <v>155.8027920453994</v>
      </c>
      <c r="HC382" s="2" t="n">
        <v>275.8127684753995</v>
      </c>
      <c r="HD382" s="2" t="n">
        <v>1577.357792045399</v>
      </c>
      <c r="HE382" s="2" t="n">
        <v>174.8751600000001</v>
      </c>
      <c r="HF382" s="2" t="n">
        <v>1421.555</v>
      </c>
      <c r="HG382" s="2" t="n">
        <v>1161.026</v>
      </c>
      <c r="HH382" s="2" t="n">
        <v>275.249</v>
      </c>
      <c r="HI382" s="2" t="e">
        <v>#VALUE!</v>
      </c>
      <c r="HJ382" s="2" t="n">
        <v>826.288</v>
      </c>
      <c r="HK382" s="2" t="e">
        <v>#VALUE!</v>
      </c>
      <c r="HL382" s="2" t="n">
        <v>260.529</v>
      </c>
      <c r="HM382" s="2" t="n">
        <v>235.312</v>
      </c>
      <c r="HN382" s="2" t="n">
        <v>123.662</v>
      </c>
      <c r="HO382" s="2" t="n">
        <v>103.089</v>
      </c>
      <c r="HP382" s="2" t="e">
        <v>#VALUE!</v>
      </c>
      <c r="HQ382" s="2" t="e">
        <v>#VALUE!</v>
      </c>
      <c r="HR382" s="2" t="e">
        <v>#VALUE!</v>
      </c>
      <c r="HS382" s="2" t="e">
        <v>#VALUE!</v>
      </c>
      <c r="HT382" s="2" t="n">
        <v>5.532</v>
      </c>
      <c r="HY382" s="2" t="n">
        <v>277.517</v>
      </c>
      <c r="HZ382" s="2" t="n">
        <v>75.068</v>
      </c>
      <c r="IA382" s="2" t="n">
        <v>129.824</v>
      </c>
      <c r="IB382" s="2" t="n">
        <v>17.661</v>
      </c>
      <c r="IC382" s="2" t="n">
        <v>112.163</v>
      </c>
      <c r="ID382" s="2" t="n">
        <v>84.883</v>
      </c>
      <c r="IE382" s="2" t="n">
        <v>27.28</v>
      </c>
      <c r="IF382" s="2" t="e">
        <v>#VALUE!</v>
      </c>
      <c r="IG382" s="2" t="e">
        <v>#VALUE!</v>
      </c>
      <c r="IH382" s="2" t="n">
        <v>69.467</v>
      </c>
      <c r="II382" s="2" t="n">
        <v>11.569</v>
      </c>
      <c r="IJ382" s="2" t="n">
        <v>36.199</v>
      </c>
      <c r="IK382" s="2" t="n">
        <v>21.699</v>
      </c>
      <c r="IL382" s="2" t="n">
        <v>3.158000000000001</v>
      </c>
      <c r="IN382" s="2" t="n">
        <v>56.748</v>
      </c>
      <c r="IO382" s="2" t="n">
        <v>56.769</v>
      </c>
      <c r="IP382" s="2" t="e">
        <v>#VALUE!</v>
      </c>
      <c r="IQ382" s="2" t="n">
        <v>60.18</v>
      </c>
      <c r="IR382" s="2" t="e">
        <v>#VALUE!</v>
      </c>
      <c r="IS382" s="2" t="e">
        <v>#VALUE!</v>
      </c>
      <c r="IT382" s="2" t="e">
        <v>#VALUE!</v>
      </c>
      <c r="IU382" s="2" t="e">
        <v>#VALUE!</v>
      </c>
      <c r="IV382" s="2" t="e">
        <v>#VALUE!</v>
      </c>
      <c r="IW382" s="2" t="e">
        <v>#VALUE!</v>
      </c>
      <c r="IY382" s="2" t="n">
        <v>48.43106386955805</v>
      </c>
      <c r="IZ382" s="2" t="n">
        <v>0.1410638695580531</v>
      </c>
      <c r="JA382" s="2" t="n">
        <v>0.1317274633236892</v>
      </c>
      <c r="JB382" s="2" t="n">
        <v>11.64645183729798</v>
      </c>
      <c r="JC382" s="2" t="n">
        <v>-0.02354816270201887</v>
      </c>
      <c r="JD382" s="2" t="n">
        <v>-0.06290862231301748</v>
      </c>
      <c r="JE382" s="2" t="n">
        <v>3177.323</v>
      </c>
      <c r="JF382" s="2" t="n">
        <v>0.8528308264535901</v>
      </c>
      <c r="JG382" s="2" t="n">
        <v>0.8152904372939362</v>
      </c>
    </row>
    <row r="383">
      <c r="A383" s="1" t="n">
        <v>40695</v>
      </c>
      <c r="B383" s="2" t="n">
        <v>3708.711</v>
      </c>
      <c r="C383" s="2" t="n">
        <v>2596.022</v>
      </c>
      <c r="D383" s="2" t="n">
        <v>211.071</v>
      </c>
      <c r="E383" s="2" t="n">
        <v>779.603</v>
      </c>
      <c r="F383" s="2" t="n">
        <v>22.07</v>
      </c>
      <c r="G383" s="2" t="inlineStr">
        <is>
          <t>NA</t>
        </is>
      </c>
      <c r="H383" s="2" t="inlineStr">
        <is>
          <t>NA</t>
        </is>
      </c>
      <c r="I383" s="2" t="inlineStr">
        <is>
          <t>NA</t>
        </is>
      </c>
      <c r="J383" s="2" t="inlineStr">
        <is>
          <t>NA</t>
        </is>
      </c>
      <c r="K383" s="2" t="n">
        <v>1437.997</v>
      </c>
      <c r="L383" s="2" t="n">
        <v>3153.064</v>
      </c>
      <c r="M383" s="2" t="n">
        <v>2868.184</v>
      </c>
      <c r="N383" s="2" t="n">
        <v>284.88</v>
      </c>
      <c r="O383" s="2" t="n">
        <v>70.577</v>
      </c>
      <c r="P383" s="2" t="n">
        <v>189.065</v>
      </c>
      <c r="Q383" s="2" t="n">
        <v>112.825</v>
      </c>
      <c r="R383" s="2" t="n">
        <v>76.23999999999999</v>
      </c>
      <c r="T383" s="2" t="n">
        <v>17.995</v>
      </c>
      <c r="U383" s="2" t="n">
        <v>23.358</v>
      </c>
      <c r="V383" s="2" t="e">
        <v>#VALUE!</v>
      </c>
      <c r="W383" s="2" t="e">
        <v>#VALUE!</v>
      </c>
      <c r="X383" s="2" t="inlineStr">
        <is>
          <t>NA</t>
        </is>
      </c>
      <c r="Y383" s="2" t="e">
        <v>#VALUE!</v>
      </c>
      <c r="Z383" s="2" t="n">
        <v>95.605</v>
      </c>
      <c r="AA383" s="2" t="n">
        <v>88.73</v>
      </c>
      <c r="AB383" s="2" t="n">
        <v>6.875</v>
      </c>
      <c r="AC383" s="2" t="inlineStr">
        <is>
          <t>NA</t>
        </is>
      </c>
      <c r="AD383" s="2" t="n">
        <v>78.105</v>
      </c>
      <c r="AE383" s="2" t="n">
        <v>79.59</v>
      </c>
      <c r="AF383" s="2" t="n">
        <v>367.889</v>
      </c>
      <c r="AG383" s="2" t="n">
        <v>294.861</v>
      </c>
      <c r="AH383" s="2" t="n">
        <v>73.02800000000002</v>
      </c>
      <c r="AI383" s="2" t="n">
        <v>216.275</v>
      </c>
      <c r="AJ383" s="2" t="n">
        <v>213.275</v>
      </c>
      <c r="AK383" s="2" t="n">
        <v>3</v>
      </c>
      <c r="AL383" s="2" t="n">
        <v>174.31</v>
      </c>
      <c r="AM383" s="2" t="n">
        <v>140.929</v>
      </c>
      <c r="AN383" s="2" t="n">
        <v>33.381</v>
      </c>
      <c r="AO383" s="2" t="n">
        <v>2746.586</v>
      </c>
      <c r="AP383" s="2" t="n">
        <v>256.329</v>
      </c>
      <c r="AQ383" s="2" t="n">
        <v>226.906</v>
      </c>
      <c r="AR383" s="2" t="n">
        <v>27.97</v>
      </c>
      <c r="AS383" s="2" t="n">
        <v>98.01000000000001</v>
      </c>
      <c r="AT383" s="2" t="n">
        <v>40.278</v>
      </c>
      <c r="AU383" s="2" t="n">
        <v>65.943</v>
      </c>
      <c r="AV383" s="2" t="n">
        <v>39.115</v>
      </c>
      <c r="AW383" s="2" t="n">
        <v>12.102</v>
      </c>
      <c r="AX383" s="2" t="e">
        <v>#VALUE!</v>
      </c>
      <c r="AY383" s="2" t="inlineStr">
        <is>
          <t>NA</t>
        </is>
      </c>
      <c r="AZ383" s="2" t="inlineStr">
        <is>
          <t>NA</t>
        </is>
      </c>
      <c r="BA383" s="2" t="inlineStr">
        <is>
          <t>NA</t>
        </is>
      </c>
      <c r="BB383" s="2" t="inlineStr">
        <is>
          <t>NA</t>
        </is>
      </c>
      <c r="BD383" s="2" t="n">
        <v>186.439</v>
      </c>
      <c r="BE383" s="2" t="n">
        <v>43.029</v>
      </c>
      <c r="BF383" s="2" t="n">
        <v>68.869</v>
      </c>
      <c r="BG383" s="2" t="n">
        <v>7.984</v>
      </c>
      <c r="BH383" s="2" t="n">
        <v>284.619</v>
      </c>
      <c r="BI383" s="2" t="n">
        <v>117.139</v>
      </c>
      <c r="BJ383" s="2" t="n">
        <v>109.566</v>
      </c>
      <c r="BK383" s="2" t="n">
        <v>226.705</v>
      </c>
      <c r="BM383" s="2" t="n">
        <v>511.324</v>
      </c>
      <c r="BN383" s="2" t="n">
        <v>157.375</v>
      </c>
      <c r="BO383" s="2" t="n">
        <v>108.779</v>
      </c>
      <c r="BP383" s="2" t="n">
        <v>53.268</v>
      </c>
      <c r="BQ383" s="2" t="n">
        <v>162.047</v>
      </c>
      <c r="BS383" s="2" t="n">
        <v>319.422</v>
      </c>
      <c r="BT383" s="2" t="n">
        <v>17.195</v>
      </c>
      <c r="BU383" s="2" t="n">
        <v>23.38</v>
      </c>
      <c r="BV383" s="2" t="inlineStr">
        <is>
          <t>NA</t>
        </is>
      </c>
      <c r="BW383" s="2" t="inlineStr">
        <is>
          <t>NA</t>
        </is>
      </c>
      <c r="BX383" s="2" t="n">
        <v>415.967</v>
      </c>
      <c r="BY383" s="2" t="inlineStr">
        <is>
          <t>NA</t>
        </is>
      </c>
      <c r="BZ383" s="2" t="inlineStr">
        <is>
          <t>NA</t>
        </is>
      </c>
      <c r="CA383" s="2" t="n">
        <v>62.465</v>
      </c>
      <c r="CB383" s="2" t="n">
        <v>125.476</v>
      </c>
      <c r="CC383" s="2" t="n">
        <v>31.005</v>
      </c>
      <c r="CD383" s="2" t="n">
        <v>136.599</v>
      </c>
      <c r="CE383" s="2" t="n">
        <v>16.343</v>
      </c>
      <c r="CF383" s="2" t="n">
        <v>107.758</v>
      </c>
      <c r="CG383" s="2" t="n">
        <v>109.783</v>
      </c>
      <c r="CH383" s="2" t="n">
        <v>16.462</v>
      </c>
      <c r="CI383" s="2" t="n">
        <v>28.068</v>
      </c>
      <c r="CJ383" s="2" t="n">
        <v>5.381</v>
      </c>
      <c r="CK383" s="2" t="n">
        <v>142.891</v>
      </c>
      <c r="CL383" s="2" t="n">
        <v>16.117</v>
      </c>
      <c r="CN383" s="2" t="e">
        <v>#VALUE!</v>
      </c>
      <c r="CO383" s="2" t="n">
        <v>158.384</v>
      </c>
      <c r="CP383" s="2" t="n">
        <v>94.352</v>
      </c>
      <c r="CQ383" s="2" t="n">
        <v>64.032</v>
      </c>
      <c r="CR383" s="2" t="inlineStr">
        <is>
          <t>NA</t>
        </is>
      </c>
      <c r="CS383" s="2" t="n">
        <v>40.31</v>
      </c>
      <c r="CT383" s="2" t="n">
        <v>36.749</v>
      </c>
      <c r="CU383" s="2" t="n">
        <v>3.561</v>
      </c>
      <c r="CV383" s="2" t="n">
        <v>245.907</v>
      </c>
      <c r="CW383" s="2" t="n">
        <v>51.851</v>
      </c>
      <c r="CX383" s="2" t="n">
        <v>194.056</v>
      </c>
      <c r="CY383" s="2" t="n">
        <v>20.02</v>
      </c>
      <c r="CZ383" s="2" t="n">
        <v>64.97499999999999</v>
      </c>
      <c r="DA383" s="2" t="n">
        <v>20.291</v>
      </c>
      <c r="DB383" s="2" t="e">
        <v>#VALUE!</v>
      </c>
      <c r="DC383" s="2" t="e">
        <v>#VALUE!</v>
      </c>
      <c r="DI383" s="2" t="n">
        <v>471.365</v>
      </c>
      <c r="DJ383" s="2" t="n">
        <v>417.705</v>
      </c>
      <c r="DK383" s="2" t="n">
        <v>881.049</v>
      </c>
      <c r="DM383" s="2" t="n">
        <v>439.585</v>
      </c>
      <c r="DO383" s="2" t="n">
        <v>217.096</v>
      </c>
      <c r="DP383" s="2" t="n">
        <v>202.043</v>
      </c>
      <c r="DS383" s="2" t="n">
        <v>1079.868</v>
      </c>
      <c r="DT383" s="2" t="n">
        <v>3708.711</v>
      </c>
      <c r="DU383" s="2" t="n">
        <v>0</v>
      </c>
      <c r="DV383" s="2" t="n">
        <v>0</v>
      </c>
      <c r="EA383" s="2" t="n">
        <v>294.837</v>
      </c>
      <c r="EB383" s="2" t="n">
        <v>437.559</v>
      </c>
      <c r="EC383" s="2" t="n">
        <v>487.4</v>
      </c>
      <c r="EE383" s="2" t="n">
        <v>253.003</v>
      </c>
      <c r="EG383" s="2" t="n">
        <v>128.396</v>
      </c>
      <c r="EH383" s="2" t="n">
        <v>136.763</v>
      </c>
      <c r="EK383" s="2" t="n">
        <v>858.064</v>
      </c>
      <c r="EL383" s="2" t="n">
        <v>2596.022</v>
      </c>
      <c r="EQ383" s="2" t="n">
        <v>186.684</v>
      </c>
      <c r="ER383" s="2" t="n">
        <v>161.01</v>
      </c>
      <c r="ES383" s="2" t="n">
        <v>337.973</v>
      </c>
      <c r="EU383" s="2" t="n">
        <v>172.545</v>
      </c>
      <c r="EW383" s="2" t="n">
        <v>82.705</v>
      </c>
      <c r="EX383" s="2" t="n">
        <v>77.325</v>
      </c>
      <c r="FA383" s="2" t="n">
        <v>419.755</v>
      </c>
      <c r="FB383" s="2" t="n">
        <v>1437.997</v>
      </c>
      <c r="FG383" s="2" t="n">
        <v>380.511</v>
      </c>
      <c r="FH383" s="2" t="n">
        <v>339.261</v>
      </c>
      <c r="FI383" s="2" t="n">
        <v>704.977</v>
      </c>
      <c r="FK383" s="2" t="n">
        <v>348.052</v>
      </c>
      <c r="FM383" s="2" t="n">
        <v>175.125</v>
      </c>
      <c r="FN383" s="2" t="n">
        <v>164.487</v>
      </c>
      <c r="FQ383" s="2" t="n">
        <v>868.274</v>
      </c>
      <c r="FR383" s="2" t="n">
        <v>2980.687</v>
      </c>
      <c r="FW383" s="2" t="n">
        <v>358.383</v>
      </c>
      <c r="FX383" s="2" t="n">
        <v>109.183</v>
      </c>
      <c r="FY383" s="2" t="n">
        <v>221.519</v>
      </c>
      <c r="GA383" s="2" t="n">
        <v>134.281</v>
      </c>
      <c r="GC383" s="2" t="e">
        <v>#VALUE!</v>
      </c>
      <c r="GD383" s="2" t="e">
        <v>#VALUE!</v>
      </c>
      <c r="GG383" s="2" t="n">
        <v>554.193</v>
      </c>
      <c r="GH383" s="2" t="n">
        <v>1486.735</v>
      </c>
      <c r="GM383" s="2" t="n">
        <v>61.131</v>
      </c>
      <c r="GN383" s="2" t="n">
        <v>54.85</v>
      </c>
      <c r="GO383" s="2" t="n">
        <v>44.333</v>
      </c>
      <c r="GQ383" s="2" t="n">
        <v>25.967</v>
      </c>
      <c r="GS383" s="2" t="n">
        <v>8.388</v>
      </c>
      <c r="GT383" s="2" t="n">
        <v>4.292</v>
      </c>
      <c r="GW383" s="2" t="n">
        <v>85.33799999999999</v>
      </c>
      <c r="GX383" s="2" t="n">
        <v>284.299</v>
      </c>
      <c r="GY383" s="2" t="n">
        <v>0.9840115275147964</v>
      </c>
      <c r="GZ383" s="2" t="n">
        <v>1239.456</v>
      </c>
      <c r="HA383" s="2" t="n">
        <v>1259.595</v>
      </c>
      <c r="HB383" s="2" t="n">
        <v>-154.3397157596003</v>
      </c>
      <c r="HC383" s="2" t="n">
        <v>100.5275080704</v>
      </c>
      <c r="HD383" s="2" t="n">
        <v>1346.4652842404</v>
      </c>
      <c r="HE383" s="2" t="n">
        <v>233.12402</v>
      </c>
      <c r="HF383" s="2" t="n">
        <v>1500.805</v>
      </c>
      <c r="HG383" s="2" t="n">
        <v>1185.914</v>
      </c>
      <c r="HH383" s="2" t="n">
        <v>279.87</v>
      </c>
      <c r="HI383" s="2" t="e">
        <v>#VALUE!</v>
      </c>
      <c r="HJ383" s="2" t="n">
        <v>835.658</v>
      </c>
      <c r="HK383" s="2" t="e">
        <v>#VALUE!</v>
      </c>
      <c r="HL383" s="2" t="n">
        <v>314.891</v>
      </c>
      <c r="HM383" s="2" t="n">
        <v>293.702</v>
      </c>
      <c r="HN383" s="2" t="n">
        <v>168.423</v>
      </c>
      <c r="HO383" s="2" t="n">
        <v>125.279</v>
      </c>
      <c r="HP383" s="2" t="e">
        <v>#VALUE!</v>
      </c>
      <c r="HQ383" s="2" t="e">
        <v>#VALUE!</v>
      </c>
      <c r="HR383" s="2" t="e">
        <v>#VALUE!</v>
      </c>
      <c r="HS383" s="2" t="e">
        <v>#VALUE!</v>
      </c>
      <c r="HT383" s="2" t="n">
        <v>5.356</v>
      </c>
      <c r="HY383" s="2" t="n">
        <v>298.635</v>
      </c>
      <c r="HZ383" s="2" t="n">
        <v>50</v>
      </c>
      <c r="IA383" s="2" t="n">
        <v>148.197</v>
      </c>
      <c r="IB383" s="2" t="n">
        <v>19.318</v>
      </c>
      <c r="IC383" s="2" t="n">
        <v>128.88</v>
      </c>
      <c r="ID383" s="2" t="n">
        <v>100.604</v>
      </c>
      <c r="IE383" s="2" t="n">
        <v>28.276</v>
      </c>
      <c r="IF383" s="2" t="e">
        <v>#VALUE!</v>
      </c>
      <c r="IG383" s="2" t="e">
        <v>#VALUE!</v>
      </c>
      <c r="IH383" s="2" t="n">
        <v>89.24299999999999</v>
      </c>
      <c r="II383" s="2" t="n">
        <v>19.502</v>
      </c>
      <c r="IJ383" s="2" t="n">
        <v>47.024</v>
      </c>
      <c r="IK383" s="2" t="n">
        <v>22.717</v>
      </c>
      <c r="IL383" s="2" t="n">
        <v>11.19499999999999</v>
      </c>
      <c r="IN383" s="2" t="n">
        <v>55.981</v>
      </c>
      <c r="IO383" s="2" t="n">
        <v>55.998</v>
      </c>
      <c r="IP383" s="2" t="e">
        <v>#VALUE!</v>
      </c>
      <c r="IQ383" s="2" t="n">
        <v>48.562</v>
      </c>
      <c r="IR383" s="2" t="e">
        <v>#VALUE!</v>
      </c>
      <c r="IS383" s="2" t="e">
        <v>#VALUE!</v>
      </c>
      <c r="IT383" s="2" t="e">
        <v>#VALUE!</v>
      </c>
      <c r="IU383" s="2" t="e">
        <v>#VALUE!</v>
      </c>
      <c r="IV383" s="2" t="e">
        <v>#VALUE!</v>
      </c>
      <c r="IW383" s="2" t="e">
        <v>#VALUE!</v>
      </c>
      <c r="IY383" s="2" t="n">
        <v>48.10553316233052</v>
      </c>
      <c r="IZ383" s="2" t="n">
        <v>0.06553316233051731</v>
      </c>
      <c r="JA383" s="2" t="n">
        <v>0.1213455985712777</v>
      </c>
      <c r="JB383" s="2" t="n">
        <v>11.63204951801313</v>
      </c>
      <c r="JC383" s="2" t="n">
        <v>-0.07795048198686771</v>
      </c>
      <c r="JD383" s="2" t="n">
        <v>-0.07744357751481949</v>
      </c>
      <c r="JE383" s="2" t="n">
        <v>3153.064</v>
      </c>
      <c r="JF383" s="2" t="n">
        <v>0.8206519119180582</v>
      </c>
      <c r="JG383" s="2" t="n">
        <v>0.8195961034416861</v>
      </c>
    </row>
    <row r="384">
      <c r="A384" s="1" t="n">
        <v>40725</v>
      </c>
      <c r="B384" s="2" t="n">
        <v>3886.881</v>
      </c>
      <c r="C384" s="2" t="n">
        <v>2215.214</v>
      </c>
      <c r="D384" s="2" t="n">
        <v>178.28</v>
      </c>
      <c r="E384" s="2" t="n">
        <v>617.563</v>
      </c>
      <c r="F384" s="2" t="n">
        <v>22.514</v>
      </c>
      <c r="G384" s="2" t="inlineStr">
        <is>
          <t>NA</t>
        </is>
      </c>
      <c r="H384" s="2" t="inlineStr">
        <is>
          <t>NA</t>
        </is>
      </c>
      <c r="I384" s="2" t="inlineStr">
        <is>
          <t>NA</t>
        </is>
      </c>
      <c r="J384" s="2" t="inlineStr">
        <is>
          <t>NA</t>
        </is>
      </c>
      <c r="K384" s="2" t="n">
        <v>1504.674</v>
      </c>
      <c r="L384" s="2" t="n">
        <v>3128.851</v>
      </c>
      <c r="M384" s="2" t="n">
        <v>2824.308</v>
      </c>
      <c r="N384" s="2" t="n">
        <v>304.543</v>
      </c>
      <c r="O384" s="2" t="n">
        <v>59.417</v>
      </c>
      <c r="P384" s="2" t="n">
        <v>180.684</v>
      </c>
      <c r="Q384" s="2" t="n">
        <v>123.377</v>
      </c>
      <c r="R384" s="2" t="n">
        <v>57.307</v>
      </c>
      <c r="T384" s="2" t="n">
        <v>17.062</v>
      </c>
      <c r="U384" s="2" t="n">
        <v>29.669</v>
      </c>
      <c r="V384" s="2" t="e">
        <v>#VALUE!</v>
      </c>
      <c r="W384" s="2" t="e">
        <v>#VALUE!</v>
      </c>
      <c r="X384" s="2" t="inlineStr">
        <is>
          <t>NA</t>
        </is>
      </c>
      <c r="Y384" s="2" t="e">
        <v>#VALUE!</v>
      </c>
      <c r="Z384" s="2" t="n">
        <v>77.262</v>
      </c>
      <c r="AA384" s="2" t="n">
        <v>71.518</v>
      </c>
      <c r="AB384" s="2" t="n">
        <v>5.744</v>
      </c>
      <c r="AC384" s="2" t="inlineStr">
        <is>
          <t>NA</t>
        </is>
      </c>
      <c r="AD384" s="2" t="n">
        <v>111.291</v>
      </c>
      <c r="AE384" s="2" t="n">
        <v>113.988</v>
      </c>
      <c r="AF384" s="2" t="n">
        <v>377.439</v>
      </c>
      <c r="AG384" s="2" t="n">
        <v>295.073</v>
      </c>
      <c r="AH384" s="2" t="n">
        <v>82.36600000000004</v>
      </c>
      <c r="AI384" s="2" t="n">
        <v>205.731</v>
      </c>
      <c r="AJ384" s="2" t="n">
        <v>202.731</v>
      </c>
      <c r="AK384" s="2" t="n">
        <v>3</v>
      </c>
      <c r="AL384" s="2" t="n">
        <v>238.873</v>
      </c>
      <c r="AM384" s="2" t="n">
        <v>185.605</v>
      </c>
      <c r="AN384" s="2" t="n">
        <v>53.268</v>
      </c>
      <c r="AO384" s="2" t="n">
        <v>2857.622</v>
      </c>
      <c r="AP384" s="2" t="n">
        <v>387.461</v>
      </c>
      <c r="AQ384" s="2" t="n">
        <v>239.432</v>
      </c>
      <c r="AR384" s="2" t="n">
        <v>34.955</v>
      </c>
      <c r="AS384" s="2" t="n">
        <v>82.666</v>
      </c>
      <c r="AT384" s="2" t="n">
        <v>48.061</v>
      </c>
      <c r="AU384" s="2" t="n">
        <v>52.017</v>
      </c>
      <c r="AV384" s="2" t="n">
        <v>38.299</v>
      </c>
      <c r="AW384" s="2" t="n">
        <v>11.973</v>
      </c>
      <c r="AX384" s="2" t="e">
        <v>#VALUE!</v>
      </c>
      <c r="AY384" s="2" t="inlineStr">
        <is>
          <t>NA</t>
        </is>
      </c>
      <c r="AZ384" s="2" t="inlineStr">
        <is>
          <t>NA</t>
        </is>
      </c>
      <c r="BA384" s="2" t="inlineStr">
        <is>
          <t>NA</t>
        </is>
      </c>
      <c r="BB384" s="2" t="inlineStr">
        <is>
          <t>NA</t>
        </is>
      </c>
      <c r="BD384" s="2" t="n">
        <v>170.162</v>
      </c>
      <c r="BE384" s="2" t="n">
        <v>33.135</v>
      </c>
      <c r="BF384" s="2" t="n">
        <v>66.301</v>
      </c>
      <c r="BG384" s="2" t="n">
        <v>7.249</v>
      </c>
      <c r="BH384" s="2" t="n">
        <v>263.299</v>
      </c>
      <c r="BI384" s="2" t="n">
        <v>112.108</v>
      </c>
      <c r="BJ384" s="2" t="n">
        <v>102.866</v>
      </c>
      <c r="BK384" s="2" t="n">
        <v>214.974</v>
      </c>
      <c r="BM384" s="2" t="n">
        <v>478.273</v>
      </c>
      <c r="BN384" s="2" t="n">
        <v>165.961</v>
      </c>
      <c r="BO384" s="2" t="n">
        <v>92.654</v>
      </c>
      <c r="BP384" s="2" t="n">
        <v>59.489</v>
      </c>
      <c r="BQ384" s="2" t="n">
        <v>152.143</v>
      </c>
      <c r="BS384" s="2" t="n">
        <v>318.104</v>
      </c>
      <c r="BT384" s="2" t="n">
        <v>16.019</v>
      </c>
      <c r="BU384" s="2" t="n">
        <v>23.928</v>
      </c>
      <c r="BV384" s="2" t="inlineStr">
        <is>
          <t>NA</t>
        </is>
      </c>
      <c r="BW384" s="2" t="inlineStr">
        <is>
          <t>NA</t>
        </is>
      </c>
      <c r="BX384" s="2" t="n">
        <v>389.383</v>
      </c>
      <c r="BY384" s="2" t="inlineStr">
        <is>
          <t>NA</t>
        </is>
      </c>
      <c r="BZ384" s="2" t="inlineStr">
        <is>
          <t>NA</t>
        </is>
      </c>
      <c r="CA384" s="2" t="n">
        <v>69.825</v>
      </c>
      <c r="CB384" s="2" t="n">
        <v>120.54</v>
      </c>
      <c r="CC384" s="2" t="n">
        <v>33.173</v>
      </c>
      <c r="CD384" s="2" t="n">
        <v>132.75</v>
      </c>
      <c r="CE384" s="2" t="n">
        <v>19.248</v>
      </c>
      <c r="CF384" s="2" t="n">
        <v>114.631</v>
      </c>
      <c r="CG384" s="2" t="n">
        <v>103.484</v>
      </c>
      <c r="CH384" s="2" t="n">
        <v>7.309</v>
      </c>
      <c r="CI384" s="2" t="n">
        <v>27.395</v>
      </c>
      <c r="CJ384" s="2" t="n">
        <v>6.648</v>
      </c>
      <c r="CK384" s="2" t="n">
        <v>133.871</v>
      </c>
      <c r="CL384" s="2" t="n">
        <v>18.095</v>
      </c>
      <c r="CN384" s="2" t="e">
        <v>#VALUE!</v>
      </c>
      <c r="CO384" s="2" t="n">
        <v>190.91</v>
      </c>
      <c r="CP384" s="2" t="n">
        <v>131.987</v>
      </c>
      <c r="CQ384" s="2" t="n">
        <v>58.923</v>
      </c>
      <c r="CR384" s="2" t="inlineStr">
        <is>
          <t>NA</t>
        </is>
      </c>
      <c r="CS384" s="2" t="n">
        <v>29.316</v>
      </c>
      <c r="CT384" s="2" t="n">
        <v>36.749</v>
      </c>
      <c r="CU384" s="2" t="n">
        <v>3.666</v>
      </c>
      <c r="CV384" s="2" t="n">
        <v>334.466</v>
      </c>
      <c r="CW384" s="2" t="n">
        <v>42.755</v>
      </c>
      <c r="CX384" s="2" t="n">
        <v>291.711</v>
      </c>
      <c r="CY384" s="2" t="n">
        <v>20.33</v>
      </c>
      <c r="CZ384" s="2" t="n">
        <v>88.937</v>
      </c>
      <c r="DA384" s="2" t="n">
        <v>13.507</v>
      </c>
      <c r="DB384" s="2" t="e">
        <v>#VALUE!</v>
      </c>
      <c r="DC384" s="2" t="e">
        <v>#VALUE!</v>
      </c>
      <c r="DI384" s="2" t="n">
        <v>499.487</v>
      </c>
      <c r="DJ384" s="2" t="n">
        <v>489.819</v>
      </c>
      <c r="DK384" s="2" t="n">
        <v>842.289</v>
      </c>
      <c r="DM384" s="2" t="n">
        <v>511.189</v>
      </c>
      <c r="DO384" s="2" t="e">
        <v>#VALUE!</v>
      </c>
      <c r="DP384" s="2" t="e">
        <v>#VALUE!</v>
      </c>
      <c r="DS384" s="2" t="n">
        <v>1180.624</v>
      </c>
      <c r="DT384" s="2" t="n">
        <v>3886.881</v>
      </c>
      <c r="DU384" s="2" t="e">
        <v>#VALUE!</v>
      </c>
      <c r="DV384" s="2" t="n">
        <v>0</v>
      </c>
      <c r="EA384" s="2" t="n">
        <v>250.517</v>
      </c>
      <c r="EB384" s="2" t="n">
        <v>338.097</v>
      </c>
      <c r="EC384" s="2" t="n">
        <v>441.568</v>
      </c>
      <c r="EE384" s="2" t="n">
        <v>208.705</v>
      </c>
      <c r="EG384" s="2" t="n">
        <v>129.19</v>
      </c>
      <c r="EH384" s="2" t="n">
        <v>133.17</v>
      </c>
      <c r="EK384" s="2" t="n">
        <v>713.967</v>
      </c>
      <c r="EL384" s="2" t="n">
        <v>2215.214</v>
      </c>
      <c r="EQ384" s="2" t="n">
        <v>198.376</v>
      </c>
      <c r="ER384" s="2" t="n">
        <v>188.844</v>
      </c>
      <c r="ES384" s="2" t="n">
        <v>320.538</v>
      </c>
      <c r="EU384" s="2" t="n">
        <v>201.466</v>
      </c>
      <c r="EW384" s="2" t="e">
        <v>#VALUE!</v>
      </c>
      <c r="EX384" s="2" t="e">
        <v>#VALUE!</v>
      </c>
      <c r="FA384" s="2" t="n">
        <v>455.9</v>
      </c>
      <c r="FB384" s="2" t="n">
        <v>1504.674</v>
      </c>
      <c r="FG384" s="2" t="n">
        <v>399.076</v>
      </c>
      <c r="FH384" s="2" t="n">
        <v>393.998</v>
      </c>
      <c r="FI384" s="2" t="n">
        <v>665.146</v>
      </c>
      <c r="FK384" s="2" t="n">
        <v>406.206</v>
      </c>
      <c r="FM384" s="2" t="e">
        <v>#VALUE!</v>
      </c>
      <c r="FN384" s="2" t="e">
        <v>#VALUE!</v>
      </c>
      <c r="FQ384" s="2" t="n">
        <v>948.478</v>
      </c>
      <c r="FR384" s="2" t="n">
        <v>3104.978</v>
      </c>
      <c r="FW384" s="2" t="n">
        <v>324.59</v>
      </c>
      <c r="FX384" s="2" t="n">
        <v>99.996</v>
      </c>
      <c r="FY384" s="2" t="n">
        <v>229.95</v>
      </c>
      <c r="GA384" s="2" t="n">
        <v>136.346</v>
      </c>
      <c r="GC384" s="2" t="e">
        <v>#VALUE!</v>
      </c>
      <c r="GD384" s="2" t="e">
        <v>#VALUE!</v>
      </c>
      <c r="GG384" s="2" t="n">
        <v>524.417</v>
      </c>
      <c r="GH384" s="2" t="n">
        <v>1411.365</v>
      </c>
      <c r="GM384" s="2" t="n">
        <v>91.81999999999999</v>
      </c>
      <c r="GN384" s="2" t="n">
        <v>73.95399999999999</v>
      </c>
      <c r="GO384" s="2" t="n">
        <v>70.795</v>
      </c>
      <c r="GQ384" s="2" t="n">
        <v>55.496</v>
      </c>
      <c r="GS384" s="2" t="n">
        <v>17.695</v>
      </c>
      <c r="GT384" s="2" t="n">
        <v>4.88</v>
      </c>
      <c r="GW384" s="2" t="n">
        <v>107.776</v>
      </c>
      <c r="GX384" s="2" t="n">
        <v>422.416</v>
      </c>
      <c r="GY384" s="2" t="n">
        <v>0.9844509965985313</v>
      </c>
      <c r="GZ384" s="2" t="n">
        <v>1238.715</v>
      </c>
      <c r="HA384" s="2" t="n">
        <v>1258.28</v>
      </c>
      <c r="HB384" s="2" t="n">
        <v>-87.49425600420045</v>
      </c>
      <c r="HC384" s="2" t="n">
        <v>145.6556988659991</v>
      </c>
      <c r="HD384" s="2" t="n">
        <v>1421.1667439958</v>
      </c>
      <c r="HE384" s="2" t="n">
        <v>236.4721400000001</v>
      </c>
      <c r="HF384" s="2" t="n">
        <v>1508.661</v>
      </c>
      <c r="HG384" s="2" t="n">
        <v>1144.053</v>
      </c>
      <c r="HH384" s="2" t="n">
        <v>278.223</v>
      </c>
      <c r="HI384" s="2" t="e">
        <v>#VALUE!</v>
      </c>
      <c r="HJ384" s="2" t="n">
        <v>813.825</v>
      </c>
      <c r="HK384" s="2" t="e">
        <v>#VALUE!</v>
      </c>
      <c r="HL384" s="2" t="n">
        <v>364.608</v>
      </c>
      <c r="HM384" s="2" t="n">
        <v>342.924</v>
      </c>
      <c r="HN384" s="2" t="n">
        <v>193.626</v>
      </c>
      <c r="HO384" s="2" t="n">
        <v>149.298</v>
      </c>
      <c r="HP384" s="2" t="e">
        <v>#VALUE!</v>
      </c>
      <c r="HQ384" s="2" t="e">
        <v>#VALUE!</v>
      </c>
      <c r="HR384" s="2" t="e">
        <v>#VALUE!</v>
      </c>
      <c r="HS384" s="2" t="e">
        <v>#VALUE!</v>
      </c>
      <c r="HT384" s="2" t="n">
        <v>5.135</v>
      </c>
      <c r="HY384" s="2" t="n">
        <v>294.676</v>
      </c>
      <c r="HZ384" s="2" t="n">
        <v>45</v>
      </c>
      <c r="IA384" s="2" t="n">
        <v>148.133</v>
      </c>
      <c r="IB384" s="2" t="n">
        <v>18.744</v>
      </c>
      <c r="IC384" s="2" t="n">
        <v>129.388</v>
      </c>
      <c r="ID384" s="2" t="n">
        <v>101.664</v>
      </c>
      <c r="IE384" s="2" t="n">
        <v>27.724</v>
      </c>
      <c r="IF384" s="2" t="e">
        <v>#VALUE!</v>
      </c>
      <c r="IG384" s="2" t="e">
        <v>#VALUE!</v>
      </c>
      <c r="IH384" s="2" t="n">
        <v>89.373</v>
      </c>
      <c r="II384" s="2" t="n">
        <v>14.864</v>
      </c>
      <c r="IJ384" s="2" t="n">
        <v>46.386</v>
      </c>
      <c r="IK384" s="2" t="n">
        <v>28.123</v>
      </c>
      <c r="IL384" s="2" t="n">
        <v>12.16999999999997</v>
      </c>
      <c r="IN384" s="2" t="n">
        <v>45.613</v>
      </c>
      <c r="IO384" s="2" t="n">
        <v>45.63</v>
      </c>
      <c r="IP384" s="2" t="e">
        <v>#VALUE!</v>
      </c>
      <c r="IQ384" s="2" t="n">
        <v>59.486</v>
      </c>
      <c r="IR384" s="2" t="e">
        <v>#VALUE!</v>
      </c>
      <c r="IS384" s="2" t="e">
        <v>#VALUE!</v>
      </c>
      <c r="IT384" s="2" t="e">
        <v>#VALUE!</v>
      </c>
      <c r="IU384" s="2" t="e">
        <v>#VALUE!</v>
      </c>
      <c r="IV384" s="2" t="e">
        <v>#VALUE!</v>
      </c>
      <c r="IW384" s="2" t="e">
        <v>#VALUE!</v>
      </c>
      <c r="IY384" s="2" t="n">
        <v>47.80780270864994</v>
      </c>
      <c r="IZ384" s="2" t="n">
        <v>0.04780270864993952</v>
      </c>
      <c r="JA384" s="2" t="n">
        <v>0.1042149870653127</v>
      </c>
      <c r="JB384" s="2" t="n">
        <v>11.6134813491846</v>
      </c>
      <c r="JC384" s="2" t="n">
        <v>-0.06651865081539654</v>
      </c>
      <c r="JD384" s="2" t="n">
        <v>-0.06872344880340844</v>
      </c>
      <c r="JE384" s="2" t="n">
        <v>3128.851</v>
      </c>
      <c r="JF384" s="2" t="n">
        <v>0.8086067377449422</v>
      </c>
      <c r="JG384" s="2" t="n">
        <v>0.805262316123018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Tore Alden</dc:creator>
  <dcterms:created xmlns:dcterms="http://purl.org/dc/terms/" xmlns:xsi="http://www.w3.org/2001/XMLSchema-instance" xsi:type="dcterms:W3CDTF">2026-02-10T12:08:01Z</dcterms:created>
  <dcterms:modified xmlns:dcterms="http://purl.org/dc/terms/" xmlns:xsi="http://www.w3.org/2001/XMLSchema-instance" xsi:type="dcterms:W3CDTF">2026-04-09T10:23:34Z</dcterms:modified>
  <cp:lastModifiedBy>Tore Alden</cp:lastModifiedBy>
</cp:coreProperties>
</file>