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il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b val="1"/>
      <color rgb="001F4E79"/>
      <sz val="11"/>
    </font>
    <font>
      <name val="Calibr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4" fontId="4" fillId="3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4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US FOSSIL FUEL COMPLEX</t>
        </is>
      </c>
    </row>
    <row r="2">
      <c r="A2" s="2" t="inlineStr">
        <is>
          <t>US DISTILLATE FUEL OIL SUPPLY AND DEMAND (Million Gallons)</t>
        </is>
      </c>
    </row>
    <row r="3">
      <c r="B3" s="3" t="n">
        <v>2001</v>
      </c>
      <c r="C3" s="3" t="n">
        <v>2002</v>
      </c>
      <c r="D3" s="3" t="n">
        <v>2003</v>
      </c>
      <c r="E3" s="3" t="n">
        <v>2004</v>
      </c>
      <c r="F3" s="3" t="n">
        <v>2005</v>
      </c>
      <c r="G3" s="3" t="n">
        <v>2006</v>
      </c>
      <c r="H3" s="3" t="n">
        <v>2007</v>
      </c>
      <c r="I3" s="3" t="n">
        <v>2008</v>
      </c>
      <c r="J3" s="3" t="n">
        <v>2009</v>
      </c>
      <c r="K3" s="3" t="n">
        <v>2010</v>
      </c>
      <c r="L3" s="3" t="n">
        <v>2011</v>
      </c>
      <c r="M3" s="3" t="n">
        <v>2012</v>
      </c>
      <c r="N3" s="3" t="n">
        <v>2013</v>
      </c>
      <c r="O3" s="3" t="n">
        <v>2014</v>
      </c>
      <c r="P3" s="3" t="n">
        <v>2015</v>
      </c>
      <c r="Q3" s="3" t="n">
        <v>2016</v>
      </c>
      <c r="R3" s="3" t="n">
        <v>2017</v>
      </c>
      <c r="S3" s="3" t="n">
        <v>2018</v>
      </c>
      <c r="T3" s="3" t="n">
        <v>2019</v>
      </c>
      <c r="U3" s="3" t="n">
        <v>2020</v>
      </c>
      <c r="V3" s="3" t="n">
        <v>2021</v>
      </c>
      <c r="W3" s="3" t="n">
        <v>2022</v>
      </c>
      <c r="X3" s="3" t="n">
        <v>2023</v>
      </c>
      <c r="Y3" s="3" t="n">
        <v>2024</v>
      </c>
      <c r="Z3" s="3" t="n">
        <v>2025</v>
      </c>
      <c r="AA3" s="3" t="n">
        <v>2026</v>
      </c>
      <c r="AB3" s="3" t="n">
        <v>2027</v>
      </c>
      <c r="AC3" s="3" t="n">
        <v>2028</v>
      </c>
      <c r="AD3" s="3" t="n">
        <v>2029</v>
      </c>
      <c r="AE3" s="3" t="n">
        <v>2030</v>
      </c>
    </row>
    <row r="5">
      <c r="A5" s="4" t="inlineStr">
        <is>
          <t>Beginning Stocks</t>
        </is>
      </c>
      <c r="B5" s="5" t="n"/>
      <c r="C5" s="6" t="n">
        <v>6069.55</v>
      </c>
      <c r="D5" s="6" t="n">
        <v>5631.57</v>
      </c>
      <c r="E5" s="6" t="n">
        <v>5734.76</v>
      </c>
      <c r="F5" s="6" t="n">
        <v>5303.42</v>
      </c>
      <c r="G5" s="6" t="n">
        <v>5712.92</v>
      </c>
      <c r="H5" s="6" t="n">
        <v>6033.34</v>
      </c>
      <c r="I5" s="6" t="n">
        <v>5625.65</v>
      </c>
      <c r="J5" s="6" t="n">
        <v>6132.55</v>
      </c>
      <c r="K5" s="6" t="n">
        <v>6970.49</v>
      </c>
      <c r="L5" s="6" t="n">
        <v>6900.85</v>
      </c>
      <c r="M5" s="6" t="n">
        <v>6266.9</v>
      </c>
      <c r="N5" s="6" t="n">
        <v>5661.98</v>
      </c>
      <c r="O5" s="6" t="n">
        <v>5356.81</v>
      </c>
      <c r="P5" s="6" t="n">
        <v>5724.01</v>
      </c>
      <c r="Q5" s="6" t="n">
        <v>6775.69</v>
      </c>
      <c r="R5" s="6" t="n">
        <v>6975.99</v>
      </c>
      <c r="S5" s="6" t="n">
        <v>6116.8</v>
      </c>
      <c r="T5" s="6" t="n">
        <v>5886.8</v>
      </c>
      <c r="U5" s="6" t="n">
        <v>5883.49</v>
      </c>
      <c r="V5" s="6" t="n">
        <v>6769.9</v>
      </c>
      <c r="W5" s="6" t="n">
        <v>5461.64</v>
      </c>
      <c r="X5" s="6" t="n">
        <v>4993.76</v>
      </c>
      <c r="Y5" s="6" t="n">
        <v>5489.95</v>
      </c>
      <c r="Z5" s="6" t="n">
        <v>5950</v>
      </c>
      <c r="AA5" s="6" t="n">
        <v>5950</v>
      </c>
      <c r="AB5" s="6" t="n">
        <v>5950</v>
      </c>
      <c r="AC5" s="6" t="n">
        <v>5950</v>
      </c>
      <c r="AD5" s="6" t="n">
        <v>5900</v>
      </c>
      <c r="AE5" s="6" t="n">
        <v>5900</v>
      </c>
    </row>
    <row r="6">
      <c r="A6" s="7" t="inlineStr">
        <is>
          <t>Production</t>
        </is>
      </c>
      <c r="L6" s="8" t="n">
        <v>68863.45</v>
      </c>
      <c r="M6" s="8" t="n">
        <v>69940.75</v>
      </c>
      <c r="N6" s="8" t="n">
        <v>72554.71000000001</v>
      </c>
      <c r="O6" s="8" t="n">
        <v>75366.19</v>
      </c>
      <c r="P6" s="8" t="n">
        <v>76388.75999999999</v>
      </c>
      <c r="Q6" s="8" t="n">
        <v>74312.07000000001</v>
      </c>
      <c r="R6" s="8" t="n">
        <v>77022.92</v>
      </c>
      <c r="S6" s="8" t="n">
        <v>79226.32000000001</v>
      </c>
      <c r="T6" s="8" t="n">
        <v>78750.63</v>
      </c>
      <c r="U6" s="8" t="n">
        <v>72826.24000000001</v>
      </c>
      <c r="V6" s="8" t="n">
        <v>71554.89999999999</v>
      </c>
      <c r="W6" s="8" t="n">
        <v>76816.36</v>
      </c>
      <c r="X6" s="8" t="n">
        <v>75221.53999999999</v>
      </c>
      <c r="Y6" s="8" t="n">
        <v>75600</v>
      </c>
      <c r="Z6" s="8" t="n">
        <v>77100</v>
      </c>
      <c r="AA6" s="8" t="n">
        <v>78300</v>
      </c>
      <c r="AB6" s="8" t="n">
        <v>79100</v>
      </c>
      <c r="AC6" s="8" t="n">
        <v>79500</v>
      </c>
      <c r="AD6" s="8" t="n">
        <v>79700</v>
      </c>
      <c r="AE6" s="8" t="n">
        <v>80100</v>
      </c>
    </row>
    <row r="7">
      <c r="A7" s="4" t="inlineStr">
        <is>
          <t>Imports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6" t="n">
        <v>2739.83</v>
      </c>
      <c r="M7" s="6" t="n">
        <v>1939.52</v>
      </c>
      <c r="N7" s="6" t="n">
        <v>2371.53</v>
      </c>
      <c r="O7" s="6" t="n">
        <v>2984.1</v>
      </c>
      <c r="P7" s="6" t="n">
        <v>3073.48</v>
      </c>
      <c r="Q7" s="6" t="n">
        <v>2252.96</v>
      </c>
      <c r="R7" s="6" t="n">
        <v>2308.95</v>
      </c>
      <c r="S7" s="6" t="n">
        <v>2678.3</v>
      </c>
      <c r="T7" s="6" t="n">
        <v>3103.21</v>
      </c>
      <c r="U7" s="6" t="n">
        <v>3351.14</v>
      </c>
      <c r="V7" s="6" t="n">
        <v>4421</v>
      </c>
      <c r="W7" s="6" t="n">
        <v>2882.38</v>
      </c>
      <c r="X7" s="6" t="n">
        <v>2573.38</v>
      </c>
      <c r="Y7" s="6" t="n">
        <v>2500</v>
      </c>
      <c r="Z7" s="6" t="n">
        <v>2750</v>
      </c>
      <c r="AA7" s="6" t="n">
        <v>3000</v>
      </c>
      <c r="AB7" s="6" t="n">
        <v>3250</v>
      </c>
      <c r="AC7" s="6" t="n">
        <v>3500</v>
      </c>
      <c r="AD7" s="6" t="n">
        <v>3750</v>
      </c>
      <c r="AE7" s="6" t="n">
        <v>4000</v>
      </c>
    </row>
    <row r="8">
      <c r="A8" s="9" t="inlineStr">
        <is>
          <t>Total Supply</t>
        </is>
      </c>
      <c r="B8" s="10">
        <f>B5+B6+B7</f>
        <v/>
      </c>
      <c r="C8" s="10">
        <f>C5+C6+C7</f>
        <v/>
      </c>
      <c r="D8" s="10">
        <f>D5+D6+D7</f>
        <v/>
      </c>
      <c r="E8" s="10">
        <f>E5+E6+E7</f>
        <v/>
      </c>
      <c r="F8" s="10">
        <f>F5+F6+F7</f>
        <v/>
      </c>
      <c r="G8" s="10">
        <f>G5+G6+G7</f>
        <v/>
      </c>
      <c r="H8" s="10">
        <f>H5+H6+H7</f>
        <v/>
      </c>
      <c r="I8" s="10">
        <f>I5+I6+I7</f>
        <v/>
      </c>
      <c r="J8" s="10">
        <f>J5+J6+J7</f>
        <v/>
      </c>
      <c r="K8" s="10">
        <f>K5+K6+K7</f>
        <v/>
      </c>
      <c r="L8" s="10">
        <f>L5+L6+L7</f>
        <v/>
      </c>
      <c r="M8" s="10">
        <f>M5+M6+M7</f>
        <v/>
      </c>
      <c r="N8" s="10">
        <f>N5+N6+N7</f>
        <v/>
      </c>
      <c r="O8" s="10">
        <f>O5+O6+O7</f>
        <v/>
      </c>
      <c r="P8" s="10">
        <f>P5+P6+P7</f>
        <v/>
      </c>
      <c r="Q8" s="10">
        <f>Q5+Q6+Q7</f>
        <v/>
      </c>
      <c r="R8" s="10">
        <f>R5+R6+R7</f>
        <v/>
      </c>
      <c r="S8" s="10">
        <f>S5+S6+S7</f>
        <v/>
      </c>
      <c r="T8" s="10">
        <f>T5+T6+T7</f>
        <v/>
      </c>
      <c r="U8" s="10">
        <f>U5+U6+U7</f>
        <v/>
      </c>
      <c r="V8" s="10">
        <f>V5+V6+V7</f>
        <v/>
      </c>
      <c r="W8" s="10">
        <f>W5+W6+W7</f>
        <v/>
      </c>
      <c r="X8" s="10">
        <f>X5+X6+X7</f>
        <v/>
      </c>
      <c r="Y8" s="10">
        <f>Y5+Y6+Y7</f>
        <v/>
      </c>
      <c r="Z8" s="10">
        <f>Z5+Z6+Z7</f>
        <v/>
      </c>
      <c r="AA8" s="10">
        <f>AA5+AA6+AA7</f>
        <v/>
      </c>
      <c r="AB8" s="10">
        <f>AB5+AB6+AB7</f>
        <v/>
      </c>
      <c r="AC8" s="10">
        <f>AC5+AC6+AC7</f>
        <v/>
      </c>
      <c r="AD8" s="10">
        <f>AD5+AD6+AD7</f>
        <v/>
      </c>
      <c r="AE8" s="10">
        <f>AE5+AE6+AE7</f>
        <v/>
      </c>
    </row>
    <row r="10">
      <c r="A10" s="7" t="inlineStr">
        <is>
          <t>Domestic Consumption</t>
        </is>
      </c>
      <c r="S10" s="8" t="n">
        <v>58529.1</v>
      </c>
      <c r="T10" s="8" t="n">
        <v>58320.36</v>
      </c>
      <c r="U10" s="8" t="n">
        <v>54044.76</v>
      </c>
      <c r="V10" s="8" t="n">
        <v>56582.4</v>
      </c>
      <c r="W10" s="8" t="n">
        <v>57159.9</v>
      </c>
      <c r="X10" s="8" t="n">
        <v>56100.24</v>
      </c>
      <c r="Y10" s="8" t="n">
        <v>40042.9</v>
      </c>
      <c r="Z10" s="8" t="n">
        <v>41280.31</v>
      </c>
      <c r="AA10" s="8" t="n">
        <v>42092.17</v>
      </c>
      <c r="AB10" s="8" t="n">
        <v>42680.07</v>
      </c>
      <c r="AC10" s="8" t="n">
        <v>43044.01</v>
      </c>
      <c r="AD10" s="8" t="n">
        <v>43267.97</v>
      </c>
      <c r="AE10" s="8" t="n">
        <v>43663.53</v>
      </c>
    </row>
    <row r="11">
      <c r="A11" s="4" t="inlineStr">
        <is>
          <t>Exports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6" t="n">
        <v>0</v>
      </c>
      <c r="M11" s="6" t="n">
        <v>362.27</v>
      </c>
      <c r="N11" s="6" t="n">
        <v>573.67</v>
      </c>
      <c r="O11" s="6" t="n">
        <v>399.69</v>
      </c>
      <c r="P11" s="6" t="n">
        <v>524.35</v>
      </c>
      <c r="Q11" s="6" t="n">
        <v>827.77</v>
      </c>
      <c r="R11" s="6" t="n">
        <v>1226.4</v>
      </c>
      <c r="S11" s="6" t="n">
        <v>19753.99</v>
      </c>
      <c r="T11" s="6" t="n">
        <v>20019.51</v>
      </c>
      <c r="U11" s="6" t="n">
        <v>18242.78</v>
      </c>
      <c r="V11" s="6" t="n">
        <v>16393.94</v>
      </c>
      <c r="W11" s="6" t="n">
        <v>18455.3</v>
      </c>
      <c r="X11" s="6" t="n">
        <v>17002.27</v>
      </c>
      <c r="Y11" s="6" t="n">
        <v>18000</v>
      </c>
      <c r="Z11" s="6" t="n">
        <v>1000</v>
      </c>
      <c r="AA11" s="6" t="n">
        <v>12453.2</v>
      </c>
      <c r="AB11" s="6" t="n">
        <v>15039.94</v>
      </c>
      <c r="AC11" s="6" t="n">
        <v>16242.8</v>
      </c>
      <c r="AD11" s="6" t="n">
        <v>16304.56</v>
      </c>
      <c r="AE11" s="6" t="n">
        <v>16719.39</v>
      </c>
    </row>
    <row r="12">
      <c r="A12" s="9" t="inlineStr">
        <is>
          <t>Total Use</t>
        </is>
      </c>
      <c r="B12" s="10">
        <f>B10+B11</f>
        <v/>
      </c>
      <c r="C12" s="10">
        <f>C10+C11</f>
        <v/>
      </c>
      <c r="D12" s="10">
        <f>D10+D11</f>
        <v/>
      </c>
      <c r="E12" s="10">
        <f>E10+E11</f>
        <v/>
      </c>
      <c r="F12" s="10">
        <f>F10+F11</f>
        <v/>
      </c>
      <c r="G12" s="10">
        <f>G10+G11</f>
        <v/>
      </c>
      <c r="H12" s="10">
        <f>H10+H11</f>
        <v/>
      </c>
      <c r="I12" s="10">
        <f>I10+I11</f>
        <v/>
      </c>
      <c r="J12" s="10">
        <f>J10+J11</f>
        <v/>
      </c>
      <c r="K12" s="10">
        <f>K10+K11</f>
        <v/>
      </c>
      <c r="L12" s="10">
        <f>L10+L11</f>
        <v/>
      </c>
      <c r="M12" s="10">
        <f>M10+M11</f>
        <v/>
      </c>
      <c r="N12" s="10">
        <f>N10+N11</f>
        <v/>
      </c>
      <c r="O12" s="10">
        <f>O10+O11</f>
        <v/>
      </c>
      <c r="P12" s="10">
        <f>P10+P11</f>
        <v/>
      </c>
      <c r="Q12" s="10">
        <f>Q10+Q11</f>
        <v/>
      </c>
      <c r="R12" s="10">
        <f>R10+R11</f>
        <v/>
      </c>
      <c r="S12" s="10">
        <f>S10+S11</f>
        <v/>
      </c>
      <c r="T12" s="10">
        <f>T10+T11</f>
        <v/>
      </c>
      <c r="U12" s="10">
        <f>U10+U11</f>
        <v/>
      </c>
      <c r="V12" s="10">
        <f>V10+V11</f>
        <v/>
      </c>
      <c r="W12" s="10">
        <f>W10+W11</f>
        <v/>
      </c>
      <c r="X12" s="10">
        <f>X10+X11</f>
        <v/>
      </c>
      <c r="Y12" s="10">
        <f>Y10+Y11</f>
        <v/>
      </c>
      <c r="Z12" s="10">
        <f>Z10+Z11</f>
        <v/>
      </c>
      <c r="AA12" s="10">
        <f>AA10+AA11</f>
        <v/>
      </c>
      <c r="AB12" s="10">
        <f>AB10+AB11</f>
        <v/>
      </c>
      <c r="AC12" s="10">
        <f>AC10+AC11</f>
        <v/>
      </c>
      <c r="AD12" s="10">
        <f>AD10+AD11</f>
        <v/>
      </c>
      <c r="AE12" s="10">
        <f>AE10+AE11</f>
        <v/>
      </c>
    </row>
    <row r="14">
      <c r="A14" s="9" t="inlineStr">
        <is>
          <t>Ending Stocks</t>
        </is>
      </c>
      <c r="B14" s="10">
        <f>B8-B12</f>
        <v/>
      </c>
      <c r="C14" s="10">
        <f>C8-C12</f>
        <v/>
      </c>
      <c r="D14" s="10">
        <f>D8-D12</f>
        <v/>
      </c>
      <c r="E14" s="10">
        <f>E8-E12</f>
        <v/>
      </c>
      <c r="F14" s="10">
        <f>F8-F12</f>
        <v/>
      </c>
      <c r="G14" s="10">
        <f>G8-G12</f>
        <v/>
      </c>
      <c r="H14" s="10">
        <f>H8-H12</f>
        <v/>
      </c>
      <c r="I14" s="10">
        <f>I8-I12</f>
        <v/>
      </c>
      <c r="J14" s="10">
        <f>J8-J12</f>
        <v/>
      </c>
      <c r="K14" s="10">
        <f>K8-K12</f>
        <v/>
      </c>
      <c r="L14" s="10">
        <f>L8-L12</f>
        <v/>
      </c>
      <c r="M14" s="10">
        <f>M8-M12</f>
        <v/>
      </c>
      <c r="N14" s="10">
        <f>N8-N12</f>
        <v/>
      </c>
      <c r="O14" s="10">
        <f>O8-O12</f>
        <v/>
      </c>
      <c r="P14" s="10">
        <f>P8-P12</f>
        <v/>
      </c>
      <c r="Q14" s="10">
        <f>Q8-Q12</f>
        <v/>
      </c>
      <c r="R14" s="10">
        <f>R8-R12</f>
        <v/>
      </c>
      <c r="S14" s="10">
        <f>S8-S12</f>
        <v/>
      </c>
      <c r="T14" s="10">
        <f>T8-T12</f>
        <v/>
      </c>
      <c r="U14" s="10">
        <f>U8-U12</f>
        <v/>
      </c>
      <c r="V14" s="10">
        <f>V8-V12</f>
        <v/>
      </c>
      <c r="W14" s="10">
        <f>W8-W12</f>
        <v/>
      </c>
      <c r="X14" s="10">
        <f>X8-X12</f>
        <v/>
      </c>
      <c r="Y14" s="10">
        <f>Y8-Y12</f>
        <v/>
      </c>
      <c r="Z14" s="10">
        <f>Z8-Z12</f>
        <v/>
      </c>
      <c r="AA14" s="10">
        <f>AA8-AA12</f>
        <v/>
      </c>
      <c r="AB14" s="10">
        <f>AB8-AB12</f>
        <v/>
      </c>
      <c r="AC14" s="10">
        <f>AC8-AC12</f>
        <v/>
      </c>
      <c r="AD14" s="10">
        <f>AD8-AD12</f>
        <v/>
      </c>
      <c r="AE14" s="10">
        <f>AE8-AE12</f>
        <v/>
      </c>
    </row>
    <row r="15">
      <c r="A15" s="9" t="inlineStr">
        <is>
          <t>Stocks/Use Ratio</t>
        </is>
      </c>
      <c r="B15" s="10">
        <f>IF(B12&gt;0,B14/B12,"")</f>
        <v/>
      </c>
      <c r="C15" s="10">
        <f>IF(C12&gt;0,C14/C12,"")</f>
        <v/>
      </c>
      <c r="D15" s="10">
        <f>IF(D12&gt;0,D14/D12,"")</f>
        <v/>
      </c>
      <c r="E15" s="10">
        <f>IF(E12&gt;0,E14/E12,"")</f>
        <v/>
      </c>
      <c r="F15" s="10">
        <f>IF(F12&gt;0,F14/F12,"")</f>
        <v/>
      </c>
      <c r="G15" s="10">
        <f>IF(G12&gt;0,G14/G12,"")</f>
        <v/>
      </c>
      <c r="H15" s="10">
        <f>IF(H12&gt;0,H14/H12,"")</f>
        <v/>
      </c>
      <c r="I15" s="10">
        <f>IF(I12&gt;0,I14/I12,"")</f>
        <v/>
      </c>
      <c r="J15" s="10">
        <f>IF(J12&gt;0,J14/J12,"")</f>
        <v/>
      </c>
      <c r="K15" s="10">
        <f>IF(K12&gt;0,K14/K12,"")</f>
        <v/>
      </c>
      <c r="L15" s="10">
        <f>IF(L12&gt;0,L14/L12,"")</f>
        <v/>
      </c>
      <c r="M15" s="10">
        <f>IF(M12&gt;0,M14/M12,"")</f>
        <v/>
      </c>
      <c r="N15" s="10">
        <f>IF(N12&gt;0,N14/N12,"")</f>
        <v/>
      </c>
      <c r="O15" s="10">
        <f>IF(O12&gt;0,O14/O12,"")</f>
        <v/>
      </c>
      <c r="P15" s="10">
        <f>IF(P12&gt;0,P14/P12,"")</f>
        <v/>
      </c>
      <c r="Q15" s="10">
        <f>IF(Q12&gt;0,Q14/Q12,"")</f>
        <v/>
      </c>
      <c r="R15" s="10">
        <f>IF(R12&gt;0,R14/R12,"")</f>
        <v/>
      </c>
      <c r="S15" s="10">
        <f>IF(S12&gt;0,S14/S12,"")</f>
        <v/>
      </c>
      <c r="T15" s="10">
        <f>IF(T12&gt;0,T14/T12,"")</f>
        <v/>
      </c>
      <c r="U15" s="10">
        <f>IF(U12&gt;0,U14/U12,"")</f>
        <v/>
      </c>
      <c r="V15" s="10">
        <f>IF(V12&gt;0,V14/V12,"")</f>
        <v/>
      </c>
      <c r="W15" s="10">
        <f>IF(W12&gt;0,W14/W12,"")</f>
        <v/>
      </c>
      <c r="X15" s="10">
        <f>IF(X12&gt;0,X14/X12,"")</f>
        <v/>
      </c>
      <c r="Y15" s="10">
        <f>IF(Y12&gt;0,Y14/Y12,"")</f>
        <v/>
      </c>
      <c r="Z15" s="10">
        <f>IF(Z12&gt;0,Z14/Z12,"")</f>
        <v/>
      </c>
      <c r="AA15" s="10">
        <f>IF(AA12&gt;0,AA14/AA12,"")</f>
        <v/>
      </c>
      <c r="AB15" s="10">
        <f>IF(AB12&gt;0,AB14/AB12,"")</f>
        <v/>
      </c>
      <c r="AC15" s="10">
        <f>IF(AC12&gt;0,AC14/AC12,"")</f>
        <v/>
      </c>
      <c r="AD15" s="10">
        <f>IF(AD12&gt;0,AD14/AD12,"")</f>
        <v/>
      </c>
      <c r="AE15" s="10">
        <f>IF(AE12&gt;0,AE14/AE12,"")</f>
        <v/>
      </c>
    </row>
    <row r="16">
      <c r="A16" s="7" t="inlineStr">
        <is>
          <t>Average Price ($/gal)</t>
        </is>
      </c>
    </row>
    <row r="18">
      <c r="A18" s="11" t="inlineStr">
        <is>
          <t>Bold, green numbers in shaded cells are RLC forecasts and estimates.</t>
        </is>
      </c>
    </row>
    <row r="20">
      <c r="A20" s="12" t="inlineStr">
        <is>
          <t>US DISTILLATE PRODUCTION</t>
        </is>
      </c>
    </row>
    <row r="21">
      <c r="A21" s="13" t="inlineStr">
        <is>
          <t>(million gallons)</t>
        </is>
      </c>
      <c r="B21" s="3" t="n">
        <v>2001</v>
      </c>
      <c r="C21" s="3" t="n">
        <v>2002</v>
      </c>
      <c r="D21" s="3" t="n">
        <v>2003</v>
      </c>
      <c r="E21" s="3" t="n">
        <v>2004</v>
      </c>
      <c r="F21" s="3" t="n">
        <v>2005</v>
      </c>
      <c r="G21" s="3" t="n">
        <v>2006</v>
      </c>
      <c r="H21" s="3" t="n">
        <v>2007</v>
      </c>
      <c r="I21" s="3" t="n">
        <v>2008</v>
      </c>
      <c r="J21" s="3" t="n">
        <v>2009</v>
      </c>
      <c r="K21" s="3" t="n">
        <v>2010</v>
      </c>
      <c r="L21" s="3" t="n">
        <v>2011</v>
      </c>
      <c r="M21" s="3" t="n">
        <v>2012</v>
      </c>
      <c r="N21" s="3" t="n">
        <v>2013</v>
      </c>
      <c r="O21" s="3" t="n">
        <v>2014</v>
      </c>
      <c r="P21" s="3" t="n">
        <v>2015</v>
      </c>
      <c r="Q21" s="3" t="n">
        <v>2016</v>
      </c>
      <c r="R21" s="3" t="n">
        <v>2017</v>
      </c>
      <c r="S21" s="3" t="n">
        <v>2018</v>
      </c>
      <c r="T21" s="3" t="n">
        <v>2019</v>
      </c>
      <c r="U21" s="3" t="n">
        <v>2020</v>
      </c>
      <c r="V21" s="3" t="n">
        <v>2021</v>
      </c>
      <c r="W21" s="3" t="n">
        <v>2022</v>
      </c>
      <c r="X21" s="3" t="n">
        <v>2023</v>
      </c>
      <c r="Y21" s="3" t="n">
        <v>2024</v>
      </c>
      <c r="Z21" s="3" t="n">
        <v>2025</v>
      </c>
      <c r="AA21" s="3" t="n">
        <v>2026</v>
      </c>
      <c r="AB21" s="3" t="n">
        <v>2027</v>
      </c>
      <c r="AC21" s="3" t="n">
        <v>2028</v>
      </c>
      <c r="AD21" s="3" t="n">
        <v>2029</v>
      </c>
      <c r="AE21" s="3" t="n">
        <v>2030</v>
      </c>
    </row>
    <row r="22">
      <c r="A22" s="4" t="inlineStr">
        <is>
          <t>Jan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4" t="n">
        <v>4623.82</v>
      </c>
      <c r="L22" s="14" t="n">
        <v>5602.93</v>
      </c>
      <c r="M22" s="14" t="n">
        <v>5859.5</v>
      </c>
      <c r="N22" s="14" t="n">
        <v>5832.75</v>
      </c>
      <c r="O22" s="14" t="n">
        <v>6100.25</v>
      </c>
      <c r="P22" s="14" t="n">
        <v>6295.46</v>
      </c>
      <c r="Q22" s="14" t="n">
        <v>5898.4</v>
      </c>
      <c r="R22" s="14" t="n">
        <v>6230.66</v>
      </c>
      <c r="S22" s="14" t="n">
        <v>6517.73</v>
      </c>
      <c r="T22" s="14" t="n">
        <v>6834.87</v>
      </c>
      <c r="U22" s="14" t="n">
        <v>6622.69</v>
      </c>
      <c r="V22" s="14" t="n">
        <v>5937.33</v>
      </c>
      <c r="W22" s="14" t="n">
        <v>6080.89</v>
      </c>
      <c r="X22" s="14" t="n">
        <v>6123.68</v>
      </c>
      <c r="Y22" s="14" t="n">
        <v>6049.43</v>
      </c>
      <c r="Z22" s="14" t="n">
        <v>6386.13</v>
      </c>
      <c r="AA22" s="14" t="n">
        <v>6362.64</v>
      </c>
      <c r="AB22" s="14" t="n">
        <v>6402.29</v>
      </c>
      <c r="AC22" s="14" t="n">
        <v>6462.84</v>
      </c>
      <c r="AD22" s="14" t="n">
        <v>6477.33</v>
      </c>
      <c r="AE22" s="14" t="n">
        <v>6529.1</v>
      </c>
    </row>
    <row r="23">
      <c r="A23" s="7" t="inlineStr">
        <is>
          <t>Feb</t>
        </is>
      </c>
      <c r="K23" s="15" t="n">
        <v>4301.93</v>
      </c>
      <c r="L23" s="15" t="n">
        <v>4743.02</v>
      </c>
      <c r="M23" s="15" t="n">
        <v>5368.57</v>
      </c>
      <c r="N23" s="15" t="n">
        <v>5033.87</v>
      </c>
      <c r="O23" s="15" t="n">
        <v>5403.09</v>
      </c>
      <c r="P23" s="15" t="n">
        <v>5588.77</v>
      </c>
      <c r="Q23" s="15" t="n">
        <v>5685.37</v>
      </c>
      <c r="R23" s="15" t="n">
        <v>5476.21</v>
      </c>
      <c r="S23" s="15" t="n">
        <v>5390.95</v>
      </c>
      <c r="T23" s="15" t="n">
        <v>5767.9</v>
      </c>
      <c r="U23" s="15" t="n">
        <v>5862.07</v>
      </c>
      <c r="V23" s="15" t="n">
        <v>4447.59</v>
      </c>
      <c r="W23" s="15" t="n">
        <v>5506.2</v>
      </c>
      <c r="X23" s="15" t="n">
        <v>5522.45</v>
      </c>
      <c r="Y23" s="15" t="n">
        <v>5259.58</v>
      </c>
      <c r="Z23" s="15" t="n">
        <v>5512.34</v>
      </c>
      <c r="AA23" s="15" t="n">
        <v>5461.79</v>
      </c>
      <c r="AB23" s="15" t="n">
        <v>5629.87</v>
      </c>
      <c r="AC23" s="15" t="n">
        <v>5650.32</v>
      </c>
      <c r="AD23" s="15" t="n">
        <v>5628.48</v>
      </c>
      <c r="AE23" s="15" t="n">
        <v>5672.88</v>
      </c>
    </row>
    <row r="24">
      <c r="A24" s="4" t="inlineStr">
        <is>
          <t>Mar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14" t="n">
        <v>4993.21</v>
      </c>
      <c r="L24" s="14" t="n">
        <v>5632.49</v>
      </c>
      <c r="M24" s="14" t="n">
        <v>5550.13</v>
      </c>
      <c r="N24" s="14" t="n">
        <v>5577.52</v>
      </c>
      <c r="O24" s="14" t="n">
        <v>6223.14</v>
      </c>
      <c r="P24" s="14" t="n">
        <v>6371.61</v>
      </c>
      <c r="Q24" s="14" t="n">
        <v>6312.47</v>
      </c>
      <c r="R24" s="14" t="n">
        <v>6239.86</v>
      </c>
      <c r="S24" s="14" t="n">
        <v>6278.92</v>
      </c>
      <c r="T24" s="14" t="n">
        <v>6468.88</v>
      </c>
      <c r="U24" s="14" t="n">
        <v>6448.72</v>
      </c>
      <c r="V24" s="14" t="n">
        <v>5884.07</v>
      </c>
      <c r="W24" s="14" t="n">
        <v>6515.33</v>
      </c>
      <c r="X24" s="14" t="n">
        <v>6100.21</v>
      </c>
      <c r="Y24" s="14" t="n">
        <v>6156.91</v>
      </c>
      <c r="Z24" s="14" t="n">
        <v>6446.48</v>
      </c>
      <c r="AA24" s="14" t="n">
        <v>6471.99</v>
      </c>
      <c r="AB24" s="14" t="n">
        <v>6544.4</v>
      </c>
      <c r="AC24" s="14" t="n">
        <v>6544.51</v>
      </c>
      <c r="AD24" s="14" t="n">
        <v>6579.81</v>
      </c>
      <c r="AE24" s="14" t="n">
        <v>6630.01</v>
      </c>
    </row>
    <row r="25">
      <c r="A25" s="7" t="inlineStr">
        <is>
          <t>Apr</t>
        </is>
      </c>
      <c r="K25" s="15" t="n">
        <v>5237.15</v>
      </c>
      <c r="L25" s="15" t="n">
        <v>5277.85</v>
      </c>
      <c r="M25" s="15" t="n">
        <v>5483.14</v>
      </c>
      <c r="N25" s="15" t="n">
        <v>5564.71</v>
      </c>
      <c r="O25" s="15" t="n">
        <v>6284.75</v>
      </c>
      <c r="P25" s="15" t="n">
        <v>6289.21</v>
      </c>
      <c r="Q25" s="15" t="n">
        <v>5870.09</v>
      </c>
      <c r="R25" s="15" t="n">
        <v>6323.77</v>
      </c>
      <c r="S25" s="15" t="n">
        <v>6450.61</v>
      </c>
      <c r="T25" s="15" t="n">
        <v>6374.59</v>
      </c>
      <c r="U25" s="15" t="n">
        <v>6399.29</v>
      </c>
      <c r="V25" s="15" t="n">
        <v>5790.88</v>
      </c>
      <c r="W25" s="15" t="n">
        <v>6092.44</v>
      </c>
      <c r="X25" s="15" t="n">
        <v>5993.48</v>
      </c>
      <c r="Y25" s="15" t="n">
        <v>6036.07</v>
      </c>
      <c r="Z25" s="15" t="n">
        <v>6282.12</v>
      </c>
      <c r="AA25" s="15" t="n">
        <v>6283.05</v>
      </c>
      <c r="AB25" s="15" t="n">
        <v>6337.11</v>
      </c>
      <c r="AC25" s="15" t="n">
        <v>6381.89</v>
      </c>
      <c r="AD25" s="15" t="n">
        <v>6407.15</v>
      </c>
      <c r="AE25" s="15" t="n">
        <v>6447.74</v>
      </c>
    </row>
    <row r="26">
      <c r="A26" s="4" t="inlineStr">
        <is>
          <t>May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4" t="n">
        <v>5696.04</v>
      </c>
      <c r="L26" s="14" t="n">
        <v>5576.89</v>
      </c>
      <c r="M26" s="14" t="n">
        <v>5920.57</v>
      </c>
      <c r="N26" s="14" t="n">
        <v>6206.8</v>
      </c>
      <c r="O26" s="14" t="n">
        <v>6544.02</v>
      </c>
      <c r="P26" s="14" t="n">
        <v>6487.61</v>
      </c>
      <c r="Q26" s="14" t="n">
        <v>6198.07</v>
      </c>
      <c r="R26" s="14" t="n">
        <v>6790.6</v>
      </c>
      <c r="S26" s="14" t="n">
        <v>6788.8</v>
      </c>
      <c r="T26" s="14" t="n">
        <v>6785.65</v>
      </c>
      <c r="U26" s="14" t="n">
        <v>6273.25</v>
      </c>
      <c r="V26" s="14" t="n">
        <v>6177.99</v>
      </c>
      <c r="W26" s="14" t="n">
        <v>6494.25</v>
      </c>
      <c r="X26" s="14" t="n">
        <v>6466.19</v>
      </c>
      <c r="Y26" s="14" t="n">
        <v>6988.05</v>
      </c>
      <c r="Z26" s="14" t="n">
        <v>6714.76</v>
      </c>
      <c r="AA26" s="14" t="n">
        <v>6833.69</v>
      </c>
      <c r="AB26" s="14" t="n">
        <v>6917.35</v>
      </c>
      <c r="AC26" s="14" t="n">
        <v>6998.42</v>
      </c>
      <c r="AD26" s="14" t="n">
        <v>7047.86</v>
      </c>
      <c r="AE26" s="14" t="n">
        <v>7021.64</v>
      </c>
    </row>
    <row r="27">
      <c r="A27" s="7" t="inlineStr">
        <is>
          <t>Jun</t>
        </is>
      </c>
      <c r="K27" s="15" t="n">
        <v>5553.83</v>
      </c>
      <c r="L27" s="15" t="n">
        <v>5633.17</v>
      </c>
      <c r="M27" s="15" t="n">
        <v>5836.07</v>
      </c>
      <c r="N27" s="15" t="n">
        <v>6037.29</v>
      </c>
      <c r="O27" s="15" t="n">
        <v>6168.96</v>
      </c>
      <c r="P27" s="15" t="n">
        <v>6340.07</v>
      </c>
      <c r="Q27" s="15" t="n">
        <v>6241.54</v>
      </c>
      <c r="R27" s="15" t="n">
        <v>6657.55</v>
      </c>
      <c r="S27" s="15" t="n">
        <v>6817.06</v>
      </c>
      <c r="T27" s="15" t="n">
        <v>6741.88</v>
      </c>
      <c r="U27" s="15" t="n">
        <v>5770.38</v>
      </c>
      <c r="V27" s="15" t="n">
        <v>6275.43</v>
      </c>
      <c r="W27" s="15" t="n">
        <v>6547.59</v>
      </c>
      <c r="X27" s="15" t="n">
        <v>6295.38</v>
      </c>
      <c r="Y27" s="15" t="n">
        <v>6373.86</v>
      </c>
      <c r="Z27" s="15" t="n">
        <v>6479.1</v>
      </c>
      <c r="AA27" s="15" t="n">
        <v>6652.69</v>
      </c>
      <c r="AB27" s="15" t="n">
        <v>6680.21</v>
      </c>
      <c r="AC27" s="15" t="n">
        <v>6701.57</v>
      </c>
      <c r="AD27" s="15" t="n">
        <v>6727.74</v>
      </c>
      <c r="AE27" s="15" t="n">
        <v>6763.09</v>
      </c>
    </row>
    <row r="28">
      <c r="A28" s="4" t="inlineStr">
        <is>
          <t>Jul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4" t="n">
        <v>5760.93</v>
      </c>
      <c r="L28" s="14" t="n">
        <v>6062.62</v>
      </c>
      <c r="M28" s="14" t="n">
        <v>6067.4</v>
      </c>
      <c r="N28" s="14" t="n">
        <v>6423.82</v>
      </c>
      <c r="O28" s="14" t="n">
        <v>6537.59</v>
      </c>
      <c r="P28" s="14" t="n">
        <v>6641.75</v>
      </c>
      <c r="Q28" s="14" t="n">
        <v>6423.31</v>
      </c>
      <c r="R28" s="14" t="n">
        <v>6720.76</v>
      </c>
      <c r="S28" s="14" t="n">
        <v>6844.7</v>
      </c>
      <c r="T28" s="14" t="n">
        <v>6830.04</v>
      </c>
      <c r="U28" s="14" t="n">
        <v>6305.25</v>
      </c>
      <c r="V28" s="14" t="n">
        <v>6322.39</v>
      </c>
      <c r="W28" s="14" t="n">
        <v>6672.08</v>
      </c>
      <c r="X28" s="14" t="n">
        <v>6501.73</v>
      </c>
      <c r="Y28" s="14" t="n">
        <v>6575.53</v>
      </c>
      <c r="Z28" s="14" t="n">
        <v>6710.05</v>
      </c>
      <c r="AA28" s="14" t="n">
        <v>6821.32</v>
      </c>
      <c r="AB28" s="14" t="n">
        <v>6872.7</v>
      </c>
      <c r="AC28" s="14" t="n">
        <v>6907.9</v>
      </c>
      <c r="AD28" s="14" t="n">
        <v>6932.32</v>
      </c>
      <c r="AE28" s="14" t="n">
        <v>6967.15</v>
      </c>
    </row>
    <row r="29">
      <c r="A29" s="7" t="inlineStr">
        <is>
          <t>Aug</t>
        </is>
      </c>
      <c r="K29" s="15" t="n">
        <v>5733.92</v>
      </c>
      <c r="L29" s="15" t="n">
        <v>6077.4</v>
      </c>
      <c r="M29" s="15" t="n">
        <v>5988.82</v>
      </c>
      <c r="N29" s="15" t="n">
        <v>6418.82</v>
      </c>
      <c r="O29" s="15" t="n">
        <v>6565.27</v>
      </c>
      <c r="P29" s="15" t="n">
        <v>6648.77</v>
      </c>
      <c r="Q29" s="15" t="n">
        <v>6430.83</v>
      </c>
      <c r="R29" s="15" t="n">
        <v>6567.37</v>
      </c>
      <c r="S29" s="15" t="n">
        <v>6991.07</v>
      </c>
      <c r="T29" s="15" t="n">
        <v>6856.96</v>
      </c>
      <c r="U29" s="15" t="n">
        <v>6279.21</v>
      </c>
      <c r="V29" s="15" t="n">
        <v>6173.58</v>
      </c>
      <c r="W29" s="15" t="n">
        <v>6695.39</v>
      </c>
      <c r="X29" s="15" t="n">
        <v>6558.09</v>
      </c>
      <c r="Y29" s="15" t="n">
        <v>6561.78</v>
      </c>
      <c r="Z29" s="15" t="n">
        <v>6687.47</v>
      </c>
      <c r="AA29" s="15" t="n">
        <v>6799.37</v>
      </c>
      <c r="AB29" s="15" t="n">
        <v>6877.12</v>
      </c>
      <c r="AC29" s="15" t="n">
        <v>6908.42</v>
      </c>
      <c r="AD29" s="15" t="n">
        <v>6921.41</v>
      </c>
      <c r="AE29" s="15" t="n">
        <v>6956.88</v>
      </c>
    </row>
    <row r="30">
      <c r="A30" s="4" t="inlineStr">
        <is>
          <t>Sep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4" t="n">
        <v>5470.16</v>
      </c>
      <c r="L30" s="14" t="n">
        <v>5766.35</v>
      </c>
      <c r="M30" s="14" t="n">
        <v>5752.53</v>
      </c>
      <c r="N30" s="14" t="n">
        <v>6159.34</v>
      </c>
      <c r="O30" s="14" t="n">
        <v>6224.15</v>
      </c>
      <c r="P30" s="14" t="n">
        <v>6376.61</v>
      </c>
      <c r="Q30" s="14" t="n">
        <v>6159.05</v>
      </c>
      <c r="R30" s="14" t="n">
        <v>5745.26</v>
      </c>
      <c r="S30" s="14" t="n">
        <v>6589.8</v>
      </c>
      <c r="T30" s="14" t="n">
        <v>6344.1</v>
      </c>
      <c r="U30" s="14" t="n">
        <v>5661.81</v>
      </c>
      <c r="V30" s="14" t="n">
        <v>5739.51</v>
      </c>
      <c r="W30" s="14" t="n">
        <v>6530.87</v>
      </c>
      <c r="X30" s="14" t="n">
        <v>6203.53</v>
      </c>
      <c r="Y30" s="14" t="n">
        <v>6141.95</v>
      </c>
      <c r="Z30" s="14" t="n">
        <v>6274.97</v>
      </c>
      <c r="AA30" s="14" t="n">
        <v>6427.85</v>
      </c>
      <c r="AB30" s="14" t="n">
        <v>6521.32</v>
      </c>
      <c r="AC30" s="14" t="n">
        <v>6513.48</v>
      </c>
      <c r="AD30" s="14" t="n">
        <v>6521.56</v>
      </c>
      <c r="AE30" s="14" t="n">
        <v>6563.27</v>
      </c>
    </row>
    <row r="31">
      <c r="A31" s="7" t="inlineStr">
        <is>
          <t>Oct</t>
        </is>
      </c>
      <c r="K31" s="15" t="n">
        <v>5618.55</v>
      </c>
      <c r="L31" s="15" t="n">
        <v>5909.4</v>
      </c>
      <c r="M31" s="15" t="n">
        <v>5871.81</v>
      </c>
      <c r="N31" s="15" t="n">
        <v>6268.88</v>
      </c>
      <c r="O31" s="15" t="n">
        <v>6069.92</v>
      </c>
      <c r="P31" s="15" t="n">
        <v>6271.1</v>
      </c>
      <c r="Q31" s="15" t="n">
        <v>6007.6</v>
      </c>
      <c r="R31" s="15" t="n">
        <v>6473.59</v>
      </c>
      <c r="S31" s="15" t="n">
        <v>6556.07</v>
      </c>
      <c r="T31" s="15" t="n">
        <v>6241.7</v>
      </c>
      <c r="U31" s="15" t="n">
        <v>5473.82</v>
      </c>
      <c r="V31" s="15" t="n">
        <v>6154.89</v>
      </c>
      <c r="W31" s="15" t="n">
        <v>6610.46</v>
      </c>
      <c r="X31" s="15" t="n">
        <v>6180.68</v>
      </c>
      <c r="Y31" s="15" t="n">
        <v>6178.57</v>
      </c>
      <c r="Z31" s="15" t="n">
        <v>6341.45</v>
      </c>
      <c r="AA31" s="15" t="n">
        <v>6547.54</v>
      </c>
      <c r="AB31" s="15" t="n">
        <v>6579.04</v>
      </c>
      <c r="AC31" s="15" t="n">
        <v>6566.64</v>
      </c>
      <c r="AD31" s="15" t="n">
        <v>6589.82</v>
      </c>
      <c r="AE31" s="15" t="n">
        <v>6637.6</v>
      </c>
    </row>
    <row r="32">
      <c r="A32" s="4" t="inlineStr">
        <is>
          <t>Nov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4" t="n">
        <v>5673.65</v>
      </c>
      <c r="L32" s="14" t="n">
        <v>6177.02</v>
      </c>
      <c r="M32" s="14" t="n">
        <v>5882.69</v>
      </c>
      <c r="N32" s="14" t="n">
        <v>6362.58</v>
      </c>
      <c r="O32" s="14" t="n">
        <v>6314.66</v>
      </c>
      <c r="P32" s="14" t="n">
        <v>6512.98</v>
      </c>
      <c r="Q32" s="14" t="n">
        <v>6383.12</v>
      </c>
      <c r="R32" s="14" t="n">
        <v>6756.25</v>
      </c>
      <c r="S32" s="14" t="n">
        <v>6741.13</v>
      </c>
      <c r="T32" s="14" t="n">
        <v>6591.19</v>
      </c>
      <c r="U32" s="14" t="n">
        <v>5697.72</v>
      </c>
      <c r="V32" s="14" t="n">
        <v>6237.29</v>
      </c>
      <c r="W32" s="14" t="n">
        <v>6726.38</v>
      </c>
      <c r="X32" s="14" t="n">
        <v>6449.02</v>
      </c>
      <c r="Y32" s="14" t="n">
        <v>6388.15</v>
      </c>
      <c r="Z32" s="14" t="n">
        <v>6528</v>
      </c>
      <c r="AA32" s="14" t="n">
        <v>6727.07</v>
      </c>
      <c r="AB32" s="14" t="n">
        <v>6777.27</v>
      </c>
      <c r="AC32" s="14" t="n">
        <v>6781.68</v>
      </c>
      <c r="AD32" s="14" t="n">
        <v>6792.13</v>
      </c>
      <c r="AE32" s="14" t="n">
        <v>6837.32</v>
      </c>
    </row>
    <row r="33">
      <c r="A33" s="7" t="inlineStr">
        <is>
          <t>Dec</t>
        </is>
      </c>
      <c r="K33" s="15" t="n">
        <v>6079.92</v>
      </c>
      <c r="L33" s="15" t="n">
        <v>6404.33</v>
      </c>
      <c r="M33" s="15" t="n">
        <v>6359.51</v>
      </c>
      <c r="N33" s="15" t="n">
        <v>6668.34</v>
      </c>
      <c r="O33" s="15" t="n">
        <v>6930.38</v>
      </c>
      <c r="P33" s="15" t="n">
        <v>6564.81</v>
      </c>
      <c r="Q33" s="15" t="n">
        <v>6702.23</v>
      </c>
      <c r="R33" s="15" t="n">
        <v>7041.05</v>
      </c>
      <c r="S33" s="15" t="n">
        <v>7259.49</v>
      </c>
      <c r="T33" s="15" t="n">
        <v>6912.86</v>
      </c>
      <c r="U33" s="15" t="n">
        <v>6032.04</v>
      </c>
      <c r="V33" s="15" t="n">
        <v>6413.95</v>
      </c>
      <c r="W33" s="15" t="n">
        <v>6344.48</v>
      </c>
      <c r="X33" s="15" t="n">
        <v>6827.1</v>
      </c>
      <c r="Y33" s="15" t="n">
        <v>6890.13</v>
      </c>
      <c r="Z33" s="15" t="n">
        <v>6737.14</v>
      </c>
      <c r="AA33" s="15" t="n">
        <v>6911</v>
      </c>
      <c r="AB33" s="15" t="n">
        <v>6961.32</v>
      </c>
      <c r="AC33" s="15" t="n">
        <v>7082.32</v>
      </c>
      <c r="AD33" s="15" t="n">
        <v>7074.38</v>
      </c>
      <c r="AE33" s="15" t="n">
        <v>7073.33</v>
      </c>
    </row>
    <row r="34">
      <c r="A34" s="9" t="inlineStr">
        <is>
          <t xml:space="preserve">  Calendar-year Total</t>
        </is>
      </c>
      <c r="B34" s="9">
        <f>SUM(B22:B33)</f>
        <v/>
      </c>
      <c r="C34" s="9">
        <f>SUM(C22:C33)</f>
        <v/>
      </c>
      <c r="D34" s="9">
        <f>SUM(D22:D33)</f>
        <v/>
      </c>
      <c r="E34" s="9">
        <f>SUM(E22:E33)</f>
        <v/>
      </c>
      <c r="F34" s="9">
        <f>SUM(F22:F33)</f>
        <v/>
      </c>
      <c r="G34" s="9">
        <f>SUM(G22:G33)</f>
        <v/>
      </c>
      <c r="H34" s="9">
        <f>SUM(H22:H33)</f>
        <v/>
      </c>
      <c r="I34" s="9">
        <f>SUM(I22:I33)</f>
        <v/>
      </c>
      <c r="J34" s="9">
        <f>SUM(J22:J33)</f>
        <v/>
      </c>
      <c r="K34" s="9">
        <f>SUM(K22:K33)</f>
        <v/>
      </c>
      <c r="L34" s="9">
        <f>SUM(L22:L33)</f>
        <v/>
      </c>
      <c r="M34" s="9">
        <f>SUM(M22:M33)</f>
        <v/>
      </c>
      <c r="N34" s="9">
        <f>SUM(N22:N33)</f>
        <v/>
      </c>
      <c r="O34" s="9">
        <f>SUM(O22:O33)</f>
        <v/>
      </c>
      <c r="P34" s="9">
        <f>SUM(P22:P33)</f>
        <v/>
      </c>
      <c r="Q34" s="9">
        <f>SUM(Q22:Q33)</f>
        <v/>
      </c>
      <c r="R34" s="9">
        <f>SUM(R22:R33)</f>
        <v/>
      </c>
      <c r="S34" s="9">
        <f>SUM(S22:S33)</f>
        <v/>
      </c>
      <c r="T34" s="9">
        <f>SUM(T22:T33)</f>
        <v/>
      </c>
      <c r="U34" s="9">
        <f>SUM(U22:U33)</f>
        <v/>
      </c>
      <c r="V34" s="9">
        <f>SUM(V22:V33)</f>
        <v/>
      </c>
      <c r="W34" s="9">
        <f>SUM(W22:W33)</f>
        <v/>
      </c>
      <c r="X34" s="9">
        <f>SUM(X22:X33)</f>
        <v/>
      </c>
      <c r="Y34" s="9">
        <f>SUM(Y22:Y33)</f>
        <v/>
      </c>
      <c r="Z34" s="9">
        <f>SUM(Z22:Z33)</f>
        <v/>
      </c>
      <c r="AA34" s="9">
        <f>SUM(AA22:AA33)</f>
        <v/>
      </c>
      <c r="AB34" s="9">
        <f>SUM(AB22:AB33)</f>
        <v/>
      </c>
      <c r="AC34" s="9">
        <f>SUM(AC22:AC33)</f>
        <v/>
      </c>
      <c r="AD34" s="9">
        <f>SUM(AD22:AD33)</f>
        <v/>
      </c>
      <c r="AE34" s="9">
        <f>SUM(AE22:AE33)</f>
        <v/>
      </c>
    </row>
    <row r="36">
      <c r="A36" s="12" t="inlineStr">
        <is>
          <t>US DISTILLATE IMPORTS</t>
        </is>
      </c>
    </row>
    <row r="37">
      <c r="A37" s="13" t="inlineStr">
        <is>
          <t>(million gallons)</t>
        </is>
      </c>
      <c r="B37" s="3" t="n">
        <v>2001</v>
      </c>
      <c r="C37" s="3" t="n">
        <v>2002</v>
      </c>
      <c r="D37" s="3" t="n">
        <v>2003</v>
      </c>
      <c r="E37" s="3" t="n">
        <v>2004</v>
      </c>
      <c r="F37" s="3" t="n">
        <v>2005</v>
      </c>
      <c r="G37" s="3" t="n">
        <v>2006</v>
      </c>
      <c r="H37" s="3" t="n">
        <v>2007</v>
      </c>
      <c r="I37" s="3" t="n">
        <v>2008</v>
      </c>
      <c r="J37" s="3" t="n">
        <v>2009</v>
      </c>
      <c r="K37" s="3" t="n">
        <v>2010</v>
      </c>
      <c r="L37" s="3" t="n">
        <v>2011</v>
      </c>
      <c r="M37" s="3" t="n">
        <v>2012</v>
      </c>
      <c r="N37" s="3" t="n">
        <v>2013</v>
      </c>
      <c r="O37" s="3" t="n">
        <v>2014</v>
      </c>
      <c r="P37" s="3" t="n">
        <v>2015</v>
      </c>
      <c r="Q37" s="3" t="n">
        <v>2016</v>
      </c>
      <c r="R37" s="3" t="n">
        <v>2017</v>
      </c>
      <c r="S37" s="3" t="n">
        <v>2018</v>
      </c>
      <c r="T37" s="3" t="n">
        <v>2019</v>
      </c>
      <c r="U37" s="3" t="n">
        <v>2020</v>
      </c>
      <c r="V37" s="3" t="n">
        <v>2021</v>
      </c>
      <c r="W37" s="3" t="n">
        <v>2022</v>
      </c>
      <c r="X37" s="3" t="n">
        <v>2023</v>
      </c>
      <c r="Y37" s="3" t="n">
        <v>2024</v>
      </c>
      <c r="Z37" s="3" t="n">
        <v>2025</v>
      </c>
      <c r="AA37" s="3" t="n">
        <v>2026</v>
      </c>
      <c r="AB37" s="3" t="n">
        <v>2027</v>
      </c>
      <c r="AC37" s="3" t="n">
        <v>2028</v>
      </c>
      <c r="AD37" s="3" t="n">
        <v>2029</v>
      </c>
      <c r="AE37" s="3" t="n">
        <v>2030</v>
      </c>
    </row>
    <row r="38">
      <c r="A38" s="4" t="inlineStr">
        <is>
          <t>Jan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4" t="n">
        <v>601.1900000000001</v>
      </c>
      <c r="L38" s="14" t="n">
        <v>438.44</v>
      </c>
      <c r="M38" s="14" t="n">
        <v>204.25</v>
      </c>
      <c r="N38" s="14" t="n">
        <v>277.87</v>
      </c>
      <c r="O38" s="14" t="n">
        <v>368.93</v>
      </c>
      <c r="P38" s="14" t="n">
        <v>454.15</v>
      </c>
      <c r="Q38" s="14" t="n">
        <v>223.31</v>
      </c>
      <c r="R38" s="14" t="n">
        <v>265.78</v>
      </c>
      <c r="S38" s="14" t="n">
        <v>378.08</v>
      </c>
      <c r="T38" s="14" t="n">
        <v>399.13</v>
      </c>
      <c r="U38" s="14" t="n">
        <v>285.81</v>
      </c>
      <c r="V38" s="14" t="n">
        <v>482.41</v>
      </c>
      <c r="W38" s="14" t="n">
        <v>314.83</v>
      </c>
      <c r="X38" s="14" t="n">
        <v>356.66</v>
      </c>
      <c r="Y38" s="14" t="n">
        <v>240.79</v>
      </c>
      <c r="Z38" s="14" t="n">
        <v>293.83</v>
      </c>
      <c r="AA38" s="14" t="n">
        <v>334.88</v>
      </c>
      <c r="AB38" s="14" t="n">
        <v>365.41</v>
      </c>
      <c r="AC38" s="14" t="n">
        <v>395.82</v>
      </c>
      <c r="AD38" s="14" t="n">
        <v>407.68</v>
      </c>
      <c r="AE38" s="14" t="n">
        <v>442.49</v>
      </c>
    </row>
    <row r="39">
      <c r="A39" s="7" t="inlineStr">
        <is>
          <t>Feb</t>
        </is>
      </c>
      <c r="K39" s="15" t="n">
        <v>344.4</v>
      </c>
      <c r="L39" s="15" t="n">
        <v>242.42</v>
      </c>
      <c r="M39" s="15" t="n">
        <v>173.33</v>
      </c>
      <c r="N39" s="15" t="n">
        <v>204.33</v>
      </c>
      <c r="O39" s="15" t="n">
        <v>396.19</v>
      </c>
      <c r="P39" s="15" t="n">
        <v>455.74</v>
      </c>
      <c r="Q39" s="15" t="n">
        <v>280.98</v>
      </c>
      <c r="R39" s="15" t="n">
        <v>237.51</v>
      </c>
      <c r="S39" s="15" t="n">
        <v>334.07</v>
      </c>
      <c r="T39" s="15" t="n">
        <v>424.07</v>
      </c>
      <c r="U39" s="15" t="n">
        <v>191.52</v>
      </c>
      <c r="V39" s="15" t="n">
        <v>414.62</v>
      </c>
      <c r="W39" s="15" t="n">
        <v>469.43</v>
      </c>
      <c r="X39" s="15" t="n">
        <v>352.84</v>
      </c>
      <c r="Y39" s="15" t="n">
        <v>214.33</v>
      </c>
      <c r="Z39" s="15" t="n">
        <v>287.23</v>
      </c>
      <c r="AA39" s="15" t="n">
        <v>344.78</v>
      </c>
      <c r="AB39" s="15" t="n">
        <v>395.67</v>
      </c>
      <c r="AC39" s="15" t="n">
        <v>396.63</v>
      </c>
      <c r="AD39" s="15" t="n">
        <v>409.66</v>
      </c>
      <c r="AE39" s="15" t="n">
        <v>451.44</v>
      </c>
    </row>
    <row r="40">
      <c r="A40" s="4" t="inlineStr">
        <is>
          <t>Mar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4" t="n">
        <v>232.76</v>
      </c>
      <c r="L40" s="14" t="n">
        <v>247.17</v>
      </c>
      <c r="M40" s="14" t="n">
        <v>177.95</v>
      </c>
      <c r="N40" s="14" t="n">
        <v>189.63</v>
      </c>
      <c r="O40" s="14" t="n">
        <v>422.27</v>
      </c>
      <c r="P40" s="14" t="n">
        <v>421.22</v>
      </c>
      <c r="Q40" s="14" t="n">
        <v>195.68</v>
      </c>
      <c r="R40" s="14" t="n">
        <v>144.86</v>
      </c>
      <c r="S40" s="14" t="n">
        <v>204.41</v>
      </c>
      <c r="T40" s="14" t="n">
        <v>233.81</v>
      </c>
      <c r="U40" s="14" t="n">
        <v>223.06</v>
      </c>
      <c r="V40" s="14" t="n">
        <v>612.49</v>
      </c>
      <c r="W40" s="14" t="n">
        <v>245.91</v>
      </c>
      <c r="X40" s="14" t="n">
        <v>202.15</v>
      </c>
      <c r="Y40" s="14" t="n">
        <v>235.03</v>
      </c>
      <c r="Z40" s="14" t="n">
        <v>265.53</v>
      </c>
      <c r="AA40" s="14" t="n">
        <v>309.6</v>
      </c>
      <c r="AB40" s="14" t="n">
        <v>298.36</v>
      </c>
      <c r="AC40" s="14" t="n">
        <v>325.96</v>
      </c>
      <c r="AD40" s="14" t="n">
        <v>358.62</v>
      </c>
      <c r="AE40" s="14" t="n">
        <v>383.53</v>
      </c>
    </row>
    <row r="41">
      <c r="A41" s="7" t="inlineStr">
        <is>
          <t>Apr</t>
        </is>
      </c>
      <c r="K41" s="15" t="n">
        <v>277.24</v>
      </c>
      <c r="L41" s="15" t="n">
        <v>240.07</v>
      </c>
      <c r="M41" s="15" t="n">
        <v>123.35</v>
      </c>
      <c r="N41" s="15" t="n">
        <v>299.67</v>
      </c>
      <c r="O41" s="15" t="n">
        <v>227.64</v>
      </c>
      <c r="P41" s="15" t="n">
        <v>306.35</v>
      </c>
      <c r="Q41" s="15" t="n">
        <v>222.43</v>
      </c>
      <c r="R41" s="15" t="n">
        <v>148.26</v>
      </c>
      <c r="S41" s="15" t="n">
        <v>114.74</v>
      </c>
      <c r="T41" s="15" t="n">
        <v>153.05</v>
      </c>
      <c r="U41" s="15" t="n">
        <v>290.81</v>
      </c>
      <c r="V41" s="15" t="n">
        <v>249.27</v>
      </c>
      <c r="W41" s="15" t="n">
        <v>162.04</v>
      </c>
      <c r="X41" s="15" t="n">
        <v>196.14</v>
      </c>
      <c r="Y41" s="15" t="n">
        <v>161.07</v>
      </c>
      <c r="Z41" s="15" t="n">
        <v>185.22</v>
      </c>
      <c r="AA41" s="15" t="n">
        <v>189.15</v>
      </c>
      <c r="AB41" s="15" t="n">
        <v>211.9</v>
      </c>
      <c r="AC41" s="15" t="n">
        <v>234.64</v>
      </c>
      <c r="AD41" s="15" t="n">
        <v>245.5</v>
      </c>
      <c r="AE41" s="15" t="n">
        <v>262.5</v>
      </c>
    </row>
    <row r="42">
      <c r="A42" s="4" t="inlineStr">
        <is>
          <t>May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14" t="n">
        <v>245.45</v>
      </c>
      <c r="L42" s="14" t="n">
        <v>221.09</v>
      </c>
      <c r="M42" s="14" t="n">
        <v>146.92</v>
      </c>
      <c r="N42" s="14" t="n">
        <v>218.86</v>
      </c>
      <c r="O42" s="14" t="n">
        <v>257.75</v>
      </c>
      <c r="P42" s="14" t="n">
        <v>249.31</v>
      </c>
      <c r="Q42" s="14" t="n">
        <v>160.31</v>
      </c>
      <c r="R42" s="14" t="n">
        <v>162.33</v>
      </c>
      <c r="S42" s="14" t="n">
        <v>158.42</v>
      </c>
      <c r="T42" s="14" t="n">
        <v>208.57</v>
      </c>
      <c r="U42" s="14" t="n">
        <v>247.13</v>
      </c>
      <c r="V42" s="14" t="n">
        <v>354.4</v>
      </c>
      <c r="W42" s="14" t="n">
        <v>233.86</v>
      </c>
      <c r="X42" s="14" t="n">
        <v>218.99</v>
      </c>
      <c r="Y42" s="14" t="n">
        <v>193.33</v>
      </c>
      <c r="Z42" s="14" t="n">
        <v>218.16</v>
      </c>
      <c r="AA42" s="14" t="n">
        <v>241.7</v>
      </c>
      <c r="AB42" s="14" t="n">
        <v>262.27</v>
      </c>
      <c r="AC42" s="14" t="n">
        <v>282.14</v>
      </c>
      <c r="AD42" s="14" t="n">
        <v>299.4</v>
      </c>
      <c r="AE42" s="14" t="n">
        <v>320.9</v>
      </c>
    </row>
    <row r="43">
      <c r="A43" s="7" t="inlineStr">
        <is>
          <t>Jun</t>
        </is>
      </c>
      <c r="K43" s="15" t="n">
        <v>298.28</v>
      </c>
      <c r="L43" s="15" t="n">
        <v>160.19</v>
      </c>
      <c r="M43" s="15" t="n">
        <v>109.87</v>
      </c>
      <c r="N43" s="15" t="n">
        <v>151.91</v>
      </c>
      <c r="O43" s="15" t="n">
        <v>151.87</v>
      </c>
      <c r="P43" s="15" t="n">
        <v>166.74</v>
      </c>
      <c r="Q43" s="15" t="n">
        <v>111.34</v>
      </c>
      <c r="R43" s="15" t="n">
        <v>132.38</v>
      </c>
      <c r="S43" s="15" t="n">
        <v>113.44</v>
      </c>
      <c r="T43" s="15" t="n">
        <v>158.55</v>
      </c>
      <c r="U43" s="15" t="n">
        <v>194.08</v>
      </c>
      <c r="V43" s="15" t="n">
        <v>302.69</v>
      </c>
      <c r="W43" s="15" t="n">
        <v>147</v>
      </c>
      <c r="X43" s="15" t="n">
        <v>173.92</v>
      </c>
      <c r="Y43" s="15" t="n">
        <v>149.45</v>
      </c>
      <c r="Z43" s="15" t="n">
        <v>169.1</v>
      </c>
      <c r="AA43" s="15" t="n">
        <v>186.85</v>
      </c>
      <c r="AB43" s="15" t="n">
        <v>195.94</v>
      </c>
      <c r="AC43" s="15" t="n">
        <v>217.68</v>
      </c>
      <c r="AD43" s="15" t="n">
        <v>229.76</v>
      </c>
      <c r="AE43" s="15" t="n">
        <v>245.99</v>
      </c>
    </row>
    <row r="44">
      <c r="A44" s="4" t="inlineStr">
        <is>
          <t>Jul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14" t="n">
        <v>221.63</v>
      </c>
      <c r="L44" s="14" t="n">
        <v>204.41</v>
      </c>
      <c r="M44" s="14" t="n">
        <v>151.96</v>
      </c>
      <c r="N44" s="14" t="n">
        <v>139.4</v>
      </c>
      <c r="O44" s="14" t="n">
        <v>167.33</v>
      </c>
      <c r="P44" s="14" t="n">
        <v>185.77</v>
      </c>
      <c r="Q44" s="14" t="n">
        <v>159.73</v>
      </c>
      <c r="R44" s="14" t="n">
        <v>148.76</v>
      </c>
      <c r="S44" s="14" t="n">
        <v>187.4</v>
      </c>
      <c r="T44" s="14" t="n">
        <v>226.38</v>
      </c>
      <c r="U44" s="14" t="n">
        <v>150.49</v>
      </c>
      <c r="V44" s="14" t="n">
        <v>214.33</v>
      </c>
      <c r="W44" s="14" t="n">
        <v>220.92</v>
      </c>
      <c r="X44" s="14" t="n">
        <v>155.61</v>
      </c>
      <c r="Y44" s="14" t="n">
        <v>148.14</v>
      </c>
      <c r="Z44" s="14" t="n">
        <v>155.52</v>
      </c>
      <c r="AA44" s="14" t="n">
        <v>177.41</v>
      </c>
      <c r="AB44" s="14" t="n">
        <v>203.36</v>
      </c>
      <c r="AC44" s="14" t="n">
        <v>208.92</v>
      </c>
      <c r="AD44" s="14" t="n">
        <v>223.34</v>
      </c>
      <c r="AE44" s="14" t="n">
        <v>238.41</v>
      </c>
    </row>
    <row r="45">
      <c r="A45" s="7" t="inlineStr">
        <is>
          <t>Aug</t>
        </is>
      </c>
      <c r="K45" s="15" t="n">
        <v>320.59</v>
      </c>
      <c r="L45" s="15" t="n">
        <v>192.4</v>
      </c>
      <c r="M45" s="15" t="n">
        <v>145.28</v>
      </c>
      <c r="N45" s="15" t="n">
        <v>160.1</v>
      </c>
      <c r="O45" s="15" t="n">
        <v>186.23</v>
      </c>
      <c r="P45" s="15" t="n">
        <v>182.11</v>
      </c>
      <c r="Q45" s="15" t="n">
        <v>213.02</v>
      </c>
      <c r="R45" s="15" t="n">
        <v>149.98</v>
      </c>
      <c r="S45" s="15" t="n">
        <v>229.19</v>
      </c>
      <c r="T45" s="15" t="n">
        <v>200.21</v>
      </c>
      <c r="U45" s="15" t="n">
        <v>189.29</v>
      </c>
      <c r="V45" s="15" t="n">
        <v>334.07</v>
      </c>
      <c r="W45" s="15" t="n">
        <v>229.19</v>
      </c>
      <c r="X45" s="15" t="n">
        <v>173.8</v>
      </c>
      <c r="Y45" s="15" t="n">
        <v>172.46</v>
      </c>
      <c r="Z45" s="15" t="n">
        <v>192.13</v>
      </c>
      <c r="AA45" s="15" t="n">
        <v>218.48</v>
      </c>
      <c r="AB45" s="15" t="n">
        <v>233.82</v>
      </c>
      <c r="AC45" s="15" t="n">
        <v>246.38</v>
      </c>
      <c r="AD45" s="15" t="n">
        <v>265.82</v>
      </c>
      <c r="AE45" s="15" t="n">
        <v>284.71</v>
      </c>
    </row>
    <row r="46">
      <c r="A46" s="4" t="inlineStr">
        <is>
          <t>Sep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14" t="n">
        <v>238.56</v>
      </c>
      <c r="L46" s="14" t="n">
        <v>225.75</v>
      </c>
      <c r="M46" s="14" t="n">
        <v>108.02</v>
      </c>
      <c r="N46" s="14" t="n">
        <v>166.36</v>
      </c>
      <c r="O46" s="14" t="n">
        <v>158.26</v>
      </c>
      <c r="P46" s="14" t="n">
        <v>129.7</v>
      </c>
      <c r="Q46" s="14" t="n">
        <v>189.17</v>
      </c>
      <c r="R46" s="14" t="n">
        <v>151.03</v>
      </c>
      <c r="S46" s="14" t="n">
        <v>216.17</v>
      </c>
      <c r="T46" s="14" t="n">
        <v>148.51</v>
      </c>
      <c r="U46" s="14" t="n">
        <v>226.55</v>
      </c>
      <c r="V46" s="14" t="n">
        <v>282.74</v>
      </c>
      <c r="W46" s="14" t="n">
        <v>159.81</v>
      </c>
      <c r="X46" s="14" t="n">
        <v>149.77</v>
      </c>
      <c r="Y46" s="14" t="n">
        <v>148.09</v>
      </c>
      <c r="Z46" s="14" t="n">
        <v>169.07</v>
      </c>
      <c r="AA46" s="14" t="n">
        <v>180.37</v>
      </c>
      <c r="AB46" s="14" t="n">
        <v>191.39</v>
      </c>
      <c r="AC46" s="14" t="n">
        <v>208.58</v>
      </c>
      <c r="AD46" s="14" t="n">
        <v>224.38</v>
      </c>
      <c r="AE46" s="14" t="n">
        <v>239.7</v>
      </c>
    </row>
    <row r="47">
      <c r="A47" s="7" t="inlineStr">
        <is>
          <t>Oct</t>
        </is>
      </c>
      <c r="K47" s="15" t="n">
        <v>212.86</v>
      </c>
      <c r="L47" s="15" t="n">
        <v>166.57</v>
      </c>
      <c r="M47" s="15" t="n">
        <v>114.32</v>
      </c>
      <c r="N47" s="15" t="n">
        <v>167.2</v>
      </c>
      <c r="O47" s="15" t="n">
        <v>156.53</v>
      </c>
      <c r="P47" s="15" t="n">
        <v>131.38</v>
      </c>
      <c r="Q47" s="15" t="n">
        <v>97.40000000000001</v>
      </c>
      <c r="R47" s="15" t="n">
        <v>173.84</v>
      </c>
      <c r="S47" s="15" t="n">
        <v>210.04</v>
      </c>
      <c r="T47" s="15" t="n">
        <v>241.75</v>
      </c>
      <c r="U47" s="15" t="n">
        <v>364.56</v>
      </c>
      <c r="V47" s="15" t="n">
        <v>378.34</v>
      </c>
      <c r="W47" s="15" t="n">
        <v>137.42</v>
      </c>
      <c r="X47" s="15" t="n">
        <v>137.72</v>
      </c>
      <c r="Y47" s="15" t="n">
        <v>192.85</v>
      </c>
      <c r="Z47" s="15" t="n">
        <v>211.72</v>
      </c>
      <c r="AA47" s="15" t="n">
        <v>209.84</v>
      </c>
      <c r="AB47" s="15" t="n">
        <v>210.94</v>
      </c>
      <c r="AC47" s="15" t="n">
        <v>239.51</v>
      </c>
      <c r="AD47" s="15" t="n">
        <v>266.21</v>
      </c>
      <c r="AE47" s="15" t="n">
        <v>280.18</v>
      </c>
    </row>
    <row r="48">
      <c r="A48" s="4" t="inlineStr">
        <is>
          <t>Nov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14" t="n">
        <v>223.9</v>
      </c>
      <c r="L48" s="14" t="n">
        <v>174.09</v>
      </c>
      <c r="M48" s="14" t="n">
        <v>237.3</v>
      </c>
      <c r="N48" s="14" t="n">
        <v>182.15</v>
      </c>
      <c r="O48" s="14" t="n">
        <v>171.86</v>
      </c>
      <c r="P48" s="14" t="n">
        <v>189.38</v>
      </c>
      <c r="Q48" s="14" t="n">
        <v>182.11</v>
      </c>
      <c r="R48" s="14" t="n">
        <v>226.8</v>
      </c>
      <c r="S48" s="14" t="n">
        <v>285.56</v>
      </c>
      <c r="T48" s="14" t="n">
        <v>325.63</v>
      </c>
      <c r="U48" s="14" t="n">
        <v>384.26</v>
      </c>
      <c r="V48" s="14" t="n">
        <v>416.05</v>
      </c>
      <c r="W48" s="14" t="n">
        <v>286.82</v>
      </c>
      <c r="X48" s="14" t="n">
        <v>162.46</v>
      </c>
      <c r="Y48" s="14" t="n">
        <v>241.14</v>
      </c>
      <c r="Z48" s="14" t="n">
        <v>260.65</v>
      </c>
      <c r="AA48" s="14" t="n">
        <v>271.13</v>
      </c>
      <c r="AB48" s="14" t="n">
        <v>289.81</v>
      </c>
      <c r="AC48" s="14" t="n">
        <v>304.7</v>
      </c>
      <c r="AD48" s="14" t="n">
        <v>341.86</v>
      </c>
      <c r="AE48" s="14" t="n">
        <v>361.39</v>
      </c>
    </row>
    <row r="49">
      <c r="A49" s="7" t="inlineStr">
        <is>
          <t>Dec</t>
        </is>
      </c>
      <c r="K49" s="15" t="n">
        <v>285.05</v>
      </c>
      <c r="L49" s="15" t="n">
        <v>227.22</v>
      </c>
      <c r="M49" s="15" t="n">
        <v>246.96</v>
      </c>
      <c r="N49" s="15" t="n">
        <v>214.03</v>
      </c>
      <c r="O49" s="15" t="n">
        <v>319.24</v>
      </c>
      <c r="P49" s="15" t="n">
        <v>201.64</v>
      </c>
      <c r="Q49" s="15" t="n">
        <v>217.48</v>
      </c>
      <c r="R49" s="15" t="n">
        <v>367.42</v>
      </c>
      <c r="S49" s="15" t="n">
        <v>246.75</v>
      </c>
      <c r="T49" s="15" t="n">
        <v>383.54</v>
      </c>
      <c r="U49" s="15" t="n">
        <v>603.58</v>
      </c>
      <c r="V49" s="15" t="n">
        <v>379.6</v>
      </c>
      <c r="W49" s="15" t="n">
        <v>275.14</v>
      </c>
      <c r="X49" s="15" t="n">
        <v>293.33</v>
      </c>
      <c r="Y49" s="15" t="n">
        <v>403.33</v>
      </c>
      <c r="Z49" s="15" t="n">
        <v>341.83</v>
      </c>
      <c r="AA49" s="15" t="n">
        <v>335.81</v>
      </c>
      <c r="AB49" s="15" t="n">
        <v>391.12</v>
      </c>
      <c r="AC49" s="15" t="n">
        <v>439.05</v>
      </c>
      <c r="AD49" s="15" t="n">
        <v>477.79</v>
      </c>
      <c r="AE49" s="15" t="n">
        <v>488.76</v>
      </c>
    </row>
    <row r="50">
      <c r="A50" s="9" t="inlineStr">
        <is>
          <t xml:space="preserve">  Calendar-year Total</t>
        </is>
      </c>
      <c r="B50" s="9">
        <f>SUM(B38:B49)</f>
        <v/>
      </c>
      <c r="C50" s="9">
        <f>SUM(C38:C49)</f>
        <v/>
      </c>
      <c r="D50" s="9">
        <f>SUM(D38:D49)</f>
        <v/>
      </c>
      <c r="E50" s="9">
        <f>SUM(E38:E49)</f>
        <v/>
      </c>
      <c r="F50" s="9">
        <f>SUM(F38:F49)</f>
        <v/>
      </c>
      <c r="G50" s="9">
        <f>SUM(G38:G49)</f>
        <v/>
      </c>
      <c r="H50" s="9">
        <f>SUM(H38:H49)</f>
        <v/>
      </c>
      <c r="I50" s="9">
        <f>SUM(I38:I49)</f>
        <v/>
      </c>
      <c r="J50" s="9">
        <f>SUM(J38:J49)</f>
        <v/>
      </c>
      <c r="K50" s="9">
        <f>SUM(K38:K49)</f>
        <v/>
      </c>
      <c r="L50" s="9">
        <f>SUM(L38:L49)</f>
        <v/>
      </c>
      <c r="M50" s="9">
        <f>SUM(M38:M49)</f>
        <v/>
      </c>
      <c r="N50" s="9">
        <f>SUM(N38:N49)</f>
        <v/>
      </c>
      <c r="O50" s="9">
        <f>SUM(O38:O49)</f>
        <v/>
      </c>
      <c r="P50" s="9">
        <f>SUM(P38:P49)</f>
        <v/>
      </c>
      <c r="Q50" s="9">
        <f>SUM(Q38:Q49)</f>
        <v/>
      </c>
      <c r="R50" s="9">
        <f>SUM(R38:R49)</f>
        <v/>
      </c>
      <c r="S50" s="9">
        <f>SUM(S38:S49)</f>
        <v/>
      </c>
      <c r="T50" s="9">
        <f>SUM(T38:T49)</f>
        <v/>
      </c>
      <c r="U50" s="9">
        <f>SUM(U38:U49)</f>
        <v/>
      </c>
      <c r="V50" s="9">
        <f>SUM(V38:V49)</f>
        <v/>
      </c>
      <c r="W50" s="9">
        <f>SUM(W38:W49)</f>
        <v/>
      </c>
      <c r="X50" s="9">
        <f>SUM(X38:X49)</f>
        <v/>
      </c>
      <c r="Y50" s="9">
        <f>SUM(Y38:Y49)</f>
        <v/>
      </c>
      <c r="Z50" s="9">
        <f>SUM(Z38:Z49)</f>
        <v/>
      </c>
      <c r="AA50" s="9">
        <f>SUM(AA38:AA49)</f>
        <v/>
      </c>
      <c r="AB50" s="9">
        <f>SUM(AB38:AB49)</f>
        <v/>
      </c>
      <c r="AC50" s="9">
        <f>SUM(AC38:AC49)</f>
        <v/>
      </c>
      <c r="AD50" s="9">
        <f>SUM(AD38:AD49)</f>
        <v/>
      </c>
      <c r="AE50" s="9">
        <f>SUM(AE38:AE49)</f>
        <v/>
      </c>
    </row>
    <row r="52">
      <c r="A52" s="12" t="inlineStr">
        <is>
          <t>US DISTILLATE EXPORTS</t>
        </is>
      </c>
    </row>
    <row r="53">
      <c r="A53" s="13" t="inlineStr">
        <is>
          <t>(million gallons)</t>
        </is>
      </c>
      <c r="B53" s="3" t="n">
        <v>2001</v>
      </c>
      <c r="C53" s="3" t="n">
        <v>2002</v>
      </c>
      <c r="D53" s="3" t="n">
        <v>2003</v>
      </c>
      <c r="E53" s="3" t="n">
        <v>2004</v>
      </c>
      <c r="F53" s="3" t="n">
        <v>2005</v>
      </c>
      <c r="G53" s="3" t="n">
        <v>2006</v>
      </c>
      <c r="H53" s="3" t="n">
        <v>2007</v>
      </c>
      <c r="I53" s="3" t="n">
        <v>2008</v>
      </c>
      <c r="J53" s="3" t="n">
        <v>2009</v>
      </c>
      <c r="K53" s="3" t="n">
        <v>2010</v>
      </c>
      <c r="L53" s="3" t="n">
        <v>2011</v>
      </c>
      <c r="M53" s="3" t="n">
        <v>2012</v>
      </c>
      <c r="N53" s="3" t="n">
        <v>2013</v>
      </c>
      <c r="O53" s="3" t="n">
        <v>2014</v>
      </c>
      <c r="P53" s="3" t="n">
        <v>2015</v>
      </c>
      <c r="Q53" s="3" t="n">
        <v>2016</v>
      </c>
      <c r="R53" s="3" t="n">
        <v>2017</v>
      </c>
      <c r="S53" s="3" t="n">
        <v>2018</v>
      </c>
      <c r="T53" s="3" t="n">
        <v>2019</v>
      </c>
      <c r="U53" s="3" t="n">
        <v>2020</v>
      </c>
      <c r="V53" s="3" t="n">
        <v>2021</v>
      </c>
      <c r="W53" s="3" t="n">
        <v>2022</v>
      </c>
      <c r="X53" s="3" t="n">
        <v>2023</v>
      </c>
      <c r="Y53" s="3" t="n">
        <v>2024</v>
      </c>
      <c r="Z53" s="3" t="n">
        <v>2025</v>
      </c>
      <c r="AA53" s="3" t="n">
        <v>2026</v>
      </c>
      <c r="AB53" s="3" t="n">
        <v>2027</v>
      </c>
      <c r="AC53" s="3" t="n">
        <v>2028</v>
      </c>
      <c r="AD53" s="3" t="n">
        <v>2029</v>
      </c>
      <c r="AE53" s="3" t="n">
        <v>2030</v>
      </c>
    </row>
    <row r="54">
      <c r="A54" s="4" t="inlineStr">
        <is>
          <t>Jan</t>
        </is>
      </c>
      <c r="B54" s="14" t="n">
        <v>87.23</v>
      </c>
      <c r="C54" s="14" t="n">
        <v>142.46</v>
      </c>
      <c r="D54" s="14" t="n">
        <v>155.44</v>
      </c>
      <c r="E54" s="14" t="n">
        <v>94.12</v>
      </c>
      <c r="F54" s="14" t="n">
        <v>63.88</v>
      </c>
      <c r="G54" s="14" t="n">
        <v>160.19</v>
      </c>
      <c r="H54" s="14" t="n">
        <v>329.57</v>
      </c>
      <c r="I54" s="14" t="n">
        <v>446.54</v>
      </c>
      <c r="J54" s="14" t="n">
        <v>841.9299999999999</v>
      </c>
      <c r="K54" s="14" t="n">
        <v>509.29</v>
      </c>
      <c r="L54" s="14" t="n">
        <v>956.51</v>
      </c>
      <c r="M54" s="14" t="n">
        <v>1136.06</v>
      </c>
      <c r="N54" s="14" t="n">
        <v>1007.83</v>
      </c>
      <c r="O54" s="14" t="n">
        <v>1390.16</v>
      </c>
      <c r="P54" s="14" t="n">
        <v>1459.42</v>
      </c>
      <c r="Q54" s="14" t="n">
        <v>1196.12</v>
      </c>
      <c r="R54" s="14" t="n">
        <v>1504.73</v>
      </c>
      <c r="S54" s="14" t="n">
        <v>1300.28</v>
      </c>
      <c r="T54" s="14" t="n">
        <v>1666.01</v>
      </c>
      <c r="U54" s="14" t="n">
        <v>1609.94</v>
      </c>
      <c r="V54" s="14" t="n">
        <v>1173.86</v>
      </c>
      <c r="W54" s="14" t="n">
        <v>1219.85</v>
      </c>
      <c r="X54" s="14" t="n">
        <v>1223.71</v>
      </c>
      <c r="Y54" s="14" t="n">
        <v>1336.78</v>
      </c>
      <c r="Z54" s="5" t="n"/>
      <c r="AA54" s="5" t="n"/>
      <c r="AB54" s="5" t="n"/>
      <c r="AC54" s="5" t="n"/>
      <c r="AD54" s="5" t="n"/>
      <c r="AE54" s="5" t="n"/>
    </row>
    <row r="55">
      <c r="A55" s="7" t="inlineStr">
        <is>
          <t>Feb</t>
        </is>
      </c>
      <c r="B55" s="15" t="n">
        <v>90.26000000000001</v>
      </c>
      <c r="C55" s="15" t="n">
        <v>328.36</v>
      </c>
      <c r="D55" s="15" t="n">
        <v>155.48</v>
      </c>
      <c r="E55" s="15" t="n">
        <v>104.79</v>
      </c>
      <c r="F55" s="15" t="n">
        <v>120.37</v>
      </c>
      <c r="G55" s="15" t="n">
        <v>183.58</v>
      </c>
      <c r="H55" s="15" t="n">
        <v>237.93</v>
      </c>
      <c r="I55" s="15" t="n">
        <v>495.94</v>
      </c>
      <c r="J55" s="15" t="n">
        <v>633.4</v>
      </c>
      <c r="K55" s="15" t="n">
        <v>457.63</v>
      </c>
      <c r="L55" s="15" t="n">
        <v>783.97</v>
      </c>
      <c r="M55" s="15" t="n">
        <v>1128.96</v>
      </c>
      <c r="N55" s="15" t="n">
        <v>979.8200000000001</v>
      </c>
      <c r="O55" s="15" t="n">
        <v>1002.54</v>
      </c>
      <c r="P55" s="15" t="n">
        <v>1109.22</v>
      </c>
      <c r="Q55" s="15" t="n">
        <v>1091.24</v>
      </c>
      <c r="R55" s="15" t="n">
        <v>1454.38</v>
      </c>
      <c r="S55" s="15" t="n">
        <v>1216.07</v>
      </c>
      <c r="T55" s="15" t="n">
        <v>1364.33</v>
      </c>
      <c r="U55" s="15" t="n">
        <v>1601.63</v>
      </c>
      <c r="V55" s="15" t="n">
        <v>1037.19</v>
      </c>
      <c r="W55" s="15" t="n">
        <v>1038.87</v>
      </c>
      <c r="X55" s="15" t="n">
        <v>1073.9</v>
      </c>
      <c r="Y55" s="15" t="n">
        <v>1157.6</v>
      </c>
    </row>
    <row r="56">
      <c r="A56" s="4" t="inlineStr">
        <is>
          <t>Mar</t>
        </is>
      </c>
      <c r="B56" s="14" t="n">
        <v>97.98999999999999</v>
      </c>
      <c r="C56" s="14" t="n">
        <v>87.78</v>
      </c>
      <c r="D56" s="14" t="n">
        <v>209.03</v>
      </c>
      <c r="E56" s="14" t="n">
        <v>129.28</v>
      </c>
      <c r="F56" s="14" t="n">
        <v>215.12</v>
      </c>
      <c r="G56" s="14" t="n">
        <v>156.03</v>
      </c>
      <c r="H56" s="14" t="n">
        <v>201.22</v>
      </c>
      <c r="I56" s="14" t="n">
        <v>466.62</v>
      </c>
      <c r="J56" s="14" t="n">
        <v>721.98</v>
      </c>
      <c r="K56" s="14" t="n">
        <v>591.0700000000001</v>
      </c>
      <c r="L56" s="14" t="n">
        <v>847.64</v>
      </c>
      <c r="M56" s="14" t="n">
        <v>1186.21</v>
      </c>
      <c r="N56" s="14" t="n">
        <v>1051.34</v>
      </c>
      <c r="O56" s="14" t="n">
        <v>1320.14</v>
      </c>
      <c r="P56" s="14" t="n">
        <v>1325.06</v>
      </c>
      <c r="Q56" s="14" t="n">
        <v>1549.42</v>
      </c>
      <c r="R56" s="14" t="n">
        <v>1552.57</v>
      </c>
      <c r="S56" s="14" t="n">
        <v>1468.66</v>
      </c>
      <c r="T56" s="14" t="n">
        <v>1526.87</v>
      </c>
      <c r="U56" s="14" t="n">
        <v>1857.53</v>
      </c>
      <c r="V56" s="14" t="n">
        <v>1101.41</v>
      </c>
      <c r="W56" s="14" t="n">
        <v>1564.79</v>
      </c>
      <c r="X56" s="14" t="n">
        <v>1486.09</v>
      </c>
      <c r="Y56" s="14" t="n">
        <v>1467.31</v>
      </c>
      <c r="Z56" s="5" t="n"/>
      <c r="AA56" s="5" t="n"/>
      <c r="AB56" s="5" t="n"/>
      <c r="AC56" s="5" t="n"/>
      <c r="AD56" s="5" t="n"/>
      <c r="AE56" s="5" t="n"/>
    </row>
    <row r="57">
      <c r="A57" s="7" t="inlineStr">
        <is>
          <t>Apr</t>
        </is>
      </c>
      <c r="B57" s="15" t="n">
        <v>134.23</v>
      </c>
      <c r="C57" s="15" t="n">
        <v>86.14</v>
      </c>
      <c r="D57" s="15" t="n">
        <v>175.18</v>
      </c>
      <c r="E57" s="15" t="n">
        <v>115.33</v>
      </c>
      <c r="F57" s="15" t="n">
        <v>241.54</v>
      </c>
      <c r="G57" s="15" t="n">
        <v>252.04</v>
      </c>
      <c r="H57" s="15" t="n">
        <v>210.67</v>
      </c>
      <c r="I57" s="15" t="n">
        <v>595.1</v>
      </c>
      <c r="J57" s="15" t="n">
        <v>862.3</v>
      </c>
      <c r="K57" s="15" t="n">
        <v>863.1799999999999</v>
      </c>
      <c r="L57" s="15" t="n">
        <v>1100.02</v>
      </c>
      <c r="M57" s="15" t="n">
        <v>1358.53</v>
      </c>
      <c r="N57" s="15" t="n">
        <v>1062.47</v>
      </c>
      <c r="O57" s="15" t="n">
        <v>1463.7</v>
      </c>
      <c r="P57" s="15" t="n">
        <v>1536.15</v>
      </c>
      <c r="Q57" s="15" t="n">
        <v>1615.99</v>
      </c>
      <c r="R57" s="15" t="n">
        <v>1707.43</v>
      </c>
      <c r="S57" s="15" t="n">
        <v>1844.6</v>
      </c>
      <c r="T57" s="15" t="n">
        <v>1589.2</v>
      </c>
      <c r="U57" s="15" t="n">
        <v>1315.99</v>
      </c>
      <c r="V57" s="15" t="n">
        <v>1311.49</v>
      </c>
      <c r="W57" s="15" t="n">
        <v>1596.63</v>
      </c>
      <c r="X57" s="15" t="n">
        <v>1285.07</v>
      </c>
      <c r="Y57" s="15" t="n">
        <v>1547.91</v>
      </c>
    </row>
    <row r="58">
      <c r="A58" s="4" t="inlineStr">
        <is>
          <t>May</t>
        </is>
      </c>
      <c r="B58" s="14" t="n">
        <v>189.63</v>
      </c>
      <c r="C58" s="14" t="n">
        <v>95.84</v>
      </c>
      <c r="D58" s="14" t="n">
        <v>210.5</v>
      </c>
      <c r="E58" s="14" t="n">
        <v>130.41</v>
      </c>
      <c r="F58" s="14" t="n">
        <v>258.76</v>
      </c>
      <c r="G58" s="14" t="n">
        <v>297.78</v>
      </c>
      <c r="H58" s="14" t="n">
        <v>295.18</v>
      </c>
      <c r="I58" s="14" t="n">
        <v>643.6900000000001</v>
      </c>
      <c r="J58" s="14" t="n">
        <v>844.16</v>
      </c>
      <c r="K58" s="14" t="n">
        <v>983.98</v>
      </c>
      <c r="L58" s="14" t="n">
        <v>947.9</v>
      </c>
      <c r="M58" s="14" t="n">
        <v>1370.17</v>
      </c>
      <c r="N58" s="14" t="n">
        <v>1462.57</v>
      </c>
      <c r="O58" s="14" t="n">
        <v>1512.38</v>
      </c>
      <c r="P58" s="14" t="n">
        <v>1667.15</v>
      </c>
      <c r="Q58" s="14" t="n">
        <v>1608.01</v>
      </c>
      <c r="R58" s="14" t="n">
        <v>1966.15</v>
      </c>
      <c r="S58" s="14" t="n">
        <v>1786.13</v>
      </c>
      <c r="T58" s="14" t="n">
        <v>1676.09</v>
      </c>
      <c r="U58" s="14" t="n">
        <v>1040.42</v>
      </c>
      <c r="V58" s="14" t="n">
        <v>1354.58</v>
      </c>
      <c r="W58" s="14" t="n">
        <v>1538.33</v>
      </c>
      <c r="X58" s="14" t="n">
        <v>1523.17</v>
      </c>
      <c r="Y58" s="5" t="n"/>
      <c r="Z58" s="5" t="n"/>
      <c r="AA58" s="5" t="n"/>
      <c r="AB58" s="5" t="n"/>
      <c r="AC58" s="5" t="n"/>
      <c r="AD58" s="5" t="n"/>
      <c r="AE58" s="5" t="n"/>
    </row>
    <row r="59">
      <c r="A59" s="7" t="inlineStr">
        <is>
          <t>Jun</t>
        </is>
      </c>
      <c r="B59" s="15" t="n">
        <v>151.75</v>
      </c>
      <c r="C59" s="15" t="n">
        <v>116.8</v>
      </c>
      <c r="D59" s="15" t="n">
        <v>126.92</v>
      </c>
      <c r="E59" s="15" t="n">
        <v>206.01</v>
      </c>
      <c r="F59" s="15" t="n">
        <v>286.15</v>
      </c>
      <c r="G59" s="15" t="n">
        <v>235.16</v>
      </c>
      <c r="H59" s="15" t="n">
        <v>316.72</v>
      </c>
      <c r="I59" s="15" t="n">
        <v>939.29</v>
      </c>
      <c r="J59" s="15" t="n">
        <v>728.78</v>
      </c>
      <c r="K59" s="15" t="n">
        <v>804.4299999999999</v>
      </c>
      <c r="L59" s="15" t="n">
        <v>914.38</v>
      </c>
      <c r="M59" s="15" t="n">
        <v>1368.86</v>
      </c>
      <c r="N59" s="15" t="n">
        <v>1628.38</v>
      </c>
      <c r="O59" s="15" t="n">
        <v>1474.45</v>
      </c>
      <c r="P59" s="15" t="n">
        <v>1524.31</v>
      </c>
      <c r="Q59" s="15" t="n">
        <v>1818.39</v>
      </c>
      <c r="R59" s="15" t="n">
        <v>2021.5</v>
      </c>
      <c r="S59" s="15" t="n">
        <v>1848.67</v>
      </c>
      <c r="T59" s="15" t="n">
        <v>1909.99</v>
      </c>
      <c r="U59" s="15" t="n">
        <v>1644.64</v>
      </c>
      <c r="V59" s="15" t="n">
        <v>1584.32</v>
      </c>
      <c r="W59" s="15" t="n">
        <v>1524.77</v>
      </c>
      <c r="X59" s="15" t="n">
        <v>1504.31</v>
      </c>
    </row>
    <row r="60">
      <c r="A60" s="4" t="inlineStr">
        <is>
          <t>Jul</t>
        </is>
      </c>
      <c r="B60" s="14" t="n">
        <v>146.96</v>
      </c>
      <c r="C60" s="14" t="n">
        <v>57.83</v>
      </c>
      <c r="D60" s="14" t="n">
        <v>134.02</v>
      </c>
      <c r="E60" s="14" t="n">
        <v>147.55</v>
      </c>
      <c r="F60" s="14" t="n">
        <v>246.12</v>
      </c>
      <c r="G60" s="14" t="n">
        <v>300.85</v>
      </c>
      <c r="H60" s="14" t="n">
        <v>318.49</v>
      </c>
      <c r="I60" s="14" t="n">
        <v>936.6799999999999</v>
      </c>
      <c r="J60" s="14" t="n">
        <v>809.63</v>
      </c>
      <c r="K60" s="14" t="n">
        <v>1003.51</v>
      </c>
      <c r="L60" s="14" t="n">
        <v>1237.49</v>
      </c>
      <c r="M60" s="14" t="n">
        <v>1361.85</v>
      </c>
      <c r="N60" s="14" t="n">
        <v>1758.58</v>
      </c>
      <c r="O60" s="14" t="n">
        <v>1571.3</v>
      </c>
      <c r="P60" s="14" t="n">
        <v>1729.39</v>
      </c>
      <c r="Q60" s="14" t="n">
        <v>1761.9</v>
      </c>
      <c r="R60" s="14" t="n">
        <v>2279.05</v>
      </c>
      <c r="S60" s="14" t="n">
        <v>1695.79</v>
      </c>
      <c r="T60" s="14" t="n">
        <v>1788.86</v>
      </c>
      <c r="U60" s="14" t="n">
        <v>1785.84</v>
      </c>
      <c r="V60" s="14" t="n">
        <v>1668.41</v>
      </c>
      <c r="W60" s="14" t="n">
        <v>1994.62</v>
      </c>
      <c r="X60" s="14" t="n">
        <v>1588.57</v>
      </c>
      <c r="Y60" s="5" t="n"/>
      <c r="Z60" s="5" t="n"/>
      <c r="AA60" s="5" t="n"/>
      <c r="AB60" s="5" t="n"/>
      <c r="AC60" s="5" t="n"/>
      <c r="AD60" s="5" t="n"/>
      <c r="AE60" s="5" t="n"/>
    </row>
    <row r="61">
      <c r="A61" s="7" t="inlineStr">
        <is>
          <t>Aug</t>
        </is>
      </c>
      <c r="B61" s="15" t="n">
        <v>181.65</v>
      </c>
      <c r="C61" s="15" t="n">
        <v>154.77</v>
      </c>
      <c r="D61" s="15" t="n">
        <v>104.2</v>
      </c>
      <c r="E61" s="15" t="n">
        <v>156.74</v>
      </c>
      <c r="F61" s="15" t="n">
        <v>212.6</v>
      </c>
      <c r="G61" s="15" t="n">
        <v>248.14</v>
      </c>
      <c r="H61" s="15" t="n">
        <v>409.46</v>
      </c>
      <c r="I61" s="15" t="n">
        <v>1105.82</v>
      </c>
      <c r="J61" s="15" t="n">
        <v>803.04</v>
      </c>
      <c r="K61" s="15" t="n">
        <v>912.83</v>
      </c>
      <c r="L61" s="15" t="n">
        <v>1087.21</v>
      </c>
      <c r="M61" s="15" t="n">
        <v>1274.78</v>
      </c>
      <c r="N61" s="15" t="n">
        <v>1703.02</v>
      </c>
      <c r="O61" s="15" t="n">
        <v>1681.34</v>
      </c>
      <c r="P61" s="15" t="n">
        <v>1388.14</v>
      </c>
      <c r="Q61" s="15" t="n">
        <v>1577.39</v>
      </c>
      <c r="R61" s="15" t="n">
        <v>1797.39</v>
      </c>
      <c r="S61" s="15" t="n">
        <v>1663.41</v>
      </c>
      <c r="T61" s="15" t="n">
        <v>1992.06</v>
      </c>
      <c r="U61" s="15" t="n">
        <v>1752.07</v>
      </c>
      <c r="V61" s="15" t="n">
        <v>1509.73</v>
      </c>
      <c r="W61" s="15" t="n">
        <v>1771.81</v>
      </c>
      <c r="X61" s="15" t="n">
        <v>1489.24</v>
      </c>
    </row>
    <row r="62">
      <c r="A62" s="4" t="inlineStr">
        <is>
          <t>Sep</t>
        </is>
      </c>
      <c r="B62" s="14" t="n">
        <v>190.97</v>
      </c>
      <c r="C62" s="14" t="n">
        <v>159.56</v>
      </c>
      <c r="D62" s="14" t="n">
        <v>53.8</v>
      </c>
      <c r="E62" s="14" t="n">
        <v>110.59</v>
      </c>
      <c r="F62" s="14" t="n">
        <v>135.79</v>
      </c>
      <c r="G62" s="14" t="n">
        <v>574.22</v>
      </c>
      <c r="H62" s="14" t="n">
        <v>350.49</v>
      </c>
      <c r="I62" s="14" t="n">
        <v>393.96</v>
      </c>
      <c r="J62" s="14" t="n">
        <v>765.2</v>
      </c>
      <c r="K62" s="14" t="n">
        <v>963.3099999999999</v>
      </c>
      <c r="L62" s="14" t="n">
        <v>1172.85</v>
      </c>
      <c r="M62" s="14" t="n">
        <v>1264.16</v>
      </c>
      <c r="N62" s="14" t="n">
        <v>1702.81</v>
      </c>
      <c r="O62" s="14" t="n">
        <v>1382.18</v>
      </c>
      <c r="P62" s="14" t="n">
        <v>1608.77</v>
      </c>
      <c r="Q62" s="14" t="n">
        <v>1526.28</v>
      </c>
      <c r="R62" s="14" t="n">
        <v>1507.17</v>
      </c>
      <c r="S62" s="14" t="n">
        <v>1635.69</v>
      </c>
      <c r="T62" s="14" t="n">
        <v>1798.06</v>
      </c>
      <c r="U62" s="14" t="n">
        <v>1491.5</v>
      </c>
      <c r="V62" s="14" t="n">
        <v>1174.53</v>
      </c>
      <c r="W62" s="14" t="n">
        <v>1649.55</v>
      </c>
      <c r="X62" s="14" t="n">
        <v>1317.16</v>
      </c>
      <c r="Y62" s="5" t="n"/>
      <c r="Z62" s="5" t="n"/>
      <c r="AA62" s="5" t="n"/>
      <c r="AB62" s="5" t="n"/>
      <c r="AC62" s="5" t="n"/>
      <c r="AD62" s="5" t="n"/>
      <c r="AE62" s="5" t="n"/>
    </row>
    <row r="63">
      <c r="A63" s="7" t="inlineStr">
        <is>
          <t>Oct</t>
        </is>
      </c>
      <c r="B63" s="15" t="n">
        <v>129.36</v>
      </c>
      <c r="C63" s="15" t="n">
        <v>125.37</v>
      </c>
      <c r="D63" s="15" t="n">
        <v>80.68000000000001</v>
      </c>
      <c r="E63" s="15" t="n">
        <v>131.42</v>
      </c>
      <c r="F63" s="15" t="n">
        <v>142.3</v>
      </c>
      <c r="G63" s="15" t="n">
        <v>378.63</v>
      </c>
      <c r="H63" s="15" t="n">
        <v>360.91</v>
      </c>
      <c r="I63" s="15" t="n">
        <v>549.28</v>
      </c>
      <c r="J63" s="15" t="n">
        <v>725.76</v>
      </c>
      <c r="K63" s="15" t="n">
        <v>1138.49</v>
      </c>
      <c r="L63" s="15" t="n">
        <v>1388.69</v>
      </c>
      <c r="M63" s="15" t="n">
        <v>1363.78</v>
      </c>
      <c r="N63" s="15" t="n">
        <v>1762.24</v>
      </c>
      <c r="O63" s="15" t="n">
        <v>1209.73</v>
      </c>
      <c r="P63" s="15" t="n">
        <v>1496.88</v>
      </c>
      <c r="Q63" s="15" t="n">
        <v>1307.84</v>
      </c>
      <c r="R63" s="15" t="n">
        <v>1839.77</v>
      </c>
      <c r="S63" s="15" t="n">
        <v>1737.33</v>
      </c>
      <c r="T63" s="15" t="n">
        <v>1568.78</v>
      </c>
      <c r="U63" s="15" t="n">
        <v>1367.48</v>
      </c>
      <c r="V63" s="15" t="n">
        <v>1337.95</v>
      </c>
      <c r="W63" s="15" t="n">
        <v>1329.72</v>
      </c>
      <c r="X63" s="15" t="n">
        <v>1389.91</v>
      </c>
    </row>
    <row r="64">
      <c r="A64" s="4" t="inlineStr">
        <is>
          <t>Nov</t>
        </is>
      </c>
      <c r="B64" s="14" t="n">
        <v>166.19</v>
      </c>
      <c r="C64" s="14" t="n">
        <v>143.09</v>
      </c>
      <c r="D64" s="14" t="n">
        <v>102.27</v>
      </c>
      <c r="E64" s="14" t="n">
        <v>128.35</v>
      </c>
      <c r="F64" s="14" t="n">
        <v>115.58</v>
      </c>
      <c r="G64" s="14" t="n">
        <v>316.89</v>
      </c>
      <c r="H64" s="14" t="n">
        <v>550.41</v>
      </c>
      <c r="I64" s="14" t="n">
        <v>685.36</v>
      </c>
      <c r="J64" s="14" t="n">
        <v>740.63</v>
      </c>
      <c r="K64" s="14" t="n">
        <v>996.95</v>
      </c>
      <c r="L64" s="14" t="n">
        <v>1188.01</v>
      </c>
      <c r="M64" s="14" t="n">
        <v>1336.78</v>
      </c>
      <c r="N64" s="14" t="n">
        <v>1597.22</v>
      </c>
      <c r="O64" s="14" t="n">
        <v>1387.26</v>
      </c>
      <c r="P64" s="14" t="n">
        <v>1484.32</v>
      </c>
      <c r="Q64" s="14" t="n">
        <v>1467.35</v>
      </c>
      <c r="R64" s="14" t="n">
        <v>1711.16</v>
      </c>
      <c r="S64" s="14" t="n">
        <v>1753.54</v>
      </c>
      <c r="T64" s="14" t="n">
        <v>1445.98</v>
      </c>
      <c r="U64" s="14" t="n">
        <v>1253.62</v>
      </c>
      <c r="V64" s="14" t="n">
        <v>1420.57</v>
      </c>
      <c r="W64" s="14" t="n">
        <v>1473.49</v>
      </c>
      <c r="X64" s="14" t="n">
        <v>1417.08</v>
      </c>
      <c r="Y64" s="5" t="n"/>
      <c r="Z64" s="5" t="n"/>
      <c r="AA64" s="5" t="n"/>
      <c r="AB64" s="5" t="n"/>
      <c r="AC64" s="5" t="n"/>
      <c r="AD64" s="5" t="n"/>
      <c r="AE64" s="5" t="n"/>
    </row>
    <row r="65">
      <c r="A65" s="7" t="inlineStr">
        <is>
          <t>Dec</t>
        </is>
      </c>
      <c r="B65" s="15" t="n">
        <v>262.54</v>
      </c>
      <c r="C65" s="15" t="n">
        <v>222.98</v>
      </c>
      <c r="D65" s="15" t="n">
        <v>129.61</v>
      </c>
      <c r="E65" s="15" t="n">
        <v>229.66</v>
      </c>
      <c r="F65" s="15" t="n">
        <v>84.13</v>
      </c>
      <c r="G65" s="15" t="n">
        <v>193.79</v>
      </c>
      <c r="H65" s="15" t="n">
        <v>523.45</v>
      </c>
      <c r="I65" s="15" t="n">
        <v>863.52</v>
      </c>
      <c r="J65" s="15" t="n">
        <v>528.4</v>
      </c>
      <c r="K65" s="15" t="n">
        <v>831.22</v>
      </c>
      <c r="L65" s="15" t="n">
        <v>1468.7</v>
      </c>
      <c r="M65" s="15" t="n">
        <v>1332.41</v>
      </c>
      <c r="N65" s="15" t="n">
        <v>1667.02</v>
      </c>
      <c r="O65" s="15" t="n">
        <v>1483.61</v>
      </c>
      <c r="P65" s="15" t="n">
        <v>1692.39</v>
      </c>
      <c r="Q65" s="15" t="n">
        <v>1601.96</v>
      </c>
      <c r="R65" s="15" t="n">
        <v>1833.22</v>
      </c>
      <c r="S65" s="15" t="n">
        <v>1803.82</v>
      </c>
      <c r="T65" s="15" t="n">
        <v>1693.27</v>
      </c>
      <c r="U65" s="15" t="n">
        <v>1522.12</v>
      </c>
      <c r="V65" s="15" t="n">
        <v>1719.9</v>
      </c>
      <c r="W65" s="15" t="n">
        <v>1752.87</v>
      </c>
      <c r="X65" s="15" t="n">
        <v>1704.07</v>
      </c>
    </row>
    <row r="66">
      <c r="A66" s="9" t="inlineStr">
        <is>
          <t xml:space="preserve">  Calendar-year Total</t>
        </is>
      </c>
      <c r="B66" s="9">
        <f>SUM(B54:B65)</f>
        <v/>
      </c>
      <c r="C66" s="9">
        <f>SUM(C54:C65)</f>
        <v/>
      </c>
      <c r="D66" s="9">
        <f>SUM(D54:D65)</f>
        <v/>
      </c>
      <c r="E66" s="9">
        <f>SUM(E54:E65)</f>
        <v/>
      </c>
      <c r="F66" s="9">
        <f>SUM(F54:F65)</f>
        <v/>
      </c>
      <c r="G66" s="9">
        <f>SUM(G54:G65)</f>
        <v/>
      </c>
      <c r="H66" s="9">
        <f>SUM(H54:H65)</f>
        <v/>
      </c>
      <c r="I66" s="9">
        <f>SUM(I54:I65)</f>
        <v/>
      </c>
      <c r="J66" s="9">
        <f>SUM(J54:J65)</f>
        <v/>
      </c>
      <c r="K66" s="9">
        <f>SUM(K54:K65)</f>
        <v/>
      </c>
      <c r="L66" s="9">
        <f>SUM(L54:L65)</f>
        <v/>
      </c>
      <c r="M66" s="9">
        <f>SUM(M54:M65)</f>
        <v/>
      </c>
      <c r="N66" s="9">
        <f>SUM(N54:N65)</f>
        <v/>
      </c>
      <c r="O66" s="9">
        <f>SUM(O54:O65)</f>
        <v/>
      </c>
      <c r="P66" s="9">
        <f>SUM(P54:P65)</f>
        <v/>
      </c>
      <c r="Q66" s="9">
        <f>SUM(Q54:Q65)</f>
        <v/>
      </c>
      <c r="R66" s="9">
        <f>SUM(R54:R65)</f>
        <v/>
      </c>
      <c r="S66" s="9">
        <f>SUM(S54:S65)</f>
        <v/>
      </c>
      <c r="T66" s="9">
        <f>SUM(T54:T65)</f>
        <v/>
      </c>
      <c r="U66" s="9">
        <f>SUM(U54:U65)</f>
        <v/>
      </c>
      <c r="V66" s="9">
        <f>SUM(V54:V65)</f>
        <v/>
      </c>
      <c r="W66" s="9">
        <f>SUM(W54:W65)</f>
        <v/>
      </c>
      <c r="X66" s="9">
        <f>SUM(X54:X65)</f>
        <v/>
      </c>
      <c r="Y66" s="9">
        <f>SUM(Y54:Y65)</f>
        <v/>
      </c>
      <c r="Z66" s="9">
        <f>SUM(Z54:Z65)</f>
        <v/>
      </c>
      <c r="AA66" s="9">
        <f>SUM(AA54:AA65)</f>
        <v/>
      </c>
      <c r="AB66" s="9">
        <f>SUM(AB54:AB65)</f>
        <v/>
      </c>
      <c r="AC66" s="9">
        <f>SUM(AC54:AC65)</f>
        <v/>
      </c>
      <c r="AD66" s="9">
        <f>SUM(AD54:AD65)</f>
        <v/>
      </c>
      <c r="AE66" s="9">
        <f>SUM(AE54:AE65)</f>
        <v/>
      </c>
    </row>
    <row r="68">
      <c r="A68" s="12" t="inlineStr">
        <is>
          <t>US DISTILLATE CONSUMPTION</t>
        </is>
      </c>
    </row>
    <row r="69">
      <c r="A69" s="13" t="inlineStr">
        <is>
          <t>(million gallons)</t>
        </is>
      </c>
      <c r="B69" s="3" t="n">
        <v>2001</v>
      </c>
      <c r="C69" s="3" t="n">
        <v>2002</v>
      </c>
      <c r="D69" s="3" t="n">
        <v>2003</v>
      </c>
      <c r="E69" s="3" t="n">
        <v>2004</v>
      </c>
      <c r="F69" s="3" t="n">
        <v>2005</v>
      </c>
      <c r="G69" s="3" t="n">
        <v>2006</v>
      </c>
      <c r="H69" s="3" t="n">
        <v>2007</v>
      </c>
      <c r="I69" s="3" t="n">
        <v>2008</v>
      </c>
      <c r="J69" s="3" t="n">
        <v>2009</v>
      </c>
      <c r="K69" s="3" t="n">
        <v>2010</v>
      </c>
      <c r="L69" s="3" t="n">
        <v>2011</v>
      </c>
      <c r="M69" s="3" t="n">
        <v>2012</v>
      </c>
      <c r="N69" s="3" t="n">
        <v>2013</v>
      </c>
      <c r="O69" s="3" t="n">
        <v>2014</v>
      </c>
      <c r="P69" s="3" t="n">
        <v>2015</v>
      </c>
      <c r="Q69" s="3" t="n">
        <v>2016</v>
      </c>
      <c r="R69" s="3" t="n">
        <v>2017</v>
      </c>
      <c r="S69" s="3" t="n">
        <v>2018</v>
      </c>
      <c r="T69" s="3" t="n">
        <v>2019</v>
      </c>
      <c r="U69" s="3" t="n">
        <v>2020</v>
      </c>
      <c r="V69" s="3" t="n">
        <v>2021</v>
      </c>
      <c r="W69" s="3" t="n">
        <v>2022</v>
      </c>
      <c r="X69" s="3" t="n">
        <v>2023</v>
      </c>
      <c r="Y69" s="3" t="n">
        <v>2024</v>
      </c>
      <c r="Z69" s="3" t="n">
        <v>2025</v>
      </c>
      <c r="AA69" s="3" t="n">
        <v>2026</v>
      </c>
      <c r="AB69" s="3" t="n">
        <v>2027</v>
      </c>
      <c r="AC69" s="3" t="n">
        <v>2028</v>
      </c>
      <c r="AD69" s="3" t="n">
        <v>2029</v>
      </c>
      <c r="AE69" s="3" t="n">
        <v>2030</v>
      </c>
    </row>
    <row r="70">
      <c r="A70" s="4" t="inlineStr">
        <is>
          <t>Jan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14" t="n">
        <v>5153.36</v>
      </c>
      <c r="M70" s="14" t="n">
        <v>5026.94</v>
      </c>
      <c r="N70" s="14" t="n">
        <v>5288.47</v>
      </c>
      <c r="O70" s="14" t="n">
        <v>5650.68</v>
      </c>
      <c r="P70" s="14" t="n">
        <v>5449.84</v>
      </c>
      <c r="Q70" s="14" t="n">
        <v>5013.04</v>
      </c>
      <c r="R70" s="14" t="n">
        <v>4863.73</v>
      </c>
      <c r="S70" s="14" t="n">
        <v>5776.05</v>
      </c>
      <c r="T70" s="14" t="n">
        <v>5569.37</v>
      </c>
      <c r="U70" s="14" t="n">
        <v>5168.06</v>
      </c>
      <c r="V70" s="14" t="n">
        <v>5125.34</v>
      </c>
      <c r="W70" s="14" t="n">
        <v>5375.66</v>
      </c>
      <c r="X70" s="14" t="n">
        <v>5083.85</v>
      </c>
      <c r="Y70" s="14" t="n">
        <v>5038.36</v>
      </c>
      <c r="Z70" s="14" t="n">
        <v>5268.52</v>
      </c>
      <c r="AA70" s="14" t="n">
        <v>5284.56</v>
      </c>
      <c r="AB70" s="14" t="n">
        <v>5346.27</v>
      </c>
      <c r="AC70" s="14" t="n">
        <v>5354.26</v>
      </c>
      <c r="AD70" s="14" t="n">
        <v>5380.87</v>
      </c>
      <c r="AE70" s="14" t="n">
        <v>5428.42</v>
      </c>
    </row>
    <row r="71">
      <c r="A71" s="7" t="inlineStr">
        <is>
          <t>Feb</t>
        </is>
      </c>
      <c r="L71" s="15" t="n">
        <v>4602.23</v>
      </c>
      <c r="M71" s="15" t="n">
        <v>4778.05</v>
      </c>
      <c r="N71" s="15" t="n">
        <v>4685.65</v>
      </c>
      <c r="O71" s="15" t="n">
        <v>4892.45</v>
      </c>
      <c r="P71" s="15" t="n">
        <v>5361.68</v>
      </c>
      <c r="Q71" s="15" t="n">
        <v>4867.25</v>
      </c>
      <c r="R71" s="15" t="n">
        <v>4627.35</v>
      </c>
      <c r="S71" s="15" t="n">
        <v>4611.94</v>
      </c>
      <c r="T71" s="15" t="n">
        <v>4987.5</v>
      </c>
      <c r="U71" s="15" t="n">
        <v>4883.38</v>
      </c>
      <c r="V71" s="15" t="n">
        <v>4666.96</v>
      </c>
      <c r="W71" s="15" t="n">
        <v>5132.99</v>
      </c>
      <c r="X71" s="15" t="n">
        <v>4725.46</v>
      </c>
      <c r="Y71" s="15" t="n">
        <v>4773.89</v>
      </c>
      <c r="Z71" s="15" t="n">
        <v>4939.92</v>
      </c>
      <c r="AA71" s="15" t="n">
        <v>4947.27</v>
      </c>
      <c r="AB71" s="15" t="n">
        <v>5031.99</v>
      </c>
      <c r="AC71" s="15" t="n">
        <v>5024.42</v>
      </c>
      <c r="AD71" s="15" t="n">
        <v>5058.64</v>
      </c>
      <c r="AE71" s="15" t="n">
        <v>5095.75</v>
      </c>
    </row>
    <row r="72">
      <c r="A72" s="4" t="inlineStr">
        <is>
          <t>Mar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14" t="n">
        <v>5266.72</v>
      </c>
      <c r="M72" s="14" t="n">
        <v>4836.72</v>
      </c>
      <c r="N72" s="14" t="n">
        <v>4907.41</v>
      </c>
      <c r="O72" s="14" t="n">
        <v>5294.14</v>
      </c>
      <c r="P72" s="14" t="n">
        <v>5309.77</v>
      </c>
      <c r="Q72" s="14" t="n">
        <v>5138.99</v>
      </c>
      <c r="R72" s="14" t="n">
        <v>5372.89</v>
      </c>
      <c r="S72" s="14" t="n">
        <v>5367.89</v>
      </c>
      <c r="T72" s="14" t="n">
        <v>5350.17</v>
      </c>
      <c r="U72" s="14" t="n">
        <v>5071.96</v>
      </c>
      <c r="V72" s="14" t="n">
        <v>5308.34</v>
      </c>
      <c r="W72" s="14" t="n">
        <v>5446.43</v>
      </c>
      <c r="X72" s="14" t="n">
        <v>5342.48</v>
      </c>
      <c r="Y72" s="14" t="n">
        <v>4783.13</v>
      </c>
      <c r="Z72" s="14" t="n">
        <v>5301.42</v>
      </c>
      <c r="AA72" s="14" t="n">
        <v>5343.76</v>
      </c>
      <c r="AB72" s="14" t="n">
        <v>5380.4</v>
      </c>
      <c r="AC72" s="14" t="n">
        <v>5380.94</v>
      </c>
      <c r="AD72" s="14" t="n">
        <v>5359.93</v>
      </c>
      <c r="AE72" s="14" t="n">
        <v>5455.31</v>
      </c>
    </row>
    <row r="73">
      <c r="A73" s="7" t="inlineStr">
        <is>
          <t>Apr</t>
        </is>
      </c>
      <c r="L73" s="15" t="n">
        <v>4730.67</v>
      </c>
      <c r="M73" s="15" t="n">
        <v>4685.86</v>
      </c>
      <c r="N73" s="15" t="n">
        <v>4856.5</v>
      </c>
      <c r="O73" s="15" t="n">
        <v>5027.19</v>
      </c>
      <c r="P73" s="15" t="n">
        <v>5074.52</v>
      </c>
      <c r="Q73" s="15" t="n">
        <v>4786.57</v>
      </c>
      <c r="R73" s="15" t="n">
        <v>4741.17</v>
      </c>
      <c r="S73" s="15" t="n">
        <v>5121.86</v>
      </c>
      <c r="T73" s="15" t="n">
        <v>5102.16</v>
      </c>
      <c r="U73" s="15" t="n">
        <v>4360.23</v>
      </c>
      <c r="V73" s="15" t="n">
        <v>5100.82</v>
      </c>
      <c r="W73" s="15" t="n">
        <v>5009.26</v>
      </c>
      <c r="X73" s="15" t="n">
        <v>4914.25</v>
      </c>
      <c r="Y73" s="15" t="n">
        <v>4788.8</v>
      </c>
      <c r="Z73" s="15" t="n">
        <v>4938.02</v>
      </c>
      <c r="AA73" s="15" t="n">
        <v>5051.76</v>
      </c>
      <c r="AB73" s="15" t="n">
        <v>5069.45</v>
      </c>
      <c r="AC73" s="15" t="n">
        <v>5095.15</v>
      </c>
      <c r="AD73" s="15" t="n">
        <v>5104.83</v>
      </c>
      <c r="AE73" s="15" t="n">
        <v>5148.12</v>
      </c>
    </row>
    <row r="74">
      <c r="A74" s="4" t="inlineStr">
        <is>
          <t>May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14" t="n">
        <v>4816.6</v>
      </c>
      <c r="M74" s="14" t="n">
        <v>4890.69</v>
      </c>
      <c r="N74" s="14" t="n">
        <v>4881.2</v>
      </c>
      <c r="O74" s="14" t="n">
        <v>5145</v>
      </c>
      <c r="P74" s="14" t="n">
        <v>4918.37</v>
      </c>
      <c r="Q74" s="14" t="n">
        <v>4859.02</v>
      </c>
      <c r="R74" s="14" t="n">
        <v>5149.49</v>
      </c>
      <c r="S74" s="14" t="n">
        <v>5385.7</v>
      </c>
      <c r="T74" s="14" t="n">
        <v>5251.3</v>
      </c>
      <c r="U74" s="14" t="n">
        <v>4400.34</v>
      </c>
      <c r="V74" s="14" t="n">
        <v>5077.76</v>
      </c>
      <c r="W74" s="14" t="n">
        <v>5046.09</v>
      </c>
      <c r="X74" s="14" t="n">
        <v>5116.69</v>
      </c>
      <c r="Y74" s="14" t="n">
        <v>4952.55</v>
      </c>
      <c r="Z74" s="14" t="n">
        <v>5023.83</v>
      </c>
      <c r="AA74" s="14" t="n">
        <v>5146.82</v>
      </c>
      <c r="AB74" s="14" t="n">
        <v>5189.28</v>
      </c>
      <c r="AC74" s="14" t="n">
        <v>5232.37</v>
      </c>
      <c r="AD74" s="14" t="n">
        <v>5227.97</v>
      </c>
      <c r="AE74" s="14" t="n">
        <v>5262.47</v>
      </c>
    </row>
    <row r="75">
      <c r="A75" s="7" t="inlineStr">
        <is>
          <t>Jun</t>
        </is>
      </c>
      <c r="L75" s="15" t="n">
        <v>4973.77</v>
      </c>
      <c r="M75" s="15" t="n">
        <v>4702.91</v>
      </c>
      <c r="N75" s="15" t="n">
        <v>4615.21</v>
      </c>
      <c r="O75" s="15" t="n">
        <v>4915.97</v>
      </c>
      <c r="P75" s="15" t="n">
        <v>4910.01</v>
      </c>
      <c r="Q75" s="15" t="n">
        <v>4854.44</v>
      </c>
      <c r="R75" s="15" t="n">
        <v>4994.09</v>
      </c>
      <c r="S75" s="15" t="n">
        <v>4873.13</v>
      </c>
      <c r="T75" s="15" t="n">
        <v>4938.82</v>
      </c>
      <c r="U75" s="15" t="n">
        <v>4306.39</v>
      </c>
      <c r="V75" s="15" t="n">
        <v>4971.41</v>
      </c>
      <c r="W75" s="15" t="n">
        <v>5101.91</v>
      </c>
      <c r="X75" s="15" t="n">
        <v>4987.75</v>
      </c>
      <c r="Y75" s="15" t="n">
        <v>4835.98</v>
      </c>
      <c r="Z75" s="15" t="n">
        <v>4944.16</v>
      </c>
      <c r="AA75" s="15" t="n">
        <v>5070.14</v>
      </c>
      <c r="AB75" s="15" t="n">
        <v>5118.27</v>
      </c>
      <c r="AC75" s="15" t="n">
        <v>5135.07</v>
      </c>
      <c r="AD75" s="15" t="n">
        <v>5137.67</v>
      </c>
      <c r="AE75" s="15" t="n">
        <v>5177.9</v>
      </c>
    </row>
    <row r="76">
      <c r="A76" s="4" t="inlineStr">
        <is>
          <t>Jul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14" t="n">
        <v>4639.91</v>
      </c>
      <c r="M76" s="14" t="n">
        <v>4630.67</v>
      </c>
      <c r="N76" s="14" t="n">
        <v>4714.54</v>
      </c>
      <c r="O76" s="14" t="n">
        <v>5034.12</v>
      </c>
      <c r="P76" s="14" t="n">
        <v>5079.35</v>
      </c>
      <c r="Q76" s="14" t="n">
        <v>4683.8</v>
      </c>
      <c r="R76" s="14" t="n">
        <v>4741.63</v>
      </c>
      <c r="S76" s="14" t="n">
        <v>5056.34</v>
      </c>
      <c r="T76" s="14" t="n">
        <v>4991.2</v>
      </c>
      <c r="U76" s="14" t="n">
        <v>4592.07</v>
      </c>
      <c r="V76" s="14" t="n">
        <v>4784.05</v>
      </c>
      <c r="W76" s="14" t="n">
        <v>4845.37</v>
      </c>
      <c r="X76" s="14" t="n">
        <v>4749.15</v>
      </c>
      <c r="Y76" s="14" t="n">
        <v>4767.45</v>
      </c>
      <c r="Z76" s="14" t="n">
        <v>4849.1</v>
      </c>
      <c r="AA76" s="14" t="n">
        <v>4897.45</v>
      </c>
      <c r="AB76" s="14" t="n">
        <v>4947.64</v>
      </c>
      <c r="AC76" s="14" t="n">
        <v>4981.68</v>
      </c>
      <c r="AD76" s="14" t="n">
        <v>5002.53</v>
      </c>
      <c r="AE76" s="14" t="n">
        <v>5029.75</v>
      </c>
    </row>
    <row r="77">
      <c r="A77" s="7" t="inlineStr">
        <is>
          <t>Aug</t>
        </is>
      </c>
      <c r="L77" s="15" t="n">
        <v>5219.63</v>
      </c>
      <c r="M77" s="15" t="n">
        <v>4873.34</v>
      </c>
      <c r="N77" s="15" t="n">
        <v>4808.58</v>
      </c>
      <c r="O77" s="15" t="n">
        <v>5044.91</v>
      </c>
      <c r="P77" s="15" t="n">
        <v>5096.91</v>
      </c>
      <c r="Q77" s="15" t="n">
        <v>5052.22</v>
      </c>
      <c r="R77" s="15" t="n">
        <v>5212.58</v>
      </c>
      <c r="S77" s="15" t="n">
        <v>5344.71</v>
      </c>
      <c r="T77" s="15" t="n">
        <v>5150.71</v>
      </c>
      <c r="U77" s="15" t="n">
        <v>4675.99</v>
      </c>
      <c r="V77" s="15" t="n">
        <v>5187.5</v>
      </c>
      <c r="W77" s="15" t="n">
        <v>5130.47</v>
      </c>
      <c r="X77" s="15" t="n">
        <v>5382.01</v>
      </c>
      <c r="Y77" s="15" t="n">
        <v>5078.79</v>
      </c>
      <c r="Z77" s="15" t="n">
        <v>5199.77</v>
      </c>
      <c r="AA77" s="15" t="n">
        <v>5302.27</v>
      </c>
      <c r="AB77" s="15" t="n">
        <v>5354.96</v>
      </c>
      <c r="AC77" s="15" t="n">
        <v>5415.22</v>
      </c>
      <c r="AD77" s="15" t="n">
        <v>5392.96</v>
      </c>
      <c r="AE77" s="15" t="n">
        <v>5434.68</v>
      </c>
    </row>
    <row r="78">
      <c r="A78" s="4" t="inlineStr">
        <is>
          <t>Sep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14" t="n">
        <v>4959.4</v>
      </c>
      <c r="M78" s="14" t="n">
        <v>4629.58</v>
      </c>
      <c r="N78" s="14" t="n">
        <v>4693.04</v>
      </c>
      <c r="O78" s="14" t="n">
        <v>4956.08</v>
      </c>
      <c r="P78" s="14" t="n">
        <v>5119.34</v>
      </c>
      <c r="Q78" s="14" t="n">
        <v>4929.16</v>
      </c>
      <c r="R78" s="14" t="n">
        <v>4940.71</v>
      </c>
      <c r="S78" s="14" t="n">
        <v>4961</v>
      </c>
      <c r="T78" s="14" t="n">
        <v>4854.07</v>
      </c>
      <c r="U78" s="14" t="n">
        <v>4701.82</v>
      </c>
      <c r="V78" s="14" t="n">
        <v>5079.98</v>
      </c>
      <c r="W78" s="14" t="n">
        <v>5149.96</v>
      </c>
      <c r="X78" s="14" t="n">
        <v>4940.38</v>
      </c>
      <c r="Y78" s="14" t="n">
        <v>4919.52</v>
      </c>
      <c r="Z78" s="14" t="n">
        <v>5064.32</v>
      </c>
      <c r="AA78" s="14" t="n">
        <v>5134.02</v>
      </c>
      <c r="AB78" s="14" t="n">
        <v>5173.32</v>
      </c>
      <c r="AC78" s="14" t="n">
        <v>5191.71</v>
      </c>
      <c r="AD78" s="14" t="n">
        <v>5215.29</v>
      </c>
      <c r="AE78" s="14" t="n">
        <v>5253.99</v>
      </c>
    </row>
    <row r="79">
      <c r="A79" s="7" t="inlineStr">
        <is>
          <t>Oct</t>
        </is>
      </c>
      <c r="L79" s="15" t="n">
        <v>5212.41</v>
      </c>
      <c r="M79" s="15" t="n">
        <v>5015.81</v>
      </c>
      <c r="N79" s="15" t="n">
        <v>5258.44</v>
      </c>
      <c r="O79" s="15" t="n">
        <v>5554.71</v>
      </c>
      <c r="P79" s="15" t="n">
        <v>5226.4</v>
      </c>
      <c r="Q79" s="15" t="n">
        <v>5190.19</v>
      </c>
      <c r="R79" s="15" t="n">
        <v>5222.62</v>
      </c>
      <c r="S79" s="15" t="n">
        <v>5552.78</v>
      </c>
      <c r="T79" s="15" t="n">
        <v>5408.8</v>
      </c>
      <c r="U79" s="15" t="n">
        <v>5154.11</v>
      </c>
      <c r="V79" s="15" t="n">
        <v>5165.2</v>
      </c>
      <c r="W79" s="15" t="n">
        <v>5419.81</v>
      </c>
      <c r="X79" s="15" t="n">
        <v>5295.44</v>
      </c>
      <c r="Y79" s="15" t="n">
        <v>5261.17</v>
      </c>
      <c r="Z79" s="15" t="n">
        <v>5371.57</v>
      </c>
      <c r="AA79" s="15" t="n">
        <v>5411.4</v>
      </c>
      <c r="AB79" s="15" t="n">
        <v>5491.66</v>
      </c>
      <c r="AC79" s="15" t="n">
        <v>5520.87</v>
      </c>
      <c r="AD79" s="15" t="n">
        <v>5537.37</v>
      </c>
      <c r="AE79" s="15" t="n">
        <v>5570.76</v>
      </c>
    </row>
    <row r="80">
      <c r="A80" s="4" t="inlineStr">
        <is>
          <t>Nov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14" t="n">
        <v>5177.89</v>
      </c>
      <c r="M80" s="14" t="n">
        <v>4847.93</v>
      </c>
      <c r="N80" s="14" t="n">
        <v>4905.47</v>
      </c>
      <c r="O80" s="14" t="n">
        <v>4935.67</v>
      </c>
      <c r="P80" s="14" t="n">
        <v>4712.69</v>
      </c>
      <c r="Q80" s="14" t="n">
        <v>4962.38</v>
      </c>
      <c r="R80" s="14" t="n">
        <v>5238.37</v>
      </c>
      <c r="S80" s="14" t="n">
        <v>5198.8</v>
      </c>
      <c r="T80" s="14" t="n">
        <v>5212.62</v>
      </c>
      <c r="U80" s="14" t="n">
        <v>4787.62</v>
      </c>
      <c r="V80" s="14" t="n">
        <v>5279.78</v>
      </c>
      <c r="W80" s="14" t="n">
        <v>5115.14</v>
      </c>
      <c r="X80" s="14" t="n">
        <v>5053.69</v>
      </c>
      <c r="Y80" s="14" t="n">
        <v>5063.3</v>
      </c>
      <c r="Z80" s="14" t="n">
        <v>5168.07</v>
      </c>
      <c r="AA80" s="14" t="n">
        <v>5241.34</v>
      </c>
      <c r="AB80" s="14" t="n">
        <v>5262.25</v>
      </c>
      <c r="AC80" s="14" t="n">
        <v>5306.34</v>
      </c>
      <c r="AD80" s="14" t="n">
        <v>5329.57</v>
      </c>
      <c r="AE80" s="14" t="n">
        <v>5361.79</v>
      </c>
    </row>
    <row r="81">
      <c r="A81" s="7" t="inlineStr">
        <is>
          <t>Dec</t>
        </is>
      </c>
      <c r="L81" s="15" t="n">
        <v>5016.82</v>
      </c>
      <c r="M81" s="15" t="n">
        <v>4594.51</v>
      </c>
      <c r="N81" s="15" t="n">
        <v>5060.54</v>
      </c>
      <c r="O81" s="15" t="n">
        <v>5440.01</v>
      </c>
      <c r="P81" s="15" t="n">
        <v>4988.13</v>
      </c>
      <c r="Q81" s="15" t="n">
        <v>5264.07</v>
      </c>
      <c r="R81" s="15" t="n">
        <v>5175.83</v>
      </c>
      <c r="S81" s="15" t="n">
        <v>5130.43</v>
      </c>
      <c r="T81" s="15" t="n">
        <v>5020.93</v>
      </c>
      <c r="U81" s="15" t="n">
        <v>4946.21</v>
      </c>
      <c r="V81" s="15" t="n">
        <v>5143.07</v>
      </c>
      <c r="W81" s="15" t="n">
        <v>4938.23</v>
      </c>
      <c r="X81" s="15" t="n">
        <v>4705.3</v>
      </c>
      <c r="Y81" s="15" t="n">
        <v>4925.01</v>
      </c>
      <c r="Z81" s="15" t="n">
        <v>5036.98</v>
      </c>
      <c r="AA81" s="15" t="n">
        <v>5051.24</v>
      </c>
      <c r="AB81" s="15" t="n">
        <v>5060.15</v>
      </c>
      <c r="AC81" s="15" t="n">
        <v>5098.53</v>
      </c>
      <c r="AD81" s="15" t="n">
        <v>5151.64</v>
      </c>
      <c r="AE81" s="15" t="n">
        <v>5176.52</v>
      </c>
    </row>
    <row r="82">
      <c r="A82" s="9" t="inlineStr">
        <is>
          <t xml:space="preserve">  Calendar-year Total</t>
        </is>
      </c>
      <c r="B82" s="9">
        <f>SUM(B70:B81)</f>
        <v/>
      </c>
      <c r="C82" s="9">
        <f>SUM(C70:C81)</f>
        <v/>
      </c>
      <c r="D82" s="9">
        <f>SUM(D70:D81)</f>
        <v/>
      </c>
      <c r="E82" s="9">
        <f>SUM(E70:E81)</f>
        <v/>
      </c>
      <c r="F82" s="9">
        <f>SUM(F70:F81)</f>
        <v/>
      </c>
      <c r="G82" s="9">
        <f>SUM(G70:G81)</f>
        <v/>
      </c>
      <c r="H82" s="9">
        <f>SUM(H70:H81)</f>
        <v/>
      </c>
      <c r="I82" s="9">
        <f>SUM(I70:I81)</f>
        <v/>
      </c>
      <c r="J82" s="9">
        <f>SUM(J70:J81)</f>
        <v/>
      </c>
      <c r="K82" s="9">
        <f>SUM(K70:K81)</f>
        <v/>
      </c>
      <c r="L82" s="9">
        <f>SUM(L70:L81)</f>
        <v/>
      </c>
      <c r="M82" s="9">
        <f>SUM(M70:M81)</f>
        <v/>
      </c>
      <c r="N82" s="9">
        <f>SUM(N70:N81)</f>
        <v/>
      </c>
      <c r="O82" s="9">
        <f>SUM(O70:O81)</f>
        <v/>
      </c>
      <c r="P82" s="9">
        <f>SUM(P70:P81)</f>
        <v/>
      </c>
      <c r="Q82" s="9">
        <f>SUM(Q70:Q81)</f>
        <v/>
      </c>
      <c r="R82" s="9">
        <f>SUM(R70:R81)</f>
        <v/>
      </c>
      <c r="S82" s="9">
        <f>SUM(S70:S81)</f>
        <v/>
      </c>
      <c r="T82" s="9">
        <f>SUM(T70:T81)</f>
        <v/>
      </c>
      <c r="U82" s="9">
        <f>SUM(U70:U81)</f>
        <v/>
      </c>
      <c r="V82" s="9">
        <f>SUM(V70:V81)</f>
        <v/>
      </c>
      <c r="W82" s="9">
        <f>SUM(W70:W81)</f>
        <v/>
      </c>
      <c r="X82" s="9">
        <f>SUM(X70:X81)</f>
        <v/>
      </c>
      <c r="Y82" s="9">
        <f>SUM(Y70:Y81)</f>
        <v/>
      </c>
      <c r="Z82" s="9">
        <f>SUM(Z70:Z81)</f>
        <v/>
      </c>
      <c r="AA82" s="9">
        <f>SUM(AA70:AA81)</f>
        <v/>
      </c>
      <c r="AB82" s="9">
        <f>SUM(AB70:AB81)</f>
        <v/>
      </c>
      <c r="AC82" s="9">
        <f>SUM(AC70:AC81)</f>
        <v/>
      </c>
      <c r="AD82" s="9">
        <f>SUM(AD70:AD81)</f>
        <v/>
      </c>
      <c r="AE82" s="9">
        <f>SUM(AE70:AE81)</f>
        <v/>
      </c>
    </row>
    <row r="84">
      <c r="A84" s="12" t="inlineStr">
        <is>
          <t>US DISTILLATE STOCKS</t>
        </is>
      </c>
    </row>
    <row r="85">
      <c r="A85" s="13" t="inlineStr">
        <is>
          <t>(million gallons)</t>
        </is>
      </c>
      <c r="B85" s="3" t="n">
        <v>2001</v>
      </c>
      <c r="C85" s="3" t="n">
        <v>2002</v>
      </c>
      <c r="D85" s="3" t="n">
        <v>2003</v>
      </c>
      <c r="E85" s="3" t="n">
        <v>2004</v>
      </c>
      <c r="F85" s="3" t="n">
        <v>2005</v>
      </c>
      <c r="G85" s="3" t="n">
        <v>2006</v>
      </c>
      <c r="H85" s="3" t="n">
        <v>2007</v>
      </c>
      <c r="I85" s="3" t="n">
        <v>2008</v>
      </c>
      <c r="J85" s="3" t="n">
        <v>2009</v>
      </c>
      <c r="K85" s="3" t="n">
        <v>2010</v>
      </c>
      <c r="L85" s="3" t="n">
        <v>2011</v>
      </c>
      <c r="M85" s="3" t="n">
        <v>2012</v>
      </c>
      <c r="N85" s="3" t="n">
        <v>2013</v>
      </c>
      <c r="O85" s="3" t="n">
        <v>2014</v>
      </c>
      <c r="P85" s="3" t="n">
        <v>2015</v>
      </c>
      <c r="Q85" s="3" t="n">
        <v>2016</v>
      </c>
      <c r="R85" s="3" t="n">
        <v>2017</v>
      </c>
      <c r="S85" s="3" t="n">
        <v>2018</v>
      </c>
      <c r="T85" s="3" t="n">
        <v>2019</v>
      </c>
      <c r="U85" s="3" t="n">
        <v>2020</v>
      </c>
      <c r="V85" s="3" t="n">
        <v>2021</v>
      </c>
      <c r="W85" s="3" t="n">
        <v>2022</v>
      </c>
      <c r="X85" s="3" t="n">
        <v>2023</v>
      </c>
      <c r="Y85" s="3" t="n">
        <v>2024</v>
      </c>
      <c r="Z85" s="3" t="n">
        <v>2025</v>
      </c>
      <c r="AA85" s="3" t="n">
        <v>2026</v>
      </c>
      <c r="AB85" s="3" t="n">
        <v>2027</v>
      </c>
      <c r="AC85" s="3" t="n">
        <v>2028</v>
      </c>
      <c r="AD85" s="3" t="n">
        <v>2029</v>
      </c>
      <c r="AE85" s="3" t="n">
        <v>2030</v>
      </c>
    </row>
    <row r="86">
      <c r="A86" s="4" t="inlineStr">
        <is>
          <t>Jan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14" t="n">
        <v>-1088.85</v>
      </c>
      <c r="T86" s="14" t="n">
        <v>-751.97</v>
      </c>
      <c r="U86" s="14" t="n">
        <v>-585.02</v>
      </c>
      <c r="V86" s="14" t="n">
        <v>-659.48</v>
      </c>
      <c r="W86" s="14" t="n">
        <v>-818.66</v>
      </c>
      <c r="X86" s="14" t="n">
        <v>-604.97</v>
      </c>
      <c r="Y86" s="14" t="n">
        <v>-559.48</v>
      </c>
      <c r="Z86" s="5" t="n"/>
      <c r="AA86" s="5" t="n"/>
      <c r="AB86" s="5" t="n"/>
      <c r="AC86" s="14" t="n">
        <v>0.19</v>
      </c>
      <c r="AD86" s="14" t="n">
        <v>0.14</v>
      </c>
      <c r="AE86" s="14" t="n">
        <v>0.11</v>
      </c>
    </row>
    <row r="87">
      <c r="A87" s="7" t="inlineStr">
        <is>
          <t>Feb</t>
        </is>
      </c>
      <c r="S87" s="15" t="n">
        <v>-578.26</v>
      </c>
      <c r="T87" s="15" t="n">
        <v>-589.26</v>
      </c>
      <c r="U87" s="15" t="n">
        <v>-474.22</v>
      </c>
      <c r="V87" s="15" t="n">
        <v>-715.6</v>
      </c>
      <c r="W87" s="15" t="n">
        <v>-711.23</v>
      </c>
      <c r="X87" s="15" t="n">
        <v>-574.1799999999999</v>
      </c>
      <c r="Y87" s="15" t="n">
        <v>-622.61</v>
      </c>
      <c r="AC87" s="15" t="n">
        <v>0.13</v>
      </c>
      <c r="AD87" s="15" t="n">
        <v>0.12</v>
      </c>
      <c r="AE87" s="15" t="n">
        <v>0.1</v>
      </c>
    </row>
    <row r="88">
      <c r="A88" s="4" t="inlineStr">
        <is>
          <t>Mar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14" t="n">
        <v>-407.27</v>
      </c>
      <c r="T88" s="14" t="n">
        <v>-441.63</v>
      </c>
      <c r="U88" s="14" t="n">
        <v>-384.76</v>
      </c>
      <c r="V88" s="14" t="n">
        <v>-490.94</v>
      </c>
      <c r="W88" s="14" t="n">
        <v>-472.79</v>
      </c>
      <c r="X88" s="14" t="n">
        <v>-446.96</v>
      </c>
      <c r="Y88" s="14" t="n">
        <v>112.39</v>
      </c>
      <c r="Z88" s="5" t="n"/>
      <c r="AA88" s="5" t="n"/>
      <c r="AB88" s="5" t="n"/>
      <c r="AC88" s="14" t="n">
        <v>0.08</v>
      </c>
      <c r="AD88" s="14" t="n">
        <v>0.08</v>
      </c>
      <c r="AE88" s="14" t="n">
        <v>0.08</v>
      </c>
    </row>
    <row r="89">
      <c r="A89" s="7" t="inlineStr">
        <is>
          <t>Apr</t>
        </is>
      </c>
      <c r="S89" s="15" t="n">
        <v>-270.86</v>
      </c>
      <c r="T89" s="15" t="n">
        <v>-188.16</v>
      </c>
      <c r="U89" s="15" t="n">
        <v>-252.63</v>
      </c>
      <c r="V89" s="15" t="n">
        <v>-262.42</v>
      </c>
      <c r="W89" s="15" t="n">
        <v>-296.86</v>
      </c>
      <c r="X89" s="15" t="n">
        <v>-252.25</v>
      </c>
      <c r="Y89" s="15" t="n">
        <v>-126.8</v>
      </c>
      <c r="AC89" s="15" t="n">
        <v>0.05</v>
      </c>
      <c r="AD89" s="15" t="n">
        <v>0.04</v>
      </c>
      <c r="AE89" s="15" t="n">
        <v>0.06</v>
      </c>
    </row>
    <row r="90">
      <c r="A90" s="4" t="inlineStr">
        <is>
          <t>May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14" t="n">
        <v>-99.58</v>
      </c>
      <c r="T90" s="14" t="n">
        <v>-108.4</v>
      </c>
      <c r="U90" s="14" t="n">
        <v>-155.82</v>
      </c>
      <c r="V90" s="14" t="n">
        <v>-182.24</v>
      </c>
      <c r="W90" s="14" t="n">
        <v>-202.65</v>
      </c>
      <c r="X90" s="14" t="n">
        <v>-234.19</v>
      </c>
      <c r="Y90" s="14" t="n">
        <v>-70.05</v>
      </c>
      <c r="Z90" s="5" t="n"/>
      <c r="AA90" s="5" t="n"/>
      <c r="AB90" s="5" t="n"/>
      <c r="AC90" s="14" t="n">
        <v>0.02</v>
      </c>
      <c r="AD90" s="14" t="n">
        <v>0.02</v>
      </c>
      <c r="AE90" s="14" t="n">
        <v>0.04</v>
      </c>
    </row>
    <row r="91">
      <c r="A91" s="7" t="inlineStr">
        <is>
          <t>Jun</t>
        </is>
      </c>
      <c r="S91" s="15" t="n">
        <v>-9.529999999999999</v>
      </c>
      <c r="T91" s="15" t="n">
        <v>-37.42</v>
      </c>
      <c r="U91" s="15" t="n">
        <v>-47.59</v>
      </c>
      <c r="V91" s="15" t="n">
        <v>-145.61</v>
      </c>
      <c r="W91" s="15" t="n">
        <v>-150.11</v>
      </c>
      <c r="X91" s="15" t="n">
        <v>-174.55</v>
      </c>
      <c r="Y91" s="15" t="n">
        <v>-22.78</v>
      </c>
      <c r="AC91" s="15" t="n">
        <v>0</v>
      </c>
      <c r="AD91" s="15" t="n">
        <v>0.01</v>
      </c>
      <c r="AE91" s="15" t="n">
        <v>0.01</v>
      </c>
    </row>
    <row r="92">
      <c r="A92" s="4" t="inlineStr">
        <is>
          <t>Jul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14" t="n">
        <v>-17.6</v>
      </c>
      <c r="T92" s="14" t="n">
        <v>-17.56</v>
      </c>
      <c r="U92" s="14" t="n">
        <v>-35.07</v>
      </c>
      <c r="V92" s="14" t="n">
        <v>-122.89</v>
      </c>
      <c r="W92" s="14" t="n">
        <v>-210.25</v>
      </c>
      <c r="X92" s="14" t="n">
        <v>-61.95</v>
      </c>
      <c r="Y92" s="14" t="n">
        <v>-80.25</v>
      </c>
      <c r="Z92" s="5" t="n"/>
      <c r="AA92" s="5" t="n"/>
      <c r="AB92" s="5" t="n"/>
      <c r="AC92" s="14" t="n">
        <v>0</v>
      </c>
      <c r="AD92" s="14" t="n">
        <v>0</v>
      </c>
      <c r="AE92" s="14" t="n">
        <v>0.01</v>
      </c>
    </row>
    <row r="93">
      <c r="A93" s="7" t="inlineStr">
        <is>
          <t>Aug</t>
        </is>
      </c>
      <c r="S93" s="15" t="n">
        <v>-6.51</v>
      </c>
      <c r="T93" s="15" t="n">
        <v>-33.85</v>
      </c>
      <c r="U93" s="15" t="n">
        <v>-14.83</v>
      </c>
      <c r="V93" s="15" t="n">
        <v>-148.76</v>
      </c>
      <c r="W93" s="15" t="n">
        <v>-39.65</v>
      </c>
      <c r="X93" s="15" t="n">
        <v>-499.51</v>
      </c>
      <c r="Y93" s="15" t="n">
        <v>-196.29</v>
      </c>
      <c r="AC93" s="15" t="n">
        <v>0</v>
      </c>
      <c r="AD93" s="15" t="n">
        <v>0.01</v>
      </c>
      <c r="AE93" s="15" t="n">
        <v>0</v>
      </c>
    </row>
    <row r="94">
      <c r="A94" s="4" t="inlineStr">
        <is>
          <t>Sep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14" t="n">
        <v>-84.8</v>
      </c>
      <c r="T94" s="14" t="n">
        <v>-116.47</v>
      </c>
      <c r="U94" s="14" t="n">
        <v>-90.22</v>
      </c>
      <c r="V94" s="14" t="n">
        <v>-191.18</v>
      </c>
      <c r="W94" s="14" t="n">
        <v>-198.16</v>
      </c>
      <c r="X94" s="14" t="n">
        <v>-253.18</v>
      </c>
      <c r="Y94" s="14" t="n">
        <v>-232.32</v>
      </c>
      <c r="Z94" s="5" t="n"/>
      <c r="AA94" s="5" t="n"/>
      <c r="AB94" s="5" t="n"/>
      <c r="AC94" s="14" t="n">
        <v>0.02</v>
      </c>
      <c r="AD94" s="14" t="n">
        <v>0.02</v>
      </c>
      <c r="AE94" s="14" t="n">
        <v>0.02</v>
      </c>
    </row>
    <row r="95">
      <c r="A95" s="7" t="inlineStr">
        <is>
          <t>Oct</t>
        </is>
      </c>
      <c r="S95" s="15" t="n">
        <v>-240.62</v>
      </c>
      <c r="T95" s="15" t="n">
        <v>-226.84</v>
      </c>
      <c r="U95" s="15" t="n">
        <v>-167.45</v>
      </c>
      <c r="V95" s="15" t="n">
        <v>-308.74</v>
      </c>
      <c r="W95" s="15" t="n">
        <v>-328.99</v>
      </c>
      <c r="X95" s="15" t="n">
        <v>-295.76</v>
      </c>
      <c r="Y95" s="15" t="n">
        <v>-261.49</v>
      </c>
      <c r="AC95" s="15" t="n">
        <v>0.04</v>
      </c>
      <c r="AD95" s="15" t="n">
        <v>0.04</v>
      </c>
      <c r="AE95" s="15" t="n">
        <v>0.03</v>
      </c>
    </row>
    <row r="96">
      <c r="A96" s="4" t="inlineStr">
        <is>
          <t>Nov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14" t="n">
        <v>-461.2</v>
      </c>
      <c r="T96" s="14" t="n">
        <v>-424.62</v>
      </c>
      <c r="U96" s="14" t="n">
        <v>-289.42</v>
      </c>
      <c r="V96" s="14" t="n">
        <v>-428.78</v>
      </c>
      <c r="W96" s="14" t="n">
        <v>-415.34</v>
      </c>
      <c r="X96" s="14" t="n">
        <v>-442.09</v>
      </c>
      <c r="Y96" s="14" t="n">
        <v>-451.7</v>
      </c>
      <c r="Z96" s="5" t="n"/>
      <c r="AA96" s="5" t="n"/>
      <c r="AB96" s="5" t="n"/>
      <c r="AC96" s="14" t="n">
        <v>0.09</v>
      </c>
      <c r="AD96" s="14" t="n">
        <v>0.08</v>
      </c>
      <c r="AE96" s="14" t="n">
        <v>0.06</v>
      </c>
    </row>
    <row r="97">
      <c r="A97" s="7" t="inlineStr">
        <is>
          <t>Dec</t>
        </is>
      </c>
      <c r="S97" s="15" t="n">
        <v>-586.45</v>
      </c>
      <c r="T97" s="15" t="n">
        <v>-581.11</v>
      </c>
      <c r="U97" s="15" t="n">
        <v>-506.39</v>
      </c>
      <c r="V97" s="15" t="n">
        <v>-651.17</v>
      </c>
      <c r="W97" s="15" t="n">
        <v>-706.73</v>
      </c>
      <c r="X97" s="15" t="n">
        <v>-356.62</v>
      </c>
      <c r="Y97" s="15" t="n">
        <v>-576.33</v>
      </c>
      <c r="AC97" s="15" t="n">
        <v>0.11</v>
      </c>
      <c r="AD97" s="15" t="n">
        <v>0.12</v>
      </c>
      <c r="AE97" s="15" t="n">
        <v>0.1</v>
      </c>
    </row>
    <row r="98">
      <c r="A98" s="9" t="inlineStr">
        <is>
          <t xml:space="preserve">  Calendar-year Total</t>
        </is>
      </c>
      <c r="B98" s="9">
        <f>SUM(B86:B97)</f>
        <v/>
      </c>
      <c r="C98" s="9">
        <f>SUM(C86:C97)</f>
        <v/>
      </c>
      <c r="D98" s="9">
        <f>SUM(D86:D97)</f>
        <v/>
      </c>
      <c r="E98" s="9">
        <f>SUM(E86:E97)</f>
        <v/>
      </c>
      <c r="F98" s="9">
        <f>SUM(F86:F97)</f>
        <v/>
      </c>
      <c r="G98" s="9">
        <f>SUM(G86:G97)</f>
        <v/>
      </c>
      <c r="H98" s="9">
        <f>SUM(H86:H97)</f>
        <v/>
      </c>
      <c r="I98" s="9">
        <f>SUM(I86:I97)</f>
        <v/>
      </c>
      <c r="J98" s="9">
        <f>SUM(J86:J97)</f>
        <v/>
      </c>
      <c r="K98" s="9">
        <f>SUM(K86:K97)</f>
        <v/>
      </c>
      <c r="L98" s="9">
        <f>SUM(L86:L97)</f>
        <v/>
      </c>
      <c r="M98" s="9">
        <f>SUM(M86:M97)</f>
        <v/>
      </c>
      <c r="N98" s="9">
        <f>SUM(N86:N97)</f>
        <v/>
      </c>
      <c r="O98" s="9">
        <f>SUM(O86:O97)</f>
        <v/>
      </c>
      <c r="P98" s="9">
        <f>SUM(P86:P97)</f>
        <v/>
      </c>
      <c r="Q98" s="9">
        <f>SUM(Q86:Q97)</f>
        <v/>
      </c>
      <c r="R98" s="9">
        <f>SUM(R86:R97)</f>
        <v/>
      </c>
      <c r="S98" s="9">
        <f>SUM(S86:S97)</f>
        <v/>
      </c>
      <c r="T98" s="9">
        <f>SUM(T86:T97)</f>
        <v/>
      </c>
      <c r="U98" s="9">
        <f>SUM(U86:U97)</f>
        <v/>
      </c>
      <c r="V98" s="9">
        <f>SUM(V86:V97)</f>
        <v/>
      </c>
      <c r="W98" s="9">
        <f>SUM(W86:W97)</f>
        <v/>
      </c>
      <c r="X98" s="9">
        <f>SUM(X86:X97)</f>
        <v/>
      </c>
      <c r="Y98" s="9">
        <f>SUM(Y86:Y97)</f>
        <v/>
      </c>
      <c r="Z98" s="9">
        <f>SUM(Z86:Z97)</f>
        <v/>
      </c>
      <c r="AA98" s="9">
        <f>SUM(AA86:AA97)</f>
        <v/>
      </c>
      <c r="AB98" s="9">
        <f>SUM(AB86:AB97)</f>
        <v/>
      </c>
      <c r="AC98" s="9">
        <f>SUM(AC86:AC97)</f>
        <v/>
      </c>
      <c r="AD98" s="9">
        <f>SUM(AD86:AD97)</f>
        <v/>
      </c>
      <c r="AE98" s="9">
        <f>SUM(AE86:AE97)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2026-04-07T13:48:35Z</dcterms:created>
  <dcterms:modified xmlns:dcterms="http://purl.org/dc/terms/" xmlns:xsi="http://www.w3.org/2001/XMLSchema-instance" xsi:type="dcterms:W3CDTF">2026-04-07T13:48:43Z</dcterms:modified>
</cp:coreProperties>
</file>