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 Die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b val="1"/>
      <color rgb="001F4E79"/>
      <sz val="11"/>
    </font>
    <font>
      <name val="Calibr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4" fontId="4" fillId="3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4" fontId="0" fillId="3" borderId="0" pivotButton="0" quotePrefix="0" xfId="0"/>
    <xf numFmtId="4" fontId="0" fillId="0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US BIOFUEL AND FUEL COMPLEX</t>
        </is>
      </c>
    </row>
    <row r="2">
      <c r="A2" s="2" t="inlineStr">
        <is>
          <t>US RENEWABLE DIESEL SUPPLY AND DEMAND (Million Gallons)</t>
        </is>
      </c>
    </row>
    <row r="3">
      <c r="B3" s="3" t="n">
        <v>2011</v>
      </c>
      <c r="C3" s="3" t="n">
        <v>2012</v>
      </c>
      <c r="D3" s="3" t="n">
        <v>2013</v>
      </c>
      <c r="E3" s="3" t="n">
        <v>2014</v>
      </c>
      <c r="F3" s="3" t="n">
        <v>2015</v>
      </c>
      <c r="G3" s="3" t="n">
        <v>2016</v>
      </c>
      <c r="H3" s="3" t="n">
        <v>2017</v>
      </c>
      <c r="I3" s="3" t="n">
        <v>2018</v>
      </c>
      <c r="J3" s="3" t="n">
        <v>2019</v>
      </c>
      <c r="K3" s="3" t="n">
        <v>2020</v>
      </c>
      <c r="L3" s="3" t="n">
        <v>2021</v>
      </c>
      <c r="M3" s="3" t="n">
        <v>2022</v>
      </c>
      <c r="N3" s="3" t="n">
        <v>2023</v>
      </c>
      <c r="O3" s="3" t="n">
        <v>2024</v>
      </c>
      <c r="P3" s="3" t="n">
        <v>2025</v>
      </c>
      <c r="Q3" s="3" t="n">
        <v>2026</v>
      </c>
      <c r="R3" s="3" t="n">
        <v>2027</v>
      </c>
      <c r="S3" s="3" t="n">
        <v>2028</v>
      </c>
      <c r="T3" s="3" t="n">
        <v>2029</v>
      </c>
      <c r="U3" s="3" t="n">
        <v>2030</v>
      </c>
    </row>
    <row r="5">
      <c r="A5" s="4" t="inlineStr">
        <is>
          <t>Beginning Stocks</t>
        </is>
      </c>
      <c r="B5" s="5" t="n"/>
      <c r="C5" s="5" t="n"/>
      <c r="D5" s="6" t="n">
        <v>3.95</v>
      </c>
      <c r="E5" s="6" t="n">
        <v>29.02</v>
      </c>
      <c r="F5" s="6" t="n">
        <v>14.7</v>
      </c>
      <c r="G5" s="6" t="n">
        <v>26.63</v>
      </c>
      <c r="H5" s="6" t="n">
        <v>55.23</v>
      </c>
      <c r="I5" s="6" t="n">
        <v>31.63</v>
      </c>
      <c r="J5" s="6" t="n">
        <v>72.53</v>
      </c>
      <c r="K5" s="6" t="n">
        <v>62.62</v>
      </c>
      <c r="L5" s="6" t="n">
        <v>54.05</v>
      </c>
      <c r="M5" s="6" t="n">
        <v>98.81999999999999</v>
      </c>
      <c r="N5" s="6" t="n">
        <v>143.03</v>
      </c>
      <c r="O5" s="6" t="n">
        <v>230.07</v>
      </c>
      <c r="P5" s="6" t="n">
        <v>261.65</v>
      </c>
      <c r="Q5" s="6" t="n">
        <v>249.51</v>
      </c>
      <c r="R5" s="6" t="n">
        <v>291.63</v>
      </c>
      <c r="S5" s="6" t="n">
        <v>237.82</v>
      </c>
      <c r="T5" s="6" t="n">
        <v>219.99</v>
      </c>
      <c r="U5" s="6" t="n">
        <v>192.77</v>
      </c>
    </row>
    <row r="6">
      <c r="A6" s="7" t="inlineStr">
        <is>
          <t>Production</t>
        </is>
      </c>
      <c r="B6" s="8" t="n">
        <v>62.04</v>
      </c>
      <c r="C6" s="8" t="n">
        <v>52.4</v>
      </c>
      <c r="D6" s="8" t="n">
        <v>113.29</v>
      </c>
      <c r="E6" s="8" t="n">
        <v>159.14</v>
      </c>
      <c r="F6" s="8" t="n">
        <v>176.85</v>
      </c>
      <c r="G6" s="8" t="n">
        <v>241.49</v>
      </c>
      <c r="H6" s="8" t="n">
        <v>258.34</v>
      </c>
      <c r="I6" s="8" t="n">
        <v>305.48</v>
      </c>
      <c r="J6" s="8" t="n">
        <v>492.14</v>
      </c>
      <c r="K6" s="8" t="n">
        <v>2358.38</v>
      </c>
      <c r="L6" s="8" t="n">
        <v>2550.06</v>
      </c>
      <c r="M6" s="8" t="n">
        <v>3075.55</v>
      </c>
      <c r="N6" s="8" t="n">
        <v>4099.94</v>
      </c>
      <c r="O6" s="8" t="n">
        <v>4807.17</v>
      </c>
      <c r="P6" s="8" t="n">
        <v>4137.09</v>
      </c>
      <c r="Q6" s="8" t="n">
        <v>4151.42</v>
      </c>
      <c r="R6" s="8" t="n">
        <v>4438.36</v>
      </c>
      <c r="S6" s="8" t="n">
        <v>4197.17</v>
      </c>
      <c r="T6" s="8" t="n">
        <v>4400.52</v>
      </c>
      <c r="U6" s="8" t="n">
        <v>4562.93</v>
      </c>
    </row>
    <row r="7">
      <c r="A7" s="4" t="inlineStr">
        <is>
          <t>Imports</t>
        </is>
      </c>
      <c r="B7" s="5" t="n"/>
      <c r="C7" s="6" t="n">
        <v>50.27</v>
      </c>
      <c r="D7" s="6" t="n">
        <v>303.4</v>
      </c>
      <c r="E7" s="6" t="n">
        <v>328.75</v>
      </c>
      <c r="F7" s="6" t="n">
        <v>336.3</v>
      </c>
      <c r="G7" s="6" t="n">
        <v>349.69</v>
      </c>
      <c r="H7" s="6" t="n">
        <v>344.38</v>
      </c>
      <c r="I7" s="6" t="n">
        <v>309.85</v>
      </c>
      <c r="J7" s="6" t="n">
        <v>418</v>
      </c>
      <c r="K7" s="6" t="n">
        <v>433.28</v>
      </c>
      <c r="L7" s="6" t="n">
        <v>452.71</v>
      </c>
      <c r="M7" s="6" t="n">
        <v>425.78</v>
      </c>
      <c r="N7" s="6" t="n">
        <v>452.29</v>
      </c>
      <c r="O7" s="6" t="n">
        <v>423.53</v>
      </c>
      <c r="P7" s="6" t="n">
        <v>223.26</v>
      </c>
      <c r="Q7" s="6" t="n">
        <v>273.75</v>
      </c>
      <c r="R7" s="6" t="n">
        <v>252.69</v>
      </c>
      <c r="S7" s="6" t="n">
        <v>231.64</v>
      </c>
      <c r="T7" s="6" t="n">
        <v>210.58</v>
      </c>
      <c r="U7" s="6" t="n">
        <v>189.52</v>
      </c>
    </row>
    <row r="8">
      <c r="A8" s="9" t="inlineStr">
        <is>
          <t>Total Supply</t>
        </is>
      </c>
      <c r="B8" s="10">
        <f>B5+B6+B7</f>
        <v/>
      </c>
      <c r="C8" s="10">
        <f>C5+C6+C7</f>
        <v/>
      </c>
      <c r="D8" s="10">
        <f>D5+D6+D7</f>
        <v/>
      </c>
      <c r="E8" s="10">
        <f>E5+E6+E7</f>
        <v/>
      </c>
      <c r="F8" s="10">
        <f>F5+F6+F7</f>
        <v/>
      </c>
      <c r="G8" s="10">
        <f>G5+G6+G7</f>
        <v/>
      </c>
      <c r="H8" s="10">
        <f>H5+H6+H7</f>
        <v/>
      </c>
      <c r="I8" s="10">
        <f>I5+I6+I7</f>
        <v/>
      </c>
      <c r="J8" s="10">
        <f>J5+J6+J7</f>
        <v/>
      </c>
      <c r="K8" s="10">
        <f>K5+K6+K7</f>
        <v/>
      </c>
      <c r="L8" s="10">
        <f>L5+L6+L7</f>
        <v/>
      </c>
      <c r="M8" s="10">
        <f>M5+M6+M7</f>
        <v/>
      </c>
      <c r="N8" s="10">
        <f>N5+N6+N7</f>
        <v/>
      </c>
      <c r="O8" s="10">
        <f>O5+O6+O7</f>
        <v/>
      </c>
      <c r="P8" s="10">
        <f>P5+P6+P7</f>
        <v/>
      </c>
      <c r="Q8" s="10">
        <f>Q5+Q6+Q7</f>
        <v/>
      </c>
      <c r="R8" s="10">
        <f>R5+R6+R7</f>
        <v/>
      </c>
      <c r="S8" s="10">
        <f>S5+S6+S7</f>
        <v/>
      </c>
      <c r="T8" s="10">
        <f>T5+T6+T7</f>
        <v/>
      </c>
      <c r="U8" s="10">
        <f>U5+U6+U7</f>
        <v/>
      </c>
    </row>
    <row r="10">
      <c r="A10" s="7" t="inlineStr">
        <is>
          <t>Domestic Consumption</t>
        </is>
      </c>
      <c r="F10" s="8" t="n">
        <v>61247</v>
      </c>
      <c r="G10" s="8" t="n">
        <v>59601.15</v>
      </c>
      <c r="H10" s="8" t="n">
        <v>60280.46</v>
      </c>
      <c r="I10" s="8" t="n">
        <v>0.01</v>
      </c>
      <c r="J10" s="8" t="n">
        <v>0.01</v>
      </c>
      <c r="K10" s="8" t="n">
        <v>2874.64</v>
      </c>
      <c r="L10" s="8" t="n">
        <v>2957.53</v>
      </c>
      <c r="M10" s="8" t="n">
        <v>3483.6</v>
      </c>
      <c r="N10" s="8" t="n">
        <v>4708.8</v>
      </c>
      <c r="O10" s="8" t="n">
        <v>5429.63</v>
      </c>
      <c r="P10" s="8" t="n">
        <v>4250</v>
      </c>
      <c r="Q10" s="8" t="n">
        <v>4375</v>
      </c>
      <c r="R10" s="8" t="n">
        <v>4625</v>
      </c>
      <c r="S10" s="8" t="n">
        <v>4350</v>
      </c>
      <c r="T10" s="8" t="n">
        <v>4600</v>
      </c>
      <c r="U10" s="8" t="n">
        <v>4675</v>
      </c>
    </row>
    <row r="11">
      <c r="A11" s="4" t="inlineStr">
        <is>
          <t>Losses and Co-Products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7" t="inlineStr">
        <is>
          <t>Exports</t>
        </is>
      </c>
      <c r="C12" s="8" t="n">
        <v>1</v>
      </c>
      <c r="D12" s="8" t="n">
        <v>2</v>
      </c>
      <c r="E12" s="8" t="n">
        <v>3</v>
      </c>
      <c r="M12" s="8" t="n">
        <v>33.78</v>
      </c>
      <c r="N12" s="8" t="n">
        <v>99.56</v>
      </c>
      <c r="O12" s="8" t="n">
        <v>245.76</v>
      </c>
      <c r="P12" s="8" t="n">
        <v>136.53</v>
      </c>
      <c r="Q12" s="8" t="n">
        <v>170.67</v>
      </c>
      <c r="R12" s="8" t="n">
        <v>172.72</v>
      </c>
      <c r="S12" s="8" t="n">
        <v>172.72</v>
      </c>
      <c r="T12" s="8" t="n">
        <v>185.14</v>
      </c>
      <c r="U12" s="8" t="n">
        <v>187.56</v>
      </c>
    </row>
    <row r="13">
      <c r="A13" s="9" t="inlineStr">
        <is>
          <t>Total Use</t>
        </is>
      </c>
      <c r="B13" s="10">
        <f>B10+B11+B12</f>
        <v/>
      </c>
      <c r="C13" s="10">
        <f>C10+C11+C12</f>
        <v/>
      </c>
      <c r="D13" s="10">
        <f>D10+D11+D12</f>
        <v/>
      </c>
      <c r="E13" s="10">
        <f>E10+E11+E12</f>
        <v/>
      </c>
      <c r="F13" s="10">
        <f>F10+F11+F12</f>
        <v/>
      </c>
      <c r="G13" s="10">
        <f>G10+G11+G12</f>
        <v/>
      </c>
      <c r="H13" s="10">
        <f>H10+H11+H12</f>
        <v/>
      </c>
      <c r="I13" s="10">
        <f>I10+I11+I12</f>
        <v/>
      </c>
      <c r="J13" s="10">
        <f>J10+J11+J12</f>
        <v/>
      </c>
      <c r="K13" s="10">
        <f>K10+K11+K12</f>
        <v/>
      </c>
      <c r="L13" s="10">
        <f>L10+L11+L12</f>
        <v/>
      </c>
      <c r="M13" s="10">
        <f>M10+M11+M12</f>
        <v/>
      </c>
      <c r="N13" s="10">
        <f>N10+N11+N12</f>
        <v/>
      </c>
      <c r="O13" s="10">
        <f>O10+O11+O12</f>
        <v/>
      </c>
      <c r="P13" s="10">
        <f>P10+P11+P12</f>
        <v/>
      </c>
      <c r="Q13" s="10">
        <f>Q10+Q11+Q12</f>
        <v/>
      </c>
      <c r="R13" s="10">
        <f>R10+R11+R12</f>
        <v/>
      </c>
      <c r="S13" s="10">
        <f>S10+S11+S12</f>
        <v/>
      </c>
      <c r="T13" s="10">
        <f>T10+T11+T12</f>
        <v/>
      </c>
      <c r="U13" s="10">
        <f>U10+U11+U12</f>
        <v/>
      </c>
    </row>
    <row r="15">
      <c r="A15" s="9" t="inlineStr">
        <is>
          <t>Ending Stocks</t>
        </is>
      </c>
      <c r="B15" s="10">
        <f>B8-B13</f>
        <v/>
      </c>
      <c r="C15" s="10">
        <f>C8-C13</f>
        <v/>
      </c>
      <c r="D15" s="10">
        <f>D8-D13</f>
        <v/>
      </c>
      <c r="E15" s="10">
        <f>E8-E13</f>
        <v/>
      </c>
      <c r="F15" s="10">
        <f>F8-F13</f>
        <v/>
      </c>
      <c r="G15" s="10">
        <f>G8-G13</f>
        <v/>
      </c>
      <c r="H15" s="10">
        <f>H8-H13</f>
        <v/>
      </c>
      <c r="I15" s="10">
        <f>I8-I13</f>
        <v/>
      </c>
      <c r="J15" s="10">
        <f>J8-J13</f>
        <v/>
      </c>
      <c r="K15" s="10">
        <f>K8-K13</f>
        <v/>
      </c>
      <c r="L15" s="10">
        <f>L8-L13</f>
        <v/>
      </c>
      <c r="M15" s="10">
        <f>M8-M13</f>
        <v/>
      </c>
      <c r="N15" s="10">
        <f>N8-N13</f>
        <v/>
      </c>
      <c r="O15" s="10">
        <f>O8-O13</f>
        <v/>
      </c>
      <c r="P15" s="10">
        <f>P8-P13</f>
        <v/>
      </c>
      <c r="Q15" s="10">
        <f>Q8-Q13</f>
        <v/>
      </c>
      <c r="R15" s="10">
        <f>R8-R13</f>
        <v/>
      </c>
      <c r="S15" s="10">
        <f>S8-S13</f>
        <v/>
      </c>
      <c r="T15" s="10">
        <f>T8-T13</f>
        <v/>
      </c>
      <c r="U15" s="10">
        <f>U8-U13</f>
        <v/>
      </c>
    </row>
    <row r="17">
      <c r="A17" s="4" t="inlineStr">
        <is>
          <t>Capacity (MMGY)</t>
        </is>
      </c>
      <c r="B17" s="5" t="n"/>
      <c r="C17" s="5" t="n"/>
      <c r="D17" s="5" t="n"/>
      <c r="E17" s="5" t="n"/>
      <c r="F17" s="6" t="n">
        <v>255</v>
      </c>
      <c r="G17" s="6" t="n">
        <v>366.5</v>
      </c>
      <c r="H17" s="6" t="n">
        <v>408</v>
      </c>
      <c r="I17" s="6" t="n">
        <v>443.21</v>
      </c>
      <c r="J17" s="6" t="n">
        <v>558</v>
      </c>
      <c r="K17" s="6" t="n">
        <v>3124.25</v>
      </c>
      <c r="L17" s="6" t="n">
        <v>3331.33</v>
      </c>
      <c r="M17" s="6" t="n">
        <v>4304.08</v>
      </c>
      <c r="N17" s="6" t="n">
        <v>5620.58</v>
      </c>
      <c r="O17" s="6" t="n">
        <v>6316.25</v>
      </c>
      <c r="P17" s="6" t="n">
        <v>6653.45</v>
      </c>
      <c r="Q17" s="6" t="n">
        <v>6905.47</v>
      </c>
      <c r="R17" s="6" t="n">
        <v>6982.24</v>
      </c>
      <c r="S17" s="6" t="n">
        <v>7160.19</v>
      </c>
      <c r="T17" s="6" t="n">
        <v>7185.02</v>
      </c>
      <c r="U17" s="6" t="n">
        <v>7170.85</v>
      </c>
    </row>
    <row r="18">
      <c r="A18" s="9" t="inlineStr">
        <is>
          <t>Operating Rate (%)</t>
        </is>
      </c>
      <c r="B18" s="10">
        <f>IF(B17&gt;0,B6/B17*100,"")</f>
        <v/>
      </c>
      <c r="C18" s="10">
        <f>IF(C17&gt;0,C6/C17*100,"")</f>
        <v/>
      </c>
      <c r="D18" s="10">
        <f>IF(D17&gt;0,D6/D17*100,"")</f>
        <v/>
      </c>
      <c r="E18" s="10">
        <f>IF(E17&gt;0,E6/E17*100,"")</f>
        <v/>
      </c>
      <c r="F18" s="10">
        <f>IF(F17&gt;0,F6/F17*100,"")</f>
        <v/>
      </c>
      <c r="G18" s="10">
        <f>IF(G17&gt;0,G6/G17*100,"")</f>
        <v/>
      </c>
      <c r="H18" s="10">
        <f>IF(H17&gt;0,H6/H17*100,"")</f>
        <v/>
      </c>
      <c r="I18" s="10">
        <f>IF(I17&gt;0,I6/I17*100,"")</f>
        <v/>
      </c>
      <c r="J18" s="10">
        <f>IF(J17&gt;0,J6/J17*100,"")</f>
        <v/>
      </c>
      <c r="K18" s="10">
        <f>IF(K17&gt;0,K6/K17*100,"")</f>
        <v/>
      </c>
      <c r="L18" s="10">
        <f>IF(L17&gt;0,L6/L17*100,"")</f>
        <v/>
      </c>
      <c r="M18" s="10">
        <f>IF(M17&gt;0,M6/M17*100,"")</f>
        <v/>
      </c>
      <c r="N18" s="10">
        <f>IF(N17&gt;0,N6/N17*100,"")</f>
        <v/>
      </c>
      <c r="O18" s="10">
        <f>IF(O17&gt;0,O6/O17*100,"")</f>
        <v/>
      </c>
      <c r="P18" s="10">
        <f>IF(P17&gt;0,P6/P17*100,"")</f>
        <v/>
      </c>
      <c r="Q18" s="10">
        <f>IF(Q17&gt;0,Q6/Q17*100,"")</f>
        <v/>
      </c>
      <c r="R18" s="10">
        <f>IF(R17&gt;0,R6/R17*100,"")</f>
        <v/>
      </c>
      <c r="S18" s="10">
        <f>IF(S17&gt;0,S6/S17*100,"")</f>
        <v/>
      </c>
      <c r="T18" s="10">
        <f>IF(T17&gt;0,T6/T17*100,"")</f>
        <v/>
      </c>
      <c r="U18" s="10">
        <f>IF(U17&gt;0,U6/U17*100,"")</f>
        <v/>
      </c>
    </row>
    <row r="19">
      <c r="A19" s="9" t="inlineStr">
        <is>
          <t>Stocks/Use Ratio</t>
        </is>
      </c>
      <c r="B19" s="10">
        <f>IF(B13&gt;0,B15/B13,"")</f>
        <v/>
      </c>
      <c r="C19" s="10">
        <f>IF(C13&gt;0,C15/C13,"")</f>
        <v/>
      </c>
      <c r="D19" s="10">
        <f>IF(D13&gt;0,D15/D13,"")</f>
        <v/>
      </c>
      <c r="E19" s="10">
        <f>IF(E13&gt;0,E15/E13,"")</f>
        <v/>
      </c>
      <c r="F19" s="10">
        <f>IF(F13&gt;0,F15/F13,"")</f>
        <v/>
      </c>
      <c r="G19" s="10">
        <f>IF(G13&gt;0,G15/G13,"")</f>
        <v/>
      </c>
      <c r="H19" s="10">
        <f>IF(H13&gt;0,H15/H13,"")</f>
        <v/>
      </c>
      <c r="I19" s="10">
        <f>IF(I13&gt;0,I15/I13,"")</f>
        <v/>
      </c>
      <c r="J19" s="10">
        <f>IF(J13&gt;0,J15/J13,"")</f>
        <v/>
      </c>
      <c r="K19" s="10">
        <f>IF(K13&gt;0,K15/K13,"")</f>
        <v/>
      </c>
      <c r="L19" s="10">
        <f>IF(L13&gt;0,L15/L13,"")</f>
        <v/>
      </c>
      <c r="M19" s="10">
        <f>IF(M13&gt;0,M15/M13,"")</f>
        <v/>
      </c>
      <c r="N19" s="10">
        <f>IF(N13&gt;0,N15/N13,"")</f>
        <v/>
      </c>
      <c r="O19" s="10">
        <f>IF(O13&gt;0,O15/O13,"")</f>
        <v/>
      </c>
      <c r="P19" s="10">
        <f>IF(P13&gt;0,P15/P13,"")</f>
        <v/>
      </c>
      <c r="Q19" s="10">
        <f>IF(Q13&gt;0,Q15/Q13,"")</f>
        <v/>
      </c>
      <c r="R19" s="10">
        <f>IF(R13&gt;0,R15/R13,"")</f>
        <v/>
      </c>
      <c r="S19" s="10">
        <f>IF(S13&gt;0,S15/S13,"")</f>
        <v/>
      </c>
      <c r="T19" s="10">
        <f>IF(T13&gt;0,T15/T13,"")</f>
        <v/>
      </c>
      <c r="U19" s="10">
        <f>IF(U13&gt;0,U15/U13,"")</f>
        <v/>
      </c>
    </row>
    <row r="20">
      <c r="A20" s="7" t="inlineStr">
        <is>
          <t>Average Price ($/gal)</t>
        </is>
      </c>
    </row>
    <row r="22">
      <c r="A22" s="11" t="inlineStr">
        <is>
          <t>Bold, green numbers in shaded cells are RLC forecasts and estimates.</t>
        </is>
      </c>
    </row>
    <row r="24">
      <c r="A24" s="12" t="inlineStr">
        <is>
          <t>US RENEWABLE DIESEL PRODUCTION</t>
        </is>
      </c>
    </row>
    <row r="25">
      <c r="A25" s="13" t="inlineStr">
        <is>
          <t>(million gallons)</t>
        </is>
      </c>
      <c r="B25" s="3" t="n">
        <v>2011</v>
      </c>
      <c r="C25" s="3" t="n">
        <v>2012</v>
      </c>
      <c r="D25" s="3" t="n">
        <v>2013</v>
      </c>
      <c r="E25" s="3" t="n">
        <v>2014</v>
      </c>
      <c r="F25" s="3" t="n">
        <v>2015</v>
      </c>
      <c r="G25" s="3" t="n">
        <v>2016</v>
      </c>
      <c r="H25" s="3" t="n">
        <v>2017</v>
      </c>
      <c r="I25" s="3" t="n">
        <v>2018</v>
      </c>
      <c r="J25" s="3" t="n">
        <v>2019</v>
      </c>
      <c r="K25" s="3" t="n">
        <v>2020</v>
      </c>
      <c r="L25" s="3" t="n">
        <v>2021</v>
      </c>
      <c r="M25" s="3" t="n">
        <v>2022</v>
      </c>
      <c r="N25" s="3" t="n">
        <v>2023</v>
      </c>
      <c r="O25" s="3" t="n">
        <v>2024</v>
      </c>
      <c r="P25" s="3" t="n">
        <v>2025</v>
      </c>
      <c r="Q25" s="3" t="n">
        <v>2026</v>
      </c>
      <c r="R25" s="3" t="n">
        <v>2027</v>
      </c>
      <c r="S25" s="3" t="n">
        <v>2028</v>
      </c>
      <c r="T25" s="3" t="n">
        <v>2029</v>
      </c>
      <c r="U25" s="3" t="n">
        <v>2030</v>
      </c>
    </row>
    <row r="26">
      <c r="A26" s="4" t="inlineStr">
        <is>
          <t>Jan</t>
        </is>
      </c>
      <c r="B26" s="14" t="n">
        <v>4.43</v>
      </c>
      <c r="C26" s="14" t="n">
        <v>4.22</v>
      </c>
      <c r="D26" s="14" t="n">
        <v>1.28</v>
      </c>
      <c r="E26" s="14" t="n">
        <v>10.33</v>
      </c>
      <c r="F26" s="14" t="n">
        <v>17.51</v>
      </c>
      <c r="G26" s="14" t="n">
        <v>11.76</v>
      </c>
      <c r="H26" s="14" t="n">
        <v>18.56</v>
      </c>
      <c r="I26" s="14" t="n">
        <v>13.68</v>
      </c>
      <c r="J26" s="14" t="n">
        <v>36.49</v>
      </c>
      <c r="K26" s="14" t="n">
        <v>41.86</v>
      </c>
      <c r="L26" s="14" t="n">
        <v>59.45</v>
      </c>
      <c r="M26" s="14" t="n">
        <v>110.56</v>
      </c>
      <c r="N26" s="14" t="n">
        <v>167.96</v>
      </c>
      <c r="O26" s="14" t="n">
        <v>230.21</v>
      </c>
      <c r="P26" s="14" t="n">
        <v>217.37</v>
      </c>
      <c r="Q26" s="14" t="n">
        <v>173.3</v>
      </c>
      <c r="R26" s="14" t="n">
        <v>190.33</v>
      </c>
      <c r="S26" s="14" t="n">
        <v>194.31</v>
      </c>
      <c r="T26" s="14" t="n">
        <v>196.32</v>
      </c>
      <c r="U26" s="14" t="n">
        <v>205.71</v>
      </c>
    </row>
    <row r="27">
      <c r="A27" s="7" t="inlineStr">
        <is>
          <t>Feb</t>
        </is>
      </c>
      <c r="B27" s="15" t="n">
        <v>0.96</v>
      </c>
      <c r="C27" s="15" t="n">
        <v>3.19</v>
      </c>
      <c r="D27" s="15" t="n">
        <v>1.29</v>
      </c>
      <c r="E27" s="15" t="n">
        <v>12.29</v>
      </c>
      <c r="F27" s="15" t="n">
        <v>13.48</v>
      </c>
      <c r="G27" s="15" t="n">
        <v>7.36</v>
      </c>
      <c r="H27" s="15" t="n">
        <v>21.04</v>
      </c>
      <c r="I27" s="15" t="n">
        <v>21.61</v>
      </c>
      <c r="J27" s="15" t="n">
        <v>40.17</v>
      </c>
      <c r="K27" s="15" t="n">
        <v>37.3</v>
      </c>
      <c r="L27" s="15" t="n">
        <v>53.28</v>
      </c>
      <c r="M27" s="15" t="n">
        <v>96.58</v>
      </c>
      <c r="N27" s="15" t="n">
        <v>157.91</v>
      </c>
      <c r="O27" s="15" t="n">
        <v>230.07</v>
      </c>
      <c r="P27" s="15" t="n">
        <v>186.1</v>
      </c>
      <c r="Q27" s="15" t="n">
        <v>188.92</v>
      </c>
      <c r="R27" s="15" t="n">
        <v>208.09</v>
      </c>
      <c r="S27" s="15" t="n">
        <v>211.94</v>
      </c>
      <c r="T27" s="15" t="n">
        <v>214.02</v>
      </c>
      <c r="U27" s="15" t="n">
        <v>224.25</v>
      </c>
    </row>
    <row r="28">
      <c r="A28" s="4" t="inlineStr">
        <is>
          <t>Mar</t>
        </is>
      </c>
      <c r="B28" s="14" t="n">
        <v>3.15</v>
      </c>
      <c r="C28" s="14" t="n">
        <v>5.35</v>
      </c>
      <c r="D28" s="14" t="n">
        <v>1.87</v>
      </c>
      <c r="E28" s="14" t="n">
        <v>14.95</v>
      </c>
      <c r="F28" s="14" t="n">
        <v>16.11</v>
      </c>
      <c r="G28" s="14" t="n">
        <v>17.93</v>
      </c>
      <c r="H28" s="14" t="n">
        <v>15.86</v>
      </c>
      <c r="I28" s="14" t="n">
        <v>25.07</v>
      </c>
      <c r="J28" s="14" t="n">
        <v>35.74</v>
      </c>
      <c r="K28" s="14" t="n">
        <v>45.23</v>
      </c>
      <c r="L28" s="14" t="n">
        <v>56.97</v>
      </c>
      <c r="M28" s="14" t="n">
        <v>109.03</v>
      </c>
      <c r="N28" s="14" t="n">
        <v>198.14</v>
      </c>
      <c r="O28" s="14" t="n">
        <v>215.24</v>
      </c>
      <c r="P28" s="14" t="n">
        <v>229.4</v>
      </c>
      <c r="Q28" s="14" t="n">
        <v>201.09</v>
      </c>
      <c r="R28" s="14" t="n">
        <v>222.33</v>
      </c>
      <c r="S28" s="14" t="n">
        <v>227.26</v>
      </c>
      <c r="T28" s="14" t="n">
        <v>228.58</v>
      </c>
      <c r="U28" s="14" t="n">
        <v>239.82</v>
      </c>
    </row>
    <row r="29">
      <c r="A29" s="7" t="inlineStr">
        <is>
          <t>Apr</t>
        </is>
      </c>
      <c r="B29" s="15" t="n">
        <v>1.97</v>
      </c>
      <c r="C29" s="15" t="n">
        <v>3.55</v>
      </c>
      <c r="D29" s="15" t="n">
        <v>1.67</v>
      </c>
      <c r="E29" s="15" t="n">
        <v>13.68</v>
      </c>
      <c r="F29" s="15" t="n">
        <v>15.73</v>
      </c>
      <c r="G29" s="15" t="n">
        <v>21.25</v>
      </c>
      <c r="H29" s="15" t="n">
        <v>20.4</v>
      </c>
      <c r="I29" s="15" t="n">
        <v>25.75</v>
      </c>
      <c r="J29" s="15" t="n">
        <v>38.56</v>
      </c>
      <c r="K29" s="15" t="n">
        <v>38.64</v>
      </c>
      <c r="L29" s="15" t="n">
        <v>53.1</v>
      </c>
      <c r="M29" s="15" t="n">
        <v>119.16</v>
      </c>
      <c r="N29" s="15" t="n">
        <v>202.45</v>
      </c>
      <c r="O29" s="15" t="n">
        <v>283.19</v>
      </c>
      <c r="P29" s="15" t="n">
        <v>201.33</v>
      </c>
      <c r="Q29" s="15" t="n">
        <v>193.34</v>
      </c>
      <c r="R29" s="15" t="n">
        <v>213.4</v>
      </c>
      <c r="S29" s="15" t="n">
        <v>217.37</v>
      </c>
      <c r="T29" s="15" t="n">
        <v>218.96</v>
      </c>
      <c r="U29" s="15" t="n">
        <v>229.46</v>
      </c>
    </row>
    <row r="30">
      <c r="A30" s="4" t="inlineStr">
        <is>
          <t>May</t>
        </is>
      </c>
      <c r="B30" s="14" t="n">
        <v>7.53</v>
      </c>
      <c r="C30" s="14" t="n">
        <v>3.77</v>
      </c>
      <c r="D30" s="14" t="n">
        <v>2.79</v>
      </c>
      <c r="E30" s="14" t="n">
        <v>16.22</v>
      </c>
      <c r="F30" s="14" t="n">
        <v>15.74</v>
      </c>
      <c r="G30" s="14" t="n">
        <v>21.93</v>
      </c>
      <c r="H30" s="14" t="n">
        <v>24.39</v>
      </c>
      <c r="I30" s="14" t="n">
        <v>21.51</v>
      </c>
      <c r="J30" s="14" t="n">
        <v>40.38</v>
      </c>
      <c r="K30" s="14" t="n">
        <v>46.42</v>
      </c>
      <c r="L30" s="14" t="n">
        <v>66.09</v>
      </c>
      <c r="M30" s="14" t="n">
        <v>126.35</v>
      </c>
      <c r="N30" s="14" t="n">
        <v>224.91</v>
      </c>
      <c r="O30" s="14" t="n">
        <v>220.4</v>
      </c>
      <c r="P30" s="14" t="n">
        <v>198.34</v>
      </c>
      <c r="Q30" s="14" t="n">
        <v>216.1</v>
      </c>
      <c r="R30" s="14" t="n">
        <v>238.85</v>
      </c>
      <c r="S30" s="14" t="n">
        <v>242.7</v>
      </c>
      <c r="T30" s="14" t="n">
        <v>244</v>
      </c>
      <c r="U30" s="14" t="n">
        <v>256.35</v>
      </c>
    </row>
    <row r="31">
      <c r="A31" s="7" t="inlineStr">
        <is>
          <t>Jun</t>
        </is>
      </c>
      <c r="B31" s="15" t="n">
        <v>4.56</v>
      </c>
      <c r="C31" s="15" t="n">
        <v>3.59</v>
      </c>
      <c r="D31" s="15" t="n">
        <v>7.26</v>
      </c>
      <c r="E31" s="15" t="n">
        <v>15.67</v>
      </c>
      <c r="F31" s="15" t="n">
        <v>14.42</v>
      </c>
      <c r="G31" s="15" t="n">
        <v>22.57</v>
      </c>
      <c r="H31" s="15" t="n">
        <v>17.75</v>
      </c>
      <c r="I31" s="15" t="n">
        <v>12.38</v>
      </c>
      <c r="J31" s="15" t="n">
        <v>39.76</v>
      </c>
      <c r="K31" s="15" t="n">
        <v>53.21</v>
      </c>
      <c r="L31" s="15" t="n">
        <v>61.75</v>
      </c>
      <c r="M31" s="15" t="n">
        <v>123.82</v>
      </c>
      <c r="N31" s="15" t="n">
        <v>230.52</v>
      </c>
      <c r="O31" s="15" t="n">
        <v>282.59</v>
      </c>
      <c r="P31" s="15" t="n">
        <v>195.6</v>
      </c>
      <c r="Q31" s="15" t="n">
        <v>215.72</v>
      </c>
      <c r="R31" s="15" t="n">
        <v>238.37</v>
      </c>
      <c r="S31" s="15" t="n">
        <v>243.61</v>
      </c>
      <c r="T31" s="15" t="n">
        <v>244.97</v>
      </c>
      <c r="U31" s="15" t="n">
        <v>256.71</v>
      </c>
    </row>
    <row r="32">
      <c r="A32" s="4" t="inlineStr">
        <is>
          <t>Jul</t>
        </is>
      </c>
      <c r="B32" s="14" t="n">
        <v>6.47</v>
      </c>
      <c r="C32" s="14" t="n">
        <v>6.28</v>
      </c>
      <c r="D32" s="14" t="n">
        <v>15.71</v>
      </c>
      <c r="E32" s="14" t="n">
        <v>14</v>
      </c>
      <c r="F32" s="14" t="n">
        <v>15.52</v>
      </c>
      <c r="G32" s="14" t="n">
        <v>19.52</v>
      </c>
      <c r="H32" s="14" t="n">
        <v>19.65</v>
      </c>
      <c r="I32" s="14" t="n">
        <v>10.55</v>
      </c>
      <c r="J32" s="14" t="n">
        <v>46.28</v>
      </c>
      <c r="K32" s="14" t="n">
        <v>46.68</v>
      </c>
      <c r="L32" s="14" t="n">
        <v>79.34999999999999</v>
      </c>
      <c r="M32" s="14" t="n">
        <v>129.6</v>
      </c>
      <c r="N32" s="14" t="n">
        <v>213.6</v>
      </c>
      <c r="O32" s="14" t="n">
        <v>292.49</v>
      </c>
      <c r="P32" s="14" t="n">
        <v>192.08</v>
      </c>
      <c r="Q32" s="14" t="n">
        <v>210.52</v>
      </c>
      <c r="R32" s="14" t="n">
        <v>232.08</v>
      </c>
      <c r="S32" s="14" t="n">
        <v>236.77</v>
      </c>
      <c r="T32" s="14" t="n">
        <v>238.96</v>
      </c>
      <c r="U32" s="14" t="n">
        <v>250.03</v>
      </c>
    </row>
    <row r="33">
      <c r="A33" s="7" t="inlineStr">
        <is>
          <t>Aug</t>
        </is>
      </c>
      <c r="B33" s="15" t="n">
        <v>8.449999999999999</v>
      </c>
      <c r="C33" s="15" t="n">
        <v>5.48</v>
      </c>
      <c r="D33" s="15" t="n">
        <v>15.26</v>
      </c>
      <c r="E33" s="15" t="n">
        <v>2.04</v>
      </c>
      <c r="F33" s="15" t="n">
        <v>15.1</v>
      </c>
      <c r="G33" s="15" t="n">
        <v>24.8</v>
      </c>
      <c r="H33" s="15" t="n">
        <v>24.67</v>
      </c>
      <c r="I33" s="15" t="n">
        <v>16.03</v>
      </c>
      <c r="J33" s="15" t="n">
        <v>30.18</v>
      </c>
      <c r="K33" s="15" t="n">
        <v>43.95</v>
      </c>
      <c r="L33" s="15" t="n">
        <v>75.59999999999999</v>
      </c>
      <c r="M33" s="15" t="n">
        <v>118.93</v>
      </c>
      <c r="N33" s="15" t="n">
        <v>240.8</v>
      </c>
      <c r="O33" s="15" t="n">
        <v>260.49</v>
      </c>
      <c r="P33" s="15" t="n">
        <v>196.76</v>
      </c>
      <c r="Q33" s="15" t="n">
        <v>216.24</v>
      </c>
      <c r="R33" s="15" t="n">
        <v>238.64</v>
      </c>
      <c r="S33" s="15" t="n">
        <v>243.63</v>
      </c>
      <c r="T33" s="15" t="n">
        <v>245.85</v>
      </c>
      <c r="U33" s="15" t="n">
        <v>257.41</v>
      </c>
    </row>
    <row r="34">
      <c r="A34" s="4" t="inlineStr">
        <is>
          <t>Sep</t>
        </is>
      </c>
      <c r="B34" s="14" t="n">
        <v>5.9</v>
      </c>
      <c r="C34" s="14" t="n">
        <v>3.74</v>
      </c>
      <c r="D34" s="14" t="n">
        <v>17.64</v>
      </c>
      <c r="E34" s="14" t="n">
        <v>5.95</v>
      </c>
      <c r="F34" s="14" t="n">
        <v>13.85</v>
      </c>
      <c r="G34" s="14" t="n">
        <v>19.22</v>
      </c>
      <c r="H34" s="14" t="n">
        <v>21.97</v>
      </c>
      <c r="I34" s="14" t="n">
        <v>32.25</v>
      </c>
      <c r="J34" s="14" t="n">
        <v>40.69</v>
      </c>
      <c r="K34" s="14" t="n">
        <v>48.11</v>
      </c>
      <c r="L34" s="14" t="n">
        <v>61.46</v>
      </c>
      <c r="M34" s="14" t="n">
        <v>138.15</v>
      </c>
      <c r="N34" s="14" t="n">
        <v>250.39</v>
      </c>
      <c r="O34" s="14" t="n">
        <v>257.93</v>
      </c>
      <c r="P34" s="14" t="n">
        <v>199.57</v>
      </c>
      <c r="Q34" s="14" t="n">
        <v>219.23</v>
      </c>
      <c r="R34" s="14" t="n">
        <v>242.16</v>
      </c>
      <c r="S34" s="14" t="n">
        <v>246.63</v>
      </c>
      <c r="T34" s="14" t="n">
        <v>248.72</v>
      </c>
      <c r="U34" s="14" t="n">
        <v>260.67</v>
      </c>
    </row>
    <row r="35">
      <c r="A35" s="7" t="inlineStr">
        <is>
          <t>Oct</t>
        </is>
      </c>
      <c r="B35" s="15" t="n">
        <v>6.92</v>
      </c>
      <c r="C35" s="15" t="n">
        <v>3.85</v>
      </c>
      <c r="D35" s="15" t="n">
        <v>18.93</v>
      </c>
      <c r="E35" s="15" t="n">
        <v>14.72</v>
      </c>
      <c r="F35" s="15" t="n">
        <v>13.41</v>
      </c>
      <c r="G35" s="15" t="n">
        <v>20.64</v>
      </c>
      <c r="H35" s="15" t="n">
        <v>25.35</v>
      </c>
      <c r="I35" s="15" t="n">
        <v>39.01</v>
      </c>
      <c r="J35" s="15" t="n">
        <v>48.57</v>
      </c>
      <c r="K35" s="15" t="n">
        <v>25.23</v>
      </c>
      <c r="L35" s="15" t="n">
        <v>85.16</v>
      </c>
      <c r="M35" s="15" t="n">
        <v>129.34</v>
      </c>
      <c r="N35" s="15" t="n">
        <v>213.96</v>
      </c>
      <c r="O35" s="15" t="n">
        <v>289.56</v>
      </c>
      <c r="P35" s="15" t="n">
        <v>216.65</v>
      </c>
      <c r="Q35" s="15" t="n">
        <v>238.58</v>
      </c>
      <c r="R35" s="15" t="n">
        <v>263.13</v>
      </c>
      <c r="S35" s="15" t="n">
        <v>268.32</v>
      </c>
      <c r="T35" s="15" t="n">
        <v>270.21</v>
      </c>
      <c r="U35" s="15" t="n">
        <v>283.21</v>
      </c>
    </row>
    <row r="36">
      <c r="A36" s="4" t="inlineStr">
        <is>
          <t>Nov</t>
        </is>
      </c>
      <c r="B36" s="14" t="n">
        <v>5.23</v>
      </c>
      <c r="C36" s="14" t="n">
        <v>5.58</v>
      </c>
      <c r="D36" s="14" t="n">
        <v>15.68</v>
      </c>
      <c r="E36" s="14" t="n">
        <v>16.46</v>
      </c>
      <c r="F36" s="14" t="n">
        <v>12.66</v>
      </c>
      <c r="G36" s="14" t="n">
        <v>27.36</v>
      </c>
      <c r="H36" s="14" t="n">
        <v>23.18</v>
      </c>
      <c r="I36" s="14" t="n">
        <v>40.33</v>
      </c>
      <c r="J36" s="14" t="n">
        <v>42.39</v>
      </c>
      <c r="K36" s="14" t="n">
        <v>49.05</v>
      </c>
      <c r="L36" s="14" t="n">
        <v>94.7</v>
      </c>
      <c r="M36" s="14" t="n">
        <v>145.54</v>
      </c>
      <c r="N36" s="14" t="n">
        <v>226.28</v>
      </c>
      <c r="O36" s="14" t="n">
        <v>261.19</v>
      </c>
      <c r="P36" s="14" t="n">
        <v>233.98</v>
      </c>
      <c r="Q36" s="14" t="n">
        <v>288.01</v>
      </c>
      <c r="R36" s="14" t="n">
        <v>318.44</v>
      </c>
      <c r="S36" s="14" t="n">
        <v>324.11</v>
      </c>
      <c r="T36" s="14" t="n">
        <v>326.92</v>
      </c>
      <c r="U36" s="14" t="n">
        <v>342.13</v>
      </c>
    </row>
    <row r="37">
      <c r="A37" s="7" t="inlineStr">
        <is>
          <t>Dec</t>
        </is>
      </c>
      <c r="B37" s="15" t="n">
        <v>6.48</v>
      </c>
      <c r="C37" s="15" t="n">
        <v>3.8</v>
      </c>
      <c r="D37" s="15" t="n">
        <v>13.9</v>
      </c>
      <c r="E37" s="15" t="n">
        <v>22.83</v>
      </c>
      <c r="F37" s="15" t="n">
        <v>13.32</v>
      </c>
      <c r="G37" s="15" t="n">
        <v>27.16</v>
      </c>
      <c r="H37" s="15" t="n">
        <v>25.52</v>
      </c>
      <c r="I37" s="15" t="n">
        <v>47.33</v>
      </c>
      <c r="J37" s="15" t="n">
        <v>52.8</v>
      </c>
      <c r="K37" s="15" t="n">
        <v>57.81</v>
      </c>
      <c r="L37" s="15" t="n">
        <v>114.24</v>
      </c>
      <c r="M37" s="15" t="n">
        <v>152</v>
      </c>
      <c r="N37" s="15" t="n">
        <v>272.69</v>
      </c>
      <c r="O37" s="15" t="n">
        <v>314.11</v>
      </c>
      <c r="P37" s="15" t="n">
        <v>283.98</v>
      </c>
      <c r="Q37" s="15" t="n">
        <v>327.99</v>
      </c>
      <c r="R37" s="15" t="n">
        <v>360.41</v>
      </c>
      <c r="S37" s="15" t="n">
        <v>366.61</v>
      </c>
      <c r="T37" s="15" t="n">
        <v>369.86</v>
      </c>
      <c r="U37" s="15" t="n">
        <v>387.3</v>
      </c>
    </row>
    <row r="38">
      <c r="A38" s="9" t="inlineStr">
        <is>
          <t xml:space="preserve">  Calendar-year Total</t>
        </is>
      </c>
      <c r="B38" s="9">
        <f>SUM(B26:B37)</f>
        <v/>
      </c>
      <c r="C38" s="9">
        <f>SUM(C26:C37)</f>
        <v/>
      </c>
      <c r="D38" s="9">
        <f>SUM(D26:D37)</f>
        <v/>
      </c>
      <c r="E38" s="9">
        <f>SUM(E26:E37)</f>
        <v/>
      </c>
      <c r="F38" s="9">
        <f>SUM(F26:F37)</f>
        <v/>
      </c>
      <c r="G38" s="9">
        <f>SUM(G26:G37)</f>
        <v/>
      </c>
      <c r="H38" s="9">
        <f>SUM(H26:H37)</f>
        <v/>
      </c>
      <c r="I38" s="9">
        <f>SUM(I26:I37)</f>
        <v/>
      </c>
      <c r="J38" s="9">
        <f>SUM(J26:J37)</f>
        <v/>
      </c>
      <c r="K38" s="9">
        <f>SUM(K26:K37)</f>
        <v/>
      </c>
      <c r="L38" s="9">
        <f>SUM(L26:L37)</f>
        <v/>
      </c>
      <c r="M38" s="9">
        <f>SUM(M26:M37)</f>
        <v/>
      </c>
      <c r="N38" s="9">
        <f>SUM(N26:N37)</f>
        <v/>
      </c>
      <c r="O38" s="9">
        <f>SUM(O26:O37)</f>
        <v/>
      </c>
      <c r="P38" s="9">
        <f>SUM(P26:P37)</f>
        <v/>
      </c>
      <c r="Q38" s="9">
        <f>SUM(Q26:Q37)</f>
        <v/>
      </c>
      <c r="R38" s="9">
        <f>SUM(R26:R37)</f>
        <v/>
      </c>
      <c r="S38" s="9">
        <f>SUM(S26:S37)</f>
        <v/>
      </c>
      <c r="T38" s="9">
        <f>SUM(T26:T37)</f>
        <v/>
      </c>
      <c r="U38" s="9">
        <f>SUM(U26:U37)</f>
        <v/>
      </c>
    </row>
    <row r="40">
      <c r="A40" s="12" t="inlineStr">
        <is>
          <t>US RENEWABLE DIESEL IMPORTS</t>
        </is>
      </c>
    </row>
    <row r="41">
      <c r="A41" s="13" t="inlineStr">
        <is>
          <t>(million gallons)</t>
        </is>
      </c>
      <c r="B41" s="3" t="n">
        <v>2011</v>
      </c>
      <c r="C41" s="3" t="n">
        <v>2012</v>
      </c>
      <c r="D41" s="3" t="n">
        <v>2013</v>
      </c>
      <c r="E41" s="3" t="n">
        <v>2014</v>
      </c>
      <c r="F41" s="3" t="n">
        <v>2015</v>
      </c>
      <c r="G41" s="3" t="n">
        <v>2016</v>
      </c>
      <c r="H41" s="3" t="n">
        <v>2017</v>
      </c>
      <c r="I41" s="3" t="n">
        <v>2018</v>
      </c>
      <c r="J41" s="3" t="n">
        <v>2019</v>
      </c>
      <c r="K41" s="3" t="n">
        <v>2020</v>
      </c>
      <c r="L41" s="3" t="n">
        <v>2021</v>
      </c>
      <c r="M41" s="3" t="n">
        <v>2022</v>
      </c>
      <c r="N41" s="3" t="n">
        <v>2023</v>
      </c>
      <c r="O41" s="3" t="n">
        <v>2024</v>
      </c>
      <c r="P41" s="3" t="n">
        <v>2025</v>
      </c>
      <c r="Q41" s="3" t="n">
        <v>2026</v>
      </c>
      <c r="R41" s="3" t="n">
        <v>2027</v>
      </c>
      <c r="S41" s="3" t="n">
        <v>2028</v>
      </c>
      <c r="T41" s="3" t="n">
        <v>2029</v>
      </c>
      <c r="U41" s="3" t="n">
        <v>2030</v>
      </c>
    </row>
    <row r="42">
      <c r="A42" s="4" t="inlineStr">
        <is>
          <t>Jan</t>
        </is>
      </c>
      <c r="B42" s="5" t="n"/>
      <c r="C42" s="5" t="n"/>
      <c r="D42" s="5" t="n">
        <v>0.04696612865</v>
      </c>
      <c r="E42" s="14" t="n">
        <v>0.825968409595</v>
      </c>
      <c r="F42" s="14" t="n">
        <v>1.0866974051325</v>
      </c>
      <c r="G42" s="14" t="n">
        <v>0.66850725032</v>
      </c>
      <c r="H42" s="14" t="n">
        <v>0.37094627164</v>
      </c>
      <c r="I42" s="14" t="n">
        <v>0.920852705815</v>
      </c>
      <c r="J42" s="14" t="n">
        <v>1.304121613445</v>
      </c>
      <c r="K42" s="14" t="n">
        <v>1.03530043533</v>
      </c>
      <c r="L42" s="14" t="n">
        <v>0.82569913349</v>
      </c>
      <c r="M42" s="14" t="n">
        <v>1.73300499568</v>
      </c>
      <c r="N42" s="14" t="n">
        <v>3.40352051312</v>
      </c>
      <c r="O42" s="14" t="n">
        <v>4.1584220152825</v>
      </c>
      <c r="P42" s="14" t="n">
        <v>0.1872678223575</v>
      </c>
      <c r="Q42" s="14" t="n">
        <v>0.093338570212</v>
      </c>
      <c r="R42" s="14" t="n">
        <v>23.65</v>
      </c>
      <c r="S42" s="14" t="n">
        <v>21.36</v>
      </c>
      <c r="T42" s="14" t="n">
        <v>20.54</v>
      </c>
      <c r="U42" s="14" t="n">
        <v>17.63</v>
      </c>
    </row>
    <row r="43">
      <c r="A43" s="7" t="inlineStr">
        <is>
          <t>Feb</t>
        </is>
      </c>
      <c r="D43" s="15" t="n">
        <v>0.187002479195</v>
      </c>
      <c r="E43" s="15" t="n">
        <v>0.4880463762825</v>
      </c>
      <c r="F43" s="15" t="n">
        <v>1.04507899223</v>
      </c>
      <c r="G43" s="15" t="n">
        <v>0.5255133828875</v>
      </c>
      <c r="H43" s="15" t="n">
        <v>1.25962730131</v>
      </c>
      <c r="I43" s="15" t="n">
        <v>0.9428168729700001</v>
      </c>
      <c r="J43" s="15" t="n">
        <v>0.90253602054</v>
      </c>
      <c r="K43" s="15" t="n">
        <v>1.368940449415</v>
      </c>
      <c r="L43" s="15" t="n">
        <v>0.91156514162</v>
      </c>
      <c r="M43" s="15" t="n">
        <v>0.462223719475</v>
      </c>
      <c r="N43" s="15" t="n">
        <v>3.15661543547</v>
      </c>
      <c r="O43" s="15" t="n">
        <v>4.6817509350675</v>
      </c>
      <c r="P43" s="15" t="n">
        <v>0.563887589118</v>
      </c>
      <c r="Q43" s="15" t="n">
        <v>0.013139578585</v>
      </c>
      <c r="R43" s="15" t="n">
        <v>21.21</v>
      </c>
      <c r="S43" s="15" t="n">
        <v>20.59</v>
      </c>
      <c r="T43" s="15" t="n">
        <v>20.23</v>
      </c>
      <c r="U43" s="15" t="n">
        <v>16.32</v>
      </c>
    </row>
    <row r="44">
      <c r="A44" s="4" t="inlineStr">
        <is>
          <t>Mar</t>
        </is>
      </c>
      <c r="B44" s="5" t="n"/>
      <c r="C44" s="5" t="n"/>
      <c r="D44" s="14" t="n">
        <v>1.166586718885</v>
      </c>
      <c r="E44" s="14" t="n">
        <v>0.8527029903</v>
      </c>
      <c r="F44" s="14" t="n">
        <v>0.916450785495</v>
      </c>
      <c r="G44" s="14" t="n">
        <v>1.6509172697325</v>
      </c>
      <c r="H44" s="14" t="n">
        <v>1.576794386055</v>
      </c>
      <c r="I44" s="14" t="n">
        <v>1.245686343335</v>
      </c>
      <c r="J44" s="14" t="n">
        <v>2.4563007107275</v>
      </c>
      <c r="K44" s="14" t="n">
        <v>1.2135972646</v>
      </c>
      <c r="L44" s="14" t="n">
        <v>1.22062013038</v>
      </c>
      <c r="M44" s="14" t="n">
        <v>2.693797171765</v>
      </c>
      <c r="N44" s="14" t="n">
        <v>3.5878745708225</v>
      </c>
      <c r="O44" s="14" t="n">
        <v>3.14014329174</v>
      </c>
      <c r="P44" s="14" t="n">
        <v>0.385143193755</v>
      </c>
      <c r="Q44" s="14" t="n">
        <v>0.015768994185</v>
      </c>
      <c r="R44" s="14" t="n">
        <v>26.45</v>
      </c>
      <c r="S44" s="14" t="n">
        <v>24.93</v>
      </c>
      <c r="T44" s="14" t="n">
        <v>23.64</v>
      </c>
      <c r="U44" s="14" t="n">
        <v>19.87</v>
      </c>
    </row>
    <row r="45">
      <c r="A45" s="7" t="inlineStr">
        <is>
          <t>Apr</t>
        </is>
      </c>
      <c r="C45" s="15" t="n">
        <v>1.19</v>
      </c>
      <c r="D45" s="15" t="n">
        <v>1.08116123178</v>
      </c>
      <c r="E45" s="15" t="n">
        <v>0.56250382447</v>
      </c>
      <c r="F45" s="15" t="n">
        <v>0.764231967135</v>
      </c>
      <c r="G45" s="15" t="n">
        <v>2.38021972874</v>
      </c>
      <c r="H45" s="15" t="n">
        <v>1.5178681164675</v>
      </c>
      <c r="I45" s="15" t="n">
        <v>1.41926043294</v>
      </c>
      <c r="J45" s="15" t="n">
        <v>1.58080561289</v>
      </c>
      <c r="K45" s="15" t="n">
        <v>2.146985473605</v>
      </c>
      <c r="L45" s="15" t="n">
        <v>1.765703175005</v>
      </c>
      <c r="M45" s="15" t="n">
        <v>1.88471895878</v>
      </c>
      <c r="N45" s="15" t="n">
        <v>3.43693073353</v>
      </c>
      <c r="O45" s="15" t="n">
        <v>5.562886799995</v>
      </c>
      <c r="P45" s="15" t="n">
        <v>0.112988602008</v>
      </c>
      <c r="Q45" s="15" t="n">
        <v>24.68</v>
      </c>
      <c r="R45" s="15" t="n">
        <v>21.51</v>
      </c>
      <c r="S45" s="15" t="n">
        <v>20.68</v>
      </c>
      <c r="T45" s="15" t="n">
        <v>21.21</v>
      </c>
      <c r="U45" s="15" t="n">
        <v>17.26</v>
      </c>
    </row>
    <row r="46">
      <c r="A46" s="4" t="inlineStr">
        <is>
          <t>May</t>
        </is>
      </c>
      <c r="B46" s="5" t="n"/>
      <c r="C46" s="14" t="n">
        <v>1.31</v>
      </c>
      <c r="D46" s="14" t="n">
        <v>1.070190027095</v>
      </c>
      <c r="E46" s="14" t="n">
        <v>0.395736320105</v>
      </c>
      <c r="F46" s="14" t="n">
        <v>1.112542352495</v>
      </c>
      <c r="G46" s="14" t="n">
        <v>2.4992160867275</v>
      </c>
      <c r="H46" s="14" t="n">
        <v>2.03719887357</v>
      </c>
      <c r="I46" s="14" t="n">
        <v>1.34051783663</v>
      </c>
      <c r="J46" s="14" t="n">
        <v>1.091172592615</v>
      </c>
      <c r="K46" s="14" t="n">
        <v>1.67652072931</v>
      </c>
      <c r="L46" s="14" t="n">
        <v>1.143188239248</v>
      </c>
      <c r="M46" s="14" t="n">
        <v>1.141940354123</v>
      </c>
      <c r="N46" s="14" t="n">
        <v>3.08859302434</v>
      </c>
      <c r="O46" s="14" t="n">
        <v>3.5989799807755</v>
      </c>
      <c r="P46" s="14" t="n">
        <v>0.114293118574</v>
      </c>
      <c r="Q46" s="14" t="n">
        <v>28.29</v>
      </c>
      <c r="R46" s="14" t="n">
        <v>26.83</v>
      </c>
      <c r="S46" s="14" t="n">
        <v>24.69</v>
      </c>
      <c r="T46" s="14" t="n">
        <v>20.86</v>
      </c>
      <c r="U46" s="14" t="n">
        <v>19.53</v>
      </c>
    </row>
    <row r="47">
      <c r="A47" s="7" t="inlineStr">
        <is>
          <t>Jun</t>
        </is>
      </c>
      <c r="C47" s="15" t="n">
        <v>1.38</v>
      </c>
      <c r="D47" s="15" t="n">
        <v>1.766586218705</v>
      </c>
      <c r="E47" s="15" t="n">
        <v>0.5126238617875</v>
      </c>
      <c r="F47" s="15" t="n">
        <v>1.50632134786</v>
      </c>
      <c r="G47" s="15" t="n">
        <v>3.28784398873</v>
      </c>
      <c r="H47" s="15" t="n">
        <v>3.3790209665275</v>
      </c>
      <c r="I47" s="15" t="n">
        <v>1.22919832035</v>
      </c>
      <c r="J47" s="15" t="n">
        <v>0.97153286895</v>
      </c>
      <c r="K47" s="15" t="n">
        <v>1.54927262112</v>
      </c>
      <c r="L47" s="15" t="n">
        <v>1.614847067925</v>
      </c>
      <c r="M47" s="15" t="n">
        <v>1.283682939875</v>
      </c>
      <c r="N47" s="15" t="n">
        <v>3.557798422815</v>
      </c>
      <c r="O47" s="15" t="n">
        <v>2.481577741825</v>
      </c>
      <c r="P47" s="15" t="n">
        <v>0.05339499501</v>
      </c>
      <c r="Q47" s="15" t="n">
        <v>25.07</v>
      </c>
      <c r="R47" s="15" t="n">
        <v>21.38</v>
      </c>
      <c r="S47" s="15" t="n">
        <v>19.55</v>
      </c>
      <c r="T47" s="15" t="n">
        <v>18.09</v>
      </c>
      <c r="U47" s="15" t="n">
        <v>16.62</v>
      </c>
    </row>
    <row r="48">
      <c r="A48" s="4" t="inlineStr">
        <is>
          <t>Jul</t>
        </is>
      </c>
      <c r="B48" s="5" t="n"/>
      <c r="C48" s="5" t="n"/>
      <c r="D48" s="14" t="n">
        <v>0.8538706686300001</v>
      </c>
      <c r="E48" s="14" t="n">
        <v>1.2385760784425</v>
      </c>
      <c r="F48" s="14" t="n">
        <v>2.7826209586525</v>
      </c>
      <c r="G48" s="14" t="n">
        <v>3.5392789786725</v>
      </c>
      <c r="H48" s="14" t="n">
        <v>3.35016296251</v>
      </c>
      <c r="I48" s="14" t="n">
        <v>0.512118927285</v>
      </c>
      <c r="J48" s="14" t="n">
        <v>1.36334490005</v>
      </c>
      <c r="K48" s="14" t="n">
        <v>1.269992553865</v>
      </c>
      <c r="L48" s="14" t="n">
        <v>1.12958044696</v>
      </c>
      <c r="M48" s="14" t="n">
        <v>0.842478148225</v>
      </c>
      <c r="N48" s="14" t="n">
        <v>2.677679563895</v>
      </c>
      <c r="O48" s="14" t="n">
        <v>2.1685649445155</v>
      </c>
      <c r="P48" s="14" t="n">
        <v>0.004238745272</v>
      </c>
      <c r="Q48" s="14" t="n">
        <v>20.89</v>
      </c>
      <c r="R48" s="14" t="n">
        <v>20.51</v>
      </c>
      <c r="S48" s="14" t="n">
        <v>18.21</v>
      </c>
      <c r="T48" s="14" t="n">
        <v>15.83</v>
      </c>
      <c r="U48" s="14" t="n">
        <v>14.56</v>
      </c>
    </row>
    <row r="49">
      <c r="A49" s="7" t="inlineStr">
        <is>
          <t>Aug</t>
        </is>
      </c>
      <c r="D49" s="15" t="n">
        <v>1.622480352905</v>
      </c>
      <c r="E49" s="15" t="n">
        <v>1.499364513955</v>
      </c>
      <c r="F49" s="15" t="n">
        <v>1.96038734878</v>
      </c>
      <c r="G49" s="15" t="n">
        <v>3.9894864350075</v>
      </c>
      <c r="H49" s="15" t="n">
        <v>3.2890204329325</v>
      </c>
      <c r="I49" s="15" t="n">
        <v>1.227753738575</v>
      </c>
      <c r="J49" s="15" t="n">
        <v>0.81916376731</v>
      </c>
      <c r="K49" s="15" t="n">
        <v>0.9570634550575</v>
      </c>
      <c r="L49" s="15" t="n">
        <v>0.958767252765</v>
      </c>
      <c r="M49" s="15" t="n">
        <v>1.42864838816</v>
      </c>
      <c r="N49" s="15" t="n">
        <v>3.3818768319525</v>
      </c>
      <c r="O49" s="15" t="n">
        <v>2.059949387936</v>
      </c>
      <c r="P49" s="15" t="n">
        <v>0.004137637588</v>
      </c>
      <c r="Q49" s="15" t="n">
        <v>21.79</v>
      </c>
      <c r="R49" s="15" t="n">
        <v>21.2</v>
      </c>
      <c r="S49" s="15" t="n">
        <v>20.15</v>
      </c>
      <c r="T49" s="15" t="n">
        <v>16.57</v>
      </c>
      <c r="U49" s="15" t="n">
        <v>15.43</v>
      </c>
    </row>
    <row r="50">
      <c r="A50" s="4" t="inlineStr">
        <is>
          <t>Sep</t>
        </is>
      </c>
      <c r="B50" s="5" t="n"/>
      <c r="C50" s="14" t="n">
        <v>1.33</v>
      </c>
      <c r="D50" s="14" t="n">
        <v>1.69821839558</v>
      </c>
      <c r="E50" s="14" t="n">
        <v>0.83546483167</v>
      </c>
      <c r="F50" s="14" t="n">
        <v>1.8772196137625</v>
      </c>
      <c r="G50" s="14" t="n">
        <v>3.8094524760425</v>
      </c>
      <c r="H50" s="14" t="n">
        <v>0.820869984305</v>
      </c>
      <c r="I50" s="14" t="n">
        <v>0.98584915135</v>
      </c>
      <c r="J50" s="14" t="n">
        <v>1.062892531925</v>
      </c>
      <c r="K50" s="14" t="n">
        <v>1.320380625095</v>
      </c>
      <c r="L50" s="14" t="n">
        <v>1.48560448708</v>
      </c>
      <c r="M50" s="14" t="n">
        <v>1.668724117445</v>
      </c>
      <c r="N50" s="14" t="n">
        <v>4.6018628906975</v>
      </c>
      <c r="O50" s="14" t="n">
        <v>2.25036376558</v>
      </c>
      <c r="P50" s="14" t="n">
        <v>0.006021304489</v>
      </c>
      <c r="Q50" s="14" t="n">
        <v>16.37</v>
      </c>
      <c r="R50" s="14" t="n">
        <v>14.54</v>
      </c>
      <c r="S50" s="14" t="n">
        <v>13.71</v>
      </c>
      <c r="T50" s="14" t="n">
        <v>13.19</v>
      </c>
      <c r="U50" s="14" t="n">
        <v>11.41</v>
      </c>
    </row>
    <row r="51">
      <c r="A51" s="7" t="inlineStr">
        <is>
          <t>Oct</t>
        </is>
      </c>
      <c r="C51" s="15" t="n">
        <v>2.71</v>
      </c>
      <c r="D51" s="15" t="n">
        <v>2.64350421804</v>
      </c>
      <c r="E51" s="15" t="n">
        <v>1.49968862925</v>
      </c>
      <c r="F51" s="15" t="n">
        <v>1.91819088419</v>
      </c>
      <c r="G51" s="15" t="n">
        <v>3.7543865562875</v>
      </c>
      <c r="H51" s="15" t="n">
        <v>1.27907920056</v>
      </c>
      <c r="I51" s="15" t="n">
        <v>1.8944427999</v>
      </c>
      <c r="J51" s="15" t="n">
        <v>1.17639620504</v>
      </c>
      <c r="K51" s="15" t="n">
        <v>1.604667910125</v>
      </c>
      <c r="L51" s="15" t="n">
        <v>1.513805720385</v>
      </c>
      <c r="M51" s="15" t="n">
        <v>1.597745355605</v>
      </c>
      <c r="N51" s="15" t="n">
        <v>4.232195293577</v>
      </c>
      <c r="O51" s="15" t="n">
        <v>1.797153388765</v>
      </c>
      <c r="P51" s="15" t="n">
        <v>0.632213632725</v>
      </c>
      <c r="Q51" s="15" t="n">
        <v>18.22</v>
      </c>
      <c r="R51" s="15" t="n">
        <v>15.53</v>
      </c>
      <c r="S51" s="15" t="n">
        <v>13.78</v>
      </c>
      <c r="T51" s="15" t="n">
        <v>13.64</v>
      </c>
      <c r="U51" s="15" t="n">
        <v>12.22</v>
      </c>
    </row>
    <row r="52">
      <c r="A52" s="4" t="inlineStr">
        <is>
          <t>Nov</t>
        </is>
      </c>
      <c r="B52" s="5" t="n"/>
      <c r="C52" s="14" t="n">
        <v>1.36</v>
      </c>
      <c r="D52" s="14" t="n">
        <v>3.3255107351725</v>
      </c>
      <c r="E52" s="14" t="n">
        <v>2.2650985907375</v>
      </c>
      <c r="F52" s="14" t="n">
        <v>1.5663668874525</v>
      </c>
      <c r="G52" s="14" t="n">
        <v>4.6186885319225</v>
      </c>
      <c r="H52" s="14" t="n">
        <v>0.817204258107</v>
      </c>
      <c r="I52" s="14" t="n">
        <v>1.70858328844</v>
      </c>
      <c r="J52" s="14" t="n">
        <v>1.351355719385</v>
      </c>
      <c r="K52" s="14" t="n">
        <v>2.050708437637</v>
      </c>
      <c r="L52" s="14" t="n">
        <v>2.37243769882</v>
      </c>
      <c r="M52" s="14" t="n">
        <v>3.0372342228875</v>
      </c>
      <c r="N52" s="14" t="n">
        <v>4.067349866755</v>
      </c>
      <c r="O52" s="14" t="n">
        <v>1.960507676798</v>
      </c>
      <c r="P52" s="14" t="n">
        <v>0.4763315067</v>
      </c>
      <c r="Q52" s="14" t="n">
        <v>24.65</v>
      </c>
      <c r="R52" s="14" t="n">
        <v>22.38</v>
      </c>
      <c r="S52" s="14" t="n">
        <v>19.57</v>
      </c>
      <c r="T52" s="14" t="n">
        <v>17.2</v>
      </c>
      <c r="U52" s="14" t="n">
        <v>16.55</v>
      </c>
    </row>
    <row r="53">
      <c r="A53" s="7" t="inlineStr">
        <is>
          <t>Dec</t>
        </is>
      </c>
      <c r="C53" s="15" t="n">
        <v>5.12</v>
      </c>
      <c r="D53" s="15" t="n">
        <v>4.4766934028075</v>
      </c>
      <c r="E53" s="15" t="n">
        <v>1.32029635864</v>
      </c>
      <c r="F53" s="15" t="n">
        <v>2.17675890516</v>
      </c>
      <c r="G53" s="15" t="n">
        <v>5.943072775325</v>
      </c>
      <c r="H53" s="15" t="n">
        <v>1.83748793809</v>
      </c>
      <c r="I53" s="15" t="n">
        <v>2.322421806565</v>
      </c>
      <c r="J53" s="15" t="n">
        <v>1.93210715264</v>
      </c>
      <c r="K53" s="15" t="n">
        <v>1.047997661305</v>
      </c>
      <c r="L53" s="15" t="n">
        <v>2.34955799953</v>
      </c>
      <c r="M53" s="15" t="n">
        <v>2.29884714794</v>
      </c>
      <c r="N53" s="15" t="n">
        <v>4.044560982175</v>
      </c>
      <c r="O53" s="15" t="n">
        <v>2.49263010058</v>
      </c>
      <c r="P53" s="15" t="n">
        <v>0.344984371224</v>
      </c>
      <c r="Q53" s="15" t="n">
        <v>18</v>
      </c>
      <c r="R53" s="15" t="n">
        <v>17.51</v>
      </c>
      <c r="S53" s="15" t="n">
        <v>14.43</v>
      </c>
      <c r="T53" s="15" t="n">
        <v>9.56</v>
      </c>
      <c r="U53" s="15" t="n">
        <v>12.13</v>
      </c>
    </row>
    <row r="54">
      <c r="A54" s="9" t="inlineStr">
        <is>
          <t xml:space="preserve">  Calendar-year Total</t>
        </is>
      </c>
      <c r="B54" s="9">
        <f>SUM(B42:B53)</f>
        <v/>
      </c>
      <c r="C54" s="9">
        <f>SUM(C42:C53)</f>
        <v/>
      </c>
      <c r="D54" s="9">
        <f>SUM(D42:D53)</f>
        <v/>
      </c>
      <c r="E54" s="9">
        <f>SUM(E42:E53)</f>
        <v/>
      </c>
      <c r="F54" s="9">
        <f>SUM(F42:F53)</f>
        <v/>
      </c>
      <c r="G54" s="9">
        <f>SUM(G42:G53)</f>
        <v/>
      </c>
      <c r="H54" s="9">
        <f>SUM(H42:H53)</f>
        <v/>
      </c>
      <c r="I54" s="9">
        <f>SUM(I42:I53)</f>
        <v/>
      </c>
      <c r="J54" s="9">
        <f>SUM(J42:J53)</f>
        <v/>
      </c>
      <c r="K54" s="9">
        <f>SUM(K42:K53)</f>
        <v/>
      </c>
      <c r="L54" s="9">
        <f>SUM(L42:L53)</f>
        <v/>
      </c>
      <c r="M54" s="9">
        <f>SUM(M42:M53)</f>
        <v/>
      </c>
      <c r="N54" s="9">
        <f>SUM(N42:N53)</f>
        <v/>
      </c>
      <c r="O54" s="9">
        <f>SUM(O42:O53)</f>
        <v/>
      </c>
      <c r="P54" s="9">
        <f>SUM(P42:P53)</f>
        <v/>
      </c>
      <c r="Q54" s="9">
        <f>SUM(Q42:Q53)</f>
        <v/>
      </c>
      <c r="R54" s="9">
        <f>SUM(R42:R53)</f>
        <v/>
      </c>
      <c r="S54" s="9">
        <f>SUM(S42:S53)</f>
        <v/>
      </c>
      <c r="T54" s="9">
        <f>SUM(T42:T53)</f>
        <v/>
      </c>
      <c r="U54" s="9">
        <f>SUM(U42:U53)</f>
        <v/>
      </c>
    </row>
    <row r="56">
      <c r="A56" s="12" t="inlineStr">
        <is>
          <t>US RENEWABLE DIESEL EXPORTS</t>
        </is>
      </c>
    </row>
    <row r="57">
      <c r="A57" s="13" t="inlineStr">
        <is>
          <t>(million gallons)</t>
        </is>
      </c>
      <c r="B57" s="3" t="n">
        <v>2011</v>
      </c>
      <c r="C57" s="3" t="n">
        <v>2012</v>
      </c>
      <c r="D57" s="3" t="n">
        <v>2013</v>
      </c>
      <c r="E57" s="3" t="n">
        <v>2014</v>
      </c>
      <c r="F57" s="3" t="n">
        <v>2015</v>
      </c>
      <c r="G57" s="3" t="n">
        <v>2016</v>
      </c>
      <c r="H57" s="3" t="n">
        <v>2017</v>
      </c>
      <c r="I57" s="3" t="n">
        <v>2018</v>
      </c>
      <c r="J57" s="3" t="n">
        <v>2019</v>
      </c>
      <c r="K57" s="3" t="n">
        <v>2020</v>
      </c>
      <c r="L57" s="3" t="n">
        <v>2021</v>
      </c>
      <c r="M57" s="3" t="n">
        <v>2022</v>
      </c>
      <c r="N57" s="3" t="n">
        <v>2023</v>
      </c>
      <c r="O57" s="3" t="n">
        <v>2024</v>
      </c>
      <c r="P57" s="3" t="n">
        <v>2025</v>
      </c>
      <c r="Q57" s="3" t="n">
        <v>2026</v>
      </c>
      <c r="R57" s="3" t="n">
        <v>2027</v>
      </c>
      <c r="S57" s="3" t="n">
        <v>2028</v>
      </c>
      <c r="T57" s="3" t="n">
        <v>2029</v>
      </c>
      <c r="U57" s="3" t="n">
        <v>2030</v>
      </c>
    </row>
    <row r="58">
      <c r="A58" s="4" t="inlineStr">
        <is>
          <t>Jan</t>
        </is>
      </c>
      <c r="B58" s="5" t="n"/>
      <c r="C58" s="5" t="n"/>
      <c r="D58" s="5" t="n">
        <v>0.03293818017</v>
      </c>
      <c r="E58" s="5" t="n">
        <v>0.27057601263</v>
      </c>
      <c r="F58" s="5" t="n">
        <v>0.0442813162575</v>
      </c>
      <c r="G58" s="5" t="n">
        <v>0.0854906573675</v>
      </c>
      <c r="H58" s="5" t="n">
        <v>0.0856512754825</v>
      </c>
      <c r="I58" s="5" t="n">
        <v>0.1699084446325</v>
      </c>
      <c r="J58" s="5" t="n">
        <v>0.172283016325</v>
      </c>
      <c r="K58" s="5" t="n">
        <v>0.0637039267025</v>
      </c>
      <c r="L58" s="5" t="n">
        <v>0.3346851018875</v>
      </c>
      <c r="M58" s="5" t="n">
        <v>0.4213862570925</v>
      </c>
      <c r="N58" s="5" t="n">
        <v>0.330921327905</v>
      </c>
      <c r="O58" s="5" t="n">
        <v>0.212164634395</v>
      </c>
      <c r="P58" s="5" t="n">
        <v>0.39207204995</v>
      </c>
      <c r="Q58" s="5" t="n">
        <v>0.055106882845</v>
      </c>
      <c r="R58" s="5" t="n"/>
      <c r="S58" s="5" t="n"/>
      <c r="T58" s="5" t="n"/>
      <c r="U58" s="5" t="n"/>
    </row>
    <row r="59">
      <c r="A59" s="7" t="inlineStr">
        <is>
          <t>Feb</t>
        </is>
      </c>
      <c r="D59" t="n">
        <v>0.075345508805</v>
      </c>
      <c r="E59" t="n">
        <v>0.28353046267</v>
      </c>
      <c r="F59" t="n">
        <v>0.04717591662</v>
      </c>
      <c r="G59" t="n">
        <v>0.09889387733750001</v>
      </c>
      <c r="H59" t="n">
        <v>0.1183424234475</v>
      </c>
      <c r="I59" t="n">
        <v>0.208166367115</v>
      </c>
      <c r="J59" t="n">
        <v>0.184343701045</v>
      </c>
      <c r="K59" t="n">
        <v>0.1798223311325</v>
      </c>
      <c r="L59" t="n">
        <v>0.2452841211625</v>
      </c>
      <c r="M59" t="n">
        <v>0.24958842643</v>
      </c>
      <c r="N59" t="n">
        <v>0.30982093443</v>
      </c>
      <c r="O59" t="n">
        <v>0.429507966265</v>
      </c>
      <c r="P59" t="n">
        <v>0.1122300420325</v>
      </c>
      <c r="Q59" t="n">
        <v>0.10045898177</v>
      </c>
    </row>
    <row r="60">
      <c r="A60" s="4" t="inlineStr">
        <is>
          <t>Mar</t>
        </is>
      </c>
      <c r="B60" s="5" t="n"/>
      <c r="C60" s="5" t="n"/>
      <c r="D60" s="5" t="n">
        <v>0.3549018526725</v>
      </c>
      <c r="E60" s="5" t="n">
        <v>0.18426509339</v>
      </c>
      <c r="F60" s="5" t="n">
        <v>0.3843052333225</v>
      </c>
      <c r="G60" s="5" t="n">
        <v>0.470780559515</v>
      </c>
      <c r="H60" s="5" t="n">
        <v>0.275063340195</v>
      </c>
      <c r="I60" s="5" t="n">
        <v>0.5180549430175</v>
      </c>
      <c r="J60" s="5" t="n">
        <v>0.455529416265</v>
      </c>
      <c r="K60" s="5" t="n">
        <v>0.45387144957</v>
      </c>
      <c r="L60" s="5" t="n">
        <v>0.537637270835</v>
      </c>
      <c r="M60" s="5" t="n">
        <v>0.419450704435</v>
      </c>
      <c r="N60" s="5" t="n">
        <v>0.525491373015</v>
      </c>
      <c r="O60" s="5" t="n">
        <v>0.636739877375</v>
      </c>
      <c r="P60" s="5" t="n">
        <v>0.215183751685</v>
      </c>
      <c r="Q60" s="5" t="n">
        <v>0.40446952658</v>
      </c>
      <c r="R60" s="5" t="n"/>
      <c r="S60" s="5" t="n"/>
      <c r="T60" s="5" t="n"/>
      <c r="U60" s="5" t="n"/>
    </row>
    <row r="61">
      <c r="A61" s="7" t="inlineStr">
        <is>
          <t>Apr</t>
        </is>
      </c>
      <c r="D61" t="n">
        <v>0.747599661305</v>
      </c>
      <c r="E61" t="n">
        <v>0.526159295025</v>
      </c>
      <c r="F61" t="n">
        <v>0.483919847635</v>
      </c>
      <c r="G61" t="n">
        <v>0.49497813463</v>
      </c>
      <c r="H61" t="n">
        <v>0.5711603474325</v>
      </c>
      <c r="I61" t="n">
        <v>0.43831416825</v>
      </c>
      <c r="J61" t="n">
        <v>0.745677905735</v>
      </c>
      <c r="K61" t="n">
        <v>1.049524829955</v>
      </c>
      <c r="L61" t="n">
        <v>0.9955109194975</v>
      </c>
      <c r="M61" t="n">
        <v>0.96386979423</v>
      </c>
      <c r="N61" t="n">
        <v>2.300618760195</v>
      </c>
      <c r="O61" t="n">
        <v>0.863428855905</v>
      </c>
      <c r="P61" t="n">
        <v>0.308059968545</v>
      </c>
    </row>
    <row r="62">
      <c r="A62" s="4" t="inlineStr">
        <is>
          <t>May</t>
        </is>
      </c>
      <c r="B62" s="5" t="n"/>
      <c r="C62" s="5" t="n"/>
      <c r="D62" s="5" t="n">
        <v>1.134803870025</v>
      </c>
      <c r="E62" s="5" t="n">
        <v>0.41830790526</v>
      </c>
      <c r="F62" s="5" t="n">
        <v>0.5134916385375</v>
      </c>
      <c r="G62" s="5" t="n">
        <v>0.6757295173125</v>
      </c>
      <c r="H62" s="5" t="n">
        <v>0.48228246934</v>
      </c>
      <c r="I62" s="5" t="n">
        <v>0.7924768401725</v>
      </c>
      <c r="J62" s="5" t="n">
        <v>0.887331873925</v>
      </c>
      <c r="K62" s="5" t="n">
        <v>1.0004484181475</v>
      </c>
      <c r="L62" s="5" t="n">
        <v>1.13640498986</v>
      </c>
      <c r="M62" s="5" t="n">
        <v>1.22003730107</v>
      </c>
      <c r="N62" s="5" t="n">
        <v>1.5292708513075</v>
      </c>
      <c r="O62" s="5" t="n">
        <v>1.0152935981825</v>
      </c>
      <c r="P62" s="5" t="n">
        <v>0.445516877015</v>
      </c>
      <c r="Q62" s="5" t="n"/>
      <c r="R62" s="5" t="n"/>
      <c r="S62" s="5" t="n"/>
      <c r="T62" s="5" t="n"/>
      <c r="U62" s="5" t="n"/>
    </row>
    <row r="63">
      <c r="A63" s="7" t="inlineStr">
        <is>
          <t>Jun</t>
        </is>
      </c>
      <c r="D63" t="n">
        <v>1.1836751984925</v>
      </c>
      <c r="E63" t="n">
        <v>0.5308110581375</v>
      </c>
      <c r="F63" t="n">
        <v>0.5236994816375</v>
      </c>
      <c r="G63" t="n">
        <v>0.44400846217</v>
      </c>
      <c r="H63" t="n">
        <v>0.4554459045675</v>
      </c>
      <c r="I63" t="n">
        <v>0.548429652925</v>
      </c>
      <c r="J63" t="n">
        <v>0.604715822165</v>
      </c>
      <c r="K63" t="n">
        <v>1.053258993815</v>
      </c>
      <c r="L63" t="n">
        <v>1.3264422556525</v>
      </c>
      <c r="M63" t="n">
        <v>1.189704382755</v>
      </c>
      <c r="N63" t="n">
        <v>1.6901742014325</v>
      </c>
      <c r="O63" t="n">
        <v>0.966836782835</v>
      </c>
      <c r="P63" t="n">
        <v>0.5140461813725</v>
      </c>
    </row>
    <row r="64">
      <c r="A64" s="4" t="inlineStr">
        <is>
          <t>Jul</t>
        </is>
      </c>
      <c r="B64" s="5" t="n"/>
      <c r="C64" s="5" t="n"/>
      <c r="D64" s="5" t="n">
        <v>0.8642319607775</v>
      </c>
      <c r="E64" s="5" t="n">
        <v>0.6451572874425</v>
      </c>
      <c r="F64" s="5" t="n">
        <v>0.5139672019825</v>
      </c>
      <c r="G64" s="5" t="n">
        <v>0.5180159394375</v>
      </c>
      <c r="H64" s="5" t="n">
        <v>0.91315570388</v>
      </c>
      <c r="I64" s="5" t="n">
        <v>0.518369387935</v>
      </c>
      <c r="J64" s="5" t="n">
        <v>0.7895325559975001</v>
      </c>
      <c r="K64" s="5" t="n">
        <v>0.75765437818</v>
      </c>
      <c r="L64" s="5" t="n">
        <v>0.986327192025</v>
      </c>
      <c r="M64" s="5" t="n">
        <v>1.0964403748025</v>
      </c>
      <c r="N64" s="5" t="n">
        <v>1.393471266145</v>
      </c>
      <c r="O64" s="5" t="n">
        <v>1.2643683154375</v>
      </c>
      <c r="P64" s="5" t="n">
        <v>0.61594138991</v>
      </c>
      <c r="Q64" s="5" t="n"/>
      <c r="R64" s="5" t="n"/>
      <c r="S64" s="5" t="n"/>
      <c r="T64" s="5" t="n"/>
      <c r="U64" s="5" t="n"/>
    </row>
    <row r="65">
      <c r="A65" s="7" t="inlineStr">
        <is>
          <t>Aug</t>
        </is>
      </c>
      <c r="D65" t="n">
        <v>1.383909955995</v>
      </c>
      <c r="E65" t="n">
        <v>0.5324388142149999</v>
      </c>
      <c r="F65" t="n">
        <v>0.55331279248</v>
      </c>
      <c r="G65" t="n">
        <v>0.499557881235</v>
      </c>
      <c r="H65" t="n">
        <v>0.7824997873175</v>
      </c>
      <c r="I65" t="n">
        <v>0.530885819765</v>
      </c>
      <c r="J65" t="n">
        <v>0.58647904637</v>
      </c>
      <c r="K65" t="n">
        <v>1.03208242326</v>
      </c>
      <c r="L65" t="n">
        <v>1.106140013265</v>
      </c>
      <c r="M65" t="n">
        <v>1.686804037625</v>
      </c>
      <c r="N65" t="n">
        <v>1.1134857685175</v>
      </c>
      <c r="O65" t="n">
        <v>1.17181635158</v>
      </c>
      <c r="P65" t="n">
        <v>0.5064818888325</v>
      </c>
    </row>
    <row r="66">
      <c r="A66" s="4" t="inlineStr">
        <is>
          <t>Sep</t>
        </is>
      </c>
      <c r="B66" s="5" t="n"/>
      <c r="C66" s="5" t="n"/>
      <c r="D66" s="5" t="n">
        <v>1.029141055775</v>
      </c>
      <c r="E66" s="5" t="n">
        <v>0.2746137839025</v>
      </c>
      <c r="F66" s="5" t="n">
        <v>0.406272069595</v>
      </c>
      <c r="G66" s="5" t="n">
        <v>0.30265205355</v>
      </c>
      <c r="H66" s="5" t="n">
        <v>0.2022503332675</v>
      </c>
      <c r="I66" s="5" t="n">
        <v>0.3846330178075</v>
      </c>
      <c r="J66" s="5" t="n">
        <v>0.47910287691</v>
      </c>
      <c r="K66" s="5" t="n">
        <v>0.85771651854</v>
      </c>
      <c r="L66" s="5" t="n">
        <v>0.7886777084725</v>
      </c>
      <c r="M66" s="5" t="n">
        <v>1.29170443486</v>
      </c>
      <c r="N66" s="5" t="n">
        <v>0.8255697478875</v>
      </c>
      <c r="O66" s="5" t="n">
        <v>0.9727886462175001</v>
      </c>
      <c r="P66" s="5" t="n">
        <v>0.35425321799</v>
      </c>
      <c r="Q66" s="5" t="n"/>
      <c r="R66" s="5" t="n"/>
      <c r="S66" s="5" t="n"/>
      <c r="T66" s="5" t="n"/>
      <c r="U66" s="5" t="n"/>
    </row>
    <row r="67">
      <c r="A67" s="7" t="inlineStr">
        <is>
          <t>Oct</t>
        </is>
      </c>
      <c r="D67" t="n">
        <v>0.835512072115</v>
      </c>
      <c r="E67" t="n">
        <v>0.0796275385675</v>
      </c>
      <c r="F67" t="n">
        <v>0.3239161391025</v>
      </c>
      <c r="G67" t="n">
        <v>0.2285076062325</v>
      </c>
      <c r="H67" t="n">
        <v>0.4386051366725</v>
      </c>
      <c r="I67" t="n">
        <v>0.380678457985</v>
      </c>
      <c r="J67" t="n">
        <v>0.3184059969825</v>
      </c>
      <c r="K67" t="n">
        <v>0.2272356720375</v>
      </c>
      <c r="L67" t="n">
        <v>0.43092699314</v>
      </c>
      <c r="M67" t="n">
        <v>0.9444989264375</v>
      </c>
      <c r="N67" t="n">
        <v>0.9086285577775</v>
      </c>
      <c r="O67" t="n">
        <v>0.2735289039</v>
      </c>
      <c r="P67" t="n">
        <v>0.1773733409525</v>
      </c>
    </row>
    <row r="68">
      <c r="A68" s="4" t="inlineStr">
        <is>
          <t>Nov</t>
        </is>
      </c>
      <c r="B68" s="5" t="n"/>
      <c r="C68" s="5" t="n"/>
      <c r="D68" s="5" t="n">
        <v>0.8219154641600001</v>
      </c>
      <c r="E68" s="5" t="n">
        <v>0.1311514679125</v>
      </c>
      <c r="F68" s="5" t="n">
        <v>0.1527547902475</v>
      </c>
      <c r="G68" s="5" t="n">
        <v>0.2817648786925</v>
      </c>
      <c r="H68" s="5" t="n">
        <v>0.099544999785</v>
      </c>
      <c r="I68" s="5" t="n">
        <v>0.2867996861275</v>
      </c>
      <c r="J68" s="5" t="n">
        <v>0.1126887058325</v>
      </c>
      <c r="K68" s="5" t="n">
        <v>0.1467254773075</v>
      </c>
      <c r="L68" s="5" t="n">
        <v>0.168804320195</v>
      </c>
      <c r="M68" s="5" t="n">
        <v>0.44961599886</v>
      </c>
      <c r="N68" s="5" t="n">
        <v>0.72832843279</v>
      </c>
      <c r="O68" s="5" t="n">
        <v>0.5907162677675</v>
      </c>
      <c r="P68" s="5" t="n">
        <v>0.1453653275375</v>
      </c>
      <c r="Q68" s="5" t="n"/>
      <c r="R68" s="5" t="n"/>
      <c r="S68" s="5" t="n"/>
      <c r="T68" s="5" t="n"/>
      <c r="U68" s="5" t="n"/>
    </row>
    <row r="69">
      <c r="A69" s="7" t="inlineStr">
        <is>
          <t>Dec</t>
        </is>
      </c>
      <c r="D69" t="n">
        <v>0.9586491049975</v>
      </c>
      <c r="E69" t="n">
        <v>0.1018650408125</v>
      </c>
      <c r="F69" t="n">
        <v>0.26899076302</v>
      </c>
      <c r="G69" t="n">
        <v>0.2047832783675</v>
      </c>
      <c r="H69" t="n">
        <v>0.07093407237</v>
      </c>
      <c r="I69" t="n">
        <v>0.1552537930825</v>
      </c>
      <c r="J69" t="n">
        <v>0.1659364275625</v>
      </c>
      <c r="K69" t="n">
        <v>0.12993756727</v>
      </c>
      <c r="L69" t="n">
        <v>0.6170729655475</v>
      </c>
      <c r="M69" t="n">
        <v>0.929923954855</v>
      </c>
      <c r="N69" t="n">
        <v>0.790069698775</v>
      </c>
      <c r="O69" t="n">
        <v>0.2759927205875</v>
      </c>
      <c r="P69" t="n">
        <v>0.1397601928275</v>
      </c>
    </row>
    <row r="70">
      <c r="A70" s="9" t="inlineStr">
        <is>
          <t xml:space="preserve">  Calendar-year Total</t>
        </is>
      </c>
      <c r="B70" s="9">
        <f>SUM(B58:B69)</f>
        <v/>
      </c>
      <c r="C70" s="9">
        <f>SUM(C58:C69)</f>
        <v/>
      </c>
      <c r="D70" s="9">
        <f>SUM(D58:D69)</f>
        <v/>
      </c>
      <c r="E70" s="9">
        <f>SUM(E58:E69)</f>
        <v/>
      </c>
      <c r="F70" s="9">
        <f>SUM(F58:F69)</f>
        <v/>
      </c>
      <c r="G70" s="9">
        <f>SUM(G58:G69)</f>
        <v/>
      </c>
      <c r="H70" s="9">
        <f>SUM(H58:H69)</f>
        <v/>
      </c>
      <c r="I70" s="9">
        <f>SUM(I58:I69)</f>
        <v/>
      </c>
      <c r="J70" s="9">
        <f>SUM(J58:J69)</f>
        <v/>
      </c>
      <c r="K70" s="9">
        <f>SUM(K58:K69)</f>
        <v/>
      </c>
      <c r="L70" s="9">
        <f>SUM(L58:L69)</f>
        <v/>
      </c>
      <c r="M70" s="9">
        <f>SUM(M58:M69)</f>
        <v/>
      </c>
      <c r="N70" s="9">
        <f>SUM(N58:N69)</f>
        <v/>
      </c>
      <c r="O70" s="9">
        <f>SUM(O58:O69)</f>
        <v/>
      </c>
      <c r="P70" s="9">
        <f>SUM(P58:P69)</f>
        <v/>
      </c>
      <c r="Q70" s="9">
        <f>SUM(Q58:Q69)</f>
        <v/>
      </c>
      <c r="R70" s="9">
        <f>SUM(R58:R69)</f>
        <v/>
      </c>
      <c r="S70" s="9">
        <f>SUM(S58:S69)</f>
        <v/>
      </c>
      <c r="T70" s="9">
        <f>SUM(T58:T69)</f>
        <v/>
      </c>
      <c r="U70" s="9">
        <f>SUM(U58:U69)</f>
        <v/>
      </c>
    </row>
    <row r="72">
      <c r="A72" s="12" t="inlineStr">
        <is>
          <t>US RENEWABLE DIESEL CONSUMPTION</t>
        </is>
      </c>
    </row>
    <row r="73">
      <c r="A73" s="13" t="inlineStr">
        <is>
          <t>(million gallons)</t>
        </is>
      </c>
      <c r="B73" s="3" t="n">
        <v>2011</v>
      </c>
      <c r="C73" s="3" t="n">
        <v>2012</v>
      </c>
      <c r="D73" s="3" t="n">
        <v>2013</v>
      </c>
      <c r="E73" s="3" t="n">
        <v>2014</v>
      </c>
      <c r="F73" s="3" t="n">
        <v>2015</v>
      </c>
      <c r="G73" s="3" t="n">
        <v>2016</v>
      </c>
      <c r="H73" s="3" t="n">
        <v>2017</v>
      </c>
      <c r="I73" s="3" t="n">
        <v>2018</v>
      </c>
      <c r="J73" s="3" t="n">
        <v>2019</v>
      </c>
      <c r="K73" s="3" t="n">
        <v>2020</v>
      </c>
      <c r="L73" s="3" t="n">
        <v>2021</v>
      </c>
      <c r="M73" s="3" t="n">
        <v>2022</v>
      </c>
      <c r="N73" s="3" t="n">
        <v>2023</v>
      </c>
      <c r="O73" s="3" t="n">
        <v>2024</v>
      </c>
      <c r="P73" s="3" t="n">
        <v>2025</v>
      </c>
      <c r="Q73" s="3" t="n">
        <v>2026</v>
      </c>
      <c r="R73" s="3" t="n">
        <v>2027</v>
      </c>
      <c r="S73" s="3" t="n">
        <v>2028</v>
      </c>
      <c r="T73" s="3" t="n">
        <v>2029</v>
      </c>
      <c r="U73" s="3" t="n">
        <v>2030</v>
      </c>
    </row>
    <row r="74">
      <c r="A74" s="4" t="inlineStr">
        <is>
          <t>Jan</t>
        </is>
      </c>
      <c r="B74" s="14" t="n">
        <v>4.43</v>
      </c>
      <c r="C74" s="14" t="n">
        <v>3.92</v>
      </c>
      <c r="D74" s="14" t="n">
        <v>1.91</v>
      </c>
      <c r="E74" s="14" t="n">
        <v>22.42</v>
      </c>
      <c r="F74" s="14" t="n">
        <v>20.91</v>
      </c>
      <c r="G74" s="14" t="n">
        <v>15.92</v>
      </c>
      <c r="H74" s="14" t="n">
        <v>42.29</v>
      </c>
      <c r="I74" s="14" t="n">
        <v>19.73</v>
      </c>
      <c r="J74" s="14" t="n">
        <v>49.3</v>
      </c>
      <c r="K74" s="14" t="n">
        <v>57.9</v>
      </c>
      <c r="L74" s="14" t="n">
        <v>73.94</v>
      </c>
      <c r="M74" s="14" t="n">
        <v>122.11</v>
      </c>
      <c r="N74" s="14" t="n">
        <v>187.96</v>
      </c>
      <c r="O74" s="14" t="n">
        <v>235.31</v>
      </c>
      <c r="P74" s="14" t="n">
        <v>191.26</v>
      </c>
      <c r="Q74" s="14" t="n">
        <v>198.97</v>
      </c>
      <c r="R74" s="14" t="n">
        <v>218.98</v>
      </c>
      <c r="S74" s="14" t="n">
        <v>220.98</v>
      </c>
      <c r="T74" s="14" t="n">
        <v>223.52</v>
      </c>
      <c r="U74" s="14" t="n">
        <v>234.91</v>
      </c>
    </row>
    <row r="75">
      <c r="A75" s="7" t="inlineStr">
        <is>
          <t>Feb</t>
        </is>
      </c>
      <c r="B75" s="15" t="n">
        <v>0.96</v>
      </c>
      <c r="C75" s="15" t="n">
        <v>3.19</v>
      </c>
      <c r="D75" s="15" t="n">
        <v>7.37</v>
      </c>
      <c r="E75" s="15" t="n">
        <v>19.68</v>
      </c>
      <c r="F75" s="15" t="n">
        <v>22.72</v>
      </c>
      <c r="G75" s="15" t="n">
        <v>23.44</v>
      </c>
      <c r="H75" s="15" t="n">
        <v>31.88</v>
      </c>
      <c r="I75" s="15" t="n">
        <v>40.09</v>
      </c>
      <c r="J75" s="15" t="n">
        <v>47.4</v>
      </c>
      <c r="K75" s="15" t="n">
        <v>68.25</v>
      </c>
      <c r="L75" s="15" t="n">
        <v>73.23</v>
      </c>
      <c r="M75" s="15" t="n">
        <v>110.05</v>
      </c>
      <c r="N75" s="15" t="n">
        <v>180.17</v>
      </c>
      <c r="O75" s="15" t="n">
        <v>281.91</v>
      </c>
      <c r="P75" s="15" t="n">
        <v>201.54</v>
      </c>
      <c r="Q75" s="15" t="n">
        <v>207.89</v>
      </c>
      <c r="R75" s="15" t="n">
        <v>229.73</v>
      </c>
      <c r="S75" s="15" t="n">
        <v>235.7</v>
      </c>
      <c r="T75" s="15" t="n">
        <v>242.67</v>
      </c>
      <c r="U75" s="15" t="n">
        <v>249.13</v>
      </c>
    </row>
    <row r="76">
      <c r="A76" s="4" t="inlineStr">
        <is>
          <t>Mar</t>
        </is>
      </c>
      <c r="B76" s="14" t="n">
        <v>3.15</v>
      </c>
      <c r="C76" s="14" t="n">
        <v>5.35</v>
      </c>
      <c r="D76" s="14" t="n">
        <v>4.94</v>
      </c>
      <c r="E76" s="14" t="n">
        <v>27.34</v>
      </c>
      <c r="F76" s="14" t="n">
        <v>27.83</v>
      </c>
      <c r="G76" s="14" t="n">
        <v>39.18</v>
      </c>
      <c r="H76" s="14" t="n">
        <v>38.87</v>
      </c>
      <c r="I76" s="14" t="n">
        <v>24.31</v>
      </c>
      <c r="J76" s="14" t="n">
        <v>57.03</v>
      </c>
      <c r="K76" s="14" t="n">
        <v>62.41</v>
      </c>
      <c r="L76" s="14" t="n">
        <v>94.95</v>
      </c>
      <c r="M76" s="14" t="n">
        <v>134.14</v>
      </c>
      <c r="N76" s="14" t="n">
        <v>217.26</v>
      </c>
      <c r="O76" s="14" t="n">
        <v>295.31</v>
      </c>
      <c r="P76" s="14" t="n">
        <v>227.09</v>
      </c>
      <c r="Q76" s="14" t="n">
        <v>237.8</v>
      </c>
      <c r="R76" s="14" t="n">
        <v>260.17</v>
      </c>
      <c r="S76" s="14" t="n">
        <v>264.89</v>
      </c>
      <c r="T76" s="14" t="n">
        <v>269.62</v>
      </c>
      <c r="U76" s="14" t="n">
        <v>280.79</v>
      </c>
    </row>
    <row r="77">
      <c r="A77" s="7" t="inlineStr">
        <is>
          <t>Apr</t>
        </is>
      </c>
      <c r="B77" s="15" t="n">
        <v>1.97</v>
      </c>
      <c r="C77" s="15" t="n">
        <v>4.62</v>
      </c>
      <c r="D77" s="15" t="n">
        <v>6.04</v>
      </c>
      <c r="E77" s="15" t="n">
        <v>33.5</v>
      </c>
      <c r="F77" s="15" t="n">
        <v>29.63</v>
      </c>
      <c r="G77" s="15" t="n">
        <v>27.76</v>
      </c>
      <c r="H77" s="15" t="n">
        <v>36.15</v>
      </c>
      <c r="I77" s="15" t="n">
        <v>33.82</v>
      </c>
      <c r="J77" s="15" t="n">
        <v>58.38</v>
      </c>
      <c r="K77" s="15" t="n">
        <v>61.23</v>
      </c>
      <c r="L77" s="15" t="n">
        <v>97.58</v>
      </c>
      <c r="M77" s="15" t="n">
        <v>128.61</v>
      </c>
      <c r="N77" s="15" t="n">
        <v>213.91</v>
      </c>
      <c r="O77" s="15" t="n">
        <v>286.39</v>
      </c>
      <c r="P77" s="15" t="n">
        <v>222.47</v>
      </c>
      <c r="Q77" s="15" t="n">
        <v>232.95</v>
      </c>
      <c r="R77" s="15" t="n">
        <v>253.79</v>
      </c>
      <c r="S77" s="15" t="n">
        <v>258.87</v>
      </c>
      <c r="T77" s="15" t="n">
        <v>263.16</v>
      </c>
      <c r="U77" s="15" t="n">
        <v>274.48</v>
      </c>
    </row>
    <row r="78">
      <c r="A78" s="4" t="inlineStr">
        <is>
          <t>May</t>
        </is>
      </c>
      <c r="B78" s="14" t="n">
        <v>7.53</v>
      </c>
      <c r="C78" s="14" t="n">
        <v>5.5</v>
      </c>
      <c r="D78" s="14" t="n">
        <v>3.76</v>
      </c>
      <c r="E78" s="14" t="n">
        <v>32.64</v>
      </c>
      <c r="F78" s="14" t="n">
        <v>27.92</v>
      </c>
      <c r="G78" s="14" t="n">
        <v>39.91</v>
      </c>
      <c r="H78" s="14" t="n">
        <v>47.2</v>
      </c>
      <c r="I78" s="14" t="n">
        <v>60.44</v>
      </c>
      <c r="J78" s="14" t="n">
        <v>73.02</v>
      </c>
      <c r="K78" s="14" t="n">
        <v>59.9</v>
      </c>
      <c r="L78" s="14" t="n">
        <v>109.43</v>
      </c>
      <c r="M78" s="14" t="n">
        <v>136.76</v>
      </c>
      <c r="N78" s="14" t="n">
        <v>290.75</v>
      </c>
      <c r="O78" s="14" t="n">
        <v>315.58</v>
      </c>
      <c r="P78" s="14" t="n">
        <v>257.69</v>
      </c>
      <c r="Q78" s="14" t="n">
        <v>272.53</v>
      </c>
      <c r="R78" s="14" t="n">
        <v>298.02</v>
      </c>
      <c r="S78" s="14" t="n">
        <v>307.04</v>
      </c>
      <c r="T78" s="14" t="n">
        <v>304.36</v>
      </c>
      <c r="U78" s="14" t="n">
        <v>320.94</v>
      </c>
    </row>
    <row r="79">
      <c r="A79" s="7" t="inlineStr">
        <is>
          <t>Jun</t>
        </is>
      </c>
      <c r="B79" s="15" t="n">
        <v>4.56</v>
      </c>
      <c r="C79" s="15" t="n">
        <v>4.97</v>
      </c>
      <c r="D79" s="15" t="n">
        <v>21.93</v>
      </c>
      <c r="E79" s="15" t="n">
        <v>17.6</v>
      </c>
      <c r="F79" s="15" t="n">
        <v>29.88</v>
      </c>
      <c r="G79" s="15" t="n">
        <v>46.51</v>
      </c>
      <c r="H79" s="15" t="n">
        <v>40.3</v>
      </c>
      <c r="I79" s="15" t="n">
        <v>22.67</v>
      </c>
      <c r="J79" s="15" t="n">
        <v>56.48</v>
      </c>
      <c r="K79" s="15" t="n">
        <v>87.65000000000001</v>
      </c>
      <c r="L79" s="15" t="n">
        <v>100.87</v>
      </c>
      <c r="M79" s="15" t="n">
        <v>168.67</v>
      </c>
      <c r="N79" s="15" t="n">
        <v>267.94</v>
      </c>
      <c r="O79" s="15" t="n">
        <v>321.11</v>
      </c>
      <c r="P79" s="15" t="n">
        <v>267.24</v>
      </c>
      <c r="Q79" s="15" t="n">
        <v>276.36</v>
      </c>
      <c r="R79" s="15" t="n">
        <v>304.58</v>
      </c>
      <c r="S79" s="15" t="n">
        <v>307.61</v>
      </c>
      <c r="T79" s="15" t="n">
        <v>309.82</v>
      </c>
      <c r="U79" s="15" t="n">
        <v>326.73</v>
      </c>
    </row>
    <row r="80">
      <c r="A80" s="4" t="inlineStr">
        <is>
          <t>Jul</t>
        </is>
      </c>
      <c r="B80" s="14" t="n">
        <v>6.47</v>
      </c>
      <c r="C80" s="14" t="n">
        <v>6.28</v>
      </c>
      <c r="D80" s="14" t="n">
        <v>23.06</v>
      </c>
      <c r="E80" s="14" t="n">
        <v>28.87</v>
      </c>
      <c r="F80" s="14" t="n">
        <v>36.81</v>
      </c>
      <c r="G80" s="14" t="n">
        <v>31.2</v>
      </c>
      <c r="H80" s="14" t="n">
        <v>39.56</v>
      </c>
      <c r="I80" s="14" t="n">
        <v>26.56</v>
      </c>
      <c r="J80" s="14" t="n">
        <v>69.51000000000001</v>
      </c>
      <c r="K80" s="14" t="n">
        <v>61.22</v>
      </c>
      <c r="L80" s="14" t="n">
        <v>87.15000000000001</v>
      </c>
      <c r="M80" s="14" t="n">
        <v>137.42</v>
      </c>
      <c r="N80" s="14" t="n">
        <v>220.54</v>
      </c>
      <c r="O80" s="14" t="n">
        <v>271.29</v>
      </c>
      <c r="P80" s="14" t="n">
        <v>219.62</v>
      </c>
      <c r="Q80" s="14" t="n">
        <v>229.77</v>
      </c>
      <c r="R80" s="14" t="n">
        <v>252.46</v>
      </c>
      <c r="S80" s="14" t="n">
        <v>255.49</v>
      </c>
      <c r="T80" s="14" t="n">
        <v>257.74</v>
      </c>
      <c r="U80" s="14" t="n">
        <v>270.88</v>
      </c>
    </row>
    <row r="81">
      <c r="A81" s="7" t="inlineStr">
        <is>
          <t>Aug</t>
        </is>
      </c>
      <c r="B81" s="15" t="n">
        <v>8.449999999999999</v>
      </c>
      <c r="C81" s="15" t="n">
        <v>5.48</v>
      </c>
      <c r="D81" s="15" t="n">
        <v>17.52</v>
      </c>
      <c r="E81" s="15" t="n">
        <v>19.26</v>
      </c>
      <c r="F81" s="15" t="n">
        <v>32.03</v>
      </c>
      <c r="G81" s="15" t="n">
        <v>39.79</v>
      </c>
      <c r="H81" s="15" t="n">
        <v>41.51</v>
      </c>
      <c r="I81" s="15" t="n">
        <v>29.34</v>
      </c>
      <c r="J81" s="15" t="n">
        <v>62.69</v>
      </c>
      <c r="K81" s="15" t="n">
        <v>67.64</v>
      </c>
      <c r="L81" s="15" t="n">
        <v>111.01</v>
      </c>
      <c r="M81" s="15" t="n">
        <v>161.58</v>
      </c>
      <c r="N81" s="15" t="n">
        <v>285.59</v>
      </c>
      <c r="O81" s="15" t="n">
        <v>324.37</v>
      </c>
      <c r="P81" s="15" t="n">
        <v>268.36</v>
      </c>
      <c r="Q81" s="15" t="n">
        <v>282.52</v>
      </c>
      <c r="R81" s="15" t="n">
        <v>309.51</v>
      </c>
      <c r="S81" s="15" t="n">
        <v>314.7</v>
      </c>
      <c r="T81" s="15" t="n">
        <v>314.55</v>
      </c>
      <c r="U81" s="15" t="n">
        <v>332.08</v>
      </c>
    </row>
    <row r="82">
      <c r="A82" s="4" t="inlineStr">
        <is>
          <t>Sep</t>
        </is>
      </c>
      <c r="B82" s="14" t="n">
        <v>5.9</v>
      </c>
      <c r="C82" s="14" t="n">
        <v>5.07</v>
      </c>
      <c r="D82" s="14" t="n">
        <v>32.61</v>
      </c>
      <c r="E82" s="14" t="n">
        <v>16.7</v>
      </c>
      <c r="F82" s="14" t="n">
        <v>33.42</v>
      </c>
      <c r="G82" s="14" t="n">
        <v>46.6</v>
      </c>
      <c r="H82" s="14" t="n">
        <v>37.13</v>
      </c>
      <c r="I82" s="14" t="n">
        <v>47.33</v>
      </c>
      <c r="J82" s="14" t="n">
        <v>60.77</v>
      </c>
      <c r="K82" s="14" t="n">
        <v>70.79000000000001</v>
      </c>
      <c r="L82" s="14" t="n">
        <v>82.40000000000001</v>
      </c>
      <c r="M82" s="14" t="n">
        <v>144.89</v>
      </c>
      <c r="N82" s="14" t="n">
        <v>260.05</v>
      </c>
      <c r="O82" s="14" t="n">
        <v>291.57</v>
      </c>
      <c r="P82" s="14" t="n">
        <v>239.98</v>
      </c>
      <c r="Q82" s="14" t="n">
        <v>250.11</v>
      </c>
      <c r="R82" s="14" t="n">
        <v>277.72</v>
      </c>
      <c r="S82" s="14" t="n">
        <v>282.4</v>
      </c>
      <c r="T82" s="14" t="n">
        <v>281.48</v>
      </c>
      <c r="U82" s="14" t="n">
        <v>296.87</v>
      </c>
    </row>
    <row r="83">
      <c r="A83" s="7" t="inlineStr">
        <is>
          <t>Oct</t>
        </is>
      </c>
      <c r="B83" s="15" t="n">
        <v>6.92</v>
      </c>
      <c r="C83" s="15" t="n">
        <v>6.57</v>
      </c>
      <c r="D83" s="15" t="n">
        <v>32.19</v>
      </c>
      <c r="E83" s="15" t="n">
        <v>30.93</v>
      </c>
      <c r="F83" s="15" t="n">
        <v>35</v>
      </c>
      <c r="G83" s="15" t="n">
        <v>38.66</v>
      </c>
      <c r="H83" s="15" t="n">
        <v>41.56</v>
      </c>
      <c r="I83" s="15" t="n">
        <v>46.65</v>
      </c>
      <c r="J83" s="15" t="n">
        <v>66.59</v>
      </c>
      <c r="K83" s="15" t="n">
        <v>48.2</v>
      </c>
      <c r="L83" s="15" t="n">
        <v>130.78</v>
      </c>
      <c r="M83" s="15" t="n">
        <v>167.71</v>
      </c>
      <c r="N83" s="15" t="n">
        <v>248.7</v>
      </c>
      <c r="O83" s="15" t="n">
        <v>311.87</v>
      </c>
      <c r="P83" s="15" t="n">
        <v>256.23</v>
      </c>
      <c r="Q83" s="15" t="n">
        <v>273.77</v>
      </c>
      <c r="R83" s="15" t="n">
        <v>294.5</v>
      </c>
      <c r="S83" s="15" t="n">
        <v>296.45</v>
      </c>
      <c r="T83" s="15" t="n">
        <v>300.58</v>
      </c>
      <c r="U83" s="15" t="n">
        <v>316.9</v>
      </c>
    </row>
    <row r="84">
      <c r="A84" s="4" t="inlineStr">
        <is>
          <t>Nov</t>
        </is>
      </c>
      <c r="B84" s="14" t="n">
        <v>5.23</v>
      </c>
      <c r="C84" s="14" t="n">
        <v>6.94</v>
      </c>
      <c r="D84" s="14" t="n">
        <v>25.49</v>
      </c>
      <c r="E84" s="14" t="n">
        <v>16.51</v>
      </c>
      <c r="F84" s="14" t="n">
        <v>38.91</v>
      </c>
      <c r="G84" s="14" t="n">
        <v>52.98</v>
      </c>
      <c r="H84" s="14" t="n">
        <v>31.41</v>
      </c>
      <c r="I84" s="14" t="n">
        <v>47.34</v>
      </c>
      <c r="J84" s="14" t="n">
        <v>65.45</v>
      </c>
      <c r="K84" s="14" t="n">
        <v>77.78</v>
      </c>
      <c r="L84" s="14" t="n">
        <v>122.69</v>
      </c>
      <c r="M84" s="14" t="n">
        <v>138.8</v>
      </c>
      <c r="N84" s="14" t="n">
        <v>202.33</v>
      </c>
      <c r="O84" s="14" t="n">
        <v>285.99</v>
      </c>
      <c r="P84" s="14" t="n">
        <v>233.73</v>
      </c>
      <c r="Q84" s="14" t="n">
        <v>241.44</v>
      </c>
      <c r="R84" s="14" t="n">
        <v>257.99</v>
      </c>
      <c r="S84" s="14" t="n">
        <v>261.44</v>
      </c>
      <c r="T84" s="14" t="n">
        <v>268.64</v>
      </c>
      <c r="U84" s="14" t="n">
        <v>281.61</v>
      </c>
    </row>
    <row r="85">
      <c r="A85" s="7" t="inlineStr">
        <is>
          <t>Dec</t>
        </is>
      </c>
      <c r="B85" s="15" t="n">
        <v>6.48</v>
      </c>
      <c r="C85" s="15" t="n">
        <v>4.97</v>
      </c>
      <c r="D85" s="15" t="n">
        <v>28.54</v>
      </c>
      <c r="E85" s="15" t="n">
        <v>28.67</v>
      </c>
      <c r="F85" s="15" t="n">
        <v>34.57</v>
      </c>
      <c r="G85" s="15" t="n">
        <v>33.71</v>
      </c>
      <c r="H85" s="15" t="n">
        <v>43.46</v>
      </c>
      <c r="I85" s="15" t="n">
        <v>39.52</v>
      </c>
      <c r="J85" s="15" t="n">
        <v>93.33</v>
      </c>
      <c r="K85" s="15" t="n">
        <v>98.72</v>
      </c>
      <c r="L85" s="15" t="n">
        <v>124.6</v>
      </c>
      <c r="M85" s="15" t="n">
        <v>166.78</v>
      </c>
      <c r="N85" s="15" t="n">
        <v>293.13</v>
      </c>
      <c r="O85" s="15" t="n">
        <v>254.29</v>
      </c>
      <c r="P85" s="15" t="n">
        <v>264.78</v>
      </c>
      <c r="Q85" s="15" t="n">
        <v>270.9</v>
      </c>
      <c r="R85" s="15" t="n">
        <v>292.54</v>
      </c>
      <c r="S85" s="15" t="n">
        <v>294.43</v>
      </c>
      <c r="T85" s="15" t="n">
        <v>288.85</v>
      </c>
      <c r="U85" s="15" t="n">
        <v>314.66</v>
      </c>
    </row>
    <row r="86">
      <c r="A86" s="9" t="inlineStr">
        <is>
          <t xml:space="preserve">  Calendar-year Total</t>
        </is>
      </c>
      <c r="B86" s="9">
        <f>SUM(B74:B85)</f>
        <v/>
      </c>
      <c r="C86" s="9">
        <f>SUM(C74:C85)</f>
        <v/>
      </c>
      <c r="D86" s="9">
        <f>SUM(D74:D85)</f>
        <v/>
      </c>
      <c r="E86" s="9">
        <f>SUM(E74:E85)</f>
        <v/>
      </c>
      <c r="F86" s="9">
        <f>SUM(F74:F85)</f>
        <v/>
      </c>
      <c r="G86" s="9">
        <f>SUM(G74:G85)</f>
        <v/>
      </c>
      <c r="H86" s="9">
        <f>SUM(H74:H85)</f>
        <v/>
      </c>
      <c r="I86" s="9">
        <f>SUM(I74:I85)</f>
        <v/>
      </c>
      <c r="J86" s="9">
        <f>SUM(J74:J85)</f>
        <v/>
      </c>
      <c r="K86" s="9">
        <f>SUM(K74:K85)</f>
        <v/>
      </c>
      <c r="L86" s="9">
        <f>SUM(L74:L85)</f>
        <v/>
      </c>
      <c r="M86" s="9">
        <f>SUM(M74:M85)</f>
        <v/>
      </c>
      <c r="N86" s="9">
        <f>SUM(N74:N85)</f>
        <v/>
      </c>
      <c r="O86" s="9">
        <f>SUM(O74:O85)</f>
        <v/>
      </c>
      <c r="P86" s="9">
        <f>SUM(P74:P85)</f>
        <v/>
      </c>
      <c r="Q86" s="9">
        <f>SUM(Q74:Q85)</f>
        <v/>
      </c>
      <c r="R86" s="9">
        <f>SUM(R74:R85)</f>
        <v/>
      </c>
      <c r="S86" s="9">
        <f>SUM(S74:S85)</f>
        <v/>
      </c>
      <c r="T86" s="9">
        <f>SUM(T74:T85)</f>
        <v/>
      </c>
      <c r="U86" s="9">
        <f>SUM(U74:U85)</f>
        <v/>
      </c>
    </row>
    <row r="88">
      <c r="A88" s="12" t="inlineStr">
        <is>
          <t>US RENEWABLE DIESEL STOCKS</t>
        </is>
      </c>
    </row>
    <row r="89">
      <c r="A89" s="13" t="inlineStr">
        <is>
          <t>(million gallons)</t>
        </is>
      </c>
      <c r="B89" s="3" t="n">
        <v>2011</v>
      </c>
      <c r="C89" s="3" t="n">
        <v>2012</v>
      </c>
      <c r="D89" s="3" t="n">
        <v>2013</v>
      </c>
      <c r="E89" s="3" t="n">
        <v>2014</v>
      </c>
      <c r="F89" s="3" t="n">
        <v>2015</v>
      </c>
      <c r="G89" s="3" t="n">
        <v>2016</v>
      </c>
      <c r="H89" s="3" t="n">
        <v>2017</v>
      </c>
      <c r="I89" s="3" t="n">
        <v>2018</v>
      </c>
      <c r="J89" s="3" t="n">
        <v>2019</v>
      </c>
      <c r="K89" s="3" t="n">
        <v>2020</v>
      </c>
      <c r="L89" s="3" t="n">
        <v>2021</v>
      </c>
      <c r="M89" s="3" t="n">
        <v>2022</v>
      </c>
      <c r="N89" s="3" t="n">
        <v>2023</v>
      </c>
      <c r="O89" s="3" t="n">
        <v>2024</v>
      </c>
      <c r="P89" s="3" t="n">
        <v>2025</v>
      </c>
      <c r="Q89" s="3" t="n">
        <v>2026</v>
      </c>
      <c r="R89" s="3" t="n">
        <v>2027</v>
      </c>
      <c r="S89" s="3" t="n">
        <v>2028</v>
      </c>
      <c r="T89" s="3" t="n">
        <v>2029</v>
      </c>
      <c r="U89" s="3" t="n">
        <v>2030</v>
      </c>
    </row>
    <row r="90">
      <c r="A90" s="4" t="inlineStr">
        <is>
          <t>Jan</t>
        </is>
      </c>
      <c r="B90" s="5" t="n"/>
      <c r="C90" s="14" t="n">
        <v>0.29</v>
      </c>
      <c r="D90" s="14" t="n">
        <v>3.32</v>
      </c>
      <c r="E90" s="14" t="n">
        <v>28.14</v>
      </c>
      <c r="F90" s="14" t="n">
        <v>16.93</v>
      </c>
      <c r="G90" s="14" t="n">
        <v>33.31</v>
      </c>
      <c r="H90" s="14" t="n">
        <v>42.97</v>
      </c>
      <c r="I90" s="14" t="n">
        <v>46.83</v>
      </c>
      <c r="J90" s="14" t="n">
        <v>82.53</v>
      </c>
      <c r="K90" s="14" t="n">
        <v>71.98999999999999</v>
      </c>
      <c r="L90" s="14" t="n">
        <v>71.94</v>
      </c>
      <c r="M90" s="14" t="n">
        <v>113.81</v>
      </c>
      <c r="N90" s="14" t="n">
        <v>149.4</v>
      </c>
      <c r="O90" s="14" t="n">
        <v>267.93</v>
      </c>
      <c r="P90" s="14" t="n">
        <v>279.41</v>
      </c>
      <c r="Q90" s="14" t="n">
        <v>145.12</v>
      </c>
      <c r="R90" s="14" t="n">
        <v>128.62</v>
      </c>
      <c r="S90" s="14" t="n">
        <v>97.23</v>
      </c>
      <c r="T90" s="14" t="n">
        <v>50.78</v>
      </c>
      <c r="U90" s="14" t="n">
        <v>-21.19</v>
      </c>
    </row>
    <row r="91">
      <c r="A91" s="7" t="inlineStr">
        <is>
          <t>Feb</t>
        </is>
      </c>
      <c r="C91" s="15" t="n">
        <v>0.29</v>
      </c>
      <c r="D91" s="15" t="n">
        <v>2.44</v>
      </c>
      <c r="E91" s="15" t="n">
        <v>26.33</v>
      </c>
      <c r="F91" s="15" t="n">
        <v>16.04</v>
      </c>
      <c r="G91" s="15" t="n">
        <v>31.71</v>
      </c>
      <c r="H91" s="15" t="n">
        <v>42.5</v>
      </c>
      <c r="I91" s="15" t="n">
        <v>42.5</v>
      </c>
      <c r="J91" s="15" t="n">
        <v>88.06999999999999</v>
      </c>
      <c r="K91" s="15" t="n">
        <v>58.3</v>
      </c>
      <c r="L91" s="15" t="n">
        <v>83.11</v>
      </c>
      <c r="M91" s="15" t="n">
        <v>115.42</v>
      </c>
      <c r="N91" s="15" t="n">
        <v>149.74</v>
      </c>
      <c r="O91" s="15" t="n">
        <v>264.2</v>
      </c>
      <c r="P91" s="15" t="n">
        <v>280.75</v>
      </c>
      <c r="Q91" s="15" t="n">
        <v>148.86</v>
      </c>
      <c r="R91" s="15" t="n">
        <v>128.19</v>
      </c>
      <c r="S91" s="15" t="n">
        <v>94.06</v>
      </c>
      <c r="T91" s="15" t="n">
        <v>42.36</v>
      </c>
      <c r="U91" s="15" t="n">
        <v>-29.76</v>
      </c>
    </row>
    <row r="92">
      <c r="A92" s="4" t="inlineStr">
        <is>
          <t>Mar</t>
        </is>
      </c>
      <c r="B92" s="5" t="n"/>
      <c r="C92" s="14" t="n">
        <v>0.29</v>
      </c>
      <c r="D92" s="14" t="n">
        <v>4.03</v>
      </c>
      <c r="E92" s="14" t="n">
        <v>25.16</v>
      </c>
      <c r="F92" s="14" t="n">
        <v>22.34</v>
      </c>
      <c r="G92" s="14" t="n">
        <v>27.8</v>
      </c>
      <c r="H92" s="14" t="n">
        <v>38.64</v>
      </c>
      <c r="I92" s="14" t="n">
        <v>54.81</v>
      </c>
      <c r="J92" s="14" t="n">
        <v>86.06</v>
      </c>
      <c r="K92" s="14" t="n">
        <v>60.1</v>
      </c>
      <c r="L92" s="14" t="n">
        <v>82.63</v>
      </c>
      <c r="M92" s="14" t="n">
        <v>113.63</v>
      </c>
      <c r="N92" s="14" t="n">
        <v>164.59</v>
      </c>
      <c r="O92" s="14" t="n">
        <v>264.26</v>
      </c>
      <c r="P92" s="14" t="n">
        <v>303.57</v>
      </c>
      <c r="Q92" s="14" t="n">
        <v>140.27</v>
      </c>
      <c r="R92" s="14" t="n">
        <v>116.8</v>
      </c>
      <c r="S92" s="14" t="n">
        <v>81.37</v>
      </c>
      <c r="T92" s="14" t="n">
        <v>24.97</v>
      </c>
      <c r="U92" s="14" t="n">
        <v>-50.86</v>
      </c>
    </row>
    <row r="93">
      <c r="A93" s="7" t="inlineStr">
        <is>
          <t>Apr</t>
        </is>
      </c>
      <c r="C93" s="15" t="n">
        <v>0.42</v>
      </c>
      <c r="D93" s="15" t="n">
        <v>3.19</v>
      </c>
      <c r="E93" s="15" t="n">
        <v>15.71</v>
      </c>
      <c r="F93" s="15" t="n">
        <v>19.61</v>
      </c>
      <c r="G93" s="15" t="n">
        <v>38.93</v>
      </c>
      <c r="H93" s="15" t="n">
        <v>38.89</v>
      </c>
      <c r="I93" s="15" t="n">
        <v>65.48</v>
      </c>
      <c r="J93" s="15" t="n">
        <v>83.33</v>
      </c>
      <c r="K93" s="15" t="n">
        <v>65.39</v>
      </c>
      <c r="L93" s="15" t="n">
        <v>80.7</v>
      </c>
      <c r="M93" s="15" t="n">
        <v>120.63</v>
      </c>
      <c r="N93" s="15" t="n">
        <v>169.44</v>
      </c>
      <c r="O93" s="15" t="n">
        <v>282.24</v>
      </c>
      <c r="P93" s="15" t="n">
        <v>301.72</v>
      </c>
      <c r="Q93" s="15" t="n">
        <v>125.35</v>
      </c>
      <c r="R93" s="15" t="n">
        <v>97.92</v>
      </c>
      <c r="S93" s="15" t="n">
        <v>60.55</v>
      </c>
      <c r="T93" s="15" t="n">
        <v>1.97</v>
      </c>
      <c r="U93" s="15" t="n">
        <v>-78.62</v>
      </c>
    </row>
    <row r="94">
      <c r="A94" s="4" t="inlineStr">
        <is>
          <t>May</t>
        </is>
      </c>
      <c r="B94" s="5" t="n"/>
      <c r="C94" s="14" t="n">
        <v>0</v>
      </c>
      <c r="D94" s="14" t="n">
        <v>5.46</v>
      </c>
      <c r="E94" s="14" t="n">
        <v>16.46</v>
      </c>
      <c r="F94" s="14" t="n">
        <v>30.07</v>
      </c>
      <c r="G94" s="14" t="n">
        <v>32.51</v>
      </c>
      <c r="H94" s="14" t="n">
        <v>36.16</v>
      </c>
      <c r="I94" s="14" t="n">
        <v>40.82</v>
      </c>
      <c r="J94" s="14" t="n">
        <v>77.83</v>
      </c>
      <c r="K94" s="14" t="n">
        <v>73.12</v>
      </c>
      <c r="L94" s="14" t="n">
        <v>73.90000000000001</v>
      </c>
      <c r="M94" s="14" t="n">
        <v>137.48</v>
      </c>
      <c r="N94" s="14" t="n">
        <v>152.78</v>
      </c>
      <c r="O94" s="14" t="n">
        <v>213.45</v>
      </c>
      <c r="P94" s="14" t="n">
        <v>263.24</v>
      </c>
      <c r="Q94" s="14" t="n">
        <v>97.20999999999999</v>
      </c>
      <c r="R94" s="14" t="n">
        <v>65.56999999999999</v>
      </c>
      <c r="S94" s="14" t="n">
        <v>20.9</v>
      </c>
      <c r="T94" s="14" t="n">
        <v>-37.52</v>
      </c>
      <c r="U94" s="14" t="n">
        <v>-123.68</v>
      </c>
    </row>
    <row r="95">
      <c r="A95" s="7" t="inlineStr">
        <is>
          <t>Jun</t>
        </is>
      </c>
      <c r="C95" s="15" t="n">
        <v>0</v>
      </c>
      <c r="D95" s="15" t="n">
        <v>3.23</v>
      </c>
      <c r="E95" s="15" t="n">
        <v>14.53</v>
      </c>
      <c r="F95" s="15" t="n">
        <v>29.15</v>
      </c>
      <c r="G95" s="15" t="n">
        <v>33.18</v>
      </c>
      <c r="H95" s="15" t="n">
        <v>33.01</v>
      </c>
      <c r="I95" s="15" t="n">
        <v>47.46</v>
      </c>
      <c r="J95" s="15" t="n">
        <v>86.31</v>
      </c>
      <c r="K95" s="15" t="n">
        <v>64.51000000000001</v>
      </c>
      <c r="L95" s="15" t="n">
        <v>80.64</v>
      </c>
      <c r="M95" s="15" t="n">
        <v>115.15</v>
      </c>
      <c r="N95" s="15" t="n">
        <v>143.68</v>
      </c>
      <c r="O95" s="15" t="n">
        <v>199.82</v>
      </c>
      <c r="P95" s="15" t="n">
        <v>210.9</v>
      </c>
      <c r="Q95" s="15" t="n">
        <v>61.64</v>
      </c>
      <c r="R95" s="15" t="n">
        <v>20.74</v>
      </c>
      <c r="S95" s="15" t="n">
        <v>-23.56</v>
      </c>
      <c r="T95" s="15" t="n">
        <v>-84.29000000000001</v>
      </c>
      <c r="U95" s="15" t="n">
        <v>-177.08</v>
      </c>
    </row>
    <row r="96">
      <c r="A96" s="4" t="inlineStr">
        <is>
          <t>Jul</t>
        </is>
      </c>
      <c r="B96" s="5" t="n"/>
      <c r="C96" s="14" t="n">
        <v>0</v>
      </c>
      <c r="D96" s="14" t="n">
        <v>4.58</v>
      </c>
      <c r="E96" s="14" t="n">
        <v>24.99</v>
      </c>
      <c r="F96" s="14" t="n">
        <v>30.32</v>
      </c>
      <c r="G96" s="14" t="n">
        <v>39.1</v>
      </c>
      <c r="H96" s="14" t="n">
        <v>29.74</v>
      </c>
      <c r="I96" s="14" t="n">
        <v>43.13</v>
      </c>
      <c r="J96" s="14" t="n">
        <v>86.02</v>
      </c>
      <c r="K96" s="14" t="n">
        <v>63.34</v>
      </c>
      <c r="L96" s="14" t="n">
        <v>95.89</v>
      </c>
      <c r="M96" s="14" t="n">
        <v>132.23</v>
      </c>
      <c r="N96" s="14" t="n">
        <v>169.61</v>
      </c>
      <c r="O96" s="14" t="n">
        <v>242.82</v>
      </c>
      <c r="P96" s="14" t="n">
        <v>198.5</v>
      </c>
      <c r="Q96" s="14" t="n">
        <v>63.28</v>
      </c>
      <c r="R96" s="14" t="n">
        <v>20.87</v>
      </c>
      <c r="S96" s="14" t="n">
        <v>-24.06</v>
      </c>
      <c r="T96" s="14" t="n">
        <v>-87.23999999999999</v>
      </c>
      <c r="U96" s="14" t="n">
        <v>-183.37</v>
      </c>
    </row>
    <row r="97">
      <c r="A97" s="7" t="inlineStr">
        <is>
          <t>Aug</t>
        </is>
      </c>
      <c r="C97" s="15" t="n">
        <v>0</v>
      </c>
      <c r="D97" s="15" t="n">
        <v>22.93</v>
      </c>
      <c r="E97" s="15" t="n">
        <v>15.25</v>
      </c>
      <c r="F97" s="15" t="n">
        <v>36.92</v>
      </c>
      <c r="G97" s="15" t="n">
        <v>47.42</v>
      </c>
      <c r="H97" s="15" t="n">
        <v>28.48</v>
      </c>
      <c r="I97" s="15" t="n">
        <v>47.63</v>
      </c>
      <c r="J97" s="15" t="n">
        <v>71.69</v>
      </c>
      <c r="K97" s="15" t="n">
        <v>57.92</v>
      </c>
      <c r="L97" s="15" t="n">
        <v>85.55</v>
      </c>
      <c r="M97" s="15" t="n">
        <v>107.27</v>
      </c>
      <c r="N97" s="15" t="n">
        <v>169.65</v>
      </c>
      <c r="O97" s="15" t="n">
        <v>200.44</v>
      </c>
      <c r="P97" s="15" t="n">
        <v>143.2</v>
      </c>
      <c r="Q97" s="15" t="n">
        <v>18.8</v>
      </c>
      <c r="R97" s="15" t="n">
        <v>-28.8</v>
      </c>
      <c r="S97" s="15" t="n">
        <v>-74.98999999999999</v>
      </c>
      <c r="T97" s="15" t="n">
        <v>-139.37</v>
      </c>
      <c r="U97" s="15" t="n">
        <v>-242.61</v>
      </c>
    </row>
    <row r="98">
      <c r="A98" s="4" t="inlineStr">
        <is>
          <t>Sep</t>
        </is>
      </c>
      <c r="B98" s="5" t="n"/>
      <c r="C98" s="14" t="n">
        <v>0</v>
      </c>
      <c r="D98" s="14" t="n">
        <v>22.55</v>
      </c>
      <c r="E98" s="14" t="n">
        <v>15.71</v>
      </c>
      <c r="F98" s="14" t="n">
        <v>30.45</v>
      </c>
      <c r="G98" s="14" t="n">
        <v>37.3</v>
      </c>
      <c r="H98" s="14" t="n">
        <v>30.7</v>
      </c>
      <c r="I98" s="14" t="n">
        <v>46.16</v>
      </c>
      <c r="J98" s="14" t="n">
        <v>65.27</v>
      </c>
      <c r="K98" s="14" t="n">
        <v>56.95</v>
      </c>
      <c r="L98" s="14" t="n">
        <v>91.31999999999999</v>
      </c>
      <c r="M98" s="14" t="n">
        <v>113.3</v>
      </c>
      <c r="N98" s="14" t="n">
        <v>177.27</v>
      </c>
      <c r="O98" s="14" t="n">
        <v>189.35</v>
      </c>
      <c r="P98" s="14" t="n">
        <v>115.97</v>
      </c>
      <c r="Q98" s="14" t="n">
        <v>4.29</v>
      </c>
      <c r="R98" s="14" t="n">
        <v>-49.83</v>
      </c>
      <c r="S98" s="14" t="n">
        <v>-97.05</v>
      </c>
      <c r="T98" s="14" t="n">
        <v>-158.94</v>
      </c>
      <c r="U98" s="14" t="n">
        <v>-267.4</v>
      </c>
    </row>
    <row r="99">
      <c r="A99" s="7" t="inlineStr">
        <is>
          <t>Oct</t>
        </is>
      </c>
      <c r="C99" s="15" t="n">
        <v>0</v>
      </c>
      <c r="D99" s="15" t="n">
        <v>20.41</v>
      </c>
      <c r="E99" s="15" t="n">
        <v>9.369999999999999</v>
      </c>
      <c r="F99" s="15" t="n">
        <v>34.02</v>
      </c>
      <c r="G99" s="15" t="n">
        <v>42.55</v>
      </c>
      <c r="H99" s="15" t="n">
        <v>30.74</v>
      </c>
      <c r="I99" s="15" t="n">
        <v>52.84</v>
      </c>
      <c r="J99" s="15" t="n">
        <v>76.48</v>
      </c>
      <c r="K99" s="15" t="n">
        <v>59.89</v>
      </c>
      <c r="L99" s="15" t="n">
        <v>79.09</v>
      </c>
      <c r="M99" s="15" t="n">
        <v>93.87</v>
      </c>
      <c r="N99" s="15" t="n">
        <v>154.05</v>
      </c>
      <c r="O99" s="15" t="n">
        <v>187.72</v>
      </c>
      <c r="P99" s="15" t="n">
        <v>91.23999999999999</v>
      </c>
      <c r="Q99" s="15" t="n">
        <v>-12.68</v>
      </c>
      <c r="R99" s="15" t="n">
        <v>-65.67</v>
      </c>
      <c r="S99" s="15" t="n">
        <v>-111.4</v>
      </c>
      <c r="T99" s="15" t="n">
        <v>-175.67</v>
      </c>
      <c r="U99" s="15" t="n">
        <v>-288.88</v>
      </c>
    </row>
    <row r="100">
      <c r="A100" s="4" t="inlineStr">
        <is>
          <t>Nov</t>
        </is>
      </c>
      <c r="B100" s="5" t="n"/>
      <c r="C100" s="14" t="n">
        <v>0</v>
      </c>
      <c r="D100" s="14" t="n">
        <v>27.93</v>
      </c>
      <c r="E100" s="14" t="n">
        <v>9.32</v>
      </c>
      <c r="F100" s="14" t="n">
        <v>27.59</v>
      </c>
      <c r="G100" s="14" t="n">
        <v>38.39</v>
      </c>
      <c r="H100" s="14" t="n">
        <v>37</v>
      </c>
      <c r="I100" s="14" t="n">
        <v>60.27</v>
      </c>
      <c r="J100" s="14" t="n">
        <v>74.38</v>
      </c>
      <c r="K100" s="14" t="n">
        <v>58.25</v>
      </c>
      <c r="L100" s="14" t="n">
        <v>88.48</v>
      </c>
      <c r="M100" s="14" t="n">
        <v>129.67</v>
      </c>
      <c r="N100" s="14" t="n">
        <v>209.36</v>
      </c>
      <c r="O100" s="14" t="n">
        <v>181.94</v>
      </c>
      <c r="P100" s="14" t="n">
        <v>110.67</v>
      </c>
      <c r="Q100" s="14" t="n">
        <v>58.54</v>
      </c>
      <c r="R100" s="14" t="n">
        <v>17.15</v>
      </c>
      <c r="S100" s="14" t="n">
        <v>-29.16</v>
      </c>
      <c r="T100" s="14" t="n">
        <v>-100.19</v>
      </c>
      <c r="U100" s="14" t="n">
        <v>-211.82</v>
      </c>
    </row>
    <row r="101">
      <c r="A101" s="7" t="inlineStr">
        <is>
          <t>Dec</t>
        </is>
      </c>
      <c r="C101" s="15" t="n">
        <v>3.95</v>
      </c>
      <c r="D101" s="15" t="n">
        <v>29.02</v>
      </c>
      <c r="E101" s="15" t="n">
        <v>14.7</v>
      </c>
      <c r="F101" s="15" t="n">
        <v>26.63</v>
      </c>
      <c r="G101" s="15" t="n">
        <v>55.23</v>
      </c>
      <c r="H101" s="15" t="n">
        <v>31.63</v>
      </c>
      <c r="I101" s="15" t="n">
        <v>72.53</v>
      </c>
      <c r="J101" s="15" t="n">
        <v>62.62</v>
      </c>
      <c r="K101" s="15" t="n">
        <v>54.05</v>
      </c>
      <c r="L101" s="15" t="n">
        <v>98.81999999999999</v>
      </c>
      <c r="M101" s="15" t="n">
        <v>143.03</v>
      </c>
      <c r="N101" s="15" t="n">
        <v>230.07</v>
      </c>
      <c r="O101" s="15" t="n">
        <v>234.1</v>
      </c>
      <c r="P101" s="15" t="n">
        <v>145.83</v>
      </c>
      <c r="Q101" s="15" t="n">
        <v>133.62</v>
      </c>
      <c r="R101" s="15" t="n">
        <v>102.54</v>
      </c>
      <c r="S101" s="15" t="n">
        <v>57.44</v>
      </c>
      <c r="T101" s="15" t="n">
        <v>-9.630000000000001</v>
      </c>
      <c r="U101" s="15" t="n">
        <v>-127.05</v>
      </c>
    </row>
    <row r="102">
      <c r="A102" s="9" t="inlineStr">
        <is>
          <t xml:space="preserve">  Calendar-year Total</t>
        </is>
      </c>
      <c r="B102" s="9">
        <f>SUM(B90:B101)</f>
        <v/>
      </c>
      <c r="C102" s="9">
        <f>SUM(C90:C101)</f>
        <v/>
      </c>
      <c r="D102" s="9">
        <f>SUM(D90:D101)</f>
        <v/>
      </c>
      <c r="E102" s="9">
        <f>SUM(E90:E101)</f>
        <v/>
      </c>
      <c r="F102" s="9">
        <f>SUM(F90:F101)</f>
        <v/>
      </c>
      <c r="G102" s="9">
        <f>SUM(G90:G101)</f>
        <v/>
      </c>
      <c r="H102" s="9">
        <f>SUM(H90:H101)</f>
        <v/>
      </c>
      <c r="I102" s="9">
        <f>SUM(I90:I101)</f>
        <v/>
      </c>
      <c r="J102" s="9">
        <f>SUM(J90:J101)</f>
        <v/>
      </c>
      <c r="K102" s="9">
        <f>SUM(K90:K101)</f>
        <v/>
      </c>
      <c r="L102" s="9">
        <f>SUM(L90:L101)</f>
        <v/>
      </c>
      <c r="M102" s="9">
        <f>SUM(M90:M101)</f>
        <v/>
      </c>
      <c r="N102" s="9">
        <f>SUM(N90:N101)</f>
        <v/>
      </c>
      <c r="O102" s="9">
        <f>SUM(O90:O101)</f>
        <v/>
      </c>
      <c r="P102" s="9">
        <f>SUM(P90:P101)</f>
        <v/>
      </c>
      <c r="Q102" s="9">
        <f>SUM(Q90:Q101)</f>
        <v/>
      </c>
      <c r="R102" s="9">
        <f>SUM(R90:R101)</f>
        <v/>
      </c>
      <c r="S102" s="9">
        <f>SUM(S90:S101)</f>
        <v/>
      </c>
      <c r="T102" s="9">
        <f>SUM(T90:T101)</f>
        <v/>
      </c>
      <c r="U102" s="9">
        <f>SUM(U90:U101)</f>
        <v/>
      </c>
    </row>
    <row r="104">
      <c r="A104" s="12" t="inlineStr">
        <is>
          <t>US RENEWABLE DIESEL CAPACITY</t>
        </is>
      </c>
    </row>
    <row r="105">
      <c r="A105" s="13" t="inlineStr">
        <is>
          <t>(MMGY)</t>
        </is>
      </c>
      <c r="B105" s="3" t="n">
        <v>2011</v>
      </c>
      <c r="C105" s="3" t="n">
        <v>2012</v>
      </c>
      <c r="D105" s="3" t="n">
        <v>2013</v>
      </c>
      <c r="E105" s="3" t="n">
        <v>2014</v>
      </c>
      <c r="F105" s="3" t="n">
        <v>2015</v>
      </c>
      <c r="G105" s="3" t="n">
        <v>2016</v>
      </c>
      <c r="H105" s="3" t="n">
        <v>2017</v>
      </c>
      <c r="I105" s="3" t="n">
        <v>2018</v>
      </c>
      <c r="J105" s="3" t="n">
        <v>2019</v>
      </c>
      <c r="K105" s="3" t="n">
        <v>2020</v>
      </c>
      <c r="L105" s="3" t="n">
        <v>2021</v>
      </c>
      <c r="M105" s="3" t="n">
        <v>2022</v>
      </c>
      <c r="N105" s="3" t="n">
        <v>2023</v>
      </c>
      <c r="O105" s="3" t="n">
        <v>2024</v>
      </c>
      <c r="P105" s="3" t="n">
        <v>2025</v>
      </c>
      <c r="Q105" s="3" t="n">
        <v>2026</v>
      </c>
      <c r="R105" s="3" t="n">
        <v>2027</v>
      </c>
      <c r="S105" s="3" t="n">
        <v>2028</v>
      </c>
      <c r="T105" s="3" t="n">
        <v>2029</v>
      </c>
      <c r="U105" s="3" t="n">
        <v>2030</v>
      </c>
    </row>
    <row r="106">
      <c r="A106" s="4" t="inlineStr">
        <is>
          <t>Jan</t>
        </is>
      </c>
      <c r="B106" s="16" t="n">
        <v>0</v>
      </c>
      <c r="C106" s="16" t="n">
        <v>160</v>
      </c>
      <c r="D106" s="16" t="n">
        <v>160</v>
      </c>
      <c r="E106" s="16" t="n">
        <v>160</v>
      </c>
      <c r="F106" s="16" t="n">
        <v>255</v>
      </c>
      <c r="G106" s="16" t="n">
        <v>266</v>
      </c>
      <c r="H106" s="16" t="n">
        <v>408</v>
      </c>
      <c r="I106" s="16" t="n">
        <v>408</v>
      </c>
      <c r="J106" s="16" t="n">
        <v>558</v>
      </c>
      <c r="K106" s="16" t="n">
        <v>558</v>
      </c>
      <c r="L106" s="16" t="n">
        <v>791</v>
      </c>
      <c r="M106" s="16" t="n">
        <v>1750</v>
      </c>
      <c r="N106" s="16" t="n">
        <v>2999</v>
      </c>
      <c r="O106" s="16" t="n">
        <v>3857</v>
      </c>
      <c r="P106" s="16" t="n">
        <v>4590</v>
      </c>
      <c r="Q106" s="16" t="n">
        <v>4926</v>
      </c>
      <c r="R106" s="16" t="n">
        <v>5170</v>
      </c>
      <c r="S106" s="16" t="n">
        <v>5332</v>
      </c>
      <c r="T106" s="16" t="n">
        <v>5389</v>
      </c>
      <c r="U106" s="16" t="n">
        <v>5389</v>
      </c>
    </row>
    <row r="107">
      <c r="A107" s="7" t="inlineStr">
        <is>
          <t>Feb</t>
        </is>
      </c>
      <c r="B107" s="17" t="n">
        <v>0</v>
      </c>
      <c r="C107" s="17" t="n">
        <v>160</v>
      </c>
      <c r="D107" s="17" t="n">
        <v>160</v>
      </c>
      <c r="E107" s="17" t="n">
        <v>160</v>
      </c>
      <c r="F107" s="17" t="n">
        <v>255</v>
      </c>
      <c r="G107" s="17" t="n">
        <v>277</v>
      </c>
      <c r="H107" s="17" t="n">
        <v>408</v>
      </c>
      <c r="I107" s="17" t="n">
        <v>408</v>
      </c>
      <c r="J107" s="17" t="n">
        <v>558</v>
      </c>
      <c r="K107" s="17" t="n">
        <v>558</v>
      </c>
      <c r="L107" s="17" t="n">
        <v>791</v>
      </c>
      <c r="M107" s="17" t="n">
        <v>1750</v>
      </c>
      <c r="N107" s="17" t="n">
        <v>3278</v>
      </c>
      <c r="O107" s="17" t="n">
        <v>3857</v>
      </c>
      <c r="P107" s="17" t="n">
        <v>4621</v>
      </c>
      <c r="Q107" s="17" t="n">
        <v>4974</v>
      </c>
      <c r="R107" s="17" t="n">
        <v>5173</v>
      </c>
      <c r="S107" s="17" t="n">
        <v>5351</v>
      </c>
      <c r="T107" s="17" t="n">
        <v>5389</v>
      </c>
      <c r="U107" s="17" t="n">
        <v>5389</v>
      </c>
    </row>
    <row r="108">
      <c r="A108" s="4" t="inlineStr">
        <is>
          <t>Mar</t>
        </is>
      </c>
      <c r="B108" s="16" t="n">
        <v>0</v>
      </c>
      <c r="C108" s="16" t="n">
        <v>160</v>
      </c>
      <c r="D108" s="16" t="n">
        <v>160</v>
      </c>
      <c r="E108" s="16" t="n">
        <v>160</v>
      </c>
      <c r="F108" s="16" t="n">
        <v>255</v>
      </c>
      <c r="G108" s="16" t="n">
        <v>308</v>
      </c>
      <c r="H108" s="16" t="n">
        <v>408</v>
      </c>
      <c r="I108" s="16" t="n">
        <v>408</v>
      </c>
      <c r="J108" s="16" t="n">
        <v>558</v>
      </c>
      <c r="K108" s="16" t="n">
        <v>558</v>
      </c>
      <c r="L108" s="16" t="n">
        <v>791</v>
      </c>
      <c r="M108" s="16" t="n">
        <v>1750</v>
      </c>
      <c r="N108" s="16" t="n">
        <v>3278</v>
      </c>
      <c r="O108" s="16" t="n">
        <v>3857</v>
      </c>
      <c r="P108" s="16" t="n">
        <v>4652</v>
      </c>
      <c r="Q108" s="16" t="n">
        <v>5066</v>
      </c>
      <c r="R108" s="16" t="n">
        <v>5183</v>
      </c>
      <c r="S108" s="16" t="n">
        <v>5389</v>
      </c>
      <c r="T108" s="16" t="n">
        <v>5389</v>
      </c>
      <c r="U108" s="16" t="n">
        <v>5389</v>
      </c>
    </row>
    <row r="109">
      <c r="A109" s="7" t="inlineStr">
        <is>
          <t>Apr</t>
        </is>
      </c>
      <c r="B109" s="17" t="n">
        <v>0</v>
      </c>
      <c r="C109" s="17" t="n">
        <v>160</v>
      </c>
      <c r="D109" s="17" t="n">
        <v>160</v>
      </c>
      <c r="E109" s="17" t="n">
        <v>160</v>
      </c>
      <c r="F109" s="17" t="n">
        <v>255</v>
      </c>
      <c r="G109" s="17" t="n">
        <v>333</v>
      </c>
      <c r="H109" s="17" t="n">
        <v>408</v>
      </c>
      <c r="I109" s="17" t="n">
        <v>408</v>
      </c>
      <c r="J109" s="17" t="n">
        <v>558</v>
      </c>
      <c r="K109" s="17" t="n">
        <v>558</v>
      </c>
      <c r="L109" s="17" t="n">
        <v>971</v>
      </c>
      <c r="M109" s="17" t="n">
        <v>1922</v>
      </c>
      <c r="N109" s="17" t="n">
        <v>3278</v>
      </c>
      <c r="O109" s="17" t="n">
        <v>4129</v>
      </c>
      <c r="P109" s="17" t="n">
        <v>4653</v>
      </c>
      <c r="Q109" s="17" t="n">
        <v>5088</v>
      </c>
      <c r="R109" s="17" t="n">
        <v>5183</v>
      </c>
      <c r="S109" s="17" t="n">
        <v>5389</v>
      </c>
      <c r="T109" s="17" t="n">
        <v>5389</v>
      </c>
      <c r="U109" s="17" t="n">
        <v>5389</v>
      </c>
    </row>
    <row r="110">
      <c r="A110" s="4" t="inlineStr">
        <is>
          <t>May</t>
        </is>
      </c>
      <c r="B110" s="16" t="n">
        <v>0</v>
      </c>
      <c r="C110" s="16" t="n">
        <v>160</v>
      </c>
      <c r="D110" s="16" t="n">
        <v>160</v>
      </c>
      <c r="E110" s="16" t="n">
        <v>160</v>
      </c>
      <c r="F110" s="16" t="n">
        <v>255</v>
      </c>
      <c r="G110" s="16" t="n">
        <v>358</v>
      </c>
      <c r="H110" s="16" t="n">
        <v>408</v>
      </c>
      <c r="I110" s="16" t="n">
        <v>418</v>
      </c>
      <c r="J110" s="16" t="n">
        <v>558</v>
      </c>
      <c r="K110" s="16" t="n">
        <v>558</v>
      </c>
      <c r="L110" s="16" t="n">
        <v>971</v>
      </c>
      <c r="M110" s="16" t="n">
        <v>1947</v>
      </c>
      <c r="N110" s="16" t="n">
        <v>3278</v>
      </c>
      <c r="O110" s="16" t="n">
        <v>4575</v>
      </c>
      <c r="P110" s="16" t="n">
        <v>4681</v>
      </c>
      <c r="Q110" s="16" t="n">
        <v>5133</v>
      </c>
      <c r="R110" s="16" t="n">
        <v>5183</v>
      </c>
      <c r="S110" s="16" t="n">
        <v>5389</v>
      </c>
      <c r="T110" s="16" t="n">
        <v>5389</v>
      </c>
      <c r="U110" s="16" t="n">
        <v>5389</v>
      </c>
    </row>
    <row r="111">
      <c r="A111" s="7" t="inlineStr">
        <is>
          <t>Jun</t>
        </is>
      </c>
      <c r="B111" s="17" t="n">
        <v>0</v>
      </c>
      <c r="C111" s="17" t="n">
        <v>160</v>
      </c>
      <c r="D111" s="17" t="n">
        <v>160</v>
      </c>
      <c r="E111" s="17" t="n">
        <v>160</v>
      </c>
      <c r="F111" s="17" t="n">
        <v>255</v>
      </c>
      <c r="G111" s="17" t="n">
        <v>408</v>
      </c>
      <c r="H111" s="17" t="n">
        <v>408</v>
      </c>
      <c r="I111" s="17" t="n">
        <v>428</v>
      </c>
      <c r="J111" s="17" t="n">
        <v>558</v>
      </c>
      <c r="K111" s="17" t="n">
        <v>558</v>
      </c>
      <c r="L111" s="17" t="n">
        <v>911</v>
      </c>
      <c r="M111" s="17" t="n">
        <v>1947</v>
      </c>
      <c r="N111" s="17" t="n">
        <v>3700</v>
      </c>
      <c r="O111" s="17" t="n">
        <v>4897</v>
      </c>
      <c r="P111" s="17" t="n">
        <v>4783</v>
      </c>
      <c r="Q111" s="17" t="n">
        <v>5138</v>
      </c>
      <c r="R111" s="17" t="n">
        <v>5190</v>
      </c>
      <c r="S111" s="17" t="n">
        <v>5389</v>
      </c>
      <c r="T111" s="17" t="n">
        <v>5389</v>
      </c>
      <c r="U111" s="17" t="n">
        <v>5389</v>
      </c>
    </row>
    <row r="112">
      <c r="A112" s="4" t="inlineStr">
        <is>
          <t>Jul</t>
        </is>
      </c>
      <c r="B112" s="16" t="n">
        <v>0</v>
      </c>
      <c r="C112" s="16" t="n">
        <v>160</v>
      </c>
      <c r="D112" s="16" t="n">
        <v>160</v>
      </c>
      <c r="E112" s="16" t="n">
        <v>160</v>
      </c>
      <c r="F112" s="16" t="n">
        <v>255</v>
      </c>
      <c r="G112" s="16" t="n">
        <v>408</v>
      </c>
      <c r="H112" s="16" t="n">
        <v>408</v>
      </c>
      <c r="I112" s="16" t="n">
        <v>268</v>
      </c>
      <c r="J112" s="16" t="n">
        <v>558</v>
      </c>
      <c r="K112" s="16" t="n">
        <v>618</v>
      </c>
      <c r="L112" s="16" t="n">
        <v>911</v>
      </c>
      <c r="M112" s="16" t="n">
        <v>2174</v>
      </c>
      <c r="N112" s="16" t="n">
        <v>3704</v>
      </c>
      <c r="O112" s="16" t="n">
        <v>4598</v>
      </c>
      <c r="P112" s="16" t="n">
        <v>4827</v>
      </c>
      <c r="Q112" s="16" t="n">
        <v>5148</v>
      </c>
      <c r="R112" s="16" t="n">
        <v>5195</v>
      </c>
      <c r="S112" s="16" t="n">
        <v>5389</v>
      </c>
      <c r="T112" s="16" t="n">
        <v>5389</v>
      </c>
      <c r="U112" s="16" t="n">
        <v>5389</v>
      </c>
    </row>
    <row r="113">
      <c r="A113" s="7" t="inlineStr">
        <is>
          <t>Aug</t>
        </is>
      </c>
      <c r="B113" s="17" t="n">
        <v>0</v>
      </c>
      <c r="C113" s="17" t="n">
        <v>160</v>
      </c>
      <c r="D113" s="17" t="n">
        <v>160</v>
      </c>
      <c r="E113" s="17" t="n">
        <v>160</v>
      </c>
      <c r="F113" s="17" t="n">
        <v>255</v>
      </c>
      <c r="G113" s="17" t="n">
        <v>408</v>
      </c>
      <c r="H113" s="17" t="n">
        <v>408</v>
      </c>
      <c r="I113" s="17" t="n">
        <v>457</v>
      </c>
      <c r="J113" s="17" t="n">
        <v>558</v>
      </c>
      <c r="K113" s="17" t="n">
        <v>678</v>
      </c>
      <c r="L113" s="17" t="n">
        <v>911</v>
      </c>
      <c r="M113" s="17" t="n">
        <v>2219</v>
      </c>
      <c r="N113" s="17" t="n">
        <v>3704</v>
      </c>
      <c r="O113" s="17" t="n">
        <v>4598</v>
      </c>
      <c r="P113" s="17" t="n">
        <v>4866</v>
      </c>
      <c r="Q113" s="17" t="n">
        <v>5156</v>
      </c>
      <c r="R113" s="17" t="n">
        <v>5197</v>
      </c>
      <c r="S113" s="17" t="n">
        <v>5389</v>
      </c>
      <c r="T113" s="17" t="n">
        <v>5389</v>
      </c>
      <c r="U113" s="17" t="n">
        <v>5389</v>
      </c>
    </row>
    <row r="114">
      <c r="A114" s="4" t="inlineStr">
        <is>
          <t>Sep</t>
        </is>
      </c>
      <c r="B114" s="16" t="n">
        <v>40</v>
      </c>
      <c r="C114" s="16" t="n">
        <v>160</v>
      </c>
      <c r="D114" s="16" t="n">
        <v>160</v>
      </c>
      <c r="E114" s="16" t="n">
        <v>160</v>
      </c>
      <c r="F114" s="16" t="n">
        <v>255</v>
      </c>
      <c r="G114" s="16" t="n">
        <v>408</v>
      </c>
      <c r="H114" s="16" t="n">
        <v>408</v>
      </c>
      <c r="I114" s="16" t="n">
        <v>486</v>
      </c>
      <c r="J114" s="16" t="n">
        <v>558</v>
      </c>
      <c r="K114" s="16" t="n">
        <v>738</v>
      </c>
      <c r="L114" s="16" t="n">
        <v>911</v>
      </c>
      <c r="M114" s="16" t="n">
        <v>2219</v>
      </c>
      <c r="N114" s="16" t="n">
        <v>3704</v>
      </c>
      <c r="O114" s="16" t="n">
        <v>4580</v>
      </c>
      <c r="P114" s="16" t="n">
        <v>4866</v>
      </c>
      <c r="Q114" s="16" t="n">
        <v>5168</v>
      </c>
      <c r="R114" s="16" t="n">
        <v>5207</v>
      </c>
      <c r="S114" s="16" t="n">
        <v>5389</v>
      </c>
      <c r="T114" s="16" t="n">
        <v>5389</v>
      </c>
      <c r="U114" s="16" t="n">
        <v>5389</v>
      </c>
    </row>
    <row r="115">
      <c r="A115" s="7" t="inlineStr">
        <is>
          <t>Oct</t>
        </is>
      </c>
      <c r="B115" s="17" t="n">
        <v>40</v>
      </c>
      <c r="C115" s="17" t="n">
        <v>160</v>
      </c>
      <c r="D115" s="17" t="n">
        <v>160</v>
      </c>
      <c r="E115" s="17" t="n">
        <v>160</v>
      </c>
      <c r="F115" s="17" t="n">
        <v>255</v>
      </c>
      <c r="G115" s="17" t="n">
        <v>408</v>
      </c>
      <c r="H115" s="17" t="n">
        <v>408</v>
      </c>
      <c r="I115" s="17" t="n">
        <v>514</v>
      </c>
      <c r="J115" s="17" t="n">
        <v>558</v>
      </c>
      <c r="K115" s="17" t="n">
        <v>738</v>
      </c>
      <c r="L115" s="17" t="n">
        <v>1014</v>
      </c>
      <c r="M115" s="17" t="n">
        <v>2219</v>
      </c>
      <c r="N115" s="17" t="n">
        <v>3857</v>
      </c>
      <c r="O115" s="17" t="n">
        <v>4236</v>
      </c>
      <c r="P115" s="17" t="n">
        <v>4866</v>
      </c>
      <c r="Q115" s="17" t="n">
        <v>5168</v>
      </c>
      <c r="R115" s="17" t="n">
        <v>5207</v>
      </c>
      <c r="S115" s="17" t="n">
        <v>5389</v>
      </c>
      <c r="T115" s="17" t="n">
        <v>5389</v>
      </c>
      <c r="U115" s="17" t="n">
        <v>5389</v>
      </c>
    </row>
    <row r="116">
      <c r="A116" s="4" t="inlineStr">
        <is>
          <t>Nov</t>
        </is>
      </c>
      <c r="B116" s="16" t="n">
        <v>120</v>
      </c>
      <c r="C116" s="16" t="n">
        <v>160</v>
      </c>
      <c r="D116" s="16" t="n">
        <v>160</v>
      </c>
      <c r="E116" s="16" t="n">
        <v>185</v>
      </c>
      <c r="F116" s="16" t="n">
        <v>255</v>
      </c>
      <c r="G116" s="16" t="n">
        <v>408</v>
      </c>
      <c r="H116" s="16" t="n">
        <v>408</v>
      </c>
      <c r="I116" s="16" t="n">
        <v>558</v>
      </c>
      <c r="J116" s="16" t="n">
        <v>558</v>
      </c>
      <c r="K116" s="16" t="n">
        <v>738</v>
      </c>
      <c r="L116" s="16" t="n">
        <v>1017</v>
      </c>
      <c r="M116" s="16" t="n">
        <v>2755</v>
      </c>
      <c r="N116" s="16" t="n">
        <v>3897</v>
      </c>
      <c r="O116" s="16" t="n">
        <v>4256</v>
      </c>
      <c r="P116" s="16" t="n">
        <v>4866</v>
      </c>
      <c r="Q116" s="16" t="n">
        <v>5168</v>
      </c>
      <c r="R116" s="16" t="n">
        <v>5207</v>
      </c>
      <c r="S116" s="16" t="n">
        <v>5389</v>
      </c>
      <c r="T116" s="16" t="n">
        <v>5389</v>
      </c>
      <c r="U116" s="16" t="n">
        <v>5389</v>
      </c>
    </row>
    <row r="117">
      <c r="A117" s="7" t="inlineStr">
        <is>
          <t>Dec</t>
        </is>
      </c>
      <c r="B117" s="17" t="n">
        <v>120</v>
      </c>
      <c r="C117" s="17" t="n">
        <v>160</v>
      </c>
      <c r="D117" s="17" t="n">
        <v>160</v>
      </c>
      <c r="E117" s="17" t="n">
        <v>210</v>
      </c>
      <c r="F117" s="17" t="n">
        <v>255</v>
      </c>
      <c r="G117" s="17" t="n">
        <v>408</v>
      </c>
      <c r="H117" s="17" t="n">
        <v>408</v>
      </c>
      <c r="I117" s="17" t="n">
        <v>558</v>
      </c>
      <c r="J117" s="17" t="n">
        <v>558</v>
      </c>
      <c r="K117" s="17" t="n">
        <v>738</v>
      </c>
      <c r="L117" s="17" t="n">
        <v>1106</v>
      </c>
      <c r="M117" s="17" t="n">
        <v>2939</v>
      </c>
      <c r="N117" s="17" t="n">
        <v>3857</v>
      </c>
      <c r="O117" s="17" t="n">
        <v>4282</v>
      </c>
      <c r="P117" s="17" t="n">
        <v>4866</v>
      </c>
      <c r="Q117" s="17" t="n">
        <v>5168</v>
      </c>
      <c r="R117" s="17" t="n">
        <v>5207</v>
      </c>
      <c r="S117" s="17" t="n">
        <v>5389</v>
      </c>
      <c r="T117" s="17" t="n">
        <v>5389</v>
      </c>
      <c r="U117" s="17" t="n">
        <v>5389</v>
      </c>
    </row>
    <row r="118">
      <c r="A118" s="9" t="inlineStr">
        <is>
          <t xml:space="preserve">  Calendar-year Total</t>
        </is>
      </c>
      <c r="B118" s="9">
        <f>SUM(B106:B117)</f>
        <v/>
      </c>
      <c r="C118" s="9">
        <f>SUM(C106:C117)</f>
        <v/>
      </c>
      <c r="D118" s="9">
        <f>SUM(D106:D117)</f>
        <v/>
      </c>
      <c r="E118" s="9">
        <f>SUM(E106:E117)</f>
        <v/>
      </c>
      <c r="F118" s="9">
        <f>SUM(F106:F117)</f>
        <v/>
      </c>
      <c r="G118" s="9">
        <f>SUM(G106:G117)</f>
        <v/>
      </c>
      <c r="H118" s="9">
        <f>SUM(H106:H117)</f>
        <v/>
      </c>
      <c r="I118" s="9">
        <f>SUM(I106:I117)</f>
        <v/>
      </c>
      <c r="J118" s="9">
        <f>SUM(J106:J117)</f>
        <v/>
      </c>
      <c r="K118" s="9">
        <f>SUM(K106:K117)</f>
        <v/>
      </c>
      <c r="L118" s="9">
        <f>SUM(L106:L117)</f>
        <v/>
      </c>
      <c r="M118" s="9">
        <f>SUM(M106:M117)</f>
        <v/>
      </c>
      <c r="N118" s="9">
        <f>SUM(N106:N117)</f>
        <v/>
      </c>
      <c r="O118" s="9">
        <f>SUM(O106:O117)</f>
        <v/>
      </c>
      <c r="P118" s="9">
        <f>SUM(P106:P117)</f>
        <v/>
      </c>
      <c r="Q118" s="9">
        <f>SUM(Q106:Q117)</f>
        <v/>
      </c>
      <c r="R118" s="9">
        <f>SUM(R106:R117)</f>
        <v/>
      </c>
      <c r="S118" s="9">
        <f>SUM(S106:S117)</f>
        <v/>
      </c>
      <c r="T118" s="9">
        <f>SUM(T106:T117)</f>
        <v/>
      </c>
      <c r="U118" s="9">
        <f>SUM(U106:U117)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2026-04-07T13:48:26Z</dcterms:created>
  <dcterms:modified xmlns:dcterms="http://purl.org/dc/terms/" xmlns:xsi="http://www.w3.org/2001/XMLSchema-instance" xsi:type="dcterms:W3CDTF">2026-05-14T18:12:08Z</dcterms:modified>
</cp:coreProperties>
</file>