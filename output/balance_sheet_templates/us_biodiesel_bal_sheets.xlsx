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3445" yWindow="3195" windowWidth="21600" windowHeight="11835" tabRatio="600" firstSheet="0" activeTab="0" autoFilterDateGrouping="1"/>
  </bookViews>
  <sheets>
    <sheet xmlns:r="http://schemas.openxmlformats.org/officeDocument/2006/relationships" name="Biodiesel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_);[Red]\(#,##0.000\)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rgb="FF1F4E79"/>
      <sz val="14"/>
    </font>
    <font>
      <name val="Calibri"/>
      <family val="2"/>
      <b val="1"/>
      <color rgb="FF1F4E79"/>
      <sz val="12"/>
    </font>
    <font>
      <name val="Calibri"/>
      <family val="2"/>
      <b val="1"/>
      <color rgb="FFFFFFFF"/>
      <sz val="10"/>
    </font>
    <font>
      <name val="Calibri"/>
      <family val="2"/>
      <sz val="10"/>
    </font>
    <font>
      <name val="Calibri"/>
      <family val="2"/>
      <b val="1"/>
      <sz val="10"/>
    </font>
    <font>
      <name val="Calibri"/>
      <family val="2"/>
      <b val="1"/>
      <color rgb="FF1F4E79"/>
      <sz val="11"/>
    </font>
    <font>
      <name val="Calibri"/>
      <family val="2"/>
      <i val="1"/>
      <color rgb="FF808080"/>
      <sz val="9"/>
    </font>
    <font>
      <name val="Aptos"/>
      <family val="2"/>
      <b val="1"/>
      <sz val="10"/>
    </font>
    <font>
      <name val="Aptos"/>
      <family val="2"/>
      <color theme="1"/>
      <sz val="10"/>
    </font>
    <font>
      <name val="Calibri"/>
      <family val="2"/>
      <b val="1"/>
      <color rgb="FF548235"/>
      <sz val="10"/>
    </font>
  </fonts>
  <fills count="5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  <fill>
      <patternFill patternType="solid">
        <fgColor theme="0" tint="-0.049989318521683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3" fontId="0" fillId="3" borderId="0" pivotButton="0" quotePrefix="0" xfId="0"/>
    <xf numFmtId="3" fontId="0" fillId="0" borderId="0" pivotButton="0" quotePrefix="0" xfId="0"/>
    <xf numFmtId="3" fontId="5" fillId="0" borderId="1" pivotButton="0" quotePrefix="0" xfId="0"/>
    <xf numFmtId="38" fontId="8" fillId="0" borderId="1" pivotButton="0" quotePrefix="0" xfId="0"/>
    <xf numFmtId="38" fontId="9" fillId="3" borderId="0" pivotButton="0" quotePrefix="0" xfId="0"/>
    <xf numFmtId="38" fontId="9" fillId="0" borderId="0" pivotButton="0" quotePrefix="0" xfId="0"/>
    <xf numFmtId="164" fontId="9" fillId="3" borderId="0" pivotButton="0" quotePrefix="0" xfId="0"/>
    <xf numFmtId="164" fontId="9" fillId="0" borderId="0" pivotButton="0" quotePrefix="0" xfId="0"/>
    <xf numFmtId="0" fontId="10" fillId="4" borderId="0" pivotButton="0" quotePrefix="0" xfId="0"/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Users/torem/RLC%20Dropbox/RLC%20Team%20Folder/RLC-Models/Biofuels/US%20BBD%20and%20Fuel%20Trade.xlsx" TargetMode="External" Id="rId3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F"/>
      <sheetName val="US SAF Imports"/>
      <sheetName val="US SAF Exports"/>
      <sheetName val="US Jet Fuel Imports"/>
      <sheetName val="US Jet Fuel Exports"/>
      <sheetName val="US RD Imports"/>
      <sheetName val="US RD Exports"/>
      <sheetName val="US Biodiesel Exports"/>
      <sheetName val="US Biodiesel Imports"/>
      <sheetName val="US Diesel Imports"/>
      <sheetName val="US Diesel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E118"/>
  <sheetViews>
    <sheetView tabSelected="1" zoomScale="85" zoomScaleNormal="85" workbookViewId="0">
      <pane xSplit="1" ySplit="3" topLeftCell="B46" activePane="bottomRight" state="frozen"/>
      <selection pane="topRight" activeCell="A1" sqref="A1"/>
      <selection pane="bottomLeft" activeCell="A1" sqref="A1"/>
      <selection pane="bottomRight" activeCell="B58" sqref="B58"/>
    </sheetView>
  </sheetViews>
  <sheetFormatPr baseColWidth="8" defaultRowHeight="15"/>
  <cols>
    <col width="42" customWidth="1" style="19" min="1" max="1"/>
    <col width="12" customWidth="1" style="19" min="2" max="31"/>
  </cols>
  <sheetData>
    <row r="1" ht="18.75" customHeight="1" s="19">
      <c r="A1" s="20" t="inlineStr">
        <is>
          <t>US BIOFUEL AND FUEL COMPLEX</t>
        </is>
      </c>
    </row>
    <row r="2" ht="15.75" customHeight="1" s="19">
      <c r="A2" s="18" t="inlineStr">
        <is>
          <t>US BIODIESEL SUPPLY AND DEMAND (Million Gallons)</t>
        </is>
      </c>
    </row>
    <row r="3">
      <c r="B3" s="1" t="n">
        <v>2001</v>
      </c>
      <c r="C3" s="1" t="n">
        <v>2002</v>
      </c>
      <c r="D3" s="1" t="n">
        <v>2003</v>
      </c>
      <c r="E3" s="1" t="n">
        <v>2004</v>
      </c>
      <c r="F3" s="1" t="n">
        <v>2005</v>
      </c>
      <c r="G3" s="1" t="n">
        <v>2006</v>
      </c>
      <c r="H3" s="1" t="n">
        <v>2007</v>
      </c>
      <c r="I3" s="1" t="n">
        <v>2008</v>
      </c>
      <c r="J3" s="1" t="n">
        <v>2009</v>
      </c>
      <c r="K3" s="1" t="n">
        <v>2010</v>
      </c>
      <c r="L3" s="1" t="n">
        <v>2011</v>
      </c>
      <c r="M3" s="1" t="n">
        <v>2012</v>
      </c>
      <c r="N3" s="1" t="n">
        <v>2013</v>
      </c>
      <c r="O3" s="1" t="n">
        <v>2014</v>
      </c>
      <c r="P3" s="1" t="n">
        <v>2015</v>
      </c>
      <c r="Q3" s="1" t="n">
        <v>2016</v>
      </c>
      <c r="R3" s="1" t="n">
        <v>2017</v>
      </c>
      <c r="S3" s="1" t="n">
        <v>2018</v>
      </c>
      <c r="T3" s="1" t="n">
        <v>2019</v>
      </c>
      <c r="U3" s="1" t="n">
        <v>2020</v>
      </c>
      <c r="V3" s="1" t="n">
        <v>2021</v>
      </c>
      <c r="W3" s="1" t="n">
        <v>2022</v>
      </c>
      <c r="X3" s="1" t="n">
        <v>2023</v>
      </c>
      <c r="Y3" s="1" t="n">
        <v>2024</v>
      </c>
      <c r="Z3" s="1" t="n">
        <v>2025</v>
      </c>
      <c r="AA3" s="1" t="n">
        <v>2026</v>
      </c>
      <c r="AB3" s="1" t="n">
        <v>2027</v>
      </c>
      <c r="AC3" s="1" t="n">
        <v>2028</v>
      </c>
      <c r="AD3" s="1" t="n">
        <v>2029</v>
      </c>
      <c r="AE3" s="1" t="n">
        <v>2030</v>
      </c>
    </row>
    <row r="5">
      <c r="A5" s="2" t="inlineStr">
        <is>
          <t>Beginning Stocks</t>
        </is>
      </c>
      <c r="B5" s="13" t="n"/>
      <c r="C5" s="13">
        <f>B15</f>
        <v/>
      </c>
      <c r="D5" s="13">
        <f>C15</f>
        <v/>
      </c>
      <c r="E5" s="13">
        <f>D15</f>
        <v/>
      </c>
      <c r="F5" s="13">
        <f>E15</f>
        <v/>
      </c>
      <c r="G5" s="13">
        <f>F15</f>
        <v/>
      </c>
      <c r="H5" s="13">
        <f>G15</f>
        <v/>
      </c>
      <c r="I5" s="13">
        <f>H15</f>
        <v/>
      </c>
      <c r="J5" s="13">
        <f>I15</f>
        <v/>
      </c>
      <c r="K5" s="13">
        <f>J15</f>
        <v/>
      </c>
      <c r="L5" s="13">
        <f>K15</f>
        <v/>
      </c>
      <c r="M5" s="13">
        <f>L15</f>
        <v/>
      </c>
      <c r="N5" s="13">
        <f>M15</f>
        <v/>
      </c>
      <c r="O5" s="13">
        <f>N15</f>
        <v/>
      </c>
      <c r="P5" s="13">
        <f>O15</f>
        <v/>
      </c>
      <c r="Q5" s="13">
        <f>P15</f>
        <v/>
      </c>
      <c r="R5" s="13">
        <f>Q15</f>
        <v/>
      </c>
      <c r="S5" s="13">
        <f>R15</f>
        <v/>
      </c>
      <c r="T5" s="13">
        <f>S15</f>
        <v/>
      </c>
      <c r="U5" s="13">
        <f>T15</f>
        <v/>
      </c>
      <c r="V5" s="13">
        <f>U15</f>
        <v/>
      </c>
      <c r="W5" s="13">
        <f>V15</f>
        <v/>
      </c>
      <c r="X5" s="13">
        <f>W15</f>
        <v/>
      </c>
      <c r="Y5" s="13">
        <f>X15</f>
        <v/>
      </c>
      <c r="Z5" s="13">
        <f>Y15</f>
        <v/>
      </c>
      <c r="AA5" s="13">
        <f>Z15</f>
        <v/>
      </c>
      <c r="AB5" s="13">
        <f>AA15</f>
        <v/>
      </c>
      <c r="AC5" s="13">
        <f>AB15</f>
        <v/>
      </c>
      <c r="AD5" s="13">
        <f>AC15</f>
        <v/>
      </c>
      <c r="AE5" s="13">
        <f>AD15</f>
        <v/>
      </c>
    </row>
    <row r="6">
      <c r="A6" s="4" t="inlineStr">
        <is>
          <t>Production</t>
        </is>
      </c>
      <c r="B6" s="14">
        <f>B38</f>
        <v/>
      </c>
      <c r="C6" s="14">
        <f>C38</f>
        <v/>
      </c>
      <c r="D6" s="14">
        <f>D38</f>
        <v/>
      </c>
      <c r="E6" s="14">
        <f>E38</f>
        <v/>
      </c>
      <c r="F6" s="14">
        <f>F38</f>
        <v/>
      </c>
      <c r="G6" s="14">
        <f>G38</f>
        <v/>
      </c>
      <c r="H6" s="14">
        <f>H38</f>
        <v/>
      </c>
      <c r="I6" s="14">
        <f>I38</f>
        <v/>
      </c>
      <c r="J6" s="14">
        <f>J38</f>
        <v/>
      </c>
      <c r="K6" s="14">
        <f>K38</f>
        <v/>
      </c>
      <c r="L6" s="14">
        <f>L38</f>
        <v/>
      </c>
      <c r="M6" s="14">
        <f>M38</f>
        <v/>
      </c>
      <c r="N6" s="14">
        <f>N38</f>
        <v/>
      </c>
      <c r="O6" s="14">
        <f>O38</f>
        <v/>
      </c>
      <c r="P6" s="14">
        <f>P38</f>
        <v/>
      </c>
      <c r="Q6" s="14">
        <f>Q38</f>
        <v/>
      </c>
      <c r="R6" s="14">
        <f>R38</f>
        <v/>
      </c>
      <c r="S6" s="14">
        <f>S38</f>
        <v/>
      </c>
      <c r="T6" s="14">
        <f>T38</f>
        <v/>
      </c>
      <c r="U6" s="14">
        <f>U38</f>
        <v/>
      </c>
      <c r="V6" s="14">
        <f>V38</f>
        <v/>
      </c>
      <c r="W6" s="14">
        <f>W38</f>
        <v/>
      </c>
      <c r="X6" s="14">
        <f>X38</f>
        <v/>
      </c>
      <c r="Y6" s="14">
        <f>Y38</f>
        <v/>
      </c>
      <c r="Z6" s="14">
        <f>Z38</f>
        <v/>
      </c>
      <c r="AA6" s="14" t="n">
        <v>1460.84</v>
      </c>
      <c r="AB6" s="14" t="n">
        <v>1470.29</v>
      </c>
      <c r="AC6" s="14" t="n">
        <v>1173.9</v>
      </c>
      <c r="AD6" s="14" t="n">
        <v>1353.17</v>
      </c>
      <c r="AE6" s="14" t="n">
        <v>1369.89</v>
      </c>
    </row>
    <row r="7">
      <c r="A7" s="2" t="inlineStr">
        <is>
          <t>Imports</t>
        </is>
      </c>
      <c r="B7" s="13">
        <f>B54</f>
        <v/>
      </c>
      <c r="C7" s="13">
        <f>C54</f>
        <v/>
      </c>
      <c r="D7" s="13">
        <f>D54</f>
        <v/>
      </c>
      <c r="E7" s="13">
        <f>E54</f>
        <v/>
      </c>
      <c r="F7" s="13">
        <f>F54</f>
        <v/>
      </c>
      <c r="G7" s="13">
        <f>G54</f>
        <v/>
      </c>
      <c r="H7" s="13">
        <f>H54</f>
        <v/>
      </c>
      <c r="I7" s="13">
        <f>I54</f>
        <v/>
      </c>
      <c r="J7" s="13">
        <f>J54</f>
        <v/>
      </c>
      <c r="K7" s="13">
        <f>K54</f>
        <v/>
      </c>
      <c r="L7" s="13">
        <f>L54</f>
        <v/>
      </c>
      <c r="M7" s="13">
        <f>M54</f>
        <v/>
      </c>
      <c r="N7" s="13">
        <f>N54</f>
        <v/>
      </c>
      <c r="O7" s="13">
        <f>O54</f>
        <v/>
      </c>
      <c r="P7" s="13">
        <f>P54</f>
        <v/>
      </c>
      <c r="Q7" s="13">
        <f>Q54</f>
        <v/>
      </c>
      <c r="R7" s="13">
        <f>R54</f>
        <v/>
      </c>
      <c r="S7" s="13">
        <f>S54</f>
        <v/>
      </c>
      <c r="T7" s="13">
        <f>T54</f>
        <v/>
      </c>
      <c r="U7" s="13">
        <f>U54</f>
        <v/>
      </c>
      <c r="V7" s="13">
        <f>V54</f>
        <v/>
      </c>
      <c r="W7" s="13">
        <f>W54</f>
        <v/>
      </c>
      <c r="X7" s="13">
        <f>X54</f>
        <v/>
      </c>
      <c r="Y7" s="13">
        <f>Y54</f>
        <v/>
      </c>
      <c r="Z7" s="13">
        <f>Z54</f>
        <v/>
      </c>
      <c r="AA7" s="13" t="n">
        <v>350</v>
      </c>
      <c r="AB7" s="13" t="n">
        <v>350</v>
      </c>
      <c r="AC7" s="13" t="n">
        <v>350</v>
      </c>
      <c r="AD7" s="13" t="n">
        <v>350</v>
      </c>
      <c r="AE7" s="13" t="n">
        <v>350</v>
      </c>
    </row>
    <row r="8">
      <c r="A8" s="5" t="inlineStr">
        <is>
          <t>Total Supply</t>
        </is>
      </c>
      <c r="B8" s="14">
        <f>B5+B6+B7</f>
        <v/>
      </c>
      <c r="C8" s="14">
        <f>C5+C6+C7</f>
        <v/>
      </c>
      <c r="D8" s="14">
        <f>D5+D6+D7</f>
        <v/>
      </c>
      <c r="E8" s="14">
        <f>E5+E6+E7</f>
        <v/>
      </c>
      <c r="F8" s="14">
        <f>F5+F6+F7</f>
        <v/>
      </c>
      <c r="G8" s="14">
        <f>G5+G6+G7</f>
        <v/>
      </c>
      <c r="H8" s="14">
        <f>H5+H6+H7</f>
        <v/>
      </c>
      <c r="I8" s="14">
        <f>I5+I6+I7</f>
        <v/>
      </c>
      <c r="J8" s="14">
        <f>J5+J6+J7</f>
        <v/>
      </c>
      <c r="K8" s="14">
        <f>K5+K6+K7</f>
        <v/>
      </c>
      <c r="L8" s="14">
        <f>L5+L6+L7</f>
        <v/>
      </c>
      <c r="M8" s="14">
        <f>M5+M6+M7</f>
        <v/>
      </c>
      <c r="N8" s="14">
        <f>N5+N6+N7</f>
        <v/>
      </c>
      <c r="O8" s="14">
        <f>O5+O6+O7</f>
        <v/>
      </c>
      <c r="P8" s="14">
        <f>P5+P6+P7</f>
        <v/>
      </c>
      <c r="Q8" s="14">
        <f>Q5+Q6+Q7</f>
        <v/>
      </c>
      <c r="R8" s="14">
        <f>R5+R6+R7</f>
        <v/>
      </c>
      <c r="S8" s="14">
        <f>S5+S6+S7</f>
        <v/>
      </c>
      <c r="T8" s="14">
        <f>T5+T6+T7</f>
        <v/>
      </c>
      <c r="U8" s="14">
        <f>U5+U6+U7</f>
        <v/>
      </c>
      <c r="V8" s="14">
        <f>V5+V6+V7</f>
        <v/>
      </c>
      <c r="W8" s="14">
        <f>W5+W6+W7</f>
        <v/>
      </c>
      <c r="X8" s="14">
        <f>X5+X6+X7</f>
        <v/>
      </c>
      <c r="Y8" s="14">
        <f>Y5+Y6+Y7</f>
        <v/>
      </c>
      <c r="Z8" s="14">
        <f>Z5+Z6+Z7</f>
        <v/>
      </c>
      <c r="AA8" s="14">
        <f>AA5+AA6+AA7</f>
        <v/>
      </c>
      <c r="AB8" s="14">
        <f>AB5+AB6+AB7</f>
        <v/>
      </c>
      <c r="AC8" s="14">
        <f>AC5+AC6+AC7</f>
        <v/>
      </c>
      <c r="AD8" s="14">
        <f>AD5+AD6+AD7</f>
        <v/>
      </c>
      <c r="AE8" s="14">
        <f>AE5+AE6+AE7</f>
        <v/>
      </c>
    </row>
    <row r="10">
      <c r="A10" s="2" t="inlineStr">
        <is>
          <t>Domestic Consumption</t>
        </is>
      </c>
      <c r="B10" s="13">
        <f>B13-B12</f>
        <v/>
      </c>
      <c r="C10" s="13">
        <f>C13-C12</f>
        <v/>
      </c>
      <c r="D10" s="13">
        <f>D13-D12</f>
        <v/>
      </c>
      <c r="E10" s="13">
        <f>E13-E12</f>
        <v/>
      </c>
      <c r="F10" s="13">
        <f>F13-F12</f>
        <v/>
      </c>
      <c r="G10" s="13">
        <f>G13-G12</f>
        <v/>
      </c>
      <c r="H10" s="13">
        <f>H13-H12</f>
        <v/>
      </c>
      <c r="I10" s="13">
        <f>I13-I12</f>
        <v/>
      </c>
      <c r="J10" s="13">
        <f>J13-J12</f>
        <v/>
      </c>
      <c r="K10" s="13">
        <f>K13-K12</f>
        <v/>
      </c>
      <c r="L10" s="13">
        <f>L13-L12</f>
        <v/>
      </c>
      <c r="M10" s="13">
        <f>M13-M12</f>
        <v/>
      </c>
      <c r="N10" s="13">
        <f>N13-N12</f>
        <v/>
      </c>
      <c r="O10" s="13">
        <f>O13-O12</f>
        <v/>
      </c>
      <c r="P10" s="13">
        <f>P13-P12</f>
        <v/>
      </c>
      <c r="Q10" s="13">
        <f>Q13-Q12</f>
        <v/>
      </c>
      <c r="R10" s="13">
        <f>R13-R12</f>
        <v/>
      </c>
      <c r="S10" s="13">
        <f>S13-S12</f>
        <v/>
      </c>
      <c r="T10" s="13">
        <f>T13-T12</f>
        <v/>
      </c>
      <c r="U10" s="13">
        <f>U13-U12</f>
        <v/>
      </c>
      <c r="V10" s="13">
        <f>V13-V12</f>
        <v/>
      </c>
      <c r="W10" s="13">
        <f>W13-W12</f>
        <v/>
      </c>
      <c r="X10" s="13">
        <f>X13-X12</f>
        <v/>
      </c>
      <c r="Y10" s="13">
        <f>Y13-Y12</f>
        <v/>
      </c>
      <c r="Z10" s="13">
        <f>Z13-Z12</f>
        <v/>
      </c>
      <c r="AA10" s="13">
        <f>AA13-AA12</f>
        <v/>
      </c>
      <c r="AB10" s="13">
        <f>AB13-AB12</f>
        <v/>
      </c>
      <c r="AC10" s="13">
        <f>AC13-AC12</f>
        <v/>
      </c>
      <c r="AD10" s="13">
        <f>AD13-AD12</f>
        <v/>
      </c>
      <c r="AE10" s="13">
        <f>AE13-AE12</f>
        <v/>
      </c>
    </row>
    <row r="11">
      <c r="A11" s="4" t="inlineStr">
        <is>
          <t>Losses and Co-Products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</row>
    <row r="12">
      <c r="A12" s="4" t="inlineStr">
        <is>
          <t>Exports</t>
        </is>
      </c>
      <c r="B12" s="13">
        <f>B70</f>
        <v/>
      </c>
      <c r="C12" s="13">
        <f>C70</f>
        <v/>
      </c>
      <c r="D12" s="13">
        <f>D70</f>
        <v/>
      </c>
      <c r="E12" s="13">
        <f>E70</f>
        <v/>
      </c>
      <c r="F12" s="13">
        <f>F70</f>
        <v/>
      </c>
      <c r="G12" s="13">
        <f>G70</f>
        <v/>
      </c>
      <c r="H12" s="13">
        <f>H70</f>
        <v/>
      </c>
      <c r="I12" s="13">
        <f>I70</f>
        <v/>
      </c>
      <c r="J12" s="13">
        <f>J70</f>
        <v/>
      </c>
      <c r="K12" s="13">
        <f>K70</f>
        <v/>
      </c>
      <c r="L12" s="13">
        <f>L70</f>
        <v/>
      </c>
      <c r="M12" s="13">
        <f>M70</f>
        <v/>
      </c>
      <c r="N12" s="13">
        <f>N70</f>
        <v/>
      </c>
      <c r="O12" s="13">
        <f>O70</f>
        <v/>
      </c>
      <c r="P12" s="13">
        <f>P70</f>
        <v/>
      </c>
      <c r="Q12" s="13">
        <f>Q70</f>
        <v/>
      </c>
      <c r="R12" s="13">
        <f>R70</f>
        <v/>
      </c>
      <c r="S12" s="13">
        <f>S70</f>
        <v/>
      </c>
      <c r="T12" s="13">
        <f>T70</f>
        <v/>
      </c>
      <c r="U12" s="13">
        <f>U70</f>
        <v/>
      </c>
      <c r="V12" s="13">
        <f>V70</f>
        <v/>
      </c>
      <c r="W12" s="13">
        <f>W70</f>
        <v/>
      </c>
      <c r="X12" s="13">
        <f>X70</f>
        <v/>
      </c>
      <c r="Y12" s="13">
        <f>Y70</f>
        <v/>
      </c>
      <c r="Z12" s="13">
        <f>Z70</f>
        <v/>
      </c>
      <c r="AA12" s="13" t="n">
        <v>100</v>
      </c>
      <c r="AB12" s="13" t="n">
        <v>100</v>
      </c>
      <c r="AC12" s="13" t="n">
        <v>100</v>
      </c>
      <c r="AD12" s="13" t="n">
        <v>100</v>
      </c>
      <c r="AE12" s="13" t="n">
        <v>100</v>
      </c>
    </row>
    <row r="13">
      <c r="A13" s="5" t="inlineStr">
        <is>
          <t>Total Use</t>
        </is>
      </c>
      <c r="B13" s="14">
        <f>B8-B15</f>
        <v/>
      </c>
      <c r="C13" s="14">
        <f>C8-C15</f>
        <v/>
      </c>
      <c r="D13" s="14">
        <f>D8-D15</f>
        <v/>
      </c>
      <c r="E13" s="14">
        <f>E8-E15</f>
        <v/>
      </c>
      <c r="F13" s="14">
        <f>F8-F15</f>
        <v/>
      </c>
      <c r="G13" s="14">
        <f>G8-G15</f>
        <v/>
      </c>
      <c r="H13" s="14">
        <f>H8-H15</f>
        <v/>
      </c>
      <c r="I13" s="14">
        <f>I8-I15</f>
        <v/>
      </c>
      <c r="J13" s="14">
        <f>J8-J15</f>
        <v/>
      </c>
      <c r="K13" s="14">
        <f>K8-K15</f>
        <v/>
      </c>
      <c r="L13" s="14">
        <f>L8-L15</f>
        <v/>
      </c>
      <c r="M13" s="14">
        <f>M8-M15</f>
        <v/>
      </c>
      <c r="N13" s="14">
        <f>N8-N15</f>
        <v/>
      </c>
      <c r="O13" s="14">
        <f>O8-O15</f>
        <v/>
      </c>
      <c r="P13" s="14">
        <f>P8-P15</f>
        <v/>
      </c>
      <c r="Q13" s="14">
        <f>Q8-Q15</f>
        <v/>
      </c>
      <c r="R13" s="14">
        <f>R8-R15</f>
        <v/>
      </c>
      <c r="S13" s="14">
        <f>S8-S15</f>
        <v/>
      </c>
      <c r="T13" s="14">
        <f>T8-T15</f>
        <v/>
      </c>
      <c r="U13" s="14">
        <f>U8-U15</f>
        <v/>
      </c>
      <c r="V13" s="14">
        <f>V8-V15</f>
        <v/>
      </c>
      <c r="W13" s="14">
        <f>W8-W15</f>
        <v/>
      </c>
      <c r="X13" s="14">
        <f>X8-X15</f>
        <v/>
      </c>
      <c r="Y13" s="14">
        <f>Y8-Y15</f>
        <v/>
      </c>
      <c r="Z13" s="14">
        <f>Z8-Z15</f>
        <v/>
      </c>
      <c r="AA13" s="14">
        <f>AA8-AA15</f>
        <v/>
      </c>
      <c r="AB13" s="14">
        <f>AB8-AB15</f>
        <v/>
      </c>
      <c r="AC13" s="14">
        <f>AC8-AC15</f>
        <v/>
      </c>
      <c r="AD13" s="14">
        <f>AD8-AD15</f>
        <v/>
      </c>
      <c r="AE13" s="14">
        <f>AE8-AE15</f>
        <v/>
      </c>
    </row>
    <row r="14">
      <c r="A14" s="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3" t="n"/>
      <c r="T14" s="13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</row>
    <row r="15">
      <c r="A15" s="5" t="inlineStr">
        <is>
          <t>Ending Stocks</t>
        </is>
      </c>
      <c r="B15" s="14">
        <f>B101</f>
        <v/>
      </c>
      <c r="C15" s="14">
        <f>C101</f>
        <v/>
      </c>
      <c r="D15" s="14">
        <f>D101</f>
        <v/>
      </c>
      <c r="E15" s="14">
        <f>E101</f>
        <v/>
      </c>
      <c r="F15" s="14">
        <f>F101</f>
        <v/>
      </c>
      <c r="G15" s="14">
        <f>G101</f>
        <v/>
      </c>
      <c r="H15" s="14">
        <f>H101</f>
        <v/>
      </c>
      <c r="I15" s="14">
        <f>I101</f>
        <v/>
      </c>
      <c r="J15" s="14">
        <f>J101</f>
        <v/>
      </c>
      <c r="K15" s="14">
        <f>K101</f>
        <v/>
      </c>
      <c r="L15" s="14">
        <f>L101</f>
        <v/>
      </c>
      <c r="M15" s="14">
        <f>M101</f>
        <v/>
      </c>
      <c r="N15" s="14">
        <f>N101</f>
        <v/>
      </c>
      <c r="O15" s="14">
        <f>O101</f>
        <v/>
      </c>
      <c r="P15" s="14">
        <f>P101</f>
        <v/>
      </c>
      <c r="Q15" s="14">
        <f>Q101</f>
        <v/>
      </c>
      <c r="R15" s="14">
        <f>R101</f>
        <v/>
      </c>
      <c r="S15" s="14">
        <f>S101</f>
        <v/>
      </c>
      <c r="T15" s="14">
        <f>T101</f>
        <v/>
      </c>
      <c r="U15" s="14">
        <f>U101</f>
        <v/>
      </c>
      <c r="V15" s="14">
        <f>V101</f>
        <v/>
      </c>
      <c r="W15" s="14">
        <f>W101</f>
        <v/>
      </c>
      <c r="X15" s="14">
        <f>X101</f>
        <v/>
      </c>
      <c r="Y15" s="14">
        <f>Y101</f>
        <v/>
      </c>
      <c r="Z15" s="14">
        <f>Z101</f>
        <v/>
      </c>
      <c r="AA15" s="14">
        <f>AA101</f>
        <v/>
      </c>
      <c r="AB15" s="14">
        <f>AB101</f>
        <v/>
      </c>
      <c r="AC15" s="14">
        <f>AC101</f>
        <v/>
      </c>
      <c r="AD15" s="14">
        <f>AD101</f>
        <v/>
      </c>
      <c r="AE15" s="14">
        <f>AE101</f>
        <v/>
      </c>
    </row>
    <row r="16">
      <c r="A16" s="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3" t="n"/>
      <c r="T16" s="13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3" t="n"/>
      <c r="AE16" s="13" t="n"/>
    </row>
    <row r="17">
      <c r="A17" s="5" t="inlineStr">
        <is>
          <t>Capacity (MMGY)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>
        <v>2524.92</v>
      </c>
      <c r="T17" s="14" t="n">
        <v>2543.08</v>
      </c>
      <c r="U17" s="14" t="n">
        <v>2491.25</v>
      </c>
      <c r="V17" s="14" t="n">
        <v>2406.67</v>
      </c>
      <c r="W17" s="14" t="n">
        <v>2171.5</v>
      </c>
      <c r="X17" s="14" t="n">
        <v>2076.08</v>
      </c>
      <c r="Y17" s="14" t="n">
        <v>2006.08</v>
      </c>
      <c r="Z17" s="14" t="n"/>
      <c r="AA17" s="14" t="n"/>
      <c r="AB17" s="14" t="n"/>
      <c r="AC17" s="14" t="n">
        <v>1778.86</v>
      </c>
      <c r="AD17" s="14" t="n">
        <v>1795.67</v>
      </c>
      <c r="AE17" s="14" t="n">
        <v>1781.5</v>
      </c>
    </row>
    <row r="18">
      <c r="A18" s="5" t="inlineStr">
        <is>
          <t>Operating Rate (%)</t>
        </is>
      </c>
      <c r="B18" s="6">
        <f>IF(B17&gt;0,B6/B17*100,"")</f>
        <v/>
      </c>
      <c r="C18" s="6">
        <f>IF(C17&gt;0,C6/C17*100,"")</f>
        <v/>
      </c>
      <c r="D18" s="6">
        <f>IF(D17&gt;0,D6/D17*100,"")</f>
        <v/>
      </c>
      <c r="E18" s="6">
        <f>IF(E17&gt;0,E6/E17*100,"")</f>
        <v/>
      </c>
      <c r="F18" s="6">
        <f>IF(F17&gt;0,F6/F17*100,"")</f>
        <v/>
      </c>
      <c r="G18" s="6">
        <f>IF(G17&gt;0,G6/G17*100,"")</f>
        <v/>
      </c>
      <c r="H18" s="6">
        <f>IF(H17&gt;0,H6/H17*100,"")</f>
        <v/>
      </c>
      <c r="I18" s="6">
        <f>IF(I17&gt;0,I6/I17*100,"")</f>
        <v/>
      </c>
      <c r="J18" s="6">
        <f>IF(J17&gt;0,J6/J17*100,"")</f>
        <v/>
      </c>
      <c r="K18" s="6">
        <f>IF(K17&gt;0,K6/K17*100,"")</f>
        <v/>
      </c>
      <c r="L18" s="6">
        <f>IF(L17&gt;0,L6/L17*100,"")</f>
        <v/>
      </c>
      <c r="M18" s="6">
        <f>IF(M17&gt;0,M6/M17*100,"")</f>
        <v/>
      </c>
      <c r="N18" s="6">
        <f>IF(N17&gt;0,N6/N17*100,"")</f>
        <v/>
      </c>
      <c r="O18" s="6">
        <f>IF(O17&gt;0,O6/O17*100,"")</f>
        <v/>
      </c>
      <c r="P18" s="6">
        <f>IF(P17&gt;0,P6/P17*100,"")</f>
        <v/>
      </c>
      <c r="Q18" s="6">
        <f>IF(Q17&gt;0,Q6/Q17*100,"")</f>
        <v/>
      </c>
      <c r="R18" s="6">
        <f>IF(R17&gt;0,R6/R17*100,"")</f>
        <v/>
      </c>
      <c r="S18" s="6">
        <f>IF(S17&gt;0,S6/S17*100,"")</f>
        <v/>
      </c>
      <c r="T18" s="6">
        <f>IF(T17&gt;0,T6/T17*100,"")</f>
        <v/>
      </c>
      <c r="U18" s="6">
        <f>IF(U17&gt;0,U6/U17*100,"")</f>
        <v/>
      </c>
      <c r="V18" s="6">
        <f>IF(V17&gt;0,V6/V17*100,"")</f>
        <v/>
      </c>
      <c r="W18" s="6">
        <f>IF(W17&gt;0,W6/W17*100,"")</f>
        <v/>
      </c>
      <c r="X18" s="6">
        <f>IF(X17&gt;0,X6/X17*100,"")</f>
        <v/>
      </c>
      <c r="Y18" s="6">
        <f>IF(Y17&gt;0,Y6/Y17*100,"")</f>
        <v/>
      </c>
      <c r="Z18" s="6">
        <f>IF(Z17&gt;0,Z6/Z17*100,"")</f>
        <v/>
      </c>
      <c r="AA18" s="6">
        <f>IF(AA17&gt;0,AA6/AA17*100,"")</f>
        <v/>
      </c>
      <c r="AB18" s="6">
        <f>IF(AB17&gt;0,AB6/AB17*100,"")</f>
        <v/>
      </c>
      <c r="AC18" s="6">
        <f>IF(AC17&gt;0,AC6/AC17*100,"")</f>
        <v/>
      </c>
      <c r="AD18" s="6">
        <f>IF(AD17&gt;0,AD6/AD17*100,"")</f>
        <v/>
      </c>
      <c r="AE18" s="6">
        <f>IF(AE17&gt;0,AE6/AE17*100,"")</f>
        <v/>
      </c>
    </row>
    <row r="19">
      <c r="A19" s="5" t="inlineStr">
        <is>
          <t>Stocks/Use Ratio</t>
        </is>
      </c>
      <c r="B19" s="6">
        <f>IF(B13&gt;0,B15/B13,"")</f>
        <v/>
      </c>
      <c r="C19" s="6">
        <f>IF(C13&gt;0,C15/C13,"")</f>
        <v/>
      </c>
      <c r="D19" s="6">
        <f>IF(D13&gt;0,D15/D13,"")</f>
        <v/>
      </c>
      <c r="E19" s="6">
        <f>IF(E13&gt;0,E15/E13,"")</f>
        <v/>
      </c>
      <c r="F19" s="6">
        <f>IF(F13&gt;0,F15/F13,"")</f>
        <v/>
      </c>
      <c r="G19" s="6">
        <f>IF(G13&gt;0,G15/G13,"")</f>
        <v/>
      </c>
      <c r="H19" s="6">
        <f>IF(H13&gt;0,H15/H13,"")</f>
        <v/>
      </c>
      <c r="I19" s="6">
        <f>IF(I13&gt;0,I15/I13,"")</f>
        <v/>
      </c>
      <c r="J19" s="6">
        <f>IF(J13&gt;0,J15/J13,"")</f>
        <v/>
      </c>
      <c r="K19" s="6">
        <f>IF(K13&gt;0,K15/K13,"")</f>
        <v/>
      </c>
      <c r="L19" s="6">
        <f>IF(L13&gt;0,L15/L13,"")</f>
        <v/>
      </c>
      <c r="M19" s="6">
        <f>IF(M13&gt;0,M15/M13,"")</f>
        <v/>
      </c>
      <c r="N19" s="6">
        <f>IF(N13&gt;0,N15/N13,"")</f>
        <v/>
      </c>
      <c r="O19" s="6">
        <f>IF(O13&gt;0,O15/O13,"")</f>
        <v/>
      </c>
      <c r="P19" s="6">
        <f>IF(P13&gt;0,P15/P13,"")</f>
        <v/>
      </c>
      <c r="Q19" s="6">
        <f>IF(Q13&gt;0,Q15/Q13,"")</f>
        <v/>
      </c>
      <c r="R19" s="6">
        <f>IF(R13&gt;0,R15/R13,"")</f>
        <v/>
      </c>
      <c r="S19" s="6">
        <f>IF(S13&gt;0,S15/S13,"")</f>
        <v/>
      </c>
      <c r="T19" s="6">
        <f>IF(T13&gt;0,T15/T13,"")</f>
        <v/>
      </c>
      <c r="U19" s="6">
        <f>IF(U13&gt;0,U15/U13,"")</f>
        <v/>
      </c>
      <c r="V19" s="6">
        <f>IF(V13&gt;0,V15/V13,"")</f>
        <v/>
      </c>
      <c r="W19" s="6">
        <f>IF(W13&gt;0,W15/W13,"")</f>
        <v/>
      </c>
      <c r="X19" s="6">
        <f>IF(X13&gt;0,X15/X13,"")</f>
        <v/>
      </c>
      <c r="Y19" s="6">
        <f>IF(Y13&gt;0,Y15/Y13,"")</f>
        <v/>
      </c>
      <c r="Z19" s="6">
        <f>IF(Z13&gt;0,Z15/Z13,"")</f>
        <v/>
      </c>
      <c r="AA19" s="6">
        <f>IF(AA13&gt;0,AA15/AA13,"")</f>
        <v/>
      </c>
      <c r="AB19" s="6">
        <f>IF(AB13&gt;0,AB15/AB13,"")</f>
        <v/>
      </c>
      <c r="AC19" s="6">
        <f>IF(AC13&gt;0,AC15/AC13,"")</f>
        <v/>
      </c>
      <c r="AD19" s="6">
        <f>IF(AD13&gt;0,AD15/AD13,"")</f>
        <v/>
      </c>
      <c r="AE19" s="6">
        <f>IF(AE13&gt;0,AE15/AE13,"")</f>
        <v/>
      </c>
    </row>
    <row r="20">
      <c r="A20" s="4" t="inlineStr">
        <is>
          <t>Average Price ($/gal)</t>
        </is>
      </c>
    </row>
    <row r="22">
      <c r="A22" s="17" t="inlineStr">
        <is>
          <t>Bold, green numbers in shaded cells are RLC forecasts and estimates.</t>
        </is>
      </c>
    </row>
    <row r="24">
      <c r="A24" s="7" t="inlineStr">
        <is>
          <t>US BIODIESEL PRODUCTION</t>
        </is>
      </c>
    </row>
    <row r="25">
      <c r="A25" s="8" t="inlineStr">
        <is>
          <t>(million gallons)</t>
        </is>
      </c>
      <c r="B25" s="1" t="n">
        <v>2001</v>
      </c>
      <c r="C25" s="1" t="n">
        <v>2002</v>
      </c>
      <c r="D25" s="1" t="n">
        <v>2003</v>
      </c>
      <c r="E25" s="1" t="n">
        <v>2004</v>
      </c>
      <c r="F25" s="1" t="n">
        <v>2005</v>
      </c>
      <c r="G25" s="1" t="n">
        <v>2006</v>
      </c>
      <c r="H25" s="1" t="n">
        <v>2007</v>
      </c>
      <c r="I25" s="1" t="n">
        <v>2008</v>
      </c>
      <c r="J25" s="1" t="n">
        <v>2009</v>
      </c>
      <c r="K25" s="1" t="n">
        <v>2010</v>
      </c>
      <c r="L25" s="1" t="n">
        <v>2011</v>
      </c>
      <c r="M25" s="1" t="n">
        <v>2012</v>
      </c>
      <c r="N25" s="1" t="n">
        <v>2013</v>
      </c>
      <c r="O25" s="1" t="n">
        <v>2014</v>
      </c>
      <c r="P25" s="1" t="n">
        <v>2015</v>
      </c>
      <c r="Q25" s="1" t="n">
        <v>2016</v>
      </c>
      <c r="R25" s="1" t="n">
        <v>2017</v>
      </c>
      <c r="S25" s="1" t="n">
        <v>2018</v>
      </c>
      <c r="T25" s="1" t="n">
        <v>2019</v>
      </c>
      <c r="U25" s="1" t="n">
        <v>2020</v>
      </c>
      <c r="V25" s="1" t="n">
        <v>2021</v>
      </c>
      <c r="W25" s="1" t="n">
        <v>2022</v>
      </c>
      <c r="X25" s="1" t="n">
        <v>2023</v>
      </c>
      <c r="Y25" s="1" t="n">
        <v>2024</v>
      </c>
      <c r="Z25" s="1" t="n">
        <v>2025</v>
      </c>
      <c r="AA25" s="1" t="n">
        <v>2026</v>
      </c>
      <c r="AB25" s="1" t="n">
        <v>2027</v>
      </c>
      <c r="AC25" s="1" t="n">
        <v>2028</v>
      </c>
      <c r="AD25" s="1" t="n">
        <v>2029</v>
      </c>
      <c r="AE25" s="1" t="n">
        <v>2030</v>
      </c>
    </row>
    <row r="26">
      <c r="A26" s="2" t="inlineStr">
        <is>
          <t>Jan</t>
        </is>
      </c>
      <c r="B26" s="13" t="n">
        <v>0.73</v>
      </c>
      <c r="C26" s="13" t="n">
        <v>0.89</v>
      </c>
      <c r="D26" s="13" t="n">
        <v>1.21</v>
      </c>
      <c r="E26" s="13" t="n">
        <v>2.37</v>
      </c>
      <c r="F26" s="13" t="n">
        <v>7.71</v>
      </c>
      <c r="G26" s="13" t="n">
        <v>13.09</v>
      </c>
      <c r="H26" s="13" t="n">
        <v>29.09</v>
      </c>
      <c r="I26" s="13" t="n">
        <v>50.27</v>
      </c>
      <c r="J26" s="13" t="n">
        <v>42.38</v>
      </c>
      <c r="K26" s="13" t="n">
        <v>26.61</v>
      </c>
      <c r="L26" s="13" t="n">
        <v>35.36</v>
      </c>
      <c r="M26" s="13" t="n">
        <v>73.55</v>
      </c>
      <c r="N26" s="13" t="n">
        <v>68.86</v>
      </c>
      <c r="O26" s="13" t="n">
        <v>72.54000000000001</v>
      </c>
      <c r="P26" s="13" t="n">
        <v>72.55</v>
      </c>
      <c r="Q26" s="13" t="n">
        <v>104.58</v>
      </c>
      <c r="R26" s="13" t="n">
        <v>92.76000000000001</v>
      </c>
      <c r="S26" s="13" t="n">
        <v>125.53</v>
      </c>
      <c r="T26" s="13" t="n">
        <v>143.92</v>
      </c>
      <c r="U26" s="13" t="n">
        <v>134.23</v>
      </c>
      <c r="V26" s="13" t="n">
        <v>140.79</v>
      </c>
      <c r="W26" s="13" t="n">
        <v>119.99</v>
      </c>
      <c r="X26" s="13" t="n">
        <v>136.18</v>
      </c>
      <c r="Y26" s="13" t="n">
        <v>121.81</v>
      </c>
      <c r="Z26" s="13" t="n">
        <v>65.64</v>
      </c>
      <c r="AA26" s="13" t="n">
        <v>98.40000000000001</v>
      </c>
      <c r="AB26" s="13" t="n">
        <v>91.18000000000001</v>
      </c>
      <c r="AC26" s="13" t="n">
        <v>74.14</v>
      </c>
      <c r="AD26" s="13" t="n">
        <v>82.87</v>
      </c>
      <c r="AE26" s="13" t="n">
        <v>80.2</v>
      </c>
    </row>
    <row r="27">
      <c r="A27" s="4" t="inlineStr">
        <is>
          <t>Feb</t>
        </is>
      </c>
      <c r="B27" s="14" t="n">
        <v>0.66</v>
      </c>
      <c r="C27" s="14" t="n">
        <v>0.8</v>
      </c>
      <c r="D27" s="14" t="n">
        <v>1.09</v>
      </c>
      <c r="E27" s="14" t="n">
        <v>2.22</v>
      </c>
      <c r="F27" s="14" t="n">
        <v>6.96</v>
      </c>
      <c r="G27" s="14" t="n">
        <v>11.32</v>
      </c>
      <c r="H27" s="14" t="n">
        <v>23.7</v>
      </c>
      <c r="I27" s="14" t="n">
        <v>45.1</v>
      </c>
      <c r="J27" s="14" t="n">
        <v>33.43</v>
      </c>
      <c r="K27" s="14" t="n">
        <v>29.25</v>
      </c>
      <c r="L27" s="14" t="n">
        <v>40.34</v>
      </c>
      <c r="M27" s="14" t="n">
        <v>79.23999999999999</v>
      </c>
      <c r="N27" s="14" t="n">
        <v>70.23</v>
      </c>
      <c r="O27" s="14" t="n">
        <v>75.64</v>
      </c>
      <c r="P27" s="14" t="n">
        <v>77.73999999999999</v>
      </c>
      <c r="Q27" s="14" t="n">
        <v>105.15</v>
      </c>
      <c r="R27" s="14" t="n">
        <v>93.98</v>
      </c>
      <c r="S27" s="14" t="n">
        <v>127.95</v>
      </c>
      <c r="T27" s="14" t="n">
        <v>130.53</v>
      </c>
      <c r="U27" s="14" t="n">
        <v>131.83</v>
      </c>
      <c r="V27" s="14" t="n">
        <v>108.27</v>
      </c>
      <c r="W27" s="14" t="n">
        <v>113.69</v>
      </c>
      <c r="X27" s="14" t="n">
        <v>119.29</v>
      </c>
      <c r="Y27" s="14" t="n">
        <v>126.45</v>
      </c>
      <c r="Z27" s="14" t="n">
        <v>73.81999999999999</v>
      </c>
      <c r="AA27" s="14" t="n">
        <v>104.4</v>
      </c>
      <c r="AB27" s="14" t="n">
        <v>97.45</v>
      </c>
      <c r="AC27" s="14" t="n">
        <v>77.23999999999999</v>
      </c>
      <c r="AD27" s="14" t="n">
        <v>88.13</v>
      </c>
      <c r="AE27" s="14" t="n">
        <v>85.79000000000001</v>
      </c>
    </row>
    <row r="28">
      <c r="A28" s="2" t="inlineStr">
        <is>
          <t>Mar</t>
        </is>
      </c>
      <c r="B28" s="13" t="n">
        <v>0.73</v>
      </c>
      <c r="C28" s="13" t="n">
        <v>0.89</v>
      </c>
      <c r="D28" s="13" t="n">
        <v>1.21</v>
      </c>
      <c r="E28" s="13" t="n">
        <v>2.37</v>
      </c>
      <c r="F28" s="13" t="n">
        <v>7.71</v>
      </c>
      <c r="G28" s="13" t="n">
        <v>15.44</v>
      </c>
      <c r="H28" s="13" t="n">
        <v>32.54</v>
      </c>
      <c r="I28" s="13" t="n">
        <v>49.88</v>
      </c>
      <c r="J28" s="13" t="n">
        <v>26.59</v>
      </c>
      <c r="K28" s="13" t="n">
        <v>33.77</v>
      </c>
      <c r="L28" s="13" t="n">
        <v>59.59</v>
      </c>
      <c r="M28" s="13" t="n">
        <v>94.52</v>
      </c>
      <c r="N28" s="13" t="n">
        <v>101.28</v>
      </c>
      <c r="O28" s="13" t="n">
        <v>99.18000000000001</v>
      </c>
      <c r="P28" s="13" t="n">
        <v>97.67</v>
      </c>
      <c r="Q28" s="13" t="n">
        <v>120.16</v>
      </c>
      <c r="R28" s="13" t="n">
        <v>115.97</v>
      </c>
      <c r="S28" s="13" t="n">
        <v>149.13</v>
      </c>
      <c r="T28" s="13" t="n">
        <v>140.83</v>
      </c>
      <c r="U28" s="13" t="n">
        <v>150.95</v>
      </c>
      <c r="V28" s="13" t="n">
        <v>150.57</v>
      </c>
      <c r="W28" s="13" t="n">
        <v>132.76</v>
      </c>
      <c r="X28" s="13" t="n">
        <v>139.64</v>
      </c>
      <c r="Y28" s="13" t="n">
        <v>134.36</v>
      </c>
      <c r="Z28" s="13" t="n">
        <v>95.83</v>
      </c>
      <c r="AA28" s="13" t="n">
        <v>114.81</v>
      </c>
      <c r="AB28" s="13" t="n">
        <v>112.55</v>
      </c>
      <c r="AC28" s="13" t="n">
        <v>87.97</v>
      </c>
      <c r="AD28" s="13" t="n">
        <v>100.31</v>
      </c>
      <c r="AE28" s="13" t="n">
        <v>99.53</v>
      </c>
    </row>
    <row r="29">
      <c r="A29" s="4" t="inlineStr">
        <is>
          <t>Apr</t>
        </is>
      </c>
      <c r="B29" s="14" t="n">
        <v>0.7</v>
      </c>
      <c r="C29" s="14" t="n">
        <v>0.86</v>
      </c>
      <c r="D29" s="14" t="n">
        <v>1.17</v>
      </c>
      <c r="E29" s="14" t="n">
        <v>2.29</v>
      </c>
      <c r="F29" s="14" t="n">
        <v>7.46</v>
      </c>
      <c r="G29" s="14" t="n">
        <v>16.19</v>
      </c>
      <c r="H29" s="14" t="n">
        <v>32.12</v>
      </c>
      <c r="I29" s="14" t="n">
        <v>53.28</v>
      </c>
      <c r="J29" s="14" t="n">
        <v>28.17</v>
      </c>
      <c r="K29" s="14" t="n">
        <v>34.19</v>
      </c>
      <c r="L29" s="14" t="n">
        <v>71.05</v>
      </c>
      <c r="M29" s="14" t="n">
        <v>93.94</v>
      </c>
      <c r="N29" s="14" t="n">
        <v>107.02</v>
      </c>
      <c r="O29" s="14" t="n">
        <v>93.34999999999999</v>
      </c>
      <c r="P29" s="14" t="n">
        <v>107.85</v>
      </c>
      <c r="Q29" s="14" t="n">
        <v>119.95</v>
      </c>
      <c r="R29" s="14" t="n">
        <v>126.82</v>
      </c>
      <c r="S29" s="14" t="n">
        <v>142.53</v>
      </c>
      <c r="T29" s="14" t="n">
        <v>152.15</v>
      </c>
      <c r="U29" s="14" t="n">
        <v>143.73</v>
      </c>
      <c r="V29" s="14" t="n">
        <v>144.04</v>
      </c>
      <c r="W29" s="14" t="n">
        <v>126.74</v>
      </c>
      <c r="X29" s="14" t="n">
        <v>132.87</v>
      </c>
      <c r="Y29" s="14" t="n">
        <v>136.03</v>
      </c>
      <c r="Z29" s="14" t="n">
        <v>132.22</v>
      </c>
      <c r="AA29" s="14" t="n">
        <v>122.42</v>
      </c>
      <c r="AB29" s="14" t="n">
        <v>122.92</v>
      </c>
      <c r="AC29" s="14" t="n">
        <v>96.68000000000001</v>
      </c>
      <c r="AD29" s="14" t="n">
        <v>112.1</v>
      </c>
      <c r="AE29" s="14" t="n">
        <v>113.98</v>
      </c>
    </row>
    <row r="30">
      <c r="A30" s="2" t="inlineStr">
        <is>
          <t>May</t>
        </is>
      </c>
      <c r="B30" s="13" t="n">
        <v>0.73</v>
      </c>
      <c r="C30" s="13" t="n">
        <v>0.89</v>
      </c>
      <c r="D30" s="13" t="n">
        <v>1.21</v>
      </c>
      <c r="E30" s="13" t="n">
        <v>2.37</v>
      </c>
      <c r="F30" s="13" t="n">
        <v>7.71</v>
      </c>
      <c r="G30" s="13" t="n">
        <v>22.3</v>
      </c>
      <c r="H30" s="13" t="n">
        <v>40.24</v>
      </c>
      <c r="I30" s="13" t="n">
        <v>54.27</v>
      </c>
      <c r="J30" s="13" t="n">
        <v>32.1</v>
      </c>
      <c r="K30" s="13" t="n">
        <v>31.91</v>
      </c>
      <c r="L30" s="13" t="n">
        <v>77.2</v>
      </c>
      <c r="M30" s="13" t="n">
        <v>101.97</v>
      </c>
      <c r="N30" s="13" t="n">
        <v>111.1</v>
      </c>
      <c r="O30" s="13" t="n">
        <v>106.31</v>
      </c>
      <c r="P30" s="13" t="n">
        <v>116.94</v>
      </c>
      <c r="Q30" s="13" t="n">
        <v>135.34</v>
      </c>
      <c r="R30" s="13" t="n">
        <v>136.18</v>
      </c>
      <c r="S30" s="13" t="n">
        <v>151.31</v>
      </c>
      <c r="T30" s="13" t="n">
        <v>154.59</v>
      </c>
      <c r="U30" s="13" t="n">
        <v>152.48</v>
      </c>
      <c r="V30" s="13" t="n">
        <v>148.55</v>
      </c>
      <c r="W30" s="13" t="n">
        <v>136.15</v>
      </c>
      <c r="X30" s="13" t="n">
        <v>156.31</v>
      </c>
      <c r="Y30" s="13" t="n">
        <v>143.48</v>
      </c>
      <c r="Z30" s="13" t="n">
        <v>138.27</v>
      </c>
      <c r="AA30" s="13" t="n">
        <v>130.31</v>
      </c>
      <c r="AB30" s="13" t="n">
        <v>131.44</v>
      </c>
      <c r="AC30" s="13" t="n">
        <v>105.52</v>
      </c>
      <c r="AD30" s="13" t="n">
        <v>119.15</v>
      </c>
      <c r="AE30" s="13" t="n">
        <v>121.43</v>
      </c>
    </row>
    <row r="31">
      <c r="A31" s="4" t="inlineStr">
        <is>
          <t>Jun</t>
        </is>
      </c>
      <c r="B31" s="14" t="n">
        <v>0.7</v>
      </c>
      <c r="C31" s="14" t="n">
        <v>0.86</v>
      </c>
      <c r="D31" s="14" t="n">
        <v>1.17</v>
      </c>
      <c r="E31" s="14" t="n">
        <v>2.29</v>
      </c>
      <c r="F31" s="14" t="n">
        <v>7.46</v>
      </c>
      <c r="G31" s="14" t="n">
        <v>25.7</v>
      </c>
      <c r="H31" s="14" t="n">
        <v>39.59</v>
      </c>
      <c r="I31" s="14" t="n">
        <v>60.68</v>
      </c>
      <c r="J31" s="14" t="n">
        <v>33.59</v>
      </c>
      <c r="K31" s="14" t="n">
        <v>27.07</v>
      </c>
      <c r="L31" s="14" t="n">
        <v>81.39</v>
      </c>
      <c r="M31" s="14" t="n">
        <v>93.37</v>
      </c>
      <c r="N31" s="14" t="n">
        <v>113.37</v>
      </c>
      <c r="O31" s="14" t="n">
        <v>111.07</v>
      </c>
      <c r="P31" s="14" t="n">
        <v>121.82</v>
      </c>
      <c r="Q31" s="14" t="n">
        <v>134.62</v>
      </c>
      <c r="R31" s="14" t="n">
        <v>140.46</v>
      </c>
      <c r="S31" s="14" t="n">
        <v>158.87</v>
      </c>
      <c r="T31" s="14" t="n">
        <v>141.55</v>
      </c>
      <c r="U31" s="14" t="n">
        <v>150.8</v>
      </c>
      <c r="V31" s="14" t="n">
        <v>143.43</v>
      </c>
      <c r="W31" s="14" t="n">
        <v>137.15</v>
      </c>
      <c r="X31" s="14" t="n">
        <v>152.71</v>
      </c>
      <c r="Y31" s="14" t="n">
        <v>135.25</v>
      </c>
      <c r="Z31" s="14" t="n">
        <v>140.05</v>
      </c>
      <c r="AA31" s="14" t="n">
        <v>128.36</v>
      </c>
      <c r="AB31" s="14" t="n">
        <v>128.33</v>
      </c>
      <c r="AC31" s="14" t="n">
        <v>102.09</v>
      </c>
      <c r="AD31" s="14" t="n">
        <v>116.24</v>
      </c>
      <c r="AE31" s="14" t="n">
        <v>119.56</v>
      </c>
    </row>
    <row r="32">
      <c r="A32" s="2" t="inlineStr">
        <is>
          <t>Jul</t>
        </is>
      </c>
      <c r="B32" s="13" t="n">
        <v>0.73</v>
      </c>
      <c r="C32" s="13" t="n">
        <v>0.89</v>
      </c>
      <c r="D32" s="13" t="n">
        <v>1.21</v>
      </c>
      <c r="E32" s="13" t="n">
        <v>2.37</v>
      </c>
      <c r="F32" s="13" t="n">
        <v>7.71</v>
      </c>
      <c r="G32" s="13" t="n">
        <v>22.68</v>
      </c>
      <c r="H32" s="13" t="n">
        <v>51.96</v>
      </c>
      <c r="I32" s="13" t="n">
        <v>67.37</v>
      </c>
      <c r="J32" s="13" t="n">
        <v>43.26</v>
      </c>
      <c r="K32" s="13" t="n">
        <v>27.6</v>
      </c>
      <c r="L32" s="13" t="n">
        <v>91.68000000000001</v>
      </c>
      <c r="M32" s="13" t="n">
        <v>89.31999999999999</v>
      </c>
      <c r="N32" s="13" t="n">
        <v>129.03</v>
      </c>
      <c r="O32" s="13" t="n">
        <v>122.89</v>
      </c>
      <c r="P32" s="13" t="n">
        <v>121.08</v>
      </c>
      <c r="Q32" s="13" t="n">
        <v>139.89</v>
      </c>
      <c r="R32" s="13" t="n">
        <v>149.51</v>
      </c>
      <c r="S32" s="13" t="n">
        <v>166.33</v>
      </c>
      <c r="T32" s="13" t="n">
        <v>158.61</v>
      </c>
      <c r="U32" s="13" t="n">
        <v>161.67</v>
      </c>
      <c r="V32" s="13" t="n">
        <v>149.17</v>
      </c>
      <c r="W32" s="13" t="n">
        <v>146.58</v>
      </c>
      <c r="X32" s="13" t="n">
        <v>151.7</v>
      </c>
      <c r="Y32" s="13" t="n">
        <v>145.56</v>
      </c>
      <c r="Z32" s="13" t="n">
        <v>137.43</v>
      </c>
      <c r="AA32" s="13" t="n">
        <v>125.9</v>
      </c>
      <c r="AB32" s="13" t="n">
        <v>126.72</v>
      </c>
      <c r="AC32" s="13" t="n">
        <v>101.34</v>
      </c>
      <c r="AD32" s="13" t="n">
        <v>117.08</v>
      </c>
      <c r="AE32" s="13" t="n">
        <v>118.28</v>
      </c>
    </row>
    <row r="33">
      <c r="A33" s="4" t="inlineStr">
        <is>
          <t>Aug</t>
        </is>
      </c>
      <c r="B33" s="14" t="n">
        <v>0.73</v>
      </c>
      <c r="C33" s="14" t="n">
        <v>0.89</v>
      </c>
      <c r="D33" s="14" t="n">
        <v>1.21</v>
      </c>
      <c r="E33" s="14" t="n">
        <v>2.37</v>
      </c>
      <c r="F33" s="14" t="n">
        <v>7.71</v>
      </c>
      <c r="G33" s="14" t="n">
        <v>28.92</v>
      </c>
      <c r="H33" s="14" t="n">
        <v>54.51</v>
      </c>
      <c r="I33" s="14" t="n">
        <v>68.16</v>
      </c>
      <c r="J33" s="14" t="n">
        <v>45</v>
      </c>
      <c r="K33" s="14" t="n">
        <v>27.43</v>
      </c>
      <c r="L33" s="14" t="n">
        <v>95.48999999999999</v>
      </c>
      <c r="M33" s="14" t="n">
        <v>91.41</v>
      </c>
      <c r="N33" s="14" t="n">
        <v>129.62</v>
      </c>
      <c r="O33" s="14" t="n">
        <v>125.44</v>
      </c>
      <c r="P33" s="14" t="n">
        <v>123.18</v>
      </c>
      <c r="Q33" s="14" t="n">
        <v>142.18</v>
      </c>
      <c r="R33" s="14" t="n">
        <v>149.49</v>
      </c>
      <c r="S33" s="14" t="n">
        <v>172.28</v>
      </c>
      <c r="T33" s="14" t="n">
        <v>155.9</v>
      </c>
      <c r="U33" s="14" t="n">
        <v>162.61</v>
      </c>
      <c r="V33" s="14" t="n">
        <v>149.5</v>
      </c>
      <c r="W33" s="14" t="n">
        <v>147.79</v>
      </c>
      <c r="X33" s="14" t="n">
        <v>145.23</v>
      </c>
      <c r="Y33" s="14" t="n">
        <v>138.6</v>
      </c>
      <c r="Z33" s="14" t="n">
        <v>143.75</v>
      </c>
      <c r="AA33" s="14" t="n">
        <v>131.48</v>
      </c>
      <c r="AB33" s="14" t="n">
        <v>132.11</v>
      </c>
      <c r="AC33" s="14" t="n">
        <v>104.39</v>
      </c>
      <c r="AD33" s="14" t="n">
        <v>119.6</v>
      </c>
      <c r="AE33" s="14" t="n">
        <v>122.72</v>
      </c>
    </row>
    <row r="34">
      <c r="A34" s="2" t="inlineStr">
        <is>
          <t>Sep</t>
        </is>
      </c>
      <c r="B34" s="13" t="n">
        <v>0.7</v>
      </c>
      <c r="C34" s="13" t="n">
        <v>0.86</v>
      </c>
      <c r="D34" s="13" t="n">
        <v>1.17</v>
      </c>
      <c r="E34" s="13" t="n">
        <v>2.29</v>
      </c>
      <c r="F34" s="13" t="n">
        <v>7.46</v>
      </c>
      <c r="G34" s="13" t="n">
        <v>25.13</v>
      </c>
      <c r="H34" s="13" t="n">
        <v>51.39</v>
      </c>
      <c r="I34" s="13" t="n">
        <v>63.02</v>
      </c>
      <c r="J34" s="13" t="n">
        <v>48.72</v>
      </c>
      <c r="K34" s="13" t="n">
        <v>30.36</v>
      </c>
      <c r="L34" s="13" t="n">
        <v>95.94</v>
      </c>
      <c r="M34" s="13" t="n">
        <v>81.84999999999999</v>
      </c>
      <c r="N34" s="13" t="n">
        <v>127.07</v>
      </c>
      <c r="O34" s="13" t="n">
        <v>115.68</v>
      </c>
      <c r="P34" s="13" t="n">
        <v>104.12</v>
      </c>
      <c r="Q34" s="13" t="n">
        <v>134.67</v>
      </c>
      <c r="R34" s="13" t="n">
        <v>147.29</v>
      </c>
      <c r="S34" s="13" t="n">
        <v>164.4</v>
      </c>
      <c r="T34" s="13" t="n">
        <v>141.85</v>
      </c>
      <c r="U34" s="13" t="n">
        <v>159.16</v>
      </c>
      <c r="V34" s="13" t="n">
        <v>133.77</v>
      </c>
      <c r="W34" s="13" t="n">
        <v>140.71</v>
      </c>
      <c r="X34" s="13" t="n">
        <v>144.38</v>
      </c>
      <c r="Y34" s="13" t="n">
        <v>132.47</v>
      </c>
      <c r="Z34" s="13" t="n">
        <v>135.74</v>
      </c>
      <c r="AA34" s="13" t="n">
        <v>123.1</v>
      </c>
      <c r="AB34" s="13" t="n">
        <v>124.57</v>
      </c>
      <c r="AC34" s="13" t="n">
        <v>98.63</v>
      </c>
      <c r="AD34" s="13" t="n">
        <v>113.02</v>
      </c>
      <c r="AE34" s="13" t="n">
        <v>115.67</v>
      </c>
    </row>
    <row r="35">
      <c r="A35" s="4" t="inlineStr">
        <is>
          <t>Oct</t>
        </is>
      </c>
      <c r="B35" s="14" t="n">
        <v>0.73</v>
      </c>
      <c r="C35" s="14" t="n">
        <v>0.89</v>
      </c>
      <c r="D35" s="14" t="n">
        <v>1.21</v>
      </c>
      <c r="E35" s="14" t="n">
        <v>2.37</v>
      </c>
      <c r="F35" s="14" t="n">
        <v>7.71</v>
      </c>
      <c r="G35" s="14" t="n">
        <v>23.04</v>
      </c>
      <c r="H35" s="14" t="n">
        <v>49.89</v>
      </c>
      <c r="I35" s="14" t="n">
        <v>61.52</v>
      </c>
      <c r="J35" s="14" t="n">
        <v>57.44</v>
      </c>
      <c r="K35" s="14" t="n">
        <v>28.4</v>
      </c>
      <c r="L35" s="14" t="n">
        <v>105.34</v>
      </c>
      <c r="M35" s="14" t="n">
        <v>75.28</v>
      </c>
      <c r="N35" s="14" t="n">
        <v>137.43</v>
      </c>
      <c r="O35" s="14" t="n">
        <v>122.99</v>
      </c>
      <c r="P35" s="14" t="n">
        <v>106.47</v>
      </c>
      <c r="Q35" s="14" t="n">
        <v>144.19</v>
      </c>
      <c r="R35" s="14" t="n">
        <v>147.62</v>
      </c>
      <c r="S35" s="14" t="n">
        <v>170.95</v>
      </c>
      <c r="T35" s="14" t="n">
        <v>144.31</v>
      </c>
      <c r="U35" s="14" t="n">
        <v>157.2</v>
      </c>
      <c r="V35" s="14" t="n">
        <v>145.87</v>
      </c>
      <c r="W35" s="14" t="n">
        <v>145.48</v>
      </c>
      <c r="X35" s="14" t="n">
        <v>146.77</v>
      </c>
      <c r="Y35" s="14" t="n">
        <v>147.63</v>
      </c>
      <c r="Z35" s="14" t="n">
        <v>134.45</v>
      </c>
      <c r="AA35" s="14" t="n">
        <v>124.9</v>
      </c>
      <c r="AB35" s="14" t="n">
        <v>126.79</v>
      </c>
      <c r="AC35" s="14" t="n">
        <v>101.33</v>
      </c>
      <c r="AD35" s="14" t="n">
        <v>116.81</v>
      </c>
      <c r="AE35" s="14" t="n">
        <v>117.46</v>
      </c>
    </row>
    <row r="36">
      <c r="A36" s="2" t="inlineStr">
        <is>
          <t>Nov</t>
        </is>
      </c>
      <c r="B36" s="13" t="n">
        <v>0.7</v>
      </c>
      <c r="C36" s="13" t="n">
        <v>0.86</v>
      </c>
      <c r="D36" s="13" t="n">
        <v>1.17</v>
      </c>
      <c r="E36" s="13" t="n">
        <v>2.29</v>
      </c>
      <c r="F36" s="13" t="n">
        <v>7.46</v>
      </c>
      <c r="G36" s="13" t="n">
        <v>21.86</v>
      </c>
      <c r="H36" s="13" t="n">
        <v>41.7</v>
      </c>
      <c r="I36" s="13" t="n">
        <v>60.4</v>
      </c>
      <c r="J36" s="13" t="n">
        <v>63.68</v>
      </c>
      <c r="K36" s="13" t="n">
        <v>22.17</v>
      </c>
      <c r="L36" s="13" t="n">
        <v>104.75</v>
      </c>
      <c r="M36" s="13" t="n">
        <v>57.23</v>
      </c>
      <c r="N36" s="13" t="n">
        <v>129.34</v>
      </c>
      <c r="O36" s="13" t="n">
        <v>109.64</v>
      </c>
      <c r="P36" s="13" t="n">
        <v>105.88</v>
      </c>
      <c r="Q36" s="13" t="n">
        <v>143.15</v>
      </c>
      <c r="R36" s="13" t="n">
        <v>147.98</v>
      </c>
      <c r="S36" s="13" t="n">
        <v>160.27</v>
      </c>
      <c r="T36" s="13" t="n">
        <v>127.42</v>
      </c>
      <c r="U36" s="13" t="n">
        <v>152.07</v>
      </c>
      <c r="V36" s="13" t="n">
        <v>141.1</v>
      </c>
      <c r="W36" s="13" t="n">
        <v>142.11</v>
      </c>
      <c r="X36" s="13" t="n">
        <v>135.69</v>
      </c>
      <c r="Y36" s="13" t="n">
        <v>133.19</v>
      </c>
      <c r="Z36" s="13" t="n">
        <v>129.61</v>
      </c>
      <c r="AA36" s="13" t="n">
        <v>120.63</v>
      </c>
      <c r="AB36" s="13" t="n">
        <v>121.39</v>
      </c>
      <c r="AC36" s="13" t="n">
        <v>95.65000000000001</v>
      </c>
      <c r="AD36" s="13" t="n">
        <v>110.45</v>
      </c>
      <c r="AE36" s="13" t="n">
        <v>112.29</v>
      </c>
    </row>
    <row r="37">
      <c r="A37" s="4" t="inlineStr">
        <is>
          <t>Dec</t>
        </is>
      </c>
      <c r="B37" s="14" t="n">
        <v>0.73</v>
      </c>
      <c r="C37" s="14" t="n">
        <v>0.89</v>
      </c>
      <c r="D37" s="14" t="n">
        <v>1.21</v>
      </c>
      <c r="E37" s="14" t="n">
        <v>2.37</v>
      </c>
      <c r="F37" s="14" t="n">
        <v>7.71</v>
      </c>
      <c r="G37" s="14" t="n">
        <v>24.79</v>
      </c>
      <c r="H37" s="14" t="n">
        <v>43.08</v>
      </c>
      <c r="I37" s="14" t="n">
        <v>44.17</v>
      </c>
      <c r="J37" s="14" t="n">
        <v>61.44</v>
      </c>
      <c r="K37" s="14" t="n">
        <v>24.7</v>
      </c>
      <c r="L37" s="14" t="n">
        <v>109.36</v>
      </c>
      <c r="M37" s="14" t="n">
        <v>59.03</v>
      </c>
      <c r="N37" s="14" t="n">
        <v>135.1</v>
      </c>
      <c r="O37" s="14" t="n">
        <v>124.25</v>
      </c>
      <c r="P37" s="14" t="n">
        <v>108.06</v>
      </c>
      <c r="Q37" s="14" t="n">
        <v>143.85</v>
      </c>
      <c r="R37" s="14" t="n">
        <v>147.64</v>
      </c>
      <c r="S37" s="14" t="n">
        <v>167.79</v>
      </c>
      <c r="T37" s="14" t="n">
        <v>132.85</v>
      </c>
      <c r="U37" s="14" t="n">
        <v>157.97</v>
      </c>
      <c r="V37" s="14" t="n">
        <v>153.76</v>
      </c>
      <c r="W37" s="14" t="n">
        <v>132.89</v>
      </c>
      <c r="X37" s="14" t="n">
        <v>138.01</v>
      </c>
      <c r="Y37" s="14" t="n">
        <v>174.87</v>
      </c>
      <c r="Z37" s="14" t="n">
        <v>259.14</v>
      </c>
      <c r="AA37" s="14" t="n">
        <v>137.68</v>
      </c>
      <c r="AB37" s="14" t="n">
        <v>156.69</v>
      </c>
      <c r="AC37" s="14" t="n">
        <v>128.93</v>
      </c>
      <c r="AD37" s="14" t="n">
        <v>157.41</v>
      </c>
      <c r="AE37" s="14" t="n">
        <v>162.99</v>
      </c>
    </row>
    <row r="38">
      <c r="A38" s="5" t="inlineStr">
        <is>
          <t xml:space="preserve">  Calendar-year Total</t>
        </is>
      </c>
      <c r="B38" s="12">
        <f>SUM(B26:B37)</f>
        <v/>
      </c>
      <c r="C38" s="12">
        <f>SUM(C26:C37)</f>
        <v/>
      </c>
      <c r="D38" s="12">
        <f>SUM(D26:D37)</f>
        <v/>
      </c>
      <c r="E38" s="12">
        <f>SUM(E26:E37)</f>
        <v/>
      </c>
      <c r="F38" s="12">
        <f>SUM(F26:F37)</f>
        <v/>
      </c>
      <c r="G38" s="12">
        <f>SUM(G26:G37)</f>
        <v/>
      </c>
      <c r="H38" s="12">
        <f>SUM(H26:H37)</f>
        <v/>
      </c>
      <c r="I38" s="12">
        <f>SUM(I26:I37)</f>
        <v/>
      </c>
      <c r="J38" s="12">
        <f>SUM(J26:J37)</f>
        <v/>
      </c>
      <c r="K38" s="12">
        <f>SUM(K26:K37)</f>
        <v/>
      </c>
      <c r="L38" s="12">
        <f>SUM(L26:L37)</f>
        <v/>
      </c>
      <c r="M38" s="12">
        <f>SUM(M26:M37)</f>
        <v/>
      </c>
      <c r="N38" s="12">
        <f>SUM(N26:N37)</f>
        <v/>
      </c>
      <c r="O38" s="12">
        <f>SUM(O26:O37)</f>
        <v/>
      </c>
      <c r="P38" s="12">
        <f>SUM(P26:P37)</f>
        <v/>
      </c>
      <c r="Q38" s="12">
        <f>SUM(Q26:Q37)</f>
        <v/>
      </c>
      <c r="R38" s="12">
        <f>SUM(R26:R37)</f>
        <v/>
      </c>
      <c r="S38" s="12">
        <f>SUM(S26:S37)</f>
        <v/>
      </c>
      <c r="T38" s="12">
        <f>SUM(T26:T37)</f>
        <v/>
      </c>
      <c r="U38" s="12">
        <f>SUM(U26:U37)</f>
        <v/>
      </c>
      <c r="V38" s="12">
        <f>SUM(V26:V37)</f>
        <v/>
      </c>
      <c r="W38" s="12">
        <f>SUM(W26:W37)</f>
        <v/>
      </c>
      <c r="X38" s="12">
        <f>SUM(X26:X37)</f>
        <v/>
      </c>
      <c r="Y38" s="12">
        <f>SUM(Y26:Y37)</f>
        <v/>
      </c>
      <c r="Z38" s="12">
        <f>SUM(Z26:Z37)</f>
        <v/>
      </c>
      <c r="AA38" s="12">
        <f>SUM(AA26:AA37)</f>
        <v/>
      </c>
      <c r="AB38" s="12">
        <f>SUM(AB26:AB37)</f>
        <v/>
      </c>
      <c r="AC38" s="12">
        <f>SUM(AC26:AC37)</f>
        <v/>
      </c>
      <c r="AD38" s="12">
        <f>SUM(AD26:AD37)</f>
        <v/>
      </c>
      <c r="AE38" s="12">
        <f>SUM(AE26:AE37)</f>
        <v/>
      </c>
    </row>
    <row r="40">
      <c r="A40" s="7" t="inlineStr">
        <is>
          <t>US BIODIESEL IMPORTS</t>
        </is>
      </c>
    </row>
    <row r="41">
      <c r="A41" s="8" t="inlineStr">
        <is>
          <t>(million gallons)</t>
        </is>
      </c>
      <c r="B41" s="1" t="n">
        <v>2001</v>
      </c>
      <c r="C41" s="1" t="n">
        <v>2002</v>
      </c>
      <c r="D41" s="1" t="n">
        <v>2003</v>
      </c>
      <c r="E41" s="1" t="n">
        <v>2004</v>
      </c>
      <c r="F41" s="1" t="n">
        <v>2005</v>
      </c>
      <c r="G41" s="1" t="n">
        <v>2006</v>
      </c>
      <c r="H41" s="1" t="n">
        <v>2007</v>
      </c>
      <c r="I41" s="1" t="n">
        <v>2008</v>
      </c>
      <c r="J41" s="1" t="n">
        <v>2009</v>
      </c>
      <c r="K41" s="1" t="n">
        <v>2010</v>
      </c>
      <c r="L41" s="1" t="n">
        <v>2011</v>
      </c>
      <c r="M41" s="1" t="n">
        <v>2012</v>
      </c>
      <c r="N41" s="1" t="n">
        <v>2013</v>
      </c>
      <c r="O41" s="1" t="n">
        <v>2014</v>
      </c>
      <c r="P41" s="1" t="n">
        <v>2015</v>
      </c>
      <c r="Q41" s="1" t="n">
        <v>2016</v>
      </c>
      <c r="R41" s="1" t="n">
        <v>2017</v>
      </c>
      <c r="S41" s="1" t="n">
        <v>2018</v>
      </c>
      <c r="T41" s="1" t="n">
        <v>2019</v>
      </c>
      <c r="U41" s="1" t="n">
        <v>2020</v>
      </c>
      <c r="V41" s="1" t="n">
        <v>2021</v>
      </c>
      <c r="W41" s="1" t="n">
        <v>2022</v>
      </c>
      <c r="X41" s="1" t="n">
        <v>2023</v>
      </c>
      <c r="Y41" s="1" t="n">
        <v>2024</v>
      </c>
      <c r="Z41" s="1" t="n">
        <v>2025</v>
      </c>
      <c r="AA41" s="1" t="n">
        <v>2026</v>
      </c>
      <c r="AB41" s="1" t="n">
        <v>2027</v>
      </c>
      <c r="AC41" s="1" t="n">
        <v>2028</v>
      </c>
      <c r="AD41" s="1" t="n">
        <v>2029</v>
      </c>
      <c r="AE41" s="1" t="n">
        <v>2030</v>
      </c>
    </row>
    <row r="42">
      <c r="A42" s="2" t="inlineStr">
        <is>
          <t>Jan</t>
        </is>
      </c>
      <c r="B42" s="13" t="n"/>
      <c r="C42" s="13" t="n">
        <v>0.33</v>
      </c>
      <c r="D42" s="13" t="n">
        <v>0.34</v>
      </c>
      <c r="E42" s="13" t="n">
        <v>0.25</v>
      </c>
      <c r="F42" s="13" t="n">
        <v>0.35</v>
      </c>
      <c r="G42" s="13" t="n">
        <v>0.54</v>
      </c>
      <c r="H42" s="13" t="n">
        <v>5.84</v>
      </c>
      <c r="I42" s="13" t="n">
        <v>14.73</v>
      </c>
      <c r="J42" s="13" t="n">
        <v>6.42</v>
      </c>
      <c r="K42" s="13" t="n">
        <v>1</v>
      </c>
      <c r="L42" s="13" t="n">
        <v>1.63</v>
      </c>
      <c r="M42" s="13" t="n">
        <v>1.14</v>
      </c>
      <c r="N42" s="13" t="n">
        <v>0.42269515785</v>
      </c>
      <c r="O42" s="13" t="n">
        <v>7.433347262355</v>
      </c>
      <c r="P42" s="13" t="n">
        <v>18.9613383799175</v>
      </c>
      <c r="Q42" s="13" t="n">
        <v>6.89104478048</v>
      </c>
      <c r="R42" s="13" t="n">
        <v>3.21090358176</v>
      </c>
      <c r="S42" s="13" t="n">
        <v>8.277517107334999</v>
      </c>
      <c r="T42" s="13" t="n">
        <v>9.571556071105</v>
      </c>
      <c r="U42" s="13" t="n">
        <v>9.310670601469999</v>
      </c>
      <c r="V42" s="13" t="n">
        <v>7.41925190041</v>
      </c>
      <c r="W42" s="13" t="n">
        <v>15.58240630772</v>
      </c>
      <c r="X42" s="13" t="n">
        <v>30.63070937808</v>
      </c>
      <c r="Y42" s="13" t="n">
        <v>38.7374560174175</v>
      </c>
      <c r="Z42" s="13" t="n">
        <v>2.3480369539725</v>
      </c>
      <c r="AA42" s="13" t="n">
        <v>0.82764731686</v>
      </c>
      <c r="AB42" s="13" t="n">
        <v>14.19</v>
      </c>
      <c r="AC42" s="13" t="n">
        <v>15.73</v>
      </c>
      <c r="AD42" s="13" t="n">
        <v>15.44</v>
      </c>
      <c r="AE42" s="13" t="n">
        <v>16.11</v>
      </c>
    </row>
    <row r="43">
      <c r="A43" s="4" t="inlineStr">
        <is>
          <t>Feb</t>
        </is>
      </c>
      <c r="B43" s="14" t="n"/>
      <c r="C43" s="14" t="n">
        <v>0.6899999999999999</v>
      </c>
      <c r="D43" s="14" t="n">
        <v>0.06</v>
      </c>
      <c r="E43" s="14" t="n">
        <v>0.45</v>
      </c>
      <c r="F43" s="14" t="n">
        <v>0.8</v>
      </c>
      <c r="G43" s="14" t="n">
        <v>0.47</v>
      </c>
      <c r="H43" s="14" t="n">
        <v>3.64</v>
      </c>
      <c r="I43" s="14" t="n">
        <v>20.63</v>
      </c>
      <c r="J43" s="14" t="n">
        <v>3.88</v>
      </c>
      <c r="K43" s="14" t="n">
        <v>0.77</v>
      </c>
      <c r="L43" s="14" t="n">
        <v>5.75</v>
      </c>
      <c r="M43" s="14" t="n">
        <v>1.71</v>
      </c>
      <c r="N43" s="14" t="n">
        <v>1.683022312755</v>
      </c>
      <c r="O43" s="14" t="n">
        <v>5.9243759323175</v>
      </c>
      <c r="P43" s="14" t="n">
        <v>15.66703766502</v>
      </c>
      <c r="Q43" s="14" t="n">
        <v>7.2817138340625</v>
      </c>
      <c r="R43" s="14" t="n">
        <v>19.05274143129</v>
      </c>
      <c r="S43" s="14" t="n">
        <v>8.478095950729999</v>
      </c>
      <c r="T43" s="14" t="n">
        <v>7.65167180456</v>
      </c>
      <c r="U43" s="14" t="n">
        <v>12.311662804735</v>
      </c>
      <c r="V43" s="14" t="n">
        <v>8.18047517238</v>
      </c>
      <c r="W43" s="14" t="n">
        <v>4.140804257275</v>
      </c>
      <c r="X43" s="14" t="n">
        <v>28.39026318023</v>
      </c>
      <c r="Y43" s="14" t="n">
        <v>41.4961056558825</v>
      </c>
      <c r="Z43" s="14" t="n">
        <v>5.04983477271</v>
      </c>
      <c r="AA43" s="14" t="n">
        <v>0.095658933265</v>
      </c>
      <c r="AB43" s="14" t="n">
        <v>15</v>
      </c>
      <c r="AC43" s="14" t="n">
        <v>17.71</v>
      </c>
      <c r="AD43" s="14" t="n">
        <v>17.74</v>
      </c>
      <c r="AE43" s="14" t="n">
        <v>17.49</v>
      </c>
    </row>
    <row r="44">
      <c r="A44" s="2" t="inlineStr">
        <is>
          <t>Mar</t>
        </is>
      </c>
      <c r="B44" s="13" t="n"/>
      <c r="C44" s="13" t="n">
        <v>1.04</v>
      </c>
      <c r="D44" s="13" t="n">
        <v>0.1</v>
      </c>
      <c r="E44" s="13" t="n">
        <v>0.1</v>
      </c>
      <c r="F44" s="13" t="n">
        <v>0.31</v>
      </c>
      <c r="G44" s="13" t="n">
        <v>0.97</v>
      </c>
      <c r="H44" s="13" t="n">
        <v>2.8</v>
      </c>
      <c r="I44" s="13" t="n">
        <v>6.74</v>
      </c>
      <c r="J44" s="13" t="n">
        <v>9.44</v>
      </c>
      <c r="K44" s="13" t="n">
        <v>1.47</v>
      </c>
      <c r="L44" s="13" t="n">
        <v>1.14</v>
      </c>
      <c r="M44" s="13" t="n">
        <v>0.6</v>
      </c>
      <c r="N44" s="13" t="n">
        <v>14.375434834215</v>
      </c>
      <c r="O44" s="13" t="n">
        <v>7.6743269127</v>
      </c>
      <c r="P44" s="13" t="n">
        <v>12.535215525805</v>
      </c>
      <c r="Q44" s="13" t="n">
        <v>21.7198255792175</v>
      </c>
      <c r="R44" s="13" t="n">
        <v>26.297493817595</v>
      </c>
      <c r="S44" s="13" t="n">
        <v>11.203900716015</v>
      </c>
      <c r="T44" s="13" t="n">
        <v>17.8409952060725</v>
      </c>
      <c r="U44" s="13" t="n">
        <v>10.9084284862</v>
      </c>
      <c r="V44" s="13" t="n">
        <v>10.96690668192</v>
      </c>
      <c r="W44" s="13" t="n">
        <v>24.218003197885</v>
      </c>
      <c r="X44" s="13" t="n">
        <v>33.8756499156775</v>
      </c>
      <c r="Y44" s="13" t="n">
        <v>26.57138914836</v>
      </c>
      <c r="Z44" s="13" t="n">
        <v>3.445481546045</v>
      </c>
      <c r="AA44" s="13" t="n">
        <v>0.126262927665</v>
      </c>
      <c r="AB44" s="13" t="n">
        <v>12.89</v>
      </c>
      <c r="AC44" s="13" t="n">
        <v>13.25</v>
      </c>
      <c r="AD44" s="13" t="n">
        <v>12.48</v>
      </c>
      <c r="AE44" s="13" t="n">
        <v>14.41</v>
      </c>
    </row>
    <row r="45">
      <c r="A45" s="4" t="inlineStr">
        <is>
          <t>Apr</t>
        </is>
      </c>
      <c r="B45" s="14" t="n"/>
      <c r="C45" s="14" t="n">
        <v>0.24</v>
      </c>
      <c r="D45" s="14" t="n">
        <v>0.1</v>
      </c>
      <c r="E45" s="14" t="n">
        <v>0.38</v>
      </c>
      <c r="F45" s="14" t="n">
        <v>0.42</v>
      </c>
      <c r="G45" s="14" t="n">
        <v>0.41</v>
      </c>
      <c r="H45" s="14" t="n">
        <v>4.42</v>
      </c>
      <c r="I45" s="14" t="n">
        <v>16.93</v>
      </c>
      <c r="J45" s="14" t="n">
        <v>1.27</v>
      </c>
      <c r="K45" s="14" t="n">
        <v>1.1</v>
      </c>
      <c r="L45" s="14" t="n">
        <v>1.71</v>
      </c>
      <c r="M45" s="14" t="n">
        <v>0.76</v>
      </c>
      <c r="N45" s="14" t="n">
        <v>11.21676407292</v>
      </c>
      <c r="O45" s="14" t="n">
        <v>5.06253442023</v>
      </c>
      <c r="P45" s="14" t="n">
        <v>10.935163325765</v>
      </c>
      <c r="Q45" s="14" t="n">
        <v>36.86155615471</v>
      </c>
      <c r="R45" s="14" t="n">
        <v>23.4083896210325</v>
      </c>
      <c r="S45" s="14" t="n">
        <v>9.66386989806</v>
      </c>
      <c r="T45" s="14" t="n">
        <v>14.21481108901</v>
      </c>
      <c r="U45" s="14" t="n">
        <v>19.316997504945</v>
      </c>
      <c r="V45" s="14" t="n">
        <v>15.880805464545</v>
      </c>
      <c r="W45" s="14" t="n">
        <v>16.95473042907</v>
      </c>
      <c r="X45" s="14" t="n">
        <v>30.92726599802</v>
      </c>
      <c r="Y45" s="14" t="n">
        <v>47.612793785655</v>
      </c>
      <c r="Z45" s="14" t="n">
        <v>1.00667678916</v>
      </c>
      <c r="AA45" s="14" t="n">
        <v>17.59</v>
      </c>
      <c r="AB45" s="14" t="n">
        <v>18.39</v>
      </c>
      <c r="AC45" s="14" t="n">
        <v>19.77</v>
      </c>
      <c r="AD45" s="14" t="n">
        <v>20.05</v>
      </c>
      <c r="AE45" s="14" t="n">
        <v>21.29</v>
      </c>
    </row>
    <row r="46">
      <c r="A46" s="2" t="inlineStr">
        <is>
          <t>May</t>
        </is>
      </c>
      <c r="B46" s="13" t="n"/>
      <c r="C46" s="13" t="n">
        <v>0.39</v>
      </c>
      <c r="D46" s="13" t="n">
        <v>0.09</v>
      </c>
      <c r="E46" s="13" t="n">
        <v>0.08</v>
      </c>
      <c r="F46" s="13" t="n">
        <v>0.18</v>
      </c>
      <c r="G46" s="13" t="n">
        <v>1.85</v>
      </c>
      <c r="H46" s="13" t="n">
        <v>2.71</v>
      </c>
      <c r="I46" s="13" t="n">
        <v>12.64</v>
      </c>
      <c r="J46" s="13" t="n">
        <v>2.87</v>
      </c>
      <c r="K46" s="13" t="n">
        <v>1.97</v>
      </c>
      <c r="L46" s="13" t="n">
        <v>0.6</v>
      </c>
      <c r="M46" s="13" t="n">
        <v>1.79</v>
      </c>
      <c r="N46" s="13" t="n">
        <v>16.175919066405</v>
      </c>
      <c r="O46" s="13" t="n">
        <v>3.561043542945</v>
      </c>
      <c r="P46" s="13" t="n">
        <v>10.964171640905</v>
      </c>
      <c r="Q46" s="13" t="n">
        <v>40.2481827094725</v>
      </c>
      <c r="R46" s="13" t="n">
        <v>32.28620746673</v>
      </c>
      <c r="S46" s="13" t="n">
        <v>10.09595388102</v>
      </c>
      <c r="T46" s="13" t="n">
        <v>9.811552530535</v>
      </c>
      <c r="U46" s="13" t="n">
        <v>15.07840395229</v>
      </c>
      <c r="V46" s="13" t="n">
        <v>9.916697707559999</v>
      </c>
      <c r="W46" s="13" t="n">
        <v>10.027007999435</v>
      </c>
      <c r="X46" s="13" t="n">
        <v>27.38284312876</v>
      </c>
      <c r="Y46" s="13" t="n">
        <v>28.9494181185825</v>
      </c>
      <c r="Z46" s="13" t="n">
        <v>0.48107472189</v>
      </c>
      <c r="AA46" s="13" t="n">
        <v>11.46</v>
      </c>
      <c r="AB46" s="13" t="n">
        <v>12.01</v>
      </c>
      <c r="AC46" s="13" t="n">
        <v>13.37</v>
      </c>
      <c r="AD46" s="13" t="n">
        <v>12.95</v>
      </c>
      <c r="AE46" s="13" t="n">
        <v>14.04</v>
      </c>
    </row>
    <row r="47">
      <c r="A47" s="4" t="inlineStr">
        <is>
          <t>Jun</t>
        </is>
      </c>
      <c r="B47" s="14" t="n"/>
      <c r="C47" s="14" t="n">
        <v>0.43</v>
      </c>
      <c r="D47" s="14" t="n">
        <v>0.09</v>
      </c>
      <c r="E47" s="14" t="n">
        <v>0.14</v>
      </c>
      <c r="F47" s="14" t="n">
        <v>0.52</v>
      </c>
      <c r="G47" s="14" t="n">
        <v>3.61</v>
      </c>
      <c r="H47" s="14" t="n">
        <v>8.960000000000001</v>
      </c>
      <c r="I47" s="14" t="n">
        <v>12.6</v>
      </c>
      <c r="J47" s="14" t="n">
        <v>3.4</v>
      </c>
      <c r="K47" s="14" t="n">
        <v>1.34</v>
      </c>
      <c r="L47" s="14" t="n">
        <v>0.76</v>
      </c>
      <c r="M47" s="14" t="n">
        <v>3.14</v>
      </c>
      <c r="N47" s="14" t="n">
        <v>22.833162716945</v>
      </c>
      <c r="O47" s="14" t="n">
        <v>6.5303054707625</v>
      </c>
      <c r="P47" s="14" t="n">
        <v>22.81182991234</v>
      </c>
      <c r="Q47" s="14" t="n">
        <v>52.15750537977</v>
      </c>
      <c r="R47" s="14" t="n">
        <v>59.8845050206725</v>
      </c>
      <c r="S47" s="14" t="n">
        <v>8.9407043467</v>
      </c>
      <c r="T47" s="14" t="n">
        <v>9.7626987451</v>
      </c>
      <c r="U47" s="14" t="n">
        <v>13.92652655408</v>
      </c>
      <c r="V47" s="14" t="n">
        <v>14.508396801325</v>
      </c>
      <c r="W47" s="14" t="n">
        <v>11.518630247075</v>
      </c>
      <c r="X47" s="14" t="n">
        <v>32.013808367835</v>
      </c>
      <c r="Y47" s="14" t="n">
        <v>22.976505457675</v>
      </c>
      <c r="Z47" s="14" t="n">
        <v>0.47637925734</v>
      </c>
      <c r="AA47" s="14" t="n">
        <v>12.3</v>
      </c>
      <c r="AB47" s="14" t="n">
        <v>12.52</v>
      </c>
      <c r="AC47" s="14" t="n">
        <v>13.87</v>
      </c>
      <c r="AD47" s="14" t="n">
        <v>12.84</v>
      </c>
      <c r="AE47" s="14" t="n">
        <v>14.62</v>
      </c>
    </row>
    <row r="48">
      <c r="A48" s="2" t="inlineStr">
        <is>
          <t>Jul</t>
        </is>
      </c>
      <c r="B48" s="13" t="n"/>
      <c r="C48" s="13" t="n">
        <v>0.52</v>
      </c>
      <c r="D48" s="13" t="n">
        <v>0.1</v>
      </c>
      <c r="E48" s="13" t="n">
        <v>0.17</v>
      </c>
      <c r="F48" s="13" t="n">
        <v>0.24</v>
      </c>
      <c r="G48" s="13" t="n">
        <v>1.83</v>
      </c>
      <c r="H48" s="13" t="n">
        <v>6.63</v>
      </c>
      <c r="I48" s="13" t="n">
        <v>12.96</v>
      </c>
      <c r="J48" s="13" t="n">
        <v>1.42</v>
      </c>
      <c r="K48" s="13" t="n">
        <v>0.79</v>
      </c>
      <c r="L48" s="13" t="n">
        <v>1.79</v>
      </c>
      <c r="M48" s="13" t="n">
        <v>3.95</v>
      </c>
      <c r="N48" s="13" t="n">
        <v>11.34046073027</v>
      </c>
      <c r="O48" s="13" t="n">
        <v>16.5405547714575</v>
      </c>
      <c r="P48" s="13" t="n">
        <v>39.2844021331475</v>
      </c>
      <c r="Q48" s="13" t="n">
        <v>57.1774525975275</v>
      </c>
      <c r="R48" s="13" t="n">
        <v>57.60116282144</v>
      </c>
      <c r="S48" s="13" t="n">
        <v>4.595013570315</v>
      </c>
      <c r="T48" s="13" t="n">
        <v>12.24328620445</v>
      </c>
      <c r="U48" s="13" t="n">
        <v>11.427975732285</v>
      </c>
      <c r="V48" s="13" t="n">
        <v>10.15120562764</v>
      </c>
      <c r="W48" s="13" t="n">
        <v>7.554056290025</v>
      </c>
      <c r="X48" s="13" t="n">
        <v>24.096587675055</v>
      </c>
      <c r="Y48" s="13" t="n">
        <v>19.9176110981925</v>
      </c>
      <c r="Z48" s="13" t="n">
        <v>0.0157586142</v>
      </c>
      <c r="AA48" s="13" t="n">
        <v>9.56</v>
      </c>
      <c r="AB48" s="13" t="n">
        <v>9.69</v>
      </c>
      <c r="AC48" s="13" t="n">
        <v>10.67</v>
      </c>
      <c r="AD48" s="13" t="n">
        <v>10.11</v>
      </c>
      <c r="AE48" s="13" t="n">
        <v>11.36</v>
      </c>
    </row>
    <row r="49">
      <c r="A49" s="4" t="inlineStr">
        <is>
          <t>Aug</t>
        </is>
      </c>
      <c r="B49" s="14" t="n"/>
      <c r="C49" s="14" t="n">
        <v>0.17</v>
      </c>
      <c r="D49" s="14" t="n">
        <v>0.23</v>
      </c>
      <c r="E49" s="14" t="n">
        <v>0.09</v>
      </c>
      <c r="F49" s="14" t="n">
        <v>0.9399999999999999</v>
      </c>
      <c r="G49" s="14" t="n">
        <v>2.29</v>
      </c>
      <c r="H49" s="14" t="n">
        <v>10.06</v>
      </c>
      <c r="I49" s="14" t="n">
        <v>22.32</v>
      </c>
      <c r="J49" s="14" t="n">
        <v>3.09</v>
      </c>
      <c r="K49" s="14" t="n">
        <v>1.28</v>
      </c>
      <c r="L49" s="14" t="n">
        <v>3.14</v>
      </c>
      <c r="M49" s="14" t="n">
        <v>1.31</v>
      </c>
      <c r="N49" s="14" t="n">
        <v>16.605963873695</v>
      </c>
      <c r="O49" s="14" t="n">
        <v>19.157508862345</v>
      </c>
      <c r="P49" s="14" t="n">
        <v>30.51693763587</v>
      </c>
      <c r="Q49" s="14" t="n">
        <v>62.0937905456925</v>
      </c>
      <c r="R49" s="14" t="n">
        <v>52.8007688519675</v>
      </c>
      <c r="S49" s="14" t="n">
        <v>8.783989757724999</v>
      </c>
      <c r="T49" s="14" t="n">
        <v>7.36663300079</v>
      </c>
      <c r="U49" s="14" t="n">
        <v>8.5937883897425</v>
      </c>
      <c r="V49" s="14" t="n">
        <v>8.600459435435001</v>
      </c>
      <c r="W49" s="14" t="n">
        <v>12.83434846344</v>
      </c>
      <c r="X49" s="14" t="n">
        <v>30.4253862065475</v>
      </c>
      <c r="Y49" s="14" t="n">
        <v>18.51532213713</v>
      </c>
      <c r="Z49" s="14" t="n">
        <v>0.01878519328</v>
      </c>
      <c r="AA49" s="14" t="n">
        <v>13.13</v>
      </c>
      <c r="AB49" s="14" t="n">
        <v>14.02</v>
      </c>
      <c r="AC49" s="14" t="n">
        <v>15.6</v>
      </c>
      <c r="AD49" s="14" t="n">
        <v>15.03</v>
      </c>
      <c r="AE49" s="14" t="n">
        <v>15.87</v>
      </c>
    </row>
    <row r="50">
      <c r="A50" s="2" t="inlineStr">
        <is>
          <t>Sep</t>
        </is>
      </c>
      <c r="B50" s="13" t="n"/>
      <c r="C50" s="13" t="n">
        <v>0.17</v>
      </c>
      <c r="D50" s="13" t="n">
        <v>0.35</v>
      </c>
      <c r="E50" s="13" t="n">
        <v>0.22</v>
      </c>
      <c r="F50" s="13" t="n">
        <v>0.28</v>
      </c>
      <c r="G50" s="13" t="n">
        <v>2.17</v>
      </c>
      <c r="H50" s="13" t="n">
        <v>7.37</v>
      </c>
      <c r="I50" s="13" t="n">
        <v>22.36</v>
      </c>
      <c r="J50" s="13" t="n">
        <v>3.02</v>
      </c>
      <c r="K50" s="13" t="n">
        <v>1.69</v>
      </c>
      <c r="L50" s="13" t="n">
        <v>3.95</v>
      </c>
      <c r="M50" s="13" t="n">
        <v>2.57</v>
      </c>
      <c r="N50" s="13" t="n">
        <v>22.94248658667</v>
      </c>
      <c r="O50" s="13" t="n">
        <v>11.87584704033</v>
      </c>
      <c r="P50" s="13" t="n">
        <v>31.5692050461375</v>
      </c>
      <c r="Q50" s="13" t="n">
        <v>60.0111268667575</v>
      </c>
      <c r="R50" s="13" t="n">
        <v>7.377691034945</v>
      </c>
      <c r="S50" s="13" t="n">
        <v>8.870086420650001</v>
      </c>
      <c r="T50" s="13" t="n">
        <v>9.565057547325001</v>
      </c>
      <c r="U50" s="13" t="n">
        <v>11.869277120855</v>
      </c>
      <c r="V50" s="13" t="n">
        <v>13.34786442052</v>
      </c>
      <c r="W50" s="13" t="n">
        <v>15.001203537005</v>
      </c>
      <c r="X50" s="13" t="n">
        <v>42.3298128672825</v>
      </c>
      <c r="Y50" s="13" t="n">
        <v>20.22242560422</v>
      </c>
      <c r="Z50" s="13" t="n">
        <v>0.031180561405</v>
      </c>
      <c r="AA50" s="13" t="n">
        <v>16.97</v>
      </c>
      <c r="AB50" s="13" t="n">
        <v>17.97</v>
      </c>
      <c r="AC50" s="13" t="n">
        <v>20.25</v>
      </c>
      <c r="AD50" s="13" t="n">
        <v>19.54</v>
      </c>
      <c r="AE50" s="13" t="n">
        <v>20.59</v>
      </c>
    </row>
    <row r="51">
      <c r="A51" s="4" t="inlineStr">
        <is>
          <t>Oct</t>
        </is>
      </c>
      <c r="B51" s="14" t="n"/>
      <c r="C51" s="14" t="n">
        <v>0.21</v>
      </c>
      <c r="D51" s="14" t="n">
        <v>0.07000000000000001</v>
      </c>
      <c r="E51" s="14" t="n">
        <v>0.24</v>
      </c>
      <c r="F51" s="14" t="n">
        <v>0.2</v>
      </c>
      <c r="G51" s="14" t="n">
        <v>2.48</v>
      </c>
      <c r="H51" s="14" t="n">
        <v>10.53</v>
      </c>
      <c r="I51" s="14" t="n">
        <v>17.75</v>
      </c>
      <c r="J51" s="14" t="n">
        <v>3.91</v>
      </c>
      <c r="K51" s="14" t="n">
        <v>0.44</v>
      </c>
      <c r="L51" s="14" t="n">
        <v>1.31</v>
      </c>
      <c r="M51" s="14" t="n">
        <v>1.43</v>
      </c>
      <c r="N51" s="14" t="n">
        <v>37.23076510251</v>
      </c>
      <c r="O51" s="14" t="n">
        <v>20.58716702875</v>
      </c>
      <c r="P51" s="14" t="n">
        <v>29.21431513336</v>
      </c>
      <c r="Q51" s="14" t="n">
        <v>61.3073982527125</v>
      </c>
      <c r="R51" s="14" t="n">
        <v>11.50404242204</v>
      </c>
      <c r="S51" s="14" t="n">
        <v>14.77958974205</v>
      </c>
      <c r="T51" s="14" t="n">
        <v>10.57202593776</v>
      </c>
      <c r="U51" s="14" t="n">
        <v>14.432984803125</v>
      </c>
      <c r="V51" s="14" t="n">
        <v>13.608596849715</v>
      </c>
      <c r="W51" s="14" t="n">
        <v>14.361834820445</v>
      </c>
      <c r="X51" s="14" t="n">
        <v>38.077968959765</v>
      </c>
      <c r="Y51" s="14" t="n">
        <v>16.159692300885</v>
      </c>
      <c r="Z51" s="14" t="n">
        <v>5.658317594825</v>
      </c>
      <c r="AA51" s="14" t="n">
        <v>17.59</v>
      </c>
      <c r="AB51" s="14" t="n">
        <v>18.49</v>
      </c>
      <c r="AC51" s="14" t="n">
        <v>19.93</v>
      </c>
      <c r="AD51" s="14" t="n">
        <v>20.18</v>
      </c>
      <c r="AE51" s="14" t="n">
        <v>21.15</v>
      </c>
    </row>
    <row r="52">
      <c r="A52" s="2" t="inlineStr">
        <is>
          <t>Nov</t>
        </is>
      </c>
      <c r="B52" s="13" t="n"/>
      <c r="C52" s="13" t="n">
        <v>0.27</v>
      </c>
      <c r="D52" s="13" t="n">
        <v>0.7</v>
      </c>
      <c r="E52" s="13" t="n">
        <v>0.16</v>
      </c>
      <c r="F52" s="13" t="n">
        <v>0.57</v>
      </c>
      <c r="G52" s="13" t="n">
        <v>4.61</v>
      </c>
      <c r="H52" s="13" t="n">
        <v>6.03</v>
      </c>
      <c r="I52" s="13" t="n">
        <v>15.05</v>
      </c>
      <c r="J52" s="13" t="n">
        <v>2.59</v>
      </c>
      <c r="K52" s="13" t="n">
        <v>0.74</v>
      </c>
      <c r="L52" s="13" t="n">
        <v>2.57</v>
      </c>
      <c r="M52" s="13" t="n">
        <v>0.21</v>
      </c>
      <c r="N52" s="13" t="n">
        <v>48.8170449919775</v>
      </c>
      <c r="O52" s="13" t="n">
        <v>29.5563466263625</v>
      </c>
      <c r="P52" s="13" t="n">
        <v>23.7360169433975</v>
      </c>
      <c r="Q52" s="13" t="n">
        <v>74.08212661522749</v>
      </c>
      <c r="R52" s="13" t="n">
        <v>7.348694522015</v>
      </c>
      <c r="S52" s="13" t="n">
        <v>15.37215306396</v>
      </c>
      <c r="T52" s="13" t="n">
        <v>12.162201474465</v>
      </c>
      <c r="U52" s="13" t="n">
        <v>18.435599143185</v>
      </c>
      <c r="V52" s="13" t="n">
        <v>21.34765759448</v>
      </c>
      <c r="W52" s="13" t="n">
        <v>27.3279444558925</v>
      </c>
      <c r="X52" s="13" t="n">
        <v>35.729895043745</v>
      </c>
      <c r="Y52" s="13" t="n">
        <v>17.61709932017</v>
      </c>
      <c r="Z52" s="13" t="n">
        <v>4.26928513655</v>
      </c>
      <c r="AA52" s="13" t="n">
        <v>22.61</v>
      </c>
      <c r="AB52" s="13" t="n">
        <v>23.57</v>
      </c>
      <c r="AC52" s="13" t="n">
        <v>25.18</v>
      </c>
      <c r="AD52" s="13" t="n">
        <v>25.67</v>
      </c>
      <c r="AE52" s="13" t="n">
        <v>26.9</v>
      </c>
    </row>
    <row r="53">
      <c r="A53" s="4" t="inlineStr">
        <is>
          <t>Dec</t>
        </is>
      </c>
      <c r="B53" s="14" t="n"/>
      <c r="C53" s="14" t="n">
        <v>0.25</v>
      </c>
      <c r="D53" s="14" t="n">
        <v>0.08</v>
      </c>
      <c r="E53" s="14" t="n">
        <v>0.11</v>
      </c>
      <c r="F53" s="14" t="n">
        <v>0.26</v>
      </c>
      <c r="G53" s="14" t="n">
        <v>5.07</v>
      </c>
      <c r="H53" s="14" t="n">
        <v>13.27</v>
      </c>
      <c r="I53" s="14" t="n">
        <v>9.94</v>
      </c>
      <c r="J53" s="14" t="n">
        <v>4.07</v>
      </c>
      <c r="K53" s="14" t="n">
        <v>0.84</v>
      </c>
      <c r="L53" s="14" t="n">
        <v>1.43</v>
      </c>
      <c r="M53" s="14" t="n">
        <v>1.69</v>
      </c>
      <c r="N53" s="14" t="n">
        <v>61.4241064967425</v>
      </c>
      <c r="O53" s="14" t="n">
        <v>18.12976512081</v>
      </c>
      <c r="P53" s="14" t="n">
        <v>36.68157048969</v>
      </c>
      <c r="Q53" s="14" t="n">
        <v>88.094058508225</v>
      </c>
      <c r="R53" s="14" t="n">
        <v>16.51979919681</v>
      </c>
      <c r="S53" s="14" t="n">
        <v>18.751289252535</v>
      </c>
      <c r="T53" s="14" t="n">
        <v>17.38115583176</v>
      </c>
      <c r="U53" s="14" t="n">
        <v>9.421399463945001</v>
      </c>
      <c r="V53" s="14" t="n">
        <v>21.14153857067</v>
      </c>
      <c r="W53" s="14" t="n">
        <v>20.68962433146</v>
      </c>
      <c r="X53" s="14" t="n">
        <v>36.390835307575</v>
      </c>
      <c r="Y53" s="14" t="n">
        <v>22.42011739184</v>
      </c>
      <c r="Z53" s="14" t="n">
        <v>3.09068840178</v>
      </c>
      <c r="AA53" s="14" t="n">
        <v>29.43</v>
      </c>
      <c r="AB53" s="14" t="n">
        <v>31.25</v>
      </c>
      <c r="AC53" s="14" t="n">
        <v>34.67</v>
      </c>
      <c r="AD53" s="14" t="n">
        <v>37.97</v>
      </c>
      <c r="AE53" s="14" t="n">
        <v>36.16</v>
      </c>
    </row>
    <row r="54">
      <c r="A54" s="5" t="inlineStr">
        <is>
          <t xml:space="preserve">  Calendar-year Total</t>
        </is>
      </c>
      <c r="B54" s="12">
        <f>SUM(B42:B53)</f>
        <v/>
      </c>
      <c r="C54" s="12">
        <f>SUM(C42:C53)</f>
        <v/>
      </c>
      <c r="D54" s="12">
        <f>SUM(D42:D53)</f>
        <v/>
      </c>
      <c r="E54" s="12">
        <f>SUM(E42:E53)</f>
        <v/>
      </c>
      <c r="F54" s="12">
        <f>SUM(F42:F53)</f>
        <v/>
      </c>
      <c r="G54" s="12">
        <f>SUM(G42:G53)</f>
        <v/>
      </c>
      <c r="H54" s="12">
        <f>SUM(H42:H53)</f>
        <v/>
      </c>
      <c r="I54" s="12">
        <f>SUM(I42:I53)</f>
        <v/>
      </c>
      <c r="J54" s="12">
        <f>SUM(J42:J53)</f>
        <v/>
      </c>
      <c r="K54" s="12">
        <f>SUM(K42:K53)</f>
        <v/>
      </c>
      <c r="L54" s="12">
        <f>SUM(L42:L53)</f>
        <v/>
      </c>
      <c r="M54" s="12">
        <f>SUM(M42:M53)</f>
        <v/>
      </c>
      <c r="N54" s="12">
        <f>SUM(N42:N53)</f>
        <v/>
      </c>
      <c r="O54" s="12">
        <f>SUM(O42:O53)</f>
        <v/>
      </c>
      <c r="P54" s="12">
        <f>SUM(P42:P53)</f>
        <v/>
      </c>
      <c r="Q54" s="12">
        <f>SUM(Q42:Q53)</f>
        <v/>
      </c>
      <c r="R54" s="12">
        <f>SUM(R42:R53)</f>
        <v/>
      </c>
      <c r="S54" s="12">
        <f>SUM(S42:S53)</f>
        <v/>
      </c>
      <c r="T54" s="12">
        <f>SUM(T42:T53)</f>
        <v/>
      </c>
      <c r="U54" s="12">
        <f>SUM(U42:U53)</f>
        <v/>
      </c>
      <c r="V54" s="12">
        <f>SUM(V42:V53)</f>
        <v/>
      </c>
      <c r="W54" s="12">
        <f>SUM(W42:W53)</f>
        <v/>
      </c>
      <c r="X54" s="12">
        <f>SUM(X42:X53)</f>
        <v/>
      </c>
      <c r="Y54" s="12">
        <f>SUM(Y42:Y53)</f>
        <v/>
      </c>
      <c r="Z54" s="12">
        <f>SUM(Z42:Z53)</f>
        <v/>
      </c>
      <c r="AA54" s="12">
        <f>SUM(AA42:AA53)</f>
        <v/>
      </c>
      <c r="AB54" s="12">
        <f>SUM(AB42:AB53)</f>
        <v/>
      </c>
      <c r="AC54" s="12">
        <f>SUM(AC42:AC53)</f>
        <v/>
      </c>
      <c r="AD54" s="12">
        <f>SUM(AD42:AD53)</f>
        <v/>
      </c>
      <c r="AE54" s="12">
        <f>SUM(AE42:AE53)</f>
        <v/>
      </c>
    </row>
    <row r="56">
      <c r="A56" s="7" t="inlineStr">
        <is>
          <t>US BIODIESEL EXPORTS</t>
        </is>
      </c>
    </row>
    <row r="57">
      <c r="A57" s="8" t="inlineStr">
        <is>
          <t>(million gallons)</t>
        </is>
      </c>
      <c r="B57" s="1" t="n">
        <v>2001</v>
      </c>
      <c r="C57" s="1" t="n">
        <v>2002</v>
      </c>
      <c r="D57" s="1" t="n">
        <v>2003</v>
      </c>
      <c r="E57" s="1" t="n">
        <v>2004</v>
      </c>
      <c r="F57" s="1" t="n">
        <v>2005</v>
      </c>
      <c r="G57" s="1" t="n">
        <v>2006</v>
      </c>
      <c r="H57" s="1" t="n">
        <v>2007</v>
      </c>
      <c r="I57" s="1" t="n">
        <v>2008</v>
      </c>
      <c r="J57" s="1" t="n">
        <v>2009</v>
      </c>
      <c r="K57" s="1" t="n">
        <v>2010</v>
      </c>
      <c r="L57" s="1" t="n">
        <v>2011</v>
      </c>
      <c r="M57" s="1" t="n">
        <v>2012</v>
      </c>
      <c r="N57" s="1" t="n">
        <v>2013</v>
      </c>
      <c r="O57" s="1" t="n">
        <v>2014</v>
      </c>
      <c r="P57" s="1" t="n">
        <v>2015</v>
      </c>
      <c r="Q57" s="1" t="n">
        <v>2016</v>
      </c>
      <c r="R57" s="1" t="n">
        <v>2017</v>
      </c>
      <c r="S57" s="1" t="n">
        <v>2018</v>
      </c>
      <c r="T57" s="1" t="n">
        <v>2019</v>
      </c>
      <c r="U57" s="1" t="n">
        <v>2020</v>
      </c>
      <c r="V57" s="1" t="n">
        <v>2021</v>
      </c>
      <c r="W57" s="1" t="n">
        <v>2022</v>
      </c>
      <c r="X57" s="1" t="n">
        <v>2023</v>
      </c>
      <c r="Y57" s="1" t="n">
        <v>2024</v>
      </c>
      <c r="Z57" s="1" t="n">
        <v>2025</v>
      </c>
      <c r="AA57" s="1" t="n">
        <v>2026</v>
      </c>
      <c r="AB57" s="1" t="n">
        <v>2027</v>
      </c>
      <c r="AC57" s="1" t="n">
        <v>2028</v>
      </c>
      <c r="AD57" s="1" t="n">
        <v>2029</v>
      </c>
      <c r="AE57" s="1" t="n">
        <v>2030</v>
      </c>
    </row>
    <row r="58">
      <c r="A58" s="2" t="inlineStr">
        <is>
          <t>Jan</t>
        </is>
      </c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>
        <v>11.48</v>
      </c>
      <c r="N58" s="13" t="n">
        <v>0.62582542323</v>
      </c>
      <c r="O58" s="13" t="n">
        <v>5.14094423997</v>
      </c>
      <c r="P58" s="13" t="n">
        <v>0.8413450088925</v>
      </c>
      <c r="Q58" s="13" t="n">
        <v>1.6243224899825</v>
      </c>
      <c r="R58" s="13" t="n">
        <v>1.6273742341675</v>
      </c>
      <c r="S58" s="13" t="n">
        <v>3.2282604480175</v>
      </c>
      <c r="T58" s="13" t="n">
        <v>3.273377310175</v>
      </c>
      <c r="U58" s="13" t="n">
        <v>1.2103746073475</v>
      </c>
      <c r="V58" s="13" t="n">
        <v>6.3590169358625</v>
      </c>
      <c r="W58" s="13" t="n">
        <v>8.006338884757501</v>
      </c>
      <c r="X58" s="13" t="n">
        <v>6.287505230195</v>
      </c>
      <c r="Y58" s="13" t="n">
        <v>4.031128053505</v>
      </c>
      <c r="Z58" s="13" t="n">
        <v>7.44936894905</v>
      </c>
      <c r="AA58" s="13" t="n">
        <v>1.047030774055</v>
      </c>
      <c r="AB58" s="13" t="n">
        <v>0.89</v>
      </c>
      <c r="AC58" s="13" t="n">
        <v>0</v>
      </c>
      <c r="AD58" s="13" t="n">
        <v>0</v>
      </c>
      <c r="AE58" s="13" t="n">
        <v>0</v>
      </c>
    </row>
    <row r="59">
      <c r="A59" s="4" t="inlineStr">
        <is>
          <t>Feb</t>
        </is>
      </c>
      <c r="B59" s="14" t="n"/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>
        <v>5.22</v>
      </c>
      <c r="N59" s="14" t="n">
        <v>1.431564667295</v>
      </c>
      <c r="O59" s="14" t="n">
        <v>5.38707879073</v>
      </c>
      <c r="P59" s="14" t="n">
        <v>0.89634241578</v>
      </c>
      <c r="Q59" s="14" t="n">
        <v>1.8789836694125</v>
      </c>
      <c r="R59" s="14" t="n">
        <v>2.2485060455025</v>
      </c>
      <c r="S59" s="14" t="n">
        <v>3.955160975185</v>
      </c>
      <c r="T59" s="14" t="n">
        <v>3.502530319855</v>
      </c>
      <c r="U59" s="14" t="n">
        <v>3.4166242915175</v>
      </c>
      <c r="V59" s="14" t="n">
        <v>4.6603983020875</v>
      </c>
      <c r="W59" s="14" t="n">
        <v>4.74218010217</v>
      </c>
      <c r="X59" s="14" t="n">
        <v>5.88659775417</v>
      </c>
      <c r="Y59" s="14" t="n">
        <v>8.160651359035</v>
      </c>
      <c r="Z59" s="14" t="n">
        <v>2.1323707986175</v>
      </c>
      <c r="AA59" s="14" t="n">
        <v>1.90872065363</v>
      </c>
      <c r="AB59" s="14" t="n">
        <v>0.77</v>
      </c>
      <c r="AC59" s="14" t="n">
        <v>0</v>
      </c>
      <c r="AD59" s="14" t="n">
        <v>0</v>
      </c>
      <c r="AE59" s="14" t="n">
        <v>0</v>
      </c>
    </row>
    <row r="60">
      <c r="A60" s="2" t="inlineStr">
        <is>
          <t>Mar</t>
        </is>
      </c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>
        <v>7.96</v>
      </c>
      <c r="N60" s="13" t="n">
        <v>6.7431352007775</v>
      </c>
      <c r="O60" s="13" t="n">
        <v>3.50103677441</v>
      </c>
      <c r="P60" s="13" t="n">
        <v>7.3017994331275</v>
      </c>
      <c r="Q60" s="13" t="n">
        <v>8.944830630785001</v>
      </c>
      <c r="R60" s="13" t="n">
        <v>5.226203463705</v>
      </c>
      <c r="S60" s="13" t="n">
        <v>9.8430439173325</v>
      </c>
      <c r="T60" s="13" t="n">
        <v>8.655058909035001</v>
      </c>
      <c r="U60" s="13" t="n">
        <v>8.623557541829999</v>
      </c>
      <c r="V60" s="13" t="n">
        <v>10.215108145865</v>
      </c>
      <c r="W60" s="13" t="n">
        <v>7.969563384265</v>
      </c>
      <c r="X60" s="13" t="n">
        <v>9.984336087285</v>
      </c>
      <c r="Y60" s="13" t="n">
        <v>12.098057670125</v>
      </c>
      <c r="Z60" s="13" t="n">
        <v>4.088491282015</v>
      </c>
      <c r="AA60" s="13" t="n">
        <v>7.68492100502</v>
      </c>
      <c r="AB60" s="13" t="n">
        <v>1.29</v>
      </c>
      <c r="AC60" s="13" t="n">
        <v>0</v>
      </c>
      <c r="AD60" s="13" t="n">
        <v>0</v>
      </c>
      <c r="AE60" s="13" t="n">
        <v>0</v>
      </c>
    </row>
    <row r="61">
      <c r="A61" s="4" t="inlineStr">
        <is>
          <t>Apr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4" t="n"/>
      <c r="M61" s="14" t="n">
        <v>9.65</v>
      </c>
      <c r="N61" s="14" t="n">
        <v>14.204393564795</v>
      </c>
      <c r="O61" s="14" t="n">
        <v>9.997026605475</v>
      </c>
      <c r="P61" s="14" t="n">
        <v>9.194477105064999</v>
      </c>
      <c r="Q61" s="14" t="n">
        <v>9.404584557970001</v>
      </c>
      <c r="R61" s="14" t="n">
        <v>10.8520466012175</v>
      </c>
      <c r="S61" s="14" t="n">
        <v>8.327969196750001</v>
      </c>
      <c r="T61" s="14" t="n">
        <v>14.167880208965</v>
      </c>
      <c r="U61" s="14" t="n">
        <v>19.940971769145</v>
      </c>
      <c r="V61" s="14" t="n">
        <v>18.9147074704525</v>
      </c>
      <c r="W61" s="14" t="n">
        <v>18.31352609037</v>
      </c>
      <c r="X61" s="14" t="n">
        <v>43.711756443705</v>
      </c>
      <c r="Y61" s="14" t="n">
        <v>16.405148262195</v>
      </c>
      <c r="Z61" s="14" t="n">
        <v>5.853139402355</v>
      </c>
      <c r="AA61" s="14" t="n">
        <v>8.6</v>
      </c>
      <c r="AB61" s="14" t="n">
        <v>3.55</v>
      </c>
      <c r="AC61" s="14" t="n">
        <v>0</v>
      </c>
      <c r="AD61" s="14" t="n">
        <v>0</v>
      </c>
      <c r="AE61" s="14" t="n">
        <v>0</v>
      </c>
    </row>
    <row r="62">
      <c r="A62" s="2" t="inlineStr">
        <is>
          <t>May</t>
        </is>
      </c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>
        <v>13.37</v>
      </c>
      <c r="N62" s="13" t="n">
        <v>21.561273530475</v>
      </c>
      <c r="O62" s="13" t="n">
        <v>7.94785019994</v>
      </c>
      <c r="P62" s="13" t="n">
        <v>9.7563411322125</v>
      </c>
      <c r="Q62" s="13" t="n">
        <v>12.8388608289375</v>
      </c>
      <c r="R62" s="13" t="n">
        <v>9.163366917459999</v>
      </c>
      <c r="S62" s="13" t="n">
        <v>15.0570599632775</v>
      </c>
      <c r="T62" s="13" t="n">
        <v>16.859305604575</v>
      </c>
      <c r="U62" s="13" t="n">
        <v>19.0085199448025</v>
      </c>
      <c r="V62" s="13" t="n">
        <v>21.59169480734</v>
      </c>
      <c r="W62" s="13" t="n">
        <v>23.18070872033</v>
      </c>
      <c r="X62" s="13" t="n">
        <v>29.0561461748425</v>
      </c>
      <c r="Y62" s="13" t="n">
        <v>19.2905783654675</v>
      </c>
      <c r="Z62" s="13" t="n">
        <v>8.464820663285</v>
      </c>
      <c r="AA62" s="13" t="n">
        <v>8.07</v>
      </c>
      <c r="AB62" s="13" t="n">
        <v>3.33</v>
      </c>
      <c r="AC62" s="13" t="n">
        <v>0</v>
      </c>
      <c r="AD62" s="13" t="n">
        <v>0</v>
      </c>
      <c r="AE62" s="13" t="n">
        <v>0</v>
      </c>
    </row>
    <row r="63">
      <c r="A63" s="4" t="inlineStr">
        <is>
          <t>Jun</t>
        </is>
      </c>
      <c r="B63" s="14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>
        <v>14.52</v>
      </c>
      <c r="N63" s="14" t="n">
        <v>22.4898287713575</v>
      </c>
      <c r="O63" s="14" t="n">
        <v>10.0854101046125</v>
      </c>
      <c r="P63" s="14" t="n">
        <v>9.950290151112499</v>
      </c>
      <c r="Q63" s="14" t="n">
        <v>8.436160781230001</v>
      </c>
      <c r="R63" s="14" t="n">
        <v>8.6534721867825</v>
      </c>
      <c r="S63" s="14" t="n">
        <v>10.420163405575</v>
      </c>
      <c r="T63" s="14" t="n">
        <v>11.489600621135</v>
      </c>
      <c r="U63" s="14" t="n">
        <v>20.011920882485</v>
      </c>
      <c r="V63" s="14" t="n">
        <v>25.2024028573975</v>
      </c>
      <c r="W63" s="14" t="n">
        <v>22.604383272345</v>
      </c>
      <c r="X63" s="14" t="n">
        <v>32.1133098272175</v>
      </c>
      <c r="Y63" s="14" t="n">
        <v>18.369898873865</v>
      </c>
      <c r="Z63" s="14" t="n">
        <v>9.766877446077499</v>
      </c>
      <c r="AA63" s="14" t="n">
        <v>8.23</v>
      </c>
      <c r="AB63" s="14" t="n">
        <v>3.4</v>
      </c>
      <c r="AC63" s="14" t="n">
        <v>0</v>
      </c>
      <c r="AD63" s="14" t="n">
        <v>0</v>
      </c>
      <c r="AE63" s="14" t="n">
        <v>0</v>
      </c>
    </row>
    <row r="64">
      <c r="A64" s="2" t="inlineStr">
        <is>
          <t>Jul</t>
        </is>
      </c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>
        <v>15.94</v>
      </c>
      <c r="N64" s="13" t="n">
        <v>16.4204072547725</v>
      </c>
      <c r="O64" s="13" t="n">
        <v>12.2579884614075</v>
      </c>
      <c r="P64" s="13" t="n">
        <v>9.7653768376675</v>
      </c>
      <c r="Q64" s="13" t="n">
        <v>9.8423028493125</v>
      </c>
      <c r="R64" s="13" t="n">
        <v>17.34995837372</v>
      </c>
      <c r="S64" s="13" t="n">
        <v>9.849018370765</v>
      </c>
      <c r="T64" s="13" t="n">
        <v>15.0011185639525</v>
      </c>
      <c r="U64" s="13" t="n">
        <v>14.39543318542</v>
      </c>
      <c r="V64" s="13" t="n">
        <v>18.740216648475</v>
      </c>
      <c r="W64" s="13" t="n">
        <v>20.8323671212475</v>
      </c>
      <c r="X64" s="13" t="n">
        <v>26.475954056755</v>
      </c>
      <c r="Y64" s="13" t="n">
        <v>24.0229979933125</v>
      </c>
      <c r="Z64" s="13" t="n">
        <v>11.70288640829</v>
      </c>
      <c r="AA64" s="13" t="n">
        <v>6.95</v>
      </c>
      <c r="AB64" s="13" t="n">
        <v>2.97</v>
      </c>
      <c r="AC64" s="13" t="n">
        <v>0</v>
      </c>
      <c r="AD64" s="13" t="n">
        <v>0</v>
      </c>
      <c r="AE64" s="13" t="n">
        <v>0</v>
      </c>
    </row>
    <row r="65">
      <c r="A65" s="4" t="inlineStr">
        <is>
          <t>Aug</t>
        </is>
      </c>
      <c r="B65" s="14" t="n"/>
      <c r="C65" s="14" t="n"/>
      <c r="D65" s="14" t="n"/>
      <c r="E65" s="14" t="n"/>
      <c r="F65" s="14" t="n"/>
      <c r="G65" s="14" t="n"/>
      <c r="H65" s="14" t="n"/>
      <c r="I65" s="14" t="n"/>
      <c r="J65" s="14" t="n"/>
      <c r="K65" s="14" t="n"/>
      <c r="L65" s="14" t="n"/>
      <c r="M65" s="14" t="n">
        <v>15.94</v>
      </c>
      <c r="N65" s="14" t="n">
        <v>26.294289163905</v>
      </c>
      <c r="O65" s="14" t="n">
        <v>10.116337470085</v>
      </c>
      <c r="P65" s="14" t="n">
        <v>10.51294305712</v>
      </c>
      <c r="Q65" s="14" t="n">
        <v>9.491599743465001</v>
      </c>
      <c r="R65" s="14" t="n">
        <v>14.8674959590325</v>
      </c>
      <c r="S65" s="14" t="n">
        <v>10.086830575535</v>
      </c>
      <c r="T65" s="14" t="n">
        <v>11.14310188103</v>
      </c>
      <c r="U65" s="14" t="n">
        <v>19.60956604194</v>
      </c>
      <c r="V65" s="14" t="n">
        <v>21.016660252035</v>
      </c>
      <c r="W65" s="14" t="n">
        <v>32.049276714875</v>
      </c>
      <c r="X65" s="14" t="n">
        <v>21.1562296018325</v>
      </c>
      <c r="Y65" s="14" t="n">
        <v>22.26451068002</v>
      </c>
      <c r="Z65" s="14" t="n">
        <v>9.6231558878175</v>
      </c>
      <c r="AA65" s="14" t="n">
        <v>8.800000000000001</v>
      </c>
      <c r="AB65" s="14" t="n">
        <v>3.64</v>
      </c>
      <c r="AC65" s="14" t="n">
        <v>0</v>
      </c>
      <c r="AD65" s="14" t="n">
        <v>0</v>
      </c>
      <c r="AE65" s="14" t="n">
        <v>0</v>
      </c>
    </row>
    <row r="66">
      <c r="A66" s="2" t="inlineStr">
        <is>
          <t>Sep</t>
        </is>
      </c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>
        <v>10.13</v>
      </c>
      <c r="N66" s="13" t="n">
        <v>19.553680059725</v>
      </c>
      <c r="O66" s="13" t="n">
        <v>5.2176618941475</v>
      </c>
      <c r="P66" s="13" t="n">
        <v>7.719169322305</v>
      </c>
      <c r="Q66" s="13" t="n">
        <v>5.75038901745</v>
      </c>
      <c r="R66" s="13" t="n">
        <v>3.8427563320825</v>
      </c>
      <c r="S66" s="13" t="n">
        <v>7.3080273383425</v>
      </c>
      <c r="T66" s="13" t="n">
        <v>9.102954661289999</v>
      </c>
      <c r="U66" s="13" t="n">
        <v>16.29661385226</v>
      </c>
      <c r="V66" s="13" t="n">
        <v>14.9848764609775</v>
      </c>
      <c r="W66" s="13" t="n">
        <v>24.54238426234</v>
      </c>
      <c r="X66" s="13" t="n">
        <v>15.6858252098625</v>
      </c>
      <c r="Y66" s="13" t="n">
        <v>18.4829842781325</v>
      </c>
      <c r="Z66" s="13" t="n">
        <v>6.73081114181</v>
      </c>
      <c r="AA66" s="13" t="n">
        <v>6.98</v>
      </c>
      <c r="AB66" s="13" t="n">
        <v>2.88</v>
      </c>
      <c r="AC66" s="13" t="n">
        <v>0</v>
      </c>
      <c r="AD66" s="13" t="n">
        <v>0</v>
      </c>
      <c r="AE66" s="13" t="n">
        <v>0</v>
      </c>
    </row>
    <row r="67">
      <c r="A67" s="4" t="inlineStr">
        <is>
          <t>Oct</t>
        </is>
      </c>
      <c r="B67" s="14" t="n"/>
      <c r="C67" s="14" t="n"/>
      <c r="D67" s="14" t="n"/>
      <c r="E67" s="14" t="n"/>
      <c r="F67" s="14" t="n"/>
      <c r="G67" s="14" t="n"/>
      <c r="H67" s="14" t="n"/>
      <c r="I67" s="14" t="n"/>
      <c r="J67" s="14" t="n"/>
      <c r="K67" s="14" t="n"/>
      <c r="L67" s="14" t="n"/>
      <c r="M67" s="14" t="n">
        <v>8.76</v>
      </c>
      <c r="N67" s="14" t="n">
        <v>15.874729370185</v>
      </c>
      <c r="O67" s="14" t="n">
        <v>1.5129232327825</v>
      </c>
      <c r="P67" s="14" t="n">
        <v>6.1544066429475</v>
      </c>
      <c r="Q67" s="14" t="n">
        <v>4.3416445184175</v>
      </c>
      <c r="R67" s="14" t="n">
        <v>8.3334975967775</v>
      </c>
      <c r="S67" s="14" t="n">
        <v>7.232890701715</v>
      </c>
      <c r="T67" s="14" t="n">
        <v>6.0497139426675</v>
      </c>
      <c r="U67" s="14" t="n">
        <v>4.3174777687125</v>
      </c>
      <c r="V67" s="14" t="n">
        <v>8.187612869660001</v>
      </c>
      <c r="W67" s="14" t="n">
        <v>17.9454796023125</v>
      </c>
      <c r="X67" s="14" t="n">
        <v>17.2639425977725</v>
      </c>
      <c r="Y67" s="14" t="n">
        <v>5.1970491741</v>
      </c>
      <c r="Z67" s="14" t="n">
        <v>3.3700934780975</v>
      </c>
      <c r="AA67" s="14" t="n">
        <v>4.5</v>
      </c>
      <c r="AB67" s="14" t="n">
        <v>2.06</v>
      </c>
      <c r="AC67" s="14" t="n">
        <v>0</v>
      </c>
      <c r="AD67" s="14" t="n">
        <v>0</v>
      </c>
      <c r="AE67" s="14" t="n">
        <v>0</v>
      </c>
    </row>
    <row r="68">
      <c r="A68" s="2" t="inlineStr">
        <is>
          <t>Nov</t>
        </is>
      </c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>
        <v>2.74</v>
      </c>
      <c r="N68" s="13" t="n">
        <v>15.61639381904</v>
      </c>
      <c r="O68" s="13" t="n">
        <v>2.4918778903375</v>
      </c>
      <c r="P68" s="13" t="n">
        <v>2.9023410147025</v>
      </c>
      <c r="Q68" s="13" t="n">
        <v>5.3535326951575</v>
      </c>
      <c r="R68" s="13" t="n">
        <v>1.891354995915</v>
      </c>
      <c r="S68" s="13" t="n">
        <v>5.4491940364225</v>
      </c>
      <c r="T68" s="13" t="n">
        <v>2.1410854108175</v>
      </c>
      <c r="U68" s="13" t="n">
        <v>2.7877840688425</v>
      </c>
      <c r="V68" s="13" t="n">
        <v>3.207282083705</v>
      </c>
      <c r="W68" s="13" t="n">
        <v>8.542703978340001</v>
      </c>
      <c r="X68" s="13" t="n">
        <v>13.83824022301</v>
      </c>
      <c r="Y68" s="13" t="n">
        <v>11.2236090875825</v>
      </c>
      <c r="Z68" s="13" t="n">
        <v>2.7619412232125</v>
      </c>
      <c r="AA68" s="13" t="n">
        <v>2.65</v>
      </c>
      <c r="AB68" s="13" t="n">
        <v>1.21</v>
      </c>
      <c r="AC68" s="13" t="n">
        <v>0</v>
      </c>
      <c r="AD68" s="13" t="n">
        <v>0</v>
      </c>
      <c r="AE68" s="13" t="n">
        <v>0</v>
      </c>
    </row>
    <row r="69">
      <c r="A69" s="4" t="inlineStr">
        <is>
          <t>Dec</t>
        </is>
      </c>
      <c r="B69" s="14" t="n"/>
      <c r="C69" s="14" t="n"/>
      <c r="D69" s="14" t="n"/>
      <c r="E69" s="14" t="n"/>
      <c r="F69" s="14" t="n"/>
      <c r="G69" s="14" t="n"/>
      <c r="H69" s="14" t="n"/>
      <c r="I69" s="14" t="n"/>
      <c r="J69" s="14" t="n"/>
      <c r="K69" s="14" t="n"/>
      <c r="L69" s="14" t="n"/>
      <c r="M69" s="14" t="n">
        <v>6.05</v>
      </c>
      <c r="N69" s="14" t="n">
        <v>18.2143329949525</v>
      </c>
      <c r="O69" s="14" t="n">
        <v>1.9354357754375</v>
      </c>
      <c r="P69" s="14" t="n">
        <v>5.11082449738</v>
      </c>
      <c r="Q69" s="14" t="n">
        <v>3.8908822889825</v>
      </c>
      <c r="R69" s="14" t="n">
        <v>1.34774737503</v>
      </c>
      <c r="S69" s="14" t="n">
        <v>2.9498220685675</v>
      </c>
      <c r="T69" s="14" t="n">
        <v>3.1527921236875</v>
      </c>
      <c r="U69" s="14" t="n">
        <v>2.46881377813</v>
      </c>
      <c r="V69" s="14" t="n">
        <v>11.7243863454025</v>
      </c>
      <c r="W69" s="14" t="n">
        <v>17.668555142245</v>
      </c>
      <c r="X69" s="14" t="n">
        <v>15.011324276725</v>
      </c>
      <c r="Y69" s="14" t="n">
        <v>5.2438616911625</v>
      </c>
      <c r="Z69" s="14" t="n">
        <v>2.6554436637225</v>
      </c>
      <c r="AA69" s="14" t="n">
        <v>8.380000000000001</v>
      </c>
      <c r="AB69" s="14" t="n">
        <v>4.02</v>
      </c>
      <c r="AC69" s="14" t="n">
        <v>0</v>
      </c>
      <c r="AD69" s="14" t="n">
        <v>0</v>
      </c>
      <c r="AE69" s="14" t="n">
        <v>0</v>
      </c>
    </row>
    <row r="70">
      <c r="A70" s="5" t="inlineStr">
        <is>
          <t xml:space="preserve">  Calendar-year Total</t>
        </is>
      </c>
      <c r="B70" s="12">
        <f>SUM(B58:B69)</f>
        <v/>
      </c>
      <c r="C70" s="12">
        <f>SUM(C58:C69)</f>
        <v/>
      </c>
      <c r="D70" s="12">
        <f>SUM(D58:D69)</f>
        <v/>
      </c>
      <c r="E70" s="12">
        <f>SUM(E58:E69)</f>
        <v/>
      </c>
      <c r="F70" s="12">
        <f>SUM(F58:F69)</f>
        <v/>
      </c>
      <c r="G70" s="12">
        <f>SUM(G58:G69)</f>
        <v/>
      </c>
      <c r="H70" s="12">
        <f>SUM(H58:H69)</f>
        <v/>
      </c>
      <c r="I70" s="12">
        <f>SUM(I58:I69)</f>
        <v/>
      </c>
      <c r="J70" s="12">
        <f>SUM(J58:J69)</f>
        <v/>
      </c>
      <c r="K70" s="12">
        <f>SUM(K58:K69)</f>
        <v/>
      </c>
      <c r="L70" s="12">
        <f>SUM(L58:L69)</f>
        <v/>
      </c>
      <c r="M70" s="12">
        <f>SUM(M58:M69)</f>
        <v/>
      </c>
      <c r="N70" s="12">
        <f>SUM(N58:N69)</f>
        <v/>
      </c>
      <c r="O70" s="12">
        <f>SUM(O58:O69)</f>
        <v/>
      </c>
      <c r="P70" s="12">
        <f>SUM(P58:P69)</f>
        <v/>
      </c>
      <c r="Q70" s="12">
        <f>SUM(Q58:Q69)</f>
        <v/>
      </c>
      <c r="R70" s="12">
        <f>SUM(R58:R69)</f>
        <v/>
      </c>
      <c r="S70" s="12">
        <f>SUM(S58:S69)</f>
        <v/>
      </c>
      <c r="T70" s="12">
        <f>SUM(T58:T69)</f>
        <v/>
      </c>
      <c r="U70" s="12">
        <f>SUM(U58:U69)</f>
        <v/>
      </c>
      <c r="V70" s="12">
        <f>SUM(V58:V69)</f>
        <v/>
      </c>
      <c r="W70" s="12">
        <f>SUM(W58:W69)</f>
        <v/>
      </c>
      <c r="X70" s="12">
        <f>SUM(X58:X69)</f>
        <v/>
      </c>
      <c r="Y70" s="12">
        <f>SUM(Y58:Y69)</f>
        <v/>
      </c>
      <c r="Z70" s="12">
        <f>SUM(Z58:Z69)</f>
        <v/>
      </c>
      <c r="AA70" s="12">
        <f>SUM(AA58:AA69)</f>
        <v/>
      </c>
      <c r="AB70" s="12">
        <f>SUM(AB58:AB69)</f>
        <v/>
      </c>
      <c r="AC70" s="12">
        <f>SUM(AC58:AC69)</f>
        <v/>
      </c>
      <c r="AD70" s="12">
        <f>SUM(AD58:AD69)</f>
        <v/>
      </c>
      <c r="AE70" s="12">
        <f>SUM(AE58:AE69)</f>
        <v/>
      </c>
    </row>
    <row r="72">
      <c r="A72" s="7" t="inlineStr">
        <is>
          <t>US BIODIESEL CONSUMPTION</t>
        </is>
      </c>
    </row>
    <row r="73">
      <c r="A73" s="8" t="inlineStr">
        <is>
          <t>(million gallons)</t>
        </is>
      </c>
      <c r="B73" s="1" t="n">
        <v>2001</v>
      </c>
      <c r="C73" s="1" t="n">
        <v>2002</v>
      </c>
      <c r="D73" s="1" t="n">
        <v>2003</v>
      </c>
      <c r="E73" s="1" t="n">
        <v>2004</v>
      </c>
      <c r="F73" s="1" t="n">
        <v>2005</v>
      </c>
      <c r="G73" s="1" t="n">
        <v>2006</v>
      </c>
      <c r="H73" s="1" t="n">
        <v>2007</v>
      </c>
      <c r="I73" s="1" t="n">
        <v>2008</v>
      </c>
      <c r="J73" s="1" t="n">
        <v>2009</v>
      </c>
      <c r="K73" s="1" t="n">
        <v>2010</v>
      </c>
      <c r="L73" s="1" t="n">
        <v>2011</v>
      </c>
      <c r="M73" s="1" t="n">
        <v>2012</v>
      </c>
      <c r="N73" s="1" t="n">
        <v>2013</v>
      </c>
      <c r="O73" s="1" t="n">
        <v>2014</v>
      </c>
      <c r="P73" s="1" t="n">
        <v>2015</v>
      </c>
      <c r="Q73" s="1" t="n">
        <v>2016</v>
      </c>
      <c r="R73" s="1" t="n">
        <v>2017</v>
      </c>
      <c r="S73" s="1" t="n">
        <v>2018</v>
      </c>
      <c r="T73" s="1" t="n">
        <v>2019</v>
      </c>
      <c r="U73" s="1" t="n">
        <v>2020</v>
      </c>
      <c r="V73" s="1" t="n">
        <v>2021</v>
      </c>
      <c r="W73" s="1" t="n">
        <v>2022</v>
      </c>
      <c r="X73" s="1" t="n">
        <v>2023</v>
      </c>
      <c r="Y73" s="1" t="n">
        <v>2024</v>
      </c>
      <c r="Z73" s="1" t="n">
        <v>2025</v>
      </c>
      <c r="AA73" s="1" t="n">
        <v>2026</v>
      </c>
      <c r="AB73" s="1" t="n">
        <v>2027</v>
      </c>
      <c r="AC73" s="1" t="n">
        <v>2028</v>
      </c>
      <c r="AD73" s="1" t="n">
        <v>2029</v>
      </c>
      <c r="AE73" s="1" t="n">
        <v>2030</v>
      </c>
    </row>
    <row r="74">
      <c r="A74" s="2" t="inlineStr">
        <is>
          <t>Jan</t>
        </is>
      </c>
      <c r="B74" s="15" t="n">
        <v>0.72</v>
      </c>
      <c r="C74" s="15" t="n">
        <v>1.32</v>
      </c>
      <c r="D74" s="15" t="n">
        <v>1.43</v>
      </c>
      <c r="E74" s="13" t="n">
        <v>2.6</v>
      </c>
      <c r="F74" s="13" t="n">
        <v>8.01</v>
      </c>
      <c r="G74" s="13" t="n">
        <v>12.89</v>
      </c>
      <c r="H74" s="13" t="n"/>
      <c r="I74" s="13" t="n">
        <v>28.5</v>
      </c>
      <c r="J74" s="13" t="n">
        <v>3.32</v>
      </c>
      <c r="K74" s="13" t="n">
        <v>1.31</v>
      </c>
      <c r="L74" s="13" t="n">
        <v>26.4</v>
      </c>
      <c r="M74" s="13" t="n">
        <v>43.76</v>
      </c>
      <c r="N74" s="13" t="n">
        <v>69.06999999999999</v>
      </c>
      <c r="O74" s="13" t="n">
        <v>80.48</v>
      </c>
      <c r="P74" s="13" t="n">
        <v>49.37</v>
      </c>
      <c r="Q74" s="13" t="n">
        <v>101.49</v>
      </c>
      <c r="R74" s="13" t="n">
        <v>101.11</v>
      </c>
      <c r="S74" s="13" t="n">
        <v>119.84</v>
      </c>
      <c r="T74" s="13" t="n">
        <v>124.2</v>
      </c>
      <c r="U74" s="13" t="n">
        <v>131.63</v>
      </c>
      <c r="V74" s="13" t="n">
        <v>100.77</v>
      </c>
      <c r="W74" s="13" t="n">
        <v>105.43</v>
      </c>
      <c r="X74" s="13" t="n">
        <v>122.48</v>
      </c>
      <c r="Y74" s="13" t="n">
        <v>122.66</v>
      </c>
      <c r="Z74" s="13" t="n">
        <v>108.91</v>
      </c>
      <c r="AA74" s="13" t="n">
        <v>82.8</v>
      </c>
      <c r="AB74" s="13" t="n">
        <v>97.91</v>
      </c>
      <c r="AC74" s="13" t="n">
        <v>67.11</v>
      </c>
      <c r="AD74" s="13" t="n">
        <v>81.89</v>
      </c>
      <c r="AE74" s="13" t="n">
        <v>83.63</v>
      </c>
    </row>
    <row r="75">
      <c r="A75" s="4" t="inlineStr">
        <is>
          <t>Feb</t>
        </is>
      </c>
      <c r="B75" s="16" t="n">
        <v>0.5</v>
      </c>
      <c r="C75" s="16" t="n">
        <v>1.84</v>
      </c>
      <c r="D75" s="16" t="n">
        <v>0.8100000000000001</v>
      </c>
      <c r="E75" s="14" t="n">
        <v>2.66</v>
      </c>
      <c r="F75" s="14" t="n">
        <v>8.050000000000001</v>
      </c>
      <c r="G75" s="14" t="n">
        <v>9.029999999999999</v>
      </c>
      <c r="H75" s="14" t="n">
        <v>22.59</v>
      </c>
      <c r="I75" s="14" t="n">
        <v>21.41</v>
      </c>
      <c r="J75" s="14" t="n">
        <v>3.07</v>
      </c>
      <c r="K75" s="14" t="n">
        <v>24.99</v>
      </c>
      <c r="L75" s="14" t="n">
        <v>29.7</v>
      </c>
      <c r="M75" s="14" t="n">
        <v>60.89</v>
      </c>
      <c r="N75" s="14" t="n">
        <v>71.37</v>
      </c>
      <c r="O75" s="14" t="n">
        <v>75.73</v>
      </c>
      <c r="P75" s="14" t="n">
        <v>89.94</v>
      </c>
      <c r="Q75" s="14" t="n">
        <v>118.9</v>
      </c>
      <c r="R75" s="14" t="n">
        <v>111.3</v>
      </c>
      <c r="S75" s="14" t="n">
        <v>114.25</v>
      </c>
      <c r="T75" s="14" t="n">
        <v>130.25</v>
      </c>
      <c r="U75" s="14" t="n">
        <v>143.01</v>
      </c>
      <c r="V75" s="14" t="n">
        <v>125.8</v>
      </c>
      <c r="W75" s="14" t="n">
        <v>114.95</v>
      </c>
      <c r="X75" s="14" t="n">
        <v>116.05</v>
      </c>
      <c r="Y75" s="14" t="n">
        <v>132.22</v>
      </c>
      <c r="Z75" s="14" t="n">
        <v>118.08</v>
      </c>
      <c r="AA75" s="14" t="n">
        <v>89.73</v>
      </c>
      <c r="AB75" s="14" t="n">
        <v>103.1</v>
      </c>
      <c r="AC75" s="14" t="n">
        <v>70.17</v>
      </c>
      <c r="AD75" s="14" t="n">
        <v>87.68000000000001</v>
      </c>
      <c r="AE75" s="14" t="n">
        <v>89.37</v>
      </c>
    </row>
    <row r="76">
      <c r="A76" s="2" t="inlineStr">
        <is>
          <t>Mar</t>
        </is>
      </c>
      <c r="B76" s="15" t="n">
        <v>0.8100000000000001</v>
      </c>
      <c r="C76" s="15" t="n">
        <v>2.51</v>
      </c>
      <c r="D76" s="15" t="n">
        <v>1.03</v>
      </c>
      <c r="E76" s="13" t="n">
        <v>2.22</v>
      </c>
      <c r="F76" s="13" t="n">
        <v>7.2</v>
      </c>
      <c r="G76" s="13" t="n">
        <v>16.65</v>
      </c>
      <c r="H76" s="13" t="n">
        <v>24.77</v>
      </c>
      <c r="I76" s="13" t="n">
        <v>10.9</v>
      </c>
      <c r="J76" s="13" t="n">
        <v>24.29</v>
      </c>
      <c r="K76" s="13" t="n">
        <v>16.79</v>
      </c>
      <c r="L76" s="13" t="n">
        <v>46.44</v>
      </c>
      <c r="M76" s="13" t="n">
        <v>87.68000000000001</v>
      </c>
      <c r="N76" s="13" t="n">
        <v>97.03</v>
      </c>
      <c r="O76" s="13" t="n">
        <v>110.55</v>
      </c>
      <c r="P76" s="13" t="n">
        <v>103.96</v>
      </c>
      <c r="Q76" s="13" t="n">
        <v>132.67</v>
      </c>
      <c r="R76" s="13" t="n">
        <v>149.54</v>
      </c>
      <c r="S76" s="13" t="n">
        <v>157.91</v>
      </c>
      <c r="T76" s="13" t="n">
        <v>158.9</v>
      </c>
      <c r="U76" s="13" t="n">
        <v>146.56</v>
      </c>
      <c r="V76" s="13" t="n">
        <v>143.92</v>
      </c>
      <c r="W76" s="13" t="n">
        <v>130.82</v>
      </c>
      <c r="X76" s="13" t="n">
        <v>139.71</v>
      </c>
      <c r="Y76" s="13" t="n">
        <v>151.08</v>
      </c>
      <c r="Z76" s="13" t="n">
        <v>133.03</v>
      </c>
      <c r="AA76" s="13" t="n">
        <v>103.25</v>
      </c>
      <c r="AB76" s="13" t="n">
        <v>118.78</v>
      </c>
      <c r="AC76" s="13" t="n">
        <v>81.05</v>
      </c>
      <c r="AD76" s="13" t="n">
        <v>100.3</v>
      </c>
      <c r="AE76" s="13" t="n">
        <v>102.27</v>
      </c>
    </row>
    <row r="77">
      <c r="A77" s="4" t="inlineStr">
        <is>
          <t>Apr</t>
        </is>
      </c>
      <c r="B77" s="16" t="n">
        <v>0.63</v>
      </c>
      <c r="C77" s="16" t="n">
        <v>1.08</v>
      </c>
      <c r="D77" s="16" t="n">
        <v>0.85</v>
      </c>
      <c r="E77" s="14" t="n">
        <v>2.52</v>
      </c>
      <c r="F77" s="14" t="n">
        <v>7.47</v>
      </c>
      <c r="G77" s="14" t="n">
        <v>16.22</v>
      </c>
      <c r="H77" s="14" t="n">
        <v>13.63</v>
      </c>
      <c r="I77" s="14" t="n">
        <v>14.02</v>
      </c>
      <c r="J77" s="14" t="n">
        <v>25.11</v>
      </c>
      <c r="K77" s="14" t="n">
        <v>28.3</v>
      </c>
      <c r="L77" s="14" t="n">
        <v>62.55</v>
      </c>
      <c r="M77" s="14" t="n">
        <v>90.39</v>
      </c>
      <c r="N77" s="14" t="n">
        <v>102.14</v>
      </c>
      <c r="O77" s="14" t="n">
        <v>96.56</v>
      </c>
      <c r="P77" s="14" t="n">
        <v>118.91</v>
      </c>
      <c r="Q77" s="14" t="n">
        <v>142.28</v>
      </c>
      <c r="R77" s="14" t="n">
        <v>163.84</v>
      </c>
      <c r="S77" s="14" t="n">
        <v>155.1</v>
      </c>
      <c r="T77" s="14" t="n">
        <v>156.29</v>
      </c>
      <c r="U77" s="14" t="n">
        <v>148.03</v>
      </c>
      <c r="V77" s="14" t="n">
        <v>139.28</v>
      </c>
      <c r="W77" s="14" t="n">
        <v>136.13</v>
      </c>
      <c r="X77" s="14" t="n">
        <v>120.39</v>
      </c>
      <c r="Y77" s="14" t="n">
        <v>146.93</v>
      </c>
      <c r="Z77" s="14" t="n">
        <v>129.05</v>
      </c>
      <c r="AA77" s="14" t="n">
        <v>99.29000000000001</v>
      </c>
      <c r="AB77" s="14" t="n">
        <v>114.07</v>
      </c>
      <c r="AC77" s="14" t="n">
        <v>76.52</v>
      </c>
      <c r="AD77" s="14" t="n">
        <v>96.66</v>
      </c>
      <c r="AE77" s="14" t="n">
        <v>98.3</v>
      </c>
    </row>
    <row r="78">
      <c r="A78" s="2" t="inlineStr">
        <is>
          <t>May</t>
        </is>
      </c>
      <c r="B78" s="15" t="n">
        <v>0.72</v>
      </c>
      <c r="C78" s="15" t="n">
        <v>1.31</v>
      </c>
      <c r="D78" s="15" t="n">
        <v>0.88</v>
      </c>
      <c r="E78" s="13" t="n">
        <v>1.97</v>
      </c>
      <c r="F78" s="13" t="n">
        <v>7.61</v>
      </c>
      <c r="G78" s="13" t="n">
        <v>23.23</v>
      </c>
      <c r="H78" s="13" t="n">
        <v>21.47</v>
      </c>
      <c r="I78" s="13" t="n">
        <v>17.35</v>
      </c>
      <c r="J78" s="13" t="n">
        <v>20.41</v>
      </c>
      <c r="K78" s="13" t="n">
        <v>24.18</v>
      </c>
      <c r="L78" s="13" t="n">
        <v>63.88</v>
      </c>
      <c r="M78" s="13" t="n">
        <v>94.33</v>
      </c>
      <c r="N78" s="13" t="n">
        <v>106.66</v>
      </c>
      <c r="O78" s="13" t="n">
        <v>114.39</v>
      </c>
      <c r="P78" s="13" t="n">
        <v>140.15</v>
      </c>
      <c r="Q78" s="13" t="n">
        <v>179.42</v>
      </c>
      <c r="R78" s="13" t="n">
        <v>199.42</v>
      </c>
      <c r="S78" s="13" t="n">
        <v>166.84</v>
      </c>
      <c r="T78" s="13" t="n">
        <v>169.54</v>
      </c>
      <c r="U78" s="13" t="n">
        <v>147.29</v>
      </c>
      <c r="V78" s="13" t="n">
        <v>148.13</v>
      </c>
      <c r="W78" s="13" t="n">
        <v>129.75</v>
      </c>
      <c r="X78" s="13" t="n">
        <v>162.29</v>
      </c>
      <c r="Y78" s="13" t="n">
        <v>158.86</v>
      </c>
      <c r="Z78" s="13" t="n">
        <v>139.43</v>
      </c>
      <c r="AA78" s="13" t="n">
        <v>109.15</v>
      </c>
      <c r="AB78" s="13" t="n">
        <v>126.29</v>
      </c>
      <c r="AC78" s="13" t="n">
        <v>87.34999999999999</v>
      </c>
      <c r="AD78" s="13" t="n">
        <v>106.09</v>
      </c>
      <c r="AE78" s="13" t="n">
        <v>108.35</v>
      </c>
    </row>
    <row r="79">
      <c r="A79" s="4" t="inlineStr">
        <is>
          <t>Jun</t>
        </is>
      </c>
      <c r="B79" s="16" t="n">
        <v>0.74</v>
      </c>
      <c r="C79" s="16" t="n">
        <v>1.39</v>
      </c>
      <c r="D79" s="16" t="n">
        <v>0.9</v>
      </c>
      <c r="E79" s="14" t="n">
        <v>1.87</v>
      </c>
      <c r="F79" s="14" t="n">
        <v>7.94</v>
      </c>
      <c r="G79" s="14" t="n">
        <v>29.75</v>
      </c>
      <c r="H79" s="14" t="n">
        <v>37.25</v>
      </c>
      <c r="I79" s="14" t="n">
        <v>6.56</v>
      </c>
      <c r="J79" s="14" t="n">
        <v>24.48</v>
      </c>
      <c r="K79" s="14" t="n">
        <v>18.26</v>
      </c>
      <c r="L79" s="14" t="n">
        <v>80.63</v>
      </c>
      <c r="M79" s="14" t="n">
        <v>97.66</v>
      </c>
      <c r="N79" s="14" t="n">
        <v>116.96</v>
      </c>
      <c r="O79" s="14" t="n">
        <v>124.01</v>
      </c>
      <c r="P79" s="14" t="n">
        <v>161.71</v>
      </c>
      <c r="Q79" s="14" t="n">
        <v>167.14</v>
      </c>
      <c r="R79" s="14" t="n">
        <v>197.85</v>
      </c>
      <c r="S79" s="14" t="n">
        <v>177.57</v>
      </c>
      <c r="T79" s="14" t="n">
        <v>159.04</v>
      </c>
      <c r="U79" s="14" t="n">
        <v>155.79</v>
      </c>
      <c r="V79" s="14" t="n">
        <v>128.61</v>
      </c>
      <c r="W79" s="14" t="n">
        <v>138.76</v>
      </c>
      <c r="X79" s="14" t="n">
        <v>159.97</v>
      </c>
      <c r="Y79" s="14" t="n">
        <v>155.75</v>
      </c>
      <c r="Z79" s="14" t="n">
        <v>138.04</v>
      </c>
      <c r="AA79" s="14" t="n">
        <v>106.58</v>
      </c>
      <c r="AB79" s="14" t="n">
        <v>126.22</v>
      </c>
      <c r="AC79" s="14" t="n">
        <v>86.16</v>
      </c>
      <c r="AD79" s="14" t="n">
        <v>104.67</v>
      </c>
      <c r="AE79" s="14" t="n">
        <v>107.09</v>
      </c>
    </row>
    <row r="80">
      <c r="A80" s="2" t="inlineStr">
        <is>
          <t>Jul</t>
        </is>
      </c>
      <c r="B80" s="15" t="n">
        <v>1.19</v>
      </c>
      <c r="C80" s="15" t="n">
        <v>1.62</v>
      </c>
      <c r="D80" s="15" t="n">
        <v>0.95</v>
      </c>
      <c r="E80" s="13" t="n">
        <v>2.05</v>
      </c>
      <c r="F80" s="13" t="n">
        <v>7.07</v>
      </c>
      <c r="G80" s="13" t="n">
        <v>21.29</v>
      </c>
      <c r="H80" s="13" t="n">
        <v>24.79</v>
      </c>
      <c r="I80" s="13" t="n">
        <v>28.54</v>
      </c>
      <c r="J80" s="13" t="n">
        <v>23.47</v>
      </c>
      <c r="K80" s="13" t="n">
        <v>26.15</v>
      </c>
      <c r="L80" s="13" t="n">
        <v>78.81</v>
      </c>
      <c r="M80" s="13" t="n">
        <v>82.01000000000001</v>
      </c>
      <c r="N80" s="13" t="n">
        <v>117.73</v>
      </c>
      <c r="O80" s="13" t="n">
        <v>117.93</v>
      </c>
      <c r="P80" s="13" t="n">
        <v>144.64</v>
      </c>
      <c r="Q80" s="13" t="n">
        <v>211.91</v>
      </c>
      <c r="R80" s="13" t="n">
        <v>185.82</v>
      </c>
      <c r="S80" s="13" t="n">
        <v>166.56</v>
      </c>
      <c r="T80" s="13" t="n">
        <v>169.62</v>
      </c>
      <c r="U80" s="13" t="n">
        <v>178.85</v>
      </c>
      <c r="V80" s="13" t="n">
        <v>139.1</v>
      </c>
      <c r="W80" s="13" t="n">
        <v>133.82</v>
      </c>
      <c r="X80" s="13" t="n">
        <v>150.47</v>
      </c>
      <c r="Y80" s="13" t="n">
        <v>161.98</v>
      </c>
      <c r="Z80" s="13" t="n">
        <v>142.77</v>
      </c>
      <c r="AA80" s="13" t="n">
        <v>107.62</v>
      </c>
      <c r="AB80" s="13" t="n">
        <v>125.78</v>
      </c>
      <c r="AC80" s="13" t="n">
        <v>86.42</v>
      </c>
      <c r="AD80" s="13" t="n">
        <v>106.69</v>
      </c>
      <c r="AE80" s="13" t="n">
        <v>108.54</v>
      </c>
    </row>
    <row r="81">
      <c r="A81" s="4" t="inlineStr">
        <is>
          <t>Aug</t>
        </is>
      </c>
      <c r="B81" s="16" t="n">
        <v>0.7</v>
      </c>
      <c r="C81" s="16" t="n">
        <v>1</v>
      </c>
      <c r="D81" s="16" t="n">
        <v>1.27</v>
      </c>
      <c r="E81" s="14" t="n">
        <v>1.86</v>
      </c>
      <c r="F81" s="14" t="n">
        <v>8.529999999999999</v>
      </c>
      <c r="G81" s="14" t="n">
        <v>27.89</v>
      </c>
      <c r="H81" s="14" t="n">
        <v>44.27</v>
      </c>
      <c r="I81" s="14" t="n">
        <v>37.78</v>
      </c>
      <c r="J81" s="14" t="n">
        <v>33.22</v>
      </c>
      <c r="K81" s="14" t="n">
        <v>22.4</v>
      </c>
      <c r="L81" s="14" t="n">
        <v>91.56999999999999</v>
      </c>
      <c r="M81" s="14" t="n">
        <v>87.31</v>
      </c>
      <c r="N81" s="14" t="n">
        <v>122.56</v>
      </c>
      <c r="O81" s="14" t="n">
        <v>151.07</v>
      </c>
      <c r="P81" s="14" t="n">
        <v>154.97</v>
      </c>
      <c r="Q81" s="14" t="n">
        <v>218.43</v>
      </c>
      <c r="R81" s="14" t="n">
        <v>201.74</v>
      </c>
      <c r="S81" s="14" t="n">
        <v>186.36</v>
      </c>
      <c r="T81" s="14" t="n">
        <v>162.32</v>
      </c>
      <c r="U81" s="14" t="n">
        <v>164.2</v>
      </c>
      <c r="V81" s="14" t="n">
        <v>146.92</v>
      </c>
      <c r="W81" s="14" t="n">
        <v>136.03</v>
      </c>
      <c r="X81" s="14" t="n">
        <v>150.56</v>
      </c>
      <c r="Y81" s="14" t="n">
        <v>159.5</v>
      </c>
      <c r="Z81" s="14" t="n">
        <v>141.46</v>
      </c>
      <c r="AA81" s="14" t="n">
        <v>108.55</v>
      </c>
      <c r="AB81" s="14" t="n">
        <v>125.68</v>
      </c>
      <c r="AC81" s="14" t="n">
        <v>86.06</v>
      </c>
      <c r="AD81" s="14" t="n">
        <v>106.12</v>
      </c>
      <c r="AE81" s="14" t="n">
        <v>108.27</v>
      </c>
    </row>
    <row r="82">
      <c r="A82" s="2" t="inlineStr">
        <is>
          <t>Sep</t>
        </is>
      </c>
      <c r="B82" s="15" t="n">
        <v>1.02</v>
      </c>
      <c r="C82" s="15" t="n">
        <v>1</v>
      </c>
      <c r="D82" s="15" t="n">
        <v>1.51</v>
      </c>
      <c r="E82" s="13" t="n">
        <v>2.19</v>
      </c>
      <c r="F82" s="13" t="n">
        <v>7.42</v>
      </c>
      <c r="G82" s="13" t="n">
        <v>26.16</v>
      </c>
      <c r="H82" s="13" t="n">
        <v>42.05</v>
      </c>
      <c r="I82" s="13" t="n">
        <v>39.41</v>
      </c>
      <c r="J82" s="13" t="n">
        <v>43.65</v>
      </c>
      <c r="K82" s="13" t="n">
        <v>31.39</v>
      </c>
      <c r="L82" s="13" t="n">
        <v>99.48999999999999</v>
      </c>
      <c r="M82" s="13" t="n">
        <v>72.45</v>
      </c>
      <c r="N82" s="13" t="n">
        <v>140.1</v>
      </c>
      <c r="O82" s="13" t="n">
        <v>145.41</v>
      </c>
      <c r="P82" s="13" t="n">
        <v>153.4</v>
      </c>
      <c r="Q82" s="13" t="n">
        <v>207.04</v>
      </c>
      <c r="R82" s="13" t="n">
        <v>173.01</v>
      </c>
      <c r="S82" s="13" t="n">
        <v>170.26</v>
      </c>
      <c r="T82" s="13" t="n">
        <v>150.09</v>
      </c>
      <c r="U82" s="13" t="n">
        <v>170.76</v>
      </c>
      <c r="V82" s="13" t="n">
        <v>129.53</v>
      </c>
      <c r="W82" s="13" t="n">
        <v>126.1</v>
      </c>
      <c r="X82" s="13" t="n">
        <v>157.27</v>
      </c>
      <c r="Y82" s="13" t="n">
        <v>153.98</v>
      </c>
      <c r="Z82" s="13" t="n">
        <v>137.8</v>
      </c>
      <c r="AA82" s="13" t="n">
        <v>104.15</v>
      </c>
      <c r="AB82" s="13" t="n">
        <v>122.65</v>
      </c>
      <c r="AC82" s="13" t="n">
        <v>84.81999999999999</v>
      </c>
      <c r="AD82" s="13" t="n">
        <v>103.07</v>
      </c>
      <c r="AE82" s="13" t="n">
        <v>105.34</v>
      </c>
    </row>
    <row r="83">
      <c r="A83" s="4" t="inlineStr">
        <is>
          <t>Oct</t>
        </is>
      </c>
      <c r="B83" s="16" t="n">
        <v>1.15</v>
      </c>
      <c r="C83" s="16" t="n">
        <v>1.06</v>
      </c>
      <c r="D83" s="16" t="n">
        <v>0.97</v>
      </c>
      <c r="E83" s="14" t="n">
        <v>2.4</v>
      </c>
      <c r="F83" s="14" t="n">
        <v>6.33</v>
      </c>
      <c r="G83" s="14" t="n">
        <v>24.93</v>
      </c>
      <c r="H83" s="14" t="n">
        <v>43.17</v>
      </c>
      <c r="I83" s="14" t="n">
        <v>34.96</v>
      </c>
      <c r="J83" s="14" t="n">
        <v>44.86</v>
      </c>
      <c r="K83" s="14" t="n">
        <v>24.78</v>
      </c>
      <c r="L83" s="14" t="n">
        <v>89.73999999999999</v>
      </c>
      <c r="M83" s="14" t="n">
        <v>63.68</v>
      </c>
      <c r="N83" s="14" t="n">
        <v>170.55</v>
      </c>
      <c r="O83" s="14" t="n">
        <v>128.03</v>
      </c>
      <c r="P83" s="14" t="n">
        <v>133.94</v>
      </c>
      <c r="Q83" s="14" t="n">
        <v>196.49</v>
      </c>
      <c r="R83" s="14" t="n">
        <v>169.98</v>
      </c>
      <c r="S83" s="14" t="n">
        <v>170.43</v>
      </c>
      <c r="T83" s="14" t="n">
        <v>149.53</v>
      </c>
      <c r="U83" s="14" t="n">
        <v>161.84</v>
      </c>
      <c r="V83" s="14" t="n">
        <v>143.48</v>
      </c>
      <c r="W83" s="14" t="n">
        <v>138.12</v>
      </c>
      <c r="X83" s="14" t="n">
        <v>157.13</v>
      </c>
      <c r="Y83" s="14" t="n">
        <v>157.41</v>
      </c>
      <c r="Z83" s="14" t="n">
        <v>141.61</v>
      </c>
      <c r="AA83" s="14" t="n">
        <v>109.04</v>
      </c>
      <c r="AB83" s="14" t="n">
        <v>126.98</v>
      </c>
      <c r="AC83" s="14" t="n">
        <v>86.86</v>
      </c>
      <c r="AD83" s="14" t="n">
        <v>106.23</v>
      </c>
      <c r="AE83" s="14" t="n">
        <v>108.82</v>
      </c>
    </row>
    <row r="84">
      <c r="A84" s="2" t="inlineStr">
        <is>
          <t>Nov</t>
        </is>
      </c>
      <c r="B84" s="15" t="n">
        <v>1.37</v>
      </c>
      <c r="C84" s="15" t="n">
        <v>1.13</v>
      </c>
      <c r="D84" s="15" t="n">
        <v>1.99</v>
      </c>
      <c r="E84" s="13" t="n">
        <v>2.22</v>
      </c>
      <c r="F84" s="13" t="n">
        <v>8</v>
      </c>
      <c r="G84" s="13" t="n">
        <v>24.19</v>
      </c>
      <c r="H84" s="13" t="n">
        <v>10.46</v>
      </c>
      <c r="I84" s="13" t="n">
        <v>35.69</v>
      </c>
      <c r="J84" s="13" t="n">
        <v>33.59</v>
      </c>
      <c r="K84" s="13" t="n">
        <v>19.92</v>
      </c>
      <c r="L84" s="13" t="n">
        <v>104.97</v>
      </c>
      <c r="M84" s="13" t="n">
        <v>68.05</v>
      </c>
      <c r="N84" s="13" t="n">
        <v>144.3</v>
      </c>
      <c r="O84" s="13" t="n">
        <v>129.81</v>
      </c>
      <c r="P84" s="13" t="n">
        <v>109.86</v>
      </c>
      <c r="Q84" s="13" t="n">
        <v>202.65</v>
      </c>
      <c r="R84" s="13" t="n">
        <v>165.8</v>
      </c>
      <c r="S84" s="13" t="n">
        <v>157.68</v>
      </c>
      <c r="T84" s="13" t="n">
        <v>136.33</v>
      </c>
      <c r="U84" s="13" t="n">
        <v>154.26</v>
      </c>
      <c r="V84" s="13" t="n">
        <v>136.17</v>
      </c>
      <c r="W84" s="13" t="n">
        <v>140.45</v>
      </c>
      <c r="X84" s="13" t="n">
        <v>143.65</v>
      </c>
      <c r="Y84" s="13" t="n">
        <v>149.18</v>
      </c>
      <c r="Z84" s="13" t="n">
        <v>135.2</v>
      </c>
      <c r="AA84" s="13" t="n">
        <v>104.15</v>
      </c>
      <c r="AB84" s="13" t="n">
        <v>121.44</v>
      </c>
      <c r="AC84" s="13" t="n">
        <v>82.03</v>
      </c>
      <c r="AD84" s="13" t="n">
        <v>101.12</v>
      </c>
      <c r="AE84" s="13" t="n">
        <v>103.71</v>
      </c>
    </row>
    <row r="85">
      <c r="A85" s="4" t="inlineStr">
        <is>
          <t>Dec</t>
        </is>
      </c>
      <c r="B85" s="16" t="n">
        <v>0.71</v>
      </c>
      <c r="C85" s="16" t="n">
        <v>1.11</v>
      </c>
      <c r="D85" s="16" t="n">
        <v>0.92</v>
      </c>
      <c r="E85" s="14" t="n">
        <v>2.28</v>
      </c>
      <c r="F85" s="14" t="n">
        <v>7.2</v>
      </c>
      <c r="G85" s="14" t="n">
        <v>28.67</v>
      </c>
      <c r="H85" s="14" t="n">
        <v>34.33</v>
      </c>
      <c r="I85" s="14" t="n">
        <v>28.44</v>
      </c>
      <c r="J85" s="14" t="n">
        <v>42.37</v>
      </c>
      <c r="K85" s="14" t="n">
        <v>21.61</v>
      </c>
      <c r="L85" s="14" t="n">
        <v>111.99</v>
      </c>
      <c r="M85" s="14" t="n">
        <v>50.84</v>
      </c>
      <c r="N85" s="14" t="n">
        <v>170.35</v>
      </c>
      <c r="O85" s="14" t="n">
        <v>142.86</v>
      </c>
      <c r="P85" s="14" t="n">
        <v>133.31</v>
      </c>
      <c r="Q85" s="14" t="n">
        <v>207.02</v>
      </c>
      <c r="R85" s="14" t="n">
        <v>165.87</v>
      </c>
      <c r="S85" s="14" t="n">
        <v>160.9</v>
      </c>
      <c r="T85" s="14" t="n">
        <v>146.72</v>
      </c>
      <c r="U85" s="14" t="n">
        <v>174.11</v>
      </c>
      <c r="V85" s="14" t="n">
        <v>138.88</v>
      </c>
      <c r="W85" s="14" t="n">
        <v>117.87</v>
      </c>
      <c r="X85" s="14" t="n">
        <v>139.35</v>
      </c>
      <c r="Y85" s="14" t="n">
        <v>150.45</v>
      </c>
      <c r="Z85" s="14" t="n">
        <v>134.63</v>
      </c>
      <c r="AA85" s="14" t="n">
        <v>100.68</v>
      </c>
      <c r="AB85" s="14" t="n">
        <v>116.09</v>
      </c>
      <c r="AC85" s="14" t="n">
        <v>80.47</v>
      </c>
      <c r="AD85" s="14" t="n">
        <v>99.47</v>
      </c>
      <c r="AE85" s="14" t="n">
        <v>101.31</v>
      </c>
    </row>
    <row r="86">
      <c r="A86" s="5" t="inlineStr">
        <is>
          <t xml:space="preserve">  Calendar-year Total</t>
        </is>
      </c>
      <c r="B86" s="12">
        <f>SUM(B74:B85)</f>
        <v/>
      </c>
      <c r="C86" s="12">
        <f>SUM(C74:C85)</f>
        <v/>
      </c>
      <c r="D86" s="12">
        <f>SUM(D74:D85)</f>
        <v/>
      </c>
      <c r="E86" s="12">
        <f>SUM(E74:E85)</f>
        <v/>
      </c>
      <c r="F86" s="12">
        <f>SUM(F74:F85)</f>
        <v/>
      </c>
      <c r="G86" s="12">
        <f>SUM(G74:G85)</f>
        <v/>
      </c>
      <c r="H86" s="12">
        <f>SUM(H74:H85)</f>
        <v/>
      </c>
      <c r="I86" s="12">
        <f>SUM(I74:I85)</f>
        <v/>
      </c>
      <c r="J86" s="12">
        <f>SUM(J74:J85)</f>
        <v/>
      </c>
      <c r="K86" s="12">
        <f>SUM(K74:K85)</f>
        <v/>
      </c>
      <c r="L86" s="12">
        <f>SUM(L74:L85)</f>
        <v/>
      </c>
      <c r="M86" s="12">
        <f>SUM(M74:M85)</f>
        <v/>
      </c>
      <c r="N86" s="12">
        <f>SUM(N74:N85)</f>
        <v/>
      </c>
      <c r="O86" s="12">
        <f>SUM(O74:O85)</f>
        <v/>
      </c>
      <c r="P86" s="12">
        <f>SUM(P74:P85)</f>
        <v/>
      </c>
      <c r="Q86" s="12">
        <f>SUM(Q74:Q85)</f>
        <v/>
      </c>
      <c r="R86" s="12">
        <f>SUM(R74:R85)</f>
        <v/>
      </c>
      <c r="S86" s="12">
        <f>SUM(S74:S85)</f>
        <v/>
      </c>
      <c r="T86" s="12">
        <f>SUM(T74:T85)</f>
        <v/>
      </c>
      <c r="U86" s="12">
        <f>SUM(U74:U85)</f>
        <v/>
      </c>
      <c r="V86" s="12">
        <f>SUM(V74:V85)</f>
        <v/>
      </c>
      <c r="W86" s="12">
        <f>SUM(W74:W85)</f>
        <v/>
      </c>
      <c r="X86" s="12">
        <f>SUM(X74:X85)</f>
        <v/>
      </c>
      <c r="Y86" s="12">
        <f>SUM(Y74:Y85)</f>
        <v/>
      </c>
      <c r="Z86" s="12">
        <f>SUM(Z74:Z85)</f>
        <v/>
      </c>
      <c r="AA86" s="12">
        <f>SUM(AA74:AA85)</f>
        <v/>
      </c>
      <c r="AB86" s="12">
        <f>SUM(AB74:AB85)</f>
        <v/>
      </c>
      <c r="AC86" s="12">
        <f>SUM(AC74:AC85)</f>
        <v/>
      </c>
      <c r="AD86" s="12">
        <f>SUM(AD74:AD85)</f>
        <v/>
      </c>
      <c r="AE86" s="12">
        <f>SUM(AE74:AE85)</f>
        <v/>
      </c>
    </row>
    <row r="88">
      <c r="A88" s="7" t="inlineStr">
        <is>
          <t>US BIODIESEL STOCKS</t>
        </is>
      </c>
    </row>
    <row r="89">
      <c r="A89" s="8" t="inlineStr">
        <is>
          <t>(million gallons)</t>
        </is>
      </c>
      <c r="B89" s="1" t="n">
        <v>2001</v>
      </c>
      <c r="C89" s="1" t="n">
        <v>2002</v>
      </c>
      <c r="D89" s="1" t="n">
        <v>2003</v>
      </c>
      <c r="E89" s="1" t="n">
        <v>2004</v>
      </c>
      <c r="F89" s="1" t="n">
        <v>2005</v>
      </c>
      <c r="G89" s="1" t="n">
        <v>2006</v>
      </c>
      <c r="H89" s="1" t="n">
        <v>2007</v>
      </c>
      <c r="I89" s="1" t="n">
        <v>2008</v>
      </c>
      <c r="J89" s="1" t="n">
        <v>2009</v>
      </c>
      <c r="K89" s="1" t="n">
        <v>2010</v>
      </c>
      <c r="L89" s="1" t="n">
        <v>2011</v>
      </c>
      <c r="M89" s="1" t="n">
        <v>2012</v>
      </c>
      <c r="N89" s="1" t="n">
        <v>2013</v>
      </c>
      <c r="O89" s="1" t="n">
        <v>2014</v>
      </c>
      <c r="P89" s="1" t="n">
        <v>2015</v>
      </c>
      <c r="Q89" s="1" t="n">
        <v>2016</v>
      </c>
      <c r="R89" s="1" t="n">
        <v>2017</v>
      </c>
      <c r="S89" s="1" t="n">
        <v>2018</v>
      </c>
      <c r="T89" s="1" t="n">
        <v>2019</v>
      </c>
      <c r="U89" s="1" t="n">
        <v>2020</v>
      </c>
      <c r="V89" s="1" t="n">
        <v>2021</v>
      </c>
      <c r="W89" s="1" t="n">
        <v>2022</v>
      </c>
      <c r="X89" s="1" t="n">
        <v>2023</v>
      </c>
      <c r="Y89" s="1" t="n">
        <v>2024</v>
      </c>
      <c r="Z89" s="1" t="n">
        <v>2025</v>
      </c>
      <c r="AA89" s="1" t="n">
        <v>2026</v>
      </c>
      <c r="AB89" s="1" t="n">
        <v>2027</v>
      </c>
      <c r="AC89" s="1" t="n">
        <v>2028</v>
      </c>
      <c r="AD89" s="1" t="n">
        <v>2029</v>
      </c>
      <c r="AE89" s="1" t="n">
        <v>2030</v>
      </c>
    </row>
    <row r="90">
      <c r="A90" s="2" t="inlineStr">
        <is>
          <t>Jan</t>
        </is>
      </c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>
        <v>27.89</v>
      </c>
      <c r="K90" s="13" t="n">
        <v>44.06</v>
      </c>
      <c r="L90" s="13" t="n">
        <v>78.36</v>
      </c>
      <c r="M90" s="13" t="n">
        <v>105.14</v>
      </c>
      <c r="N90" s="13" t="n">
        <v>84.08</v>
      </c>
      <c r="O90" s="13" t="n">
        <v>155.75</v>
      </c>
      <c r="P90" s="13" t="n">
        <v>169.36</v>
      </c>
      <c r="Q90" s="13" t="n">
        <v>177.34</v>
      </c>
      <c r="R90" s="13" t="n">
        <v>268.69</v>
      </c>
      <c r="S90" s="13" t="n">
        <v>191.73</v>
      </c>
      <c r="T90" s="13" t="n">
        <v>224.88</v>
      </c>
      <c r="U90" s="13" t="n">
        <v>179.47</v>
      </c>
      <c r="V90" s="13" t="n">
        <v>192.37</v>
      </c>
      <c r="W90" s="13" t="n">
        <v>190.83</v>
      </c>
      <c r="X90" s="13" t="n">
        <v>184.87</v>
      </c>
      <c r="Y90" s="13" t="n">
        <v>176.62</v>
      </c>
      <c r="Z90" s="13" t="n">
        <v>229.88</v>
      </c>
      <c r="AA90" s="13" t="n">
        <v>497.59</v>
      </c>
      <c r="AB90" s="13" t="n">
        <v>833.12</v>
      </c>
      <c r="AC90" s="13" t="n">
        <v>1064.58</v>
      </c>
      <c r="AD90" s="13" t="n">
        <v>1475.16</v>
      </c>
      <c r="AE90" s="13" t="n">
        <v>1842.47</v>
      </c>
    </row>
    <row r="91">
      <c r="A91" s="4" t="inlineStr">
        <is>
          <t>Feb</t>
        </is>
      </c>
      <c r="B91" s="14" t="n"/>
      <c r="C91" s="14" t="n"/>
      <c r="D91" s="14" t="n"/>
      <c r="E91" s="14" t="n"/>
      <c r="F91" s="14" t="n"/>
      <c r="G91" s="14" t="n"/>
      <c r="H91" s="14" t="n"/>
      <c r="I91" s="14" t="n"/>
      <c r="J91" s="14" t="n">
        <v>17.81</v>
      </c>
      <c r="K91" s="14" t="n">
        <v>43.64</v>
      </c>
      <c r="L91" s="14" t="n">
        <v>84.19</v>
      </c>
      <c r="M91" s="14" t="n">
        <v>121.28</v>
      </c>
      <c r="N91" s="14" t="n">
        <v>85.08</v>
      </c>
      <c r="O91" s="14" t="n">
        <v>156.51</v>
      </c>
      <c r="P91" s="14" t="n">
        <v>178.27</v>
      </c>
      <c r="Q91" s="14" t="n">
        <v>173.59</v>
      </c>
      <c r="R91" s="14" t="n">
        <v>271.96</v>
      </c>
      <c r="S91" s="14" t="n">
        <v>207.22</v>
      </c>
      <c r="T91" s="14" t="n">
        <v>231.1</v>
      </c>
      <c r="U91" s="14" t="n">
        <v>177.23</v>
      </c>
      <c r="V91" s="14" t="n">
        <v>175.95</v>
      </c>
      <c r="W91" s="14" t="n">
        <v>187.21</v>
      </c>
      <c r="X91" s="14" t="n">
        <v>205.22</v>
      </c>
      <c r="Y91" s="14" t="n">
        <v>191.69</v>
      </c>
      <c r="Z91" s="14" t="n">
        <v>207.44</v>
      </c>
      <c r="AA91" s="14" t="n">
        <v>523.98</v>
      </c>
      <c r="AB91" s="14" t="n">
        <v>841.21</v>
      </c>
      <c r="AC91" s="14" t="n">
        <v>1088.83</v>
      </c>
      <c r="AD91" s="14" t="n">
        <v>1492.78</v>
      </c>
      <c r="AE91" s="14" t="n">
        <v>1855.77</v>
      </c>
    </row>
    <row r="92">
      <c r="A92" s="2" t="inlineStr">
        <is>
          <t>Mar</t>
        </is>
      </c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>
        <v>27.93</v>
      </c>
      <c r="K92" s="13" t="n">
        <v>44.39</v>
      </c>
      <c r="L92" s="13" t="n">
        <v>105.14</v>
      </c>
      <c r="M92" s="13" t="n">
        <v>121.23</v>
      </c>
      <c r="N92" s="13" t="n">
        <v>100.37</v>
      </c>
      <c r="O92" s="13" t="n">
        <v>151.38</v>
      </c>
      <c r="P92" s="13" t="n">
        <v>178.25</v>
      </c>
      <c r="Q92" s="13" t="n">
        <v>175</v>
      </c>
      <c r="R92" s="13" t="n">
        <v>259.96</v>
      </c>
      <c r="S92" s="13" t="n">
        <v>206.84</v>
      </c>
      <c r="T92" s="13" t="n">
        <v>226.34</v>
      </c>
      <c r="U92" s="13" t="n">
        <v>186.02</v>
      </c>
      <c r="V92" s="13" t="n">
        <v>179.92</v>
      </c>
      <c r="W92" s="13" t="n">
        <v>197.06</v>
      </c>
      <c r="X92" s="13" t="n">
        <v>215.57</v>
      </c>
      <c r="Y92" s="13" t="n">
        <v>184.83</v>
      </c>
      <c r="Z92" s="13" t="n">
        <v>187.32</v>
      </c>
      <c r="AA92" s="13" t="n">
        <v>544.22</v>
      </c>
      <c r="AB92" s="13" t="n">
        <v>845.97</v>
      </c>
      <c r="AC92" s="13" t="n">
        <v>1108.35</v>
      </c>
      <c r="AD92" s="13" t="n">
        <v>1504.58</v>
      </c>
      <c r="AE92" s="13" t="n">
        <v>1866.7</v>
      </c>
    </row>
    <row r="93">
      <c r="A93" s="4" t="inlineStr">
        <is>
          <t>Apr</t>
        </is>
      </c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>
        <v>26.54</v>
      </c>
      <c r="K93" s="14" t="n">
        <v>42.38</v>
      </c>
      <c r="L93" s="14" t="n">
        <v>121.28</v>
      </c>
      <c r="M93" s="14" t="n">
        <v>116.45</v>
      </c>
      <c r="N93" s="14" t="n">
        <v>105.29</v>
      </c>
      <c r="O93" s="14" t="n">
        <v>142.88</v>
      </c>
      <c r="P93" s="14" t="n">
        <v>170.97</v>
      </c>
      <c r="Q93" s="14" t="n">
        <v>183.05</v>
      </c>
      <c r="R93" s="14" t="n">
        <v>239.63</v>
      </c>
      <c r="S93" s="14" t="n">
        <v>198.06</v>
      </c>
      <c r="T93" s="14" t="n">
        <v>223.87</v>
      </c>
      <c r="U93" s="14" t="n">
        <v>185.28</v>
      </c>
      <c r="V93" s="14" t="n">
        <v>175.69</v>
      </c>
      <c r="W93" s="14" t="n">
        <v>176.92</v>
      </c>
      <c r="X93" s="14" t="n">
        <v>208.21</v>
      </c>
      <c r="Y93" s="14" t="n">
        <v>185.35</v>
      </c>
      <c r="Z93" s="14" t="n">
        <v>209.54</v>
      </c>
      <c r="AA93" s="14" t="n">
        <v>576.2</v>
      </c>
      <c r="AB93" s="14" t="n">
        <v>869.51</v>
      </c>
      <c r="AC93" s="14" t="n">
        <v>1148.12</v>
      </c>
      <c r="AD93" s="14" t="n">
        <v>1539.89</v>
      </c>
      <c r="AE93" s="14" t="n">
        <v>1903.47</v>
      </c>
    </row>
    <row r="94">
      <c r="A94" s="2" t="inlineStr">
        <is>
          <t>May</t>
        </is>
      </c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>
        <v>25.2</v>
      </c>
      <c r="K94" s="13" t="n">
        <v>42.67</v>
      </c>
      <c r="L94" s="13" t="n">
        <v>121.23</v>
      </c>
      <c r="M94" s="13" t="n">
        <v>113.81</v>
      </c>
      <c r="N94" s="13" t="n">
        <v>103.31</v>
      </c>
      <c r="O94" s="13" t="n">
        <v>131.67</v>
      </c>
      <c r="P94" s="13" t="n">
        <v>151.17</v>
      </c>
      <c r="Q94" s="13" t="n">
        <v>171.81</v>
      </c>
      <c r="R94" s="13" t="n">
        <v>206.16</v>
      </c>
      <c r="S94" s="13" t="n">
        <v>179.54</v>
      </c>
      <c r="T94" s="13" t="n">
        <v>202.23</v>
      </c>
      <c r="U94" s="13" t="n">
        <v>189.57</v>
      </c>
      <c r="V94" s="13" t="n">
        <v>159.79</v>
      </c>
      <c r="W94" s="13" t="n">
        <v>161.25</v>
      </c>
      <c r="X94" s="13" t="n">
        <v>188.47</v>
      </c>
      <c r="Y94" s="13" t="n">
        <v>185.28</v>
      </c>
      <c r="Z94" s="13" t="n">
        <v>217.14</v>
      </c>
      <c r="AA94" s="13" t="n">
        <v>600.62</v>
      </c>
      <c r="AB94" s="13" t="n">
        <v>883.1799999999999</v>
      </c>
      <c r="AC94" s="13" t="n">
        <v>1179.49</v>
      </c>
      <c r="AD94" s="13" t="n">
        <v>1565.72</v>
      </c>
      <c r="AE94" s="13" t="n">
        <v>1930.39</v>
      </c>
    </row>
    <row r="95">
      <c r="A95" s="4" t="inlineStr">
        <is>
          <t>Jun</t>
        </is>
      </c>
      <c r="B95" s="14" t="n"/>
      <c r="C95" s="14" t="n"/>
      <c r="D95" s="14" t="n"/>
      <c r="E95" s="14" t="n"/>
      <c r="F95" s="14" t="n"/>
      <c r="G95" s="14" t="n"/>
      <c r="H95" s="14" t="n"/>
      <c r="I95" s="14" t="n"/>
      <c r="J95" s="14" t="n">
        <v>24.4</v>
      </c>
      <c r="K95" s="14" t="n">
        <v>40.66</v>
      </c>
      <c r="L95" s="14" t="n">
        <v>116.45</v>
      </c>
      <c r="M95" s="14" t="n">
        <v>98.61</v>
      </c>
      <c r="N95" s="14" t="n">
        <v>104.36</v>
      </c>
      <c r="O95" s="14" t="n">
        <v>117.53</v>
      </c>
      <c r="P95" s="14" t="n">
        <v>128.64</v>
      </c>
      <c r="Q95" s="14" t="n">
        <v>198.49</v>
      </c>
      <c r="R95" s="14" t="n">
        <v>212.19</v>
      </c>
      <c r="S95" s="14" t="n">
        <v>161.7</v>
      </c>
      <c r="T95" s="14" t="n">
        <v>185.16</v>
      </c>
      <c r="U95" s="14" t="n">
        <v>181.36</v>
      </c>
      <c r="V95" s="14" t="n">
        <v>157.4</v>
      </c>
      <c r="W95" s="14" t="n">
        <v>142.98</v>
      </c>
      <c r="X95" s="14" t="n">
        <v>167.91</v>
      </c>
      <c r="Y95" s="14" t="n">
        <v>183.06</v>
      </c>
      <c r="Z95" s="14" t="n">
        <v>229.26</v>
      </c>
      <c r="AA95" s="14" t="n">
        <v>626.4299999999999</v>
      </c>
      <c r="AB95" s="14" t="n">
        <v>894.36</v>
      </c>
      <c r="AC95" s="14" t="n">
        <v>1209.25</v>
      </c>
      <c r="AD95" s="14" t="n">
        <v>1590.09</v>
      </c>
      <c r="AE95" s="14" t="n">
        <v>1957.43</v>
      </c>
    </row>
    <row r="96">
      <c r="A96" s="2" t="inlineStr">
        <is>
          <t>Jul</t>
        </is>
      </c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>
        <v>21.46</v>
      </c>
      <c r="K96" s="13" t="n">
        <v>34.86</v>
      </c>
      <c r="L96" s="13" t="n">
        <v>113.81</v>
      </c>
      <c r="M96" s="13" t="n">
        <v>94.98999999999999</v>
      </c>
      <c r="N96" s="13" t="n">
        <v>112.68</v>
      </c>
      <c r="O96" s="13" t="n">
        <v>129.74</v>
      </c>
      <c r="P96" s="13" t="n">
        <v>142.95</v>
      </c>
      <c r="Q96" s="13" t="n">
        <v>186.59</v>
      </c>
      <c r="R96" s="13" t="n">
        <v>227.01</v>
      </c>
      <c r="S96" s="13" t="n">
        <v>157.18</v>
      </c>
      <c r="T96" s="13" t="n">
        <v>171.68</v>
      </c>
      <c r="U96" s="13" t="n">
        <v>162.92</v>
      </c>
      <c r="V96" s="13" t="n">
        <v>155.27</v>
      </c>
      <c r="W96" s="13" t="n">
        <v>136.1</v>
      </c>
      <c r="X96" s="13" t="n">
        <v>157.63</v>
      </c>
      <c r="Y96" s="13" t="n">
        <v>176.23</v>
      </c>
      <c r="Z96" s="13" t="n">
        <v>230.77</v>
      </c>
      <c r="AA96" s="13" t="n">
        <v>647.3099999999999</v>
      </c>
      <c r="AB96" s="13" t="n">
        <v>902</v>
      </c>
      <c r="AC96" s="13" t="n">
        <v>1234.82</v>
      </c>
      <c r="AD96" s="13" t="n">
        <v>1610.56</v>
      </c>
      <c r="AE96" s="13" t="n">
        <v>1978.5</v>
      </c>
    </row>
    <row r="97">
      <c r="A97" s="4" t="inlineStr">
        <is>
          <t>Aug</t>
        </is>
      </c>
      <c r="B97" s="14" t="n"/>
      <c r="C97" s="14" t="n"/>
      <c r="D97" s="14" t="n"/>
      <c r="E97" s="14" t="n"/>
      <c r="F97" s="14" t="n"/>
      <c r="G97" s="14" t="n"/>
      <c r="H97" s="14" t="n"/>
      <c r="I97" s="14" t="n"/>
      <c r="J97" s="14" t="n">
        <v>21.46</v>
      </c>
      <c r="K97" s="14" t="n">
        <v>32.38</v>
      </c>
      <c r="L97" s="14" t="n">
        <v>98.61</v>
      </c>
      <c r="M97" s="14" t="n">
        <v>84.48</v>
      </c>
      <c r="N97" s="14" t="n">
        <v>107.06</v>
      </c>
      <c r="O97" s="14" t="n">
        <v>116.99</v>
      </c>
      <c r="P97" s="14" t="n">
        <v>139.99</v>
      </c>
      <c r="Q97" s="14" t="n">
        <v>179.14</v>
      </c>
      <c r="R97" s="14" t="n">
        <v>224.93</v>
      </c>
      <c r="S97" s="14" t="n">
        <v>143.85</v>
      </c>
      <c r="T97" s="14" t="n">
        <v>162.1</v>
      </c>
      <c r="U97" s="14" t="n">
        <v>149.65</v>
      </c>
      <c r="V97" s="14" t="n">
        <v>141.48</v>
      </c>
      <c r="W97" s="14" t="n">
        <v>121.54</v>
      </c>
      <c r="X97" s="14" t="n">
        <v>152.14</v>
      </c>
      <c r="Y97" s="14" t="n">
        <v>164.51</v>
      </c>
      <c r="Z97" s="14" t="n">
        <v>243.01</v>
      </c>
      <c r="AA97" s="14" t="n">
        <v>674.54</v>
      </c>
      <c r="AB97" s="14" t="n">
        <v>918.79</v>
      </c>
      <c r="AC97" s="14" t="n">
        <v>1268.73</v>
      </c>
      <c r="AD97" s="14" t="n">
        <v>1639.06</v>
      </c>
      <c r="AE97" s="14" t="n">
        <v>2008.8</v>
      </c>
    </row>
    <row r="98">
      <c r="A98" s="2" t="inlineStr">
        <is>
          <t>Sep</t>
        </is>
      </c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>
        <v>22.13</v>
      </c>
      <c r="K98" s="13" t="n">
        <v>28.64</v>
      </c>
      <c r="L98" s="13" t="n">
        <v>94.98999999999999</v>
      </c>
      <c r="M98" s="13" t="n">
        <v>86.04000000000001</v>
      </c>
      <c r="N98" s="13" t="n">
        <v>105.38</v>
      </c>
      <c r="O98" s="13" t="n">
        <v>96.31999999999999</v>
      </c>
      <c r="P98" s="13" t="n">
        <v>126.9</v>
      </c>
      <c r="Q98" s="13" t="n">
        <v>177.53</v>
      </c>
      <c r="R98" s="13" t="n">
        <v>203.64</v>
      </c>
      <c r="S98" s="13" t="n">
        <v>141.6</v>
      </c>
      <c r="T98" s="13" t="n">
        <v>155.64</v>
      </c>
      <c r="U98" s="13" t="n">
        <v>135.29</v>
      </c>
      <c r="V98" s="13" t="n">
        <v>135.64</v>
      </c>
      <c r="W98" s="13" t="n">
        <v>118.7</v>
      </c>
      <c r="X98" s="13" t="n">
        <v>152.42</v>
      </c>
      <c r="Y98" s="13" t="n">
        <v>165.06</v>
      </c>
      <c r="Z98" s="13" t="n">
        <v>260.64</v>
      </c>
      <c r="AA98" s="13" t="n">
        <v>703.5</v>
      </c>
      <c r="AB98" s="13" t="n">
        <v>935.8200000000001</v>
      </c>
      <c r="AC98" s="13" t="n">
        <v>1302.81</v>
      </c>
      <c r="AD98" s="13" t="n">
        <v>1668.57</v>
      </c>
      <c r="AE98" s="13" t="n">
        <v>2039.75</v>
      </c>
    </row>
    <row r="99">
      <c r="A99" s="4" t="inlineStr">
        <is>
          <t>Oct</t>
        </is>
      </c>
      <c r="B99" s="14" t="n"/>
      <c r="C99" s="14" t="n"/>
      <c r="D99" s="14" t="n"/>
      <c r="E99" s="14" t="n"/>
      <c r="F99" s="14" t="n"/>
      <c r="G99" s="14" t="n"/>
      <c r="H99" s="14" t="n"/>
      <c r="I99" s="14" t="n"/>
      <c r="J99" s="14" t="n">
        <v>23.23</v>
      </c>
      <c r="K99" s="14" t="n">
        <v>27.3</v>
      </c>
      <c r="L99" s="14" t="n">
        <v>84.48</v>
      </c>
      <c r="M99" s="14" t="n">
        <v>91.38</v>
      </c>
      <c r="N99" s="14" t="n">
        <v>104.28</v>
      </c>
      <c r="O99" s="14" t="n">
        <v>110.9</v>
      </c>
      <c r="P99" s="14" t="n">
        <v>128.93</v>
      </c>
      <c r="Q99" s="14" t="n">
        <v>196.97</v>
      </c>
      <c r="R99" s="14" t="n">
        <v>188.37</v>
      </c>
      <c r="S99" s="14" t="n">
        <v>153.18</v>
      </c>
      <c r="T99" s="14" t="n">
        <v>156.99</v>
      </c>
      <c r="U99" s="14" t="n">
        <v>143.56</v>
      </c>
      <c r="V99" s="14" t="n">
        <v>140.27</v>
      </c>
      <c r="W99" s="14" t="n">
        <v>121.94</v>
      </c>
      <c r="X99" s="14" t="n">
        <v>147.22</v>
      </c>
      <c r="Y99" s="14" t="n">
        <v>182.2</v>
      </c>
      <c r="Z99" s="14" t="n">
        <v>278.23</v>
      </c>
      <c r="AA99" s="14" t="n">
        <v>732.48</v>
      </c>
      <c r="AB99" s="14" t="n">
        <v>952.1</v>
      </c>
      <c r="AC99" s="14" t="n">
        <v>1337.25</v>
      </c>
      <c r="AD99" s="14" t="n">
        <v>1699.36</v>
      </c>
      <c r="AE99" s="14" t="n">
        <v>2069.59</v>
      </c>
    </row>
    <row r="100">
      <c r="A100" s="2" t="inlineStr">
        <is>
          <t>Nov</t>
        </is>
      </c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>
        <v>22.3</v>
      </c>
      <c r="K100" s="13" t="n">
        <v>28.39</v>
      </c>
      <c r="L100" s="13" t="n">
        <v>86.04000000000001</v>
      </c>
      <c r="M100" s="13" t="n">
        <v>78.19</v>
      </c>
      <c r="N100" s="13" t="n">
        <v>141.11</v>
      </c>
      <c r="O100" s="13" t="n">
        <v>129.54</v>
      </c>
      <c r="P100" s="13" t="n">
        <v>151.2</v>
      </c>
      <c r="Q100" s="13" t="n">
        <v>223.2</v>
      </c>
      <c r="R100" s="13" t="n">
        <v>177.8</v>
      </c>
      <c r="S100" s="13" t="n">
        <v>169.65</v>
      </c>
      <c r="T100" s="13" t="n">
        <v>163.24</v>
      </c>
      <c r="U100" s="13" t="n">
        <v>157.13</v>
      </c>
      <c r="V100" s="13" t="n">
        <v>157.37</v>
      </c>
      <c r="W100" s="13" t="n">
        <v>135.76</v>
      </c>
      <c r="X100" s="13" t="n">
        <v>153.49</v>
      </c>
      <c r="Y100" s="13" t="n">
        <v>206.79</v>
      </c>
      <c r="Z100" s="13" t="n">
        <v>308.73</v>
      </c>
      <c r="AA100" s="13" t="n">
        <v>769</v>
      </c>
      <c r="AB100" s="13" t="n">
        <v>974.5</v>
      </c>
      <c r="AC100" s="13" t="n">
        <v>1376.15</v>
      </c>
      <c r="AD100" s="13" t="n">
        <v>1734.46</v>
      </c>
      <c r="AE100" s="13" t="n">
        <v>2105.18</v>
      </c>
    </row>
    <row r="101">
      <c r="A101" s="4" t="inlineStr">
        <is>
          <t>Dec</t>
        </is>
      </c>
      <c r="B101" s="14" t="n"/>
      <c r="C101" s="14" t="n"/>
      <c r="D101" s="14" t="n"/>
      <c r="E101" s="14" t="n"/>
      <c r="F101" s="14" t="n"/>
      <c r="G101" s="14" t="n"/>
      <c r="H101" s="14" t="n"/>
      <c r="I101" s="14" t="n"/>
      <c r="J101" s="14" t="n">
        <v>29.86</v>
      </c>
      <c r="K101" s="14" t="n">
        <v>28.22</v>
      </c>
      <c r="L101" s="14" t="n">
        <v>91.38</v>
      </c>
      <c r="M101" s="14" t="n">
        <v>83.34</v>
      </c>
      <c r="N101" s="14" t="n">
        <v>160.01</v>
      </c>
      <c r="O101" s="14" t="n">
        <v>131.49</v>
      </c>
      <c r="P101" s="14" t="n">
        <v>165.62</v>
      </c>
      <c r="Q101" s="14" t="n">
        <v>268.71</v>
      </c>
      <c r="R101" s="14" t="n">
        <v>179.25</v>
      </c>
      <c r="S101" s="14" t="n">
        <v>195.81</v>
      </c>
      <c r="T101" s="14" t="n">
        <v>164.08</v>
      </c>
      <c r="U101" s="14" t="n">
        <v>153.95</v>
      </c>
      <c r="V101" s="14" t="n">
        <v>175.87</v>
      </c>
      <c r="W101" s="14" t="n">
        <v>151.53</v>
      </c>
      <c r="X101" s="14" t="n">
        <v>160.17</v>
      </c>
      <c r="Y101" s="14" t="n">
        <v>252.48</v>
      </c>
      <c r="Z101" s="14" t="n">
        <v>471.18</v>
      </c>
      <c r="AA101" s="14" t="n">
        <v>827.02</v>
      </c>
      <c r="AB101" s="14" t="n">
        <v>1042.31</v>
      </c>
      <c r="AC101" s="14" t="n">
        <v>1459.27</v>
      </c>
      <c r="AD101" s="14" t="n">
        <v>1830.35</v>
      </c>
      <c r="AE101" s="14" t="n">
        <v>2203</v>
      </c>
    </row>
    <row r="102">
      <c r="A102" s="5" t="inlineStr">
        <is>
          <t xml:space="preserve">  Calendar-year Total</t>
        </is>
      </c>
      <c r="B102" s="12">
        <f>AVERAGE(B90:B101)</f>
        <v/>
      </c>
      <c r="C102" s="12">
        <f>AVERAGE(C90:C101)</f>
        <v/>
      </c>
      <c r="D102" s="12">
        <f>AVERAGE(D90:D101)</f>
        <v/>
      </c>
      <c r="E102" s="12">
        <f>AVERAGE(E90:E101)</f>
        <v/>
      </c>
      <c r="F102" s="12">
        <f>AVERAGE(F90:F101)</f>
        <v/>
      </c>
      <c r="G102" s="12">
        <f>AVERAGE(G90:G101)</f>
        <v/>
      </c>
      <c r="H102" s="12">
        <f>AVERAGE(H90:H101)</f>
        <v/>
      </c>
      <c r="I102" s="12">
        <f>AVERAGE(I90:I101)</f>
        <v/>
      </c>
      <c r="J102" s="12">
        <f>AVERAGE(J90:J101)</f>
        <v/>
      </c>
      <c r="K102" s="12">
        <f>AVERAGE(K90:K101)</f>
        <v/>
      </c>
      <c r="L102" s="12">
        <f>AVERAGE(L90:L101)</f>
        <v/>
      </c>
      <c r="M102" s="12">
        <f>AVERAGE(M90:M101)</f>
        <v/>
      </c>
      <c r="N102" s="12">
        <f>AVERAGE(N90:N101)</f>
        <v/>
      </c>
      <c r="O102" s="12">
        <f>AVERAGE(O90:O101)</f>
        <v/>
      </c>
      <c r="P102" s="12">
        <f>AVERAGE(P90:P101)</f>
        <v/>
      </c>
      <c r="Q102" s="12">
        <f>AVERAGE(Q90:Q101)</f>
        <v/>
      </c>
      <c r="R102" s="12">
        <f>AVERAGE(R90:R101)</f>
        <v/>
      </c>
      <c r="S102" s="12">
        <f>AVERAGE(S90:S101)</f>
        <v/>
      </c>
      <c r="T102" s="12">
        <f>AVERAGE(T90:T101)</f>
        <v/>
      </c>
      <c r="U102" s="12">
        <f>AVERAGE(U90:U101)</f>
        <v/>
      </c>
      <c r="V102" s="12">
        <f>AVERAGE(V90:V101)</f>
        <v/>
      </c>
      <c r="W102" s="12">
        <f>AVERAGE(W90:W101)</f>
        <v/>
      </c>
      <c r="X102" s="12">
        <f>AVERAGE(X90:X101)</f>
        <v/>
      </c>
      <c r="Y102" s="12">
        <f>AVERAGE(Y90:Y101)</f>
        <v/>
      </c>
      <c r="Z102" s="12">
        <f>AVERAGE(Z90:Z101)</f>
        <v/>
      </c>
      <c r="AA102" s="12">
        <f>AVERAGE(AA90:AA101)</f>
        <v/>
      </c>
      <c r="AB102" s="12">
        <f>AVERAGE(AB90:AB101)</f>
        <v/>
      </c>
      <c r="AC102" s="12">
        <f>AVERAGE(AC90:AC101)</f>
        <v/>
      </c>
      <c r="AD102" s="12">
        <f>AVERAGE(AD90:AD101)</f>
        <v/>
      </c>
      <c r="AE102" s="12">
        <f>AVERAGE(AE90:AE101)</f>
        <v/>
      </c>
    </row>
    <row r="104">
      <c r="A104" s="7" t="inlineStr">
        <is>
          <t>US BIODIESEL CAPACITY</t>
        </is>
      </c>
    </row>
    <row r="105">
      <c r="A105" s="8" t="inlineStr">
        <is>
          <t>(MMGY)</t>
        </is>
      </c>
      <c r="B105" s="1" t="n">
        <v>2001</v>
      </c>
      <c r="C105" s="1" t="n">
        <v>2002</v>
      </c>
      <c r="D105" s="1" t="n">
        <v>2003</v>
      </c>
      <c r="E105" s="1" t="n">
        <v>2004</v>
      </c>
      <c r="F105" s="1" t="n">
        <v>2005</v>
      </c>
      <c r="G105" s="1" t="n">
        <v>2006</v>
      </c>
      <c r="H105" s="1" t="n">
        <v>2007</v>
      </c>
      <c r="I105" s="1" t="n">
        <v>2008</v>
      </c>
      <c r="J105" s="1" t="n">
        <v>2009</v>
      </c>
      <c r="K105" s="1" t="n">
        <v>2010</v>
      </c>
      <c r="L105" s="1" t="n">
        <v>2011</v>
      </c>
      <c r="M105" s="1" t="n">
        <v>2012</v>
      </c>
      <c r="N105" s="1" t="n">
        <v>2013</v>
      </c>
      <c r="O105" s="1" t="n">
        <v>2014</v>
      </c>
      <c r="P105" s="1" t="n">
        <v>2015</v>
      </c>
      <c r="Q105" s="1" t="n">
        <v>2016</v>
      </c>
      <c r="R105" s="1" t="n">
        <v>2017</v>
      </c>
      <c r="S105" s="1" t="n">
        <v>2018</v>
      </c>
      <c r="T105" s="1" t="n">
        <v>2019</v>
      </c>
      <c r="U105" s="1" t="n">
        <v>2020</v>
      </c>
      <c r="V105" s="1" t="n">
        <v>2021</v>
      </c>
      <c r="W105" s="1" t="n">
        <v>2022</v>
      </c>
      <c r="X105" s="1" t="n">
        <v>2023</v>
      </c>
      <c r="Y105" s="1" t="n">
        <v>2024</v>
      </c>
      <c r="Z105" s="1" t="n">
        <v>2025</v>
      </c>
      <c r="AA105" s="1" t="n">
        <v>2026</v>
      </c>
      <c r="AB105" s="1" t="n">
        <v>2027</v>
      </c>
      <c r="AC105" s="1" t="n">
        <v>2028</v>
      </c>
      <c r="AD105" s="1" t="n">
        <v>2029</v>
      </c>
      <c r="AE105" s="1" t="n">
        <v>2030</v>
      </c>
    </row>
    <row r="106">
      <c r="A106" s="2" t="inlineStr">
        <is>
          <t>Jan</t>
        </is>
      </c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9" t="n">
        <v>2114</v>
      </c>
      <c r="M106" s="9" t="n">
        <v>2248</v>
      </c>
      <c r="N106" s="9" t="n">
        <v>2112</v>
      </c>
      <c r="O106" s="9" t="n">
        <v>1959</v>
      </c>
      <c r="P106" s="9" t="n">
        <v>2106</v>
      </c>
      <c r="Q106" s="9" t="n">
        <v>2270</v>
      </c>
      <c r="R106" s="9" t="n">
        <v>2316</v>
      </c>
      <c r="S106" s="9" t="n">
        <v>2549</v>
      </c>
      <c r="T106" s="9" t="n">
        <v>2564</v>
      </c>
      <c r="U106" s="9" t="n">
        <v>2515</v>
      </c>
      <c r="V106" s="9" t="n">
        <v>2394</v>
      </c>
      <c r="W106" s="9" t="n">
        <v>2263</v>
      </c>
      <c r="X106" s="9" t="n">
        <v>2051</v>
      </c>
      <c r="Y106" s="9" t="n">
        <v>2073</v>
      </c>
      <c r="Z106" s="9" t="n">
        <v>1984</v>
      </c>
      <c r="AA106" s="9" t="n">
        <v>1800</v>
      </c>
      <c r="AB106" s="9" t="n">
        <v>1793</v>
      </c>
      <c r="AC106" s="9" t="n">
        <v>1787</v>
      </c>
      <c r="AD106" s="9" t="n">
        <v>1797</v>
      </c>
      <c r="AE106" s="9" t="n">
        <v>1784</v>
      </c>
    </row>
    <row r="107">
      <c r="A107" s="4" t="inlineStr">
        <is>
          <t>Feb</t>
        </is>
      </c>
      <c r="L107" s="10" t="n">
        <v>2104</v>
      </c>
      <c r="M107" s="10" t="n">
        <v>2248</v>
      </c>
      <c r="N107" s="10" t="n">
        <v>2121</v>
      </c>
      <c r="O107" s="10" t="n">
        <v>2102</v>
      </c>
      <c r="P107" s="10" t="n">
        <v>2155</v>
      </c>
      <c r="Q107" s="10" t="n">
        <v>2270</v>
      </c>
      <c r="R107" s="10" t="n">
        <v>2316</v>
      </c>
      <c r="S107" s="10" t="n">
        <v>2550</v>
      </c>
      <c r="T107" s="10" t="n">
        <v>2563</v>
      </c>
      <c r="U107" s="10" t="n">
        <v>2515</v>
      </c>
      <c r="V107" s="10" t="n">
        <v>2394</v>
      </c>
      <c r="W107" s="10" t="n">
        <v>2285</v>
      </c>
      <c r="X107" s="10" t="n">
        <v>2063</v>
      </c>
      <c r="Y107" s="10" t="n">
        <v>1984</v>
      </c>
      <c r="Z107" s="10" t="n">
        <v>1967</v>
      </c>
      <c r="AA107" s="10" t="n">
        <v>1800</v>
      </c>
      <c r="AB107" s="10" t="n">
        <v>1793</v>
      </c>
      <c r="AC107" s="10" t="n">
        <v>1786</v>
      </c>
      <c r="AD107" s="10" t="n">
        <v>1797</v>
      </c>
      <c r="AE107" s="10" t="n">
        <v>1784</v>
      </c>
    </row>
    <row r="108">
      <c r="A108" s="2" t="inlineStr">
        <is>
          <t>Mar</t>
        </is>
      </c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9" t="n">
        <v>2082</v>
      </c>
      <c r="M108" s="9" t="n">
        <v>2233</v>
      </c>
      <c r="N108" s="9" t="n">
        <v>2140</v>
      </c>
      <c r="O108" s="9" t="n">
        <v>2073</v>
      </c>
      <c r="P108" s="9" t="n">
        <v>2160</v>
      </c>
      <c r="Q108" s="9" t="n">
        <v>2299</v>
      </c>
      <c r="R108" s="9" t="n">
        <v>2362</v>
      </c>
      <c r="S108" s="9" t="n">
        <v>2548</v>
      </c>
      <c r="T108" s="9" t="n">
        <v>2563</v>
      </c>
      <c r="U108" s="9" t="n">
        <v>2514</v>
      </c>
      <c r="V108" s="9" t="n">
        <v>2410</v>
      </c>
      <c r="W108" s="9" t="n">
        <v>2284</v>
      </c>
      <c r="X108" s="9" t="n">
        <v>2087</v>
      </c>
      <c r="Y108" s="9" t="n">
        <v>1984</v>
      </c>
      <c r="Z108" s="9" t="n">
        <v>1951</v>
      </c>
      <c r="AA108" s="9" t="n">
        <v>1799</v>
      </c>
      <c r="AB108" s="9" t="n">
        <v>1792</v>
      </c>
      <c r="AC108" s="9" t="n">
        <v>1777</v>
      </c>
      <c r="AD108" s="9" t="n">
        <v>1797</v>
      </c>
      <c r="AE108" s="9" t="n">
        <v>1784</v>
      </c>
    </row>
    <row r="109">
      <c r="A109" s="4" t="inlineStr">
        <is>
          <t>Apr</t>
        </is>
      </c>
      <c r="L109" s="10" t="n">
        <v>2101</v>
      </c>
      <c r="M109" s="10" t="n">
        <v>2203</v>
      </c>
      <c r="N109" s="10" t="n">
        <v>2141</v>
      </c>
      <c r="O109" s="10" t="n">
        <v>2079</v>
      </c>
      <c r="P109" s="10" t="n">
        <v>2209</v>
      </c>
      <c r="Q109" s="10" t="n">
        <v>2290</v>
      </c>
      <c r="R109" s="10" t="n">
        <v>2328</v>
      </c>
      <c r="S109" s="10" t="n">
        <v>2567</v>
      </c>
      <c r="T109" s="10" t="n">
        <v>2563</v>
      </c>
      <c r="U109" s="10" t="n">
        <v>2514</v>
      </c>
      <c r="V109" s="10" t="n">
        <v>2410</v>
      </c>
      <c r="W109" s="10" t="n">
        <v>2225</v>
      </c>
      <c r="X109" s="10" t="n">
        <v>2087</v>
      </c>
      <c r="Y109" s="10" t="n">
        <v>1991</v>
      </c>
      <c r="Z109" s="10" t="n">
        <v>1934</v>
      </c>
      <c r="AA109" s="10" t="n">
        <v>1798</v>
      </c>
      <c r="AB109" s="10" t="n">
        <v>1792</v>
      </c>
      <c r="AC109" s="10" t="n">
        <v>1777</v>
      </c>
      <c r="AD109" s="10" t="n">
        <v>1797</v>
      </c>
      <c r="AE109" s="10" t="n">
        <v>1781</v>
      </c>
    </row>
    <row r="110">
      <c r="A110" s="2" t="inlineStr">
        <is>
          <t>May</t>
        </is>
      </c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9" t="n">
        <v>2064</v>
      </c>
      <c r="M110" s="9" t="n">
        <v>2199</v>
      </c>
      <c r="N110" s="9" t="n">
        <v>2153</v>
      </c>
      <c r="O110" s="9" t="n">
        <v>2120</v>
      </c>
      <c r="P110" s="9" t="n">
        <v>2168</v>
      </c>
      <c r="Q110" s="9" t="n">
        <v>2275</v>
      </c>
      <c r="R110" s="9" t="n">
        <v>2329</v>
      </c>
      <c r="S110" s="9" t="n">
        <v>2511</v>
      </c>
      <c r="T110" s="9" t="n">
        <v>2553</v>
      </c>
      <c r="U110" s="9" t="n">
        <v>2514</v>
      </c>
      <c r="V110" s="9" t="n">
        <v>2428</v>
      </c>
      <c r="W110" s="9" t="n">
        <v>2223</v>
      </c>
      <c r="X110" s="9" t="n">
        <v>2082</v>
      </c>
      <c r="Y110" s="9" t="n">
        <v>2022</v>
      </c>
      <c r="Z110" s="9" t="n">
        <v>1917</v>
      </c>
      <c r="AA110" s="9" t="n">
        <v>1798</v>
      </c>
      <c r="AB110" s="9" t="n">
        <v>1791</v>
      </c>
      <c r="AC110" s="9" t="n">
        <v>1777</v>
      </c>
      <c r="AD110" s="9" t="n">
        <v>1797</v>
      </c>
      <c r="AE110" s="9" t="n">
        <v>1781</v>
      </c>
    </row>
    <row r="111">
      <c r="A111" s="4" t="inlineStr">
        <is>
          <t>Jun</t>
        </is>
      </c>
      <c r="L111" s="10" t="n">
        <v>2069</v>
      </c>
      <c r="M111" s="10" t="n">
        <v>2183</v>
      </c>
      <c r="N111" s="10" t="n">
        <v>2162</v>
      </c>
      <c r="O111" s="10" t="n">
        <v>2002</v>
      </c>
      <c r="P111" s="10" t="n">
        <v>2151</v>
      </c>
      <c r="Q111" s="10" t="n">
        <v>2275</v>
      </c>
      <c r="R111" s="10" t="n">
        <v>2329</v>
      </c>
      <c r="S111" s="10" t="n">
        <v>2512</v>
      </c>
      <c r="T111" s="10" t="n">
        <v>2504</v>
      </c>
      <c r="U111" s="10" t="n">
        <v>2514</v>
      </c>
      <c r="V111" s="10" t="n">
        <v>2428</v>
      </c>
      <c r="W111" s="10" t="n">
        <v>2223</v>
      </c>
      <c r="X111" s="10" t="n">
        <v>2082</v>
      </c>
      <c r="Y111" s="10" t="n">
        <v>2022</v>
      </c>
      <c r="Z111" s="10" t="n">
        <v>1901</v>
      </c>
      <c r="AA111" s="10" t="n">
        <v>1797</v>
      </c>
      <c r="AB111" s="10" t="n">
        <v>1791</v>
      </c>
      <c r="AC111" s="10" t="n">
        <v>1777</v>
      </c>
      <c r="AD111" s="10" t="n">
        <v>1797</v>
      </c>
      <c r="AE111" s="10" t="n">
        <v>1781</v>
      </c>
    </row>
    <row r="112">
      <c r="A112" s="2" t="inlineStr">
        <is>
          <t>Jul</t>
        </is>
      </c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9" t="n">
        <v>1958</v>
      </c>
      <c r="M112" s="9" t="n">
        <v>2180</v>
      </c>
      <c r="N112" s="9" t="n">
        <v>2156</v>
      </c>
      <c r="O112" s="9" t="n">
        <v>2106</v>
      </c>
      <c r="P112" s="9" t="n">
        <v>2131</v>
      </c>
      <c r="Q112" s="9" t="n">
        <v>2275</v>
      </c>
      <c r="R112" s="9" t="n">
        <v>2330</v>
      </c>
      <c r="S112" s="9" t="n">
        <v>2512</v>
      </c>
      <c r="T112" s="9" t="n">
        <v>2561</v>
      </c>
      <c r="U112" s="9" t="n">
        <v>2509</v>
      </c>
      <c r="V112" s="9" t="n">
        <v>2430</v>
      </c>
      <c r="W112" s="9" t="n">
        <v>2097</v>
      </c>
      <c r="X112" s="9" t="n">
        <v>2080</v>
      </c>
      <c r="Y112" s="9" t="n">
        <v>2022</v>
      </c>
      <c r="Z112" s="9" t="n">
        <v>1884</v>
      </c>
      <c r="AA112" s="9" t="n">
        <v>1797</v>
      </c>
      <c r="AB112" s="9" t="n">
        <v>1790</v>
      </c>
      <c r="AC112" s="9" t="n">
        <v>1777</v>
      </c>
      <c r="AD112" s="9" t="n">
        <v>1797</v>
      </c>
      <c r="AE112" s="9" t="n">
        <v>1781</v>
      </c>
    </row>
    <row r="113">
      <c r="A113" s="4" t="inlineStr">
        <is>
          <t>Aug</t>
        </is>
      </c>
      <c r="L113" s="10" t="n">
        <v>2008</v>
      </c>
      <c r="M113" s="10" t="n">
        <v>2180</v>
      </c>
      <c r="N113" s="10" t="n">
        <v>2153</v>
      </c>
      <c r="O113" s="10" t="n">
        <v>2118</v>
      </c>
      <c r="P113" s="10" t="n">
        <v>2134</v>
      </c>
      <c r="Q113" s="10" t="n">
        <v>2275</v>
      </c>
      <c r="R113" s="10" t="n">
        <v>2321</v>
      </c>
      <c r="S113" s="10" t="n">
        <v>2512</v>
      </c>
      <c r="T113" s="10" t="n">
        <v>2561</v>
      </c>
      <c r="U113" s="10" t="n">
        <v>2459</v>
      </c>
      <c r="V113" s="10" t="n">
        <v>2430</v>
      </c>
      <c r="W113" s="10" t="n">
        <v>2092</v>
      </c>
      <c r="X113" s="10" t="n">
        <v>2080</v>
      </c>
      <c r="Y113" s="10" t="n">
        <v>1995</v>
      </c>
      <c r="Z113" s="10" t="n">
        <v>1867</v>
      </c>
      <c r="AA113" s="10" t="n">
        <v>1796</v>
      </c>
      <c r="AB113" s="10" t="n">
        <v>1790</v>
      </c>
      <c r="AC113" s="10" t="n">
        <v>1777</v>
      </c>
      <c r="AD113" s="10" t="n">
        <v>1797</v>
      </c>
      <c r="AE113" s="10" t="n">
        <v>1781</v>
      </c>
    </row>
    <row r="114">
      <c r="A114" s="2" t="inlineStr">
        <is>
          <t>Sep</t>
        </is>
      </c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9" t="n">
        <v>2087</v>
      </c>
      <c r="M114" s="9" t="n">
        <v>2210</v>
      </c>
      <c r="N114" s="9" t="n">
        <v>2153</v>
      </c>
      <c r="O114" s="9" t="n">
        <v>2131</v>
      </c>
      <c r="P114" s="9" t="n">
        <v>2154</v>
      </c>
      <c r="Q114" s="9" t="n">
        <v>2279</v>
      </c>
      <c r="R114" s="9" t="n">
        <v>2350</v>
      </c>
      <c r="S114" s="9" t="n">
        <v>2512</v>
      </c>
      <c r="T114" s="9" t="n">
        <v>2547</v>
      </c>
      <c r="U114" s="9" t="n">
        <v>2460</v>
      </c>
      <c r="V114" s="9" t="n">
        <v>2462</v>
      </c>
      <c r="W114" s="9" t="n">
        <v>2092</v>
      </c>
      <c r="X114" s="9" t="n">
        <v>2070</v>
      </c>
      <c r="Y114" s="9" t="n">
        <v>1995</v>
      </c>
      <c r="Z114" s="9" t="n">
        <v>1851</v>
      </c>
      <c r="AA114" s="9" t="n">
        <v>1796</v>
      </c>
      <c r="AB114" s="9" t="n">
        <v>1789</v>
      </c>
      <c r="AC114" s="9" t="n">
        <v>1777</v>
      </c>
      <c r="AD114" s="9" t="n">
        <v>1797</v>
      </c>
      <c r="AE114" s="9" t="n">
        <v>1781</v>
      </c>
    </row>
    <row r="115">
      <c r="A115" s="4" t="inlineStr">
        <is>
          <t>Oct</t>
        </is>
      </c>
      <c r="L115" s="10" t="n">
        <v>2119</v>
      </c>
      <c r="M115" s="10" t="n">
        <v>2210</v>
      </c>
      <c r="N115" s="10" t="n">
        <v>2137</v>
      </c>
      <c r="O115" s="10" t="n">
        <v>2146</v>
      </c>
      <c r="P115" s="10" t="n">
        <v>2166</v>
      </c>
      <c r="Q115" s="10" t="n">
        <v>2312</v>
      </c>
      <c r="R115" s="10" t="n">
        <v>2357</v>
      </c>
      <c r="S115" s="10" t="n">
        <v>2517</v>
      </c>
      <c r="T115" s="10" t="n">
        <v>2515</v>
      </c>
      <c r="U115" s="10" t="n">
        <v>2454</v>
      </c>
      <c r="V115" s="10" t="n">
        <v>2461</v>
      </c>
      <c r="W115" s="10" t="n">
        <v>2092</v>
      </c>
      <c r="X115" s="10" t="n">
        <v>2079</v>
      </c>
      <c r="Y115" s="10" t="n">
        <v>1995</v>
      </c>
      <c r="Z115" s="10" t="n">
        <v>1834</v>
      </c>
      <c r="AA115" s="10" t="n">
        <v>1795</v>
      </c>
      <c r="AB115" s="10" t="n">
        <v>1788</v>
      </c>
      <c r="AC115" s="10" t="n">
        <v>1777</v>
      </c>
      <c r="AD115" s="10" t="n">
        <v>1794</v>
      </c>
      <c r="AE115" s="10" t="n">
        <v>1781</v>
      </c>
    </row>
    <row r="116">
      <c r="A116" s="2" t="inlineStr">
        <is>
          <t>Nov</t>
        </is>
      </c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9" t="n">
        <v>2098</v>
      </c>
      <c r="M116" s="9" t="n">
        <v>2172</v>
      </c>
      <c r="N116" s="9" t="n">
        <v>2136</v>
      </c>
      <c r="O116" s="9" t="n">
        <v>2131</v>
      </c>
      <c r="P116" s="9" t="n">
        <v>2122</v>
      </c>
      <c r="Q116" s="9" t="n">
        <v>2312</v>
      </c>
      <c r="R116" s="9" t="n">
        <v>2417</v>
      </c>
      <c r="S116" s="9" t="n">
        <v>2502</v>
      </c>
      <c r="T116" s="9" t="n">
        <v>2510</v>
      </c>
      <c r="U116" s="9" t="n">
        <v>2451</v>
      </c>
      <c r="V116" s="9" t="n">
        <v>2389</v>
      </c>
      <c r="W116" s="9" t="n">
        <v>2092</v>
      </c>
      <c r="X116" s="9" t="n">
        <v>2079</v>
      </c>
      <c r="Y116" s="9" t="n">
        <v>1995</v>
      </c>
      <c r="Z116" s="9" t="n">
        <v>1817</v>
      </c>
      <c r="AA116" s="9" t="n">
        <v>1795</v>
      </c>
      <c r="AB116" s="9" t="n">
        <v>1788</v>
      </c>
      <c r="AC116" s="9" t="n">
        <v>1777</v>
      </c>
      <c r="AD116" s="9" t="n">
        <v>1791</v>
      </c>
      <c r="AE116" s="9" t="n">
        <v>1781</v>
      </c>
    </row>
    <row r="117">
      <c r="A117" s="4" t="inlineStr">
        <is>
          <t>Dec</t>
        </is>
      </c>
      <c r="L117" s="10" t="n">
        <v>2090</v>
      </c>
      <c r="M117" s="10" t="n">
        <v>2104</v>
      </c>
      <c r="N117" s="10" t="n">
        <v>2116</v>
      </c>
      <c r="O117" s="10" t="n">
        <v>2145</v>
      </c>
      <c r="P117" s="10" t="n">
        <v>2029</v>
      </c>
      <c r="Q117" s="10" t="n">
        <v>2316</v>
      </c>
      <c r="R117" s="10" t="n">
        <v>2401</v>
      </c>
      <c r="S117" s="10" t="n">
        <v>2507</v>
      </c>
      <c r="T117" s="10" t="n">
        <v>2513</v>
      </c>
      <c r="U117" s="10" t="n">
        <v>2476</v>
      </c>
      <c r="V117" s="10" t="n">
        <v>2244</v>
      </c>
      <c r="W117" s="10" t="n">
        <v>2090</v>
      </c>
      <c r="X117" s="10" t="n">
        <v>2073</v>
      </c>
      <c r="Y117" s="10" t="n">
        <v>1995</v>
      </c>
      <c r="Z117" s="10" t="n">
        <v>1801</v>
      </c>
      <c r="AA117" s="10" t="n">
        <v>1794</v>
      </c>
      <c r="AB117" s="10" t="n">
        <v>1787</v>
      </c>
      <c r="AC117" s="10" t="n">
        <v>1777</v>
      </c>
      <c r="AD117" s="10" t="n">
        <v>1787</v>
      </c>
      <c r="AE117" s="10" t="n">
        <v>1781</v>
      </c>
    </row>
    <row r="118">
      <c r="A118" s="5" t="inlineStr">
        <is>
          <t xml:space="preserve">  Calendar-year Total</t>
        </is>
      </c>
      <c r="B118" s="5">
        <f>SUM(B106:B117)</f>
        <v/>
      </c>
      <c r="C118" s="5">
        <f>SUM(C106:C117)</f>
        <v/>
      </c>
      <c r="D118" s="5">
        <f>SUM(D106:D117)</f>
        <v/>
      </c>
      <c r="E118" s="5">
        <f>SUM(E106:E117)</f>
        <v/>
      </c>
      <c r="F118" s="5">
        <f>SUM(F106:F117)</f>
        <v/>
      </c>
      <c r="G118" s="5">
        <f>SUM(G106:G117)</f>
        <v/>
      </c>
      <c r="H118" s="5">
        <f>SUM(H106:H117)</f>
        <v/>
      </c>
      <c r="I118" s="5">
        <f>SUM(I106:I117)</f>
        <v/>
      </c>
      <c r="J118" s="5">
        <f>SUM(J106:J117)</f>
        <v/>
      </c>
      <c r="K118" s="5">
        <f>SUM(K106:K117)</f>
        <v/>
      </c>
      <c r="L118" s="11">
        <f>AVERAGE(L106:L117)</f>
        <v/>
      </c>
      <c r="M118" s="11">
        <f>AVERAGE(M106:M117)</f>
        <v/>
      </c>
      <c r="N118" s="11">
        <f>AVERAGE(N106:N117)</f>
        <v/>
      </c>
      <c r="O118" s="11">
        <f>AVERAGE(O106:O117)</f>
        <v/>
      </c>
      <c r="P118" s="11">
        <f>AVERAGE(P106:P117)</f>
        <v/>
      </c>
      <c r="Q118" s="11">
        <f>AVERAGE(Q106:Q117)</f>
        <v/>
      </c>
      <c r="R118" s="11">
        <f>AVERAGE(R106:R117)</f>
        <v/>
      </c>
      <c r="S118" s="11">
        <f>AVERAGE(S106:S117)</f>
        <v/>
      </c>
      <c r="T118" s="11">
        <f>AVERAGE(T106:T117)</f>
        <v/>
      </c>
      <c r="U118" s="11">
        <f>AVERAGE(U106:U117)</f>
        <v/>
      </c>
      <c r="V118" s="11">
        <f>AVERAGE(V106:V117)</f>
        <v/>
      </c>
      <c r="W118" s="11">
        <f>AVERAGE(W106:W117)</f>
        <v/>
      </c>
      <c r="X118" s="11">
        <f>AVERAGE(X106:X117)</f>
        <v/>
      </c>
      <c r="Y118" s="11">
        <f>AVERAGE(Y106:Y117)</f>
        <v/>
      </c>
      <c r="Z118" s="11">
        <f>AVERAGE(Z106:Z117)</f>
        <v/>
      </c>
      <c r="AA118" s="11">
        <f>AVERAGE(AA106:AA117)</f>
        <v/>
      </c>
      <c r="AB118" s="11">
        <f>AVERAGE(AB106:AB117)</f>
        <v/>
      </c>
      <c r="AC118" s="11">
        <f>AVERAGE(AC106:AC117)</f>
        <v/>
      </c>
      <c r="AD118" s="11">
        <f>AVERAGE(AD106:AD117)</f>
        <v/>
      </c>
      <c r="AE118" s="11">
        <f>AVERAGE(AE106:AE117)</f>
        <v/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2026-04-07T13:48:02Z</dcterms:created>
  <dcterms:modified xmlns:dcterms="http://purl.org/dc/terms/" xmlns:xsi="http://www.w3.org/2001/XMLSchema-instance" xsi:type="dcterms:W3CDTF">2026-05-14T18:12:05Z</dcterms:modified>
  <cp:lastModifiedBy>Tore Alden</cp:lastModifiedBy>
</cp:coreProperties>
</file>