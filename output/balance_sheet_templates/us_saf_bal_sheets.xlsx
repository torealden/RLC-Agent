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b val="1"/>
      <color rgb="001F4E79"/>
      <sz val="11"/>
    </font>
    <font>
      <name val="Calibr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4" fontId="4" fillId="3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0" fillId="3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US BIOFUEL AND FUEL COMPLEX</t>
        </is>
      </c>
    </row>
    <row r="2">
      <c r="A2" s="2" t="inlineStr">
        <is>
          <t>US SUSTAINABLE AVIATION FUEL SUPPLY AND DEMAND (Million Gallons)</t>
        </is>
      </c>
    </row>
    <row r="3"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s="3" t="n">
        <v>2025</v>
      </c>
      <c r="H3" s="3" t="n">
        <v>2026</v>
      </c>
      <c r="I3" s="3" t="n">
        <v>2027</v>
      </c>
      <c r="J3" s="3" t="n">
        <v>2028</v>
      </c>
      <c r="K3" s="3" t="n">
        <v>2029</v>
      </c>
      <c r="L3" s="3" t="n">
        <v>2030</v>
      </c>
      <c r="M3" s="3" t="n">
        <v>2031</v>
      </c>
      <c r="N3" s="3" t="n">
        <v>2032</v>
      </c>
      <c r="O3" s="3" t="n">
        <v>2033</v>
      </c>
      <c r="P3" s="3" t="n">
        <v>2034</v>
      </c>
      <c r="Q3" s="3" t="n">
        <v>2035</v>
      </c>
    </row>
    <row r="5">
      <c r="A5" s="4" t="inlineStr">
        <is>
          <t>Beginning Stocks</t>
        </is>
      </c>
      <c r="B5" s="5" t="n">
        <v>0.14</v>
      </c>
      <c r="C5" s="5" t="n">
        <v>0.19</v>
      </c>
      <c r="D5" s="5" t="n">
        <v>0.31</v>
      </c>
      <c r="E5" s="5" t="n">
        <v>1.07</v>
      </c>
      <c r="F5" s="5" t="n">
        <v>1.64</v>
      </c>
      <c r="G5" s="5" t="n">
        <v>4.63</v>
      </c>
      <c r="H5" s="5" t="n">
        <v>12.68</v>
      </c>
      <c r="I5" s="5" t="n">
        <v>32.31</v>
      </c>
      <c r="J5" s="5" t="n">
        <v>90.83</v>
      </c>
      <c r="K5" s="5" t="n">
        <v>116.42</v>
      </c>
      <c r="L5" s="5" t="n">
        <v>146.88</v>
      </c>
      <c r="M5" s="5" t="n">
        <v>197.87</v>
      </c>
      <c r="N5" s="5" t="n">
        <v>229.55</v>
      </c>
      <c r="O5" s="5" t="n">
        <v>286.14</v>
      </c>
      <c r="P5" s="5" t="n">
        <v>290.23</v>
      </c>
      <c r="Q5" s="5" t="n">
        <v>314.39</v>
      </c>
    </row>
    <row r="6">
      <c r="A6" s="6" t="inlineStr">
        <is>
          <t>Production</t>
        </is>
      </c>
      <c r="B6" s="7" t="n">
        <v>0.9</v>
      </c>
      <c r="C6" s="7" t="n">
        <v>0.1</v>
      </c>
      <c r="D6" s="7" t="n">
        <v>0.55</v>
      </c>
      <c r="E6" s="7" t="n">
        <v>0.78</v>
      </c>
      <c r="F6" s="7" t="n">
        <v>1.76</v>
      </c>
      <c r="G6" s="7" t="n">
        <v>2.6</v>
      </c>
      <c r="H6" s="7" t="n">
        <v>2.3</v>
      </c>
      <c r="I6" s="7" t="n">
        <v>1.87</v>
      </c>
      <c r="J6" s="7" t="n">
        <v>0.31</v>
      </c>
      <c r="K6" s="7" t="n">
        <v>0.31</v>
      </c>
      <c r="L6" s="7" t="n">
        <v>0.35</v>
      </c>
      <c r="M6" s="7" t="n">
        <v>0.17</v>
      </c>
      <c r="N6" s="7" t="n">
        <v>0.26</v>
      </c>
      <c r="O6" s="7" t="n">
        <v>0.04</v>
      </c>
      <c r="P6" s="7" t="n">
        <v>0.09</v>
      </c>
      <c r="Q6" s="7" t="n">
        <v>0.04</v>
      </c>
    </row>
    <row r="7">
      <c r="A7" s="4" t="inlineStr">
        <is>
          <t>Imports</t>
        </is>
      </c>
      <c r="B7" s="8" t="n"/>
      <c r="C7" s="8" t="n"/>
      <c r="D7" s="5" t="n">
        <v>7.93</v>
      </c>
      <c r="E7" s="5" t="n">
        <v>12.28</v>
      </c>
      <c r="F7" s="5" t="n">
        <v>73.15000000000001</v>
      </c>
      <c r="G7" s="5" t="n">
        <v>60</v>
      </c>
      <c r="H7" s="5" t="n">
        <v>46</v>
      </c>
      <c r="I7" s="5" t="n">
        <v>66.73999999999999</v>
      </c>
      <c r="J7" s="5" t="n">
        <v>86.98</v>
      </c>
      <c r="K7" s="5" t="n">
        <v>101.66</v>
      </c>
      <c r="L7" s="5" t="n">
        <v>136.99</v>
      </c>
      <c r="M7" s="5" t="n">
        <v>123.84</v>
      </c>
      <c r="N7" s="5" t="n">
        <v>111.46</v>
      </c>
      <c r="O7" s="5" t="n">
        <v>116.47</v>
      </c>
      <c r="P7" s="5" t="n">
        <v>126.74</v>
      </c>
      <c r="Q7" s="5" t="n">
        <v>132.86</v>
      </c>
    </row>
    <row r="8">
      <c r="A8" s="9" t="inlineStr">
        <is>
          <t>Total Supply</t>
        </is>
      </c>
      <c r="B8" s="10">
        <f>B5+B6+B7</f>
        <v/>
      </c>
      <c r="C8" s="10">
        <f>C5+C6+C7</f>
        <v/>
      </c>
      <c r="D8" s="10">
        <f>D5+D6+D7</f>
        <v/>
      </c>
      <c r="E8" s="10">
        <f>E5+E6+E7</f>
        <v/>
      </c>
      <c r="F8" s="10">
        <f>F5+F6+F7</f>
        <v/>
      </c>
      <c r="G8" s="10">
        <f>G5+G6+G7</f>
        <v/>
      </c>
      <c r="H8" s="10">
        <f>H5+H6+H7</f>
        <v/>
      </c>
      <c r="I8" s="10">
        <f>I5+I6+I7</f>
        <v/>
      </c>
      <c r="J8" s="10">
        <f>J5+J6+J7</f>
        <v/>
      </c>
      <c r="K8" s="10">
        <f>K5+K6+K7</f>
        <v/>
      </c>
      <c r="L8" s="10">
        <f>L5+L6+L7</f>
        <v/>
      </c>
      <c r="M8" s="10">
        <f>M5+M6+M7</f>
        <v/>
      </c>
      <c r="N8" s="10">
        <f>N5+N6+N7</f>
        <v/>
      </c>
      <c r="O8" s="10">
        <f>O5+O6+O7</f>
        <v/>
      </c>
      <c r="P8" s="10">
        <f>P5+P6+P7</f>
        <v/>
      </c>
      <c r="Q8" s="10">
        <f>Q5+Q6+Q7</f>
        <v/>
      </c>
    </row>
    <row r="10">
      <c r="A10" s="6" t="inlineStr">
        <is>
          <t>Domestic Consumption</t>
        </is>
      </c>
      <c r="B10" s="7" t="n">
        <v>4.55</v>
      </c>
      <c r="C10" s="7" t="n">
        <v>4.96</v>
      </c>
      <c r="D10" s="7" t="n">
        <v>15.06</v>
      </c>
      <c r="E10" s="7" t="n">
        <v>25.73</v>
      </c>
      <c r="F10" s="7" t="n">
        <v>108.87</v>
      </c>
      <c r="G10" s="7" t="n">
        <v>126.5</v>
      </c>
      <c r="H10" s="7" t="n">
        <v>187.25</v>
      </c>
      <c r="I10" s="7" t="n">
        <v>933.24</v>
      </c>
      <c r="J10" s="7" t="n">
        <v>1347.52</v>
      </c>
      <c r="K10" s="7" t="n">
        <v>1744.82</v>
      </c>
      <c r="L10" s="7" t="n">
        <v>2429.06</v>
      </c>
      <c r="M10" s="7" t="n">
        <v>2980.57</v>
      </c>
      <c r="N10" s="7" t="n">
        <v>3894.19</v>
      </c>
      <c r="O10" s="7" t="n">
        <v>4153.29</v>
      </c>
      <c r="P10" s="7" t="n">
        <v>4555.71</v>
      </c>
      <c r="Q10" s="7" t="n">
        <v>4803.85</v>
      </c>
    </row>
    <row r="11">
      <c r="A11" s="4" t="inlineStr">
        <is>
          <t>Losses and Co-Products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6" t="inlineStr">
        <is>
          <t>Exports</t>
        </is>
      </c>
      <c r="G12" s="7" t="n">
        <v>65</v>
      </c>
      <c r="H12" s="7" t="n">
        <v>300</v>
      </c>
      <c r="I12" s="7" t="n">
        <v>400</v>
      </c>
      <c r="J12" s="7" t="n">
        <v>450</v>
      </c>
      <c r="K12" s="7" t="n">
        <v>600</v>
      </c>
      <c r="L12" s="7" t="n">
        <v>730</v>
      </c>
      <c r="M12" s="7" t="n">
        <v>700</v>
      </c>
      <c r="N12" s="7" t="n">
        <v>700</v>
      </c>
      <c r="O12" s="7" t="n">
        <v>700</v>
      </c>
      <c r="P12" s="7" t="n">
        <v>700</v>
      </c>
      <c r="Q12" s="7" t="n">
        <v>700</v>
      </c>
    </row>
    <row r="13">
      <c r="A13" s="9" t="inlineStr">
        <is>
          <t>Total Use</t>
        </is>
      </c>
      <c r="B13" s="10">
        <f>B10+B11+B12</f>
        <v/>
      </c>
      <c r="C13" s="10">
        <f>C10+C11+C12</f>
        <v/>
      </c>
      <c r="D13" s="10">
        <f>D10+D11+D12</f>
        <v/>
      </c>
      <c r="E13" s="10">
        <f>E10+E11+E12</f>
        <v/>
      </c>
      <c r="F13" s="10">
        <f>F10+F11+F12</f>
        <v/>
      </c>
      <c r="G13" s="10">
        <f>G10+G11+G12</f>
        <v/>
      </c>
      <c r="H13" s="10">
        <f>H10+H11+H12</f>
        <v/>
      </c>
      <c r="I13" s="10">
        <f>I10+I11+I12</f>
        <v/>
      </c>
      <c r="J13" s="10">
        <f>J10+J11+J12</f>
        <v/>
      </c>
      <c r="K13" s="10">
        <f>K10+K11+K12</f>
        <v/>
      </c>
      <c r="L13" s="10">
        <f>L10+L11+L12</f>
        <v/>
      </c>
      <c r="M13" s="10">
        <f>M10+M11+M12</f>
        <v/>
      </c>
      <c r="N13" s="10">
        <f>N10+N11+N12</f>
        <v/>
      </c>
      <c r="O13" s="10">
        <f>O10+O11+O12</f>
        <v/>
      </c>
      <c r="P13" s="10">
        <f>P10+P11+P12</f>
        <v/>
      </c>
      <c r="Q13" s="10">
        <f>Q10+Q11+Q12</f>
        <v/>
      </c>
    </row>
    <row r="15">
      <c r="A15" s="9" t="inlineStr">
        <is>
          <t>Ending Stocks</t>
        </is>
      </c>
      <c r="B15" s="10">
        <f>B8-B13</f>
        <v/>
      </c>
      <c r="C15" s="10">
        <f>C8-C13</f>
        <v/>
      </c>
      <c r="D15" s="10">
        <f>D8-D13</f>
        <v/>
      </c>
      <c r="E15" s="10">
        <f>E8-E13</f>
        <v/>
      </c>
      <c r="F15" s="10">
        <f>F8-F13</f>
        <v/>
      </c>
      <c r="G15" s="10">
        <f>G8-G13</f>
        <v/>
      </c>
      <c r="H15" s="10">
        <f>H8-H13</f>
        <v/>
      </c>
      <c r="I15" s="10">
        <f>I8-I13</f>
        <v/>
      </c>
      <c r="J15" s="10">
        <f>J8-J13</f>
        <v/>
      </c>
      <c r="K15" s="10">
        <f>K8-K13</f>
        <v/>
      </c>
      <c r="L15" s="10">
        <f>L8-L13</f>
        <v/>
      </c>
      <c r="M15" s="10">
        <f>M8-M13</f>
        <v/>
      </c>
      <c r="N15" s="10">
        <f>N8-N13</f>
        <v/>
      </c>
      <c r="O15" s="10">
        <f>O8-O13</f>
        <v/>
      </c>
      <c r="P15" s="10">
        <f>P8-P13</f>
        <v/>
      </c>
      <c r="Q15" s="10">
        <f>Q8-Q13</f>
        <v/>
      </c>
    </row>
    <row r="17">
      <c r="A17" s="4" t="inlineStr">
        <is>
          <t>Capacity (MMGY)</t>
        </is>
      </c>
      <c r="B17" s="5" t="n">
        <v>142.1</v>
      </c>
      <c r="C17" s="5" t="n">
        <v>565.6</v>
      </c>
      <c r="D17" s="5" t="n">
        <v>965.6</v>
      </c>
      <c r="E17" s="5" t="n">
        <v>965.6</v>
      </c>
      <c r="F17" s="5" t="n">
        <v>1848.32</v>
      </c>
      <c r="G17" s="5" t="n">
        <v>2492.84</v>
      </c>
      <c r="H17" s="5" t="n">
        <v>3418.64</v>
      </c>
      <c r="I17" s="5" t="n">
        <v>5844.64</v>
      </c>
      <c r="J17" s="5" t="n">
        <v>6270.64</v>
      </c>
      <c r="K17" s="5" t="n">
        <v>6520.64</v>
      </c>
      <c r="L17" s="5" t="n">
        <v>6703.14</v>
      </c>
      <c r="M17" s="5" t="n">
        <v>6771.18</v>
      </c>
      <c r="N17" s="5" t="n">
        <v>6771.18</v>
      </c>
      <c r="O17" s="5" t="n">
        <v>6771.18</v>
      </c>
      <c r="P17" s="5" t="n">
        <v>6771.18</v>
      </c>
      <c r="Q17" s="5" t="n">
        <v>6771.18</v>
      </c>
    </row>
    <row r="18">
      <c r="A18" s="9" t="inlineStr">
        <is>
          <t>Operating Rate (%)</t>
        </is>
      </c>
      <c r="B18" s="10">
        <f>IF(B17&gt;0,B6/B17*100,"")</f>
        <v/>
      </c>
      <c r="C18" s="10">
        <f>IF(C17&gt;0,C6/C17*100,"")</f>
        <v/>
      </c>
      <c r="D18" s="10">
        <f>IF(D17&gt;0,D6/D17*100,"")</f>
        <v/>
      </c>
      <c r="E18" s="10">
        <f>IF(E17&gt;0,E6/E17*100,"")</f>
        <v/>
      </c>
      <c r="F18" s="10">
        <f>IF(F17&gt;0,F6/F17*100,"")</f>
        <v/>
      </c>
      <c r="G18" s="10">
        <f>IF(G17&gt;0,G6/G17*100,"")</f>
        <v/>
      </c>
      <c r="H18" s="10">
        <f>IF(H17&gt;0,H6/H17*100,"")</f>
        <v/>
      </c>
      <c r="I18" s="10">
        <f>IF(I17&gt;0,I6/I17*100,"")</f>
        <v/>
      </c>
      <c r="J18" s="10">
        <f>IF(J17&gt;0,J6/J17*100,"")</f>
        <v/>
      </c>
      <c r="K18" s="10">
        <f>IF(K17&gt;0,K6/K17*100,"")</f>
        <v/>
      </c>
      <c r="L18" s="10">
        <f>IF(L17&gt;0,L6/L17*100,"")</f>
        <v/>
      </c>
      <c r="M18" s="10">
        <f>IF(M17&gt;0,M6/M17*100,"")</f>
        <v/>
      </c>
      <c r="N18" s="10">
        <f>IF(N17&gt;0,N6/N17*100,"")</f>
        <v/>
      </c>
      <c r="O18" s="10">
        <f>IF(O17&gt;0,O6/O17*100,"")</f>
        <v/>
      </c>
      <c r="P18" s="10">
        <f>IF(P17&gt;0,P6/P17*100,"")</f>
        <v/>
      </c>
      <c r="Q18" s="10">
        <f>IF(Q17&gt;0,Q6/Q17*100,"")</f>
        <v/>
      </c>
    </row>
    <row r="19">
      <c r="A19" s="9" t="inlineStr">
        <is>
          <t>Stocks/Use Ratio</t>
        </is>
      </c>
      <c r="B19" s="10">
        <f>IF(B13&gt;0,B15/B13,"")</f>
        <v/>
      </c>
      <c r="C19" s="10">
        <f>IF(C13&gt;0,C15/C13,"")</f>
        <v/>
      </c>
      <c r="D19" s="10">
        <f>IF(D13&gt;0,D15/D13,"")</f>
        <v/>
      </c>
      <c r="E19" s="10">
        <f>IF(E13&gt;0,E15/E13,"")</f>
        <v/>
      </c>
      <c r="F19" s="10">
        <f>IF(F13&gt;0,F15/F13,"")</f>
        <v/>
      </c>
      <c r="G19" s="10">
        <f>IF(G13&gt;0,G15/G13,"")</f>
        <v/>
      </c>
      <c r="H19" s="10">
        <f>IF(H13&gt;0,H15/H13,"")</f>
        <v/>
      </c>
      <c r="I19" s="10">
        <f>IF(I13&gt;0,I15/I13,"")</f>
        <v/>
      </c>
      <c r="J19" s="10">
        <f>IF(J13&gt;0,J15/J13,"")</f>
        <v/>
      </c>
      <c r="K19" s="10">
        <f>IF(K13&gt;0,K15/K13,"")</f>
        <v/>
      </c>
      <c r="L19" s="10">
        <f>IF(L13&gt;0,L15/L13,"")</f>
        <v/>
      </c>
      <c r="M19" s="10">
        <f>IF(M13&gt;0,M15/M13,"")</f>
        <v/>
      </c>
      <c r="N19" s="10">
        <f>IF(N13&gt;0,N15/N13,"")</f>
        <v/>
      </c>
      <c r="O19" s="10">
        <f>IF(O13&gt;0,O15/O13,"")</f>
        <v/>
      </c>
      <c r="P19" s="10">
        <f>IF(P13&gt;0,P15/P13,"")</f>
        <v/>
      </c>
      <c r="Q19" s="10">
        <f>IF(Q13&gt;0,Q15/Q13,"")</f>
        <v/>
      </c>
    </row>
    <row r="20">
      <c r="A20" s="6" t="inlineStr">
        <is>
          <t>Average Price ($/gal)</t>
        </is>
      </c>
    </row>
    <row r="22">
      <c r="A22" s="11" t="inlineStr">
        <is>
          <t>Bold, green numbers in shaded cells are RLC forecasts and estimates.</t>
        </is>
      </c>
    </row>
    <row r="24">
      <c r="A24" s="12" t="inlineStr">
        <is>
          <t>US SAF PRODUCTION</t>
        </is>
      </c>
    </row>
    <row r="25">
      <c r="A25" s="13" t="inlineStr">
        <is>
          <t>(million gallons)</t>
        </is>
      </c>
      <c r="B25" s="3" t="n">
        <v>2020</v>
      </c>
      <c r="C25" s="3" t="n">
        <v>2021</v>
      </c>
      <c r="D25" s="3" t="n">
        <v>2022</v>
      </c>
      <c r="E25" s="3" t="n">
        <v>2023</v>
      </c>
      <c r="F25" s="3" t="n">
        <v>2024</v>
      </c>
      <c r="G25" s="3" t="n">
        <v>2025</v>
      </c>
      <c r="H25" s="3" t="n">
        <v>2026</v>
      </c>
      <c r="I25" s="3" t="n">
        <v>2027</v>
      </c>
      <c r="J25" s="3" t="n">
        <v>2028</v>
      </c>
      <c r="K25" s="3" t="n">
        <v>2029</v>
      </c>
      <c r="L25" s="3" t="n">
        <v>2030</v>
      </c>
      <c r="M25" s="3" t="n">
        <v>2031</v>
      </c>
      <c r="N25" s="3" t="n">
        <v>2032</v>
      </c>
      <c r="O25" s="3" t="n">
        <v>2033</v>
      </c>
      <c r="P25" s="3" t="n">
        <v>2034</v>
      </c>
      <c r="Q25" s="3" t="n">
        <v>2035</v>
      </c>
    </row>
    <row r="26">
      <c r="A26" s="4" t="inlineStr">
        <is>
          <t>Jan</t>
        </is>
      </c>
      <c r="B26" s="8" t="n">
        <v>0.04159</v>
      </c>
      <c r="C26" s="8" t="n">
        <v>0.289825</v>
      </c>
      <c r="D26" s="8" t="n">
        <v>0.40212</v>
      </c>
      <c r="E26" s="8" t="n">
        <v>0.100937</v>
      </c>
      <c r="F26" s="8" t="n">
        <v>0.833897</v>
      </c>
      <c r="G26" s="8" t="n">
        <v>8.478849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</row>
    <row r="27">
      <c r="A27" s="6" t="inlineStr">
        <is>
          <t>Feb</t>
        </is>
      </c>
      <c r="C27" t="n">
        <v>0.294725</v>
      </c>
      <c r="D27" t="n">
        <v>1.10887</v>
      </c>
      <c r="E27" t="n">
        <v>1.578596</v>
      </c>
      <c r="F27" t="n">
        <v>1.254939</v>
      </c>
      <c r="G27" t="n">
        <v>15.728119</v>
      </c>
    </row>
    <row r="28">
      <c r="A28" s="4" t="inlineStr">
        <is>
          <t>Mar</t>
        </is>
      </c>
      <c r="B28" s="8" t="n">
        <v>0.280826</v>
      </c>
      <c r="C28" s="8" t="n">
        <v>0.288906</v>
      </c>
      <c r="D28" s="8" t="n">
        <v>1.026537</v>
      </c>
      <c r="E28" s="8" t="n">
        <v>0.79717</v>
      </c>
      <c r="F28" s="8" t="n">
        <v>2.119258</v>
      </c>
      <c r="G28" s="8" t="n">
        <v>3.845015</v>
      </c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</row>
    <row r="29">
      <c r="A29" s="6" t="inlineStr">
        <is>
          <t>Apr</t>
        </is>
      </c>
      <c r="B29" t="n">
        <v>1.234442</v>
      </c>
      <c r="C29" t="n">
        <v>0.293289</v>
      </c>
      <c r="D29" t="n">
        <v>0.408991</v>
      </c>
      <c r="E29" t="n">
        <v>0.913521</v>
      </c>
      <c r="F29" t="n">
        <v>2.781201</v>
      </c>
      <c r="G29" t="n">
        <v>13.42833</v>
      </c>
    </row>
    <row r="30">
      <c r="A30" s="4" t="inlineStr">
        <is>
          <t>May</t>
        </is>
      </c>
      <c r="B30" s="8" t="n"/>
      <c r="C30" s="8" t="n">
        <v>0.287496</v>
      </c>
      <c r="D30" s="8" t="n">
        <v>0.202831</v>
      </c>
      <c r="E30" s="8" t="n">
        <v>1.626715</v>
      </c>
      <c r="F30" s="8" t="n">
        <v>3.266216</v>
      </c>
      <c r="G30" s="8" t="n">
        <v>18.928087</v>
      </c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</row>
    <row r="31">
      <c r="A31" s="6" t="inlineStr">
        <is>
          <t>Jun</t>
        </is>
      </c>
      <c r="B31" t="n">
        <v>0.508513</v>
      </c>
      <c r="C31" t="n">
        <v>0.357317</v>
      </c>
      <c r="D31" t="n">
        <v>0.802264</v>
      </c>
      <c r="E31" t="n">
        <v>1.121861</v>
      </c>
      <c r="F31" t="n">
        <v>2.998612</v>
      </c>
      <c r="G31" t="n">
        <v>18.031739</v>
      </c>
    </row>
    <row r="32">
      <c r="A32" s="4" t="inlineStr">
        <is>
          <t>Jul</t>
        </is>
      </c>
      <c r="B32" s="8" t="n">
        <v>1.536725</v>
      </c>
      <c r="C32" s="8" t="n">
        <v>1.093159</v>
      </c>
      <c r="D32" s="8" t="n">
        <v>1.137973</v>
      </c>
      <c r="E32" s="8" t="n">
        <v>1.770762</v>
      </c>
      <c r="F32" s="8" t="n">
        <v>3.256887</v>
      </c>
      <c r="G32" s="8" t="n">
        <v>25.152725</v>
      </c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</row>
    <row r="33">
      <c r="A33" s="6" t="inlineStr">
        <is>
          <t>Aug</t>
        </is>
      </c>
      <c r="B33" t="n">
        <v>0.063855</v>
      </c>
      <c r="C33" t="n">
        <v>0.722058</v>
      </c>
      <c r="D33" t="n">
        <v>0.392568</v>
      </c>
      <c r="E33" t="n">
        <v>2.911842</v>
      </c>
      <c r="F33" t="n">
        <v>4.02679</v>
      </c>
      <c r="G33" t="n">
        <v>9.80057</v>
      </c>
    </row>
    <row r="34">
      <c r="A34" s="4" t="inlineStr">
        <is>
          <t>Sep</t>
        </is>
      </c>
      <c r="B34" s="8" t="n">
        <v>0.371169</v>
      </c>
      <c r="C34" s="8" t="n">
        <v>0.300122</v>
      </c>
      <c r="D34" s="8" t="n">
        <v>0.393571</v>
      </c>
      <c r="E34" s="8" t="n">
        <v>0.6593020000000001</v>
      </c>
      <c r="F34" s="8" t="n">
        <v>9.238825</v>
      </c>
      <c r="G34" s="8" t="n">
        <v>22.281075</v>
      </c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</row>
    <row r="35">
      <c r="A35" s="6" t="inlineStr">
        <is>
          <t>Oct</t>
        </is>
      </c>
      <c r="B35" t="n">
        <v>0.188416</v>
      </c>
      <c r="C35" t="n">
        <v>0.437741</v>
      </c>
      <c r="D35" t="n">
        <v>1.764631</v>
      </c>
      <c r="E35" t="n">
        <v>1.953292</v>
      </c>
      <c r="F35" t="n">
        <v>4.385772</v>
      </c>
      <c r="G35" t="n">
        <v>26.607638</v>
      </c>
    </row>
    <row r="36">
      <c r="A36" s="4" t="inlineStr">
        <is>
          <t>Nov</t>
        </is>
      </c>
      <c r="B36" s="8" t="n">
        <v>0.188201</v>
      </c>
      <c r="C36" s="8" t="n">
        <v>0.406932</v>
      </c>
      <c r="D36" s="8" t="n">
        <v>0.152226</v>
      </c>
      <c r="E36" s="8" t="n">
        <v>0.449778</v>
      </c>
      <c r="F36" s="8" t="n">
        <v>2.385423</v>
      </c>
      <c r="G36" s="8" t="n">
        <v>33.573929</v>
      </c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</row>
    <row r="37">
      <c r="A37" s="6" t="inlineStr">
        <is>
          <t>Dec</t>
        </is>
      </c>
      <c r="B37" t="n">
        <v>0.194662</v>
      </c>
      <c r="C37" t="n">
        <v>0.308503</v>
      </c>
      <c r="D37" t="n">
        <v>0.100555</v>
      </c>
      <c r="E37" t="n">
        <v>0.132329</v>
      </c>
      <c r="F37" t="n">
        <v>2.166746</v>
      </c>
      <c r="G37" t="n">
        <v>44.299391</v>
      </c>
    </row>
    <row r="38">
      <c r="A38" s="9" t="inlineStr">
        <is>
          <t xml:space="preserve">  Calendar-year Total</t>
        </is>
      </c>
      <c r="B38" s="9">
        <f>SUM(B26:B37)</f>
        <v/>
      </c>
      <c r="C38" s="9">
        <f>SUM(C26:C37)</f>
        <v/>
      </c>
      <c r="D38" s="9">
        <f>SUM(D26:D37)</f>
        <v/>
      </c>
      <c r="E38" s="9">
        <f>SUM(E26:E37)</f>
        <v/>
      </c>
      <c r="F38" s="9">
        <f>SUM(F26:F37)</f>
        <v/>
      </c>
      <c r="G38" s="9">
        <f>SUM(G26:G37)</f>
        <v/>
      </c>
      <c r="H38" s="9">
        <f>SUM(H26:H37)</f>
        <v/>
      </c>
      <c r="I38" s="9">
        <f>SUM(I26:I37)</f>
        <v/>
      </c>
      <c r="J38" s="9">
        <f>SUM(J26:J37)</f>
        <v/>
      </c>
      <c r="K38" s="9">
        <f>SUM(K26:K37)</f>
        <v/>
      </c>
      <c r="L38" s="9">
        <f>SUM(L26:L37)</f>
        <v/>
      </c>
      <c r="M38" s="9">
        <f>SUM(M26:M37)</f>
        <v/>
      </c>
      <c r="N38" s="9">
        <f>SUM(N26:N37)</f>
        <v/>
      </c>
      <c r="O38" s="9">
        <f>SUM(O26:O37)</f>
        <v/>
      </c>
      <c r="P38" s="9">
        <f>SUM(P26:P37)</f>
        <v/>
      </c>
      <c r="Q38" s="9">
        <f>SUM(Q26:Q37)</f>
        <v/>
      </c>
    </row>
    <row r="40">
      <c r="A40" s="12" t="inlineStr">
        <is>
          <t>US SAF IMPORTS</t>
        </is>
      </c>
    </row>
    <row r="41">
      <c r="A41" s="13" t="inlineStr">
        <is>
          <t>(million gallons)</t>
        </is>
      </c>
      <c r="B41" s="3" t="n">
        <v>2020</v>
      </c>
      <c r="C41" s="3" t="n">
        <v>2021</v>
      </c>
      <c r="D41" s="3" t="n">
        <v>2022</v>
      </c>
      <c r="E41" s="3" t="n">
        <v>2023</v>
      </c>
      <c r="F41" s="3" t="n">
        <v>2024</v>
      </c>
      <c r="G41" s="3" t="n">
        <v>2025</v>
      </c>
      <c r="H41" s="3" t="n">
        <v>2026</v>
      </c>
      <c r="I41" s="3" t="n">
        <v>2027</v>
      </c>
      <c r="J41" s="3" t="n">
        <v>2028</v>
      </c>
      <c r="K41" s="3" t="n">
        <v>2029</v>
      </c>
      <c r="L41" s="3" t="n">
        <v>2030</v>
      </c>
      <c r="M41" s="3" t="n">
        <v>2031</v>
      </c>
      <c r="N41" s="3" t="n">
        <v>2032</v>
      </c>
      <c r="O41" s="3" t="n">
        <v>2033</v>
      </c>
      <c r="P41" s="3" t="n">
        <v>2034</v>
      </c>
      <c r="Q41" s="3" t="n">
        <v>2035</v>
      </c>
    </row>
    <row r="42">
      <c r="A42" s="4" t="inlineStr">
        <is>
          <t>Jan</t>
        </is>
      </c>
      <c r="B42" s="8" t="n">
        <v>0.0046053</v>
      </c>
      <c r="C42" s="8" t="n">
        <v>0.0002408</v>
      </c>
      <c r="D42" s="8" t="n">
        <v>0.008428</v>
      </c>
      <c r="E42" s="8" t="n">
        <v>0.00585746</v>
      </c>
      <c r="F42" s="8" t="n">
        <v>0.0046053</v>
      </c>
      <c r="G42" s="8" t="n">
        <v>0.03396183</v>
      </c>
      <c r="H42" s="8" t="n">
        <v>0.016555</v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  <row r="43">
      <c r="A43" s="6" t="inlineStr">
        <is>
          <t>Feb</t>
        </is>
      </c>
      <c r="B43" t="n">
        <v>0.0002408</v>
      </c>
      <c r="C43" t="n">
        <v>0.004718175</v>
      </c>
      <c r="D43" t="n">
        <v>0.02876958</v>
      </c>
      <c r="E43" t="n">
        <v>0.02728264</v>
      </c>
      <c r="G43" t="n">
        <v>0.04106242</v>
      </c>
      <c r="H43" t="n">
        <v>0.04555334</v>
      </c>
    </row>
    <row r="44">
      <c r="A44" s="4" t="inlineStr">
        <is>
          <t>Mar</t>
        </is>
      </c>
      <c r="B44" s="8" t="n">
        <v>0.0004816</v>
      </c>
      <c r="C44" s="8" t="n">
        <v>0.02100077</v>
      </c>
      <c r="D44" s="8" t="n">
        <v>0.06967638299999999</v>
      </c>
      <c r="E44" s="8" t="n">
        <v>0.04181191</v>
      </c>
      <c r="F44" s="8" t="n"/>
      <c r="G44" s="8" t="n">
        <v>0.02056733</v>
      </c>
      <c r="H44" s="8" t="n">
        <v>0.023783214</v>
      </c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</row>
    <row r="45">
      <c r="A45" s="6" t="inlineStr">
        <is>
          <t>Apr</t>
        </is>
      </c>
      <c r="B45" t="n">
        <v>0.0142975</v>
      </c>
      <c r="C45" t="n">
        <v>0.01576036</v>
      </c>
      <c r="D45" t="n">
        <v>0.01903825</v>
      </c>
      <c r="E45" t="n">
        <v>0.01202495</v>
      </c>
      <c r="F45" t="n">
        <v>0.00284445</v>
      </c>
      <c r="G45" t="n">
        <v>0.026640005</v>
      </c>
    </row>
    <row r="46">
      <c r="A46" s="4" t="inlineStr">
        <is>
          <t>May</t>
        </is>
      </c>
      <c r="B46" s="8" t="n">
        <v>0.01209719</v>
      </c>
      <c r="C46" s="8" t="n">
        <v>0.0266686</v>
      </c>
      <c r="D46" s="8" t="n">
        <v>0.010180723</v>
      </c>
      <c r="E46" s="8" t="n">
        <v>0.005852945</v>
      </c>
      <c r="F46" s="8" t="n">
        <v>0.0246519</v>
      </c>
      <c r="G46" s="8" t="n">
        <v>0.03919321</v>
      </c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</row>
    <row r="47">
      <c r="A47" s="6" t="inlineStr">
        <is>
          <t>Jun</t>
        </is>
      </c>
      <c r="B47" t="n">
        <v>0.010004939</v>
      </c>
      <c r="C47" t="n">
        <v>0.03658956</v>
      </c>
      <c r="D47" t="n">
        <v>0.05091114</v>
      </c>
      <c r="E47" t="n">
        <v>0.016555</v>
      </c>
      <c r="F47" t="n">
        <v>0.01641654</v>
      </c>
      <c r="G47" t="n">
        <v>0.01078483</v>
      </c>
    </row>
    <row r="48">
      <c r="A48" s="4" t="inlineStr">
        <is>
          <t>Jul</t>
        </is>
      </c>
      <c r="B48" s="8" t="n">
        <v>0.0046053</v>
      </c>
      <c r="C48" s="8" t="n">
        <v>0.021255115</v>
      </c>
      <c r="D48" s="8" t="n">
        <v>0.03958752</v>
      </c>
      <c r="E48" s="8" t="n">
        <v>0.012642</v>
      </c>
      <c r="F48" s="8" t="n">
        <v>0.04215806</v>
      </c>
      <c r="G48" s="8" t="n">
        <v>0.0224546</v>
      </c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</row>
    <row r="49">
      <c r="A49" s="6" t="inlineStr">
        <is>
          <t>Aug</t>
        </is>
      </c>
      <c r="B49" t="n">
        <v>0.003757383</v>
      </c>
      <c r="C49" t="n">
        <v>0.01818642</v>
      </c>
      <c r="D49" t="n">
        <v>0.06362538</v>
      </c>
      <c r="E49" t="n">
        <v>0.0090601</v>
      </c>
      <c r="F49" t="n">
        <v>0.048513675</v>
      </c>
      <c r="G49" t="n">
        <v>0.01508612</v>
      </c>
    </row>
    <row r="50">
      <c r="A50" s="4" t="inlineStr">
        <is>
          <t>Sep</t>
        </is>
      </c>
      <c r="B50" s="8" t="n">
        <v>0.009210599999999999</v>
      </c>
      <c r="C50" s="8" t="n">
        <v>0.004214</v>
      </c>
      <c r="D50" s="8" t="n">
        <v>0.037076578</v>
      </c>
      <c r="E50" s="8" t="n">
        <v>0.0008428</v>
      </c>
      <c r="F50" s="8" t="n">
        <v>0.052301158</v>
      </c>
      <c r="G50" s="8" t="n">
        <v>0.01635032</v>
      </c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6" t="inlineStr">
        <is>
          <t>Oct</t>
        </is>
      </c>
      <c r="B51" t="n">
        <v>0.0007224</v>
      </c>
      <c r="C51" t="n">
        <v>0.02221982</v>
      </c>
      <c r="D51" t="n">
        <v>0.0389494</v>
      </c>
      <c r="E51" t="n">
        <v>0.02583182</v>
      </c>
      <c r="F51" t="n">
        <v>0.03093678</v>
      </c>
      <c r="G51" t="n">
        <v>0.01376172</v>
      </c>
    </row>
    <row r="52">
      <c r="A52" s="4" t="inlineStr">
        <is>
          <t>Nov</t>
        </is>
      </c>
      <c r="B52" s="8" t="n">
        <v>0.0094514</v>
      </c>
      <c r="C52" s="8" t="n">
        <v>0.02121147</v>
      </c>
      <c r="D52" s="8" t="n">
        <v>0.018569593</v>
      </c>
      <c r="E52" s="8" t="n">
        <v>0.01201592</v>
      </c>
      <c r="F52" s="8" t="n">
        <v>0.04286842</v>
      </c>
      <c r="G52" s="8" t="n">
        <v>0.027699826</v>
      </c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6" t="inlineStr">
        <is>
          <t>Dec</t>
        </is>
      </c>
      <c r="B53" t="n">
        <v>0.0004816</v>
      </c>
      <c r="C53" t="n">
        <v>0.007765499</v>
      </c>
      <c r="D53" t="n">
        <v>0.00179095</v>
      </c>
      <c r="E53" t="n">
        <v>0.000301</v>
      </c>
      <c r="F53" t="n">
        <v>0.02492882</v>
      </c>
      <c r="G53" t="n">
        <v>0.0054481</v>
      </c>
    </row>
    <row r="54">
      <c r="A54" s="9" t="inlineStr">
        <is>
          <t xml:space="preserve">  Calendar-year Total</t>
        </is>
      </c>
      <c r="B54" s="9">
        <f>SUM(B42:B53)</f>
        <v/>
      </c>
      <c r="C54" s="9">
        <f>SUM(C42:C53)</f>
        <v/>
      </c>
      <c r="D54" s="9">
        <f>SUM(D42:D53)</f>
        <v/>
      </c>
      <c r="E54" s="9">
        <f>SUM(E42:E53)</f>
        <v/>
      </c>
      <c r="F54" s="9">
        <f>SUM(F42:F53)</f>
        <v/>
      </c>
      <c r="G54" s="9">
        <f>SUM(G42:G53)</f>
        <v/>
      </c>
      <c r="H54" s="9">
        <f>SUM(H42:H53)</f>
        <v/>
      </c>
      <c r="I54" s="9">
        <f>SUM(I42:I53)</f>
        <v/>
      </c>
      <c r="J54" s="9">
        <f>SUM(J42:J53)</f>
        <v/>
      </c>
      <c r="K54" s="9">
        <f>SUM(K42:K53)</f>
        <v/>
      </c>
      <c r="L54" s="9">
        <f>SUM(L42:L53)</f>
        <v/>
      </c>
      <c r="M54" s="9">
        <f>SUM(M42:M53)</f>
        <v/>
      </c>
      <c r="N54" s="9">
        <f>SUM(N42:N53)</f>
        <v/>
      </c>
      <c r="O54" s="9">
        <f>SUM(O42:O53)</f>
        <v/>
      </c>
      <c r="P54" s="9">
        <f>SUM(P42:P53)</f>
        <v/>
      </c>
      <c r="Q54" s="9">
        <f>SUM(Q42:Q53)</f>
        <v/>
      </c>
    </row>
    <row r="56">
      <c r="A56" s="12" t="inlineStr">
        <is>
          <t>US SAF EXPORTS</t>
        </is>
      </c>
    </row>
    <row r="57">
      <c r="A57" s="13" t="inlineStr">
        <is>
          <t>(million gallons)</t>
        </is>
      </c>
      <c r="B57" s="3" t="n">
        <v>2020</v>
      </c>
      <c r="C57" s="3" t="n">
        <v>2021</v>
      </c>
      <c r="D57" s="3" t="n">
        <v>2022</v>
      </c>
      <c r="E57" s="3" t="n">
        <v>2023</v>
      </c>
      <c r="F57" s="3" t="n">
        <v>2024</v>
      </c>
      <c r="G57" s="3" t="n">
        <v>2025</v>
      </c>
      <c r="H57" s="3" t="n">
        <v>2026</v>
      </c>
      <c r="I57" s="3" t="n">
        <v>2027</v>
      </c>
      <c r="J57" s="3" t="n">
        <v>2028</v>
      </c>
      <c r="K57" s="3" t="n">
        <v>2029</v>
      </c>
      <c r="L57" s="3" t="n">
        <v>2030</v>
      </c>
      <c r="M57" s="3" t="n">
        <v>2031</v>
      </c>
      <c r="N57" s="3" t="n">
        <v>2032</v>
      </c>
      <c r="O57" s="3" t="n">
        <v>2033</v>
      </c>
      <c r="P57" s="3" t="n">
        <v>2034</v>
      </c>
      <c r="Q57" s="3" t="n">
        <v>2035</v>
      </c>
    </row>
    <row r="58">
      <c r="A58" s="4" t="inlineStr">
        <is>
          <t>Jan</t>
        </is>
      </c>
      <c r="B58" s="8" t="n"/>
      <c r="C58" s="8" t="n">
        <v>0.012428892</v>
      </c>
      <c r="D58" s="8" t="n">
        <v>0.01392426</v>
      </c>
      <c r="E58" s="8" t="n">
        <v>0.0043344</v>
      </c>
      <c r="F58" s="8" t="n">
        <v>0.011027737</v>
      </c>
      <c r="G58" s="8" t="n">
        <v>0.018111471</v>
      </c>
      <c r="H58" s="8" t="n">
        <v>0.0001505</v>
      </c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6" t="inlineStr">
        <is>
          <t>Feb</t>
        </is>
      </c>
      <c r="B59" t="n">
        <v>0.0010836</v>
      </c>
      <c r="C59" t="n">
        <v>0.00958986</v>
      </c>
      <c r="F59" t="n">
        <v>0.000719089</v>
      </c>
      <c r="G59" t="n">
        <v>0.00479493</v>
      </c>
    </row>
    <row r="60">
      <c r="A60" s="4" t="inlineStr">
        <is>
          <t>Mar</t>
        </is>
      </c>
      <c r="B60" s="8" t="n"/>
      <c r="C60" s="8" t="n">
        <v>0.02907058</v>
      </c>
      <c r="D60" s="8" t="n">
        <v>0.00912933</v>
      </c>
      <c r="E60" s="8" t="n"/>
      <c r="F60" s="8" t="n"/>
      <c r="G60" s="8" t="n">
        <v>0.002930235</v>
      </c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6" t="inlineStr">
        <is>
          <t>Apr</t>
        </is>
      </c>
      <c r="C61" t="n">
        <v>0.02876958</v>
      </c>
      <c r="D61" t="n">
        <v>0.03310398</v>
      </c>
      <c r="F61" t="n">
        <v>0.005525758</v>
      </c>
    </row>
    <row r="62">
      <c r="A62" s="4" t="inlineStr">
        <is>
          <t>May</t>
        </is>
      </c>
      <c r="B62" s="8" t="n"/>
      <c r="C62" s="8" t="n">
        <v>0.03180366</v>
      </c>
      <c r="D62" s="8" t="n">
        <v>0.015251971</v>
      </c>
      <c r="E62" s="8" t="n">
        <v>0.011726358</v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6" t="inlineStr">
        <is>
          <t>Jun</t>
        </is>
      </c>
      <c r="B63" t="n">
        <v>0.004915029</v>
      </c>
      <c r="C63" t="n">
        <v>0.0043344</v>
      </c>
      <c r="D63" t="n">
        <v>0.062717865</v>
      </c>
      <c r="F63" t="n">
        <v>0.01057112</v>
      </c>
    </row>
    <row r="64">
      <c r="A64" s="4" t="inlineStr">
        <is>
          <t>Jul</t>
        </is>
      </c>
      <c r="B64" s="8" t="n">
        <v>0.024094749</v>
      </c>
      <c r="C64" s="8" t="n">
        <v>0.03120768</v>
      </c>
      <c r="D64" s="8" t="n"/>
      <c r="E64" s="8" t="n">
        <v>0.00277522</v>
      </c>
      <c r="F64" s="8" t="n">
        <v>0.027359696</v>
      </c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6" t="inlineStr">
        <is>
          <t>Aug</t>
        </is>
      </c>
      <c r="B65" t="n">
        <v>0.00498456</v>
      </c>
      <c r="C65" t="n">
        <v>0.00958986</v>
      </c>
      <c r="E65" t="n">
        <v>0.001108583</v>
      </c>
      <c r="F65" t="n">
        <v>0.019438279</v>
      </c>
    </row>
    <row r="66">
      <c r="A66" s="4" t="inlineStr">
        <is>
          <t>Sep</t>
        </is>
      </c>
      <c r="B66" s="8" t="n">
        <v>0.006432069</v>
      </c>
      <c r="C66" s="8" t="n"/>
      <c r="D66" s="8" t="n">
        <v>0.017664185</v>
      </c>
      <c r="E66" s="8" t="n">
        <v>0.00038227</v>
      </c>
      <c r="F66" s="8" t="n"/>
      <c r="G66" s="8" t="n">
        <v>0.01770482</v>
      </c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6" t="inlineStr">
        <is>
          <t>Oct</t>
        </is>
      </c>
      <c r="B67" t="n">
        <v>0.025201225</v>
      </c>
      <c r="C67" t="n">
        <v>0.006957314</v>
      </c>
      <c r="E67" t="n">
        <v>0.01057112</v>
      </c>
    </row>
    <row r="68">
      <c r="A68" s="4" t="inlineStr">
        <is>
          <t>Nov</t>
        </is>
      </c>
      <c r="B68" s="8" t="n"/>
      <c r="C68" s="8" t="n">
        <v>0.02397465</v>
      </c>
      <c r="D68" s="8" t="n">
        <v>0.0043344</v>
      </c>
      <c r="E68" s="8" t="n">
        <v>0.000367822</v>
      </c>
      <c r="F68" s="8" t="n">
        <v>0.00528556</v>
      </c>
      <c r="G68" s="8" t="n">
        <v>0.004528545</v>
      </c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6" t="inlineStr">
        <is>
          <t>Dec</t>
        </is>
      </c>
      <c r="C69" t="n">
        <v>0.016782255</v>
      </c>
      <c r="D69" t="n">
        <v>0.018804072</v>
      </c>
      <c r="E69" t="n">
        <v>0.000497854</v>
      </c>
      <c r="F69" t="n">
        <v>0.000266385</v>
      </c>
    </row>
    <row r="70">
      <c r="A70" s="9" t="inlineStr">
        <is>
          <t xml:space="preserve">  Calendar-year Total</t>
        </is>
      </c>
      <c r="B70" s="9">
        <f>SUM(B58:B69)</f>
        <v/>
      </c>
      <c r="C70" s="9">
        <f>SUM(C58:C69)</f>
        <v/>
      </c>
      <c r="D70" s="9">
        <f>SUM(D58:D69)</f>
        <v/>
      </c>
      <c r="E70" s="9">
        <f>SUM(E58:E69)</f>
        <v/>
      </c>
      <c r="F70" s="9">
        <f>SUM(F58:F69)</f>
        <v/>
      </c>
      <c r="G70" s="9">
        <f>SUM(G58:G69)</f>
        <v/>
      </c>
      <c r="H70" s="9">
        <f>SUM(H58:H69)</f>
        <v/>
      </c>
      <c r="I70" s="9">
        <f>SUM(I58:I69)</f>
        <v/>
      </c>
      <c r="J70" s="9">
        <f>SUM(J58:J69)</f>
        <v/>
      </c>
      <c r="K70" s="9">
        <f>SUM(K58:K69)</f>
        <v/>
      </c>
      <c r="L70" s="9">
        <f>SUM(L58:L69)</f>
        <v/>
      </c>
      <c r="M70" s="9">
        <f>SUM(M58:M69)</f>
        <v/>
      </c>
      <c r="N70" s="9">
        <f>SUM(N58:N69)</f>
        <v/>
      </c>
      <c r="O70" s="9">
        <f>SUM(O58:O69)</f>
        <v/>
      </c>
      <c r="P70" s="9">
        <f>SUM(P58:P69)</f>
        <v/>
      </c>
      <c r="Q70" s="9">
        <f>SUM(Q58:Q69)</f>
        <v/>
      </c>
    </row>
    <row r="72">
      <c r="A72" s="12" t="inlineStr">
        <is>
          <t>US SAF CONSUMPTION</t>
        </is>
      </c>
    </row>
    <row r="73">
      <c r="A73" s="13" t="inlineStr">
        <is>
          <t>(million gallons)</t>
        </is>
      </c>
      <c r="B73" s="3" t="n">
        <v>2020</v>
      </c>
      <c r="C73" s="3" t="n">
        <v>2021</v>
      </c>
      <c r="D73" s="3" t="n">
        <v>2022</v>
      </c>
      <c r="E73" s="3" t="n">
        <v>2023</v>
      </c>
      <c r="F73" s="3" t="n">
        <v>2024</v>
      </c>
      <c r="G73" s="3" t="n">
        <v>2025</v>
      </c>
      <c r="H73" s="3" t="n">
        <v>2026</v>
      </c>
      <c r="I73" s="3" t="n">
        <v>2027</v>
      </c>
      <c r="J73" s="3" t="n">
        <v>2028</v>
      </c>
      <c r="K73" s="3" t="n">
        <v>2029</v>
      </c>
      <c r="L73" s="3" t="n">
        <v>2030</v>
      </c>
      <c r="M73" s="3" t="n">
        <v>2031</v>
      </c>
      <c r="N73" s="3" t="n">
        <v>2032</v>
      </c>
      <c r="O73" s="3" t="n">
        <v>2033</v>
      </c>
      <c r="P73" s="3" t="n">
        <v>2034</v>
      </c>
      <c r="Q73" s="3" t="n">
        <v>2035</v>
      </c>
    </row>
    <row r="74">
      <c r="A74" s="4" t="inlineStr">
        <is>
          <t>Jan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A75" s="6" t="inlineStr">
        <is>
          <t>Feb</t>
        </is>
      </c>
    </row>
    <row r="76">
      <c r="A76" s="4" t="inlineStr">
        <is>
          <t>Mar</t>
        </is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A77" s="6" t="inlineStr">
        <is>
          <t>Apr</t>
        </is>
      </c>
    </row>
    <row r="78">
      <c r="A78" s="4" t="inlineStr">
        <is>
          <t>May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A79" s="6" t="inlineStr">
        <is>
          <t>Jun</t>
        </is>
      </c>
    </row>
    <row r="80">
      <c r="A80" s="4" t="inlineStr">
        <is>
          <t>Jul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A81" s="6" t="inlineStr">
        <is>
          <t>Aug</t>
        </is>
      </c>
    </row>
    <row r="82">
      <c r="A82" s="4" t="inlineStr">
        <is>
          <t>Sep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A83" s="6" t="inlineStr">
        <is>
          <t>Oct</t>
        </is>
      </c>
    </row>
    <row r="84">
      <c r="A84" s="4" t="inlineStr">
        <is>
          <t>Nov</t>
        </is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A85" s="6" t="inlineStr">
        <is>
          <t>Dec</t>
        </is>
      </c>
    </row>
    <row r="86">
      <c r="A86" s="9" t="inlineStr">
        <is>
          <t xml:space="preserve">  Calendar-year Total</t>
        </is>
      </c>
      <c r="B86" s="9">
        <f>SUM(B74:B85)</f>
        <v/>
      </c>
      <c r="C86" s="9">
        <f>SUM(C74:C85)</f>
        <v/>
      </c>
      <c r="D86" s="9">
        <f>SUM(D74:D85)</f>
        <v/>
      </c>
      <c r="E86" s="9">
        <f>SUM(E74:E85)</f>
        <v/>
      </c>
      <c r="F86" s="9">
        <f>SUM(F74:F85)</f>
        <v/>
      </c>
      <c r="G86" s="9">
        <f>SUM(G74:G85)</f>
        <v/>
      </c>
      <c r="H86" s="9">
        <f>SUM(H74:H85)</f>
        <v/>
      </c>
      <c r="I86" s="9">
        <f>SUM(I74:I85)</f>
        <v/>
      </c>
      <c r="J86" s="9">
        <f>SUM(J74:J85)</f>
        <v/>
      </c>
      <c r="K86" s="9">
        <f>SUM(K74:K85)</f>
        <v/>
      </c>
      <c r="L86" s="9">
        <f>SUM(L74:L85)</f>
        <v/>
      </c>
      <c r="M86" s="9">
        <f>SUM(M74:M85)</f>
        <v/>
      </c>
      <c r="N86" s="9">
        <f>SUM(N74:N85)</f>
        <v/>
      </c>
      <c r="O86" s="9">
        <f>SUM(O74:O85)</f>
        <v/>
      </c>
      <c r="P86" s="9">
        <f>SUM(P74:P85)</f>
        <v/>
      </c>
      <c r="Q86" s="9">
        <f>SUM(Q74:Q85)</f>
        <v/>
      </c>
    </row>
    <row r="88">
      <c r="A88" s="12" t="inlineStr">
        <is>
          <t>US SAF STOCKS</t>
        </is>
      </c>
    </row>
    <row r="89">
      <c r="A89" s="13" t="inlineStr">
        <is>
          <t>(million gallons)</t>
        </is>
      </c>
      <c r="B89" s="3" t="n">
        <v>2020</v>
      </c>
      <c r="C89" s="3" t="n">
        <v>2021</v>
      </c>
      <c r="D89" s="3" t="n">
        <v>2022</v>
      </c>
      <c r="E89" s="3" t="n">
        <v>2023</v>
      </c>
      <c r="F89" s="3" t="n">
        <v>2024</v>
      </c>
      <c r="G89" s="3" t="n">
        <v>2025</v>
      </c>
      <c r="H89" s="3" t="n">
        <v>2026</v>
      </c>
      <c r="I89" s="3" t="n">
        <v>2027</v>
      </c>
      <c r="J89" s="3" t="n">
        <v>2028</v>
      </c>
      <c r="K89" s="3" t="n">
        <v>2029</v>
      </c>
      <c r="L89" s="3" t="n">
        <v>2030</v>
      </c>
      <c r="M89" s="3" t="n">
        <v>2031</v>
      </c>
      <c r="N89" s="3" t="n">
        <v>2032</v>
      </c>
      <c r="O89" s="3" t="n">
        <v>2033</v>
      </c>
      <c r="P89" s="3" t="n">
        <v>2034</v>
      </c>
      <c r="Q89" s="3" t="n">
        <v>2035</v>
      </c>
    </row>
    <row r="90">
      <c r="A90" s="4" t="inlineStr">
        <is>
          <t>Jan</t>
        </is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A91" s="6" t="inlineStr">
        <is>
          <t>Feb</t>
        </is>
      </c>
    </row>
    <row r="92">
      <c r="A92" s="4" t="inlineStr">
        <is>
          <t>Mar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A93" s="6" t="inlineStr">
        <is>
          <t>Apr</t>
        </is>
      </c>
    </row>
    <row r="94">
      <c r="A94" s="4" t="inlineStr">
        <is>
          <t>May</t>
        </is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A95" s="6" t="inlineStr">
        <is>
          <t>Jun</t>
        </is>
      </c>
    </row>
    <row r="96">
      <c r="A96" s="4" t="inlineStr">
        <is>
          <t>Jul</t>
        </is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A97" s="6" t="inlineStr">
        <is>
          <t>Aug</t>
        </is>
      </c>
    </row>
    <row r="98">
      <c r="A98" s="4" t="inlineStr">
        <is>
          <t>Sep</t>
        </is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A99" s="6" t="inlineStr">
        <is>
          <t>Oct</t>
        </is>
      </c>
    </row>
    <row r="100">
      <c r="A100" s="4" t="inlineStr">
        <is>
          <t>Nov</t>
        </is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A101" s="6" t="inlineStr">
        <is>
          <t>Dec</t>
        </is>
      </c>
    </row>
    <row r="102">
      <c r="A102" s="9" t="inlineStr">
        <is>
          <t xml:space="preserve">  Calendar-year Total</t>
        </is>
      </c>
      <c r="B102" s="9">
        <f>SUM(B90:B101)</f>
        <v/>
      </c>
      <c r="C102" s="9">
        <f>SUM(C90:C101)</f>
        <v/>
      </c>
      <c r="D102" s="9">
        <f>SUM(D90:D101)</f>
        <v/>
      </c>
      <c r="E102" s="9">
        <f>SUM(E90:E101)</f>
        <v/>
      </c>
      <c r="F102" s="9">
        <f>SUM(F90:F101)</f>
        <v/>
      </c>
      <c r="G102" s="9">
        <f>SUM(G90:G101)</f>
        <v/>
      </c>
      <c r="H102" s="9">
        <f>SUM(H90:H101)</f>
        <v/>
      </c>
      <c r="I102" s="9">
        <f>SUM(I90:I101)</f>
        <v/>
      </c>
      <c r="J102" s="9">
        <f>SUM(J90:J101)</f>
        <v/>
      </c>
      <c r="K102" s="9">
        <f>SUM(K90:K101)</f>
        <v/>
      </c>
      <c r="L102" s="9">
        <f>SUM(L90:L101)</f>
        <v/>
      </c>
      <c r="M102" s="9">
        <f>SUM(M90:M101)</f>
        <v/>
      </c>
      <c r="N102" s="9">
        <f>SUM(N90:N101)</f>
        <v/>
      </c>
      <c r="O102" s="9">
        <f>SUM(O90:O101)</f>
        <v/>
      </c>
      <c r="P102" s="9">
        <f>SUM(P90:P101)</f>
        <v/>
      </c>
      <c r="Q102" s="9">
        <f>SUM(Q90:Q101)</f>
        <v/>
      </c>
    </row>
    <row r="104">
      <c r="A104" s="12" t="inlineStr">
        <is>
          <t>US SAF CAPACITY</t>
        </is>
      </c>
    </row>
    <row r="105">
      <c r="A105" s="13" t="inlineStr">
        <is>
          <t>(MMGY)</t>
        </is>
      </c>
      <c r="B105" s="3" t="n">
        <v>2020</v>
      </c>
      <c r="C105" s="3" t="n">
        <v>2021</v>
      </c>
      <c r="D105" s="3" t="n">
        <v>2022</v>
      </c>
      <c r="E105" s="3" t="n">
        <v>2023</v>
      </c>
      <c r="F105" s="3" t="n">
        <v>2024</v>
      </c>
      <c r="G105" s="3" t="n">
        <v>2025</v>
      </c>
      <c r="H105" s="3" t="n">
        <v>2026</v>
      </c>
      <c r="I105" s="3" t="n">
        <v>2027</v>
      </c>
      <c r="J105" s="3" t="n">
        <v>2028</v>
      </c>
      <c r="K105" s="3" t="n">
        <v>2029</v>
      </c>
      <c r="L105" s="3" t="n">
        <v>2030</v>
      </c>
      <c r="M105" s="3" t="n">
        <v>2031</v>
      </c>
      <c r="N105" s="3" t="n">
        <v>2032</v>
      </c>
      <c r="O105" s="3" t="n">
        <v>2033</v>
      </c>
      <c r="P105" s="3" t="n">
        <v>2034</v>
      </c>
      <c r="Q105" s="3" t="n">
        <v>2035</v>
      </c>
    </row>
    <row r="106">
      <c r="A106" s="4" t="inlineStr">
        <is>
          <t>Jan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A107" s="6" t="inlineStr">
        <is>
          <t>Feb</t>
        </is>
      </c>
    </row>
    <row r="108">
      <c r="A108" s="4" t="inlineStr">
        <is>
          <t>Mar</t>
        </is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A109" s="6" t="inlineStr">
        <is>
          <t>Apr</t>
        </is>
      </c>
    </row>
    <row r="110">
      <c r="A110" s="4" t="inlineStr">
        <is>
          <t>May</t>
        </is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A111" s="6" t="inlineStr">
        <is>
          <t>Jun</t>
        </is>
      </c>
    </row>
    <row r="112">
      <c r="A112" s="4" t="inlineStr">
        <is>
          <t>Jul</t>
        </is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A113" s="6" t="inlineStr">
        <is>
          <t>Aug</t>
        </is>
      </c>
    </row>
    <row r="114">
      <c r="A114" s="4" t="inlineStr">
        <is>
          <t>Sep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A115" s="6" t="inlineStr">
        <is>
          <t>Oct</t>
        </is>
      </c>
    </row>
    <row r="116">
      <c r="A116" s="4" t="inlineStr">
        <is>
          <t>Nov</t>
        </is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A117" s="6" t="inlineStr">
        <is>
          <t>Dec</t>
        </is>
      </c>
    </row>
    <row r="118">
      <c r="A118" s="9" t="inlineStr">
        <is>
          <t xml:space="preserve">  Calendar-year Total</t>
        </is>
      </c>
      <c r="B118" s="9">
        <f>SUM(B106:B117)</f>
        <v/>
      </c>
      <c r="C118" s="9">
        <f>SUM(C106:C117)</f>
        <v/>
      </c>
      <c r="D118" s="9">
        <f>SUM(D106:D117)</f>
        <v/>
      </c>
      <c r="E118" s="9">
        <f>SUM(E106:E117)</f>
        <v/>
      </c>
      <c r="F118" s="9">
        <f>SUM(F106:F117)</f>
        <v/>
      </c>
      <c r="G118" s="9">
        <f>SUM(G106:G117)</f>
        <v/>
      </c>
      <c r="H118" s="9">
        <f>SUM(H106:H117)</f>
        <v/>
      </c>
      <c r="I118" s="9">
        <f>SUM(I106:I117)</f>
        <v/>
      </c>
      <c r="J118" s="9">
        <f>SUM(J106:J117)</f>
        <v/>
      </c>
      <c r="K118" s="9">
        <f>SUM(K106:K117)</f>
        <v/>
      </c>
      <c r="L118" s="9">
        <f>SUM(L106:L117)</f>
        <v/>
      </c>
      <c r="M118" s="9">
        <f>SUM(M106:M117)</f>
        <v/>
      </c>
      <c r="N118" s="9">
        <f>SUM(N106:N117)</f>
        <v/>
      </c>
      <c r="O118" s="9">
        <f>SUM(O106:O117)</f>
        <v/>
      </c>
      <c r="P118" s="9">
        <f>SUM(P106:P117)</f>
        <v/>
      </c>
      <c r="Q118" s="9">
        <f>SUM(Q106:Q117)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2026-04-07T13:48:34Z</dcterms:created>
  <dcterms:modified xmlns:dcterms="http://purl.org/dc/terms/" xmlns:xsi="http://www.w3.org/2001/XMLSchema-instance" xsi:type="dcterms:W3CDTF">2026-05-16T09:31:30Z</dcterms:modified>
</cp:coreProperties>
</file>