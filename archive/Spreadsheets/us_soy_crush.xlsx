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RLC Dropbox\RLC Team Folder\RLC-Models\Oilseeds\new_models\"/>
    </mc:Choice>
  </mc:AlternateContent>
  <xr:revisionPtr revIDLastSave="0" documentId="8_{5EEA45FF-2AAD-4BFD-AECB-05F1E76CB505}" xr6:coauthVersionLast="47" xr6:coauthVersionMax="47" xr10:uidLastSave="{00000000-0000-0000-0000-000000000000}"/>
  <bookViews>
    <workbookView xWindow="6855" yWindow="1905" windowWidth="21600" windowHeight="11835" xr2:uid="{81E09402-56DC-47ED-8D29-D057C4C43459}"/>
  </bookViews>
  <sheets>
    <sheet name="NASS Cru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5" i="1"/>
</calcChain>
</file>

<file path=xl/sharedStrings.xml><?xml version="1.0" encoding="utf-8"?>
<sst xmlns="http://schemas.openxmlformats.org/spreadsheetml/2006/main" count="65" uniqueCount="37">
  <si>
    <t>Soybeans Crushed</t>
  </si>
  <si>
    <t>SOYBEAN COMPLEX</t>
  </si>
  <si>
    <t>MONTHLY US SOYBEAN CRUSHING</t>
  </si>
  <si>
    <t>mil bu</t>
  </si>
  <si>
    <t>NOPA Delta</t>
  </si>
  <si>
    <t>Non-NOPA Crush</t>
  </si>
  <si>
    <t>Capacity</t>
  </si>
  <si>
    <t>%</t>
  </si>
  <si>
    <t>Unused Capacity</t>
  </si>
  <si>
    <t>lbs/bu</t>
  </si>
  <si>
    <t>Millfeed Production</t>
  </si>
  <si>
    <t>Millfeed Stocks</t>
  </si>
  <si>
    <t>mil lbs</t>
  </si>
  <si>
    <t>000 tons</t>
  </si>
  <si>
    <t>Meal Yield Delta to NOPA</t>
  </si>
  <si>
    <t>Meal Yield</t>
  </si>
  <si>
    <t>Meal Yield with Millfeed/Hull</t>
  </si>
  <si>
    <t>Oil Stocks Delta to NOPA</t>
  </si>
  <si>
    <t>Non-NOPA Oil Stocks</t>
  </si>
  <si>
    <t>Oil Yield</t>
  </si>
  <si>
    <t>US Avg - NOPA Meal Yield</t>
  </si>
  <si>
    <t>US Avg - NOPA Oil Yield</t>
  </si>
  <si>
    <t>Refining Loss</t>
  </si>
  <si>
    <t>Meal Production</t>
  </si>
  <si>
    <t>Meal Animal Feed Use</t>
  </si>
  <si>
    <t>Meal Edible Protein Use</t>
  </si>
  <si>
    <t>Crude Oil Production</t>
  </si>
  <si>
    <t>Refined Oil Production</t>
  </si>
  <si>
    <t>Crude Oil Refined</t>
  </si>
  <si>
    <t>Refined Oil Inedible Use</t>
  </si>
  <si>
    <t>Refined Oil Further Processing</t>
  </si>
  <si>
    <t>Crude Oil Inedible Use</t>
  </si>
  <si>
    <t>Refined Oil Edible Use</t>
  </si>
  <si>
    <t>Crude Oil Stocks</t>
  </si>
  <si>
    <t>Crude Oil Crusher Stocks</t>
  </si>
  <si>
    <t>Refined Oil Refiner Stocks</t>
  </si>
  <si>
    <t>All Oil Offsite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</si>
</sst>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409]mmm\-yy;@"/>
    <numFmt numFmtId="166" formatCode="#,##0.000_);[Red]\(#,##0.000\)"/>
    <numFmt numFmtId="167" formatCode="#,##0.0_);[Red]\(#,##0.0\)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12"/>
      <color theme="1"/>
      <name val="Univers"/>
      <family val="2"/>
    </font>
    <font>
      <b/>
      <sz val="10"/>
      <color theme="9" tint="-0.249977111117893"/>
      <name val="Univers"/>
      <family val="2"/>
    </font>
    <font>
      <b/>
      <sz val="10"/>
      <color theme="0"/>
      <name val="Univer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3" fillId="4" borderId="0" xfId="0" applyFont="1" applyFill="1"/>
    <xf numFmtId="0" fontId="4" fillId="4" borderId="0" xfId="0" applyFont="1" applyFill="1" applyAlignment="1">
      <alignment horizontal="center" vertical="center"/>
    </xf>
    <xf numFmtId="166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A47E-EC39-4CC7-A5EA-CCE1BF32FC20}">
  <dimension ref="A1:GE132"/>
  <sheetViews>
    <sheetView tabSelected="1" zoomScale="85" zoomScaleNormal="85" workbookViewId="0">
      <selection activeCell="D5" sqref="D5:D132"/>
    </sheetView>
  </sheetViews>
  <sheetFormatPr defaultRowHeight="12.75" x14ac:dyDescent="0.2"/>
  <cols>
    <col min="1" max="1" width="9.140625" style="1"/>
    <col min="2" max="6" width="12.140625" style="19" customWidth="1"/>
    <col min="7" max="8" width="12.140625" style="1" customWidth="1"/>
    <col min="9" max="9" width="2.85546875" style="1" customWidth="1"/>
    <col min="10" max="18" width="12.140625" style="6" customWidth="1"/>
    <col min="19" max="19" width="2.85546875" style="6" customWidth="1"/>
    <col min="20" max="35" width="12.140625" style="6" customWidth="1"/>
    <col min="36" max="36" width="2.85546875" style="6" customWidth="1"/>
    <col min="37" max="187" width="12.140625" style="6" customWidth="1"/>
    <col min="188" max="16384" width="9.140625" style="1"/>
  </cols>
  <sheetData>
    <row r="1" spans="1:187" ht="15.75" x14ac:dyDescent="0.25">
      <c r="A1" s="14" t="s">
        <v>1</v>
      </c>
      <c r="B1" s="15"/>
      <c r="C1" s="15"/>
      <c r="D1" s="15"/>
      <c r="E1" s="15"/>
      <c r="F1" s="15"/>
      <c r="G1" s="15"/>
      <c r="H1" s="15"/>
      <c r="I1" s="15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</row>
    <row r="2" spans="1:187" x14ac:dyDescent="0.2">
      <c r="A2" s="17" t="s">
        <v>2</v>
      </c>
      <c r="B2" s="15"/>
      <c r="C2" s="15"/>
      <c r="D2" s="15"/>
      <c r="E2" s="15"/>
      <c r="F2" s="15"/>
      <c r="G2" s="15"/>
      <c r="H2" s="15"/>
      <c r="I2" s="15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187" s="3" customFormat="1" ht="51" x14ac:dyDescent="0.25">
      <c r="A3" s="9"/>
      <c r="B3" s="10" t="s">
        <v>6</v>
      </c>
      <c r="C3" s="11" t="s">
        <v>0</v>
      </c>
      <c r="D3" s="11"/>
      <c r="E3" s="10" t="s">
        <v>4</v>
      </c>
      <c r="F3" s="10" t="s">
        <v>5</v>
      </c>
      <c r="G3" s="10" t="s">
        <v>5</v>
      </c>
      <c r="H3" s="10" t="s">
        <v>8</v>
      </c>
      <c r="I3" s="12"/>
      <c r="J3" s="10" t="s">
        <v>23</v>
      </c>
      <c r="K3" s="10" t="s">
        <v>24</v>
      </c>
      <c r="L3" s="10" t="s">
        <v>25</v>
      </c>
      <c r="M3" s="10" t="s">
        <v>10</v>
      </c>
      <c r="N3" s="10" t="s">
        <v>11</v>
      </c>
      <c r="O3" s="10" t="s">
        <v>15</v>
      </c>
      <c r="P3" s="10" t="s">
        <v>16</v>
      </c>
      <c r="Q3" s="10" t="s">
        <v>14</v>
      </c>
      <c r="R3" s="10" t="s">
        <v>20</v>
      </c>
      <c r="S3" s="12"/>
      <c r="T3" s="10" t="s">
        <v>26</v>
      </c>
      <c r="U3" s="10" t="s">
        <v>31</v>
      </c>
      <c r="V3" s="10" t="s">
        <v>28</v>
      </c>
      <c r="W3" s="10" t="s">
        <v>27</v>
      </c>
      <c r="X3" s="10" t="s">
        <v>22</v>
      </c>
      <c r="Y3" s="10" t="s">
        <v>30</v>
      </c>
      <c r="Z3" s="10" t="s">
        <v>29</v>
      </c>
      <c r="AA3" s="10" t="s">
        <v>32</v>
      </c>
      <c r="AB3" s="10" t="s">
        <v>33</v>
      </c>
      <c r="AC3" s="10" t="s">
        <v>34</v>
      </c>
      <c r="AD3" s="10" t="s">
        <v>35</v>
      </c>
      <c r="AE3" s="10" t="s">
        <v>36</v>
      </c>
      <c r="AF3" s="10" t="s">
        <v>17</v>
      </c>
      <c r="AG3" s="10" t="s">
        <v>18</v>
      </c>
      <c r="AH3" s="10" t="s">
        <v>19</v>
      </c>
      <c r="AI3" s="10" t="s">
        <v>21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</row>
    <row r="4" spans="1:187" s="5" customFormat="1" x14ac:dyDescent="0.2">
      <c r="A4" s="7"/>
      <c r="B4" s="7" t="s">
        <v>3</v>
      </c>
      <c r="C4" s="7" t="s">
        <v>13</v>
      </c>
      <c r="D4" s="7" t="s">
        <v>3</v>
      </c>
      <c r="E4" s="7" t="s">
        <v>3</v>
      </c>
      <c r="F4" s="7" t="s">
        <v>3</v>
      </c>
      <c r="G4" s="7" t="s">
        <v>7</v>
      </c>
      <c r="H4" s="7" t="s">
        <v>3</v>
      </c>
      <c r="I4" s="13"/>
      <c r="J4" s="8" t="s">
        <v>13</v>
      </c>
      <c r="K4" s="8" t="s">
        <v>13</v>
      </c>
      <c r="L4" s="8" t="s">
        <v>13</v>
      </c>
      <c r="M4" s="8" t="s">
        <v>13</v>
      </c>
      <c r="N4" s="8" t="s">
        <v>13</v>
      </c>
      <c r="O4" s="8" t="s">
        <v>9</v>
      </c>
      <c r="P4" s="8" t="s">
        <v>9</v>
      </c>
      <c r="Q4" s="8" t="s">
        <v>9</v>
      </c>
      <c r="R4" s="8" t="s">
        <v>9</v>
      </c>
      <c r="S4" s="18"/>
      <c r="T4" s="8" t="s">
        <v>12</v>
      </c>
      <c r="U4" s="8" t="s">
        <v>12</v>
      </c>
      <c r="V4" s="8" t="s">
        <v>12</v>
      </c>
      <c r="W4" s="8" t="s">
        <v>12</v>
      </c>
      <c r="X4" s="8" t="s">
        <v>7</v>
      </c>
      <c r="Y4" s="8" t="s">
        <v>12</v>
      </c>
      <c r="Z4" s="8" t="s">
        <v>12</v>
      </c>
      <c r="AA4" s="8" t="s">
        <v>12</v>
      </c>
      <c r="AB4" s="8" t="s">
        <v>12</v>
      </c>
      <c r="AC4" s="8" t="s">
        <v>12</v>
      </c>
      <c r="AD4" s="8" t="s">
        <v>12</v>
      </c>
      <c r="AE4" s="8" t="s">
        <v>12</v>
      </c>
      <c r="AF4" s="8" t="s">
        <v>12</v>
      </c>
      <c r="AG4" s="8" t="s">
        <v>7</v>
      </c>
      <c r="AH4" s="8" t="s">
        <v>9</v>
      </c>
      <c r="AI4" s="8" t="s">
        <v>9</v>
      </c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</row>
    <row r="5" spans="1:187" x14ac:dyDescent="0.2">
      <c r="A5" s="2">
        <v>42125</v>
      </c>
      <c r="C5" s="19">
        <v>4682.3220000000001</v>
      </c>
      <c r="D5" s="20">
        <f>C5*36.7437/1000</f>
        <v>172.04583487139999</v>
      </c>
    </row>
    <row r="6" spans="1:187" x14ac:dyDescent="0.2">
      <c r="A6" s="2">
        <v>42156</v>
      </c>
      <c r="C6" s="19">
        <v>4549.1030000000001</v>
      </c>
      <c r="D6" s="20">
        <f t="shared" ref="D6:D69" si="0">C6*36.7437/1000</f>
        <v>167.15087590109999</v>
      </c>
    </row>
    <row r="7" spans="1:187" x14ac:dyDescent="0.2">
      <c r="A7" s="2">
        <v>42186</v>
      </c>
      <c r="C7" s="19">
        <v>4672.9210000000003</v>
      </c>
      <c r="D7" s="20">
        <f t="shared" si="0"/>
        <v>171.70040734770001</v>
      </c>
    </row>
    <row r="8" spans="1:187" x14ac:dyDescent="0.2">
      <c r="A8" s="2">
        <v>42217</v>
      </c>
      <c r="C8" s="19">
        <v>4337.34</v>
      </c>
      <c r="D8" s="20">
        <f t="shared" si="0"/>
        <v>159.36991975800001</v>
      </c>
    </row>
    <row r="9" spans="1:187" x14ac:dyDescent="0.2">
      <c r="A9" s="2">
        <v>42248</v>
      </c>
      <c r="C9" s="19">
        <v>4036.8960000000002</v>
      </c>
      <c r="D9" s="20">
        <f t="shared" si="0"/>
        <v>148.3304955552</v>
      </c>
    </row>
    <row r="10" spans="1:187" x14ac:dyDescent="0.2">
      <c r="A10" s="2">
        <v>42278</v>
      </c>
      <c r="C10" s="19">
        <v>5104.01</v>
      </c>
      <c r="D10" s="20">
        <f t="shared" si="0"/>
        <v>187.54021223699999</v>
      </c>
    </row>
    <row r="11" spans="1:187" x14ac:dyDescent="0.2">
      <c r="A11" s="2">
        <v>42309</v>
      </c>
      <c r="C11" s="19">
        <v>4973.5339999999997</v>
      </c>
      <c r="D11" s="20">
        <f t="shared" si="0"/>
        <v>182.74604123579996</v>
      </c>
    </row>
    <row r="12" spans="1:187" x14ac:dyDescent="0.2">
      <c r="A12" s="2">
        <v>42339</v>
      </c>
      <c r="C12" s="19">
        <v>5011.3239999999996</v>
      </c>
      <c r="D12" s="20">
        <f t="shared" si="0"/>
        <v>184.13458565879998</v>
      </c>
    </row>
    <row r="13" spans="1:187" x14ac:dyDescent="0.2">
      <c r="A13" s="2">
        <v>42370</v>
      </c>
      <c r="C13" s="19">
        <v>4814.0439999999999</v>
      </c>
      <c r="D13" s="20">
        <f t="shared" si="0"/>
        <v>176.8857885228</v>
      </c>
    </row>
    <row r="14" spans="1:187" x14ac:dyDescent="0.2">
      <c r="A14" s="2">
        <v>42401</v>
      </c>
      <c r="C14" s="19">
        <v>4638.6629999999996</v>
      </c>
      <c r="D14" s="20">
        <f t="shared" si="0"/>
        <v>170.44164167309998</v>
      </c>
    </row>
    <row r="15" spans="1:187" x14ac:dyDescent="0.2">
      <c r="A15" s="2">
        <v>42430</v>
      </c>
      <c r="C15" s="19">
        <v>4991.6260000000002</v>
      </c>
      <c r="D15" s="20">
        <f t="shared" si="0"/>
        <v>183.4108082562</v>
      </c>
    </row>
    <row r="16" spans="1:187" x14ac:dyDescent="0.2">
      <c r="A16" s="2">
        <v>42461</v>
      </c>
      <c r="C16" s="19">
        <v>4745.09</v>
      </c>
      <c r="D16" s="20">
        <f t="shared" si="0"/>
        <v>174.35216343299999</v>
      </c>
    </row>
    <row r="17" spans="1:4" x14ac:dyDescent="0.2">
      <c r="A17" s="2">
        <v>42491</v>
      </c>
      <c r="C17" s="19">
        <v>4825.8329999999996</v>
      </c>
      <c r="D17" s="20">
        <f t="shared" si="0"/>
        <v>177.31896000209997</v>
      </c>
    </row>
    <row r="18" spans="1:4" x14ac:dyDescent="0.2">
      <c r="A18" s="2">
        <v>42522</v>
      </c>
      <c r="C18" s="19">
        <v>4623.7520000000004</v>
      </c>
      <c r="D18" s="20">
        <f t="shared" si="0"/>
        <v>169.89375636239998</v>
      </c>
    </row>
    <row r="19" spans="1:4" x14ac:dyDescent="0.2">
      <c r="A19" s="2">
        <v>42552</v>
      </c>
      <c r="C19" s="19">
        <v>4603.5429999999997</v>
      </c>
      <c r="D19" s="20">
        <f t="shared" si="0"/>
        <v>169.15120292909995</v>
      </c>
    </row>
    <row r="20" spans="1:4" x14ac:dyDescent="0.2">
      <c r="A20" s="2">
        <v>42583</v>
      </c>
      <c r="C20" s="19">
        <v>4218.7889999999998</v>
      </c>
      <c r="D20" s="20">
        <f t="shared" si="0"/>
        <v>155.01391737929995</v>
      </c>
    </row>
    <row r="21" spans="1:4" x14ac:dyDescent="0.2">
      <c r="A21" s="2">
        <v>42614</v>
      </c>
      <c r="C21" s="19">
        <v>4148.0079999999998</v>
      </c>
      <c r="D21" s="20">
        <f t="shared" si="0"/>
        <v>152.41316154959998</v>
      </c>
    </row>
    <row r="22" spans="1:4" x14ac:dyDescent="0.2">
      <c r="A22" s="2">
        <v>42644</v>
      </c>
      <c r="C22" s="19">
        <v>5276.415</v>
      </c>
      <c r="D22" s="20">
        <f t="shared" si="0"/>
        <v>193.87500983549998</v>
      </c>
    </row>
    <row r="23" spans="1:4" x14ac:dyDescent="0.2">
      <c r="A23" s="2">
        <v>42675</v>
      </c>
      <c r="C23" s="19">
        <v>5122.0379999999996</v>
      </c>
      <c r="D23" s="20">
        <f t="shared" si="0"/>
        <v>188.20262766059997</v>
      </c>
    </row>
    <row r="24" spans="1:4" x14ac:dyDescent="0.2">
      <c r="A24" s="2">
        <v>42705</v>
      </c>
      <c r="C24" s="19">
        <v>5071.4930000000004</v>
      </c>
      <c r="D24" s="20">
        <f t="shared" si="0"/>
        <v>186.34541734409999</v>
      </c>
    </row>
    <row r="25" spans="1:4" x14ac:dyDescent="0.2">
      <c r="A25" s="2">
        <v>42736</v>
      </c>
      <c r="C25" s="19">
        <v>5139.7060000000001</v>
      </c>
      <c r="D25" s="20">
        <f t="shared" si="0"/>
        <v>188.85181535219996</v>
      </c>
    </row>
    <row r="26" spans="1:4" x14ac:dyDescent="0.2">
      <c r="A26" s="2">
        <v>42767</v>
      </c>
      <c r="C26" s="19">
        <v>4542.3360000000002</v>
      </c>
      <c r="D26" s="20">
        <f t="shared" si="0"/>
        <v>166.9022312832</v>
      </c>
    </row>
    <row r="27" spans="1:4" x14ac:dyDescent="0.2">
      <c r="A27" s="2">
        <v>42795</v>
      </c>
      <c r="C27" s="19">
        <v>4822.9610000000002</v>
      </c>
      <c r="D27" s="20">
        <f t="shared" si="0"/>
        <v>177.2134320957</v>
      </c>
    </row>
    <row r="28" spans="1:4" x14ac:dyDescent="0.2">
      <c r="A28" s="2">
        <v>42826</v>
      </c>
      <c r="C28" s="19">
        <v>4509.4629999999997</v>
      </c>
      <c r="D28" s="20">
        <f t="shared" si="0"/>
        <v>165.69435563309997</v>
      </c>
    </row>
    <row r="29" spans="1:4" x14ac:dyDescent="0.2">
      <c r="A29" s="2">
        <v>42856</v>
      </c>
      <c r="C29" s="19">
        <v>4739.3869999999997</v>
      </c>
      <c r="D29" s="20">
        <f t="shared" si="0"/>
        <v>174.14261411189997</v>
      </c>
    </row>
    <row r="30" spans="1:4" x14ac:dyDescent="0.2">
      <c r="A30" s="2">
        <v>42887</v>
      </c>
      <c r="C30" s="19">
        <v>4446.8630000000003</v>
      </c>
      <c r="D30" s="20">
        <f t="shared" si="0"/>
        <v>163.3942000131</v>
      </c>
    </row>
    <row r="31" spans="1:4" x14ac:dyDescent="0.2">
      <c r="A31" s="2">
        <v>42917</v>
      </c>
      <c r="C31" s="19">
        <v>4668.68</v>
      </c>
      <c r="D31" s="20">
        <f t="shared" si="0"/>
        <v>171.54457731600002</v>
      </c>
    </row>
    <row r="32" spans="1:4" x14ac:dyDescent="0.2">
      <c r="A32" s="2">
        <v>42948</v>
      </c>
      <c r="C32" s="19">
        <v>4548.5919999999996</v>
      </c>
      <c r="D32" s="20">
        <f t="shared" si="0"/>
        <v>167.13209987039997</v>
      </c>
    </row>
    <row r="33" spans="1:4" x14ac:dyDescent="0.2">
      <c r="A33" s="2">
        <v>42979</v>
      </c>
      <c r="C33" s="19">
        <v>4361.2070000000003</v>
      </c>
      <c r="D33" s="20">
        <f t="shared" si="0"/>
        <v>160.2468816459</v>
      </c>
    </row>
    <row r="34" spans="1:4" x14ac:dyDescent="0.2">
      <c r="A34" s="2">
        <v>43009</v>
      </c>
      <c r="C34" s="19">
        <v>5277.3969999999999</v>
      </c>
      <c r="D34" s="20">
        <f t="shared" si="0"/>
        <v>193.91109214889997</v>
      </c>
    </row>
    <row r="35" spans="1:4" x14ac:dyDescent="0.2">
      <c r="A35" s="2">
        <v>43040</v>
      </c>
      <c r="C35" s="19">
        <v>5200.4620000000004</v>
      </c>
      <c r="D35" s="20">
        <f t="shared" si="0"/>
        <v>191.0842155894</v>
      </c>
    </row>
    <row r="36" spans="1:4" x14ac:dyDescent="0.2">
      <c r="A36" s="2">
        <v>43070</v>
      </c>
      <c r="C36" s="19">
        <v>5290.2150000000001</v>
      </c>
      <c r="D36" s="20">
        <f t="shared" si="0"/>
        <v>194.38207289549999</v>
      </c>
    </row>
    <row r="37" spans="1:4" x14ac:dyDescent="0.2">
      <c r="A37" s="2">
        <v>43101</v>
      </c>
      <c r="C37" s="19">
        <v>5239.8270000000002</v>
      </c>
      <c r="D37" s="20">
        <f t="shared" si="0"/>
        <v>192.5306313399</v>
      </c>
    </row>
    <row r="38" spans="1:4" x14ac:dyDescent="0.2">
      <c r="A38" s="2">
        <v>43132</v>
      </c>
      <c r="C38" s="19">
        <v>4948.7719999999999</v>
      </c>
      <c r="D38" s="20">
        <f t="shared" si="0"/>
        <v>181.83619373639999</v>
      </c>
    </row>
    <row r="39" spans="1:4" x14ac:dyDescent="0.2">
      <c r="A39" s="2">
        <v>43160</v>
      </c>
      <c r="C39" s="19">
        <v>5465.24</v>
      </c>
      <c r="D39" s="20">
        <f t="shared" si="0"/>
        <v>200.81313898799996</v>
      </c>
    </row>
    <row r="40" spans="1:4" x14ac:dyDescent="0.2">
      <c r="A40" s="2">
        <v>43191</v>
      </c>
      <c r="C40" s="19">
        <v>5149.1469999999999</v>
      </c>
      <c r="D40" s="20">
        <f t="shared" si="0"/>
        <v>189.19871262389998</v>
      </c>
    </row>
    <row r="41" spans="1:4" x14ac:dyDescent="0.2">
      <c r="A41" s="2">
        <v>43221</v>
      </c>
      <c r="C41" s="19">
        <v>5174.04</v>
      </c>
      <c r="D41" s="20">
        <f t="shared" si="0"/>
        <v>190.11337354799997</v>
      </c>
    </row>
    <row r="42" spans="1:4" x14ac:dyDescent="0.2">
      <c r="A42" s="2">
        <v>43252</v>
      </c>
      <c r="C42" s="19">
        <v>5086.9409999999998</v>
      </c>
      <c r="D42" s="20">
        <f t="shared" si="0"/>
        <v>186.91303402169999</v>
      </c>
    </row>
    <row r="43" spans="1:4" x14ac:dyDescent="0.2">
      <c r="A43" s="2">
        <v>43282</v>
      </c>
      <c r="C43" s="19">
        <v>5365.8280000000004</v>
      </c>
      <c r="D43" s="20">
        <f t="shared" si="0"/>
        <v>197.16037428359999</v>
      </c>
    </row>
    <row r="44" spans="1:4" x14ac:dyDescent="0.2">
      <c r="A44" s="2">
        <v>43313</v>
      </c>
      <c r="C44" s="19">
        <v>5088.884</v>
      </c>
      <c r="D44" s="20">
        <f t="shared" si="0"/>
        <v>186.98442703079999</v>
      </c>
    </row>
    <row r="45" spans="1:4" x14ac:dyDescent="0.2">
      <c r="A45" s="2">
        <v>43344</v>
      </c>
      <c r="C45" s="19">
        <v>5089.4799999999996</v>
      </c>
      <c r="D45" s="20">
        <f t="shared" si="0"/>
        <v>187.00632627599998</v>
      </c>
    </row>
    <row r="46" spans="1:4" x14ac:dyDescent="0.2">
      <c r="A46" s="2">
        <v>43374</v>
      </c>
      <c r="C46" s="19">
        <v>5506.7529999999997</v>
      </c>
      <c r="D46" s="20">
        <f t="shared" si="0"/>
        <v>202.33848020609997</v>
      </c>
    </row>
    <row r="47" spans="1:4" x14ac:dyDescent="0.2">
      <c r="A47" s="2">
        <v>43405</v>
      </c>
      <c r="C47" s="19">
        <v>5343.0529999999999</v>
      </c>
      <c r="D47" s="20">
        <f t="shared" si="0"/>
        <v>196.32353651610001</v>
      </c>
    </row>
    <row r="48" spans="1:4" x14ac:dyDescent="0.2">
      <c r="A48" s="2">
        <v>43435</v>
      </c>
      <c r="C48" s="19">
        <v>5513.2659999999996</v>
      </c>
      <c r="D48" s="20">
        <f t="shared" si="0"/>
        <v>202.57779192419997</v>
      </c>
    </row>
    <row r="49" spans="1:4" x14ac:dyDescent="0.2">
      <c r="A49" s="2">
        <v>43466</v>
      </c>
      <c r="C49" s="19">
        <v>5492.1270000000004</v>
      </c>
      <c r="D49" s="20">
        <f t="shared" si="0"/>
        <v>201.8010668499</v>
      </c>
    </row>
    <row r="50" spans="1:4" x14ac:dyDescent="0.2">
      <c r="A50" s="2">
        <v>43497</v>
      </c>
      <c r="C50" s="19">
        <v>4883.4340000000002</v>
      </c>
      <c r="D50" s="20">
        <f t="shared" si="0"/>
        <v>179.43543386580001</v>
      </c>
    </row>
    <row r="51" spans="1:4" x14ac:dyDescent="0.2">
      <c r="A51" s="2">
        <v>43525</v>
      </c>
      <c r="C51" s="19">
        <v>5383.0079999999998</v>
      </c>
      <c r="D51" s="20">
        <f t="shared" si="0"/>
        <v>197.79163104959997</v>
      </c>
    </row>
    <row r="52" spans="1:4" x14ac:dyDescent="0.2">
      <c r="A52" s="2">
        <v>43556</v>
      </c>
      <c r="C52" s="19">
        <v>5146.4030000000002</v>
      </c>
      <c r="D52" s="20">
        <f t="shared" si="0"/>
        <v>189.0978879111</v>
      </c>
    </row>
    <row r="53" spans="1:4" x14ac:dyDescent="0.2">
      <c r="A53" s="2">
        <v>43586</v>
      </c>
      <c r="C53" s="19">
        <v>4963.2709999999997</v>
      </c>
      <c r="D53" s="20">
        <f t="shared" si="0"/>
        <v>182.36894064269998</v>
      </c>
    </row>
    <row r="54" spans="1:4" x14ac:dyDescent="0.2">
      <c r="A54" s="2">
        <v>43617</v>
      </c>
      <c r="C54" s="19">
        <v>4729.1369999999997</v>
      </c>
      <c r="D54" s="20">
        <f t="shared" si="0"/>
        <v>173.76599118689998</v>
      </c>
    </row>
    <row r="55" spans="1:4" x14ac:dyDescent="0.2">
      <c r="A55" s="2">
        <v>43647</v>
      </c>
      <c r="C55" s="19">
        <v>5383.8959999999997</v>
      </c>
      <c r="D55" s="20">
        <f t="shared" si="0"/>
        <v>197.82425945519998</v>
      </c>
    </row>
    <row r="56" spans="1:4" x14ac:dyDescent="0.2">
      <c r="A56" s="2">
        <v>43678</v>
      </c>
      <c r="C56" s="19">
        <v>5325.88</v>
      </c>
      <c r="D56" s="20">
        <f t="shared" si="0"/>
        <v>195.692536956</v>
      </c>
    </row>
    <row r="57" spans="1:4" x14ac:dyDescent="0.2">
      <c r="A57" s="2">
        <v>43709</v>
      </c>
      <c r="C57" s="19">
        <v>4870.0339999999997</v>
      </c>
      <c r="D57" s="20">
        <f t="shared" si="0"/>
        <v>178.94306828579997</v>
      </c>
    </row>
    <row r="58" spans="1:4" x14ac:dyDescent="0.2">
      <c r="A58" s="2">
        <v>43739</v>
      </c>
      <c r="C58" s="19">
        <v>5615.616</v>
      </c>
      <c r="D58" s="20">
        <f t="shared" si="0"/>
        <v>206.33850961919998</v>
      </c>
    </row>
    <row r="59" spans="1:4" x14ac:dyDescent="0.2">
      <c r="A59" s="2">
        <v>43770</v>
      </c>
      <c r="C59" s="19">
        <v>5239.4520000000002</v>
      </c>
      <c r="D59" s="20">
        <f t="shared" si="0"/>
        <v>192.5168524524</v>
      </c>
    </row>
    <row r="60" spans="1:4" x14ac:dyDescent="0.2">
      <c r="A60" s="2">
        <v>43800</v>
      </c>
      <c r="C60" s="19">
        <v>5542.2740000000003</v>
      </c>
      <c r="D60" s="20">
        <f t="shared" si="0"/>
        <v>203.6436531738</v>
      </c>
    </row>
    <row r="61" spans="1:4" x14ac:dyDescent="0.2">
      <c r="A61" s="2">
        <v>43831</v>
      </c>
      <c r="C61" s="19">
        <v>5663.4030000000002</v>
      </c>
      <c r="D61" s="20">
        <f t="shared" si="0"/>
        <v>208.0943808111</v>
      </c>
    </row>
    <row r="62" spans="1:4" x14ac:dyDescent="0.2">
      <c r="A62" s="2">
        <v>43862</v>
      </c>
      <c r="C62" s="19">
        <v>5258.777</v>
      </c>
      <c r="D62" s="20">
        <f t="shared" si="0"/>
        <v>193.2269244549</v>
      </c>
    </row>
    <row r="63" spans="1:4" x14ac:dyDescent="0.2">
      <c r="A63" s="2">
        <v>43891</v>
      </c>
      <c r="C63" s="19">
        <v>5764.8670000000002</v>
      </c>
      <c r="D63" s="20">
        <f t="shared" si="0"/>
        <v>211.82254358789999</v>
      </c>
    </row>
    <row r="64" spans="1:4" x14ac:dyDescent="0.2">
      <c r="A64" s="2">
        <v>43922</v>
      </c>
      <c r="C64" s="19">
        <v>5501.8249999999998</v>
      </c>
      <c r="D64" s="20">
        <f t="shared" si="0"/>
        <v>202.15740725249998</v>
      </c>
    </row>
    <row r="65" spans="1:4" x14ac:dyDescent="0.2">
      <c r="A65" s="2">
        <v>43952</v>
      </c>
      <c r="C65" s="19">
        <v>5386.5339999999997</v>
      </c>
      <c r="D65" s="20">
        <f t="shared" si="0"/>
        <v>197.92118933579997</v>
      </c>
    </row>
    <row r="66" spans="1:4" x14ac:dyDescent="0.2">
      <c r="A66" s="2">
        <v>43983</v>
      </c>
      <c r="C66" s="19">
        <v>5318.4189999999999</v>
      </c>
      <c r="D66" s="20">
        <f t="shared" si="0"/>
        <v>195.4183922103</v>
      </c>
    </row>
    <row r="67" spans="1:4" x14ac:dyDescent="0.2">
      <c r="A67" s="2">
        <v>44013</v>
      </c>
      <c r="C67" s="19">
        <v>5535.1959999999999</v>
      </c>
      <c r="D67" s="20">
        <f t="shared" si="0"/>
        <v>203.38358126519998</v>
      </c>
    </row>
    <row r="68" spans="1:4" x14ac:dyDescent="0.2">
      <c r="A68" s="2">
        <v>44044</v>
      </c>
      <c r="C68" s="19">
        <v>5240.2299999999996</v>
      </c>
      <c r="D68" s="20">
        <f t="shared" si="0"/>
        <v>192.54543905099996</v>
      </c>
    </row>
    <row r="69" spans="1:4" x14ac:dyDescent="0.2">
      <c r="A69" s="2">
        <v>44075</v>
      </c>
      <c r="C69" s="19">
        <v>5131.665</v>
      </c>
      <c r="D69" s="20">
        <f t="shared" si="0"/>
        <v>188.55635926049996</v>
      </c>
    </row>
    <row r="70" spans="1:4" x14ac:dyDescent="0.2">
      <c r="A70" s="2">
        <v>44105</v>
      </c>
      <c r="C70" s="19">
        <v>5897.0789999999997</v>
      </c>
      <c r="D70" s="20">
        <f t="shared" ref="D70:D132" si="1">C70*36.7437/1000</f>
        <v>216.68050165229997</v>
      </c>
    </row>
    <row r="71" spans="1:4" x14ac:dyDescent="0.2">
      <c r="A71" s="2">
        <v>44136</v>
      </c>
      <c r="C71" s="19">
        <v>5731.2070000000003</v>
      </c>
      <c r="D71" s="20">
        <f t="shared" si="1"/>
        <v>210.58575064589999</v>
      </c>
    </row>
    <row r="72" spans="1:4" x14ac:dyDescent="0.2">
      <c r="A72" s="2">
        <v>44166</v>
      </c>
      <c r="C72" s="19">
        <v>5794.2330000000002</v>
      </c>
      <c r="D72" s="20">
        <f t="shared" si="1"/>
        <v>212.90155908209999</v>
      </c>
    </row>
    <row r="73" spans="1:4" x14ac:dyDescent="0.2">
      <c r="A73" s="2">
        <v>44197</v>
      </c>
      <c r="C73" s="19">
        <v>5895.36</v>
      </c>
      <c r="D73" s="20">
        <f t="shared" si="1"/>
        <v>216.61733923199998</v>
      </c>
    </row>
    <row r="74" spans="1:4" x14ac:dyDescent="0.2">
      <c r="A74" s="2">
        <v>44228</v>
      </c>
      <c r="C74" s="19">
        <v>4930.4989999999998</v>
      </c>
      <c r="D74" s="20">
        <f t="shared" si="1"/>
        <v>181.16477610629997</v>
      </c>
    </row>
    <row r="75" spans="1:4" x14ac:dyDescent="0.2">
      <c r="A75" s="2">
        <v>44256</v>
      </c>
      <c r="C75" s="19">
        <v>5646.7280000000001</v>
      </c>
      <c r="D75" s="20">
        <f t="shared" si="1"/>
        <v>207.48167961359999</v>
      </c>
    </row>
    <row r="76" spans="1:4" x14ac:dyDescent="0.2">
      <c r="A76" s="2">
        <v>44287</v>
      </c>
      <c r="C76" s="19">
        <v>5095.6310000000003</v>
      </c>
      <c r="D76" s="20">
        <f t="shared" si="1"/>
        <v>187.2323367747</v>
      </c>
    </row>
    <row r="77" spans="1:4" x14ac:dyDescent="0.2">
      <c r="A77" s="2">
        <v>44317</v>
      </c>
      <c r="C77" s="19">
        <v>5205.0320000000002</v>
      </c>
      <c r="D77" s="20">
        <f t="shared" si="1"/>
        <v>191.25213429839999</v>
      </c>
    </row>
    <row r="78" spans="1:4" x14ac:dyDescent="0.2">
      <c r="A78" s="2">
        <v>44348</v>
      </c>
      <c r="C78" s="19">
        <v>4852.3339999999998</v>
      </c>
      <c r="D78" s="20">
        <f t="shared" si="1"/>
        <v>178.29270479579998</v>
      </c>
    </row>
    <row r="79" spans="1:4" x14ac:dyDescent="0.2">
      <c r="A79" s="2">
        <v>44378</v>
      </c>
      <c r="C79" s="19">
        <v>4989.9960000000001</v>
      </c>
      <c r="D79" s="20">
        <f t="shared" si="1"/>
        <v>183.35091602519998</v>
      </c>
    </row>
    <row r="80" spans="1:4" x14ac:dyDescent="0.2">
      <c r="A80" s="2">
        <v>44409</v>
      </c>
      <c r="C80" s="19">
        <v>5047.7759999999998</v>
      </c>
      <c r="D80" s="20">
        <f t="shared" si="1"/>
        <v>185.47396701119996</v>
      </c>
    </row>
    <row r="81" spans="1:4" x14ac:dyDescent="0.2">
      <c r="A81" s="2">
        <v>44440</v>
      </c>
      <c r="C81" s="19">
        <v>4924.5739999999996</v>
      </c>
      <c r="D81" s="20">
        <f t="shared" si="1"/>
        <v>180.94706968379995</v>
      </c>
    </row>
    <row r="82" spans="1:4" x14ac:dyDescent="0.2">
      <c r="A82" s="2">
        <v>44470</v>
      </c>
      <c r="C82" s="19">
        <v>5908.1570000000002</v>
      </c>
      <c r="D82" s="20">
        <f t="shared" si="1"/>
        <v>217.0875483609</v>
      </c>
    </row>
    <row r="83" spans="1:4" x14ac:dyDescent="0.2">
      <c r="A83" s="2">
        <v>44501</v>
      </c>
      <c r="C83" s="19">
        <v>5717.9430000000002</v>
      </c>
      <c r="D83" s="20">
        <f t="shared" si="1"/>
        <v>210.09838220910001</v>
      </c>
    </row>
    <row r="84" spans="1:4" x14ac:dyDescent="0.2">
      <c r="A84" s="2">
        <v>44531</v>
      </c>
      <c r="C84" s="19">
        <v>5947.2219999999998</v>
      </c>
      <c r="D84" s="20">
        <f t="shared" si="1"/>
        <v>218.52294100139997</v>
      </c>
    </row>
    <row r="85" spans="1:4" x14ac:dyDescent="0.2">
      <c r="A85" s="2">
        <v>44562</v>
      </c>
      <c r="C85" s="19">
        <v>5828.9740000000002</v>
      </c>
      <c r="D85" s="20">
        <f t="shared" si="1"/>
        <v>214.17807196379999</v>
      </c>
    </row>
    <row r="86" spans="1:4" x14ac:dyDescent="0.2">
      <c r="A86" s="2">
        <v>44593</v>
      </c>
      <c r="C86" s="19">
        <v>5232.4530000000004</v>
      </c>
      <c r="D86" s="20">
        <f t="shared" si="1"/>
        <v>192.25968329610001</v>
      </c>
    </row>
    <row r="87" spans="1:4" x14ac:dyDescent="0.2">
      <c r="A87" s="2">
        <v>44621</v>
      </c>
      <c r="C87" s="19">
        <v>5786.1589999999997</v>
      </c>
      <c r="D87" s="20">
        <f t="shared" si="1"/>
        <v>212.60489044829995</v>
      </c>
    </row>
    <row r="88" spans="1:4" x14ac:dyDescent="0.2">
      <c r="A88" s="2">
        <v>44652</v>
      </c>
      <c r="C88" s="19">
        <v>5426.7120000000004</v>
      </c>
      <c r="D88" s="20">
        <f t="shared" si="1"/>
        <v>199.3974777144</v>
      </c>
    </row>
    <row r="89" spans="1:4" x14ac:dyDescent="0.2">
      <c r="A89" s="2">
        <v>44682</v>
      </c>
      <c r="C89" s="19">
        <v>5427.16</v>
      </c>
      <c r="D89" s="20">
        <f t="shared" si="1"/>
        <v>199.41393889199998</v>
      </c>
    </row>
    <row r="90" spans="1:4" x14ac:dyDescent="0.2">
      <c r="A90" s="2">
        <v>44713</v>
      </c>
      <c r="C90" s="19">
        <v>5222.4120000000003</v>
      </c>
      <c r="D90" s="20">
        <f t="shared" si="1"/>
        <v>191.8907398044</v>
      </c>
    </row>
    <row r="91" spans="1:4" x14ac:dyDescent="0.2">
      <c r="A91" s="2">
        <v>44743</v>
      </c>
      <c r="C91" s="19">
        <v>5441.78</v>
      </c>
      <c r="D91" s="20">
        <f t="shared" si="1"/>
        <v>199.95113178599999</v>
      </c>
    </row>
    <row r="92" spans="1:4" x14ac:dyDescent="0.2">
      <c r="A92" s="2">
        <v>44774</v>
      </c>
      <c r="C92" s="19">
        <v>5252.6189999999997</v>
      </c>
      <c r="D92" s="20">
        <f t="shared" si="1"/>
        <v>193.00065675029998</v>
      </c>
    </row>
    <row r="93" spans="1:4" x14ac:dyDescent="0.2">
      <c r="A93" s="2">
        <v>44805</v>
      </c>
      <c r="C93" s="19">
        <v>5028.2870000000003</v>
      </c>
      <c r="D93" s="20">
        <f t="shared" si="1"/>
        <v>184.75786904189999</v>
      </c>
    </row>
    <row r="94" spans="1:4" x14ac:dyDescent="0.2">
      <c r="A94" s="2">
        <v>44835</v>
      </c>
      <c r="C94" s="19">
        <v>5899.6940000000004</v>
      </c>
      <c r="D94" s="20">
        <f t="shared" si="1"/>
        <v>216.7765864278</v>
      </c>
    </row>
    <row r="95" spans="1:4" x14ac:dyDescent="0.2">
      <c r="A95" s="2">
        <v>44866</v>
      </c>
      <c r="C95" s="19">
        <v>5687.098</v>
      </c>
      <c r="D95" s="20">
        <f t="shared" si="1"/>
        <v>208.96502278259999</v>
      </c>
    </row>
    <row r="96" spans="1:4" x14ac:dyDescent="0.2">
      <c r="A96" s="2">
        <v>44896</v>
      </c>
      <c r="C96" s="19">
        <v>5622.5609999999997</v>
      </c>
      <c r="D96" s="20">
        <f t="shared" si="1"/>
        <v>206.59369461569997</v>
      </c>
    </row>
    <row r="97" spans="1:4" x14ac:dyDescent="0.2">
      <c r="A97" s="2">
        <v>44927</v>
      </c>
      <c r="C97" s="19">
        <v>5734.3980000000001</v>
      </c>
      <c r="D97" s="20">
        <f t="shared" si="1"/>
        <v>210.7029997926</v>
      </c>
    </row>
    <row r="98" spans="1:4" x14ac:dyDescent="0.2">
      <c r="A98" s="2">
        <v>44958</v>
      </c>
      <c r="C98" s="19">
        <v>5306.9949999999999</v>
      </c>
      <c r="D98" s="20">
        <f t="shared" si="1"/>
        <v>194.99863218149997</v>
      </c>
    </row>
    <row r="99" spans="1:4" x14ac:dyDescent="0.2">
      <c r="A99" s="2">
        <v>44986</v>
      </c>
      <c r="C99" s="19">
        <v>5939.0119999999997</v>
      </c>
      <c r="D99" s="20">
        <f t="shared" si="1"/>
        <v>218.22127522439999</v>
      </c>
    </row>
    <row r="100" spans="1:4" x14ac:dyDescent="0.2">
      <c r="A100" s="2">
        <v>45017</v>
      </c>
      <c r="C100" s="19">
        <v>5609.607</v>
      </c>
      <c r="D100" s="20">
        <f t="shared" si="1"/>
        <v>206.11771672589998</v>
      </c>
    </row>
    <row r="101" spans="1:4" x14ac:dyDescent="0.2">
      <c r="A101" s="2">
        <v>45047</v>
      </c>
      <c r="C101" s="19">
        <v>5679.0959999999995</v>
      </c>
      <c r="D101" s="20">
        <f t="shared" si="1"/>
        <v>208.67099969519998</v>
      </c>
    </row>
    <row r="102" spans="1:4" x14ac:dyDescent="0.2">
      <c r="A102" s="2">
        <v>45078</v>
      </c>
      <c r="C102" s="19">
        <v>5236.5159999999996</v>
      </c>
      <c r="D102" s="20">
        <f t="shared" si="1"/>
        <v>192.40897294919995</v>
      </c>
    </row>
    <row r="103" spans="1:4" x14ac:dyDescent="0.2">
      <c r="A103" s="2">
        <v>45108</v>
      </c>
      <c r="C103" s="19">
        <v>5545.0010000000002</v>
      </c>
      <c r="D103" s="20">
        <f t="shared" si="1"/>
        <v>203.74385324369999</v>
      </c>
    </row>
    <row r="104" spans="1:4" x14ac:dyDescent="0.2">
      <c r="A104" s="2">
        <v>45139</v>
      </c>
      <c r="C104" s="19">
        <v>5069.87</v>
      </c>
      <c r="D104" s="20">
        <f t="shared" si="1"/>
        <v>186.28578231899999</v>
      </c>
    </row>
    <row r="105" spans="1:4" x14ac:dyDescent="0.2">
      <c r="A105" s="2">
        <v>45170</v>
      </c>
      <c r="C105" s="19">
        <v>5242.9309999999996</v>
      </c>
      <c r="D105" s="20">
        <f t="shared" si="1"/>
        <v>192.64468378469996</v>
      </c>
    </row>
    <row r="106" spans="1:4" x14ac:dyDescent="0.2">
      <c r="A106" s="2">
        <v>45200</v>
      </c>
      <c r="C106" s="19">
        <v>6041.6850000000004</v>
      </c>
      <c r="D106" s="20">
        <f t="shared" si="1"/>
        <v>221.99386113450001</v>
      </c>
    </row>
    <row r="107" spans="1:4" x14ac:dyDescent="0.2">
      <c r="A107" s="2">
        <v>45231</v>
      </c>
      <c r="C107" s="19">
        <v>6002.7079999999996</v>
      </c>
      <c r="D107" s="20">
        <f t="shared" si="1"/>
        <v>220.56170193959997</v>
      </c>
    </row>
    <row r="108" spans="1:4" x14ac:dyDescent="0.2">
      <c r="A108" s="2">
        <v>45261</v>
      </c>
      <c r="C108" s="19">
        <v>6128.558</v>
      </c>
      <c r="D108" s="20">
        <f t="shared" si="1"/>
        <v>225.18589658459999</v>
      </c>
    </row>
    <row r="109" spans="1:4" x14ac:dyDescent="0.2">
      <c r="A109" s="2">
        <v>45292</v>
      </c>
      <c r="C109" s="19">
        <v>5828.39</v>
      </c>
      <c r="D109" s="20">
        <f t="shared" si="1"/>
        <v>214.15661364299999</v>
      </c>
    </row>
    <row r="110" spans="1:4" x14ac:dyDescent="0.2">
      <c r="A110" s="2">
        <v>45323</v>
      </c>
      <c r="C110" s="19">
        <v>5803.2529999999997</v>
      </c>
      <c r="D110" s="20">
        <f t="shared" si="1"/>
        <v>213.23298725609996</v>
      </c>
    </row>
    <row r="111" spans="1:4" x14ac:dyDescent="0.2">
      <c r="A111" s="2">
        <v>45352</v>
      </c>
      <c r="C111" s="19">
        <v>6106.0559999999996</v>
      </c>
      <c r="D111" s="20">
        <f t="shared" si="1"/>
        <v>224.35908984719998</v>
      </c>
    </row>
    <row r="112" spans="1:4" x14ac:dyDescent="0.2">
      <c r="A112" s="2">
        <v>45383</v>
      </c>
      <c r="C112" s="19">
        <v>5327.076</v>
      </c>
      <c r="D112" s="20">
        <f t="shared" si="1"/>
        <v>195.73648242120001</v>
      </c>
    </row>
    <row r="113" spans="1:4" x14ac:dyDescent="0.2">
      <c r="A113" s="2">
        <v>45413</v>
      </c>
      <c r="C113" s="19">
        <v>5748.7790000000005</v>
      </c>
      <c r="D113" s="20">
        <f t="shared" si="1"/>
        <v>211.23141094229999</v>
      </c>
    </row>
    <row r="114" spans="1:4" x14ac:dyDescent="0.2">
      <c r="A114" s="2">
        <v>45444</v>
      </c>
      <c r="C114" s="19">
        <v>5504.777</v>
      </c>
      <c r="D114" s="20">
        <f t="shared" si="1"/>
        <v>202.26587465489999</v>
      </c>
    </row>
    <row r="115" spans="1:4" x14ac:dyDescent="0.2">
      <c r="A115" s="2">
        <v>45474</v>
      </c>
      <c r="C115" s="19">
        <v>5798.2340000000004</v>
      </c>
      <c r="D115" s="20">
        <f t="shared" si="1"/>
        <v>213.04857062580001</v>
      </c>
    </row>
    <row r="116" spans="1:4" x14ac:dyDescent="0.2">
      <c r="A116" s="2">
        <v>45505</v>
      </c>
      <c r="C116" s="19">
        <v>5026.6480000000001</v>
      </c>
      <c r="D116" s="20">
        <f t="shared" si="1"/>
        <v>184.69764611759999</v>
      </c>
    </row>
    <row r="117" spans="1:4" x14ac:dyDescent="0.2">
      <c r="A117" s="2">
        <v>45536</v>
      </c>
      <c r="C117" s="19">
        <v>5595.0950000000003</v>
      </c>
      <c r="D117" s="20">
        <f t="shared" si="1"/>
        <v>205.5844921515</v>
      </c>
    </row>
    <row r="118" spans="1:4" x14ac:dyDescent="0.2">
      <c r="A118" s="2">
        <v>45566</v>
      </c>
      <c r="C118" s="19">
        <v>6473.5039999999999</v>
      </c>
      <c r="D118" s="20">
        <f t="shared" si="1"/>
        <v>237.86048892479999</v>
      </c>
    </row>
    <row r="119" spans="1:4" x14ac:dyDescent="0.2">
      <c r="A119" s="2">
        <v>45597</v>
      </c>
      <c r="C119" s="19">
        <v>6301.2250000000004</v>
      </c>
      <c r="D119" s="20">
        <f t="shared" si="1"/>
        <v>231.53032103249998</v>
      </c>
    </row>
    <row r="120" spans="1:4" x14ac:dyDescent="0.2">
      <c r="A120" s="2">
        <v>45627</v>
      </c>
      <c r="C120" s="19">
        <v>6531.0429999999997</v>
      </c>
      <c r="D120" s="20">
        <f t="shared" si="1"/>
        <v>239.97468467909997</v>
      </c>
    </row>
    <row r="121" spans="1:4" x14ac:dyDescent="0.2">
      <c r="A121" s="2">
        <v>45658</v>
      </c>
      <c r="C121" s="19">
        <v>6376.6350000000002</v>
      </c>
      <c r="D121" s="20">
        <f t="shared" si="1"/>
        <v>234.3011634495</v>
      </c>
    </row>
    <row r="122" spans="1:4" x14ac:dyDescent="0.2">
      <c r="A122" s="2">
        <v>45689</v>
      </c>
      <c r="C122" s="19">
        <v>5687.3040000000001</v>
      </c>
      <c r="D122" s="20">
        <f t="shared" si="1"/>
        <v>208.97259198479998</v>
      </c>
    </row>
    <row r="123" spans="1:4" x14ac:dyDescent="0.2">
      <c r="A123" s="2">
        <v>45717</v>
      </c>
      <c r="C123" s="19">
        <v>6202.6419999999998</v>
      </c>
      <c r="D123" s="20">
        <f t="shared" si="1"/>
        <v>227.90801685539998</v>
      </c>
    </row>
    <row r="124" spans="1:4" x14ac:dyDescent="0.2">
      <c r="A124" s="2">
        <v>45748</v>
      </c>
      <c r="C124" s="19">
        <v>6071.54</v>
      </c>
      <c r="D124" s="20">
        <f t="shared" si="1"/>
        <v>223.09084429799998</v>
      </c>
    </row>
    <row r="125" spans="1:4" x14ac:dyDescent="0.2">
      <c r="A125" s="2">
        <v>45778</v>
      </c>
      <c r="C125" s="19">
        <v>6111.1149999999998</v>
      </c>
      <c r="D125" s="20">
        <f t="shared" si="1"/>
        <v>224.54497622549997</v>
      </c>
    </row>
    <row r="126" spans="1:4" x14ac:dyDescent="0.2">
      <c r="A126" s="2">
        <v>45809</v>
      </c>
      <c r="C126" s="19">
        <v>5907.7430000000004</v>
      </c>
      <c r="D126" s="20">
        <f t="shared" si="1"/>
        <v>217.07233646910001</v>
      </c>
    </row>
    <row r="127" spans="1:4" x14ac:dyDescent="0.2">
      <c r="A127" s="2">
        <v>45839</v>
      </c>
      <c r="C127" s="19">
        <v>6142.7430000000004</v>
      </c>
      <c r="D127" s="20">
        <f t="shared" si="1"/>
        <v>225.70710596909998</v>
      </c>
    </row>
    <row r="128" spans="1:4" x14ac:dyDescent="0.2">
      <c r="A128" s="2">
        <v>45870</v>
      </c>
      <c r="D128" s="20">
        <f t="shared" si="1"/>
        <v>0</v>
      </c>
    </row>
    <row r="129" spans="1:4" x14ac:dyDescent="0.2">
      <c r="A129" s="2">
        <v>45901</v>
      </c>
      <c r="D129" s="20">
        <f t="shared" si="1"/>
        <v>0</v>
      </c>
    </row>
    <row r="130" spans="1:4" x14ac:dyDescent="0.2">
      <c r="A130" s="2">
        <v>45931</v>
      </c>
      <c r="D130" s="20">
        <f t="shared" si="1"/>
        <v>0</v>
      </c>
    </row>
    <row r="131" spans="1:4" x14ac:dyDescent="0.2">
      <c r="A131" s="2">
        <v>45962</v>
      </c>
      <c r="D131" s="20">
        <f t="shared" si="1"/>
        <v>0</v>
      </c>
    </row>
    <row r="132" spans="1:4" x14ac:dyDescent="0.2">
      <c r="A132" s="2">
        <v>45992</v>
      </c>
      <c r="D132" s="20">
        <f t="shared" si="1"/>
        <v>0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NASS Crush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2026-02-10T12:08:01Z</dcterms:created>
  <dcterms:modified xsi:type="dcterms:W3CDTF">2026-02-10T12:48:29Z</dcterms:modified>
</cp:coreProperties>
</file>