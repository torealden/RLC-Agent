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Oilseeds\new_models\"/>
    </mc:Choice>
  </mc:AlternateContent>
  <xr:revisionPtr revIDLastSave="0" documentId="13_ncr:1_{502F35F8-D302-405E-80F7-9F5A087AF668}" xr6:coauthVersionLast="47" xr6:coauthVersionMax="47" xr10:uidLastSave="{00000000-0000-0000-0000-000000000000}"/>
  <bookViews>
    <workbookView xWindow="-22350" yWindow="3030" windowWidth="21600" windowHeight="11835" xr2:uid="{277CF77F-C95D-4DDE-8583-D07B5E6683AD}"/>
  </bookViews>
  <sheets>
    <sheet name="US Soybean Bal Sheet" sheetId="1" r:id="rId1"/>
    <sheet name="US Soymeal Bal Sheet" sheetId="2" r:id="rId2"/>
    <sheet name="US Soyoil Bal Sheet" sheetId="3" r:id="rId3"/>
    <sheet name="Soybean Quarterly Use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9" i="1" l="1"/>
  <c r="Z66" i="1"/>
  <c r="Z67" i="1"/>
  <c r="Z68" i="1"/>
  <c r="Z65" i="1"/>
  <c r="AA58" i="1"/>
  <c r="AB58" i="1"/>
  <c r="AC58" i="1"/>
  <c r="AD58" i="1"/>
  <c r="AE58" i="1"/>
  <c r="AF58" i="1"/>
  <c r="AG58" i="1"/>
  <c r="AH58" i="1"/>
  <c r="AI58" i="1"/>
  <c r="AJ58" i="1"/>
  <c r="AA59" i="1"/>
  <c r="AB59" i="1"/>
  <c r="AC59" i="1"/>
  <c r="AD59" i="1"/>
  <c r="AE59" i="1"/>
  <c r="AF59" i="1"/>
  <c r="AF69" i="1" s="1"/>
  <c r="AG59" i="1"/>
  <c r="AH59" i="1"/>
  <c r="AI59" i="1"/>
  <c r="AJ59" i="1"/>
  <c r="AA60" i="1"/>
  <c r="AB60" i="1"/>
  <c r="AC60" i="1"/>
  <c r="AD60" i="1"/>
  <c r="AE60" i="1"/>
  <c r="AF60" i="1"/>
  <c r="AG60" i="1"/>
  <c r="AH60" i="1"/>
  <c r="AI60" i="1"/>
  <c r="AJ60" i="1"/>
  <c r="AA61" i="1"/>
  <c r="AB61" i="1"/>
  <c r="AC61" i="1"/>
  <c r="AD61" i="1"/>
  <c r="AE61" i="1"/>
  <c r="AF61" i="1"/>
  <c r="AG61" i="1"/>
  <c r="AH61" i="1"/>
  <c r="AI61" i="1"/>
  <c r="AJ61" i="1"/>
  <c r="AA62" i="1"/>
  <c r="AB62" i="1"/>
  <c r="AC62" i="1"/>
  <c r="AD62" i="1"/>
  <c r="AE62" i="1"/>
  <c r="AF62" i="1"/>
  <c r="AG62" i="1"/>
  <c r="AH62" i="1"/>
  <c r="AI62" i="1"/>
  <c r="AJ62" i="1"/>
  <c r="AA63" i="1"/>
  <c r="AB63" i="1"/>
  <c r="AC63" i="1"/>
  <c r="AD63" i="1"/>
  <c r="AE63" i="1"/>
  <c r="AF63" i="1"/>
  <c r="AG63" i="1"/>
  <c r="AH63" i="1"/>
  <c r="AI63" i="1"/>
  <c r="AJ63" i="1"/>
  <c r="AA64" i="1"/>
  <c r="AB64" i="1"/>
  <c r="AC64" i="1"/>
  <c r="AD64" i="1"/>
  <c r="AE64" i="1"/>
  <c r="AF64" i="1"/>
  <c r="AG64" i="1"/>
  <c r="AH64" i="1"/>
  <c r="AI64" i="1"/>
  <c r="AJ64" i="1"/>
  <c r="AA65" i="1"/>
  <c r="AB65" i="1"/>
  <c r="AC65" i="1"/>
  <c r="AD65" i="1"/>
  <c r="AE65" i="1"/>
  <c r="AF65" i="1"/>
  <c r="AG65" i="1"/>
  <c r="AH65" i="1"/>
  <c r="AI65" i="1"/>
  <c r="AJ65" i="1"/>
  <c r="AA66" i="1"/>
  <c r="AB66" i="1"/>
  <c r="AC66" i="1"/>
  <c r="AD66" i="1"/>
  <c r="AE66" i="1"/>
  <c r="AF66" i="1"/>
  <c r="AG66" i="1"/>
  <c r="AH66" i="1"/>
  <c r="AI66" i="1"/>
  <c r="AJ66" i="1"/>
  <c r="AA67" i="1"/>
  <c r="AB67" i="1"/>
  <c r="AC67" i="1"/>
  <c r="AD67" i="1"/>
  <c r="AE67" i="1"/>
  <c r="AF67" i="1"/>
  <c r="AG67" i="1"/>
  <c r="AH67" i="1"/>
  <c r="AI67" i="1"/>
  <c r="AJ67" i="1"/>
  <c r="AA68" i="1"/>
  <c r="AB68" i="1"/>
  <c r="AC68" i="1"/>
  <c r="AD68" i="1"/>
  <c r="AE68" i="1"/>
  <c r="AF68" i="1"/>
  <c r="AG68" i="1"/>
  <c r="AH68" i="1"/>
  <c r="AI68" i="1"/>
  <c r="AJ68" i="1"/>
  <c r="AK58" i="1"/>
  <c r="AK59" i="1"/>
  <c r="AK60" i="1"/>
  <c r="AK57" i="1"/>
  <c r="AJ57" i="1"/>
  <c r="AI57" i="1"/>
  <c r="AH57" i="1"/>
  <c r="AG57" i="1"/>
  <c r="AF57" i="1"/>
  <c r="AE57" i="1"/>
  <c r="AD57" i="1"/>
  <c r="AC57" i="1"/>
  <c r="AB57" i="1"/>
  <c r="AA57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AL69" i="1"/>
  <c r="AK69" i="1"/>
  <c r="AB69" i="1" l="1"/>
  <c r="AB12" i="1" s="1"/>
  <c r="AE69" i="1"/>
  <c r="AE12" i="1" s="1"/>
  <c r="AJ69" i="1"/>
  <c r="AJ12" i="1" s="1"/>
  <c r="AI69" i="1"/>
  <c r="AI12" i="1" s="1"/>
  <c r="AC69" i="1"/>
  <c r="AC12" i="1" s="1"/>
  <c r="AD69" i="1"/>
  <c r="AD12" i="1" s="1"/>
  <c r="AA69" i="1"/>
  <c r="AA12" i="1" s="1"/>
  <c r="AH69" i="1"/>
  <c r="AH12" i="1" s="1"/>
  <c r="AF12" i="1"/>
  <c r="AG69" i="1"/>
  <c r="AG12" i="1" s="1"/>
  <c r="AL57" i="1" l="1"/>
  <c r="AM57" i="1" s="1"/>
  <c r="AK65" i="1"/>
  <c r="AK63" i="1"/>
  <c r="AL59" i="1"/>
  <c r="AL58" i="1"/>
  <c r="AK62" i="1"/>
  <c r="AK66" i="1"/>
  <c r="AK64" i="1"/>
  <c r="AK61" i="1"/>
  <c r="AK67" i="1"/>
  <c r="AL60" i="1"/>
  <c r="AM60" i="1" s="1"/>
  <c r="AN57" i="1" l="1"/>
  <c r="AO57" i="1" s="1"/>
  <c r="AP57" i="1" s="1"/>
  <c r="AL67" i="1"/>
  <c r="AL64" i="1"/>
  <c r="AN60" i="1"/>
  <c r="AO60" i="1" s="1"/>
  <c r="AL61" i="1"/>
  <c r="AK68" i="1"/>
  <c r="AM61" i="1"/>
  <c r="AN61" i="1" s="1"/>
  <c r="AL66" i="1"/>
  <c r="AL62" i="1"/>
  <c r="AM62" i="1" s="1"/>
  <c r="AM58" i="1"/>
  <c r="AM59" i="1"/>
  <c r="AN59" i="1" s="1"/>
  <c r="AL63" i="1"/>
  <c r="AM63" i="1" s="1"/>
  <c r="AL65" i="1"/>
  <c r="AN63" i="1" l="1"/>
  <c r="AO59" i="1"/>
  <c r="AP59" i="1" s="1"/>
  <c r="AQ57" i="1"/>
  <c r="AR57" i="1" s="1"/>
  <c r="AM64" i="1"/>
  <c r="AL68" i="1"/>
  <c r="AM65" i="1"/>
  <c r="AM67" i="1"/>
  <c r="AN58" i="1"/>
  <c r="AO58" i="1" s="1"/>
  <c r="AN62" i="1"/>
  <c r="AO62" i="1" s="1"/>
  <c r="AO63" i="1"/>
  <c r="AM66" i="1"/>
  <c r="AN66" i="1" s="1"/>
  <c r="AO61" i="1"/>
  <c r="AP60" i="1"/>
  <c r="AQ60" i="1" s="1"/>
  <c r="AP61" i="1"/>
  <c r="AQ61" i="1" s="1"/>
  <c r="AQ59" i="1" l="1"/>
  <c r="AR59" i="1" s="1"/>
  <c r="AN67" i="1"/>
  <c r="AP58" i="1"/>
  <c r="AP62" i="1"/>
  <c r="AN64" i="1"/>
  <c r="AP63" i="1"/>
  <c r="AS57" i="1"/>
  <c r="AT57" i="1" s="1"/>
  <c r="AM68" i="1"/>
  <c r="AR60" i="1"/>
  <c r="AS60" i="1" s="1"/>
  <c r="AO66" i="1"/>
  <c r="AT60" i="1"/>
  <c r="AN65" i="1"/>
  <c r="AO65" i="1" s="1"/>
  <c r="AR61" i="1"/>
  <c r="AS59" i="1" l="1"/>
  <c r="AT59" i="1" s="1"/>
  <c r="AP66" i="1"/>
  <c r="AQ66" i="1" s="1"/>
  <c r="AO64" i="1"/>
  <c r="AQ63" i="1"/>
  <c r="AU57" i="1"/>
  <c r="AV57" i="1" s="1"/>
  <c r="AQ58" i="1"/>
  <c r="AO67" i="1"/>
  <c r="AP65" i="1"/>
  <c r="AQ62" i="1"/>
  <c r="AN68" i="1"/>
  <c r="AU60" i="1"/>
  <c r="AV60" i="1" s="1"/>
  <c r="AW60" i="1" s="1"/>
  <c r="AS61" i="1"/>
  <c r="AU59" i="1" l="1"/>
  <c r="AV59" i="1" s="1"/>
  <c r="AW59" i="1" s="1"/>
  <c r="AX59" i="1" s="1"/>
  <c r="AY59" i="1" s="1"/>
  <c r="AZ59" i="1" s="1"/>
  <c r="AR66" i="1"/>
  <c r="AR62" i="1"/>
  <c r="AT61" i="1"/>
  <c r="AU61" i="1" s="1"/>
  <c r="AV61" i="1" s="1"/>
  <c r="AQ65" i="1"/>
  <c r="AO68" i="1"/>
  <c r="AP67" i="1"/>
  <c r="AR58" i="1"/>
  <c r="AS58" i="1" s="1"/>
  <c r="AS62" i="1"/>
  <c r="AP64" i="1"/>
  <c r="AW57" i="1"/>
  <c r="AX57" i="1" s="1"/>
  <c r="AR63" i="1"/>
  <c r="AX60" i="1"/>
  <c r="AS66" i="1" l="1"/>
  <c r="AQ67" i="1"/>
  <c r="AS63" i="1"/>
  <c r="AQ64" i="1"/>
  <c r="AP68" i="1"/>
  <c r="AT58" i="1"/>
  <c r="AU58" i="1" s="1"/>
  <c r="AT62" i="1"/>
  <c r="AU62" i="1" s="1"/>
  <c r="AR65" i="1"/>
  <c r="BA59" i="1"/>
  <c r="AY60" i="1"/>
  <c r="AY57" i="1"/>
  <c r="AZ57" i="1" s="1"/>
  <c r="AW61" i="1"/>
  <c r="AT66" i="1" l="1"/>
  <c r="BA57" i="1"/>
  <c r="AV58" i="1"/>
  <c r="AW58" i="1" s="1"/>
  <c r="AX58" i="1" s="1"/>
  <c r="AS65" i="1"/>
  <c r="AT65" i="1" s="1"/>
  <c r="AT63" i="1"/>
  <c r="AR67" i="1"/>
  <c r="AS67" i="1" s="1"/>
  <c r="AV62" i="1"/>
  <c r="AQ68" i="1"/>
  <c r="AR64" i="1"/>
  <c r="AS64" i="1"/>
  <c r="AS68" i="1" s="1"/>
  <c r="BB59" i="1"/>
  <c r="AZ60" i="1"/>
  <c r="AX61" i="1"/>
  <c r="BA60" i="1"/>
  <c r="BB60" i="1" s="1"/>
  <c r="BB57" i="1"/>
  <c r="AU66" i="1" l="1"/>
  <c r="AW62" i="1"/>
  <c r="AX62" i="1"/>
  <c r="AY62" i="1" s="1"/>
  <c r="AT67" i="1"/>
  <c r="AU65" i="1"/>
  <c r="AY58" i="1"/>
  <c r="AZ58" i="1" s="1"/>
  <c r="BA58" i="1" s="1"/>
  <c r="AU63" i="1"/>
  <c r="AV63" i="1"/>
  <c r="AT64" i="1"/>
  <c r="AU64" i="1" s="1"/>
  <c r="AR68" i="1"/>
  <c r="BC59" i="1"/>
  <c r="BD59" i="1" s="1"/>
  <c r="BE59" i="1" s="1"/>
  <c r="AY61" i="1"/>
  <c r="BC57" i="1"/>
  <c r="BC60" i="1"/>
  <c r="BD60" i="1" s="1"/>
  <c r="AZ62" i="1" l="1"/>
  <c r="AV66" i="1"/>
  <c r="AV64" i="1"/>
  <c r="AW64" i="1"/>
  <c r="AW63" i="1"/>
  <c r="AV65" i="1"/>
  <c r="AT68" i="1"/>
  <c r="BA62" i="1"/>
  <c r="AU67" i="1"/>
  <c r="BB58" i="1"/>
  <c r="AX64" i="1"/>
  <c r="BD57" i="1"/>
  <c r="BE57" i="1" s="1"/>
  <c r="BE60" i="1"/>
  <c r="AZ61" i="1"/>
  <c r="AW66" i="1" l="1"/>
  <c r="AX66" i="1" s="1"/>
  <c r="BC58" i="1"/>
  <c r="BD58" i="1" s="1"/>
  <c r="BE58" i="1" s="1"/>
  <c r="AV67" i="1"/>
  <c r="BB62" i="1"/>
  <c r="BC62" i="1" s="1"/>
  <c r="AY64" i="1"/>
  <c r="AW67" i="1"/>
  <c r="AW65" i="1"/>
  <c r="AX65" i="1" s="1"/>
  <c r="AX63" i="1"/>
  <c r="AW68" i="1"/>
  <c r="AU68" i="1"/>
  <c r="BA61" i="1"/>
  <c r="BB61" i="1" s="1"/>
  <c r="AY66" i="1" l="1"/>
  <c r="BD62" i="1"/>
  <c r="BE62" i="1" s="1"/>
  <c r="AY65" i="1"/>
  <c r="AY63" i="1"/>
  <c r="AX67" i="1"/>
  <c r="AY67" i="1" s="1"/>
  <c r="AV68" i="1"/>
  <c r="AZ67" i="1"/>
  <c r="BC61" i="1"/>
  <c r="AZ64" i="1"/>
  <c r="BD61" i="1"/>
  <c r="AZ66" i="1" l="1"/>
  <c r="BA66" i="1" s="1"/>
  <c r="BB66" i="1" s="1"/>
  <c r="BC66" i="1" s="1"/>
  <c r="BE61" i="1"/>
  <c r="BA64" i="1"/>
  <c r="BB64" i="1" s="1"/>
  <c r="BA67" i="1"/>
  <c r="BB67" i="1" s="1"/>
  <c r="BC64" i="1"/>
  <c r="BD64" i="1"/>
  <c r="AY68" i="1"/>
  <c r="AZ63" i="1"/>
  <c r="AX68" i="1"/>
  <c r="AZ65" i="1"/>
  <c r="BC67" i="1" l="1"/>
  <c r="BD67" i="1" s="1"/>
  <c r="BE67" i="1" s="1"/>
  <c r="BD66" i="1"/>
  <c r="BE66" i="1" s="1"/>
  <c r="BA65" i="1"/>
  <c r="BB65" i="1"/>
  <c r="BC65" i="1" s="1"/>
  <c r="AZ68" i="1"/>
  <c r="BA63" i="1"/>
  <c r="BD65" i="1"/>
  <c r="BE65" i="1" s="1"/>
  <c r="BE64" i="1"/>
  <c r="BA68" i="1" l="1"/>
  <c r="BB63" i="1"/>
  <c r="BB68" i="1" s="1"/>
  <c r="BC63" i="1" l="1"/>
  <c r="BD63" i="1" s="1"/>
  <c r="BC68" i="1"/>
  <c r="BD68" i="1" l="1"/>
  <c r="BE63" i="1"/>
  <c r="BE68" i="1" s="1"/>
  <c r="Y66" i="4" l="1"/>
  <c r="Y65" i="4"/>
  <c r="Y62" i="4"/>
  <c r="Y61" i="4"/>
  <c r="Y47" i="4"/>
  <c r="Y33" i="4"/>
  <c r="Y21" i="4"/>
  <c r="Y19" i="4"/>
  <c r="Y12" i="4"/>
  <c r="Y11" i="4" s="1"/>
  <c r="Y13" i="4"/>
  <c r="Y6" i="4"/>
  <c r="Y5" i="4"/>
  <c r="Y7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AL53" i="1"/>
  <c r="AK53" i="1"/>
  <c r="AK43" i="1"/>
  <c r="AK42" i="1"/>
  <c r="AK41" i="1"/>
  <c r="AK27" i="1"/>
  <c r="AK26" i="1"/>
  <c r="AK25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Y49" i="4" s="1"/>
  <c r="AJ33" i="1"/>
  <c r="AI33" i="1"/>
  <c r="AH33" i="1"/>
  <c r="AG33" i="1"/>
  <c r="AF33" i="1"/>
  <c r="AE33" i="1"/>
  <c r="AD33" i="1"/>
  <c r="AC33" i="1"/>
  <c r="AB33" i="1"/>
  <c r="AA33" i="1"/>
  <c r="Z33" i="1"/>
  <c r="Y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Y35" i="4" s="1"/>
  <c r="AJ30" i="1"/>
  <c r="AI30" i="1"/>
  <c r="AH30" i="1"/>
  <c r="AG30" i="1"/>
  <c r="AF30" i="1"/>
  <c r="AE30" i="1"/>
  <c r="AD30" i="1"/>
  <c r="AC30" i="1"/>
  <c r="AB30" i="1"/>
  <c r="AA30" i="1"/>
  <c r="Z30" i="1"/>
  <c r="Y30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Y37" i="1" s="1"/>
  <c r="Y10" i="1" s="1"/>
  <c r="AJ27" i="1"/>
  <c r="AI27" i="1"/>
  <c r="AH27" i="1"/>
  <c r="AG27" i="1"/>
  <c r="AF27" i="1"/>
  <c r="AE27" i="1"/>
  <c r="AD27" i="1"/>
  <c r="AD37" i="1" s="1"/>
  <c r="AD10" i="1" s="1"/>
  <c r="AC27" i="1"/>
  <c r="AB27" i="1"/>
  <c r="AA27" i="1"/>
  <c r="Z27" i="1"/>
  <c r="AJ26" i="1"/>
  <c r="AI26" i="1"/>
  <c r="AH26" i="1"/>
  <c r="AG26" i="1"/>
  <c r="AF26" i="1"/>
  <c r="AE26" i="1"/>
  <c r="AD26" i="1"/>
  <c r="AC26" i="1"/>
  <c r="AB26" i="1"/>
  <c r="AA26" i="1"/>
  <c r="Z26" i="1"/>
  <c r="AJ25" i="1"/>
  <c r="AI25" i="1"/>
  <c r="AH25" i="1"/>
  <c r="AG25" i="1"/>
  <c r="AF25" i="1"/>
  <c r="AE25" i="1"/>
  <c r="AD25" i="1"/>
  <c r="AC25" i="1"/>
  <c r="AB25" i="1"/>
  <c r="AA25" i="1"/>
  <c r="Z25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AL37" i="1"/>
  <c r="AK37" i="1"/>
  <c r="AA37" i="1"/>
  <c r="AA10" i="1" s="1"/>
  <c r="Y63" i="4" l="1"/>
  <c r="Y64" i="4" s="1"/>
  <c r="Y69" i="4" s="1"/>
  <c r="Y22" i="4"/>
  <c r="Y27" i="4" s="1"/>
  <c r="Y36" i="4"/>
  <c r="Y41" i="4" s="1"/>
  <c r="Y50" i="4"/>
  <c r="Y55" i="4" s="1"/>
  <c r="AF37" i="1"/>
  <c r="AK30" i="1" s="1"/>
  <c r="AL30" i="1" s="1"/>
  <c r="AM30" i="1" s="1"/>
  <c r="AG37" i="1"/>
  <c r="AG10" i="1" s="1"/>
  <c r="AJ37" i="1"/>
  <c r="AJ10" i="1" s="1"/>
  <c r="AE37" i="1"/>
  <c r="AE10" i="1" s="1"/>
  <c r="AH37" i="1"/>
  <c r="AH10" i="1" s="1"/>
  <c r="AI37" i="1"/>
  <c r="AI10" i="1" s="1"/>
  <c r="Z37" i="1"/>
  <c r="Z10" i="1" s="1"/>
  <c r="AB37" i="1"/>
  <c r="AB10" i="1" s="1"/>
  <c r="AC37" i="1"/>
  <c r="AC10" i="1" s="1"/>
  <c r="Y8" i="4"/>
  <c r="AK35" i="1"/>
  <c r="AL35" i="1" s="1"/>
  <c r="AK29" i="1"/>
  <c r="AL29" i="1" s="1"/>
  <c r="AK31" i="1"/>
  <c r="AL31" i="1" s="1"/>
  <c r="AF10" i="1"/>
  <c r="AK32" i="1"/>
  <c r="AL32" i="1" s="1"/>
  <c r="AL25" i="1" l="1"/>
  <c r="AL27" i="1"/>
  <c r="AM27" i="1" s="1"/>
  <c r="AN27" i="1" s="1"/>
  <c r="AO27" i="1" s="1"/>
  <c r="AK34" i="1"/>
  <c r="AL34" i="1" s="1"/>
  <c r="AL26" i="1"/>
  <c r="AK28" i="1"/>
  <c r="AK33" i="1"/>
  <c r="AL33" i="1" s="1"/>
  <c r="AM33" i="1" s="1"/>
  <c r="AM25" i="1"/>
  <c r="AN25" i="1" s="1"/>
  <c r="AM32" i="1"/>
  <c r="AM31" i="1"/>
  <c r="AN31" i="1" s="1"/>
  <c r="AM26" i="1"/>
  <c r="AN26" i="1" s="1"/>
  <c r="AO26" i="1" s="1"/>
  <c r="AN30" i="1"/>
  <c r="AO30" i="1" s="1"/>
  <c r="AM35" i="1"/>
  <c r="AM29" i="1"/>
  <c r="AN29" i="1" s="1"/>
  <c r="AP27" i="1"/>
  <c r="AQ27" i="1" s="1"/>
  <c r="AN33" i="1"/>
  <c r="AO33" i="1" s="1"/>
  <c r="AL28" i="1" l="1"/>
  <c r="AM28" i="1"/>
  <c r="AM34" i="1"/>
  <c r="AN34" i="1" s="1"/>
  <c r="AK36" i="1"/>
  <c r="AC52" i="1"/>
  <c r="AP26" i="1"/>
  <c r="AQ26" i="1" s="1"/>
  <c r="AR26" i="1" s="1"/>
  <c r="AO34" i="1"/>
  <c r="AP34" i="1" s="1"/>
  <c r="AQ34" i="1" s="1"/>
  <c r="AR34" i="1" s="1"/>
  <c r="AO29" i="1"/>
  <c r="AP29" i="1" s="1"/>
  <c r="AQ29" i="1" s="1"/>
  <c r="AO31" i="1"/>
  <c r="AO25" i="1"/>
  <c r="AP25" i="1" s="1"/>
  <c r="AQ25" i="1" s="1"/>
  <c r="AN35" i="1"/>
  <c r="AP31" i="1"/>
  <c r="AP30" i="1"/>
  <c r="AQ30" i="1" s="1"/>
  <c r="AN32" i="1"/>
  <c r="AM36" i="1"/>
  <c r="AO35" i="1"/>
  <c r="AP33" i="1"/>
  <c r="AR27" i="1"/>
  <c r="AS27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C51" i="1"/>
  <c r="AC50" i="1"/>
  <c r="AC49" i="1"/>
  <c r="AC48" i="1"/>
  <c r="AC47" i="1"/>
  <c r="AC46" i="1"/>
  <c r="AC45" i="1"/>
  <c r="AC44" i="1"/>
  <c r="AC43" i="1"/>
  <c r="AC42" i="1"/>
  <c r="AC41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Z52" i="1"/>
  <c r="Z51" i="1"/>
  <c r="Z50" i="1"/>
  <c r="Z49" i="1"/>
  <c r="Z48" i="1"/>
  <c r="Z47" i="1"/>
  <c r="Z46" i="1"/>
  <c r="Z45" i="1"/>
  <c r="Z44" i="1"/>
  <c r="Z43" i="1"/>
  <c r="Z42" i="1"/>
  <c r="Z41" i="1"/>
  <c r="Y52" i="1"/>
  <c r="Y51" i="1"/>
  <c r="Y50" i="1"/>
  <c r="Y54" i="4" s="1"/>
  <c r="Y53" i="4" s="1"/>
  <c r="Y49" i="1"/>
  <c r="Y48" i="1"/>
  <c r="Y47" i="1"/>
  <c r="Y40" i="4" s="1"/>
  <c r="Y39" i="4" s="1"/>
  <c r="Y46" i="1"/>
  <c r="Y45" i="1"/>
  <c r="Y44" i="1"/>
  <c r="Y53" i="1" l="1"/>
  <c r="Y15" i="1" s="1"/>
  <c r="Y26" i="4"/>
  <c r="AN28" i="1"/>
  <c r="AO28" i="1" s="1"/>
  <c r="AL36" i="1"/>
  <c r="AJ53" i="1"/>
  <c r="AJ15" i="1" s="1"/>
  <c r="AC53" i="1"/>
  <c r="AC15" i="1" s="1"/>
  <c r="AI53" i="1"/>
  <c r="AI15" i="1" s="1"/>
  <c r="AH53" i="1"/>
  <c r="AH15" i="1" s="1"/>
  <c r="AG53" i="1"/>
  <c r="AG15" i="1" s="1"/>
  <c r="AF53" i="1"/>
  <c r="AF15" i="1" s="1"/>
  <c r="AE53" i="1"/>
  <c r="AE15" i="1" s="1"/>
  <c r="AD53" i="1"/>
  <c r="AD15" i="1" s="1"/>
  <c r="AB53" i="1"/>
  <c r="AB15" i="1" s="1"/>
  <c r="AA53" i="1"/>
  <c r="AA15" i="1" s="1"/>
  <c r="Z53" i="1"/>
  <c r="Z15" i="1" s="1"/>
  <c r="AO32" i="1"/>
  <c r="AQ31" i="1"/>
  <c r="AS26" i="1"/>
  <c r="AT26" i="1" s="1"/>
  <c r="AT27" i="1"/>
  <c r="AP35" i="1"/>
  <c r="AU27" i="1"/>
  <c r="AV27" i="1" s="1"/>
  <c r="AR30" i="1"/>
  <c r="AS34" i="1"/>
  <c r="AT34" i="1" s="1"/>
  <c r="AR29" i="1"/>
  <c r="AR25" i="1"/>
  <c r="AS25" i="1" s="1"/>
  <c r="AQ33" i="1"/>
  <c r="AR33" i="1" s="1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B205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B189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B173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B157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B141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B125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B109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B93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B77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B61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45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B29" i="3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B102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B86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B70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B54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B38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22" i="2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B104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B88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B72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B56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40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B24" i="1"/>
  <c r="AK49" i="1" l="1"/>
  <c r="Y68" i="4"/>
  <c r="Y67" i="4" s="1"/>
  <c r="Y25" i="4"/>
  <c r="AL42" i="1"/>
  <c r="AK51" i="1"/>
  <c r="AK45" i="1"/>
  <c r="AK47" i="1"/>
  <c r="AL43" i="1"/>
  <c r="AK44" i="1"/>
  <c r="AN36" i="1"/>
  <c r="AK46" i="1"/>
  <c r="AL41" i="1"/>
  <c r="AK48" i="1"/>
  <c r="AP28" i="1"/>
  <c r="AK50" i="1"/>
  <c r="AU34" i="1"/>
  <c r="AV34" i="1" s="1"/>
  <c r="AT25" i="1"/>
  <c r="AU25" i="1" s="1"/>
  <c r="AU26" i="1"/>
  <c r="AS30" i="1"/>
  <c r="AW27" i="1"/>
  <c r="AX27" i="1" s="1"/>
  <c r="AS29" i="1"/>
  <c r="AS33" i="1"/>
  <c r="AT33" i="1" s="1"/>
  <c r="AR31" i="1"/>
  <c r="AS31" i="1" s="1"/>
  <c r="AQ28" i="1"/>
  <c r="AP32" i="1"/>
  <c r="AO36" i="1"/>
  <c r="AQ35" i="1"/>
  <c r="AM41" i="1" l="1"/>
  <c r="AK52" i="1"/>
  <c r="AL44" i="1"/>
  <c r="AL52" i="1" s="1"/>
  <c r="AM44" i="1"/>
  <c r="AL50" i="1"/>
  <c r="AL48" i="1"/>
  <c r="AL46" i="1"/>
  <c r="AM46" i="1"/>
  <c r="AN43" i="1"/>
  <c r="AM43" i="1"/>
  <c r="AL47" i="1"/>
  <c r="AM47" i="1" s="1"/>
  <c r="AL45" i="1"/>
  <c r="AM45" i="1"/>
  <c r="AN45" i="1"/>
  <c r="AL51" i="1"/>
  <c r="AM51" i="1" s="1"/>
  <c r="AM42" i="1"/>
  <c r="AL49" i="1"/>
  <c r="AW34" i="1"/>
  <c r="AX34" i="1" s="1"/>
  <c r="AY34" i="1" s="1"/>
  <c r="AV26" i="1"/>
  <c r="AT29" i="1"/>
  <c r="AV25" i="1"/>
  <c r="AY27" i="1"/>
  <c r="AT30" i="1"/>
  <c r="AU30" i="1" s="1"/>
  <c r="AU33" i="1"/>
  <c r="AQ32" i="1"/>
  <c r="AQ36" i="1" s="1"/>
  <c r="AR28" i="1"/>
  <c r="AP36" i="1"/>
  <c r="AT31" i="1"/>
  <c r="AR35" i="1"/>
  <c r="AN47" i="1" l="1"/>
  <c r="AP43" i="1"/>
  <c r="AS43" i="1" s="1"/>
  <c r="AO46" i="1"/>
  <c r="AN42" i="1"/>
  <c r="AM50" i="1"/>
  <c r="AN44" i="1"/>
  <c r="AO43" i="1"/>
  <c r="AN46" i="1"/>
  <c r="AM49" i="1"/>
  <c r="AM48" i="1"/>
  <c r="AN51" i="1"/>
  <c r="AO45" i="1"/>
  <c r="AO47" i="1"/>
  <c r="AP47" i="1"/>
  <c r="AQ43" i="1"/>
  <c r="AR43" i="1"/>
  <c r="AN41" i="1"/>
  <c r="AV30" i="1"/>
  <c r="AW30" i="1" s="1"/>
  <c r="AW25" i="1"/>
  <c r="AX25" i="1" s="1"/>
  <c r="AU29" i="1"/>
  <c r="AW26" i="1"/>
  <c r="AZ34" i="1"/>
  <c r="AV33" i="1"/>
  <c r="AU31" i="1"/>
  <c r="AV31" i="1" s="1"/>
  <c r="AZ27" i="1"/>
  <c r="AS35" i="1"/>
  <c r="AS28" i="1"/>
  <c r="AR32" i="1"/>
  <c r="AS32" i="1" s="1"/>
  <c r="AO44" i="1" l="1"/>
  <c r="AM52" i="1"/>
  <c r="AP45" i="1"/>
  <c r="AP44" i="1"/>
  <c r="AN48" i="1"/>
  <c r="AO48" i="1"/>
  <c r="AO41" i="1"/>
  <c r="AO42" i="1"/>
  <c r="AN49" i="1"/>
  <c r="AP46" i="1"/>
  <c r="AQ47" i="1"/>
  <c r="AN50" i="1"/>
  <c r="AO51" i="1"/>
  <c r="AT43" i="1"/>
  <c r="AU43" i="1" s="1"/>
  <c r="AV43" i="1" s="1"/>
  <c r="AQ45" i="1"/>
  <c r="AX30" i="1"/>
  <c r="AY30" i="1" s="1"/>
  <c r="AS36" i="1"/>
  <c r="AX26" i="1"/>
  <c r="AY26" i="1" s="1"/>
  <c r="AT35" i="1"/>
  <c r="AU35" i="1" s="1"/>
  <c r="AT28" i="1"/>
  <c r="AR36" i="1"/>
  <c r="AV29" i="1"/>
  <c r="AW29" i="1" s="1"/>
  <c r="BA34" i="1"/>
  <c r="BB34" i="1" s="1"/>
  <c r="AY25" i="1"/>
  <c r="BA27" i="1"/>
  <c r="BB27" i="1" s="1"/>
  <c r="AW31" i="1"/>
  <c r="AW33" i="1"/>
  <c r="AX33" i="1" s="1"/>
  <c r="AT32" i="1"/>
  <c r="AP51" i="1" l="1"/>
  <c r="AR51" i="1" s="1"/>
  <c r="AQ51" i="1"/>
  <c r="AP48" i="1"/>
  <c r="AQ44" i="1"/>
  <c r="AP42" i="1"/>
  <c r="AN52" i="1"/>
  <c r="AR47" i="1"/>
  <c r="AR45" i="1"/>
  <c r="AP41" i="1"/>
  <c r="AQ46" i="1"/>
  <c r="AO50" i="1"/>
  <c r="AO49" i="1"/>
  <c r="AO52" i="1" s="1"/>
  <c r="AW43" i="1"/>
  <c r="AZ26" i="1"/>
  <c r="BC34" i="1"/>
  <c r="BD34" i="1" s="1"/>
  <c r="BE34" i="1" s="1"/>
  <c r="BA26" i="1"/>
  <c r="AT36" i="1"/>
  <c r="AU28" i="1"/>
  <c r="AV28" i="1" s="1"/>
  <c r="AW28" i="1" s="1"/>
  <c r="BC27" i="1"/>
  <c r="BD27" i="1" s="1"/>
  <c r="AX31" i="1"/>
  <c r="AV35" i="1"/>
  <c r="AZ25" i="1"/>
  <c r="AX29" i="1"/>
  <c r="AY29" i="1" s="1"/>
  <c r="AZ30" i="1"/>
  <c r="AY33" i="1"/>
  <c r="AZ33" i="1" s="1"/>
  <c r="AU32" i="1"/>
  <c r="AR44" i="1" l="1"/>
  <c r="AQ41" i="1"/>
  <c r="AS45" i="1"/>
  <c r="AP49" i="1"/>
  <c r="AS47" i="1"/>
  <c r="AR42" i="1"/>
  <c r="AT51" i="1"/>
  <c r="AQ42" i="1"/>
  <c r="AP50" i="1"/>
  <c r="AR46" i="1"/>
  <c r="AS46" i="1"/>
  <c r="AQ50" i="1"/>
  <c r="AQ48" i="1"/>
  <c r="AS51" i="1"/>
  <c r="AU51" i="1" s="1"/>
  <c r="AR50" i="1"/>
  <c r="AX43" i="1"/>
  <c r="AZ29" i="1"/>
  <c r="BA29" i="1" s="1"/>
  <c r="BB29" i="1" s="1"/>
  <c r="AV32" i="1"/>
  <c r="AY31" i="1"/>
  <c r="AZ31" i="1" s="1"/>
  <c r="BA31" i="1" s="1"/>
  <c r="AV36" i="1"/>
  <c r="BE27" i="1"/>
  <c r="BA30" i="1"/>
  <c r="BB30" i="1" s="1"/>
  <c r="BC30" i="1" s="1"/>
  <c r="AW32" i="1"/>
  <c r="AX32" i="1" s="1"/>
  <c r="AU36" i="1"/>
  <c r="AX28" i="1"/>
  <c r="BA33" i="1"/>
  <c r="BB33" i="1" s="1"/>
  <c r="AW35" i="1"/>
  <c r="AX35" i="1" s="1"/>
  <c r="BB26" i="1"/>
  <c r="BC26" i="1" s="1"/>
  <c r="BA25" i="1"/>
  <c r="AV51" i="1" l="1"/>
  <c r="AT47" i="1"/>
  <c r="AQ49" i="1"/>
  <c r="AR49" i="1" s="1"/>
  <c r="AP52" i="1"/>
  <c r="AT50" i="1"/>
  <c r="AS42" i="1"/>
  <c r="AS48" i="1"/>
  <c r="AT45" i="1"/>
  <c r="AS50" i="1"/>
  <c r="AR48" i="1"/>
  <c r="AR41" i="1"/>
  <c r="AT46" i="1"/>
  <c r="AS44" i="1"/>
  <c r="AW51" i="1"/>
  <c r="AU46" i="1"/>
  <c r="AY43" i="1"/>
  <c r="AY28" i="1"/>
  <c r="AZ28" i="1" s="1"/>
  <c r="BC33" i="1"/>
  <c r="BD33" i="1" s="1"/>
  <c r="BE33" i="1" s="1"/>
  <c r="AY32" i="1"/>
  <c r="AW36" i="1"/>
  <c r="BD30" i="1"/>
  <c r="BE30" i="1" s="1"/>
  <c r="BB25" i="1"/>
  <c r="BC29" i="1"/>
  <c r="BD29" i="1" s="1"/>
  <c r="BD26" i="1"/>
  <c r="BE26" i="1" s="1"/>
  <c r="BB31" i="1"/>
  <c r="BC31" i="1" s="1"/>
  <c r="AY35" i="1"/>
  <c r="AX36" i="1"/>
  <c r="AU50" i="1" l="1"/>
  <c r="AV50" i="1" s="1"/>
  <c r="AS41" i="1"/>
  <c r="AT41" i="1"/>
  <c r="AQ52" i="1"/>
  <c r="AT49" i="1"/>
  <c r="AT48" i="1"/>
  <c r="AU45" i="1"/>
  <c r="AV45" i="1" s="1"/>
  <c r="AS49" i="1"/>
  <c r="AU47" i="1"/>
  <c r="AX51" i="1"/>
  <c r="AV46" i="1"/>
  <c r="AT42" i="1"/>
  <c r="AT44" i="1"/>
  <c r="AR52" i="1"/>
  <c r="AZ43" i="1"/>
  <c r="AY36" i="1"/>
  <c r="BA28" i="1"/>
  <c r="BB28" i="1"/>
  <c r="BC28" i="1" s="1"/>
  <c r="BD31" i="1"/>
  <c r="BE31" i="1" s="1"/>
  <c r="BC25" i="1"/>
  <c r="AZ32" i="1"/>
  <c r="BE29" i="1"/>
  <c r="BD25" i="1"/>
  <c r="BE25" i="1" s="1"/>
  <c r="BA32" i="1"/>
  <c r="AZ35" i="1"/>
  <c r="AW45" i="1" l="1"/>
  <c r="AV48" i="1"/>
  <c r="AW48" i="1" s="1"/>
  <c r="AW50" i="1"/>
  <c r="AX50" i="1"/>
  <c r="AY50" i="1" s="1"/>
  <c r="AZ50" i="1" s="1"/>
  <c r="AU44" i="1"/>
  <c r="AV44" i="1" s="1"/>
  <c r="AW42" i="1"/>
  <c r="AS52" i="1"/>
  <c r="AU49" i="1"/>
  <c r="AX42" i="1"/>
  <c r="AW46" i="1"/>
  <c r="AU42" i="1"/>
  <c r="AU48" i="1"/>
  <c r="AU41" i="1"/>
  <c r="AT52" i="1"/>
  <c r="AV47" i="1"/>
  <c r="AV42" i="1"/>
  <c r="AY51" i="1"/>
  <c r="BA43" i="1"/>
  <c r="BB43" i="1" s="1"/>
  <c r="BD28" i="1"/>
  <c r="BE28" i="1" s="1"/>
  <c r="AZ36" i="1"/>
  <c r="BB32" i="1"/>
  <c r="BC32" i="1" s="1"/>
  <c r="BA35" i="1"/>
  <c r="BC43" i="1" l="1"/>
  <c r="BD43" i="1"/>
  <c r="AW44" i="1"/>
  <c r="BA44" i="1" s="1"/>
  <c r="AX48" i="1"/>
  <c r="AX46" i="1"/>
  <c r="AY46" i="1"/>
  <c r="AZ51" i="1"/>
  <c r="AY42" i="1"/>
  <c r="AZ42" i="1" s="1"/>
  <c r="BA50" i="1"/>
  <c r="BB50" i="1" s="1"/>
  <c r="AZ48" i="1"/>
  <c r="AZ44" i="1"/>
  <c r="AV49" i="1"/>
  <c r="AW47" i="1"/>
  <c r="AX44" i="1"/>
  <c r="AY44" i="1"/>
  <c r="AU52" i="1"/>
  <c r="AV41" i="1"/>
  <c r="AX45" i="1"/>
  <c r="AY48" i="1"/>
  <c r="BA48" i="1" s="1"/>
  <c r="BE43" i="1"/>
  <c r="BD32" i="1"/>
  <c r="BE32" i="1" s="1"/>
  <c r="BA36" i="1"/>
  <c r="BB35" i="1"/>
  <c r="BB48" i="1" l="1"/>
  <c r="BA51" i="1"/>
  <c r="BB51" i="1" s="1"/>
  <c r="BA42" i="1"/>
  <c r="BB42" i="1" s="1"/>
  <c r="AW49" i="1"/>
  <c r="BC50" i="1"/>
  <c r="BD50" i="1" s="1"/>
  <c r="BE48" i="1"/>
  <c r="AY45" i="1"/>
  <c r="AX49" i="1"/>
  <c r="BC42" i="1"/>
  <c r="BD42" i="1" s="1"/>
  <c r="BE42" i="1" s="1"/>
  <c r="AX47" i="1"/>
  <c r="AV52" i="1"/>
  <c r="AW41" i="1"/>
  <c r="AX41" i="1"/>
  <c r="AZ46" i="1"/>
  <c r="BC48" i="1"/>
  <c r="BD48" i="1" s="1"/>
  <c r="BB44" i="1"/>
  <c r="BC44" i="1" s="1"/>
  <c r="BC51" i="1"/>
  <c r="BC35" i="1"/>
  <c r="BC36" i="1" s="1"/>
  <c r="BB36" i="1"/>
  <c r="AY47" i="1" l="1"/>
  <c r="AY49" i="1"/>
  <c r="BD44" i="1"/>
  <c r="AX52" i="1"/>
  <c r="AZ47" i="1"/>
  <c r="BB47" i="1" s="1"/>
  <c r="BA47" i="1"/>
  <c r="BA46" i="1"/>
  <c r="AZ45" i="1"/>
  <c r="AZ49" i="1"/>
  <c r="AW52" i="1"/>
  <c r="AY41" i="1"/>
  <c r="BD51" i="1"/>
  <c r="BE51" i="1" s="1"/>
  <c r="BE50" i="1"/>
  <c r="BE44" i="1"/>
  <c r="BD35" i="1"/>
  <c r="BD36" i="1" s="1"/>
  <c r="BE35" i="1"/>
  <c r="BE36" i="1" s="1"/>
  <c r="BC47" i="1" l="1"/>
  <c r="BD47" i="1" s="1"/>
  <c r="BA45" i="1"/>
  <c r="BB45" i="1" s="1"/>
  <c r="BC45" i="1" s="1"/>
  <c r="AY52" i="1"/>
  <c r="BB46" i="1"/>
  <c r="BC46" i="1" s="1"/>
  <c r="BA49" i="1"/>
  <c r="BD49" i="1" s="1"/>
  <c r="BE47" i="1"/>
  <c r="BB49" i="1"/>
  <c r="BC49" i="1" s="1"/>
  <c r="AZ41" i="1"/>
  <c r="BA41" i="1"/>
  <c r="BD46" i="1" l="1"/>
  <c r="BE46" i="1" s="1"/>
  <c r="BE49" i="1"/>
  <c r="BB41" i="1"/>
  <c r="BB52" i="1" s="1"/>
  <c r="BA52" i="1"/>
  <c r="AZ52" i="1"/>
  <c r="BD45" i="1"/>
  <c r="BE45" i="1" s="1"/>
  <c r="BC41" i="1"/>
  <c r="BC52" i="1" s="1"/>
  <c r="BD41" i="1" l="1"/>
  <c r="BD52" i="1" s="1"/>
  <c r="BE41" i="1" l="1"/>
  <c r="BE52" i="1" s="1"/>
</calcChain>
</file>

<file path=xl/sharedStrings.xml><?xml version="1.0" encoding="utf-8"?>
<sst xmlns="http://schemas.openxmlformats.org/spreadsheetml/2006/main" count="655" uniqueCount="158">
  <si>
    <t>US SOYBEAN COMPLEX</t>
  </si>
  <si>
    <t>US SOYBEAN SUPPLY AND DEMAND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</si>
  <si>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</si>
  <si>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</si>
  <si>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</si>
  <si>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</si>
  <si>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</si>
  <si>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</si>
  <si>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</si>
  <si>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</si>
  <si>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</si>
  <si>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</si>
  <si>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</si>
  <si>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</si>
  <si>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</si>
  <si>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</si>
  <si>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</si>
  <si>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</si>
  <si>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</si>
  <si>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</si>
  <si>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</si>
  <si>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</si>
  <si>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</si>
  <si>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</si>
  <si>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</si>
  <si>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</si>
  <si>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</si>
  <si>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</si>
  <si>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</si>
  <si>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</si>
  <si>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</si>
  <si>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</si>
  <si>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</si>
  <si>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</si>
  <si>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</si>
  <si>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</si>
  <si>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</si>
  <si>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</si>
  <si>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</si>
  <si>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</si>
  <si>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</si>
  <si>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</si>
  <si>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</si>
  <si>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</si>
  <si>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</si>
  <si>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</si>
  <si>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2034/35</t>
  </si>
  <si>
    <t>2035/36</t>
  </si>
  <si>
    <t>2036/37</t>
  </si>
  <si>
    <t>2037/38</t>
  </si>
  <si>
    <t>2038/39</t>
  </si>
  <si>
    <t>2039/40</t>
  </si>
  <si>
    <t>2040/41</t>
  </si>
  <si>
    <t>2041/42</t>
  </si>
  <si>
    <t>2042/43</t>
  </si>
  <si>
    <t>2043/44</t>
  </si>
  <si>
    <t>2044/45</t>
  </si>
  <si>
    <t>2045/46</t>
  </si>
  <si>
    <r>
      <t xml:space="preserve">Planted Area </t>
    </r>
    <r>
      <rPr>
        <sz val="8"/>
        <color theme="2" tint="-9.9978637043366805E-2"/>
        <rFont val="Bierstadt Display"/>
        <family val="2"/>
      </rPr>
      <t>(million acres)</t>
    </r>
  </si>
  <si>
    <t>Harvested Area</t>
  </si>
  <si>
    <t>Harvested/Planted Area</t>
  </si>
  <si>
    <r>
      <t xml:space="preserve">Average US Soybean Yield </t>
    </r>
    <r>
      <rPr>
        <sz val="8"/>
        <color theme="2" tint="-9.9978637043366805E-2"/>
        <rFont val="Bierstadt Display"/>
        <family val="2"/>
      </rPr>
      <t>(bushels per acre)</t>
    </r>
  </si>
  <si>
    <r>
      <t xml:space="preserve">Beginning Stocks </t>
    </r>
    <r>
      <rPr>
        <sz val="8"/>
        <color theme="2" tint="-9.9978637043366805E-2"/>
        <rFont val="Bierstadt Display"/>
        <family val="2"/>
      </rPr>
      <t>(million bushels)</t>
    </r>
  </si>
  <si>
    <t>Production</t>
  </si>
  <si>
    <t>Imports</t>
  </si>
  <si>
    <t>Total Supply</t>
  </si>
  <si>
    <t>Crush</t>
  </si>
  <si>
    <t>Seed</t>
  </si>
  <si>
    <t>Residual</t>
  </si>
  <si>
    <t>Exports</t>
  </si>
  <si>
    <t>Total Demand</t>
  </si>
  <si>
    <t>Ending Stocks (Aug. 31)</t>
  </si>
  <si>
    <t>Stocks-to-Use</t>
  </si>
  <si>
    <r>
      <t xml:space="preserve">Average Farm Price </t>
    </r>
    <r>
      <rPr>
        <sz val="8"/>
        <color theme="2" tint="-9.9978637043366805E-2"/>
        <rFont val="Bierstadt Display"/>
        <family val="2"/>
      </rPr>
      <t>(dollars per bushel)</t>
    </r>
  </si>
  <si>
    <t>Average Futures Price</t>
  </si>
  <si>
    <t>Bold, green numbers are RLC estimates and predictions</t>
  </si>
  <si>
    <t>US SOYBEAN IMPORTS</t>
  </si>
  <si>
    <t>million bushels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</si>
  <si>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</si>
  <si>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</si>
  <si>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</si>
  <si>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</si>
  <si>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</si>
  <si>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</si>
  <si>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</si>
  <si>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</si>
  <si>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</si>
  <si>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</si>
  <si>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</si>
  <si>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</si>
  <si>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  Marketing-year Total</t>
  </si>
  <si>
    <t>US SOYBEAN EXPORTS</t>
  </si>
  <si>
    <t>US SOYBEAN CRUSH</t>
  </si>
  <si>
    <t>US SOYBEAN SEED USE</t>
  </si>
  <si>
    <t>US SOYBEAN RESIDUAL USE</t>
  </si>
  <si>
    <t>US SOYBEAN STOCKS</t>
  </si>
  <si>
    <t>US SOYBEAN MEAL SUPPLY AND DEMAND</t>
  </si>
  <si>
    <t>million acres</t>
  </si>
  <si>
    <r>
      <t xml:space="preserve">Oct-Sep Crush </t>
    </r>
    <r>
      <rPr>
        <sz val="8"/>
        <color theme="2" tint="-9.9978637043366805E-2"/>
        <rFont val="Bierstadt Display"/>
        <family val="2"/>
      </rPr>
      <t>(million bushels)</t>
    </r>
  </si>
  <si>
    <r>
      <t xml:space="preserve">Oct-Sep Average Yield </t>
    </r>
    <r>
      <rPr>
        <sz val="8"/>
        <color theme="2" tint="-9.9978637043366805E-2"/>
        <rFont val="Bierstadt Display"/>
        <family val="2"/>
      </rPr>
      <t>(pounds per bushel)</t>
    </r>
  </si>
  <si>
    <r>
      <t xml:space="preserve">US Average PCAU </t>
    </r>
    <r>
      <rPr>
        <sz val="8"/>
        <color theme="2" tint="-9.9978637043366805E-2"/>
        <rFont val="Bierstadt Display"/>
        <family val="2"/>
      </rPr>
      <t>(million units)</t>
    </r>
  </si>
  <si>
    <r>
      <t xml:space="preserve">Demand per PCAU </t>
    </r>
    <r>
      <rPr>
        <sz val="8"/>
        <color theme="2" tint="-9.9978637043366805E-2"/>
        <rFont val="Bierstadt Display"/>
        <family val="2"/>
      </rPr>
      <t>(pounds per unit)</t>
    </r>
  </si>
  <si>
    <r>
      <t xml:space="preserve">Beginning Stocks </t>
    </r>
    <r>
      <rPr>
        <sz val="8"/>
        <color theme="2" tint="-9.9978637043366805E-2"/>
        <rFont val="Bierstadt Display"/>
        <family val="2"/>
      </rPr>
      <t>(thousand short tons)</t>
    </r>
  </si>
  <si>
    <t>Domestic Use</t>
  </si>
  <si>
    <t>Ending Stocks (Sep. 30)</t>
  </si>
  <si>
    <r>
      <t xml:space="preserve">Average Central Illinois Price </t>
    </r>
    <r>
      <rPr>
        <sz val="8"/>
        <color theme="2" tint="-9.9978637043366805E-2"/>
        <rFont val="Bierstadt Display"/>
        <family val="2"/>
      </rPr>
      <t>(dollars per short ton)</t>
    </r>
  </si>
  <si>
    <t>US SOYBEAN MEAL PRODUCTION</t>
  </si>
  <si>
    <t>(thousand short tons)</t>
  </si>
  <si>
    <t>US SOYBEAN MEAL YIELD</t>
  </si>
  <si>
    <t xml:space="preserve">  Marketing-year Average</t>
  </si>
  <si>
    <t>US SOYBEAN MEAL IMPORTS</t>
  </si>
  <si>
    <t>US SOYBEAN MEAL EXPORTS</t>
  </si>
  <si>
    <t>US SOYBEAN MEAL DOMESTIC USE</t>
  </si>
  <si>
    <t>US SOYBEAN MEAL MONTH-ENDING STOCKS</t>
  </si>
  <si>
    <t>US SOYBEAN OIL SUPPLY AND DEMAND</t>
  </si>
  <si>
    <r>
      <t xml:space="preserve">Oct-Sep Yield </t>
    </r>
    <r>
      <rPr>
        <sz val="8"/>
        <color theme="2" tint="-9.9978637043366805E-2"/>
        <rFont val="Bierstadt Display"/>
        <family val="2"/>
      </rPr>
      <t>(pounds per bushel)</t>
    </r>
  </si>
  <si>
    <r>
      <t xml:space="preserve">US Biodiesel Production </t>
    </r>
    <r>
      <rPr>
        <sz val="8"/>
        <color theme="2" tint="-9.9978637043366805E-2"/>
        <rFont val="Bierstadt Display"/>
        <family val="2"/>
      </rPr>
      <t>(million gallons)</t>
    </r>
  </si>
  <si>
    <t>US Renewable Diesel Production</t>
  </si>
  <si>
    <t>US Sustainable Aviation Fuel Production</t>
  </si>
  <si>
    <r>
      <t xml:space="preserve">US Average Biofuel Yield </t>
    </r>
    <r>
      <rPr>
        <sz val="8"/>
        <color theme="2" tint="-9.9978637043366805E-2"/>
        <rFont val="Bierstadt Display"/>
        <family val="2"/>
      </rPr>
      <t>(pounds per gallon)</t>
    </r>
  </si>
  <si>
    <r>
      <t xml:space="preserve">Beginning Stocks </t>
    </r>
    <r>
      <rPr>
        <sz val="8"/>
        <color theme="2" tint="-9.9978637043366805E-2"/>
        <rFont val="Bierstadt Display"/>
        <family val="2"/>
      </rPr>
      <t>(million pounds)</t>
    </r>
  </si>
  <si>
    <t>Biodiesel Feedstock</t>
  </si>
  <si>
    <t>Renewable Diesel Feedstock</t>
  </si>
  <si>
    <t>Sustainable Aviation Fuel Feedstock</t>
  </si>
  <si>
    <t>Total Biomass-Based Diesel Use</t>
  </si>
  <si>
    <t>Non-Biodiesel Domestic Use</t>
  </si>
  <si>
    <t>Total Domestic Use</t>
  </si>
  <si>
    <t>Days of Coverage</t>
  </si>
  <si>
    <r>
      <t xml:space="preserve">Average Central Illinois Price </t>
    </r>
    <r>
      <rPr>
        <sz val="8"/>
        <color theme="2" tint="-9.9978637043366805E-2"/>
        <rFont val="Bierstadt Display"/>
        <family val="2"/>
      </rPr>
      <t>(cents per pound)</t>
    </r>
  </si>
  <si>
    <t>US SOYBEAN OIL PRODUCTION</t>
  </si>
  <si>
    <t>(million pounds)</t>
  </si>
  <si>
    <t>US SOYBEAN OIL YIELD</t>
  </si>
  <si>
    <t>US SOYBEAN OIL IMPORTS</t>
  </si>
  <si>
    <t>US SOYBEAN OIL EXPORTS</t>
  </si>
  <si>
    <t>US SOYBEAN OIL BIOMASS-BASED DIESEL USE</t>
  </si>
  <si>
    <t>US SOYBEAN OIL BIODIESEL USE</t>
  </si>
  <si>
    <t>US SOYBEAN OIL RENEWABLE DIESEL USE</t>
  </si>
  <si>
    <t>US SOYBEAN OIL SUSTAINABLE AVIATION FUEL USE</t>
  </si>
  <si>
    <t>US SOYBEAN OIL CO-PROCESSING USE</t>
  </si>
  <si>
    <t>US SOYBEAN OIL NON-BIOFUEL DOMESTIC USE</t>
  </si>
  <si>
    <t>US SOYBEAN OIL DOMESTIC USE</t>
  </si>
  <si>
    <t>US SOYBEAN OIL MONTH-ENDING STOCKS</t>
  </si>
  <si>
    <t>Q1 - Sep, Oct, Nov</t>
  </si>
  <si>
    <t>Beginning Stocks - Sep. 1</t>
  </si>
  <si>
    <t>Ending Stocks - Nov.30</t>
  </si>
  <si>
    <t>On-Farm Stocks</t>
  </si>
  <si>
    <t>Commercial Stocks</t>
  </si>
  <si>
    <t>Q2 - Dec, Jan, Feb</t>
  </si>
  <si>
    <t>Beginning Stocks - Dec. 1</t>
  </si>
  <si>
    <t>Ending Stocks - Feb. 28</t>
  </si>
  <si>
    <t>Q3 - Mar, Apr, May</t>
  </si>
  <si>
    <t>Beginning Stocks - Mar. 1</t>
  </si>
  <si>
    <t>Ending Stocks - May 31</t>
  </si>
  <si>
    <t>Q4 - Jun, Jul, Aug</t>
  </si>
  <si>
    <t>Beginning Stocks - Jun. 1</t>
  </si>
  <si>
    <t>Ending Stocks - Aug. 31</t>
  </si>
  <si>
    <t>QUARTERLY US SOYBEAN SUPPLY AND DEMAND</t>
  </si>
  <si>
    <t>MY - Sep-Aug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</si>
</sst>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);[Red]\(#,##0.0\)"/>
  </numFmts>
  <fonts count="14" x14ac:knownFonts="1">
    <font>
      <sz val="11"/>
      <color theme="1"/>
      <name val="Aptos Narrow"/>
      <family val="2"/>
      <scheme val="minor"/>
    </font>
    <font>
      <b/>
      <sz val="16"/>
      <color theme="1"/>
      <name val="Bierstadt Display"/>
      <family val="2"/>
    </font>
    <font>
      <sz val="11"/>
      <color theme="1"/>
      <name val="Bierstadt Display"/>
      <family val="2"/>
    </font>
    <font>
      <b/>
      <sz val="12"/>
      <color theme="9" tint="-0.499984740745262"/>
      <name val="Bierstadt Display"/>
      <family val="2"/>
    </font>
    <font>
      <sz val="11"/>
      <color theme="0"/>
      <name val="Bierstadt Display"/>
      <family val="2"/>
    </font>
    <font>
      <b/>
      <sz val="11"/>
      <color theme="0"/>
      <name val="Bierstadt Display"/>
      <family val="2"/>
    </font>
    <font>
      <sz val="8"/>
      <color theme="2" tint="-9.9978637043366805E-2"/>
      <name val="Bierstadt Display"/>
      <family val="2"/>
    </font>
    <font>
      <b/>
      <sz val="11"/>
      <color theme="9" tint="-0.249977111117893"/>
      <name val="Bierstadt Display"/>
      <family val="2"/>
    </font>
    <font>
      <b/>
      <sz val="11"/>
      <color theme="1"/>
      <name val="Bierstadt Display"/>
      <family val="2"/>
    </font>
    <font>
      <sz val="10"/>
      <color theme="1"/>
      <name val="Bierstadt Display"/>
      <family val="2"/>
    </font>
    <font>
      <sz val="11"/>
      <color theme="9" tint="-0.249977111117893"/>
      <name val="Bierstadt Display"/>
      <family val="2"/>
    </font>
    <font>
      <sz val="9"/>
      <color theme="1"/>
      <name val="Univers"/>
      <family val="2"/>
    </font>
    <font>
      <b/>
      <sz val="9"/>
      <color theme="0"/>
      <name val="Univers"/>
      <family val="2"/>
    </font>
    <font>
      <sz val="7"/>
      <color theme="0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medium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thin">
        <color theme="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8" fillId="0" borderId="0" xfId="0" applyFont="1"/>
    <xf numFmtId="0" fontId="9" fillId="0" borderId="4" xfId="0" applyFont="1" applyBorder="1"/>
    <xf numFmtId="0" fontId="2" fillId="0" borderId="4" xfId="0" applyFont="1" applyBorder="1"/>
    <xf numFmtId="0" fontId="8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164" fontId="2" fillId="4" borderId="0" xfId="0" applyNumberFormat="1" applyFont="1" applyFill="1" applyAlignment="1">
      <alignment horizontal="center" vertic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7" fillId="3" borderId="3" xfId="0" applyFont="1" applyFill="1" applyBorder="1"/>
    <xf numFmtId="38" fontId="2" fillId="4" borderId="0" xfId="0" applyNumberFormat="1" applyFont="1" applyFill="1" applyAlignment="1">
      <alignment horizontal="center" vertical="center"/>
    </xf>
    <xf numFmtId="38" fontId="2" fillId="3" borderId="0" xfId="0" applyNumberFormat="1" applyFont="1" applyFill="1" applyAlignment="1">
      <alignment horizontal="center" vertical="center"/>
    </xf>
    <xf numFmtId="38" fontId="7" fillId="3" borderId="0" xfId="0" applyNumberFormat="1" applyFont="1" applyFill="1" applyAlignment="1">
      <alignment horizontal="center" vertical="center"/>
    </xf>
    <xf numFmtId="38" fontId="10" fillId="3" borderId="0" xfId="0" applyNumberFormat="1" applyFont="1" applyFill="1" applyAlignment="1">
      <alignment horizontal="center" vertical="center"/>
    </xf>
    <xf numFmtId="38" fontId="2" fillId="4" borderId="2" xfId="0" applyNumberFormat="1" applyFont="1" applyFill="1" applyBorder="1" applyAlignment="1">
      <alignment horizontal="center" vertical="center"/>
    </xf>
    <xf numFmtId="38" fontId="10" fillId="3" borderId="2" xfId="0" applyNumberFormat="1" applyFont="1" applyFill="1" applyBorder="1" applyAlignment="1">
      <alignment horizontal="center" vertical="center"/>
    </xf>
    <xf numFmtId="38" fontId="2" fillId="3" borderId="2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2" borderId="0" xfId="0" applyFont="1" applyFill="1"/>
    <xf numFmtId="0" fontId="13" fillId="2" borderId="0" xfId="0" applyFont="1" applyFill="1"/>
    <xf numFmtId="164" fontId="11" fillId="3" borderId="0" xfId="0" applyNumberFormat="1" applyFont="1" applyFill="1"/>
    <xf numFmtId="164" fontId="11" fillId="0" borderId="0" xfId="0" applyNumberFormat="1" applyFont="1"/>
    <xf numFmtId="164" fontId="11" fillId="0" borderId="6" xfId="0" applyNumberFormat="1" applyFont="1" applyBorder="1"/>
    <xf numFmtId="0" fontId="2" fillId="4" borderId="5" xfId="0" applyFont="1" applyFill="1" applyBorder="1"/>
    <xf numFmtId="164" fontId="2" fillId="4" borderId="5" xfId="0" applyNumberFormat="1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8" fillId="4" borderId="0" xfId="0" applyFont="1" applyFill="1"/>
    <xf numFmtId="0" fontId="9" fillId="4" borderId="4" xfId="0" applyFont="1" applyFill="1" applyBorder="1"/>
    <xf numFmtId="0" fontId="2" fillId="4" borderId="4" xfId="0" applyFont="1" applyFill="1" applyBorder="1"/>
    <xf numFmtId="0" fontId="8" fillId="4" borderId="4" xfId="0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4" borderId="6" xfId="0" applyFont="1" applyFill="1" applyBorder="1" applyAlignment="1">
      <alignment horizontal="center" vertical="center"/>
    </xf>
    <xf numFmtId="38" fontId="7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Models\Oilseeds\us_soy_complex_trade.xlsm" TargetMode="External"/><Relationship Id="rId1" Type="http://schemas.openxmlformats.org/officeDocument/2006/relationships/externalLinkPath" Target="/Users/torem/RLC%20Dropbox/RLC%20Team%20Folder/RLC-Models/Oilseeds/us_soy_complex_trade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Agent\domain_knowledge\spreadsheet_samples\us_oilseeds_products_fats_greases_bal_sheet_templates.xlsx" TargetMode="External"/><Relationship Id="rId1" Type="http://schemas.openxmlformats.org/officeDocument/2006/relationships/externalLinkPath" Target="/Users/torem/RLC%20Dropbox/RLC%20Team%20Folder/RLC-Agent/domain_knowledge/spreadsheet_samples/us_oilseeds_products_fats_greases_bal_sheet_templa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_soy_cr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ybean Exports"/>
      <sheetName val="Soybean Imports"/>
      <sheetName val="Soybean Meal Exports"/>
      <sheetName val="Soybean Meal Imports"/>
      <sheetName val="Soybean Oil Exports"/>
      <sheetName val="Soybean Oil Imports"/>
    </sheetNames>
    <sheetDataSet>
      <sheetData sheetId="0">
        <row r="216">
          <cell r="JN216">
            <v>252062.68721779325</v>
          </cell>
          <cell r="JO216">
            <v>258946.09662342962</v>
          </cell>
          <cell r="JP216">
            <v>198785.52289167806</v>
          </cell>
          <cell r="JQ216">
            <v>117124.53819437067</v>
          </cell>
          <cell r="JR216">
            <v>43112.391677590203</v>
          </cell>
          <cell r="JS216">
            <v>32358.321841511406</v>
          </cell>
          <cell r="JT216">
            <v>22433.382377676906</v>
          </cell>
          <cell r="JU216">
            <v>19315.793595352803</v>
          </cell>
          <cell r="JV216">
            <v>16995.6789812313</v>
          </cell>
          <cell r="JW216">
            <v>77908.916763236994</v>
          </cell>
          <cell r="JX216">
            <v>329794.53700932272</v>
          </cell>
          <cell r="JY216">
            <v>405180.61237081053</v>
          </cell>
          <cell r="JZ216">
            <v>301630.95088021568</v>
          </cell>
          <cell r="KA216">
            <v>257389.28868854887</v>
          </cell>
          <cell r="KB216">
            <v>166727.29140428556</v>
          </cell>
          <cell r="KC216">
            <v>94315.246564578891</v>
          </cell>
          <cell r="KD216">
            <v>49895.629012025995</v>
          </cell>
          <cell r="KE216">
            <v>44120.1252388953</v>
          </cell>
          <cell r="KF216">
            <v>34521.147809274</v>
          </cell>
          <cell r="KG216">
            <v>39731.706208538402</v>
          </cell>
          <cell r="KH216">
            <v>42934.907738375099</v>
          </cell>
          <cell r="KI216">
            <v>86415.249284529913</v>
          </cell>
          <cell r="KJ216">
            <v>368176.55136277893</v>
          </cell>
          <cell r="KK216">
            <v>337074.18261260726</v>
          </cell>
          <cell r="KL216">
            <v>250068.12553352915</v>
          </cell>
          <cell r="KM216">
            <v>223897.89372744787</v>
          </cell>
          <cell r="KN216">
            <v>209178.98256024209</v>
          </cell>
          <cell r="KO216">
            <v>97190.486468048402</v>
          </cell>
          <cell r="KP216">
            <v>50139.504812077794</v>
          </cell>
          <cell r="KQ216">
            <v>32645.896666767298</v>
          </cell>
          <cell r="KR216">
            <v>38741.296309703393</v>
          </cell>
          <cell r="KS216">
            <v>97873.181401065012</v>
          </cell>
          <cell r="KT216">
            <v>153151.2479410599</v>
          </cell>
          <cell r="KU216">
            <v>137845.40628476103</v>
          </cell>
          <cell r="KV216">
            <v>410490.55549727206</v>
          </cell>
          <cell r="KW216">
            <v>381054.48741732951</v>
          </cell>
          <cell r="KX216">
            <v>293475.37235960586</v>
          </cell>
          <cell r="KY216">
            <v>257902.95573049347</v>
          </cell>
          <cell r="KZ216">
            <v>164512.51844274867</v>
          </cell>
          <cell r="LA216">
            <v>118472.77400685301</v>
          </cell>
          <cell r="LB216">
            <v>90688.372940946894</v>
          </cell>
          <cell r="LC216">
            <v>53889.666078811497</v>
          </cell>
          <cell r="LD216">
            <v>65992.378810824914</v>
          </cell>
          <cell r="LE216">
            <v>85939.610171643901</v>
          </cell>
          <cell r="LF216">
            <v>110372.47572150661</v>
          </cell>
          <cell r="LG216">
            <v>165689.65754687428</v>
          </cell>
          <cell r="LH216">
            <v>354578.13128020294</v>
          </cell>
          <cell r="LI216">
            <v>337855.57373262668</v>
          </cell>
          <cell r="LJ216">
            <v>229007.22249833812</v>
          </cell>
          <cell r="LK216">
            <v>213540.16693969688</v>
          </cell>
          <cell r="LL216">
            <v>155948.96245887419</v>
          </cell>
          <cell r="LM216">
            <v>118719.59720280027</v>
          </cell>
          <cell r="LN216">
            <v>80924.746036289405</v>
          </cell>
          <cell r="LO216">
            <v>114588.45715566271</v>
          </cell>
          <cell r="LP216">
            <v>115501.30003823039</v>
          </cell>
          <cell r="LQ216">
            <v>126121.7730145548</v>
          </cell>
          <cell r="LR216">
            <v>127127.45682855541</v>
          </cell>
          <cell r="LS216">
            <v>122686.934680443</v>
          </cell>
          <cell r="LT216">
            <v>201824.60174090549</v>
          </cell>
          <cell r="LU216">
            <v>180722.29031951219</v>
          </cell>
          <cell r="LV216">
            <v>147297.20836726771</v>
          </cell>
          <cell r="LW216">
            <v>176877.61639322669</v>
          </cell>
          <cell r="LX216">
            <v>166345.14898764633</v>
          </cell>
          <cell r="LY216">
            <v>141340.86106819983</v>
          </cell>
          <cell r="LZ216">
            <v>91416.538423175705</v>
          </cell>
          <cell r="MA216">
            <v>91247.538788009086</v>
          </cell>
          <cell r="MB216">
            <v>121468.77031667493</v>
          </cell>
          <cell r="MC216">
            <v>136099.14595875147</v>
          </cell>
          <cell r="MD216">
            <v>181855.05196275693</v>
          </cell>
          <cell r="ME216">
            <v>143936.73255785878</v>
          </cell>
          <cell r="MF216">
            <v>216880.1117658063</v>
          </cell>
          <cell r="MG216">
            <v>251445.21554897859</v>
          </cell>
          <cell r="MH216">
            <v>208592.87222727659</v>
          </cell>
          <cell r="MI216">
            <v>190662.33449377376</v>
          </cell>
          <cell r="MJ216">
            <v>107825.3680454034</v>
          </cell>
          <cell r="MK216">
            <v>91212.05488250732</v>
          </cell>
          <cell r="ML216">
            <v>81927.051267075018</v>
          </cell>
          <cell r="MM216">
            <v>71096.964043532702</v>
          </cell>
          <cell r="MN216">
            <v>65521.083244203284</v>
          </cell>
          <cell r="MO216">
            <v>84758.828223612916</v>
          </cell>
          <cell r="MP216">
            <v>171530.55941073148</v>
          </cell>
          <cell r="MQ216">
            <v>264324.9821011757</v>
          </cell>
          <cell r="MR216">
            <v>425963.49688224157</v>
          </cell>
          <cell r="MS216">
            <v>400453.87057858566</v>
          </cell>
          <cell r="MT216">
            <v>386906.18979785207</v>
          </cell>
          <cell r="MU216">
            <v>331910.87958778261</v>
          </cell>
          <cell r="MV216">
            <v>164876.29312468233</v>
          </cell>
          <cell r="MW216">
            <v>83461.560920173797</v>
          </cell>
          <cell r="MX216">
            <v>50178.79819416449</v>
          </cell>
          <cell r="MY216">
            <v>49558.686894685496</v>
          </cell>
          <cell r="MZ216">
            <v>34322.482890706502</v>
          </cell>
          <cell r="NA216">
            <v>35144.355904532691</v>
          </cell>
          <cell r="NB216">
            <v>42903.025744296909</v>
          </cell>
          <cell r="NC216">
            <v>77340.403465869604</v>
          </cell>
          <cell r="ND216">
            <v>393337.91547651083</v>
          </cell>
          <cell r="NE216">
            <v>393107.75077183259</v>
          </cell>
          <cell r="NF216">
            <v>292413.28218942427</v>
          </cell>
          <cell r="NG216">
            <v>240488.60819207074</v>
          </cell>
          <cell r="NH216">
            <v>140745.41199318599</v>
          </cell>
          <cell r="NI216">
            <v>111672.16516964968</v>
          </cell>
          <cell r="NJ216">
            <v>130884.50959668633</v>
          </cell>
          <cell r="NK216">
            <v>90286.793437700995</v>
          </cell>
          <cell r="NL216">
            <v>83009.892294856807</v>
          </cell>
          <cell r="NM216">
            <v>85165.766354579391</v>
          </cell>
          <cell r="NN216">
            <v>118806.47213315158</v>
          </cell>
          <cell r="NO216">
            <v>76516.530198502791</v>
          </cell>
          <cell r="NP216">
            <v>365716.41418739076</v>
          </cell>
          <cell r="NQ216">
            <v>358614.69770999032</v>
          </cell>
          <cell r="NR216">
            <v>293009.24802783475</v>
          </cell>
          <cell r="NS216">
            <v>303278.72048999276</v>
          </cell>
          <cell r="NT216">
            <v>201188.238151761</v>
          </cell>
          <cell r="NU216">
            <v>113909.4893565993</v>
          </cell>
          <cell r="NV216">
            <v>92417.335288332586</v>
          </cell>
          <cell r="NW216">
            <v>36691.536475601701</v>
          </cell>
          <cell r="NX216">
            <v>30393.783177311401</v>
          </cell>
          <cell r="NY216">
            <v>46961.535695442901</v>
          </cell>
          <cell r="NZ216">
            <v>62721.35215864559</v>
          </cell>
          <cell r="OA216">
            <v>91931.736648586797</v>
          </cell>
          <cell r="OB216">
            <v>346371.54927054746</v>
          </cell>
          <cell r="OC216">
            <v>274735.50411101553</v>
          </cell>
          <cell r="OD216">
            <v>175807.91373676652</v>
          </cell>
          <cell r="OE216">
            <v>215715.20339012489</v>
          </cell>
          <cell r="OF216">
            <v>194293.20193713356</v>
          </cell>
          <cell r="OG216">
            <v>117544.40290597199</v>
          </cell>
          <cell r="OH216">
            <v>65705.711591702711</v>
          </cell>
          <cell r="OI216">
            <v>50706.235893020392</v>
          </cell>
          <cell r="OJ216">
            <v>51976.2905550336</v>
          </cell>
          <cell r="OK216">
            <v>55267.5059964342</v>
          </cell>
          <cell r="OL216">
            <v>63232.238731323901</v>
          </cell>
          <cell r="OM216">
            <v>114551.73234192451</v>
          </cell>
          <cell r="ON216">
            <v>346147.43467328011</v>
          </cell>
          <cell r="OO216">
            <v>370832.24144906318</v>
          </cell>
          <cell r="OP216">
            <v>275124.5541595362</v>
          </cell>
          <cell r="OQ216">
            <v>191581.94762352869</v>
          </cell>
          <cell r="OR216">
            <v>112745.8060158759</v>
          </cell>
          <cell r="OS216">
            <v>128616.12456386609</v>
          </cell>
          <cell r="OT216">
            <v>80216.70335159669</v>
          </cell>
          <cell r="OU216">
            <v>58657.671156367513</v>
          </cell>
          <cell r="OV216">
            <v>55178.083809080403</v>
          </cell>
          <cell r="OW216">
            <v>64644.861594883492</v>
          </cell>
          <cell r="OX216">
            <v>83640.076732715999</v>
          </cell>
          <cell r="OY216">
            <v>105095.2232077293</v>
          </cell>
          <cell r="OZ216">
            <v>197287.40063492037</v>
          </cell>
          <cell r="PA216">
            <v>158005.38506484061</v>
          </cell>
        </row>
      </sheetData>
      <sheetData sheetId="1">
        <row r="216">
          <cell r="JN216">
            <v>2219.457605904</v>
          </cell>
          <cell r="JO216">
            <v>2935.7254103760001</v>
          </cell>
          <cell r="JP216">
            <v>3301.8076093440004</v>
          </cell>
          <cell r="JQ216">
            <v>3281.9776809120003</v>
          </cell>
          <cell r="JR216">
            <v>7456.8676681679999</v>
          </cell>
          <cell r="JS216">
            <v>15595.570963056003</v>
          </cell>
          <cell r="JT216">
            <v>18772.066577592002</v>
          </cell>
          <cell r="JU216">
            <v>9122.6937256559995</v>
          </cell>
          <cell r="JV216">
            <v>2466.8416565759999</v>
          </cell>
          <cell r="JW216">
            <v>2806.4367594240002</v>
          </cell>
          <cell r="JX216">
            <v>2704.3481116800003</v>
          </cell>
          <cell r="JY216">
            <v>2172.3353365920002</v>
          </cell>
          <cell r="JZ216">
            <v>3104.9952444719997</v>
          </cell>
          <cell r="KA216">
            <v>2843.2306210319998</v>
          </cell>
          <cell r="KB216">
            <v>2806.7741428320001</v>
          </cell>
          <cell r="KC216">
            <v>3384.2730136560003</v>
          </cell>
          <cell r="KD216">
            <v>3141.4293088320001</v>
          </cell>
          <cell r="KE216">
            <v>2329.8469437119998</v>
          </cell>
          <cell r="KF216">
            <v>3675.9959388960001</v>
          </cell>
          <cell r="KG216">
            <v>3104.1875746080004</v>
          </cell>
          <cell r="KH216">
            <v>1959.7136819999998</v>
          </cell>
          <cell r="KI216">
            <v>2465.2777951920002</v>
          </cell>
          <cell r="KJ216">
            <v>2216.3515620960002</v>
          </cell>
          <cell r="KK216">
            <v>1895.3233861680001</v>
          </cell>
          <cell r="KL216">
            <v>2147.7438634320001</v>
          </cell>
          <cell r="KM216">
            <v>2872.607853216</v>
          </cell>
          <cell r="KN216">
            <v>1255.5806937599998</v>
          </cell>
          <cell r="KO216">
            <v>2525.3542719360003</v>
          </cell>
          <cell r="KP216">
            <v>2116.8983042639998</v>
          </cell>
          <cell r="KQ216">
            <v>1069.4792783760001</v>
          </cell>
          <cell r="KR216">
            <v>2450.2971561600002</v>
          </cell>
          <cell r="KS216">
            <v>1526.553694296</v>
          </cell>
          <cell r="KT216">
            <v>1869.988251192</v>
          </cell>
          <cell r="KU216">
            <v>2314.6787633040003</v>
          </cell>
          <cell r="KV216">
            <v>1797.0172392720001</v>
          </cell>
          <cell r="KW216">
            <v>1389.821113128</v>
          </cell>
          <cell r="KX216">
            <v>1178.0043725999999</v>
          </cell>
          <cell r="KY216">
            <v>3230.0080696320001</v>
          </cell>
          <cell r="KZ216">
            <v>2263.7914832880001</v>
          </cell>
          <cell r="LA216">
            <v>2242.7448507839999</v>
          </cell>
          <cell r="LB216">
            <v>1837.7221322400001</v>
          </cell>
          <cell r="LC216">
            <v>2583.7051769520003</v>
          </cell>
          <cell r="LD216">
            <v>1084.3580997840002</v>
          </cell>
          <cell r="LE216">
            <v>1758.2961181199998</v>
          </cell>
          <cell r="LF216">
            <v>1469.8132788000003</v>
          </cell>
          <cell r="LG216">
            <v>1380.5962012319999</v>
          </cell>
          <cell r="LH216">
            <v>2912.5314217680002</v>
          </cell>
          <cell r="LI216">
            <v>1431.0423327839999</v>
          </cell>
          <cell r="LJ216">
            <v>2329.481083704</v>
          </cell>
          <cell r="LK216">
            <v>1477.693727736</v>
          </cell>
          <cell r="LL216">
            <v>1193.0165012399998</v>
          </cell>
          <cell r="LM216">
            <v>2171.6824324560002</v>
          </cell>
          <cell r="LN216">
            <v>2578.499470752</v>
          </cell>
          <cell r="LO216">
            <v>2461.4708595840002</v>
          </cell>
          <cell r="LP216">
            <v>1950.3904431599999</v>
          </cell>
          <cell r="LQ216">
            <v>2236.634617536</v>
          </cell>
          <cell r="LR216">
            <v>794.80060869600004</v>
          </cell>
          <cell r="LS216">
            <v>1036.6744923840001</v>
          </cell>
          <cell r="LT216">
            <v>788.86884105600006</v>
          </cell>
          <cell r="LU216">
            <v>1841.94383412</v>
          </cell>
          <cell r="LV216">
            <v>1153.7880924239998</v>
          </cell>
          <cell r="LW216">
            <v>1026.5851411439999</v>
          </cell>
          <cell r="LX216">
            <v>1470.7434899040002</v>
          </cell>
          <cell r="LY216">
            <v>1530.5489429039999</v>
          </cell>
          <cell r="LZ216">
            <v>1809.4924151759999</v>
          </cell>
          <cell r="MA216">
            <v>1327.0777201200001</v>
          </cell>
          <cell r="MB216">
            <v>790.09914040800004</v>
          </cell>
          <cell r="MC216">
            <v>1353.6121792559998</v>
          </cell>
          <cell r="MD216">
            <v>1125.8006285519998</v>
          </cell>
          <cell r="ME216">
            <v>1233.9070983839999</v>
          </cell>
          <cell r="MF216">
            <v>1973.4560114879998</v>
          </cell>
          <cell r="MG216">
            <v>466.97313928799997</v>
          </cell>
          <cell r="MH216">
            <v>1403.0564489040003</v>
          </cell>
          <cell r="MI216">
            <v>1153.8069053520001</v>
          </cell>
          <cell r="MJ216">
            <v>1528.6997643600002</v>
          </cell>
          <cell r="MK216">
            <v>1610.879484072</v>
          </cell>
          <cell r="ML216">
            <v>1291.8316627680001</v>
          </cell>
          <cell r="MM216">
            <v>1644.92195496</v>
          </cell>
          <cell r="MN216">
            <v>1781.4778342320001</v>
          </cell>
          <cell r="MO216">
            <v>1801.5133085999998</v>
          </cell>
          <cell r="MP216">
            <v>736.11481886399997</v>
          </cell>
          <cell r="MQ216">
            <v>1686.7882890240001</v>
          </cell>
          <cell r="MR216">
            <v>924.866395248</v>
          </cell>
          <cell r="MS216">
            <v>471.97190327999994</v>
          </cell>
          <cell r="MT216">
            <v>864.18118065600004</v>
          </cell>
          <cell r="MU216">
            <v>735.84368488799987</v>
          </cell>
          <cell r="MV216">
            <v>833.97158663999994</v>
          </cell>
          <cell r="MW216">
            <v>988.013604816</v>
          </cell>
          <cell r="MX216">
            <v>1537.4206220639999</v>
          </cell>
          <cell r="MY216">
            <v>2353.882259688</v>
          </cell>
          <cell r="MZ216">
            <v>7618.6075543439993</v>
          </cell>
          <cell r="NA216">
            <v>2227.9623721440003</v>
          </cell>
          <cell r="NB216">
            <v>621.01806023999984</v>
          </cell>
          <cell r="NC216">
            <v>972.90366364800025</v>
          </cell>
          <cell r="ND216">
            <v>709.69922656800009</v>
          </cell>
          <cell r="NE216">
            <v>1282.7280428160002</v>
          </cell>
          <cell r="NF216">
            <v>1034.3219577839998</v>
          </cell>
          <cell r="NG216">
            <v>882.78209577600012</v>
          </cell>
          <cell r="NH216">
            <v>1743.960115824</v>
          </cell>
          <cell r="NI216">
            <v>1253.359959888</v>
          </cell>
          <cell r="NJ216">
            <v>1933.7890630320001</v>
          </cell>
          <cell r="NK216">
            <v>1370.7517487520001</v>
          </cell>
          <cell r="NL216">
            <v>841.15298097599998</v>
          </cell>
          <cell r="NM216">
            <v>2240.412635616</v>
          </cell>
          <cell r="NN216">
            <v>2242.8052211760005</v>
          </cell>
          <cell r="NO216">
            <v>1194.4161536879997</v>
          </cell>
          <cell r="NP216">
            <v>1257.738999576</v>
          </cell>
          <cell r="NQ216">
            <v>1296.247924128</v>
          </cell>
          <cell r="NR216">
            <v>1326.6724337999999</v>
          </cell>
          <cell r="NS216">
            <v>225.541506384</v>
          </cell>
          <cell r="NT216">
            <v>1037.7552069120002</v>
          </cell>
          <cell r="NU216">
            <v>1294.947994896</v>
          </cell>
          <cell r="NV216">
            <v>471.28350444</v>
          </cell>
          <cell r="NW216">
            <v>4784.1390177840012</v>
          </cell>
          <cell r="NX216">
            <v>6129.4411005119991</v>
          </cell>
          <cell r="NY216">
            <v>4212.0561758160002</v>
          </cell>
          <cell r="NZ216">
            <v>1682.156891544</v>
          </cell>
          <cell r="OA216">
            <v>1388.8410404159999</v>
          </cell>
          <cell r="OB216">
            <v>722.68301292000001</v>
          </cell>
          <cell r="OC216">
            <v>1734.8924315040001</v>
          </cell>
          <cell r="OD216">
            <v>687.93840093599988</v>
          </cell>
          <cell r="OE216">
            <v>956.19594638399997</v>
          </cell>
          <cell r="OF216">
            <v>918.07897008000009</v>
          </cell>
          <cell r="OG216">
            <v>5345.3551891919997</v>
          </cell>
          <cell r="OH216">
            <v>2248.110246408</v>
          </cell>
          <cell r="OI216">
            <v>1332.0808566480005</v>
          </cell>
          <cell r="OJ216">
            <v>1169.0430254160001</v>
          </cell>
          <cell r="OK216">
            <v>2211.4903308959997</v>
          </cell>
          <cell r="OL216">
            <v>2614.9191314640002</v>
          </cell>
          <cell r="OM216">
            <v>3109.5229871280003</v>
          </cell>
          <cell r="ON216">
            <v>805.93881741600001</v>
          </cell>
          <cell r="OO216">
            <v>1574.0029484639999</v>
          </cell>
          <cell r="OP216">
            <v>1960.9408213680001</v>
          </cell>
          <cell r="OQ216">
            <v>2251.0884210960003</v>
          </cell>
          <cell r="OR216">
            <v>2467.525572648</v>
          </cell>
          <cell r="OS216">
            <v>1769.022132648</v>
          </cell>
          <cell r="OT216">
            <v>2979.462418224</v>
          </cell>
          <cell r="OU216">
            <v>2594.2743680879998</v>
          </cell>
          <cell r="OV216">
            <v>1841.6727001440001</v>
          </cell>
          <cell r="OW216">
            <v>4476.7390077360005</v>
          </cell>
          <cell r="OX216">
            <v>3536.8776432959999</v>
          </cell>
          <cell r="OY216">
            <v>1716.2516858880001</v>
          </cell>
          <cell r="OZ216">
            <v>1940.7032917440004</v>
          </cell>
          <cell r="PA216">
            <v>2013.1875926400003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ilseed Template"/>
      <sheetName val="Protein Meal Template"/>
      <sheetName val="Veg Oil-Fat-Grease Template"/>
      <sheetName val="Oilseed Quarterly Use Template"/>
    </sheetNames>
    <sheetDataSet>
      <sheetData sheetId="0">
        <row r="3">
          <cell r="B3" t="str">
            <v>1990/91</v>
          </cell>
          <cell r="C3" t="str">
            <v>1991/92</v>
          </cell>
          <cell r="D3" t="str">
            <v>1992/93</v>
          </cell>
          <cell r="E3" t="str">
            <v>1993/94</v>
          </cell>
          <cell r="F3" t="str">
            <v>1994/95</v>
          </cell>
          <cell r="G3" t="str">
            <v>1995/96</v>
          </cell>
          <cell r="H3" t="str">
            <v>1996/97</v>
          </cell>
          <cell r="I3" t="str">
            <v>1997/98</v>
          </cell>
          <cell r="J3" t="str">
            <v>1998/99</v>
          </cell>
          <cell r="K3" t="str">
            <v>1999/00</v>
          </cell>
          <cell r="L3" t="str">
            <v>2000/01</v>
          </cell>
          <cell r="M3" t="str">
            <v>2001/02</v>
          </cell>
          <cell r="N3" t="str">
            <v>2002/03</v>
          </cell>
          <cell r="O3" t="str">
            <v>2003/04</v>
          </cell>
          <cell r="P3" t="str">
            <v>2004/05</v>
          </cell>
          <cell r="Q3" t="str">
            <v>2005/06</v>
          </cell>
          <cell r="R3" t="str">
            <v>2006/07</v>
          </cell>
          <cell r="S3" t="str">
            <v>2007/08</v>
          </cell>
          <cell r="T3" t="str">
            <v>2008/09</v>
          </cell>
          <cell r="U3" t="str">
            <v>2009/10</v>
          </cell>
          <cell r="V3" t="str">
            <v>2010/11</v>
          </cell>
          <cell r="W3" t="str">
            <v>2011/12</v>
          </cell>
          <cell r="X3" t="str">
            <v>2012/13</v>
          </cell>
          <cell r="Y3" t="str">
            <v>2013/14</v>
          </cell>
          <cell r="Z3" t="str">
            <v>2014/15</v>
          </cell>
          <cell r="AA3" t="str">
            <v>2015/16</v>
          </cell>
          <cell r="AB3" t="str">
            <v>2016/17</v>
          </cell>
          <cell r="AC3" t="str">
            <v>2017/18</v>
          </cell>
          <cell r="AD3" t="str">
            <v>2018/19</v>
          </cell>
          <cell r="AE3" t="str">
            <v>2019/20</v>
          </cell>
          <cell r="AF3" t="str">
            <v>2020/21</v>
          </cell>
          <cell r="AG3" t="str">
            <v>2021/22</v>
          </cell>
          <cell r="AH3" t="str">
            <v>2022/23</v>
          </cell>
          <cell r="AI3" t="str">
            <v>2023/24</v>
          </cell>
          <cell r="AJ3" t="str">
            <v>2024/25</v>
          </cell>
          <cell r="AK3" t="str">
            <v>2025/26</v>
          </cell>
          <cell r="AL3" t="str">
            <v>2026/27</v>
          </cell>
          <cell r="AM3" t="str">
            <v>2027/28</v>
          </cell>
          <cell r="AN3" t="str">
            <v>2028/29</v>
          </cell>
          <cell r="AO3" t="str">
            <v>2029/30</v>
          </cell>
          <cell r="AP3" t="str">
            <v>2030/31</v>
          </cell>
          <cell r="AQ3" t="str">
            <v>2031/32</v>
          </cell>
          <cell r="AR3" t="str">
            <v>2032/33</v>
          </cell>
          <cell r="AS3" t="str">
            <v>2033/34</v>
          </cell>
          <cell r="AT3" t="str">
            <v>2034/35</v>
          </cell>
          <cell r="AU3" t="str">
            <v>2035/36</v>
          </cell>
          <cell r="AV3" t="str">
            <v>2036/37</v>
          </cell>
          <cell r="AW3" t="str">
            <v>2037/38</v>
          </cell>
          <cell r="AX3" t="str">
            <v>2038/39</v>
          </cell>
          <cell r="AY3" t="str">
            <v>2039/40</v>
          </cell>
          <cell r="AZ3" t="str">
            <v>2040/41</v>
          </cell>
          <cell r="BA3" t="str">
            <v>2041/42</v>
          </cell>
          <cell r="BB3" t="str">
            <v>2042/43</v>
          </cell>
          <cell r="BC3" t="str">
            <v>2043/44</v>
          </cell>
          <cell r="BD3" t="str">
            <v>2044/45</v>
          </cell>
          <cell r="BE3" t="str">
            <v>2045/46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Crush"/>
    </sheetNames>
    <sheetDataSet>
      <sheetData sheetId="0">
        <row r="5">
          <cell r="D5">
            <v>172.04583487139999</v>
          </cell>
        </row>
        <row r="6">
          <cell r="D6">
            <v>167.15087590109999</v>
          </cell>
        </row>
        <row r="7">
          <cell r="D7">
            <v>171.70040734770001</v>
          </cell>
        </row>
        <row r="8">
          <cell r="D8">
            <v>159.36991975800001</v>
          </cell>
        </row>
        <row r="9">
          <cell r="D9">
            <v>148.3304955552</v>
          </cell>
        </row>
        <row r="10">
          <cell r="D10">
            <v>187.54021223699999</v>
          </cell>
        </row>
        <row r="11">
          <cell r="D11">
            <v>182.74604123579996</v>
          </cell>
        </row>
        <row r="12">
          <cell r="D12">
            <v>184.13458565879998</v>
          </cell>
        </row>
        <row r="13">
          <cell r="D13">
            <v>176.8857885228</v>
          </cell>
        </row>
        <row r="14">
          <cell r="D14">
            <v>170.44164167309998</v>
          </cell>
        </row>
        <row r="15">
          <cell r="D15">
            <v>183.4108082562</v>
          </cell>
        </row>
        <row r="16">
          <cell r="D16">
            <v>174.35216343299999</v>
          </cell>
        </row>
        <row r="17">
          <cell r="D17">
            <v>177.31896000209997</v>
          </cell>
        </row>
        <row r="18">
          <cell r="D18">
            <v>169.89375636239998</v>
          </cell>
        </row>
        <row r="19">
          <cell r="D19">
            <v>169.15120292909995</v>
          </cell>
        </row>
        <row r="20">
          <cell r="D20">
            <v>155.01391737929995</v>
          </cell>
        </row>
        <row r="21">
          <cell r="D21">
            <v>152.41316154959998</v>
          </cell>
        </row>
        <row r="22">
          <cell r="D22">
            <v>193.87500983549998</v>
          </cell>
        </row>
        <row r="23">
          <cell r="D23">
            <v>188.20262766059997</v>
          </cell>
        </row>
        <row r="24">
          <cell r="D24">
            <v>186.34541734409999</v>
          </cell>
        </row>
        <row r="25">
          <cell r="D25">
            <v>188.85181535219996</v>
          </cell>
        </row>
        <row r="26">
          <cell r="D26">
            <v>166.9022312832</v>
          </cell>
        </row>
        <row r="27">
          <cell r="D27">
            <v>177.2134320957</v>
          </cell>
        </row>
        <row r="28">
          <cell r="D28">
            <v>165.69435563309997</v>
          </cell>
        </row>
        <row r="29">
          <cell r="D29">
            <v>174.14261411189997</v>
          </cell>
        </row>
        <row r="30">
          <cell r="D30">
            <v>163.3942000131</v>
          </cell>
        </row>
        <row r="31">
          <cell r="D31">
            <v>171.54457731600002</v>
          </cell>
        </row>
        <row r="32">
          <cell r="D32">
            <v>167.13209987039997</v>
          </cell>
        </row>
        <row r="33">
          <cell r="D33">
            <v>160.2468816459</v>
          </cell>
        </row>
        <row r="34">
          <cell r="D34">
            <v>193.91109214889997</v>
          </cell>
        </row>
        <row r="35">
          <cell r="D35">
            <v>191.0842155894</v>
          </cell>
        </row>
        <row r="36">
          <cell r="D36">
            <v>194.38207289549999</v>
          </cell>
        </row>
        <row r="37">
          <cell r="D37">
            <v>192.5306313399</v>
          </cell>
        </row>
        <row r="38">
          <cell r="D38">
            <v>181.83619373639999</v>
          </cell>
        </row>
        <row r="39">
          <cell r="D39">
            <v>200.81313898799996</v>
          </cell>
        </row>
        <row r="40">
          <cell r="D40">
            <v>189.19871262389998</v>
          </cell>
        </row>
        <row r="41">
          <cell r="D41">
            <v>190.11337354799997</v>
          </cell>
        </row>
        <row r="42">
          <cell r="D42">
            <v>186.91303402169999</v>
          </cell>
        </row>
        <row r="43">
          <cell r="D43">
            <v>197.16037428359999</v>
          </cell>
        </row>
        <row r="44">
          <cell r="D44">
            <v>186.98442703079999</v>
          </cell>
        </row>
        <row r="45">
          <cell r="D45">
            <v>187.00632627599998</v>
          </cell>
        </row>
        <row r="46">
          <cell r="D46">
            <v>202.33848020609997</v>
          </cell>
        </row>
        <row r="47">
          <cell r="D47">
            <v>196.32353651610001</v>
          </cell>
        </row>
        <row r="48">
          <cell r="D48">
            <v>202.57779192419997</v>
          </cell>
        </row>
        <row r="49">
          <cell r="D49">
            <v>201.8010668499</v>
          </cell>
        </row>
        <row r="50">
          <cell r="D50">
            <v>179.43543386580001</v>
          </cell>
        </row>
        <row r="51">
          <cell r="D51">
            <v>197.79163104959997</v>
          </cell>
        </row>
        <row r="52">
          <cell r="D52">
            <v>189.0978879111</v>
          </cell>
        </row>
        <row r="53">
          <cell r="D53">
            <v>182.36894064269998</v>
          </cell>
        </row>
        <row r="54">
          <cell r="D54">
            <v>173.76599118689998</v>
          </cell>
        </row>
        <row r="55">
          <cell r="D55">
            <v>197.82425945519998</v>
          </cell>
        </row>
        <row r="56">
          <cell r="D56">
            <v>195.692536956</v>
          </cell>
        </row>
        <row r="57">
          <cell r="D57">
            <v>178.94306828579997</v>
          </cell>
        </row>
        <row r="58">
          <cell r="D58">
            <v>206.33850961919998</v>
          </cell>
        </row>
        <row r="59">
          <cell r="D59">
            <v>192.5168524524</v>
          </cell>
        </row>
        <row r="60">
          <cell r="D60">
            <v>203.6436531738</v>
          </cell>
        </row>
        <row r="61">
          <cell r="D61">
            <v>208.0943808111</v>
          </cell>
        </row>
        <row r="62">
          <cell r="D62">
            <v>193.2269244549</v>
          </cell>
        </row>
        <row r="63">
          <cell r="D63">
            <v>211.82254358789999</v>
          </cell>
        </row>
        <row r="64">
          <cell r="D64">
            <v>202.15740725249998</v>
          </cell>
        </row>
        <row r="65">
          <cell r="D65">
            <v>197.92118933579997</v>
          </cell>
        </row>
        <row r="66">
          <cell r="D66">
            <v>195.4183922103</v>
          </cell>
        </row>
        <row r="67">
          <cell r="D67">
            <v>203.38358126519998</v>
          </cell>
        </row>
        <row r="68">
          <cell r="D68">
            <v>192.54543905099996</v>
          </cell>
        </row>
        <row r="69">
          <cell r="D69">
            <v>188.55635926049996</v>
          </cell>
        </row>
        <row r="70">
          <cell r="D70">
            <v>216.68050165229997</v>
          </cell>
        </row>
        <row r="71">
          <cell r="D71">
            <v>210.58575064589999</v>
          </cell>
        </row>
        <row r="72">
          <cell r="D72">
            <v>212.90155908209999</v>
          </cell>
        </row>
        <row r="73">
          <cell r="D73">
            <v>216.61733923199998</v>
          </cell>
        </row>
        <row r="74">
          <cell r="D74">
            <v>181.16477610629997</v>
          </cell>
        </row>
        <row r="75">
          <cell r="D75">
            <v>207.48167961359999</v>
          </cell>
        </row>
        <row r="76">
          <cell r="D76">
            <v>187.2323367747</v>
          </cell>
        </row>
        <row r="77">
          <cell r="D77">
            <v>191.25213429839999</v>
          </cell>
        </row>
        <row r="78">
          <cell r="D78">
            <v>178.29270479579998</v>
          </cell>
        </row>
        <row r="79">
          <cell r="D79">
            <v>183.35091602519998</v>
          </cell>
        </row>
        <row r="80">
          <cell r="D80">
            <v>185.47396701119996</v>
          </cell>
        </row>
        <row r="81">
          <cell r="D81">
            <v>180.94706968379995</v>
          </cell>
        </row>
        <row r="82">
          <cell r="D82">
            <v>217.0875483609</v>
          </cell>
        </row>
        <row r="83">
          <cell r="D83">
            <v>210.09838220910001</v>
          </cell>
        </row>
        <row r="84">
          <cell r="D84">
            <v>218.52294100139997</v>
          </cell>
        </row>
        <row r="85">
          <cell r="D85">
            <v>214.17807196379999</v>
          </cell>
        </row>
        <row r="86">
          <cell r="D86">
            <v>192.25968329610001</v>
          </cell>
        </row>
        <row r="87">
          <cell r="D87">
            <v>212.60489044829995</v>
          </cell>
        </row>
        <row r="88">
          <cell r="D88">
            <v>199.3974777144</v>
          </cell>
        </row>
        <row r="89">
          <cell r="D89">
            <v>199.41393889199998</v>
          </cell>
        </row>
        <row r="90">
          <cell r="D90">
            <v>191.8907398044</v>
          </cell>
        </row>
        <row r="91">
          <cell r="D91">
            <v>199.95113178599999</v>
          </cell>
        </row>
        <row r="92">
          <cell r="D92">
            <v>193.00065675029998</v>
          </cell>
        </row>
        <row r="93">
          <cell r="D93">
            <v>184.75786904189999</v>
          </cell>
        </row>
        <row r="94">
          <cell r="D94">
            <v>216.7765864278</v>
          </cell>
        </row>
        <row r="95">
          <cell r="D95">
            <v>208.96502278259999</v>
          </cell>
        </row>
        <row r="96">
          <cell r="D96">
            <v>206.59369461569997</v>
          </cell>
        </row>
        <row r="97">
          <cell r="D97">
            <v>210.7029997926</v>
          </cell>
        </row>
        <row r="98">
          <cell r="D98">
            <v>194.99863218149997</v>
          </cell>
        </row>
        <row r="99">
          <cell r="D99">
            <v>218.22127522439999</v>
          </cell>
        </row>
        <row r="100">
          <cell r="D100">
            <v>206.11771672589998</v>
          </cell>
        </row>
        <row r="101">
          <cell r="D101">
            <v>208.67099969519998</v>
          </cell>
        </row>
        <row r="102">
          <cell r="D102">
            <v>192.40897294919995</v>
          </cell>
        </row>
        <row r="103">
          <cell r="D103">
            <v>203.74385324369999</v>
          </cell>
        </row>
        <row r="104">
          <cell r="D104">
            <v>186.28578231899999</v>
          </cell>
        </row>
        <row r="105">
          <cell r="D105">
            <v>192.64468378469996</v>
          </cell>
        </row>
        <row r="106">
          <cell r="D106">
            <v>221.99386113450001</v>
          </cell>
        </row>
        <row r="107">
          <cell r="D107">
            <v>220.56170193959997</v>
          </cell>
        </row>
        <row r="108">
          <cell r="D108">
            <v>225.18589658459999</v>
          </cell>
        </row>
        <row r="109">
          <cell r="D109">
            <v>214.15661364299999</v>
          </cell>
        </row>
        <row r="110">
          <cell r="D110">
            <v>213.23298725609996</v>
          </cell>
        </row>
        <row r="111">
          <cell r="D111">
            <v>224.35908984719998</v>
          </cell>
        </row>
        <row r="112">
          <cell r="D112">
            <v>195.73648242120001</v>
          </cell>
        </row>
        <row r="113">
          <cell r="D113">
            <v>211.23141094229999</v>
          </cell>
        </row>
        <row r="114">
          <cell r="D114">
            <v>202.26587465489999</v>
          </cell>
        </row>
        <row r="115">
          <cell r="D115">
            <v>213.04857062580001</v>
          </cell>
        </row>
        <row r="116">
          <cell r="D116">
            <v>184.69764611759999</v>
          </cell>
        </row>
        <row r="117">
          <cell r="D117">
            <v>205.5844921515</v>
          </cell>
        </row>
        <row r="118">
          <cell r="D118">
            <v>237.86048892479999</v>
          </cell>
        </row>
        <row r="119">
          <cell r="D119">
            <v>231.53032103249998</v>
          </cell>
        </row>
        <row r="120">
          <cell r="D120">
            <v>239.97468467909997</v>
          </cell>
        </row>
        <row r="121">
          <cell r="D121">
            <v>234.3011634495</v>
          </cell>
        </row>
        <row r="122">
          <cell r="D122">
            <v>208.97259198479998</v>
          </cell>
        </row>
        <row r="123">
          <cell r="D123">
            <v>227.90801685539998</v>
          </cell>
        </row>
        <row r="124">
          <cell r="D124">
            <v>223.09084429799998</v>
          </cell>
        </row>
        <row r="125">
          <cell r="D125">
            <v>224.54497622549997</v>
          </cell>
        </row>
        <row r="126">
          <cell r="D126">
            <v>217.07233646910001</v>
          </cell>
        </row>
        <row r="127">
          <cell r="D127">
            <v>225.70710596909998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3456-4D74-4316-B9AE-92627433EEFB}">
  <dimension ref="A1:BE117"/>
  <sheetViews>
    <sheetView tabSelected="1" zoomScale="85" zoomScaleNormal="85" workbookViewId="0">
      <pane xSplit="1" ySplit="3" topLeftCell="W48" activePane="bottomRight" state="frozen"/>
      <selection activeCell="Y28" sqref="Y28"/>
      <selection pane="topRight" activeCell="Y28" sqref="Y28"/>
      <selection pane="bottomLeft" activeCell="Y28" sqref="Y28"/>
      <selection pane="bottomRight" activeCell="AA69" sqref="Z69:AA69"/>
    </sheetView>
  </sheetViews>
  <sheetFormatPr defaultRowHeight="15" x14ac:dyDescent="0.25"/>
  <cols>
    <col min="1" max="1" width="42.85546875" style="2" customWidth="1"/>
    <col min="2" max="7" width="0" style="2" hidden="1" customWidth="1"/>
    <col min="8" max="57" width="10.85546875" style="3" customWidth="1"/>
    <col min="58" max="16384" width="9.140625" style="2"/>
  </cols>
  <sheetData>
    <row r="1" spans="1:57" ht="21" x14ac:dyDescent="0.35">
      <c r="A1" s="1" t="s">
        <v>0</v>
      </c>
    </row>
    <row r="2" spans="1:57" ht="15.75" x14ac:dyDescent="0.25">
      <c r="A2" s="4" t="s">
        <v>1</v>
      </c>
    </row>
    <row r="3" spans="1:57" x14ac:dyDescent="0.2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  <c r="AS3" s="6" t="s">
        <v>45</v>
      </c>
      <c r="AT3" s="6" t="s">
        <v>46</v>
      </c>
      <c r="AU3" s="6" t="s">
        <v>47</v>
      </c>
      <c r="AV3" s="6" t="s">
        <v>48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56</v>
      </c>
      <c r="BE3" s="6" t="s">
        <v>57</v>
      </c>
    </row>
    <row r="4" spans="1:57" x14ac:dyDescent="0.25">
      <c r="A4" s="30" t="s">
        <v>58</v>
      </c>
      <c r="B4" s="30"/>
      <c r="C4" s="30"/>
      <c r="D4" s="30"/>
      <c r="E4" s="30"/>
      <c r="F4" s="30"/>
      <c r="G4" s="3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</row>
    <row r="5" spans="1:57" x14ac:dyDescent="0.25">
      <c r="A5" s="30" t="s">
        <v>59</v>
      </c>
      <c r="B5" s="30"/>
      <c r="C5" s="30"/>
      <c r="D5" s="30"/>
      <c r="E5" s="30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</row>
    <row r="6" spans="1:57" x14ac:dyDescent="0.25">
      <c r="A6" s="30" t="s">
        <v>60</v>
      </c>
      <c r="B6" s="30"/>
      <c r="C6" s="30"/>
      <c r="D6" s="30"/>
      <c r="E6" s="30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</row>
    <row r="7" spans="1:57" ht="15.75" thickBot="1" x14ac:dyDescent="0.3">
      <c r="A7" s="31" t="s">
        <v>61</v>
      </c>
      <c r="B7" s="31"/>
      <c r="C7" s="31"/>
      <c r="D7" s="31"/>
      <c r="E7" s="31"/>
      <c r="F7" s="31"/>
      <c r="G7" s="31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</row>
    <row r="8" spans="1:57" x14ac:dyDescent="0.25">
      <c r="A8" s="30" t="s">
        <v>62</v>
      </c>
      <c r="B8" s="30"/>
      <c r="C8" s="30"/>
      <c r="D8" s="30"/>
      <c r="E8" s="30"/>
      <c r="F8" s="30"/>
      <c r="G8" s="30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</row>
    <row r="9" spans="1:57" x14ac:dyDescent="0.25">
      <c r="A9" s="30" t="s">
        <v>63</v>
      </c>
      <c r="B9" s="30"/>
      <c r="C9" s="30"/>
      <c r="D9" s="30"/>
      <c r="E9" s="30"/>
      <c r="F9" s="30"/>
      <c r="G9" s="30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</row>
    <row r="10" spans="1:57" x14ac:dyDescent="0.25">
      <c r="A10" s="30" t="s">
        <v>64</v>
      </c>
      <c r="B10" s="30"/>
      <c r="C10" s="30"/>
      <c r="D10" s="30"/>
      <c r="E10" s="30"/>
      <c r="F10" s="30"/>
      <c r="G10" s="30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>
        <f t="shared" ref="Y10:AI10" si="0">Y37</f>
        <v>65.153008897584016</v>
      </c>
      <c r="Z10" s="37">
        <f t="shared" si="0"/>
        <v>34.033566677735998</v>
      </c>
      <c r="AA10" s="37">
        <f t="shared" si="0"/>
        <v>24.411456110088007</v>
      </c>
      <c r="AB10" s="37">
        <f t="shared" si="0"/>
        <v>23.149960697904003</v>
      </c>
      <c r="AC10" s="37">
        <f t="shared" si="0"/>
        <v>22.917839700648003</v>
      </c>
      <c r="AD10" s="37">
        <f t="shared" si="0"/>
        <v>15.255234917447998</v>
      </c>
      <c r="AE10" s="37">
        <f t="shared" si="0"/>
        <v>16.626638431272003</v>
      </c>
      <c r="AF10" s="37">
        <f t="shared" si="0"/>
        <v>20.864527513031998</v>
      </c>
      <c r="AG10" s="37">
        <f t="shared" si="0"/>
        <v>16.508666711856002</v>
      </c>
      <c r="AH10" s="37">
        <f t="shared" si="0"/>
        <v>24.912396909480005</v>
      </c>
      <c r="AI10" s="37">
        <f t="shared" si="0"/>
        <v>21.329628582264</v>
      </c>
      <c r="AJ10" s="37">
        <f>AJ37</f>
        <v>29.367067838256006</v>
      </c>
      <c r="AK10" s="39">
        <v>25</v>
      </c>
      <c r="AL10" s="39">
        <v>25</v>
      </c>
      <c r="AM10" s="39">
        <v>25</v>
      </c>
      <c r="AN10" s="39">
        <v>25</v>
      </c>
      <c r="AO10" s="39">
        <v>25</v>
      </c>
      <c r="AP10" s="39">
        <v>30</v>
      </c>
      <c r="AQ10" s="39">
        <v>30</v>
      </c>
      <c r="AR10" s="39">
        <v>30</v>
      </c>
      <c r="AS10" s="39">
        <v>30</v>
      </c>
      <c r="AT10" s="39">
        <v>30</v>
      </c>
      <c r="AU10" s="39">
        <v>30</v>
      </c>
      <c r="AV10" s="39">
        <v>30</v>
      </c>
      <c r="AW10" s="39">
        <v>30</v>
      </c>
      <c r="AX10" s="39">
        <v>30</v>
      </c>
      <c r="AY10" s="39">
        <v>30</v>
      </c>
      <c r="AZ10" s="39">
        <v>30</v>
      </c>
      <c r="BA10" s="39">
        <v>30</v>
      </c>
      <c r="BB10" s="39">
        <v>30</v>
      </c>
      <c r="BC10" s="39">
        <v>30</v>
      </c>
      <c r="BD10" s="39">
        <v>30</v>
      </c>
      <c r="BE10" s="39">
        <v>30</v>
      </c>
    </row>
    <row r="11" spans="1:57" x14ac:dyDescent="0.25">
      <c r="A11" s="30" t="s">
        <v>65</v>
      </c>
      <c r="B11" s="30"/>
      <c r="C11" s="30"/>
      <c r="D11" s="30"/>
      <c r="E11" s="30"/>
      <c r="F11" s="30"/>
      <c r="G11" s="30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40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</row>
    <row r="12" spans="1:57" x14ac:dyDescent="0.25">
      <c r="A12" s="33" t="s">
        <v>66</v>
      </c>
      <c r="B12" s="33"/>
      <c r="C12" s="33"/>
      <c r="D12" s="33"/>
      <c r="E12" s="33"/>
      <c r="F12" s="33"/>
      <c r="G12" s="33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>
        <f>AA69</f>
        <v>2079.2195732447994</v>
      </c>
      <c r="AB12" s="41">
        <f t="shared" ref="AB12:AJ12" si="1">AB69</f>
        <v>2095.7115420654</v>
      </c>
      <c r="AC12" s="41">
        <f t="shared" si="1"/>
        <v>2265.1741478519998</v>
      </c>
      <c r="AD12" s="41">
        <f t="shared" si="1"/>
        <v>2306.0238828396</v>
      </c>
      <c r="AE12" s="41">
        <f t="shared" si="1"/>
        <v>2386.0119414998999</v>
      </c>
      <c r="AF12" s="41">
        <f t="shared" si="1"/>
        <v>2359.5900244979998</v>
      </c>
      <c r="AG12" s="41">
        <f t="shared" si="1"/>
        <v>2429.3525319105006</v>
      </c>
      <c r="AH12" s="41">
        <f t="shared" si="1"/>
        <v>2438.2434049994999</v>
      </c>
      <c r="AI12" s="41">
        <f t="shared" si="1"/>
        <v>2519.1148189514997</v>
      </c>
      <c r="AJ12" s="41">
        <f t="shared" si="1"/>
        <v>2476.5470220392999</v>
      </c>
      <c r="AK12" s="61">
        <v>2500</v>
      </c>
      <c r="AL12" s="61">
        <v>2500</v>
      </c>
      <c r="AM12" s="61">
        <v>2500</v>
      </c>
      <c r="AN12" s="61">
        <v>2500</v>
      </c>
      <c r="AO12" s="61">
        <v>2500</v>
      </c>
      <c r="AP12" s="61">
        <v>2500</v>
      </c>
      <c r="AQ12" s="61">
        <v>2500</v>
      </c>
      <c r="AR12" s="61">
        <v>2500</v>
      </c>
      <c r="AS12" s="61">
        <v>2500</v>
      </c>
      <c r="AT12" s="61">
        <v>2500</v>
      </c>
      <c r="AU12" s="61">
        <v>2500</v>
      </c>
      <c r="AV12" s="61">
        <v>2500</v>
      </c>
      <c r="AW12" s="61">
        <v>2500</v>
      </c>
      <c r="AX12" s="61">
        <v>2500</v>
      </c>
      <c r="AY12" s="61">
        <v>2500</v>
      </c>
      <c r="AZ12" s="61">
        <v>2500</v>
      </c>
      <c r="BA12" s="61">
        <v>2500</v>
      </c>
      <c r="BB12" s="61">
        <v>2500</v>
      </c>
      <c r="BC12" s="61">
        <v>2500</v>
      </c>
      <c r="BD12" s="61">
        <v>2500</v>
      </c>
      <c r="BE12" s="61">
        <v>2500</v>
      </c>
    </row>
    <row r="13" spans="1:57" x14ac:dyDescent="0.25">
      <c r="A13" s="30" t="s">
        <v>67</v>
      </c>
      <c r="B13" s="30"/>
      <c r="C13" s="30"/>
      <c r="D13" s="30"/>
      <c r="E13" s="30"/>
      <c r="F13" s="30"/>
      <c r="G13" s="30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40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</row>
    <row r="14" spans="1:57" x14ac:dyDescent="0.25">
      <c r="A14" s="30" t="s">
        <v>68</v>
      </c>
      <c r="B14" s="30"/>
      <c r="C14" s="30"/>
      <c r="D14" s="30"/>
      <c r="E14" s="30"/>
      <c r="F14" s="30"/>
      <c r="G14" s="30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40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</row>
    <row r="15" spans="1:57" x14ac:dyDescent="0.25">
      <c r="A15" s="30" t="s">
        <v>69</v>
      </c>
      <c r="B15" s="30"/>
      <c r="C15" s="30"/>
      <c r="D15" s="30"/>
      <c r="E15" s="30"/>
      <c r="F15" s="30"/>
      <c r="G15" s="30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>
        <f t="shared" ref="Y15:AI15" si="2">Y53</f>
        <v>961.13441340063423</v>
      </c>
      <c r="Z15" s="37">
        <f t="shared" si="2"/>
        <v>1844.150359688108</v>
      </c>
      <c r="AA15" s="37">
        <f t="shared" si="2"/>
        <v>1944.5525986798571</v>
      </c>
      <c r="AB15" s="37">
        <f t="shared" si="2"/>
        <v>2170.6365734627975</v>
      </c>
      <c r="AC15" s="37">
        <f t="shared" si="2"/>
        <v>2139.6030447327062</v>
      </c>
      <c r="AD15" s="37">
        <f t="shared" si="2"/>
        <v>1759.1817070065692</v>
      </c>
      <c r="AE15" s="37">
        <f t="shared" si="2"/>
        <v>1685.3891757107604</v>
      </c>
      <c r="AF15" s="37">
        <f t="shared" si="2"/>
        <v>2270.0046226208797</v>
      </c>
      <c r="AG15" s="37">
        <f t="shared" si="2"/>
        <v>2157.2589710755187</v>
      </c>
      <c r="AH15" s="37">
        <f t="shared" si="2"/>
        <v>1981.4188809174061</v>
      </c>
      <c r="AI15" s="37">
        <f t="shared" si="2"/>
        <v>1703.2874947676617</v>
      </c>
      <c r="AJ15" s="37">
        <f>AJ53</f>
        <v>1881.9372374717186</v>
      </c>
      <c r="AK15" s="39">
        <v>1500</v>
      </c>
      <c r="AL15" s="39">
        <v>1500</v>
      </c>
      <c r="AM15" s="39">
        <v>1500</v>
      </c>
      <c r="AN15" s="39">
        <v>1500</v>
      </c>
      <c r="AO15" s="39">
        <v>1500</v>
      </c>
      <c r="AP15" s="39">
        <v>1500</v>
      </c>
      <c r="AQ15" s="39">
        <v>1500</v>
      </c>
      <c r="AR15" s="39">
        <v>1500</v>
      </c>
      <c r="AS15" s="39">
        <v>1500</v>
      </c>
      <c r="AT15" s="39">
        <v>1500</v>
      </c>
      <c r="AU15" s="39">
        <v>1500</v>
      </c>
      <c r="AV15" s="39">
        <v>1500</v>
      </c>
      <c r="AW15" s="39">
        <v>1500</v>
      </c>
      <c r="AX15" s="39">
        <v>1500</v>
      </c>
      <c r="AY15" s="39">
        <v>1500</v>
      </c>
      <c r="AZ15" s="39">
        <v>1500</v>
      </c>
      <c r="BA15" s="39">
        <v>1500</v>
      </c>
      <c r="BB15" s="39">
        <v>1500</v>
      </c>
      <c r="BC15" s="39">
        <v>1500</v>
      </c>
      <c r="BD15" s="39">
        <v>1500</v>
      </c>
      <c r="BE15" s="39">
        <v>1500</v>
      </c>
    </row>
    <row r="16" spans="1:57" x14ac:dyDescent="0.25">
      <c r="A16" s="30" t="s">
        <v>70</v>
      </c>
      <c r="B16" s="30"/>
      <c r="C16" s="30"/>
      <c r="D16" s="30"/>
      <c r="E16" s="30"/>
      <c r="F16" s="30"/>
      <c r="G16" s="30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40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</row>
    <row r="17" spans="1:57" x14ac:dyDescent="0.25">
      <c r="A17" s="33" t="s">
        <v>71</v>
      </c>
      <c r="B17" s="33"/>
      <c r="C17" s="33"/>
      <c r="D17" s="33"/>
      <c r="E17" s="33"/>
      <c r="F17" s="33"/>
      <c r="G17" s="33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2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 x14ac:dyDescent="0.25">
      <c r="A18" s="30" t="s">
        <v>72</v>
      </c>
      <c r="B18" s="30"/>
      <c r="C18" s="30"/>
      <c r="D18" s="30"/>
      <c r="E18" s="30"/>
      <c r="F18" s="30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3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</row>
    <row r="19" spans="1:57" x14ac:dyDescent="0.25">
      <c r="A19" s="33" t="s">
        <v>73</v>
      </c>
      <c r="B19" s="33"/>
      <c r="C19" s="33"/>
      <c r="D19" s="33"/>
      <c r="E19" s="33"/>
      <c r="F19" s="33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24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</row>
    <row r="20" spans="1:57" ht="15.75" thickBot="1" x14ac:dyDescent="0.3">
      <c r="A20" s="30" t="s">
        <v>74</v>
      </c>
      <c r="B20" s="30"/>
      <c r="C20" s="30"/>
      <c r="D20" s="30"/>
      <c r="E20" s="30"/>
      <c r="F20" s="30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3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57" ht="15.75" thickTop="1" x14ac:dyDescent="0.25">
      <c r="A21" s="36" t="s">
        <v>75</v>
      </c>
      <c r="B21" s="53"/>
      <c r="C21" s="53"/>
      <c r="D21" s="53"/>
      <c r="E21" s="53"/>
      <c r="F21" s="53"/>
      <c r="G21" s="53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</row>
    <row r="22" spans="1:57" x14ac:dyDescent="0.25">
      <c r="A22" s="30"/>
      <c r="B22" s="30"/>
      <c r="C22" s="30"/>
      <c r="D22" s="30"/>
      <c r="E22" s="30"/>
      <c r="F22" s="30"/>
      <c r="G22" s="30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 ht="15.75" thickBot="1" x14ac:dyDescent="0.3">
      <c r="A23" s="55" t="s">
        <v>76</v>
      </c>
      <c r="B23" s="30"/>
      <c r="C23" s="30"/>
      <c r="D23" s="30"/>
      <c r="E23" s="30"/>
      <c r="F23" s="30"/>
      <c r="G23" s="30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 ht="15.75" thickBot="1" x14ac:dyDescent="0.3">
      <c r="A24" s="56" t="s">
        <v>77</v>
      </c>
      <c r="B24" s="57" t="str">
        <f>B3</f>
        <v>1990/91</v>
      </c>
      <c r="C24" s="57"/>
      <c r="D24" s="57"/>
      <c r="E24" s="57"/>
      <c r="F24" s="57"/>
      <c r="G24" s="57"/>
      <c r="H24" s="58" t="str">
        <f>H3</f>
        <v>1996/97</v>
      </c>
      <c r="I24" s="58" t="str">
        <f t="shared" ref="I24:BE24" si="3">I3</f>
        <v>1997/98</v>
      </c>
      <c r="J24" s="58" t="str">
        <f t="shared" si="3"/>
        <v>1998/99</v>
      </c>
      <c r="K24" s="58" t="str">
        <f t="shared" si="3"/>
        <v>1999/00</v>
      </c>
      <c r="L24" s="58" t="str">
        <f t="shared" si="3"/>
        <v>2000/01</v>
      </c>
      <c r="M24" s="58" t="str">
        <f t="shared" si="3"/>
        <v>2001/02</v>
      </c>
      <c r="N24" s="58" t="str">
        <f t="shared" si="3"/>
        <v>2002/03</v>
      </c>
      <c r="O24" s="58" t="str">
        <f t="shared" si="3"/>
        <v>2003/04</v>
      </c>
      <c r="P24" s="58" t="str">
        <f t="shared" si="3"/>
        <v>2004/05</v>
      </c>
      <c r="Q24" s="58" t="str">
        <f t="shared" si="3"/>
        <v>2005/06</v>
      </c>
      <c r="R24" s="58" t="str">
        <f t="shared" si="3"/>
        <v>2006/07</v>
      </c>
      <c r="S24" s="58" t="str">
        <f t="shared" si="3"/>
        <v>2007/08</v>
      </c>
      <c r="T24" s="58" t="str">
        <f t="shared" si="3"/>
        <v>2008/09</v>
      </c>
      <c r="U24" s="58" t="str">
        <f t="shared" si="3"/>
        <v>2009/10</v>
      </c>
      <c r="V24" s="58" t="str">
        <f t="shared" si="3"/>
        <v>2010/11</v>
      </c>
      <c r="W24" s="58" t="str">
        <f t="shared" si="3"/>
        <v>2011/12</v>
      </c>
      <c r="X24" s="58" t="str">
        <f t="shared" si="3"/>
        <v>2012/13</v>
      </c>
      <c r="Y24" s="58" t="str">
        <f t="shared" si="3"/>
        <v>2013/14</v>
      </c>
      <c r="Z24" s="58" t="str">
        <f t="shared" si="3"/>
        <v>2014/15</v>
      </c>
      <c r="AA24" s="58" t="str">
        <f t="shared" si="3"/>
        <v>2015/16</v>
      </c>
      <c r="AB24" s="58" t="str">
        <f t="shared" si="3"/>
        <v>2016/17</v>
      </c>
      <c r="AC24" s="58" t="str">
        <f t="shared" si="3"/>
        <v>2017/18</v>
      </c>
      <c r="AD24" s="58" t="str">
        <f t="shared" si="3"/>
        <v>2018/19</v>
      </c>
      <c r="AE24" s="58" t="str">
        <f t="shared" si="3"/>
        <v>2019/20</v>
      </c>
      <c r="AF24" s="58" t="str">
        <f t="shared" si="3"/>
        <v>2020/21</v>
      </c>
      <c r="AG24" s="58" t="str">
        <f t="shared" si="3"/>
        <v>2021/22</v>
      </c>
      <c r="AH24" s="58" t="str">
        <f t="shared" si="3"/>
        <v>2022/23</v>
      </c>
      <c r="AI24" s="58" t="str">
        <f t="shared" si="3"/>
        <v>2023/24</v>
      </c>
      <c r="AJ24" s="58" t="str">
        <f t="shared" si="3"/>
        <v>2024/25</v>
      </c>
      <c r="AK24" s="58" t="str">
        <f t="shared" si="3"/>
        <v>2025/26</v>
      </c>
      <c r="AL24" s="14" t="str">
        <f t="shared" si="3"/>
        <v>2026/27</v>
      </c>
      <c r="AM24" s="14" t="str">
        <f t="shared" si="3"/>
        <v>2027/28</v>
      </c>
      <c r="AN24" s="14" t="str">
        <f t="shared" si="3"/>
        <v>2028/29</v>
      </c>
      <c r="AO24" s="14" t="str">
        <f t="shared" si="3"/>
        <v>2029/30</v>
      </c>
      <c r="AP24" s="14" t="str">
        <f t="shared" si="3"/>
        <v>2030/31</v>
      </c>
      <c r="AQ24" s="14" t="str">
        <f t="shared" si="3"/>
        <v>2031/32</v>
      </c>
      <c r="AR24" s="14" t="str">
        <f t="shared" si="3"/>
        <v>2032/33</v>
      </c>
      <c r="AS24" s="14" t="str">
        <f t="shared" si="3"/>
        <v>2033/34</v>
      </c>
      <c r="AT24" s="14" t="str">
        <f t="shared" si="3"/>
        <v>2034/35</v>
      </c>
      <c r="AU24" s="14" t="str">
        <f t="shared" si="3"/>
        <v>2035/36</v>
      </c>
      <c r="AV24" s="14" t="str">
        <f t="shared" si="3"/>
        <v>2036/37</v>
      </c>
      <c r="AW24" s="14" t="str">
        <f t="shared" si="3"/>
        <v>2037/38</v>
      </c>
      <c r="AX24" s="14" t="str">
        <f t="shared" si="3"/>
        <v>2038/39</v>
      </c>
      <c r="AY24" s="14" t="str">
        <f t="shared" si="3"/>
        <v>2039/40</v>
      </c>
      <c r="AZ24" s="14" t="str">
        <f t="shared" si="3"/>
        <v>2040/41</v>
      </c>
      <c r="BA24" s="14" t="str">
        <f t="shared" si="3"/>
        <v>2041/42</v>
      </c>
      <c r="BB24" s="14" t="str">
        <f t="shared" si="3"/>
        <v>2042/43</v>
      </c>
      <c r="BC24" s="14" t="str">
        <f t="shared" si="3"/>
        <v>2043/44</v>
      </c>
      <c r="BD24" s="14" t="str">
        <f t="shared" si="3"/>
        <v>2044/45</v>
      </c>
      <c r="BE24" s="14" t="str">
        <f t="shared" si="3"/>
        <v>2045/46</v>
      </c>
    </row>
    <row r="25" spans="1:57" x14ac:dyDescent="0.25">
      <c r="A25" s="30" t="s">
        <v>78</v>
      </c>
      <c r="B25" s="30"/>
      <c r="C25" s="30"/>
      <c r="D25" s="30"/>
      <c r="E25" s="30"/>
      <c r="F25" s="30"/>
      <c r="G25" s="30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>
        <f>'[1]Soybean Imports'!JW$216/1000</f>
        <v>2.8064367594240003</v>
      </c>
      <c r="AA25" s="32">
        <f>'[1]Soybean Imports'!KI$216/1000</f>
        <v>2.4652777951920002</v>
      </c>
      <c r="AB25" s="32">
        <f>'[1]Soybean Imports'!KU$216/1000</f>
        <v>2.3146787633040002</v>
      </c>
      <c r="AC25" s="32">
        <f>'[1]Soybean Imports'!LG$216/1000</f>
        <v>1.3805962012319999</v>
      </c>
      <c r="AD25" s="32">
        <f>'[1]Soybean Imports'!LS$216/1000</f>
        <v>1.0366744923840001</v>
      </c>
      <c r="AE25" s="32">
        <f>'[1]Soybean Imports'!ME$216/1000</f>
        <v>1.2339070983839999</v>
      </c>
      <c r="AF25" s="32">
        <f>'[1]Soybean Imports'!MQ$216/1000</f>
        <v>1.686788289024</v>
      </c>
      <c r="AG25" s="32">
        <f>'[1]Soybean Imports'!NC$216/1000</f>
        <v>0.97290366364800029</v>
      </c>
      <c r="AH25" s="32">
        <f>'[1]Soybean Imports'!NO$216/1000</f>
        <v>1.1944161536879996</v>
      </c>
      <c r="AI25" s="32">
        <f>'[1]Soybean Imports'!OA$216/1000</f>
        <v>1.3888410404159999</v>
      </c>
      <c r="AJ25" s="32">
        <f>'[1]Soybean Imports'!OM$216/1000</f>
        <v>3.1095229871280003</v>
      </c>
      <c r="AK25" s="32">
        <f>'[1]Soybean Imports'!OY$216/1000</f>
        <v>1.7162516858880001</v>
      </c>
      <c r="AL25" s="35">
        <f>AL$37*(SUM(AG25:AK25)/SUM(AG$37:AK$37))</f>
        <v>1.7892110316514831</v>
      </c>
      <c r="AM25" s="35">
        <f t="shared" ref="AM25:BE25" si="4">AM$37*(SUM(AH25:AL25)/SUM(AH$37:AL$37))</f>
        <v>1.8307279064991484</v>
      </c>
      <c r="AN25" s="35">
        <f t="shared" si="4"/>
        <v>1.9560089747070593</v>
      </c>
      <c r="AO25" s="35">
        <f t="shared" si="4"/>
        <v>2.0101179457199017</v>
      </c>
      <c r="AP25" s="35">
        <f t="shared" si="4"/>
        <v>2.2325562106717425</v>
      </c>
      <c r="AQ25" s="35">
        <f t="shared" si="4"/>
        <v>2.2658358621344616</v>
      </c>
      <c r="AR25" s="35">
        <f t="shared" si="4"/>
        <v>2.2878326443849586</v>
      </c>
      <c r="AS25" s="35">
        <f t="shared" si="4"/>
        <v>2.3040753509181688</v>
      </c>
      <c r="AT25" s="35">
        <f t="shared" si="4"/>
        <v>2.2966382097577718</v>
      </c>
      <c r="AU25" s="35">
        <f t="shared" si="4"/>
        <v>2.2773876555734205</v>
      </c>
      <c r="AV25" s="35">
        <f t="shared" si="4"/>
        <v>2.2863539445537562</v>
      </c>
      <c r="AW25" s="35">
        <f t="shared" si="4"/>
        <v>2.2904575610376154</v>
      </c>
      <c r="AX25" s="35">
        <f t="shared" si="4"/>
        <v>2.2909825443681462</v>
      </c>
      <c r="AY25" s="35">
        <f t="shared" si="4"/>
        <v>2.2883639830581419</v>
      </c>
      <c r="AZ25" s="35">
        <f t="shared" si="4"/>
        <v>2.286709137718216</v>
      </c>
      <c r="BA25" s="35">
        <f t="shared" si="4"/>
        <v>2.2885734341471751</v>
      </c>
      <c r="BB25" s="35">
        <f t="shared" si="4"/>
        <v>2.2890173320658587</v>
      </c>
      <c r="BC25" s="35">
        <f t="shared" si="4"/>
        <v>2.2887292862715074</v>
      </c>
      <c r="BD25" s="35">
        <f t="shared" si="4"/>
        <v>2.2882786346521797</v>
      </c>
      <c r="BE25" s="35">
        <f t="shared" si="4"/>
        <v>2.2882615649709872</v>
      </c>
    </row>
    <row r="26" spans="1:57" x14ac:dyDescent="0.25">
      <c r="A26" s="30" t="s">
        <v>79</v>
      </c>
      <c r="B26" s="30"/>
      <c r="C26" s="30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>
        <f>'[1]Soybean Imports'!JX$216/1000</f>
        <v>2.7043481116800003</v>
      </c>
      <c r="AA26" s="32">
        <f>'[1]Soybean Imports'!KJ$216/1000</f>
        <v>2.2163515620960004</v>
      </c>
      <c r="AB26" s="32">
        <f>'[1]Soybean Imports'!KV$216/1000</f>
        <v>1.7970172392720001</v>
      </c>
      <c r="AC26" s="32">
        <f>'[1]Soybean Imports'!LH$216/1000</f>
        <v>2.9125314217680001</v>
      </c>
      <c r="AD26" s="32">
        <f>'[1]Soybean Imports'!LT$216/1000</f>
        <v>0.78886884105600008</v>
      </c>
      <c r="AE26" s="32">
        <f>'[1]Soybean Imports'!MF$216/1000</f>
        <v>1.9734560114879998</v>
      </c>
      <c r="AF26" s="32">
        <f>'[1]Soybean Imports'!MR$216/1000</f>
        <v>0.92486639524799996</v>
      </c>
      <c r="AG26" s="32">
        <f>'[1]Soybean Imports'!ND$216/1000</f>
        <v>0.70969922656800011</v>
      </c>
      <c r="AH26" s="32">
        <f>'[1]Soybean Imports'!NP$216/1000</f>
        <v>1.257738999576</v>
      </c>
      <c r="AI26" s="32">
        <f>'[1]Soybean Imports'!OB$216/1000</f>
        <v>0.72268301292000003</v>
      </c>
      <c r="AJ26" s="32">
        <f>'[1]Soybean Imports'!ON$216/1000</f>
        <v>0.80593881741600004</v>
      </c>
      <c r="AK26" s="32">
        <f>'[1]Soybean Imports'!OZ$216/1000</f>
        <v>1.9407032917440004</v>
      </c>
      <c r="AL26" s="35">
        <f t="shared" ref="AL26:AL27" si="5">AL$37*(SUM(AG26:AK26)/SUM(AG$37:AK$37))</f>
        <v>1.1605334977122577</v>
      </c>
      <c r="AM26" s="35">
        <f t="shared" ref="AM26:AM35" si="6">AM$37*(SUM(AH26:AL26)/SUM(AH$37:AL$37))</f>
        <v>1.1718095926184997</v>
      </c>
      <c r="AN26" s="35">
        <f t="shared" ref="AN26:AN35" si="7">AN$37*(SUM(AI26:AM26)/SUM(AI$37:AM$37))</f>
        <v>1.153902285745283</v>
      </c>
      <c r="AO26" s="35">
        <f t="shared" ref="AO26:AO35" si="8">AO$37*(SUM(AJ26:AN26)/SUM(AJ$37:AN$37))</f>
        <v>1.2044965518250836</v>
      </c>
      <c r="AP26" s="35">
        <f t="shared" ref="AP26:AP35" si="9">AP$37*(SUM(AK26:AO26)/SUM(AK$37:AO$37))</f>
        <v>1.59154685271483</v>
      </c>
      <c r="AQ26" s="35">
        <f t="shared" ref="AQ26:AQ35" si="10">AQ$37*(SUM(AL26:AP26)/SUM(AL$37:AP$37))</f>
        <v>1.4497589493729124</v>
      </c>
      <c r="AR26" s="35">
        <f t="shared" ref="AR26:AR35" si="11">AR$37*(SUM(AM26:AQ26)/SUM(AM$37:AQ$37))</f>
        <v>1.4603364960614689</v>
      </c>
      <c r="AS26" s="35">
        <f t="shared" ref="AS26:AS35" si="12">AS$37*(SUM(AN26:AR26)/SUM(AN$37:AR$37))</f>
        <v>1.4700088147970525</v>
      </c>
      <c r="AT26" s="35">
        <f t="shared" ref="AT26:AT35" si="13">AT$37*(SUM(AO26:AS26)/SUM(AO$37:AS$37))</f>
        <v>1.4847202065044167</v>
      </c>
      <c r="AU26" s="35">
        <f t="shared" ref="AU26:AU35" si="14">AU$37*(SUM(AP26:AT26)/SUM(AP$37:AT$37))</f>
        <v>1.4912742638901362</v>
      </c>
      <c r="AV26" s="35">
        <f t="shared" ref="AV26:AV35" si="15">AV$37*(SUM(AQ26:AU26)/SUM(AQ$37:AU$37))</f>
        <v>1.4712197461251972</v>
      </c>
      <c r="AW26" s="35">
        <f t="shared" ref="AW26:AW35" si="16">AW$37*(SUM(AR26:AV26)/SUM(AR$37:AV$37))</f>
        <v>1.4755119054756543</v>
      </c>
      <c r="AX26" s="35">
        <f t="shared" ref="AX26:AX35" si="17">AX$37*(SUM(AS26:AW26)/SUM(AS$37:AW$37))</f>
        <v>1.4785469873584915</v>
      </c>
      <c r="AY26" s="35">
        <f t="shared" ref="AY26:AY35" si="18">AY$37*(SUM(AT26:AX26)/SUM(AT$37:AX$37))</f>
        <v>1.4802546218707793</v>
      </c>
      <c r="AZ26" s="35">
        <f t="shared" ref="AZ26:AZ35" si="19">AZ$37*(SUM(AU26:AY26)/SUM(AU$37:AY$37))</f>
        <v>1.4793615049440518</v>
      </c>
      <c r="BA26" s="35">
        <f t="shared" ref="BA26:BA35" si="20">BA$37*(SUM(AV26:AZ26)/SUM(AV$37:AZ$37))</f>
        <v>1.4769789531548347</v>
      </c>
      <c r="BB26" s="35">
        <f t="shared" ref="BB26:BB35" si="21">BB$37*(SUM(AW26:BA26)/SUM(AW$37:BA$37))</f>
        <v>1.4781307945607625</v>
      </c>
      <c r="BC26" s="35">
        <f t="shared" ref="BC26:BC35" si="22">BC$37*(SUM(AX26:BB26)/SUM(AX$37:BB$37))</f>
        <v>1.478654572377784</v>
      </c>
      <c r="BD26" s="35">
        <f t="shared" ref="BD26:BD35" si="23">BD$37*(SUM(AY26:BC26)/SUM(AY$37:BC$37))</f>
        <v>1.4786760893816424</v>
      </c>
      <c r="BE26" s="35">
        <f t="shared" ref="BE26:BE35" si="24">BE$37*(SUM(AZ26:BD26)/SUM(AZ$37:BD$37))</f>
        <v>1.4783603828838152</v>
      </c>
    </row>
    <row r="27" spans="1:57" x14ac:dyDescent="0.25">
      <c r="A27" s="30" t="s">
        <v>80</v>
      </c>
      <c r="B27" s="30"/>
      <c r="C27" s="30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>
        <f>'[1]Soybean Imports'!JY$216/1000</f>
        <v>2.1723353365920004</v>
      </c>
      <c r="AA27" s="32">
        <f>'[1]Soybean Imports'!KK$216/1000</f>
        <v>1.8953233861680001</v>
      </c>
      <c r="AB27" s="32">
        <f>'[1]Soybean Imports'!KW$216/1000</f>
        <v>1.3898211131280001</v>
      </c>
      <c r="AC27" s="32">
        <f>'[1]Soybean Imports'!LI$216/1000</f>
        <v>1.4310423327839998</v>
      </c>
      <c r="AD27" s="32">
        <f>'[1]Soybean Imports'!LU$216/1000</f>
        <v>1.8419438341200001</v>
      </c>
      <c r="AE27" s="32">
        <f>'[1]Soybean Imports'!MG$216/1000</f>
        <v>0.46697313928799999</v>
      </c>
      <c r="AF27" s="32">
        <f>'[1]Soybean Imports'!MS$216/1000</f>
        <v>0.47197190327999994</v>
      </c>
      <c r="AG27" s="32">
        <f>'[1]Soybean Imports'!NE$216/1000</f>
        <v>1.2827280428160002</v>
      </c>
      <c r="AH27" s="32">
        <f>'[1]Soybean Imports'!NQ$216/1000</f>
        <v>1.2962479241280001</v>
      </c>
      <c r="AI27" s="32">
        <f>'[1]Soybean Imports'!OC$216/1000</f>
        <v>1.7348924315040002</v>
      </c>
      <c r="AJ27" s="32">
        <f>'[1]Soybean Imports'!OO$216/1000</f>
        <v>1.5740029484639999</v>
      </c>
      <c r="AK27" s="32">
        <f>'[1]Soybean Imports'!PA$216/1000</f>
        <v>2.0131875926400005</v>
      </c>
      <c r="AL27" s="35">
        <f t="shared" si="5"/>
        <v>1.6865629381761333</v>
      </c>
      <c r="AM27" s="35">
        <f t="shared" si="6"/>
        <v>1.6529244847531721</v>
      </c>
      <c r="AN27" s="35">
        <f t="shared" si="7"/>
        <v>1.7227124185030098</v>
      </c>
      <c r="AO27" s="35">
        <f t="shared" si="8"/>
        <v>1.6714822649745771</v>
      </c>
      <c r="AP27" s="35">
        <f t="shared" si="9"/>
        <v>2.0992487277712546</v>
      </c>
      <c r="AQ27" s="35">
        <f t="shared" si="10"/>
        <v>2.0383686540411108</v>
      </c>
      <c r="AR27" s="35">
        <f t="shared" si="11"/>
        <v>2.04105256667625</v>
      </c>
      <c r="AS27" s="35">
        <f t="shared" si="12"/>
        <v>2.0513281354213291</v>
      </c>
      <c r="AT27" s="35">
        <f t="shared" si="13"/>
        <v>2.0485821411485214</v>
      </c>
      <c r="AU27" s="35">
        <f t="shared" si="14"/>
        <v>2.0557160450116934</v>
      </c>
      <c r="AV27" s="35">
        <f t="shared" si="15"/>
        <v>2.047009508459781</v>
      </c>
      <c r="AW27" s="35">
        <f t="shared" si="16"/>
        <v>2.0487376793435144</v>
      </c>
      <c r="AX27" s="35">
        <f t="shared" si="17"/>
        <v>2.050274701876968</v>
      </c>
      <c r="AY27" s="35">
        <f t="shared" si="18"/>
        <v>2.0500640151680956</v>
      </c>
      <c r="AZ27" s="35">
        <f t="shared" si="19"/>
        <v>2.0503603899720098</v>
      </c>
      <c r="BA27" s="35">
        <f t="shared" si="20"/>
        <v>2.0492892589640737</v>
      </c>
      <c r="BB27" s="35">
        <f t="shared" si="21"/>
        <v>2.0497452090649322</v>
      </c>
      <c r="BC27" s="35">
        <f t="shared" si="22"/>
        <v>2.0499467150092161</v>
      </c>
      <c r="BD27" s="35">
        <f t="shared" si="23"/>
        <v>2.0498811176356653</v>
      </c>
      <c r="BE27" s="35">
        <f t="shared" si="24"/>
        <v>2.0498445381291797</v>
      </c>
    </row>
    <row r="28" spans="1:57" x14ac:dyDescent="0.25">
      <c r="A28" s="30" t="s">
        <v>81</v>
      </c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>
        <f>'[1]Soybean Imports'!$JN$216/1000</f>
        <v>2.2194576059040001</v>
      </c>
      <c r="Z28" s="32">
        <f>'[1]Soybean Imports'!JZ$216/1000</f>
        <v>3.1049952444719997</v>
      </c>
      <c r="AA28" s="32">
        <f>'[1]Soybean Imports'!KL$216/1000</f>
        <v>2.1477438634320003</v>
      </c>
      <c r="AB28" s="32">
        <f>'[1]Soybean Imports'!KX$216/1000</f>
        <v>1.1780043725999998</v>
      </c>
      <c r="AC28" s="32">
        <f>'[1]Soybean Imports'!LJ$216/1000</f>
        <v>2.3294810837040001</v>
      </c>
      <c r="AD28" s="32">
        <f>'[1]Soybean Imports'!LV$216/1000</f>
        <v>1.1537880924239998</v>
      </c>
      <c r="AE28" s="32">
        <f>'[1]Soybean Imports'!MH$216/1000</f>
        <v>1.4030564489040003</v>
      </c>
      <c r="AF28" s="32">
        <f>'[1]Soybean Imports'!MT$216/1000</f>
        <v>0.86418118065600003</v>
      </c>
      <c r="AG28" s="32">
        <f>'[1]Soybean Imports'!NF$216/1000</f>
        <v>1.0343219577839997</v>
      </c>
      <c r="AH28" s="32">
        <f>'[1]Soybean Imports'!NR$216/1000</f>
        <v>1.3266724338</v>
      </c>
      <c r="AI28" s="32">
        <f>'[1]Soybean Imports'!OD$216/1000</f>
        <v>0.68793840093599989</v>
      </c>
      <c r="AJ28" s="32">
        <f>'[1]Soybean Imports'!OP$216/1000</f>
        <v>1.9609408213680002</v>
      </c>
      <c r="AK28" s="35">
        <f>AK$37*(SUM(AF28:AJ28)/SUM(AF$37:AJ$37))</f>
        <v>1.2997733807811072</v>
      </c>
      <c r="AL28" s="35">
        <f>AL$37*(SUM(AG28:AK28)/SUM(AG$37:AK$37))</f>
        <v>1.346859560926998</v>
      </c>
      <c r="AM28" s="35">
        <f t="shared" si="6"/>
        <v>1.3180145685022804</v>
      </c>
      <c r="AN28" s="35">
        <f t="shared" si="7"/>
        <v>1.3153740155566107</v>
      </c>
      <c r="AO28" s="35">
        <f t="shared" si="8"/>
        <v>1.3993055706008906</v>
      </c>
      <c r="AP28" s="35">
        <f t="shared" si="9"/>
        <v>1.6030385031282928</v>
      </c>
      <c r="AQ28" s="35">
        <f t="shared" si="10"/>
        <v>1.6113674350880933</v>
      </c>
      <c r="AR28" s="35">
        <f t="shared" si="11"/>
        <v>1.6104666873058149</v>
      </c>
      <c r="AS28" s="35">
        <f t="shared" si="12"/>
        <v>1.6156183310742218</v>
      </c>
      <c r="AT28" s="35">
        <f t="shared" si="13"/>
        <v>1.6220268676959959</v>
      </c>
      <c r="AU28" s="35">
        <f t="shared" si="14"/>
        <v>1.6125035648584838</v>
      </c>
      <c r="AV28" s="35">
        <f t="shared" si="15"/>
        <v>1.6143965772045221</v>
      </c>
      <c r="AW28" s="35">
        <f t="shared" si="16"/>
        <v>1.6150024056278076</v>
      </c>
      <c r="AX28" s="35">
        <f t="shared" si="17"/>
        <v>1.6159095492922064</v>
      </c>
      <c r="AY28" s="35">
        <f t="shared" si="18"/>
        <v>1.6159677929358032</v>
      </c>
      <c r="AZ28" s="35">
        <f t="shared" si="19"/>
        <v>1.6147559779837646</v>
      </c>
      <c r="BA28" s="35">
        <f t="shared" si="20"/>
        <v>1.6152064606088206</v>
      </c>
      <c r="BB28" s="35">
        <f t="shared" si="21"/>
        <v>1.6153684372896806</v>
      </c>
      <c r="BC28" s="35">
        <f t="shared" si="22"/>
        <v>1.6154416436220551</v>
      </c>
      <c r="BD28" s="35">
        <f t="shared" si="23"/>
        <v>1.615348062488025</v>
      </c>
      <c r="BE28" s="35">
        <f t="shared" si="24"/>
        <v>1.6152241163984691</v>
      </c>
    </row>
    <row r="29" spans="1:57" x14ac:dyDescent="0.25">
      <c r="A29" s="30" t="s">
        <v>82</v>
      </c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>
        <f>'[1]Soybean Imports'!$JO$216/1000</f>
        <v>2.935725410376</v>
      </c>
      <c r="Z29" s="32">
        <f>'[1]Soybean Imports'!KA$216/1000</f>
        <v>2.8432306210319997</v>
      </c>
      <c r="AA29" s="32">
        <f>'[1]Soybean Imports'!KM$216/1000</f>
        <v>2.872607853216</v>
      </c>
      <c r="AB29" s="32">
        <f>'[1]Soybean Imports'!KY$216/1000</f>
        <v>3.2300080696319999</v>
      </c>
      <c r="AC29" s="32">
        <f>'[1]Soybean Imports'!LK$216/1000</f>
        <v>1.4776937277360001</v>
      </c>
      <c r="AD29" s="32">
        <f>'[1]Soybean Imports'!LW$216/1000</f>
        <v>1.0265851411439999</v>
      </c>
      <c r="AE29" s="32">
        <f>'[1]Soybean Imports'!MI$216/1000</f>
        <v>1.1538069053520001</v>
      </c>
      <c r="AF29" s="32">
        <f>'[1]Soybean Imports'!MU$216/1000</f>
        <v>0.73584368488799989</v>
      </c>
      <c r="AG29" s="32">
        <f>'[1]Soybean Imports'!NG$216/1000</f>
        <v>0.88278209577600009</v>
      </c>
      <c r="AH29" s="32">
        <f>'[1]Soybean Imports'!NS$216/1000</f>
        <v>0.225541506384</v>
      </c>
      <c r="AI29" s="32">
        <f>'[1]Soybean Imports'!OE$216/1000</f>
        <v>0.95619594638399996</v>
      </c>
      <c r="AJ29" s="32">
        <f>'[1]Soybean Imports'!OQ$216/1000</f>
        <v>2.2510884210960005</v>
      </c>
      <c r="AK29" s="35">
        <f t="shared" ref="AK29:AL35" si="25">AK$37*(SUM(AF29:AJ29)/SUM(AF$37:AJ$37))</f>
        <v>1.1177530044419464</v>
      </c>
      <c r="AL29" s="35">
        <f t="shared" si="25"/>
        <v>1.1598072256804073</v>
      </c>
      <c r="AM29" s="35">
        <f t="shared" si="6"/>
        <v>1.1365391534560394</v>
      </c>
      <c r="AN29" s="35">
        <f t="shared" si="7"/>
        <v>1.3169367094793138</v>
      </c>
      <c r="AO29" s="35">
        <f t="shared" si="8"/>
        <v>1.3492855312457228</v>
      </c>
      <c r="AP29" s="35">
        <f t="shared" si="9"/>
        <v>1.4592771898328232</v>
      </c>
      <c r="AQ29" s="35">
        <f t="shared" si="10"/>
        <v>1.481964417621763</v>
      </c>
      <c r="AR29" s="35">
        <f t="shared" si="11"/>
        <v>1.4986673336968142</v>
      </c>
      <c r="AS29" s="35">
        <f t="shared" si="12"/>
        <v>1.5227423961163795</v>
      </c>
      <c r="AT29" s="35">
        <f t="shared" si="13"/>
        <v>1.5128145245200351</v>
      </c>
      <c r="AU29" s="35">
        <f t="shared" si="14"/>
        <v>1.4950931723575629</v>
      </c>
      <c r="AV29" s="35">
        <f t="shared" si="15"/>
        <v>1.502256368862511</v>
      </c>
      <c r="AW29" s="35">
        <f t="shared" si="16"/>
        <v>1.5063147591106605</v>
      </c>
      <c r="AX29" s="35">
        <f t="shared" si="17"/>
        <v>1.5078442441934299</v>
      </c>
      <c r="AY29" s="35">
        <f t="shared" si="18"/>
        <v>1.5048646138088397</v>
      </c>
      <c r="AZ29" s="35">
        <f t="shared" si="19"/>
        <v>1.5032746316666006</v>
      </c>
      <c r="BA29" s="35">
        <f t="shared" si="20"/>
        <v>1.5049109235284086</v>
      </c>
      <c r="BB29" s="35">
        <f t="shared" si="21"/>
        <v>1.5054418344615879</v>
      </c>
      <c r="BC29" s="35">
        <f t="shared" si="22"/>
        <v>1.5052672495317736</v>
      </c>
      <c r="BD29" s="35">
        <f t="shared" si="23"/>
        <v>1.5047518505994422</v>
      </c>
      <c r="BE29" s="35">
        <f t="shared" si="24"/>
        <v>1.5047292979575626</v>
      </c>
    </row>
    <row r="30" spans="1:57" x14ac:dyDescent="0.25">
      <c r="A30" s="30" t="s">
        <v>83</v>
      </c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>
        <f>'[1]Soybean Imports'!$JP$216/1000</f>
        <v>3.3018076093440003</v>
      </c>
      <c r="Z30" s="32">
        <f>'[1]Soybean Imports'!KB$216/1000</f>
        <v>2.8067741428319999</v>
      </c>
      <c r="AA30" s="32">
        <f>'[1]Soybean Imports'!KN$216/1000</f>
        <v>1.2555806937599998</v>
      </c>
      <c r="AB30" s="32">
        <f>'[1]Soybean Imports'!KZ$216/1000</f>
        <v>2.2637914832880002</v>
      </c>
      <c r="AC30" s="32">
        <f>'[1]Soybean Imports'!LL$216/1000</f>
        <v>1.1930165012399998</v>
      </c>
      <c r="AD30" s="32">
        <f>'[1]Soybean Imports'!LX$216/1000</f>
        <v>1.4707434899040002</v>
      </c>
      <c r="AE30" s="32">
        <f>'[1]Soybean Imports'!MJ$216/1000</f>
        <v>1.5286997643600002</v>
      </c>
      <c r="AF30" s="32">
        <f>'[1]Soybean Imports'!MV$216/1000</f>
        <v>0.83397158663999993</v>
      </c>
      <c r="AG30" s="32">
        <f>'[1]Soybean Imports'!NH$216/1000</f>
        <v>1.7439601158240001</v>
      </c>
      <c r="AH30" s="32">
        <f>'[1]Soybean Imports'!NT$216/1000</f>
        <v>1.0377552069120002</v>
      </c>
      <c r="AI30" s="32">
        <f>'[1]Soybean Imports'!OF$216/1000</f>
        <v>0.91807897008000006</v>
      </c>
      <c r="AJ30" s="32">
        <f>'[1]Soybean Imports'!OR$216/1000</f>
        <v>2.4675255726479999</v>
      </c>
      <c r="AK30" s="35">
        <f t="shared" si="25"/>
        <v>1.5492011189591772</v>
      </c>
      <c r="AL30" s="35">
        <f t="shared" si="25"/>
        <v>1.6471713986131171</v>
      </c>
      <c r="AM30" s="35">
        <f t="shared" si="6"/>
        <v>1.5165566570872673</v>
      </c>
      <c r="AN30" s="35">
        <f t="shared" si="7"/>
        <v>1.6107292291703927</v>
      </c>
      <c r="AO30" s="35">
        <f t="shared" si="8"/>
        <v>1.6988836732910504</v>
      </c>
      <c r="AP30" s="35">
        <f t="shared" si="9"/>
        <v>1.9254100985090414</v>
      </c>
      <c r="AQ30" s="35">
        <f t="shared" si="10"/>
        <v>1.9381733207702005</v>
      </c>
      <c r="AR30" s="35">
        <f t="shared" si="11"/>
        <v>1.9310562175173223</v>
      </c>
      <c r="AS30" s="35">
        <f t="shared" si="12"/>
        <v>1.95091125841243</v>
      </c>
      <c r="AT30" s="35">
        <f t="shared" si="13"/>
        <v>1.9540209452069055</v>
      </c>
      <c r="AU30" s="35">
        <f t="shared" si="14"/>
        <v>1.9399143680831801</v>
      </c>
      <c r="AV30" s="35">
        <f t="shared" si="15"/>
        <v>1.9428152219980079</v>
      </c>
      <c r="AW30" s="35">
        <f t="shared" si="16"/>
        <v>1.943743602243569</v>
      </c>
      <c r="AX30" s="35">
        <f t="shared" si="17"/>
        <v>1.9462810791888183</v>
      </c>
      <c r="AY30" s="35">
        <f t="shared" si="18"/>
        <v>1.9453550433440965</v>
      </c>
      <c r="AZ30" s="35">
        <f t="shared" si="19"/>
        <v>1.9436218629715343</v>
      </c>
      <c r="BA30" s="35">
        <f t="shared" si="20"/>
        <v>1.9443633619492051</v>
      </c>
      <c r="BB30" s="35">
        <f t="shared" si="21"/>
        <v>1.9446729899394446</v>
      </c>
      <c r="BC30" s="35">
        <f t="shared" si="22"/>
        <v>1.9448588674786198</v>
      </c>
      <c r="BD30" s="35">
        <f t="shared" si="23"/>
        <v>1.9445744251365802</v>
      </c>
      <c r="BE30" s="35">
        <f t="shared" si="24"/>
        <v>1.9444183014950764</v>
      </c>
    </row>
    <row r="31" spans="1:57" x14ac:dyDescent="0.25">
      <c r="A31" s="30" t="s">
        <v>84</v>
      </c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>
        <f>'[1]Soybean Imports'!$JQ$216/1000</f>
        <v>3.2819776809120005</v>
      </c>
      <c r="Z31" s="32">
        <f>'[1]Soybean Imports'!KC$216/1000</f>
        <v>3.3842730136560002</v>
      </c>
      <c r="AA31" s="32">
        <f>'[1]Soybean Imports'!KO$216/1000</f>
        <v>2.525354271936</v>
      </c>
      <c r="AB31" s="32">
        <f>'[1]Soybean Imports'!LA$216/1000</f>
        <v>2.2427448507839998</v>
      </c>
      <c r="AC31" s="32">
        <f>'[1]Soybean Imports'!LM$216/1000</f>
        <v>2.1716824324560005</v>
      </c>
      <c r="AD31" s="32">
        <f>'[1]Soybean Imports'!LY$216/1000</f>
        <v>1.5305489429039998</v>
      </c>
      <c r="AE31" s="32">
        <f>'[1]Soybean Imports'!MK$216/1000</f>
        <v>1.610879484072</v>
      </c>
      <c r="AF31" s="32">
        <f>'[1]Soybean Imports'!MW$216/1000</f>
        <v>0.98801360481599998</v>
      </c>
      <c r="AG31" s="32">
        <f>'[1]Soybean Imports'!NI$216/1000</f>
        <v>1.2533599598880001</v>
      </c>
      <c r="AH31" s="32">
        <f>'[1]Soybean Imports'!NU$216/1000</f>
        <v>1.2949479948959999</v>
      </c>
      <c r="AI31" s="32">
        <f>'[1]Soybean Imports'!OG$216/1000</f>
        <v>5.3453551891919995</v>
      </c>
      <c r="AJ31" s="32">
        <f>'[1]Soybean Imports'!OS$216/1000</f>
        <v>1.769022132648</v>
      </c>
      <c r="AK31" s="35">
        <f t="shared" si="25"/>
        <v>2.356718719353637</v>
      </c>
      <c r="AL31" s="35">
        <f t="shared" si="25"/>
        <v>2.5656663839203584</v>
      </c>
      <c r="AM31" s="35">
        <f t="shared" si="6"/>
        <v>2.6534126762990295</v>
      </c>
      <c r="AN31" s="35">
        <f t="shared" si="7"/>
        <v>2.9217504357208495</v>
      </c>
      <c r="AO31" s="35">
        <f t="shared" si="8"/>
        <v>2.3704970965405239</v>
      </c>
      <c r="AP31" s="35">
        <f t="shared" si="9"/>
        <v>3.0883308748402558</v>
      </c>
      <c r="AQ31" s="35">
        <f t="shared" si="10"/>
        <v>3.138382492458696</v>
      </c>
      <c r="AR31" s="35">
        <f t="shared" si="11"/>
        <v>3.1494163501909678</v>
      </c>
      <c r="AS31" s="35">
        <f t="shared" si="12"/>
        <v>3.1432236963752769</v>
      </c>
      <c r="AT31" s="35">
        <f t="shared" si="13"/>
        <v>3.0806587262908387</v>
      </c>
      <c r="AU31" s="35">
        <f t="shared" si="14"/>
        <v>3.1200024280312073</v>
      </c>
      <c r="AV31" s="35">
        <f t="shared" si="15"/>
        <v>3.126336738669397</v>
      </c>
      <c r="AW31" s="35">
        <f t="shared" si="16"/>
        <v>3.1239275879115374</v>
      </c>
      <c r="AX31" s="35">
        <f t="shared" si="17"/>
        <v>3.1188298354556512</v>
      </c>
      <c r="AY31" s="35">
        <f t="shared" si="18"/>
        <v>3.1139510632717267</v>
      </c>
      <c r="AZ31" s="35">
        <f t="shared" si="19"/>
        <v>3.1206095306679043</v>
      </c>
      <c r="BA31" s="35">
        <f t="shared" si="20"/>
        <v>3.1207309511952435</v>
      </c>
      <c r="BB31" s="35">
        <f t="shared" si="21"/>
        <v>3.1196097937004126</v>
      </c>
      <c r="BC31" s="35">
        <f t="shared" si="22"/>
        <v>3.1187462348581878</v>
      </c>
      <c r="BD31" s="35">
        <f t="shared" si="23"/>
        <v>3.1187295147386953</v>
      </c>
      <c r="BE31" s="35">
        <f t="shared" si="24"/>
        <v>3.1196852050320882</v>
      </c>
    </row>
    <row r="32" spans="1:57" x14ac:dyDescent="0.25">
      <c r="A32" s="30" t="s">
        <v>85</v>
      </c>
      <c r="B32" s="30"/>
      <c r="C32" s="30"/>
      <c r="D32" s="30"/>
      <c r="E32" s="30"/>
      <c r="F32" s="30"/>
      <c r="G32" s="30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>
        <f>'[1]Soybean Imports'!$JR$216/1000</f>
        <v>7.456867668168</v>
      </c>
      <c r="Z32" s="32">
        <f>'[1]Soybean Imports'!KD$216/1000</f>
        <v>3.141429308832</v>
      </c>
      <c r="AA32" s="32">
        <f>'[1]Soybean Imports'!KP$216/1000</f>
        <v>2.1168983042639997</v>
      </c>
      <c r="AB32" s="32">
        <f>'[1]Soybean Imports'!LB$216/1000</f>
        <v>1.8377221322400001</v>
      </c>
      <c r="AC32" s="32">
        <f>'[1]Soybean Imports'!LN$216/1000</f>
        <v>2.5784994707519999</v>
      </c>
      <c r="AD32" s="32">
        <f>'[1]Soybean Imports'!LZ$216/1000</f>
        <v>1.8094924151759999</v>
      </c>
      <c r="AE32" s="32">
        <f>'[1]Soybean Imports'!ML$216/1000</f>
        <v>1.2918316627680002</v>
      </c>
      <c r="AF32" s="32">
        <f>'[1]Soybean Imports'!MX$216/1000</f>
        <v>1.5374206220639999</v>
      </c>
      <c r="AG32" s="32">
        <f>'[1]Soybean Imports'!NJ$216/1000</f>
        <v>1.933789063032</v>
      </c>
      <c r="AH32" s="32">
        <f>'[1]Soybean Imports'!NV$216/1000</f>
        <v>0.47128350444</v>
      </c>
      <c r="AI32" s="32">
        <f>'[1]Soybean Imports'!OH$216/1000</f>
        <v>2.2481102464079998</v>
      </c>
      <c r="AJ32" s="32">
        <f>'[1]Soybean Imports'!OT$216/1000</f>
        <v>2.9794624182240002</v>
      </c>
      <c r="AK32" s="35">
        <f t="shared" si="25"/>
        <v>2.029093686413697</v>
      </c>
      <c r="AL32" s="35">
        <f t="shared" si="25"/>
        <v>2.0623983320430539</v>
      </c>
      <c r="AM32" s="35">
        <f t="shared" si="6"/>
        <v>1.9485747265541444</v>
      </c>
      <c r="AN32" s="35">
        <f t="shared" si="7"/>
        <v>2.2410373006039186</v>
      </c>
      <c r="AO32" s="35">
        <f t="shared" si="8"/>
        <v>2.1760882912484307</v>
      </c>
      <c r="AP32" s="35">
        <f t="shared" si="9"/>
        <v>2.5097261608471788</v>
      </c>
      <c r="AQ32" s="35">
        <f t="shared" si="10"/>
        <v>2.5241134179915528</v>
      </c>
      <c r="AR32" s="35">
        <f t="shared" si="11"/>
        <v>2.5332310882767168</v>
      </c>
      <c r="AS32" s="35">
        <f t="shared" si="12"/>
        <v>2.5680420554930996</v>
      </c>
      <c r="AT32" s="35">
        <f t="shared" si="13"/>
        <v>2.5471450373497193</v>
      </c>
      <c r="AU32" s="35">
        <f t="shared" si="14"/>
        <v>2.5364515519916537</v>
      </c>
      <c r="AV32" s="35">
        <f t="shared" si="15"/>
        <v>2.5417966302205484</v>
      </c>
      <c r="AW32" s="35">
        <f t="shared" si="16"/>
        <v>2.5453332726663476</v>
      </c>
      <c r="AX32" s="35">
        <f t="shared" si="17"/>
        <v>2.5477537095442733</v>
      </c>
      <c r="AY32" s="35">
        <f t="shared" si="18"/>
        <v>2.5436960403545088</v>
      </c>
      <c r="AZ32" s="35">
        <f t="shared" si="19"/>
        <v>2.5430062409554668</v>
      </c>
      <c r="BA32" s="35">
        <f t="shared" si="20"/>
        <v>2.544317178748229</v>
      </c>
      <c r="BB32" s="35">
        <f t="shared" si="21"/>
        <v>2.5448212884537655</v>
      </c>
      <c r="BC32" s="35">
        <f t="shared" si="22"/>
        <v>2.5447188916112489</v>
      </c>
      <c r="BD32" s="35">
        <f t="shared" si="23"/>
        <v>2.5441119280246438</v>
      </c>
      <c r="BE32" s="35">
        <f t="shared" si="24"/>
        <v>2.5441951055586709</v>
      </c>
    </row>
    <row r="33" spans="1:57" x14ac:dyDescent="0.25">
      <c r="A33" s="30" t="s">
        <v>86</v>
      </c>
      <c r="B33" s="30"/>
      <c r="C33" s="30"/>
      <c r="D33" s="30"/>
      <c r="E33" s="30"/>
      <c r="F33" s="30"/>
      <c r="G33" s="30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>
        <f>'[1]Soybean Imports'!$JS$216/1000</f>
        <v>15.595570963056003</v>
      </c>
      <c r="Z33" s="32">
        <f>'[1]Soybean Imports'!KE$216/1000</f>
        <v>2.329846943712</v>
      </c>
      <c r="AA33" s="32">
        <f>'[1]Soybean Imports'!KQ$216/1000</f>
        <v>1.0694792783760001</v>
      </c>
      <c r="AB33" s="32">
        <f>'[1]Soybean Imports'!LC$216/1000</f>
        <v>2.5837051769520003</v>
      </c>
      <c r="AC33" s="32">
        <f>'[1]Soybean Imports'!LO$216/1000</f>
        <v>2.4614708595840002</v>
      </c>
      <c r="AD33" s="32">
        <f>'[1]Soybean Imports'!MA$216/1000</f>
        <v>1.3270777201200001</v>
      </c>
      <c r="AE33" s="32">
        <f>'[1]Soybean Imports'!MM$216/1000</f>
        <v>1.64492195496</v>
      </c>
      <c r="AF33" s="32">
        <f>'[1]Soybean Imports'!MY$216/1000</f>
        <v>2.353882259688</v>
      </c>
      <c r="AG33" s="32">
        <f>'[1]Soybean Imports'!NK$216/1000</f>
        <v>1.3707517487520002</v>
      </c>
      <c r="AH33" s="32">
        <f>'[1]Soybean Imports'!NW$216/1000</f>
        <v>4.7841390177840015</v>
      </c>
      <c r="AI33" s="32">
        <f>'[1]Soybean Imports'!OI$216/1000</f>
        <v>1.3320808566480005</v>
      </c>
      <c r="AJ33" s="32">
        <f>'[1]Soybean Imports'!OU$216/1000</f>
        <v>2.594274368088</v>
      </c>
      <c r="AK33" s="35">
        <f t="shared" si="25"/>
        <v>2.7515658693224112</v>
      </c>
      <c r="AL33" s="35">
        <f t="shared" si="25"/>
        <v>2.7392967249391069</v>
      </c>
      <c r="AM33" s="35">
        <f t="shared" si="6"/>
        <v>2.8264985560145188</v>
      </c>
      <c r="AN33" s="35">
        <f t="shared" si="7"/>
        <v>2.4351706774477426</v>
      </c>
      <c r="AO33" s="35">
        <f t="shared" si="8"/>
        <v>2.5792511221826016</v>
      </c>
      <c r="AP33" s="35">
        <f t="shared" si="9"/>
        <v>3.1996279079775309</v>
      </c>
      <c r="AQ33" s="35">
        <f t="shared" si="10"/>
        <v>3.1799642281295775</v>
      </c>
      <c r="AR33" s="35">
        <f t="shared" si="11"/>
        <v>3.1601138870559939</v>
      </c>
      <c r="AS33" s="35">
        <f t="shared" si="12"/>
        <v>3.1187416763128817</v>
      </c>
      <c r="AT33" s="35">
        <f t="shared" si="13"/>
        <v>3.1526273424121207</v>
      </c>
      <c r="AU33" s="35">
        <f t="shared" si="14"/>
        <v>3.162215008377621</v>
      </c>
      <c r="AV33" s="35">
        <f t="shared" si="15"/>
        <v>3.1547324284576392</v>
      </c>
      <c r="AW33" s="35">
        <f t="shared" si="16"/>
        <v>3.1496860685232511</v>
      </c>
      <c r="AX33" s="35">
        <f t="shared" si="17"/>
        <v>3.1476005048167024</v>
      </c>
      <c r="AY33" s="35">
        <f t="shared" si="18"/>
        <v>3.1533722705174672</v>
      </c>
      <c r="AZ33" s="35">
        <f t="shared" si="19"/>
        <v>3.1535212561385362</v>
      </c>
      <c r="BA33" s="35">
        <f t="shared" si="20"/>
        <v>3.1517825056907194</v>
      </c>
      <c r="BB33" s="35">
        <f t="shared" si="21"/>
        <v>3.1511925211373351</v>
      </c>
      <c r="BC33" s="35">
        <f t="shared" si="22"/>
        <v>3.1514938116601519</v>
      </c>
      <c r="BD33" s="35">
        <f t="shared" si="23"/>
        <v>3.1522724730288423</v>
      </c>
      <c r="BE33" s="35">
        <f t="shared" si="24"/>
        <v>3.152052513531117</v>
      </c>
    </row>
    <row r="34" spans="1:57" x14ac:dyDescent="0.25">
      <c r="A34" s="30" t="s">
        <v>87</v>
      </c>
      <c r="B34" s="30"/>
      <c r="C34" s="30"/>
      <c r="D34" s="30"/>
      <c r="E34" s="30"/>
      <c r="F34" s="30"/>
      <c r="G34" s="30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>
        <f>'[1]Soybean Imports'!$JT$216/1000</f>
        <v>18.772066577592003</v>
      </c>
      <c r="Z34" s="32">
        <f>'[1]Soybean Imports'!KF$216/1000</f>
        <v>3.675995938896</v>
      </c>
      <c r="AA34" s="32">
        <f>'[1]Soybean Imports'!KR$216/1000</f>
        <v>2.4502971561600004</v>
      </c>
      <c r="AB34" s="32">
        <f>'[1]Soybean Imports'!LD$216/1000</f>
        <v>1.0843580997840001</v>
      </c>
      <c r="AC34" s="32">
        <f>'[1]Soybean Imports'!LP$216/1000</f>
        <v>1.9503904431599999</v>
      </c>
      <c r="AD34" s="32">
        <f>'[1]Soybean Imports'!MB$216/1000</f>
        <v>0.790099140408</v>
      </c>
      <c r="AE34" s="32">
        <f>'[1]Soybean Imports'!MN$216/1000</f>
        <v>1.7814778342320001</v>
      </c>
      <c r="AF34" s="32">
        <f>'[1]Soybean Imports'!MZ$216/1000</f>
        <v>7.6186075543439991</v>
      </c>
      <c r="AG34" s="32">
        <f>'[1]Soybean Imports'!NL$216/1000</f>
        <v>0.841152980976</v>
      </c>
      <c r="AH34" s="32">
        <f>'[1]Soybean Imports'!NX$216/1000</f>
        <v>6.1294411005119995</v>
      </c>
      <c r="AI34" s="32">
        <f>'[1]Soybean Imports'!OJ$216/1000</f>
        <v>1.169043025416</v>
      </c>
      <c r="AJ34" s="32">
        <f>'[1]Soybean Imports'!OV$216/1000</f>
        <v>1.8416727001440001</v>
      </c>
      <c r="AK34" s="35">
        <f t="shared" si="25"/>
        <v>3.8943974631514187</v>
      </c>
      <c r="AL34" s="35">
        <f t="shared" si="25"/>
        <v>2.9619135614531187</v>
      </c>
      <c r="AM34" s="35">
        <f t="shared" si="6"/>
        <v>3.1837798177259833</v>
      </c>
      <c r="AN34" s="35">
        <f t="shared" si="7"/>
        <v>2.5956940276753317</v>
      </c>
      <c r="AO34" s="35">
        <f t="shared" si="8"/>
        <v>2.7977478758834144</v>
      </c>
      <c r="AP34" s="35">
        <f t="shared" si="9"/>
        <v>3.7040478590134245</v>
      </c>
      <c r="AQ34" s="35">
        <f t="shared" si="10"/>
        <v>3.5176576480964479</v>
      </c>
      <c r="AR34" s="35">
        <f t="shared" si="11"/>
        <v>3.5108727174210226</v>
      </c>
      <c r="AS34" s="35">
        <f t="shared" si="12"/>
        <v>3.4555757417334942</v>
      </c>
      <c r="AT34" s="35">
        <f t="shared" si="13"/>
        <v>3.5143245190650632</v>
      </c>
      <c r="AU34" s="35">
        <f t="shared" si="14"/>
        <v>3.5404956970658903</v>
      </c>
      <c r="AV34" s="35">
        <f t="shared" si="15"/>
        <v>3.5077852646763836</v>
      </c>
      <c r="AW34" s="35">
        <f t="shared" si="16"/>
        <v>3.5058107879923703</v>
      </c>
      <c r="AX34" s="35">
        <f t="shared" si="17"/>
        <v>3.5047984021066396</v>
      </c>
      <c r="AY34" s="35">
        <f t="shared" si="18"/>
        <v>3.5146429341812695</v>
      </c>
      <c r="AZ34" s="35">
        <f t="shared" si="19"/>
        <v>3.5147066172045101</v>
      </c>
      <c r="BA34" s="35">
        <f t="shared" si="20"/>
        <v>3.5095488012322349</v>
      </c>
      <c r="BB34" s="35">
        <f t="shared" si="21"/>
        <v>3.5099015085434049</v>
      </c>
      <c r="BC34" s="35">
        <f t="shared" si="22"/>
        <v>3.5107196526536115</v>
      </c>
      <c r="BD34" s="35">
        <f t="shared" si="23"/>
        <v>3.5119039027630068</v>
      </c>
      <c r="BE34" s="35">
        <f t="shared" si="24"/>
        <v>3.5113560964793535</v>
      </c>
    </row>
    <row r="35" spans="1:57" x14ac:dyDescent="0.25">
      <c r="A35" s="30" t="s">
        <v>88</v>
      </c>
      <c r="B35" s="30"/>
      <c r="C35" s="30"/>
      <c r="D35" s="30"/>
      <c r="E35" s="30"/>
      <c r="F35" s="30"/>
      <c r="G35" s="30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>
        <f>'[1]Soybean Imports'!$JU$216/1000</f>
        <v>9.1226937256559992</v>
      </c>
      <c r="Z35" s="32">
        <f>'[1]Soybean Imports'!KG$216/1000</f>
        <v>3.1041875746080003</v>
      </c>
      <c r="AA35" s="32">
        <f>'[1]Soybean Imports'!KS$216/1000</f>
        <v>1.5265536942960001</v>
      </c>
      <c r="AB35" s="32">
        <f>'[1]Soybean Imports'!LE$216/1000</f>
        <v>1.7582961181199999</v>
      </c>
      <c r="AC35" s="32">
        <f>'[1]Soybean Imports'!LQ$216/1000</f>
        <v>2.2366346175360001</v>
      </c>
      <c r="AD35" s="32">
        <f>'[1]Soybean Imports'!MC$216/1000</f>
        <v>1.3536121792559999</v>
      </c>
      <c r="AE35" s="32">
        <f>'[1]Soybean Imports'!MO$216/1000</f>
        <v>1.8015133085999999</v>
      </c>
      <c r="AF35" s="32">
        <f>'[1]Soybean Imports'!NA$216/1000</f>
        <v>2.2279623721440003</v>
      </c>
      <c r="AG35" s="32">
        <f>'[1]Soybean Imports'!NM$216/1000</f>
        <v>2.2404126356159999</v>
      </c>
      <c r="AH35" s="32">
        <f>'[1]Soybean Imports'!NY$216/1000</f>
        <v>4.2120561758160004</v>
      </c>
      <c r="AI35" s="32">
        <f>'[1]Soybean Imports'!OK$216/1000</f>
        <v>2.2114903308959999</v>
      </c>
      <c r="AJ35" s="32">
        <f>'[1]Soybean Imports'!OW$216/1000</f>
        <v>4.4767390077360005</v>
      </c>
      <c r="AK35" s="35">
        <f t="shared" si="25"/>
        <v>3.4006791805179506</v>
      </c>
      <c r="AL35" s="35">
        <f t="shared" si="25"/>
        <v>3.5309284699157346</v>
      </c>
      <c r="AM35" s="35">
        <f t="shared" si="6"/>
        <v>3.5490848417386802</v>
      </c>
      <c r="AN35" s="35">
        <f t="shared" si="7"/>
        <v>3.4147520021857822</v>
      </c>
      <c r="AO35" s="35">
        <f t="shared" si="8"/>
        <v>3.5503980667368094</v>
      </c>
      <c r="AP35" s="35">
        <f t="shared" si="9"/>
        <v>4.1870022146627894</v>
      </c>
      <c r="AQ35" s="35">
        <f t="shared" si="10"/>
        <v>4.2074228296707217</v>
      </c>
      <c r="AR35" s="35">
        <f t="shared" si="11"/>
        <v>4.2019244344432858</v>
      </c>
      <c r="AS35" s="35">
        <f t="shared" si="12"/>
        <v>4.1917499030784402</v>
      </c>
      <c r="AT35" s="35">
        <f t="shared" si="13"/>
        <v>4.2079649893638713</v>
      </c>
      <c r="AU35" s="35">
        <f t="shared" si="14"/>
        <v>4.1992128742438233</v>
      </c>
      <c r="AV35" s="35">
        <f t="shared" si="15"/>
        <v>4.2016550061600286</v>
      </c>
      <c r="AW35" s="35">
        <f t="shared" si="16"/>
        <v>4.2005014414578898</v>
      </c>
      <c r="AX35" s="35">
        <f t="shared" si="17"/>
        <v>4.2002168428608107</v>
      </c>
      <c r="AY35" s="35">
        <f t="shared" si="18"/>
        <v>4.2019102308172842</v>
      </c>
      <c r="AZ35" s="35">
        <f t="shared" si="19"/>
        <v>4.2006992791079663</v>
      </c>
      <c r="BA35" s="35">
        <f t="shared" si="20"/>
        <v>4.2009965600807959</v>
      </c>
      <c r="BB35" s="35">
        <f t="shared" si="21"/>
        <v>4.2008648708649492</v>
      </c>
      <c r="BC35" s="35">
        <f t="shared" si="22"/>
        <v>4.2009375567463607</v>
      </c>
      <c r="BD35" s="35">
        <f t="shared" si="23"/>
        <v>4.2010816995234705</v>
      </c>
      <c r="BE35" s="35">
        <f t="shared" si="24"/>
        <v>4.200915993264708</v>
      </c>
    </row>
    <row r="36" spans="1:57" x14ac:dyDescent="0.25">
      <c r="A36" s="30" t="s">
        <v>89</v>
      </c>
      <c r="B36" s="30"/>
      <c r="C36" s="30"/>
      <c r="D36" s="30"/>
      <c r="E36" s="30"/>
      <c r="F36" s="30"/>
      <c r="G36" s="30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>
        <f>'[1]Soybean Imports'!JV$216/1000</f>
        <v>2.4668416565759999</v>
      </c>
      <c r="Z36" s="32">
        <f>'[1]Soybean Imports'!KH$216/1000</f>
        <v>1.9597136819999998</v>
      </c>
      <c r="AA36" s="32">
        <f>'[1]Soybean Imports'!KT$216/1000</f>
        <v>1.8699882511920001</v>
      </c>
      <c r="AB36" s="32">
        <f>'[1]Soybean Imports'!LF$216/1000</f>
        <v>1.4698132788000002</v>
      </c>
      <c r="AC36" s="32">
        <f>'[1]Soybean Imports'!LR$216/1000</f>
        <v>0.794800608696</v>
      </c>
      <c r="AD36" s="32">
        <f>'[1]Soybean Imports'!MD$216/1000</f>
        <v>1.1258006285519999</v>
      </c>
      <c r="AE36" s="32">
        <f>'[1]Soybean Imports'!MP$216/1000</f>
        <v>0.73611481886399999</v>
      </c>
      <c r="AF36" s="32">
        <f>'[1]Soybean Imports'!NB$216/1000</f>
        <v>0.62101806023999984</v>
      </c>
      <c r="AG36" s="32">
        <f>'[1]Soybean Imports'!NN$216/1000</f>
        <v>2.2428052211760003</v>
      </c>
      <c r="AH36" s="32">
        <f>'[1]Soybean Imports'!NZ$216/1000</f>
        <v>1.6821568915439999</v>
      </c>
      <c r="AI36" s="32">
        <f>'[1]Soybean Imports'!OL$216/1000</f>
        <v>2.6149191314640001</v>
      </c>
      <c r="AJ36" s="32">
        <f>'[1]Soybean Imports'!OX$216/1000</f>
        <v>3.5368776432960001</v>
      </c>
      <c r="AK36" s="35">
        <f>AK37-SUM(AK25:AK35)</f>
        <v>0.93067500678665382</v>
      </c>
      <c r="AL36" s="35">
        <f>AL37-SUM(AL25:AL35)</f>
        <v>2.3496508749682299</v>
      </c>
      <c r="AM36" s="35">
        <f t="shared" ref="AM36:BE36" si="26">AM37-SUM(AM25:AM35)</f>
        <v>2.2120770187512377</v>
      </c>
      <c r="AN36" s="35">
        <f t="shared" si="26"/>
        <v>2.3159319232047046</v>
      </c>
      <c r="AO36" s="35">
        <f t="shared" si="26"/>
        <v>2.192446009750995</v>
      </c>
      <c r="AP36" s="35">
        <f t="shared" si="26"/>
        <v>2.4001874000308341</v>
      </c>
      <c r="AQ36" s="35">
        <f t="shared" si="26"/>
        <v>2.6469907446244605</v>
      </c>
      <c r="AR36" s="35">
        <f t="shared" si="26"/>
        <v>2.6150295769693841</v>
      </c>
      <c r="AS36" s="35">
        <f t="shared" si="26"/>
        <v>2.6079826402672239</v>
      </c>
      <c r="AT36" s="35">
        <f t="shared" si="26"/>
        <v>2.5784764906847428</v>
      </c>
      <c r="AU36" s="35">
        <f t="shared" si="26"/>
        <v>2.5697333705153262</v>
      </c>
      <c r="AV36" s="35">
        <f t="shared" si="26"/>
        <v>2.6036425646122296</v>
      </c>
      <c r="AW36" s="35">
        <f t="shared" si="26"/>
        <v>2.5949729286097849</v>
      </c>
      <c r="AX36" s="35">
        <f t="shared" si="26"/>
        <v>2.5909615989378629</v>
      </c>
      <c r="AY36" s="35">
        <f t="shared" si="26"/>
        <v>2.5875573906719893</v>
      </c>
      <c r="AZ36" s="35">
        <f t="shared" si="26"/>
        <v>2.5893735706694407</v>
      </c>
      <c r="BA36" s="35">
        <f t="shared" si="26"/>
        <v>2.5933016107002587</v>
      </c>
      <c r="BB36" s="35">
        <f t="shared" si="26"/>
        <v>2.5912334199178702</v>
      </c>
      <c r="BC36" s="35">
        <f t="shared" si="26"/>
        <v>2.5904855181794808</v>
      </c>
      <c r="BD36" s="35">
        <f t="shared" si="26"/>
        <v>2.5903903020278101</v>
      </c>
      <c r="BE36" s="35">
        <f t="shared" si="26"/>
        <v>2.5909568842989721</v>
      </c>
    </row>
    <row r="37" spans="1:57" ht="15.75" thickBot="1" x14ac:dyDescent="0.3">
      <c r="A37" s="51" t="s">
        <v>90</v>
      </c>
      <c r="B37" s="51"/>
      <c r="C37" s="51"/>
      <c r="D37" s="51"/>
      <c r="E37" s="51"/>
      <c r="F37" s="51"/>
      <c r="G37" s="51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>
        <f t="shared" ref="Y37:AJ37" si="27">SUM(Y25:Y36)</f>
        <v>65.153008897584016</v>
      </c>
      <c r="Z37" s="52">
        <f t="shared" si="27"/>
        <v>34.033566677735998</v>
      </c>
      <c r="AA37" s="52">
        <f t="shared" si="27"/>
        <v>24.411456110088007</v>
      </c>
      <c r="AB37" s="52">
        <f t="shared" si="27"/>
        <v>23.149960697904003</v>
      </c>
      <c r="AC37" s="52">
        <f t="shared" si="27"/>
        <v>22.917839700648003</v>
      </c>
      <c r="AD37" s="52">
        <f t="shared" si="27"/>
        <v>15.255234917447998</v>
      </c>
      <c r="AE37" s="52">
        <f t="shared" si="27"/>
        <v>16.626638431272003</v>
      </c>
      <c r="AF37" s="52">
        <f t="shared" si="27"/>
        <v>20.864527513031998</v>
      </c>
      <c r="AG37" s="52">
        <f t="shared" si="27"/>
        <v>16.508666711856002</v>
      </c>
      <c r="AH37" s="52">
        <f t="shared" si="27"/>
        <v>24.912396909480005</v>
      </c>
      <c r="AI37" s="52">
        <f t="shared" si="27"/>
        <v>21.329628582264</v>
      </c>
      <c r="AJ37" s="52">
        <f t="shared" si="27"/>
        <v>29.367067838256006</v>
      </c>
      <c r="AK37" s="44">
        <f>AK10</f>
        <v>25</v>
      </c>
      <c r="AL37" s="44">
        <f>AL10</f>
        <v>25</v>
      </c>
      <c r="AM37" s="44">
        <f t="shared" ref="AM37:BE37" si="28">AM10</f>
        <v>25</v>
      </c>
      <c r="AN37" s="44">
        <f t="shared" si="28"/>
        <v>25</v>
      </c>
      <c r="AO37" s="44">
        <f t="shared" si="28"/>
        <v>25</v>
      </c>
      <c r="AP37" s="44">
        <f t="shared" si="28"/>
        <v>30</v>
      </c>
      <c r="AQ37" s="44">
        <f t="shared" si="28"/>
        <v>30</v>
      </c>
      <c r="AR37" s="44">
        <f t="shared" si="28"/>
        <v>30</v>
      </c>
      <c r="AS37" s="44">
        <f t="shared" si="28"/>
        <v>30</v>
      </c>
      <c r="AT37" s="44">
        <f t="shared" si="28"/>
        <v>30</v>
      </c>
      <c r="AU37" s="44">
        <f t="shared" si="28"/>
        <v>30</v>
      </c>
      <c r="AV37" s="44">
        <f t="shared" si="28"/>
        <v>30</v>
      </c>
      <c r="AW37" s="44">
        <f t="shared" si="28"/>
        <v>30</v>
      </c>
      <c r="AX37" s="44">
        <f t="shared" si="28"/>
        <v>30</v>
      </c>
      <c r="AY37" s="44">
        <f t="shared" si="28"/>
        <v>30</v>
      </c>
      <c r="AZ37" s="44">
        <f t="shared" si="28"/>
        <v>30</v>
      </c>
      <c r="BA37" s="44">
        <f t="shared" si="28"/>
        <v>30</v>
      </c>
      <c r="BB37" s="44">
        <f t="shared" si="28"/>
        <v>30</v>
      </c>
      <c r="BC37" s="44">
        <f t="shared" si="28"/>
        <v>30</v>
      </c>
      <c r="BD37" s="44">
        <f t="shared" si="28"/>
        <v>30</v>
      </c>
      <c r="BE37" s="44">
        <f t="shared" si="28"/>
        <v>30</v>
      </c>
    </row>
    <row r="38" spans="1:57" x14ac:dyDescent="0.25">
      <c r="A38" s="59"/>
      <c r="B38" s="59"/>
      <c r="C38" s="59"/>
      <c r="D38" s="59"/>
      <c r="E38" s="59"/>
      <c r="F38" s="59"/>
      <c r="G38" s="59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</row>
    <row r="39" spans="1:57" ht="15.75" thickBot="1" x14ac:dyDescent="0.3">
      <c r="A39" s="55" t="s">
        <v>91</v>
      </c>
      <c r="B39" s="30"/>
      <c r="C39" s="30"/>
      <c r="D39" s="30"/>
      <c r="E39" s="30"/>
      <c r="F39" s="30"/>
      <c r="G39" s="3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1:57" ht="15.75" thickBot="1" x14ac:dyDescent="0.3">
      <c r="A40" s="56" t="s">
        <v>77</v>
      </c>
      <c r="B40" s="57">
        <f>B19</f>
        <v>0</v>
      </c>
      <c r="C40" s="57"/>
      <c r="D40" s="57"/>
      <c r="E40" s="57"/>
      <c r="F40" s="58" t="str">
        <f t="shared" ref="F40:U40" si="29">F3</f>
        <v>1994/95</v>
      </c>
      <c r="G40" s="58" t="str">
        <f t="shared" si="29"/>
        <v>1995/96</v>
      </c>
      <c r="H40" s="58" t="str">
        <f t="shared" si="29"/>
        <v>1996/97</v>
      </c>
      <c r="I40" s="58" t="str">
        <f t="shared" si="29"/>
        <v>1997/98</v>
      </c>
      <c r="J40" s="58" t="str">
        <f t="shared" si="29"/>
        <v>1998/99</v>
      </c>
      <c r="K40" s="58" t="str">
        <f t="shared" si="29"/>
        <v>1999/00</v>
      </c>
      <c r="L40" s="58" t="str">
        <f t="shared" si="29"/>
        <v>2000/01</v>
      </c>
      <c r="M40" s="58" t="str">
        <f t="shared" si="29"/>
        <v>2001/02</v>
      </c>
      <c r="N40" s="58" t="str">
        <f t="shared" si="29"/>
        <v>2002/03</v>
      </c>
      <c r="O40" s="58" t="str">
        <f t="shared" si="29"/>
        <v>2003/04</v>
      </c>
      <c r="P40" s="58" t="str">
        <f t="shared" si="29"/>
        <v>2004/05</v>
      </c>
      <c r="Q40" s="58" t="str">
        <f t="shared" si="29"/>
        <v>2005/06</v>
      </c>
      <c r="R40" s="58" t="str">
        <f t="shared" si="29"/>
        <v>2006/07</v>
      </c>
      <c r="S40" s="58" t="str">
        <f t="shared" si="29"/>
        <v>2007/08</v>
      </c>
      <c r="T40" s="58" t="str">
        <f t="shared" si="29"/>
        <v>2008/09</v>
      </c>
      <c r="U40" s="58" t="str">
        <f t="shared" si="29"/>
        <v>2009/10</v>
      </c>
      <c r="V40" s="58" t="str">
        <f>V3</f>
        <v>2010/11</v>
      </c>
      <c r="W40" s="58" t="str">
        <f t="shared" ref="W40:BE40" si="30">W3</f>
        <v>2011/12</v>
      </c>
      <c r="X40" s="58" t="str">
        <f t="shared" si="30"/>
        <v>2012/13</v>
      </c>
      <c r="Y40" s="58" t="str">
        <f t="shared" si="30"/>
        <v>2013/14</v>
      </c>
      <c r="Z40" s="58" t="str">
        <f t="shared" si="30"/>
        <v>2014/15</v>
      </c>
      <c r="AA40" s="58" t="str">
        <f t="shared" si="30"/>
        <v>2015/16</v>
      </c>
      <c r="AB40" s="58" t="str">
        <f t="shared" si="30"/>
        <v>2016/17</v>
      </c>
      <c r="AC40" s="58" t="str">
        <f t="shared" si="30"/>
        <v>2017/18</v>
      </c>
      <c r="AD40" s="58" t="str">
        <f t="shared" si="30"/>
        <v>2018/19</v>
      </c>
      <c r="AE40" s="58" t="str">
        <f t="shared" si="30"/>
        <v>2019/20</v>
      </c>
      <c r="AF40" s="58" t="str">
        <f t="shared" si="30"/>
        <v>2020/21</v>
      </c>
      <c r="AG40" s="58" t="str">
        <f t="shared" si="30"/>
        <v>2021/22</v>
      </c>
      <c r="AH40" s="58" t="str">
        <f t="shared" si="30"/>
        <v>2022/23</v>
      </c>
      <c r="AI40" s="58" t="str">
        <f t="shared" si="30"/>
        <v>2023/24</v>
      </c>
      <c r="AJ40" s="58" t="str">
        <f t="shared" si="30"/>
        <v>2024/25</v>
      </c>
      <c r="AK40" s="14" t="str">
        <f t="shared" si="30"/>
        <v>2025/26</v>
      </c>
      <c r="AL40" s="14" t="str">
        <f t="shared" si="30"/>
        <v>2026/27</v>
      </c>
      <c r="AM40" s="14" t="str">
        <f t="shared" si="30"/>
        <v>2027/28</v>
      </c>
      <c r="AN40" s="14" t="str">
        <f t="shared" si="30"/>
        <v>2028/29</v>
      </c>
      <c r="AO40" s="14" t="str">
        <f t="shared" si="30"/>
        <v>2029/30</v>
      </c>
      <c r="AP40" s="14" t="str">
        <f t="shared" si="30"/>
        <v>2030/31</v>
      </c>
      <c r="AQ40" s="14" t="str">
        <f t="shared" si="30"/>
        <v>2031/32</v>
      </c>
      <c r="AR40" s="14" t="str">
        <f t="shared" si="30"/>
        <v>2032/33</v>
      </c>
      <c r="AS40" s="14" t="str">
        <f t="shared" si="30"/>
        <v>2033/34</v>
      </c>
      <c r="AT40" s="14" t="str">
        <f t="shared" si="30"/>
        <v>2034/35</v>
      </c>
      <c r="AU40" s="14" t="str">
        <f t="shared" si="30"/>
        <v>2035/36</v>
      </c>
      <c r="AV40" s="14" t="str">
        <f t="shared" si="30"/>
        <v>2036/37</v>
      </c>
      <c r="AW40" s="14" t="str">
        <f t="shared" si="30"/>
        <v>2037/38</v>
      </c>
      <c r="AX40" s="14" t="str">
        <f t="shared" si="30"/>
        <v>2038/39</v>
      </c>
      <c r="AY40" s="14" t="str">
        <f t="shared" si="30"/>
        <v>2039/40</v>
      </c>
      <c r="AZ40" s="14" t="str">
        <f t="shared" si="30"/>
        <v>2040/41</v>
      </c>
      <c r="BA40" s="14" t="str">
        <f t="shared" si="30"/>
        <v>2041/42</v>
      </c>
      <c r="BB40" s="14" t="str">
        <f t="shared" si="30"/>
        <v>2042/43</v>
      </c>
      <c r="BC40" s="14" t="str">
        <f t="shared" si="30"/>
        <v>2043/44</v>
      </c>
      <c r="BD40" s="14" t="str">
        <f t="shared" si="30"/>
        <v>2044/45</v>
      </c>
      <c r="BE40" s="14" t="str">
        <f t="shared" si="30"/>
        <v>2045/46</v>
      </c>
    </row>
    <row r="41" spans="1:57" x14ac:dyDescent="0.25">
      <c r="A41" s="30" t="s">
        <v>78</v>
      </c>
      <c r="B41" s="30"/>
      <c r="C41" s="30"/>
      <c r="D41" s="30"/>
      <c r="E41" s="30"/>
      <c r="F41" s="30"/>
      <c r="G41" s="30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>
        <f>'[1]Soybean Exports'!JW$216/1000</f>
        <v>77.908916763236988</v>
      </c>
      <c r="AA41" s="32">
        <f>'[1]Soybean Exports'!KI$216/1000</f>
        <v>86.415249284529907</v>
      </c>
      <c r="AB41" s="32">
        <f>'[1]Soybean Exports'!KU$216/1000</f>
        <v>137.84540628476103</v>
      </c>
      <c r="AC41" s="32">
        <f>'[1]Soybean Exports'!LG$216/1000</f>
        <v>165.68965754687429</v>
      </c>
      <c r="AD41" s="32">
        <f>'[1]Soybean Exports'!LS$216/1000</f>
        <v>122.68693468044299</v>
      </c>
      <c r="AE41" s="32">
        <f>'[1]Soybean Exports'!ME$216/1000</f>
        <v>143.93673255785879</v>
      </c>
      <c r="AF41" s="32">
        <f>'[1]Soybean Exports'!MQ$216/1000</f>
        <v>264.32498210117569</v>
      </c>
      <c r="AG41" s="32">
        <f>'[1]Soybean Exports'!NC$216/1000</f>
        <v>77.340403465869599</v>
      </c>
      <c r="AH41" s="32">
        <f>'[1]Soybean Exports'!NO$216/1000</f>
        <v>76.516530198502792</v>
      </c>
      <c r="AI41" s="32">
        <f>'[1]Soybean Exports'!OA$216/1000</f>
        <v>91.931736648586792</v>
      </c>
      <c r="AJ41" s="32">
        <f>'[1]Soybean Exports'!OM$216/1000</f>
        <v>114.55173234192451</v>
      </c>
      <c r="AK41" s="32">
        <f>'[1]Soybean Exports'!OY$216/1000</f>
        <v>105.0952232077293</v>
      </c>
      <c r="AL41" s="35">
        <f t="shared" ref="AL41:AL43" si="31">AL$53*(SUM(AG41:AK41)/SUM(AG$53:AK$53))</f>
        <v>75.689593685363704</v>
      </c>
      <c r="AM41" s="35">
        <f t="shared" ref="AM41:AM51" si="32">AM$53*(SUM(AH41:AL41)/SUM(AH$53:AL$53))</f>
        <v>81.207676604490544</v>
      </c>
      <c r="AN41" s="35">
        <f t="shared" ref="AN41:AN51" si="33">AN$53*(SUM(AI41:AM41)/SUM(AI$53:AM$53))</f>
        <v>86.913347124429308</v>
      </c>
      <c r="AO41" s="35">
        <f t="shared" ref="AO41:AO51" si="34">AO$53*(SUM(AJ41:AN41)/SUM(AJ$53:AN$53))</f>
        <v>88.199935942258307</v>
      </c>
      <c r="AP41" s="35">
        <f t="shared" ref="AP41:AP51" si="35">AP$53*(SUM(AK41:AO41)/SUM(AK$53:AO$53))</f>
        <v>87.421155312854239</v>
      </c>
      <c r="AQ41" s="35">
        <f t="shared" ref="AQ41:AQ51" si="36">AQ$53*(SUM(AL41:AP41)/SUM(AL$53:AP$53))</f>
        <v>83.886341733879235</v>
      </c>
      <c r="AR41" s="35">
        <f t="shared" ref="AR41:AR51" si="37">AR$53*(SUM(AM41:AQ41)/SUM(AM$53:AQ$53))</f>
        <v>85.525691343582324</v>
      </c>
      <c r="AS41" s="35">
        <f t="shared" ref="AS41:AS51" si="38">AS$53*(SUM(AN41:AR41)/SUM(AN$53:AR$53))</f>
        <v>86.389294291400674</v>
      </c>
      <c r="AT41" s="35">
        <f t="shared" ref="AT41:AT51" si="39">AT$53*(SUM(AO41:AS41)/SUM(AO$53:AS$53))</f>
        <v>86.284483724794953</v>
      </c>
      <c r="AU41" s="35">
        <f t="shared" ref="AU41:AU51" si="40">AU$53*(SUM(AP41:AT41)/SUM(AP$53:AT$53))</f>
        <v>85.901393281302276</v>
      </c>
      <c r="AV41" s="35">
        <f t="shared" ref="AV41:AV51" si="41">AV$53*(SUM(AQ41:AU41)/SUM(AQ$53:AU$53))</f>
        <v>85.597440874991889</v>
      </c>
      <c r="AW41" s="35">
        <f t="shared" ref="AW41:AW51" si="42">AW$53*(SUM(AR41:AV41)/SUM(AR$53:AV$53))</f>
        <v>85.939660703214415</v>
      </c>
      <c r="AX41" s="35">
        <f t="shared" ref="AX41:AX51" si="43">AX$53*(SUM(AS41:AW41)/SUM(AS$53:AW$53))</f>
        <v>86.022454575140841</v>
      </c>
      <c r="AY41" s="35">
        <f t="shared" ref="AY41:AY51" si="44">AY$53*(SUM(AT41:AX41)/SUM(AT$53:AX$53))</f>
        <v>85.949086631888889</v>
      </c>
      <c r="AZ41" s="35">
        <f t="shared" ref="AZ41:AZ51" si="45">AZ$53*(SUM(AU41:AY41)/SUM(AU$53:AY$53))</f>
        <v>85.882007213307659</v>
      </c>
      <c r="BA41" s="35">
        <f t="shared" ref="BA41:BA51" si="46">BA$53*(SUM(AV41:AZ41)/SUM(AV$53:AZ$53))</f>
        <v>85.878129999708733</v>
      </c>
      <c r="BB41" s="35">
        <f t="shared" ref="BB41:BB51" si="47">BB$53*(SUM(AW41:BA41)/SUM(AW$53:BA$53))</f>
        <v>85.934267824652096</v>
      </c>
      <c r="BC41" s="35">
        <f t="shared" ref="BC41:BC51" si="48">BC$53*(SUM(AX41:BB41)/SUM(AX$53:BB$53))</f>
        <v>85.933189248939655</v>
      </c>
      <c r="BD41" s="35">
        <f t="shared" ref="BD41:BD51" si="49">BD$53*(SUM(AY41:BC41)/SUM(AY$53:BC$53))</f>
        <v>85.915336183699409</v>
      </c>
      <c r="BE41" s="35">
        <f t="shared" ref="BE41:BE51" si="50">BE$53*(SUM(AZ41:BD41)/SUM(AZ$53:BD$53))</f>
        <v>85.908586094061519</v>
      </c>
    </row>
    <row r="42" spans="1:57" x14ac:dyDescent="0.25">
      <c r="A42" s="30" t="s">
        <v>79</v>
      </c>
      <c r="B42" s="30"/>
      <c r="C42" s="30"/>
      <c r="D42" s="30"/>
      <c r="E42" s="30"/>
      <c r="F42" s="30"/>
      <c r="G42" s="30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>
        <f>'[1]Soybean Exports'!JX$216/1000</f>
        <v>329.79453700932271</v>
      </c>
      <c r="AA42" s="32">
        <f>'[1]Soybean Exports'!KJ$216/1000</f>
        <v>368.17655136277892</v>
      </c>
      <c r="AB42" s="32">
        <f>'[1]Soybean Exports'!KV$216/1000</f>
        <v>410.49055549727206</v>
      </c>
      <c r="AC42" s="32">
        <f>'[1]Soybean Exports'!LH$216/1000</f>
        <v>354.57813128020297</v>
      </c>
      <c r="AD42" s="32">
        <f>'[1]Soybean Exports'!LT$216/1000</f>
        <v>201.82460174090548</v>
      </c>
      <c r="AE42" s="32">
        <f>'[1]Soybean Exports'!MF$216/1000</f>
        <v>216.8801117658063</v>
      </c>
      <c r="AF42" s="32">
        <f>'[1]Soybean Exports'!MR$216/1000</f>
        <v>425.96349688224154</v>
      </c>
      <c r="AG42" s="32">
        <f>'[1]Soybean Exports'!ND$216/1000</f>
        <v>393.33791547651083</v>
      </c>
      <c r="AH42" s="32">
        <f>'[1]Soybean Exports'!NP$216/1000</f>
        <v>365.71641418739074</v>
      </c>
      <c r="AI42" s="32">
        <f>'[1]Soybean Exports'!OB$216/1000</f>
        <v>346.37154927054746</v>
      </c>
      <c r="AJ42" s="32">
        <f>'[1]Soybean Exports'!ON$216/1000</f>
        <v>346.14743467328009</v>
      </c>
      <c r="AK42" s="32">
        <f>'[1]Soybean Exports'!OZ$216/1000</f>
        <v>197.28740063492037</v>
      </c>
      <c r="AL42" s="35">
        <f t="shared" si="31"/>
        <v>268.13933134895774</v>
      </c>
      <c r="AM42" s="35">
        <f t="shared" si="32"/>
        <v>266.78980688102257</v>
      </c>
      <c r="AN42" s="35">
        <f t="shared" si="33"/>
        <v>264.3220633919442</v>
      </c>
      <c r="AO42" s="35">
        <f t="shared" si="34"/>
        <v>255.52462481180899</v>
      </c>
      <c r="AP42" s="35">
        <f t="shared" si="35"/>
        <v>250.41264541373079</v>
      </c>
      <c r="AQ42" s="35">
        <f t="shared" si="36"/>
        <v>261.03769436949284</v>
      </c>
      <c r="AR42" s="35">
        <f t="shared" si="37"/>
        <v>259.61736697359987</v>
      </c>
      <c r="AS42" s="35">
        <f t="shared" si="38"/>
        <v>258.18287899211532</v>
      </c>
      <c r="AT42" s="35">
        <f t="shared" si="39"/>
        <v>256.95504211214956</v>
      </c>
      <c r="AU42" s="35">
        <f t="shared" si="40"/>
        <v>257.2411255722177</v>
      </c>
      <c r="AV42" s="35">
        <f t="shared" si="41"/>
        <v>258.60682160391508</v>
      </c>
      <c r="AW42" s="35">
        <f t="shared" si="42"/>
        <v>258.1206470507995</v>
      </c>
      <c r="AX42" s="35">
        <f t="shared" si="43"/>
        <v>257.82130306623947</v>
      </c>
      <c r="AY42" s="35">
        <f t="shared" si="44"/>
        <v>257.74898788106429</v>
      </c>
      <c r="AZ42" s="35">
        <f t="shared" si="45"/>
        <v>257.90777703484719</v>
      </c>
      <c r="BA42" s="35">
        <f t="shared" si="46"/>
        <v>258.04110732737308</v>
      </c>
      <c r="BB42" s="35">
        <f t="shared" si="47"/>
        <v>257.92796447206467</v>
      </c>
      <c r="BC42" s="35">
        <f t="shared" si="48"/>
        <v>257.88942795631777</v>
      </c>
      <c r="BD42" s="35">
        <f t="shared" si="49"/>
        <v>257.9030529343334</v>
      </c>
      <c r="BE42" s="35">
        <f t="shared" si="50"/>
        <v>257.93386594498719</v>
      </c>
    </row>
    <row r="43" spans="1:57" x14ac:dyDescent="0.25">
      <c r="A43" s="30" t="s">
        <v>80</v>
      </c>
      <c r="B43" s="30"/>
      <c r="C43" s="30"/>
      <c r="D43" s="30"/>
      <c r="E43" s="30"/>
      <c r="F43" s="30"/>
      <c r="G43" s="30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>
        <f>'[1]Soybean Exports'!JY$216/1000</f>
        <v>405.18061237081054</v>
      </c>
      <c r="AA43" s="32">
        <f>'[1]Soybean Exports'!KK$216/1000</f>
        <v>337.07418261260727</v>
      </c>
      <c r="AB43" s="32">
        <f>'[1]Soybean Exports'!KW$216/1000</f>
        <v>381.05448741732948</v>
      </c>
      <c r="AC43" s="32">
        <f>'[1]Soybean Exports'!LI$216/1000</f>
        <v>337.85557373262668</v>
      </c>
      <c r="AD43" s="32">
        <f>'[1]Soybean Exports'!LU$216/1000</f>
        <v>180.72229031951218</v>
      </c>
      <c r="AE43" s="32">
        <f>'[1]Soybean Exports'!MG$216/1000</f>
        <v>251.44521554897858</v>
      </c>
      <c r="AF43" s="32">
        <f>'[1]Soybean Exports'!MS$216/1000</f>
        <v>400.45387057858568</v>
      </c>
      <c r="AG43" s="32">
        <f>'[1]Soybean Exports'!NE$216/1000</f>
        <v>393.10775077183257</v>
      </c>
      <c r="AH43" s="32">
        <f>'[1]Soybean Exports'!NQ$216/1000</f>
        <v>358.61469770999031</v>
      </c>
      <c r="AI43" s="32">
        <f>'[1]Soybean Exports'!OC$216/1000</f>
        <v>274.73550411101553</v>
      </c>
      <c r="AJ43" s="32">
        <f>'[1]Soybean Exports'!OO$216/1000</f>
        <v>370.83224144906319</v>
      </c>
      <c r="AK43" s="32">
        <f>'[1]Soybean Exports'!PA$216/1000</f>
        <v>158.0053850648406</v>
      </c>
      <c r="AL43" s="35">
        <f t="shared" si="31"/>
        <v>252.92367816721486</v>
      </c>
      <c r="AM43" s="35">
        <f t="shared" si="32"/>
        <v>247.7828372004598</v>
      </c>
      <c r="AN43" s="35">
        <f t="shared" si="33"/>
        <v>241.97465547095777</v>
      </c>
      <c r="AO43" s="35">
        <f t="shared" si="34"/>
        <v>241.98089106334979</v>
      </c>
      <c r="AP43" s="35">
        <f t="shared" si="35"/>
        <v>228.53348939336456</v>
      </c>
      <c r="AQ43" s="35">
        <f t="shared" si="36"/>
        <v>242.63911025906938</v>
      </c>
      <c r="AR43" s="35">
        <f t="shared" si="37"/>
        <v>240.58219667744027</v>
      </c>
      <c r="AS43" s="35">
        <f t="shared" si="38"/>
        <v>239.14206857283634</v>
      </c>
      <c r="AT43" s="35">
        <f t="shared" si="39"/>
        <v>238.57555119321208</v>
      </c>
      <c r="AU43" s="35">
        <f t="shared" si="40"/>
        <v>237.89448321918451</v>
      </c>
      <c r="AV43" s="35">
        <f t="shared" si="41"/>
        <v>239.76668198434857</v>
      </c>
      <c r="AW43" s="35">
        <f t="shared" si="42"/>
        <v>239.19219632940434</v>
      </c>
      <c r="AX43" s="35">
        <f t="shared" si="43"/>
        <v>238.91419625979717</v>
      </c>
      <c r="AY43" s="35">
        <f t="shared" si="44"/>
        <v>238.86862179718935</v>
      </c>
      <c r="AZ43" s="35">
        <f t="shared" si="45"/>
        <v>238.92723591798475</v>
      </c>
      <c r="BA43" s="35">
        <f t="shared" si="46"/>
        <v>239.1337864577448</v>
      </c>
      <c r="BB43" s="35">
        <f t="shared" si="47"/>
        <v>239.00720735242407</v>
      </c>
      <c r="BC43" s="35">
        <f t="shared" si="48"/>
        <v>238.97020955702803</v>
      </c>
      <c r="BD43" s="35">
        <f t="shared" si="49"/>
        <v>238.98141221647421</v>
      </c>
      <c r="BE43" s="35">
        <f t="shared" si="50"/>
        <v>239.00397030033119</v>
      </c>
    </row>
    <row r="44" spans="1:57" x14ac:dyDescent="0.25">
      <c r="A44" s="30" t="s">
        <v>81</v>
      </c>
      <c r="B44" s="30"/>
      <c r="C44" s="30"/>
      <c r="D44" s="30"/>
      <c r="E44" s="30"/>
      <c r="F44" s="30"/>
      <c r="G44" s="30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>
        <f>'[1]Soybean Exports'!$JN$216/1000</f>
        <v>252.06268721779324</v>
      </c>
      <c r="Z44" s="32">
        <f>'[1]Soybean Exports'!JZ$216/1000</f>
        <v>301.63095088021566</v>
      </c>
      <c r="AA44" s="32">
        <f>'[1]Soybean Exports'!KL$216/1000</f>
        <v>250.06812553352916</v>
      </c>
      <c r="AB44" s="32">
        <f>'[1]Soybean Exports'!KX$216/1000</f>
        <v>293.47537235960584</v>
      </c>
      <c r="AC44" s="32">
        <f>'[1]Soybean Exports'!LJ$216/1000</f>
        <v>229.00722249833811</v>
      </c>
      <c r="AD44" s="32">
        <f>'[1]Soybean Exports'!LV$216/1000</f>
        <v>147.2972083672677</v>
      </c>
      <c r="AE44" s="32">
        <f>'[1]Soybean Exports'!MH$216/1000</f>
        <v>208.59287222727659</v>
      </c>
      <c r="AF44" s="32">
        <f>'[1]Soybean Exports'!MT$216/1000</f>
        <v>386.90618979785205</v>
      </c>
      <c r="AG44" s="32">
        <f>'[1]Soybean Exports'!NF$216/1000</f>
        <v>292.41328218942425</v>
      </c>
      <c r="AH44" s="32">
        <f>'[1]Soybean Exports'!NR$216/1000</f>
        <v>293.00924802783476</v>
      </c>
      <c r="AI44" s="32">
        <f>'[1]Soybean Exports'!OD$216/1000</f>
        <v>175.80791373676652</v>
      </c>
      <c r="AJ44" s="32">
        <f>'[1]Soybean Exports'!OP$216/1000</f>
        <v>275.12455415953622</v>
      </c>
      <c r="AK44" s="35">
        <f>AK$53*(SUM(AF44:AJ44)/SUM(AF$53:AJ$53))</f>
        <v>213.61933202693214</v>
      </c>
      <c r="AL44" s="35">
        <f>AL$53*(SUM(AG44:AK44)/SUM(AG$53:AK$53))</f>
        <v>203.27204001654056</v>
      </c>
      <c r="AM44" s="35">
        <f t="shared" si="32"/>
        <v>203.25925888607961</v>
      </c>
      <c r="AN44" s="35">
        <f t="shared" si="33"/>
        <v>198.71119250803966</v>
      </c>
      <c r="AO44" s="35">
        <f t="shared" si="34"/>
        <v>208.19495473704987</v>
      </c>
      <c r="AP44" s="35">
        <f t="shared" si="35"/>
        <v>205.41135563492836</v>
      </c>
      <c r="AQ44" s="35">
        <f t="shared" si="36"/>
        <v>203.7697603565276</v>
      </c>
      <c r="AR44" s="35">
        <f t="shared" si="37"/>
        <v>203.86930442452504</v>
      </c>
      <c r="AS44" s="35">
        <f t="shared" si="38"/>
        <v>203.99131353221412</v>
      </c>
      <c r="AT44" s="35">
        <f t="shared" si="39"/>
        <v>205.04733773704902</v>
      </c>
      <c r="AU44" s="35">
        <f t="shared" si="40"/>
        <v>204.41781433704881</v>
      </c>
      <c r="AV44" s="35">
        <f t="shared" si="41"/>
        <v>204.2191060774729</v>
      </c>
      <c r="AW44" s="35">
        <f t="shared" si="42"/>
        <v>204.308975221662</v>
      </c>
      <c r="AX44" s="35">
        <f t="shared" si="43"/>
        <v>204.39690938108933</v>
      </c>
      <c r="AY44" s="35">
        <f t="shared" si="44"/>
        <v>204.47802855086439</v>
      </c>
      <c r="AZ44" s="35">
        <f t="shared" si="45"/>
        <v>204.3641667136275</v>
      </c>
      <c r="BA44" s="35">
        <f t="shared" si="46"/>
        <v>204.35343718894319</v>
      </c>
      <c r="BB44" s="35">
        <f t="shared" si="47"/>
        <v>204.38030341123732</v>
      </c>
      <c r="BC44" s="35">
        <f t="shared" si="48"/>
        <v>204.3945690491523</v>
      </c>
      <c r="BD44" s="35">
        <f t="shared" si="49"/>
        <v>204.39410098276494</v>
      </c>
      <c r="BE44" s="35">
        <f t="shared" si="50"/>
        <v>204.37731546914506</v>
      </c>
    </row>
    <row r="45" spans="1:57" x14ac:dyDescent="0.25">
      <c r="A45" s="30" t="s">
        <v>82</v>
      </c>
      <c r="B45" s="30"/>
      <c r="C45" s="30"/>
      <c r="D45" s="30"/>
      <c r="E45" s="30"/>
      <c r="F45" s="30"/>
      <c r="G45" s="30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>
        <f>'[1]Soybean Exports'!$JO$216/1000</f>
        <v>258.94609662342964</v>
      </c>
      <c r="Z45" s="32">
        <f>'[1]Soybean Exports'!KA$216/1000</f>
        <v>257.38928868854885</v>
      </c>
      <c r="AA45" s="32">
        <f>'[1]Soybean Exports'!KM$216/1000</f>
        <v>223.89789372744787</v>
      </c>
      <c r="AB45" s="32">
        <f>'[1]Soybean Exports'!KY$216/1000</f>
        <v>257.90295573049349</v>
      </c>
      <c r="AC45" s="32">
        <f>'[1]Soybean Exports'!LK$216/1000</f>
        <v>213.54016693969689</v>
      </c>
      <c r="AD45" s="32">
        <f>'[1]Soybean Exports'!LW$216/1000</f>
        <v>176.8776163932267</v>
      </c>
      <c r="AE45" s="32">
        <f>'[1]Soybean Exports'!MI$216/1000</f>
        <v>190.66233449377376</v>
      </c>
      <c r="AF45" s="32">
        <f>'[1]Soybean Exports'!MU$216/1000</f>
        <v>331.91087958778263</v>
      </c>
      <c r="AG45" s="32">
        <f>'[1]Soybean Exports'!NG$216/1000</f>
        <v>240.48860819207073</v>
      </c>
      <c r="AH45" s="32">
        <f>'[1]Soybean Exports'!NS$216/1000</f>
        <v>303.27872048999274</v>
      </c>
      <c r="AI45" s="32">
        <f>'[1]Soybean Exports'!OE$216/1000</f>
        <v>215.71520339012488</v>
      </c>
      <c r="AJ45" s="32">
        <f>'[1]Soybean Exports'!OQ$216/1000</f>
        <v>191.58194762352869</v>
      </c>
      <c r="AK45" s="35">
        <f t="shared" ref="AK45:AL46" si="51">AK$53*(SUM(AF45:AJ45)/SUM(AF$53:AJ$53))</f>
        <v>192.56362892839104</v>
      </c>
      <c r="AL45" s="35">
        <f t="shared" si="51"/>
        <v>185.97791414976612</v>
      </c>
      <c r="AM45" s="35">
        <f t="shared" si="32"/>
        <v>190.7020060182823</v>
      </c>
      <c r="AN45" s="35">
        <f t="shared" si="33"/>
        <v>181.17134633553073</v>
      </c>
      <c r="AO45" s="35">
        <f t="shared" si="34"/>
        <v>179.27004770676066</v>
      </c>
      <c r="AP45" s="35">
        <f t="shared" si="35"/>
        <v>185.93698862774616</v>
      </c>
      <c r="AQ45" s="35">
        <f t="shared" si="36"/>
        <v>184.61166056761721</v>
      </c>
      <c r="AR45" s="35">
        <f t="shared" si="37"/>
        <v>184.33840985118741</v>
      </c>
      <c r="AS45" s="35">
        <f t="shared" si="38"/>
        <v>183.06569061776847</v>
      </c>
      <c r="AT45" s="35">
        <f t="shared" si="39"/>
        <v>183.44455947421599</v>
      </c>
      <c r="AU45" s="35">
        <f t="shared" si="40"/>
        <v>184.27946182770705</v>
      </c>
      <c r="AV45" s="35">
        <f t="shared" si="41"/>
        <v>183.94795646769921</v>
      </c>
      <c r="AW45" s="35">
        <f t="shared" si="42"/>
        <v>183.81521564771566</v>
      </c>
      <c r="AX45" s="35">
        <f t="shared" si="43"/>
        <v>183.71057680702131</v>
      </c>
      <c r="AY45" s="35">
        <f t="shared" si="44"/>
        <v>183.83955404487185</v>
      </c>
      <c r="AZ45" s="35">
        <f t="shared" si="45"/>
        <v>183.91855295900302</v>
      </c>
      <c r="BA45" s="35">
        <f t="shared" si="46"/>
        <v>183.84637118526223</v>
      </c>
      <c r="BB45" s="35">
        <f t="shared" si="47"/>
        <v>183.82605412877479</v>
      </c>
      <c r="BC45" s="35">
        <f t="shared" si="48"/>
        <v>183.82822182498663</v>
      </c>
      <c r="BD45" s="35">
        <f t="shared" si="49"/>
        <v>183.8517508285797</v>
      </c>
      <c r="BE45" s="35">
        <f t="shared" si="50"/>
        <v>183.85419018532127</v>
      </c>
    </row>
    <row r="46" spans="1:57" x14ac:dyDescent="0.25">
      <c r="A46" s="30" t="s">
        <v>83</v>
      </c>
      <c r="B46" s="30"/>
      <c r="C46" s="30"/>
      <c r="D46" s="30"/>
      <c r="E46" s="30"/>
      <c r="F46" s="30"/>
      <c r="G46" s="30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>
        <f>'[1]Soybean Exports'!$JP$216/1000</f>
        <v>198.78552289167806</v>
      </c>
      <c r="Z46" s="32">
        <f>'[1]Soybean Exports'!KB$216/1000</f>
        <v>166.72729140428555</v>
      </c>
      <c r="AA46" s="32">
        <f>'[1]Soybean Exports'!KN$216/1000</f>
        <v>209.17898256024208</v>
      </c>
      <c r="AB46" s="32">
        <f>'[1]Soybean Exports'!KZ$216/1000</f>
        <v>164.51251844274867</v>
      </c>
      <c r="AC46" s="32">
        <f>'[1]Soybean Exports'!LL$216/1000</f>
        <v>155.94896245887418</v>
      </c>
      <c r="AD46" s="32">
        <f>'[1]Soybean Exports'!LX$216/1000</f>
        <v>166.34514898764633</v>
      </c>
      <c r="AE46" s="32">
        <f>'[1]Soybean Exports'!MJ$216/1000</f>
        <v>107.82536804540341</v>
      </c>
      <c r="AF46" s="32">
        <f>'[1]Soybean Exports'!MV$216/1000</f>
        <v>164.87629312468232</v>
      </c>
      <c r="AG46" s="32">
        <f>'[1]Soybean Exports'!NH$216/1000</f>
        <v>140.745411993186</v>
      </c>
      <c r="AH46" s="32">
        <f>'[1]Soybean Exports'!NT$216/1000</f>
        <v>201.188238151761</v>
      </c>
      <c r="AI46" s="32">
        <f>'[1]Soybean Exports'!OF$216/1000</f>
        <v>194.29320193713357</v>
      </c>
      <c r="AJ46" s="32">
        <f>'[1]Soybean Exports'!OR$216/1000</f>
        <v>112.7458060158759</v>
      </c>
      <c r="AK46" s="35">
        <f t="shared" si="51"/>
        <v>122.15176722841989</v>
      </c>
      <c r="AL46" s="35">
        <f t="shared" si="51"/>
        <v>125.40100325504838</v>
      </c>
      <c r="AM46" s="35">
        <f t="shared" si="32"/>
        <v>132.33537848373311</v>
      </c>
      <c r="AN46" s="35">
        <f t="shared" si="33"/>
        <v>127.44119916317116</v>
      </c>
      <c r="AO46" s="35">
        <f t="shared" si="34"/>
        <v>118.00559979055659</v>
      </c>
      <c r="AP46" s="35">
        <f t="shared" si="35"/>
        <v>125.06698958418582</v>
      </c>
      <c r="AQ46" s="35">
        <f t="shared" si="36"/>
        <v>125.65003405533901</v>
      </c>
      <c r="AR46" s="35">
        <f t="shared" si="37"/>
        <v>125.69984021539712</v>
      </c>
      <c r="AS46" s="35">
        <f t="shared" si="38"/>
        <v>124.37273256172995</v>
      </c>
      <c r="AT46" s="35">
        <f t="shared" si="39"/>
        <v>123.75903924144167</v>
      </c>
      <c r="AU46" s="35">
        <f t="shared" si="40"/>
        <v>124.90972713161869</v>
      </c>
      <c r="AV46" s="35">
        <f t="shared" si="41"/>
        <v>124.87827464110528</v>
      </c>
      <c r="AW46" s="35">
        <f t="shared" si="42"/>
        <v>124.72392275825852</v>
      </c>
      <c r="AX46" s="35">
        <f t="shared" si="43"/>
        <v>124.52873926683083</v>
      </c>
      <c r="AY46" s="35">
        <f t="shared" si="44"/>
        <v>124.55994060785102</v>
      </c>
      <c r="AZ46" s="35">
        <f t="shared" si="45"/>
        <v>124.72012088113289</v>
      </c>
      <c r="BA46" s="35">
        <f t="shared" si="46"/>
        <v>124.68219963103572</v>
      </c>
      <c r="BB46" s="35">
        <f t="shared" si="47"/>
        <v>124.6429846290218</v>
      </c>
      <c r="BC46" s="35">
        <f t="shared" si="48"/>
        <v>124.62679700317445</v>
      </c>
      <c r="BD46" s="35">
        <f t="shared" si="49"/>
        <v>124.64640855044318</v>
      </c>
      <c r="BE46" s="35">
        <f t="shared" si="50"/>
        <v>124.6637021389616</v>
      </c>
    </row>
    <row r="47" spans="1:57" x14ac:dyDescent="0.25">
      <c r="A47" s="30" t="s">
        <v>84</v>
      </c>
      <c r="B47" s="30"/>
      <c r="C47" s="30"/>
      <c r="D47" s="30"/>
      <c r="E47" s="30"/>
      <c r="F47" s="30"/>
      <c r="G47" s="30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>
        <f>'[1]Soybean Exports'!$JQ$216/1000</f>
        <v>117.12453819437067</v>
      </c>
      <c r="Z47" s="32">
        <f>'[1]Soybean Exports'!KC$216/1000</f>
        <v>94.315246564578885</v>
      </c>
      <c r="AA47" s="32">
        <f>'[1]Soybean Exports'!KO$216/1000</f>
        <v>97.190486468048405</v>
      </c>
      <c r="AB47" s="32">
        <f>'[1]Soybean Exports'!LA$216/1000</f>
        <v>118.47277400685302</v>
      </c>
      <c r="AC47" s="32">
        <f>'[1]Soybean Exports'!LM$216/1000</f>
        <v>118.71959720280027</v>
      </c>
      <c r="AD47" s="32">
        <f>'[1]Soybean Exports'!LY$216/1000</f>
        <v>141.34086106819981</v>
      </c>
      <c r="AE47" s="32">
        <f>'[1]Soybean Exports'!MK$216/1000</f>
        <v>91.212054882507317</v>
      </c>
      <c r="AF47" s="32">
        <f>'[1]Soybean Exports'!MW$216/1000</f>
        <v>83.461560920173795</v>
      </c>
      <c r="AG47" s="32">
        <f>'[1]Soybean Exports'!NI$216/1000</f>
        <v>111.67216516964969</v>
      </c>
      <c r="AH47" s="32">
        <f>'[1]Soybean Exports'!NU$216/1000</f>
        <v>113.90948935659929</v>
      </c>
      <c r="AI47" s="32">
        <f>'[1]Soybean Exports'!OG$216/1000</f>
        <v>117.54440290597199</v>
      </c>
      <c r="AJ47" s="32">
        <f>'[1]Soybean Exports'!OS$216/1000</f>
        <v>128.61612456386609</v>
      </c>
      <c r="AK47" s="35">
        <f>AK$53*(SUM(AF47:AJ47)/SUM(AF$53:AJ$53))+50</f>
        <v>133.33133349520256</v>
      </c>
      <c r="AL47" s="35">
        <f>AL$53*(SUM(AG47:AK47)/SUM(AG$53:AK$53))</f>
        <v>98.397642966051947</v>
      </c>
      <c r="AM47" s="35">
        <f t="shared" si="32"/>
        <v>103.62267067678602</v>
      </c>
      <c r="AN47" s="35">
        <f t="shared" si="33"/>
        <v>107.8842321393612</v>
      </c>
      <c r="AO47" s="35">
        <f t="shared" si="34"/>
        <v>108.82832226624662</v>
      </c>
      <c r="AP47" s="35">
        <f t="shared" si="35"/>
        <v>110.41284030872967</v>
      </c>
      <c r="AQ47" s="35">
        <f t="shared" si="36"/>
        <v>105.82914167143508</v>
      </c>
      <c r="AR47" s="35">
        <f t="shared" si="37"/>
        <v>107.31544141251173</v>
      </c>
      <c r="AS47" s="35">
        <f t="shared" si="38"/>
        <v>108.05399555965687</v>
      </c>
      <c r="AT47" s="35">
        <f t="shared" si="39"/>
        <v>108.08794824371599</v>
      </c>
      <c r="AU47" s="35">
        <f t="shared" si="40"/>
        <v>107.93987343920988</v>
      </c>
      <c r="AV47" s="35">
        <f t="shared" si="41"/>
        <v>107.44528006530591</v>
      </c>
      <c r="AW47" s="35">
        <f t="shared" si="42"/>
        <v>107.76850774408008</v>
      </c>
      <c r="AX47" s="35">
        <f t="shared" si="43"/>
        <v>107.85912101039372</v>
      </c>
      <c r="AY47" s="35">
        <f t="shared" si="44"/>
        <v>107.82014610054112</v>
      </c>
      <c r="AZ47" s="35">
        <f t="shared" si="45"/>
        <v>107.76658567190614</v>
      </c>
      <c r="BA47" s="35">
        <f t="shared" si="46"/>
        <v>107.7319281184454</v>
      </c>
      <c r="BB47" s="35">
        <f t="shared" si="47"/>
        <v>107.78925772907328</v>
      </c>
      <c r="BC47" s="35">
        <f t="shared" si="48"/>
        <v>107.79340772607196</v>
      </c>
      <c r="BD47" s="35">
        <f t="shared" si="49"/>
        <v>107.78026506920759</v>
      </c>
      <c r="BE47" s="35">
        <f t="shared" si="50"/>
        <v>107.77228886294087</v>
      </c>
    </row>
    <row r="48" spans="1:57" x14ac:dyDescent="0.25">
      <c r="A48" s="30" t="s">
        <v>85</v>
      </c>
      <c r="B48" s="30"/>
      <c r="C48" s="30"/>
      <c r="D48" s="30"/>
      <c r="E48" s="30"/>
      <c r="F48" s="30"/>
      <c r="G48" s="30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>
        <f>'[1]Soybean Exports'!$JR$216/1000</f>
        <v>43.112391677590203</v>
      </c>
      <c r="Z48" s="32">
        <f>'[1]Soybean Exports'!KD$216/1000</f>
        <v>49.895629012025992</v>
      </c>
      <c r="AA48" s="32">
        <f>'[1]Soybean Exports'!KP$216/1000</f>
        <v>50.139504812077796</v>
      </c>
      <c r="AB48" s="32">
        <f>'[1]Soybean Exports'!LB$216/1000</f>
        <v>90.688372940946891</v>
      </c>
      <c r="AC48" s="32">
        <f>'[1]Soybean Exports'!LN$216/1000</f>
        <v>80.924746036289406</v>
      </c>
      <c r="AD48" s="32">
        <f>'[1]Soybean Exports'!LZ$216/1000</f>
        <v>91.416538423175709</v>
      </c>
      <c r="AE48" s="32">
        <f>'[1]Soybean Exports'!ML$216/1000</f>
        <v>81.927051267075015</v>
      </c>
      <c r="AF48" s="32">
        <f>'[1]Soybean Exports'!MX$216/1000</f>
        <v>50.178798194164493</v>
      </c>
      <c r="AG48" s="32">
        <f>'[1]Soybean Exports'!NJ$216/1000</f>
        <v>130.88450959668634</v>
      </c>
      <c r="AH48" s="32">
        <f>'[1]Soybean Exports'!NV$216/1000</f>
        <v>92.41733528833258</v>
      </c>
      <c r="AI48" s="32">
        <f>'[1]Soybean Exports'!OH$216/1000</f>
        <v>65.705711591702709</v>
      </c>
      <c r="AJ48" s="32">
        <f>'[1]Soybean Exports'!OT$216/1000</f>
        <v>80.216703351596692</v>
      </c>
      <c r="AK48" s="35">
        <f>AK$53*(SUM(AF48:AJ48)/SUM(AF$53:AJ$53))+25</f>
        <v>87.948812112476318</v>
      </c>
      <c r="AL48" s="35">
        <f>AL$53*(SUM(AG48:AK48)/SUM(AG$53:AK$53))</f>
        <v>74.345929138871838</v>
      </c>
      <c r="AM48" s="35">
        <f t="shared" si="32"/>
        <v>70.150197015493802</v>
      </c>
      <c r="AN48" s="35">
        <f t="shared" si="33"/>
        <v>70.196073530539493</v>
      </c>
      <c r="AO48" s="35">
        <f t="shared" si="34"/>
        <v>72.86109435041385</v>
      </c>
      <c r="AP48" s="35">
        <f t="shared" si="35"/>
        <v>75.100421229559061</v>
      </c>
      <c r="AQ48" s="35">
        <f t="shared" si="36"/>
        <v>72.530743052975609</v>
      </c>
      <c r="AR48" s="35">
        <f t="shared" si="37"/>
        <v>72.167705835796355</v>
      </c>
      <c r="AS48" s="35">
        <f t="shared" si="38"/>
        <v>72.571207599856876</v>
      </c>
      <c r="AT48" s="35">
        <f t="shared" si="39"/>
        <v>73.046234413720342</v>
      </c>
      <c r="AU48" s="35">
        <f t="shared" si="40"/>
        <v>73.083262426381651</v>
      </c>
      <c r="AV48" s="35">
        <f t="shared" si="41"/>
        <v>72.679830665746152</v>
      </c>
      <c r="AW48" s="35">
        <f t="shared" si="42"/>
        <v>72.709648188300278</v>
      </c>
      <c r="AX48" s="35">
        <f t="shared" si="43"/>
        <v>72.818036658801049</v>
      </c>
      <c r="AY48" s="35">
        <f t="shared" si="44"/>
        <v>72.867402470589909</v>
      </c>
      <c r="AZ48" s="35">
        <f t="shared" si="45"/>
        <v>72.831636081963794</v>
      </c>
      <c r="BA48" s="35">
        <f t="shared" si="46"/>
        <v>72.781310813080239</v>
      </c>
      <c r="BB48" s="35">
        <f t="shared" si="47"/>
        <v>72.801606842547059</v>
      </c>
      <c r="BC48" s="35">
        <f t="shared" si="48"/>
        <v>72.819998573396418</v>
      </c>
      <c r="BD48" s="35">
        <f t="shared" si="49"/>
        <v>72.820390956315492</v>
      </c>
      <c r="BE48" s="35">
        <f t="shared" si="50"/>
        <v>72.810988653460598</v>
      </c>
    </row>
    <row r="49" spans="1:57" x14ac:dyDescent="0.25">
      <c r="A49" s="30" t="s">
        <v>86</v>
      </c>
      <c r="B49" s="30"/>
      <c r="C49" s="30"/>
      <c r="D49" s="30"/>
      <c r="E49" s="30"/>
      <c r="F49" s="30"/>
      <c r="G49" s="30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>
        <f>'[1]Soybean Exports'!$JS$216/1000</f>
        <v>32.358321841511405</v>
      </c>
      <c r="Z49" s="32">
        <f>'[1]Soybean Exports'!KE$216/1000</f>
        <v>44.120125238895298</v>
      </c>
      <c r="AA49" s="32">
        <f>'[1]Soybean Exports'!KQ$216/1000</f>
        <v>32.6458966667673</v>
      </c>
      <c r="AB49" s="32">
        <f>'[1]Soybean Exports'!LC$216/1000</f>
        <v>53.889666078811494</v>
      </c>
      <c r="AC49" s="32">
        <f>'[1]Soybean Exports'!LO$216/1000</f>
        <v>114.58845715566271</v>
      </c>
      <c r="AD49" s="32">
        <f>'[1]Soybean Exports'!MA$216/1000</f>
        <v>91.247538788009081</v>
      </c>
      <c r="AE49" s="32">
        <f>'[1]Soybean Exports'!MM$216/1000</f>
        <v>71.096964043532708</v>
      </c>
      <c r="AF49" s="32">
        <f>'[1]Soybean Exports'!MY$216/1000</f>
        <v>49.558686894685493</v>
      </c>
      <c r="AG49" s="32">
        <f>'[1]Soybean Exports'!NK$216/1000</f>
        <v>90.286793437700993</v>
      </c>
      <c r="AH49" s="32">
        <f>'[1]Soybean Exports'!NW$216/1000</f>
        <v>36.691536475601701</v>
      </c>
      <c r="AI49" s="32">
        <f>'[1]Soybean Exports'!OI$216/1000</f>
        <v>50.706235893020391</v>
      </c>
      <c r="AJ49" s="32">
        <f>'[1]Soybean Exports'!OU$216/1000</f>
        <v>58.657671156367513</v>
      </c>
      <c r="AK49" s="35">
        <f>AK$53*(SUM(AF49:AJ49)/SUM(AF$53:AJ$53))+50</f>
        <v>92.911283536031362</v>
      </c>
      <c r="AL49" s="35">
        <f>AL$53*(SUM(AG49:AK49)/SUM(AG$53:AK$53))</f>
        <v>53.543527399383088</v>
      </c>
      <c r="AM49" s="35">
        <f t="shared" si="32"/>
        <v>51.217886666458647</v>
      </c>
      <c r="AN49" s="35">
        <f t="shared" si="33"/>
        <v>56.962536259561794</v>
      </c>
      <c r="AO49" s="35">
        <f t="shared" si="34"/>
        <v>59.622316616853141</v>
      </c>
      <c r="AP49" s="35">
        <f t="shared" si="35"/>
        <v>62.851510095657616</v>
      </c>
      <c r="AQ49" s="35">
        <f t="shared" si="36"/>
        <v>56.839555407582857</v>
      </c>
      <c r="AR49" s="35">
        <f t="shared" si="37"/>
        <v>57.498761009222811</v>
      </c>
      <c r="AS49" s="35">
        <f t="shared" si="38"/>
        <v>58.754935877775644</v>
      </c>
      <c r="AT49" s="35">
        <f t="shared" si="39"/>
        <v>59.113415801418427</v>
      </c>
      <c r="AU49" s="35">
        <f t="shared" si="40"/>
        <v>59.011635638331477</v>
      </c>
      <c r="AV49" s="35">
        <f t="shared" si="41"/>
        <v>58.24366074686624</v>
      </c>
      <c r="AW49" s="35">
        <f t="shared" si="42"/>
        <v>58.524481814722925</v>
      </c>
      <c r="AX49" s="35">
        <f t="shared" si="43"/>
        <v>58.729625975822941</v>
      </c>
      <c r="AY49" s="35">
        <f t="shared" si="44"/>
        <v>58.724563995432398</v>
      </c>
      <c r="AZ49" s="35">
        <f t="shared" si="45"/>
        <v>58.646793634235195</v>
      </c>
      <c r="BA49" s="35">
        <f t="shared" si="46"/>
        <v>58.573825233415938</v>
      </c>
      <c r="BB49" s="35">
        <f t="shared" si="47"/>
        <v>58.639858130725884</v>
      </c>
      <c r="BC49" s="35">
        <f t="shared" si="48"/>
        <v>58.662933393926465</v>
      </c>
      <c r="BD49" s="35">
        <f t="shared" si="49"/>
        <v>58.64959487754718</v>
      </c>
      <c r="BE49" s="35">
        <f t="shared" si="50"/>
        <v>58.63460105397013</v>
      </c>
    </row>
    <row r="50" spans="1:57" x14ac:dyDescent="0.25">
      <c r="A50" s="30" t="s">
        <v>87</v>
      </c>
      <c r="B50" s="30"/>
      <c r="C50" s="30"/>
      <c r="D50" s="30"/>
      <c r="E50" s="30"/>
      <c r="F50" s="30"/>
      <c r="G50" s="30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>
        <f>'[1]Soybean Exports'!$JT$216/1000</f>
        <v>22.433382377676907</v>
      </c>
      <c r="Z50" s="32">
        <f>'[1]Soybean Exports'!KF$216/1000</f>
        <v>34.521147809273998</v>
      </c>
      <c r="AA50" s="32">
        <f>'[1]Soybean Exports'!KR$216/1000</f>
        <v>38.741296309703394</v>
      </c>
      <c r="AB50" s="32">
        <f>'[1]Soybean Exports'!LD$216/1000</f>
        <v>65.992378810824917</v>
      </c>
      <c r="AC50" s="32">
        <f>'[1]Soybean Exports'!LP$216/1000</f>
        <v>115.50130003823038</v>
      </c>
      <c r="AD50" s="32">
        <f>'[1]Soybean Exports'!MB$216/1000</f>
        <v>121.46877031667492</v>
      </c>
      <c r="AE50" s="32">
        <f>'[1]Soybean Exports'!MN$216/1000</f>
        <v>65.521083244203282</v>
      </c>
      <c r="AF50" s="32">
        <f>'[1]Soybean Exports'!MZ$216/1000</f>
        <v>34.322482890706503</v>
      </c>
      <c r="AG50" s="32">
        <f>'[1]Soybean Exports'!NL$216/1000</f>
        <v>83.009892294856812</v>
      </c>
      <c r="AH50" s="32">
        <f>'[1]Soybean Exports'!NX$216/1000</f>
        <v>30.393783177311402</v>
      </c>
      <c r="AI50" s="32">
        <f>'[1]Soybean Exports'!OJ$216/1000</f>
        <v>51.9762905550336</v>
      </c>
      <c r="AJ50" s="32">
        <f>'[1]Soybean Exports'!OV$216/1000</f>
        <v>55.178083809080405</v>
      </c>
      <c r="AK50" s="35">
        <f>AK$53*(SUM(AF50:AJ50)/SUM(AF$53:AJ$53))+25</f>
        <v>63.255388125708414</v>
      </c>
      <c r="AL50" s="35">
        <f>AL$53*(SUM(AG50:AK50)/SUM(AG$53:AK$53))</f>
        <v>46.154017028619577</v>
      </c>
      <c r="AM50" s="35">
        <f t="shared" si="32"/>
        <v>43.241712947496509</v>
      </c>
      <c r="AN50" s="35">
        <f t="shared" si="33"/>
        <v>48.200050289878533</v>
      </c>
      <c r="AO50" s="35">
        <f t="shared" si="34"/>
        <v>48.724554221947166</v>
      </c>
      <c r="AP50" s="35">
        <f t="shared" si="35"/>
        <v>49.915144522730039</v>
      </c>
      <c r="AQ50" s="35">
        <f t="shared" si="36"/>
        <v>47.247095802134361</v>
      </c>
      <c r="AR50" s="35">
        <f t="shared" si="37"/>
        <v>47.46571155683732</v>
      </c>
      <c r="AS50" s="35">
        <f t="shared" si="38"/>
        <v>48.310511278705491</v>
      </c>
      <c r="AT50" s="35">
        <f t="shared" si="39"/>
        <v>48.332603476470872</v>
      </c>
      <c r="AU50" s="35">
        <f t="shared" si="40"/>
        <v>48.254213327375624</v>
      </c>
      <c r="AV50" s="35">
        <f t="shared" si="41"/>
        <v>47.922027088304731</v>
      </c>
      <c r="AW50" s="35">
        <f t="shared" si="42"/>
        <v>48.057013345538806</v>
      </c>
      <c r="AX50" s="35">
        <f t="shared" si="43"/>
        <v>48.175273703279103</v>
      </c>
      <c r="AY50" s="35">
        <f t="shared" si="44"/>
        <v>48.148226188193824</v>
      </c>
      <c r="AZ50" s="35">
        <f t="shared" si="45"/>
        <v>48.111350730538419</v>
      </c>
      <c r="BA50" s="35">
        <f t="shared" si="46"/>
        <v>48.082778211170975</v>
      </c>
      <c r="BB50" s="35">
        <f t="shared" si="47"/>
        <v>48.114928435744233</v>
      </c>
      <c r="BC50" s="35">
        <f t="shared" si="48"/>
        <v>48.126511453785305</v>
      </c>
      <c r="BD50" s="35">
        <f t="shared" si="49"/>
        <v>48.11675900388655</v>
      </c>
      <c r="BE50" s="35">
        <f t="shared" si="50"/>
        <v>48.110465567025095</v>
      </c>
    </row>
    <row r="51" spans="1:57" x14ac:dyDescent="0.25">
      <c r="A51" s="30" t="s">
        <v>88</v>
      </c>
      <c r="B51" s="30"/>
      <c r="C51" s="30"/>
      <c r="D51" s="30"/>
      <c r="E51" s="30"/>
      <c r="F51" s="30"/>
      <c r="G51" s="3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>
        <f>'[1]Soybean Exports'!$JU$216/1000</f>
        <v>19.315793595352805</v>
      </c>
      <c r="Z51" s="32">
        <f>'[1]Soybean Exports'!KG$216/1000</f>
        <v>39.731706208538405</v>
      </c>
      <c r="AA51" s="32">
        <f>'[1]Soybean Exports'!KS$216/1000</f>
        <v>97.873181401065011</v>
      </c>
      <c r="AB51" s="32">
        <f>'[1]Soybean Exports'!LE$216/1000</f>
        <v>85.939610171643906</v>
      </c>
      <c r="AC51" s="32">
        <f>'[1]Soybean Exports'!LQ$216/1000</f>
        <v>126.1217730145548</v>
      </c>
      <c r="AD51" s="32">
        <f>'[1]Soybean Exports'!MC$216/1000</f>
        <v>136.09914595875148</v>
      </c>
      <c r="AE51" s="32">
        <f>'[1]Soybean Exports'!MO$216/1000</f>
        <v>84.758828223612923</v>
      </c>
      <c r="AF51" s="32">
        <f>'[1]Soybean Exports'!NA$216/1000</f>
        <v>35.144355904532688</v>
      </c>
      <c r="AG51" s="32">
        <f>'[1]Soybean Exports'!NM$216/1000</f>
        <v>85.165766354579389</v>
      </c>
      <c r="AH51" s="32">
        <f>'[1]Soybean Exports'!NY$216/1000</f>
        <v>46.961535695442898</v>
      </c>
      <c r="AI51" s="32">
        <f>'[1]Soybean Exports'!OK$216/1000</f>
        <v>55.267505996434203</v>
      </c>
      <c r="AJ51" s="32">
        <f>'[1]Soybean Exports'!OW$216/1000</f>
        <v>64.644861594883494</v>
      </c>
      <c r="AK51" s="35">
        <f>AK$53*(SUM(AF51:AJ51)/SUM(AF$53:AJ$53))+25</f>
        <v>68.1038661258942</v>
      </c>
      <c r="AL51" s="35">
        <f>AL$53*(SUM(AG51:AK51)/SUM(AG$53:AK$53))</f>
        <v>52.062052831276617</v>
      </c>
      <c r="AM51" s="35">
        <f t="shared" si="32"/>
        <v>50.260026307693799</v>
      </c>
      <c r="AN51" s="35">
        <f t="shared" si="33"/>
        <v>53.864609050099972</v>
      </c>
      <c r="AO51" s="35">
        <f t="shared" si="34"/>
        <v>54.986878327870883</v>
      </c>
      <c r="AP51" s="35">
        <f t="shared" si="35"/>
        <v>55.855486528567106</v>
      </c>
      <c r="AQ51" s="35">
        <f t="shared" si="36"/>
        <v>53.405810609101678</v>
      </c>
      <c r="AR51" s="35">
        <f t="shared" si="37"/>
        <v>53.674562164666689</v>
      </c>
      <c r="AS51" s="35">
        <f t="shared" si="38"/>
        <v>54.357469336061264</v>
      </c>
      <c r="AT51" s="35">
        <f t="shared" si="39"/>
        <v>54.456041393253528</v>
      </c>
      <c r="AU51" s="35">
        <f t="shared" si="40"/>
        <v>54.349874006330054</v>
      </c>
      <c r="AV51" s="35">
        <f t="shared" si="41"/>
        <v>54.048751501882634</v>
      </c>
      <c r="AW51" s="35">
        <f t="shared" si="42"/>
        <v>54.177339680438834</v>
      </c>
      <c r="AX51" s="35">
        <f t="shared" si="43"/>
        <v>54.277895183593259</v>
      </c>
      <c r="AY51" s="35">
        <f t="shared" si="44"/>
        <v>54.261980353099652</v>
      </c>
      <c r="AZ51" s="35">
        <f t="shared" si="45"/>
        <v>54.22316814506889</v>
      </c>
      <c r="BA51" s="35">
        <f t="shared" si="46"/>
        <v>54.197826972816657</v>
      </c>
      <c r="BB51" s="35">
        <f t="shared" si="47"/>
        <v>54.227642067003451</v>
      </c>
      <c r="BC51" s="35">
        <f t="shared" si="48"/>
        <v>54.237702544316384</v>
      </c>
      <c r="BD51" s="35">
        <f t="shared" si="49"/>
        <v>54.229664016461001</v>
      </c>
      <c r="BE51" s="35">
        <f t="shared" si="50"/>
        <v>54.223200749133277</v>
      </c>
    </row>
    <row r="52" spans="1:57" x14ac:dyDescent="0.25">
      <c r="A52" s="30" t="s">
        <v>89</v>
      </c>
      <c r="B52" s="30"/>
      <c r="C52" s="30"/>
      <c r="D52" s="30"/>
      <c r="E52" s="30"/>
      <c r="F52" s="30"/>
      <c r="G52" s="30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>
        <f>'[1]Soybean Exports'!JV$216/1000</f>
        <v>16.9956789812313</v>
      </c>
      <c r="Z52" s="32">
        <f>'[1]Soybean Exports'!KH$216/1000</f>
        <v>42.934907738375102</v>
      </c>
      <c r="AA52" s="32">
        <f>'[1]Soybean Exports'!KT$216/1000</f>
        <v>153.15124794105989</v>
      </c>
      <c r="AB52" s="32">
        <f>'[1]Soybean Exports'!LF$216/1000</f>
        <v>110.3724757215066</v>
      </c>
      <c r="AC52" s="32">
        <f>'[1]Soybean Exports'!LR$216/1000</f>
        <v>127.12745682855541</v>
      </c>
      <c r="AD52" s="32">
        <f>'[1]Soybean Exports'!MD$216/1000</f>
        <v>181.85505196275693</v>
      </c>
      <c r="AE52" s="32">
        <f>'[1]Soybean Exports'!MP$216/1000</f>
        <v>171.53055941073148</v>
      </c>
      <c r="AF52" s="32">
        <f>'[1]Soybean Exports'!NB$216/1000</f>
        <v>42.903025744296912</v>
      </c>
      <c r="AG52" s="32">
        <f>'[1]Soybean Exports'!NN$216/1000</f>
        <v>118.80647213315157</v>
      </c>
      <c r="AH52" s="32">
        <f>'[1]Soybean Exports'!NZ$216/1000</f>
        <v>62.721352158645587</v>
      </c>
      <c r="AI52" s="32">
        <f>'[1]Soybean Exports'!OL$216/1000</f>
        <v>63.232238731323903</v>
      </c>
      <c r="AJ52" s="32">
        <f>'[1]Soybean Exports'!OX$216/1000</f>
        <v>83.640076732715997</v>
      </c>
      <c r="AK52" s="35">
        <f>AK53-SUM(AK41:AK51)</f>
        <v>65.726579513453771</v>
      </c>
      <c r="AL52" s="35">
        <f>AL53-SUM(AL41:AL51)</f>
        <v>64.093270012905805</v>
      </c>
      <c r="AM52" s="35">
        <f t="shared" ref="AM52:BE52" si="52">AM53-SUM(AM41:AM51)</f>
        <v>59.430542312003126</v>
      </c>
      <c r="AN52" s="35">
        <f t="shared" si="52"/>
        <v>62.358694736486086</v>
      </c>
      <c r="AO52" s="35">
        <f t="shared" si="52"/>
        <v>63.800780164884145</v>
      </c>
      <c r="AP52" s="35">
        <f t="shared" si="52"/>
        <v>63.081973347946587</v>
      </c>
      <c r="AQ52" s="35">
        <f t="shared" si="52"/>
        <v>62.553052114845286</v>
      </c>
      <c r="AR52" s="35">
        <f t="shared" si="52"/>
        <v>62.245008535233183</v>
      </c>
      <c r="AS52" s="35">
        <f t="shared" si="52"/>
        <v>62.807901779878875</v>
      </c>
      <c r="AT52" s="35">
        <f t="shared" si="52"/>
        <v>62.897743188557342</v>
      </c>
      <c r="AU52" s="35">
        <f t="shared" si="52"/>
        <v>62.717135793292528</v>
      </c>
      <c r="AV52" s="35">
        <f t="shared" si="52"/>
        <v>62.644168282361306</v>
      </c>
      <c r="AW52" s="35">
        <f t="shared" si="52"/>
        <v>62.662391515864783</v>
      </c>
      <c r="AX52" s="35">
        <f t="shared" si="52"/>
        <v>62.745868111991058</v>
      </c>
      <c r="AY52" s="35">
        <f t="shared" si="52"/>
        <v>62.733461378413267</v>
      </c>
      <c r="AZ52" s="35">
        <f t="shared" si="52"/>
        <v>62.70060501638477</v>
      </c>
      <c r="BA52" s="35">
        <f t="shared" si="52"/>
        <v>62.697298861002992</v>
      </c>
      <c r="BB52" s="35">
        <f t="shared" si="52"/>
        <v>62.707924976730965</v>
      </c>
      <c r="BC52" s="35">
        <f t="shared" si="52"/>
        <v>62.71703166890461</v>
      </c>
      <c r="BD52" s="35">
        <f t="shared" si="52"/>
        <v>62.711264380287503</v>
      </c>
      <c r="BE52" s="35">
        <f t="shared" si="52"/>
        <v>62.706824980662304</v>
      </c>
    </row>
    <row r="53" spans="1:57" ht="15.75" thickBot="1" x14ac:dyDescent="0.3">
      <c r="A53" s="51" t="s">
        <v>90</v>
      </c>
      <c r="B53" s="51"/>
      <c r="C53" s="51"/>
      <c r="D53" s="51"/>
      <c r="E53" s="51"/>
      <c r="F53" s="51"/>
      <c r="G53" s="51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>
        <f t="shared" ref="Y53:AJ53" si="53">SUM(Y41:Y52)</f>
        <v>961.13441340063423</v>
      </c>
      <c r="Z53" s="52">
        <f t="shared" si="53"/>
        <v>1844.150359688108</v>
      </c>
      <c r="AA53" s="52">
        <f t="shared" si="53"/>
        <v>1944.5525986798571</v>
      </c>
      <c r="AB53" s="52">
        <f t="shared" si="53"/>
        <v>2170.6365734627975</v>
      </c>
      <c r="AC53" s="52">
        <f t="shared" si="53"/>
        <v>2139.6030447327062</v>
      </c>
      <c r="AD53" s="52">
        <f t="shared" si="53"/>
        <v>1759.1817070065692</v>
      </c>
      <c r="AE53" s="52">
        <f t="shared" si="53"/>
        <v>1685.3891757107604</v>
      </c>
      <c r="AF53" s="52">
        <f t="shared" si="53"/>
        <v>2270.0046226208797</v>
      </c>
      <c r="AG53" s="52">
        <f t="shared" si="53"/>
        <v>2157.2589710755187</v>
      </c>
      <c r="AH53" s="52">
        <f t="shared" si="53"/>
        <v>1981.4188809174061</v>
      </c>
      <c r="AI53" s="52">
        <f t="shared" si="53"/>
        <v>1703.2874947676617</v>
      </c>
      <c r="AJ53" s="52">
        <f t="shared" si="53"/>
        <v>1881.9372374717186</v>
      </c>
      <c r="AK53" s="44">
        <f>AK15</f>
        <v>1500</v>
      </c>
      <c r="AL53" s="44">
        <f>AL15</f>
        <v>1500</v>
      </c>
      <c r="AM53" s="44">
        <f t="shared" ref="AM53:BE53" si="54">AM15</f>
        <v>1500</v>
      </c>
      <c r="AN53" s="44">
        <f t="shared" si="54"/>
        <v>1500</v>
      </c>
      <c r="AO53" s="44">
        <f t="shared" si="54"/>
        <v>1500</v>
      </c>
      <c r="AP53" s="44">
        <f t="shared" si="54"/>
        <v>1500</v>
      </c>
      <c r="AQ53" s="44">
        <f t="shared" si="54"/>
        <v>1500</v>
      </c>
      <c r="AR53" s="44">
        <f t="shared" si="54"/>
        <v>1500</v>
      </c>
      <c r="AS53" s="44">
        <f t="shared" si="54"/>
        <v>1500</v>
      </c>
      <c r="AT53" s="44">
        <f t="shared" si="54"/>
        <v>1500</v>
      </c>
      <c r="AU53" s="44">
        <f t="shared" si="54"/>
        <v>1500</v>
      </c>
      <c r="AV53" s="44">
        <f t="shared" si="54"/>
        <v>1500</v>
      </c>
      <c r="AW53" s="44">
        <f t="shared" si="54"/>
        <v>1500</v>
      </c>
      <c r="AX53" s="44">
        <f t="shared" si="54"/>
        <v>1500</v>
      </c>
      <c r="AY53" s="44">
        <f t="shared" si="54"/>
        <v>1500</v>
      </c>
      <c r="AZ53" s="44">
        <f t="shared" si="54"/>
        <v>1500</v>
      </c>
      <c r="BA53" s="44">
        <f t="shared" si="54"/>
        <v>1500</v>
      </c>
      <c r="BB53" s="44">
        <f t="shared" si="54"/>
        <v>1500</v>
      </c>
      <c r="BC53" s="44">
        <f t="shared" si="54"/>
        <v>1500</v>
      </c>
      <c r="BD53" s="44">
        <f t="shared" si="54"/>
        <v>1500</v>
      </c>
      <c r="BE53" s="44">
        <f t="shared" si="54"/>
        <v>1500</v>
      </c>
    </row>
    <row r="54" spans="1:57" x14ac:dyDescent="0.25">
      <c r="A54" s="17"/>
      <c r="B54" s="17"/>
      <c r="C54" s="17"/>
      <c r="D54" s="17"/>
      <c r="E54" s="17"/>
      <c r="F54" s="17"/>
      <c r="G54" s="17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</row>
    <row r="55" spans="1:57" ht="15.75" thickBot="1" x14ac:dyDescent="0.3">
      <c r="A55" s="11" t="s">
        <v>92</v>
      </c>
    </row>
    <row r="56" spans="1:57" ht="15.75" thickBot="1" x14ac:dyDescent="0.3">
      <c r="A56" s="12" t="s">
        <v>77</v>
      </c>
      <c r="B56" s="13">
        <f>B35</f>
        <v>0</v>
      </c>
      <c r="C56" s="13"/>
      <c r="D56" s="13"/>
      <c r="E56" s="13"/>
      <c r="F56" s="14">
        <f t="shared" ref="F56:G56" si="55">F19</f>
        <v>0</v>
      </c>
      <c r="G56" s="14">
        <f t="shared" si="55"/>
        <v>0</v>
      </c>
      <c r="H56" s="14" t="str">
        <f>H3</f>
        <v>1996/97</v>
      </c>
      <c r="I56" s="14" t="str">
        <f t="shared" ref="I56:BE56" si="56">I3</f>
        <v>1997/98</v>
      </c>
      <c r="J56" s="14" t="str">
        <f t="shared" si="56"/>
        <v>1998/99</v>
      </c>
      <c r="K56" s="14" t="str">
        <f t="shared" si="56"/>
        <v>1999/00</v>
      </c>
      <c r="L56" s="14" t="str">
        <f t="shared" si="56"/>
        <v>2000/01</v>
      </c>
      <c r="M56" s="14" t="str">
        <f t="shared" si="56"/>
        <v>2001/02</v>
      </c>
      <c r="N56" s="14" t="str">
        <f t="shared" si="56"/>
        <v>2002/03</v>
      </c>
      <c r="O56" s="14" t="str">
        <f t="shared" si="56"/>
        <v>2003/04</v>
      </c>
      <c r="P56" s="14" t="str">
        <f t="shared" si="56"/>
        <v>2004/05</v>
      </c>
      <c r="Q56" s="14" t="str">
        <f t="shared" si="56"/>
        <v>2005/06</v>
      </c>
      <c r="R56" s="14" t="str">
        <f t="shared" si="56"/>
        <v>2006/07</v>
      </c>
      <c r="S56" s="14" t="str">
        <f t="shared" si="56"/>
        <v>2007/08</v>
      </c>
      <c r="T56" s="14" t="str">
        <f t="shared" si="56"/>
        <v>2008/09</v>
      </c>
      <c r="U56" s="14" t="str">
        <f t="shared" si="56"/>
        <v>2009/10</v>
      </c>
      <c r="V56" s="14" t="str">
        <f t="shared" si="56"/>
        <v>2010/11</v>
      </c>
      <c r="W56" s="14" t="str">
        <f t="shared" si="56"/>
        <v>2011/12</v>
      </c>
      <c r="X56" s="14" t="str">
        <f t="shared" si="56"/>
        <v>2012/13</v>
      </c>
      <c r="Y56" s="14" t="str">
        <f t="shared" si="56"/>
        <v>2013/14</v>
      </c>
      <c r="Z56" s="14" t="str">
        <f t="shared" si="56"/>
        <v>2014/15</v>
      </c>
      <c r="AA56" s="14" t="str">
        <f t="shared" si="56"/>
        <v>2015/16</v>
      </c>
      <c r="AB56" s="14" t="str">
        <f t="shared" si="56"/>
        <v>2016/17</v>
      </c>
      <c r="AC56" s="14" t="str">
        <f t="shared" si="56"/>
        <v>2017/18</v>
      </c>
      <c r="AD56" s="14" t="str">
        <f t="shared" si="56"/>
        <v>2018/19</v>
      </c>
      <c r="AE56" s="14" t="str">
        <f t="shared" si="56"/>
        <v>2019/20</v>
      </c>
      <c r="AF56" s="14" t="str">
        <f t="shared" si="56"/>
        <v>2020/21</v>
      </c>
      <c r="AG56" s="14" t="str">
        <f t="shared" si="56"/>
        <v>2021/22</v>
      </c>
      <c r="AH56" s="14" t="str">
        <f t="shared" si="56"/>
        <v>2022/23</v>
      </c>
      <c r="AI56" s="14" t="str">
        <f t="shared" si="56"/>
        <v>2023/24</v>
      </c>
      <c r="AJ56" s="14" t="str">
        <f t="shared" si="56"/>
        <v>2024/25</v>
      </c>
      <c r="AK56" s="14" t="str">
        <f t="shared" si="56"/>
        <v>2025/26</v>
      </c>
      <c r="AL56" s="14" t="str">
        <f t="shared" si="56"/>
        <v>2026/27</v>
      </c>
      <c r="AM56" s="14" t="str">
        <f t="shared" si="56"/>
        <v>2027/28</v>
      </c>
      <c r="AN56" s="14" t="str">
        <f t="shared" si="56"/>
        <v>2028/29</v>
      </c>
      <c r="AO56" s="14" t="str">
        <f t="shared" si="56"/>
        <v>2029/30</v>
      </c>
      <c r="AP56" s="14" t="str">
        <f t="shared" si="56"/>
        <v>2030/31</v>
      </c>
      <c r="AQ56" s="14" t="str">
        <f t="shared" si="56"/>
        <v>2031/32</v>
      </c>
      <c r="AR56" s="14" t="str">
        <f t="shared" si="56"/>
        <v>2032/33</v>
      </c>
      <c r="AS56" s="14" t="str">
        <f t="shared" si="56"/>
        <v>2033/34</v>
      </c>
      <c r="AT56" s="14" t="str">
        <f t="shared" si="56"/>
        <v>2034/35</v>
      </c>
      <c r="AU56" s="14" t="str">
        <f t="shared" si="56"/>
        <v>2035/36</v>
      </c>
      <c r="AV56" s="14" t="str">
        <f t="shared" si="56"/>
        <v>2036/37</v>
      </c>
      <c r="AW56" s="14" t="str">
        <f t="shared" si="56"/>
        <v>2037/38</v>
      </c>
      <c r="AX56" s="14" t="str">
        <f t="shared" si="56"/>
        <v>2038/39</v>
      </c>
      <c r="AY56" s="14" t="str">
        <f t="shared" si="56"/>
        <v>2039/40</v>
      </c>
      <c r="AZ56" s="14" t="str">
        <f t="shared" si="56"/>
        <v>2040/41</v>
      </c>
      <c r="BA56" s="14" t="str">
        <f t="shared" si="56"/>
        <v>2041/42</v>
      </c>
      <c r="BB56" s="14" t="str">
        <f t="shared" si="56"/>
        <v>2042/43</v>
      </c>
      <c r="BC56" s="14" t="str">
        <f t="shared" si="56"/>
        <v>2043/44</v>
      </c>
      <c r="BD56" s="14" t="str">
        <f t="shared" si="56"/>
        <v>2044/45</v>
      </c>
      <c r="BE56" s="14" t="str">
        <f t="shared" si="56"/>
        <v>2045/46</v>
      </c>
    </row>
    <row r="57" spans="1:57" x14ac:dyDescent="0.25">
      <c r="A57" s="2" t="s">
        <v>78</v>
      </c>
      <c r="AA57" s="32">
        <f>'[3]NASS Crush'!$D9</f>
        <v>148.3304955552</v>
      </c>
      <c r="AB57" s="32">
        <f>'[3]NASS Crush'!$D21</f>
        <v>152.41316154959998</v>
      </c>
      <c r="AC57" s="32">
        <f>'[3]NASS Crush'!$D33</f>
        <v>160.2468816459</v>
      </c>
      <c r="AD57" s="32">
        <f>'[3]NASS Crush'!$D45</f>
        <v>187.00632627599998</v>
      </c>
      <c r="AE57" s="32">
        <f>'[3]NASS Crush'!$D57</f>
        <v>178.94306828579997</v>
      </c>
      <c r="AF57" s="32">
        <f>'[3]NASS Crush'!$D69</f>
        <v>188.55635926049996</v>
      </c>
      <c r="AG57" s="32">
        <f>'[3]NASS Crush'!$D81</f>
        <v>180.94706968379995</v>
      </c>
      <c r="AH57" s="32">
        <f>'[3]NASS Crush'!$D93</f>
        <v>184.75786904189999</v>
      </c>
      <c r="AI57" s="32">
        <f>'[3]NASS Crush'!$D105</f>
        <v>192.64468378469996</v>
      </c>
      <c r="AJ57" s="32">
        <f>'[3]NASS Crush'!$D117</f>
        <v>205.5844921515</v>
      </c>
      <c r="AK57" s="32">
        <f>'[3]NASS Crush'!$D129</f>
        <v>0</v>
      </c>
      <c r="AL57" s="35">
        <f t="shared" ref="AL57:AL60" si="57">AL$69*(SUM(AG57:AK57)/SUM(AG$69:AK$69))</f>
        <v>154.47670193114968</v>
      </c>
      <c r="AM57" s="35">
        <f t="shared" ref="AM57:AM67" si="58">AM$69*(SUM(AH57:AL57)/SUM(AH$69:AL$69))</f>
        <v>148.27677473798261</v>
      </c>
      <c r="AN57" s="35">
        <f t="shared" ref="AN57:AN67" si="59">AN$69*(SUM(AI57:AM57)/SUM(AI$69:AM$69))</f>
        <v>140.24520300033785</v>
      </c>
      <c r="AO57" s="35">
        <f t="shared" ref="AO57:AO67" si="60">AO$69*(SUM(AJ57:AN57)/SUM(AJ$69:AN$69))</f>
        <v>129.96047116948202</v>
      </c>
      <c r="AP57" s="35">
        <f t="shared" ref="AP57:AP67" si="61">AP$69*(SUM(AK57:AO57)/SUM(AK$69:AO$69))</f>
        <v>114.59183016779043</v>
      </c>
      <c r="AQ57" s="35">
        <f t="shared" ref="AQ57:AQ67" si="62">AQ$69*(SUM(AL57:AP57)/SUM(AL$69:AP$69))</f>
        <v>137.51019620134852</v>
      </c>
      <c r="AR57" s="35">
        <f t="shared" ref="AR57:AR67" si="63">AR$69*(SUM(AM57:AQ57)/SUM(AM$69:AQ$69))</f>
        <v>134.11689505538828</v>
      </c>
      <c r="AS57" s="35">
        <f t="shared" ref="AS57:AS67" si="64">AS$69*(SUM(AN57:AR57)/SUM(AN$69:AR$69))</f>
        <v>131.2849191188694</v>
      </c>
      <c r="AT57" s="35">
        <f t="shared" ref="AT57:AT67" si="65">AT$69*(SUM(AO57:AS57)/SUM(AO$69:AS$69))</f>
        <v>129.49286234257573</v>
      </c>
      <c r="AU57" s="35">
        <f t="shared" ref="AU57:AU67" si="66">AU$69*(SUM(AP57:AT57)/SUM(AP$69:AT$69))</f>
        <v>129.39934057719447</v>
      </c>
      <c r="AV57" s="35">
        <f t="shared" ref="AV57:AV67" si="67">AV$69*(SUM(AQ57:AU57)/SUM(AQ$69:AU$69))</f>
        <v>132.36084265907527</v>
      </c>
      <c r="AW57" s="35">
        <f t="shared" ref="AW57:AW67" si="68">AW$69*(SUM(AR57:AV57)/SUM(AR$69:AV$69))</f>
        <v>131.33097195062061</v>
      </c>
      <c r="AX57" s="35">
        <f t="shared" ref="AX57:AX67" si="69">AX$69*(SUM(AS57:AW57)/SUM(AS$69:AW$69))</f>
        <v>130.7737873296671</v>
      </c>
      <c r="AY57" s="35">
        <f t="shared" ref="AY57:AY67" si="70">AY$69*(SUM(AT57:AX57)/SUM(AT$69:AX$69))</f>
        <v>130.67156097182664</v>
      </c>
      <c r="AZ57" s="35">
        <f t="shared" ref="AZ57:AZ67" si="71">AZ$69*(SUM(AU57:AY57)/SUM(AU$69:AY$69))</f>
        <v>130.90730069767682</v>
      </c>
      <c r="BA57" s="35">
        <f t="shared" ref="BA57:BA67" si="72">BA$69*(SUM(AV57:AZ57)/SUM(AV$69:AZ$69))</f>
        <v>131.20889272177328</v>
      </c>
      <c r="BB57" s="35">
        <f t="shared" ref="BB57:BB67" si="73">BB$69*(SUM(AW57:BA57)/SUM(AW$69:BA$69))</f>
        <v>130.97850273431288</v>
      </c>
      <c r="BC57" s="35">
        <f t="shared" ref="BC57:BC67" si="74">BC$69*(SUM(AX57:BB57)/SUM(AX$69:BB$69))</f>
        <v>130.90800889105134</v>
      </c>
      <c r="BD57" s="35">
        <f t="shared" ref="BD57:BD67" si="75">BD$69*(SUM(AY57:BC57)/SUM(AY$69:BC$69))</f>
        <v>130.9348532033282</v>
      </c>
      <c r="BE57" s="35">
        <f t="shared" ref="BE57:BE67" si="76">BE$69*(SUM(AZ57:BD57)/SUM(AZ$69:BD$69))</f>
        <v>130.98751164962852</v>
      </c>
    </row>
    <row r="58" spans="1:57" x14ac:dyDescent="0.25">
      <c r="A58" s="2" t="s">
        <v>79</v>
      </c>
      <c r="AA58" s="32">
        <f>'[3]NASS Crush'!$D10</f>
        <v>187.54021223699999</v>
      </c>
      <c r="AB58" s="32">
        <f>'[3]NASS Crush'!$D22</f>
        <v>193.87500983549998</v>
      </c>
      <c r="AC58" s="32">
        <f>'[3]NASS Crush'!$D34</f>
        <v>193.91109214889997</v>
      </c>
      <c r="AD58" s="32">
        <f>'[3]NASS Crush'!$D46</f>
        <v>202.33848020609997</v>
      </c>
      <c r="AE58" s="32">
        <f>'[3]NASS Crush'!$D58</f>
        <v>206.33850961919998</v>
      </c>
      <c r="AF58" s="32">
        <f>'[3]NASS Crush'!$D70</f>
        <v>216.68050165229997</v>
      </c>
      <c r="AG58" s="32">
        <f>'[3]NASS Crush'!$D82</f>
        <v>217.0875483609</v>
      </c>
      <c r="AH58" s="32">
        <f>'[3]NASS Crush'!$D94</f>
        <v>216.7765864278</v>
      </c>
      <c r="AI58" s="32">
        <f>'[3]NASS Crush'!$D106</f>
        <v>221.99386113450001</v>
      </c>
      <c r="AJ58" s="32">
        <f>'[3]NASS Crush'!$D118</f>
        <v>237.86048892479999</v>
      </c>
      <c r="AK58" s="32">
        <f>'[3]NASS Crush'!$D130</f>
        <v>0</v>
      </c>
      <c r="AL58" s="35">
        <f t="shared" si="57"/>
        <v>180.72066863426417</v>
      </c>
      <c r="AM58" s="35">
        <f t="shared" si="58"/>
        <v>172.38180365694919</v>
      </c>
      <c r="AN58" s="35">
        <f t="shared" si="59"/>
        <v>162.64781183572202</v>
      </c>
      <c r="AO58" s="35">
        <f t="shared" si="60"/>
        <v>151.0054768600065</v>
      </c>
      <c r="AP58" s="35">
        <f t="shared" si="61"/>
        <v>133.35115219738839</v>
      </c>
      <c r="AQ58" s="35">
        <f t="shared" si="62"/>
        <v>160.02138263686606</v>
      </c>
      <c r="AR58" s="35">
        <f t="shared" si="63"/>
        <v>155.88152543738641</v>
      </c>
      <c r="AS58" s="35">
        <f t="shared" si="64"/>
        <v>152.58146979347387</v>
      </c>
      <c r="AT58" s="35">
        <f t="shared" si="65"/>
        <v>150.56820138502425</v>
      </c>
      <c r="AU58" s="35">
        <f t="shared" si="66"/>
        <v>150.48074629002781</v>
      </c>
      <c r="AV58" s="35">
        <f t="shared" si="67"/>
        <v>153.9066651085557</v>
      </c>
      <c r="AW58" s="35">
        <f t="shared" si="68"/>
        <v>152.68372160289363</v>
      </c>
      <c r="AX58" s="35">
        <f t="shared" si="69"/>
        <v>152.04416083599503</v>
      </c>
      <c r="AY58" s="35">
        <f t="shared" si="70"/>
        <v>151.93669904449928</v>
      </c>
      <c r="AZ58" s="35">
        <f t="shared" si="71"/>
        <v>152.21039857639428</v>
      </c>
      <c r="BA58" s="35">
        <f t="shared" si="72"/>
        <v>152.55632903366759</v>
      </c>
      <c r="BB58" s="35">
        <f t="shared" si="73"/>
        <v>152.28626181868995</v>
      </c>
      <c r="BC58" s="35">
        <f t="shared" si="74"/>
        <v>152.20676986184921</v>
      </c>
      <c r="BD58" s="35">
        <f t="shared" si="75"/>
        <v>152.23929166702004</v>
      </c>
      <c r="BE58" s="35">
        <f t="shared" si="76"/>
        <v>152.29981019152424</v>
      </c>
    </row>
    <row r="59" spans="1:57" x14ac:dyDescent="0.25">
      <c r="A59" s="2" t="s">
        <v>80</v>
      </c>
      <c r="AA59" s="32">
        <f>'[3]NASS Crush'!$D11</f>
        <v>182.74604123579996</v>
      </c>
      <c r="AB59" s="32">
        <f>'[3]NASS Crush'!$D23</f>
        <v>188.20262766059997</v>
      </c>
      <c r="AC59" s="32">
        <f>'[3]NASS Crush'!$D35</f>
        <v>191.0842155894</v>
      </c>
      <c r="AD59" s="32">
        <f>'[3]NASS Crush'!$D47</f>
        <v>196.32353651610001</v>
      </c>
      <c r="AE59" s="32">
        <f>'[3]NASS Crush'!$D59</f>
        <v>192.5168524524</v>
      </c>
      <c r="AF59" s="32">
        <f>'[3]NASS Crush'!$D71</f>
        <v>210.58575064589999</v>
      </c>
      <c r="AG59" s="32">
        <f>'[3]NASS Crush'!$D83</f>
        <v>210.09838220910001</v>
      </c>
      <c r="AH59" s="32">
        <f>'[3]NASS Crush'!$D95</f>
        <v>208.96502278259999</v>
      </c>
      <c r="AI59" s="32">
        <f>'[3]NASS Crush'!$D107</f>
        <v>220.56170193959997</v>
      </c>
      <c r="AJ59" s="32">
        <f>'[3]NASS Crush'!$D119</f>
        <v>231.53032103249998</v>
      </c>
      <c r="AK59" s="32">
        <f>'[3]NASS Crush'!$D131</f>
        <v>0</v>
      </c>
      <c r="AL59" s="35">
        <f t="shared" si="57"/>
        <v>176.15814609984548</v>
      </c>
      <c r="AM59" s="35">
        <f t="shared" si="58"/>
        <v>168.33311322774711</v>
      </c>
      <c r="AN59" s="35">
        <f t="shared" si="59"/>
        <v>159.37196693467223</v>
      </c>
      <c r="AO59" s="35">
        <f t="shared" si="60"/>
        <v>147.3551828874854</v>
      </c>
      <c r="AP59" s="35">
        <f t="shared" si="61"/>
        <v>130.24368182995005</v>
      </c>
      <c r="AQ59" s="35">
        <f t="shared" si="62"/>
        <v>156.29241819594003</v>
      </c>
      <c r="AR59" s="35">
        <f t="shared" si="63"/>
        <v>152.31927261515895</v>
      </c>
      <c r="AS59" s="35">
        <f t="shared" si="64"/>
        <v>149.11650449264135</v>
      </c>
      <c r="AT59" s="35">
        <f t="shared" si="65"/>
        <v>147.06541200423516</v>
      </c>
      <c r="AU59" s="35">
        <f t="shared" si="66"/>
        <v>147.00745782758514</v>
      </c>
      <c r="AV59" s="35">
        <f t="shared" si="67"/>
        <v>150.36021302711211</v>
      </c>
      <c r="AW59" s="35">
        <f t="shared" si="68"/>
        <v>149.17377199334655</v>
      </c>
      <c r="AX59" s="35">
        <f t="shared" si="69"/>
        <v>148.54467186898407</v>
      </c>
      <c r="AY59" s="35">
        <f t="shared" si="70"/>
        <v>148.43030534425262</v>
      </c>
      <c r="AZ59" s="35">
        <f t="shared" si="71"/>
        <v>148.70328401225609</v>
      </c>
      <c r="BA59" s="35">
        <f t="shared" si="72"/>
        <v>149.04244924919027</v>
      </c>
      <c r="BB59" s="35">
        <f t="shared" si="73"/>
        <v>148.77889649360591</v>
      </c>
      <c r="BC59" s="35">
        <f t="shared" si="74"/>
        <v>148.6999213936578</v>
      </c>
      <c r="BD59" s="35">
        <f t="shared" si="75"/>
        <v>148.73097129859252</v>
      </c>
      <c r="BE59" s="35">
        <f t="shared" si="76"/>
        <v>148.79110448946054</v>
      </c>
    </row>
    <row r="60" spans="1:57" x14ac:dyDescent="0.25">
      <c r="A60" s="2" t="s">
        <v>81</v>
      </c>
      <c r="AA60" s="32">
        <f>'[3]NASS Crush'!$D12</f>
        <v>184.13458565879998</v>
      </c>
      <c r="AB60" s="32">
        <f>'[3]NASS Crush'!$D24</f>
        <v>186.34541734409999</v>
      </c>
      <c r="AC60" s="32">
        <f>'[3]NASS Crush'!$D36</f>
        <v>194.38207289549999</v>
      </c>
      <c r="AD60" s="32">
        <f>'[3]NASS Crush'!$D48</f>
        <v>202.57779192419997</v>
      </c>
      <c r="AE60" s="32">
        <f>'[3]NASS Crush'!$D60</f>
        <v>203.6436531738</v>
      </c>
      <c r="AF60" s="32">
        <f>'[3]NASS Crush'!$D72</f>
        <v>212.90155908209999</v>
      </c>
      <c r="AG60" s="32">
        <f>'[3]NASS Crush'!$D84</f>
        <v>218.52294100139997</v>
      </c>
      <c r="AH60" s="32">
        <f>'[3]NASS Crush'!$D96</f>
        <v>206.59369461569997</v>
      </c>
      <c r="AI60" s="32">
        <f>'[3]NASS Crush'!$D108</f>
        <v>225.18589658459999</v>
      </c>
      <c r="AJ60" s="32">
        <f>'[3]NASS Crush'!$D120</f>
        <v>239.97468467909997</v>
      </c>
      <c r="AK60" s="32">
        <f>'[3]NASS Crush'!$D132</f>
        <v>0</v>
      </c>
      <c r="AL60" s="35">
        <f t="shared" si="57"/>
        <v>180.0248027004989</v>
      </c>
      <c r="AM60" s="35">
        <f t="shared" si="58"/>
        <v>171.26137398678131</v>
      </c>
      <c r="AN60" s="35">
        <f t="shared" si="59"/>
        <v>163.34604127824309</v>
      </c>
      <c r="AO60" s="35">
        <f t="shared" si="60"/>
        <v>151.20507727651761</v>
      </c>
      <c r="AP60" s="35">
        <f t="shared" si="61"/>
        <v>133.16745904840818</v>
      </c>
      <c r="AQ60" s="35">
        <f t="shared" si="62"/>
        <v>159.80095085808981</v>
      </c>
      <c r="AR60" s="35">
        <f t="shared" si="63"/>
        <v>155.756180489608</v>
      </c>
      <c r="AS60" s="35">
        <f t="shared" si="64"/>
        <v>152.65514179017336</v>
      </c>
      <c r="AT60" s="35">
        <f t="shared" si="65"/>
        <v>150.51696189255941</v>
      </c>
      <c r="AU60" s="35">
        <f t="shared" si="66"/>
        <v>150.37933881576774</v>
      </c>
      <c r="AV60" s="35">
        <f t="shared" si="67"/>
        <v>153.82171476923966</v>
      </c>
      <c r="AW60" s="35">
        <f t="shared" si="68"/>
        <v>152.62586755146961</v>
      </c>
      <c r="AX60" s="35">
        <f t="shared" si="69"/>
        <v>151.99980496384194</v>
      </c>
      <c r="AY60" s="35">
        <f t="shared" si="70"/>
        <v>151.86873759857568</v>
      </c>
      <c r="AZ60" s="35">
        <f t="shared" si="71"/>
        <v>152.13909273977893</v>
      </c>
      <c r="BA60" s="35">
        <f t="shared" si="72"/>
        <v>152.49104352458116</v>
      </c>
      <c r="BB60" s="35">
        <f t="shared" si="73"/>
        <v>152.22490927564945</v>
      </c>
      <c r="BC60" s="35">
        <f t="shared" si="74"/>
        <v>152.14471762048544</v>
      </c>
      <c r="BD60" s="35">
        <f t="shared" si="75"/>
        <v>152.17370015181413</v>
      </c>
      <c r="BE60" s="35">
        <f t="shared" si="76"/>
        <v>152.23469266246181</v>
      </c>
    </row>
    <row r="61" spans="1:57" x14ac:dyDescent="0.25">
      <c r="A61" s="2" t="s">
        <v>82</v>
      </c>
      <c r="AA61" s="32">
        <f>'[3]NASS Crush'!$D13</f>
        <v>176.8857885228</v>
      </c>
      <c r="AB61" s="32">
        <f>'[3]NASS Crush'!$D25</f>
        <v>188.85181535219996</v>
      </c>
      <c r="AC61" s="32">
        <f>'[3]NASS Crush'!$D37</f>
        <v>192.5306313399</v>
      </c>
      <c r="AD61" s="32">
        <f>'[3]NASS Crush'!$D49</f>
        <v>201.8010668499</v>
      </c>
      <c r="AE61" s="32">
        <f>'[3]NASS Crush'!$D61</f>
        <v>208.0943808111</v>
      </c>
      <c r="AF61" s="32">
        <f>'[3]NASS Crush'!$D73</f>
        <v>216.61733923199998</v>
      </c>
      <c r="AG61" s="32">
        <f>'[3]NASS Crush'!$D85</f>
        <v>214.17807196379999</v>
      </c>
      <c r="AH61" s="32">
        <f>'[3]NASS Crush'!$D97</f>
        <v>210.7029997926</v>
      </c>
      <c r="AI61" s="32">
        <f>'[3]NASS Crush'!$D109</f>
        <v>214.15661364299999</v>
      </c>
      <c r="AJ61" s="32">
        <f>'[3]NASS Crush'!$D121</f>
        <v>234.3011634495</v>
      </c>
      <c r="AK61" s="35">
        <f>AK$69*(SUM(AF61:AJ61)/SUM(AF$69:AJ$69))</f>
        <v>222.93417330022513</v>
      </c>
      <c r="AL61" s="35">
        <f>AL$69*(SUM(AG61:AK61)/SUM(AG$69:AK$69))</f>
        <v>221.67964177465876</v>
      </c>
      <c r="AM61" s="35">
        <f t="shared" si="58"/>
        <v>221.92838254013765</v>
      </c>
      <c r="AN61" s="35">
        <f t="shared" si="59"/>
        <v>223.07741456516385</v>
      </c>
      <c r="AO61" s="35">
        <f t="shared" si="60"/>
        <v>225.2066965411837</v>
      </c>
      <c r="AP61" s="35">
        <f t="shared" si="61"/>
        <v>222.96526174427382</v>
      </c>
      <c r="AQ61" s="35">
        <f t="shared" si="62"/>
        <v>222.97147943308354</v>
      </c>
      <c r="AR61" s="35">
        <f t="shared" si="63"/>
        <v>223.22984696476851</v>
      </c>
      <c r="AS61" s="35">
        <f t="shared" si="64"/>
        <v>223.49013984969469</v>
      </c>
      <c r="AT61" s="35">
        <f t="shared" si="65"/>
        <v>223.57268490660084</v>
      </c>
      <c r="AU61" s="35">
        <f t="shared" si="66"/>
        <v>223.24588257968432</v>
      </c>
      <c r="AV61" s="35">
        <f t="shared" si="67"/>
        <v>223.30200674676638</v>
      </c>
      <c r="AW61" s="35">
        <f t="shared" si="68"/>
        <v>223.36811220950295</v>
      </c>
      <c r="AX61" s="35">
        <f t="shared" si="69"/>
        <v>223.39576525844981</v>
      </c>
      <c r="AY61" s="35">
        <f t="shared" si="70"/>
        <v>223.37689034020082</v>
      </c>
      <c r="AZ61" s="35">
        <f t="shared" si="71"/>
        <v>223.3377314269209</v>
      </c>
      <c r="BA61" s="35">
        <f t="shared" si="72"/>
        <v>223.35610119636817</v>
      </c>
      <c r="BB61" s="35">
        <f t="shared" si="73"/>
        <v>223.36692008628853</v>
      </c>
      <c r="BC61" s="35">
        <f t="shared" si="74"/>
        <v>223.36668166164563</v>
      </c>
      <c r="BD61" s="35">
        <f t="shared" si="75"/>
        <v>223.36086494228479</v>
      </c>
      <c r="BE61" s="35">
        <f t="shared" si="76"/>
        <v>223.35765986270164</v>
      </c>
    </row>
    <row r="62" spans="1:57" x14ac:dyDescent="0.25">
      <c r="A62" s="2" t="s">
        <v>83</v>
      </c>
      <c r="AA62" s="32">
        <f>'[3]NASS Crush'!$D14</f>
        <v>170.44164167309998</v>
      </c>
      <c r="AB62" s="32">
        <f>'[3]NASS Crush'!$D26</f>
        <v>166.9022312832</v>
      </c>
      <c r="AC62" s="32">
        <f>'[3]NASS Crush'!$D38</f>
        <v>181.83619373639999</v>
      </c>
      <c r="AD62" s="32">
        <f>'[3]NASS Crush'!$D50</f>
        <v>179.43543386580001</v>
      </c>
      <c r="AE62" s="32">
        <f>'[3]NASS Crush'!$D62</f>
        <v>193.2269244549</v>
      </c>
      <c r="AF62" s="32">
        <f>'[3]NASS Crush'!$D74</f>
        <v>181.16477610629997</v>
      </c>
      <c r="AG62" s="32">
        <f>'[3]NASS Crush'!$D86</f>
        <v>192.25968329610001</v>
      </c>
      <c r="AH62" s="32">
        <f>'[3]NASS Crush'!$D98</f>
        <v>194.99863218149997</v>
      </c>
      <c r="AI62" s="32">
        <f>'[3]NASS Crush'!$D110</f>
        <v>213.23298725609996</v>
      </c>
      <c r="AJ62" s="32">
        <f>'[3]NASS Crush'!$D122</f>
        <v>208.97259198479998</v>
      </c>
      <c r="AK62" s="35">
        <f t="shared" ref="AK62:AL67" si="77">AK$69*(SUM(AF62:AJ62)/SUM(AF$69:AJ$69))</f>
        <v>202.61822098250781</v>
      </c>
      <c r="AL62" s="35">
        <f t="shared" si="77"/>
        <v>204.65522394714088</v>
      </c>
      <c r="AM62" s="35">
        <f t="shared" si="58"/>
        <v>205.98469187354138</v>
      </c>
      <c r="AN62" s="35">
        <f t="shared" si="59"/>
        <v>207.16464026086081</v>
      </c>
      <c r="AO62" s="35">
        <f t="shared" si="60"/>
        <v>206.26607811249116</v>
      </c>
      <c r="AP62" s="35">
        <f t="shared" si="61"/>
        <v>205.33777103530835</v>
      </c>
      <c r="AQ62" s="35">
        <f t="shared" si="62"/>
        <v>205.88168104586853</v>
      </c>
      <c r="AR62" s="35">
        <f t="shared" si="63"/>
        <v>206.12697246561407</v>
      </c>
      <c r="AS62" s="35">
        <f t="shared" si="64"/>
        <v>206.15542858402858</v>
      </c>
      <c r="AT62" s="35">
        <f t="shared" si="65"/>
        <v>205.95358624866216</v>
      </c>
      <c r="AU62" s="35">
        <f t="shared" si="66"/>
        <v>205.89108787589635</v>
      </c>
      <c r="AV62" s="35">
        <f t="shared" si="67"/>
        <v>206.00175124401395</v>
      </c>
      <c r="AW62" s="35">
        <f t="shared" si="68"/>
        <v>206.02576528364301</v>
      </c>
      <c r="AX62" s="35">
        <f t="shared" si="69"/>
        <v>206.00552384724878</v>
      </c>
      <c r="AY62" s="35">
        <f t="shared" si="70"/>
        <v>205.97554289989284</v>
      </c>
      <c r="AZ62" s="35">
        <f t="shared" si="71"/>
        <v>205.97993423013898</v>
      </c>
      <c r="BA62" s="35">
        <f t="shared" si="72"/>
        <v>205.99770350098751</v>
      </c>
      <c r="BB62" s="35">
        <f t="shared" si="73"/>
        <v>205.99689395238218</v>
      </c>
      <c r="BC62" s="35">
        <f t="shared" si="74"/>
        <v>205.99111968613005</v>
      </c>
      <c r="BD62" s="35">
        <f t="shared" si="75"/>
        <v>205.98823885390632</v>
      </c>
      <c r="BE62" s="35">
        <f t="shared" si="76"/>
        <v>205.990778044709</v>
      </c>
    </row>
    <row r="63" spans="1:57" x14ac:dyDescent="0.25">
      <c r="A63" s="2" t="s">
        <v>84</v>
      </c>
      <c r="AA63" s="32">
        <f>'[3]NASS Crush'!$D15</f>
        <v>183.4108082562</v>
      </c>
      <c r="AB63" s="32">
        <f>'[3]NASS Crush'!$D27</f>
        <v>177.2134320957</v>
      </c>
      <c r="AC63" s="32">
        <f>'[3]NASS Crush'!$D39</f>
        <v>200.81313898799996</v>
      </c>
      <c r="AD63" s="32">
        <f>'[3]NASS Crush'!$D51</f>
        <v>197.79163104959997</v>
      </c>
      <c r="AE63" s="32">
        <f>'[3]NASS Crush'!$D63</f>
        <v>211.82254358789999</v>
      </c>
      <c r="AF63" s="32">
        <f>'[3]NASS Crush'!$D75</f>
        <v>207.48167961359999</v>
      </c>
      <c r="AG63" s="32">
        <f>'[3]NASS Crush'!$D87</f>
        <v>212.60489044829995</v>
      </c>
      <c r="AH63" s="32">
        <f>'[3]NASS Crush'!$D99</f>
        <v>218.22127522439999</v>
      </c>
      <c r="AI63" s="32">
        <f>'[3]NASS Crush'!$D111</f>
        <v>224.35908984719998</v>
      </c>
      <c r="AJ63" s="32">
        <f>'[3]NASS Crush'!$D123</f>
        <v>227.90801685539998</v>
      </c>
      <c r="AK63" s="35">
        <f t="shared" si="77"/>
        <v>223.06073216727546</v>
      </c>
      <c r="AL63" s="35">
        <f t="shared" si="77"/>
        <v>223.67769572026046</v>
      </c>
      <c r="AM63" s="35">
        <f t="shared" si="58"/>
        <v>224.63312766815972</v>
      </c>
      <c r="AN63" s="35">
        <f t="shared" si="59"/>
        <v>224.80575189949295</v>
      </c>
      <c r="AO63" s="35">
        <f t="shared" si="60"/>
        <v>225.2396681399386</v>
      </c>
      <c r="AP63" s="35">
        <f t="shared" si="61"/>
        <v>224.28339511902547</v>
      </c>
      <c r="AQ63" s="35">
        <f t="shared" si="62"/>
        <v>224.52792770937546</v>
      </c>
      <c r="AR63" s="35">
        <f t="shared" si="63"/>
        <v>224.69797410719843</v>
      </c>
      <c r="AS63" s="35">
        <f t="shared" si="64"/>
        <v>224.71094339500618</v>
      </c>
      <c r="AT63" s="35">
        <f t="shared" si="65"/>
        <v>224.69198169410885</v>
      </c>
      <c r="AU63" s="35">
        <f t="shared" si="66"/>
        <v>224.58244440494289</v>
      </c>
      <c r="AV63" s="35">
        <f t="shared" si="67"/>
        <v>224.64225426212639</v>
      </c>
      <c r="AW63" s="35">
        <f t="shared" si="68"/>
        <v>224.66511957267659</v>
      </c>
      <c r="AX63" s="35">
        <f t="shared" si="69"/>
        <v>224.65854866577217</v>
      </c>
      <c r="AY63" s="35">
        <f t="shared" si="70"/>
        <v>224.64806971992539</v>
      </c>
      <c r="AZ63" s="35">
        <f t="shared" si="71"/>
        <v>224.63928732508867</v>
      </c>
      <c r="BA63" s="35">
        <f t="shared" si="72"/>
        <v>224.65065590911789</v>
      </c>
      <c r="BB63" s="35">
        <f t="shared" si="73"/>
        <v>224.65233623851614</v>
      </c>
      <c r="BC63" s="35">
        <f t="shared" si="74"/>
        <v>224.64977957168406</v>
      </c>
      <c r="BD63" s="35">
        <f t="shared" si="75"/>
        <v>224.64802575286643</v>
      </c>
      <c r="BE63" s="35">
        <f t="shared" si="76"/>
        <v>224.64801695945468</v>
      </c>
    </row>
    <row r="64" spans="1:57" x14ac:dyDescent="0.25">
      <c r="A64" s="2" t="s">
        <v>85</v>
      </c>
      <c r="AA64" s="32">
        <f>'[3]NASS Crush'!$D16</f>
        <v>174.35216343299999</v>
      </c>
      <c r="AB64" s="32">
        <f>'[3]NASS Crush'!$D28</f>
        <v>165.69435563309997</v>
      </c>
      <c r="AC64" s="32">
        <f>'[3]NASS Crush'!$D40</f>
        <v>189.19871262389998</v>
      </c>
      <c r="AD64" s="32">
        <f>'[3]NASS Crush'!$D52</f>
        <v>189.0978879111</v>
      </c>
      <c r="AE64" s="32">
        <f>'[3]NASS Crush'!$D64</f>
        <v>202.15740725249998</v>
      </c>
      <c r="AF64" s="32">
        <f>'[3]NASS Crush'!$D76</f>
        <v>187.2323367747</v>
      </c>
      <c r="AG64" s="32">
        <f>'[3]NASS Crush'!$D88</f>
        <v>199.3974777144</v>
      </c>
      <c r="AH64" s="32">
        <f>'[3]NASS Crush'!$D100</f>
        <v>206.11771672589998</v>
      </c>
      <c r="AI64" s="32">
        <f>'[3]NASS Crush'!$D112</f>
        <v>195.73648242120001</v>
      </c>
      <c r="AJ64" s="32">
        <f>'[3]NASS Crush'!$D124</f>
        <v>223.09084429799998</v>
      </c>
      <c r="AK64" s="35">
        <f t="shared" si="77"/>
        <v>206.90244906258118</v>
      </c>
      <c r="AL64" s="35">
        <f t="shared" si="77"/>
        <v>208.53018450877514</v>
      </c>
      <c r="AM64" s="35">
        <f t="shared" si="58"/>
        <v>209.18159991446745</v>
      </c>
      <c r="AN64" s="35">
        <f t="shared" si="59"/>
        <v>208.76076303179784</v>
      </c>
      <c r="AO64" s="35">
        <f t="shared" si="60"/>
        <v>211.69034969158909</v>
      </c>
      <c r="AP64" s="35">
        <f t="shared" si="61"/>
        <v>209.01306924184215</v>
      </c>
      <c r="AQ64" s="35">
        <f t="shared" si="62"/>
        <v>209.43519327769431</v>
      </c>
      <c r="AR64" s="35">
        <f t="shared" si="63"/>
        <v>209.61619503147816</v>
      </c>
      <c r="AS64" s="35">
        <f t="shared" si="64"/>
        <v>209.70311405488033</v>
      </c>
      <c r="AT64" s="35">
        <f t="shared" si="65"/>
        <v>209.89158425949682</v>
      </c>
      <c r="AU64" s="35">
        <f t="shared" si="66"/>
        <v>209.53183117307833</v>
      </c>
      <c r="AV64" s="35">
        <f t="shared" si="67"/>
        <v>209.63558355932554</v>
      </c>
      <c r="AW64" s="35">
        <f t="shared" si="68"/>
        <v>209.67566161565182</v>
      </c>
      <c r="AX64" s="35">
        <f t="shared" si="69"/>
        <v>209.68755493248656</v>
      </c>
      <c r="AY64" s="35">
        <f t="shared" si="70"/>
        <v>209.68444310800783</v>
      </c>
      <c r="AZ64" s="35">
        <f t="shared" si="71"/>
        <v>209.64301487770999</v>
      </c>
      <c r="BA64" s="35">
        <f t="shared" si="72"/>
        <v>209.66525161863635</v>
      </c>
      <c r="BB64" s="35">
        <f t="shared" si="73"/>
        <v>209.67118523049851</v>
      </c>
      <c r="BC64" s="35">
        <f t="shared" si="74"/>
        <v>209.67028995346786</v>
      </c>
      <c r="BD64" s="35">
        <f t="shared" si="75"/>
        <v>209.66683695766409</v>
      </c>
      <c r="BE64" s="35">
        <f t="shared" si="76"/>
        <v>209.66331572759535</v>
      </c>
    </row>
    <row r="65" spans="1:57" x14ac:dyDescent="0.25">
      <c r="A65" s="2" t="s">
        <v>86</v>
      </c>
      <c r="Z65" s="32">
        <f>'[3]NASS Crush'!$D5</f>
        <v>172.04583487139999</v>
      </c>
      <c r="AA65" s="32">
        <f>'[3]NASS Crush'!$D17</f>
        <v>177.31896000209997</v>
      </c>
      <c r="AB65" s="32">
        <f>'[3]NASS Crush'!$D29</f>
        <v>174.14261411189997</v>
      </c>
      <c r="AC65" s="32">
        <f>'[3]NASS Crush'!$D41</f>
        <v>190.11337354799997</v>
      </c>
      <c r="AD65" s="32">
        <f>'[3]NASS Crush'!$D53</f>
        <v>182.36894064269998</v>
      </c>
      <c r="AE65" s="32">
        <f>'[3]NASS Crush'!$D65</f>
        <v>197.92118933579997</v>
      </c>
      <c r="AF65" s="32">
        <f>'[3]NASS Crush'!$D77</f>
        <v>191.25213429839999</v>
      </c>
      <c r="AG65" s="32">
        <f>'[3]NASS Crush'!$D89</f>
        <v>199.41393889199998</v>
      </c>
      <c r="AH65" s="32">
        <f>'[3]NASS Crush'!$D101</f>
        <v>208.67099969519998</v>
      </c>
      <c r="AI65" s="32">
        <f>'[3]NASS Crush'!$D113</f>
        <v>211.23141094229999</v>
      </c>
      <c r="AJ65" s="32">
        <f>'[3]NASS Crush'!$D125</f>
        <v>224.54497622549997</v>
      </c>
      <c r="AK65" s="35">
        <f t="shared" si="77"/>
        <v>211.71691670951131</v>
      </c>
      <c r="AL65" s="35">
        <f t="shared" si="77"/>
        <v>213.4506659626856</v>
      </c>
      <c r="AM65" s="35">
        <f t="shared" si="58"/>
        <v>215.06014167996972</v>
      </c>
      <c r="AN65" s="35">
        <f t="shared" si="59"/>
        <v>215.27553426386751</v>
      </c>
      <c r="AO65" s="35">
        <f t="shared" si="60"/>
        <v>216.41569436913795</v>
      </c>
      <c r="AP65" s="35">
        <f t="shared" si="61"/>
        <v>214.38379059703445</v>
      </c>
      <c r="AQ65" s="35">
        <f t="shared" si="62"/>
        <v>214.91716537453905</v>
      </c>
      <c r="AR65" s="35">
        <f t="shared" si="63"/>
        <v>215.21046525690974</v>
      </c>
      <c r="AS65" s="35">
        <f t="shared" si="64"/>
        <v>215.24052997229774</v>
      </c>
      <c r="AT65" s="35">
        <f t="shared" si="65"/>
        <v>215.23352911398379</v>
      </c>
      <c r="AU65" s="35">
        <f t="shared" si="66"/>
        <v>214.99709606295298</v>
      </c>
      <c r="AV65" s="35">
        <f t="shared" si="67"/>
        <v>215.11975715613667</v>
      </c>
      <c r="AW65" s="35">
        <f t="shared" si="68"/>
        <v>215.1602755124562</v>
      </c>
      <c r="AX65" s="35">
        <f t="shared" si="69"/>
        <v>215.15023756356544</v>
      </c>
      <c r="AY65" s="35">
        <f t="shared" si="70"/>
        <v>215.13217908181898</v>
      </c>
      <c r="AZ65" s="35">
        <f t="shared" si="71"/>
        <v>215.11190907538605</v>
      </c>
      <c r="BA65" s="35">
        <f t="shared" si="72"/>
        <v>215.13487167787272</v>
      </c>
      <c r="BB65" s="35">
        <f t="shared" si="73"/>
        <v>215.13789458221987</v>
      </c>
      <c r="BC65" s="35">
        <f t="shared" si="74"/>
        <v>215.1334183961726</v>
      </c>
      <c r="BD65" s="35">
        <f t="shared" si="75"/>
        <v>215.13005456269406</v>
      </c>
      <c r="BE65" s="35">
        <f t="shared" si="76"/>
        <v>215.12962965886908</v>
      </c>
    </row>
    <row r="66" spans="1:57" x14ac:dyDescent="0.25">
      <c r="A66" s="2" t="s">
        <v>87</v>
      </c>
      <c r="Z66" s="32">
        <f>'[3]NASS Crush'!$D6</f>
        <v>167.15087590109999</v>
      </c>
      <c r="AA66" s="32">
        <f>'[3]NASS Crush'!$D18</f>
        <v>169.89375636239998</v>
      </c>
      <c r="AB66" s="32">
        <f>'[3]NASS Crush'!$D30</f>
        <v>163.3942000131</v>
      </c>
      <c r="AC66" s="32">
        <f>'[3]NASS Crush'!$D42</f>
        <v>186.91303402169999</v>
      </c>
      <c r="AD66" s="32">
        <f>'[3]NASS Crush'!$D54</f>
        <v>173.76599118689998</v>
      </c>
      <c r="AE66" s="32">
        <f>'[3]NASS Crush'!$D66</f>
        <v>195.4183922103</v>
      </c>
      <c r="AF66" s="32">
        <f>'[3]NASS Crush'!$D78</f>
        <v>178.29270479579998</v>
      </c>
      <c r="AG66" s="32">
        <f>'[3]NASS Crush'!$D90</f>
        <v>191.8907398044</v>
      </c>
      <c r="AH66" s="32">
        <f>'[3]NASS Crush'!$D102</f>
        <v>192.40897294919995</v>
      </c>
      <c r="AI66" s="32">
        <f>'[3]NASS Crush'!$D114</f>
        <v>202.26587465489999</v>
      </c>
      <c r="AJ66" s="32">
        <f>'[3]NASS Crush'!$D126</f>
        <v>217.07233646910001</v>
      </c>
      <c r="AK66" s="35">
        <f t="shared" si="77"/>
        <v>200.83916705579259</v>
      </c>
      <c r="AL66" s="35">
        <f t="shared" si="77"/>
        <v>203.11739611400918</v>
      </c>
      <c r="AM66" s="35">
        <f t="shared" si="58"/>
        <v>204.22058218003292</v>
      </c>
      <c r="AN66" s="35">
        <f t="shared" si="59"/>
        <v>205.57441645531148</v>
      </c>
      <c r="AO66" s="35">
        <f t="shared" si="60"/>
        <v>206.55232101745355</v>
      </c>
      <c r="AP66" s="35">
        <f t="shared" si="61"/>
        <v>204.06077656451995</v>
      </c>
      <c r="AQ66" s="35">
        <f t="shared" si="62"/>
        <v>204.70509846626541</v>
      </c>
      <c r="AR66" s="35">
        <f t="shared" si="63"/>
        <v>205.02263893671665</v>
      </c>
      <c r="AS66" s="35">
        <f t="shared" si="64"/>
        <v>205.18305028805344</v>
      </c>
      <c r="AT66" s="35">
        <f t="shared" si="65"/>
        <v>205.10477705460178</v>
      </c>
      <c r="AU66" s="35">
        <f t="shared" si="66"/>
        <v>204.81526826203145</v>
      </c>
      <c r="AV66" s="35">
        <f t="shared" si="67"/>
        <v>204.96616660153373</v>
      </c>
      <c r="AW66" s="35">
        <f t="shared" si="68"/>
        <v>205.0183802285874</v>
      </c>
      <c r="AX66" s="35">
        <f t="shared" si="69"/>
        <v>205.01752848696157</v>
      </c>
      <c r="AY66" s="35">
        <f t="shared" si="70"/>
        <v>204.98442412674316</v>
      </c>
      <c r="AZ66" s="35">
        <f t="shared" si="71"/>
        <v>204.96035354117146</v>
      </c>
      <c r="BA66" s="35">
        <f t="shared" si="72"/>
        <v>204.98937059699949</v>
      </c>
      <c r="BB66" s="35">
        <f t="shared" si="73"/>
        <v>204.99401139609262</v>
      </c>
      <c r="BC66" s="35">
        <f t="shared" si="74"/>
        <v>204.98913762959364</v>
      </c>
      <c r="BD66" s="35">
        <f t="shared" si="75"/>
        <v>204.98345945812005</v>
      </c>
      <c r="BE66" s="35">
        <f t="shared" si="76"/>
        <v>204.98326652439545</v>
      </c>
    </row>
    <row r="67" spans="1:57" x14ac:dyDescent="0.25">
      <c r="A67" s="2" t="s">
        <v>88</v>
      </c>
      <c r="Z67" s="32">
        <f>'[3]NASS Crush'!$D7</f>
        <v>171.70040734770001</v>
      </c>
      <c r="AA67" s="32">
        <f>'[3]NASS Crush'!$D19</f>
        <v>169.15120292909995</v>
      </c>
      <c r="AB67" s="32">
        <f>'[3]NASS Crush'!$D31</f>
        <v>171.54457731600002</v>
      </c>
      <c r="AC67" s="32">
        <f>'[3]NASS Crush'!$D43</f>
        <v>197.16037428359999</v>
      </c>
      <c r="AD67" s="32">
        <f>'[3]NASS Crush'!$D55</f>
        <v>197.82425945519998</v>
      </c>
      <c r="AE67" s="32">
        <f>'[3]NASS Crush'!$D67</f>
        <v>203.38358126519998</v>
      </c>
      <c r="AF67" s="32">
        <f>'[3]NASS Crush'!$D79</f>
        <v>183.35091602519998</v>
      </c>
      <c r="AG67" s="32">
        <f>'[3]NASS Crush'!$D91</f>
        <v>199.95113178599999</v>
      </c>
      <c r="AH67" s="32">
        <f>'[3]NASS Crush'!$D103</f>
        <v>203.74385324369999</v>
      </c>
      <c r="AI67" s="32">
        <f>'[3]NASS Crush'!$D115</f>
        <v>213.04857062580001</v>
      </c>
      <c r="AJ67" s="32">
        <f>'[3]NASS Crush'!$D127</f>
        <v>225.70710596909998</v>
      </c>
      <c r="AK67" s="35">
        <f t="shared" si="77"/>
        <v>209.81231097561422</v>
      </c>
      <c r="AL67" s="35">
        <f t="shared" si="77"/>
        <v>212.78027836666234</v>
      </c>
      <c r="AM67" s="35">
        <f t="shared" si="58"/>
        <v>214.15076319733672</v>
      </c>
      <c r="AN67" s="35">
        <f t="shared" si="59"/>
        <v>215.17448271656241</v>
      </c>
      <c r="AO67" s="35">
        <f t="shared" si="60"/>
        <v>215.93012460132121</v>
      </c>
      <c r="AP67" s="35">
        <f t="shared" si="61"/>
        <v>213.56959197149939</v>
      </c>
      <c r="AQ67" s="35">
        <f t="shared" si="62"/>
        <v>214.32104817067642</v>
      </c>
      <c r="AR67" s="35">
        <f t="shared" si="63"/>
        <v>214.62920213147927</v>
      </c>
      <c r="AS67" s="35">
        <f t="shared" si="64"/>
        <v>214.72488991830778</v>
      </c>
      <c r="AT67" s="35">
        <f t="shared" si="65"/>
        <v>214.63497135865683</v>
      </c>
      <c r="AU67" s="35">
        <f t="shared" si="66"/>
        <v>214.37594071012396</v>
      </c>
      <c r="AV67" s="35">
        <f t="shared" si="67"/>
        <v>214.53721045784889</v>
      </c>
      <c r="AW67" s="35">
        <f t="shared" si="68"/>
        <v>214.58044291528333</v>
      </c>
      <c r="AX67" s="35">
        <f t="shared" si="69"/>
        <v>214.57069107204416</v>
      </c>
      <c r="AY67" s="35">
        <f t="shared" si="70"/>
        <v>214.53985130279145</v>
      </c>
      <c r="AZ67" s="35">
        <f t="shared" si="71"/>
        <v>214.52082729161836</v>
      </c>
      <c r="BA67" s="35">
        <f t="shared" si="72"/>
        <v>214.54980460791725</v>
      </c>
      <c r="BB67" s="35">
        <f t="shared" si="73"/>
        <v>214.55232343793094</v>
      </c>
      <c r="BC67" s="35">
        <f t="shared" si="74"/>
        <v>214.54669954246046</v>
      </c>
      <c r="BD67" s="35">
        <f t="shared" si="75"/>
        <v>214.54190123654365</v>
      </c>
      <c r="BE67" s="35">
        <f t="shared" si="76"/>
        <v>214.54231122329415</v>
      </c>
    </row>
    <row r="68" spans="1:57" x14ac:dyDescent="0.25">
      <c r="A68" s="2" t="s">
        <v>89</v>
      </c>
      <c r="Z68" s="32">
        <f>'[3]NASS Crush'!$D8</f>
        <v>159.36991975800001</v>
      </c>
      <c r="AA68" s="32">
        <f>'[3]NASS Crush'!$D20</f>
        <v>155.01391737929995</v>
      </c>
      <c r="AB68" s="32">
        <f>'[3]NASS Crush'!$D32</f>
        <v>167.13209987039997</v>
      </c>
      <c r="AC68" s="32">
        <f>'[3]NASS Crush'!$D44</f>
        <v>186.98442703079999</v>
      </c>
      <c r="AD68" s="32">
        <f>'[3]NASS Crush'!$D56</f>
        <v>195.692536956</v>
      </c>
      <c r="AE68" s="32">
        <f>'[3]NASS Crush'!$D68</f>
        <v>192.54543905099996</v>
      </c>
      <c r="AF68" s="32">
        <f>'[3]NASS Crush'!$D80</f>
        <v>185.47396701119996</v>
      </c>
      <c r="AG68" s="32">
        <f>'[3]NASS Crush'!$D92</f>
        <v>193.00065675029998</v>
      </c>
      <c r="AH68" s="32">
        <f>'[3]NASS Crush'!$D104</f>
        <v>186.28578231899999</v>
      </c>
      <c r="AI68" s="32">
        <f>'[3]NASS Crush'!$D116</f>
        <v>184.69764611759999</v>
      </c>
      <c r="AJ68" s="32">
        <f>'[3]NASS Crush'!$D128</f>
        <v>0</v>
      </c>
      <c r="AK68" s="35">
        <f>AK69-SUM(AK57:AK67)</f>
        <v>1022.1160297464924</v>
      </c>
      <c r="AL68" s="35">
        <f>AL69-SUM(AL57:AL67)</f>
        <v>320.72859424004946</v>
      </c>
      <c r="AM68" s="35">
        <f t="shared" ref="AM68:BE68" si="78">AM69-SUM(AM57:AM67)</f>
        <v>344.58764533689418</v>
      </c>
      <c r="AN68" s="35">
        <f t="shared" si="78"/>
        <v>374.55597375796833</v>
      </c>
      <c r="AO68" s="35">
        <f t="shared" si="78"/>
        <v>413.17285933339326</v>
      </c>
      <c r="AP68" s="35">
        <f t="shared" si="78"/>
        <v>495.03222048295925</v>
      </c>
      <c r="AQ68" s="35">
        <f t="shared" si="78"/>
        <v>389.61545863025276</v>
      </c>
      <c r="AR68" s="35">
        <f t="shared" si="78"/>
        <v>403.39283150829351</v>
      </c>
      <c r="AS68" s="35">
        <f t="shared" si="78"/>
        <v>415.1538687425732</v>
      </c>
      <c r="AT68" s="35">
        <f t="shared" si="78"/>
        <v>423.27344773949426</v>
      </c>
      <c r="AU68" s="35">
        <f t="shared" si="78"/>
        <v>425.29356542071446</v>
      </c>
      <c r="AV68" s="35">
        <f t="shared" si="78"/>
        <v>411.34583440826555</v>
      </c>
      <c r="AW68" s="35">
        <f t="shared" si="78"/>
        <v>415.69190956386865</v>
      </c>
      <c r="AX68" s="35">
        <f t="shared" si="78"/>
        <v>418.15172517498331</v>
      </c>
      <c r="AY68" s="35">
        <f t="shared" si="78"/>
        <v>418.75129646146524</v>
      </c>
      <c r="AZ68" s="35">
        <f t="shared" si="78"/>
        <v>417.84686620585944</v>
      </c>
      <c r="BA68" s="35">
        <f t="shared" si="78"/>
        <v>416.35752636288817</v>
      </c>
      <c r="BB68" s="35">
        <f t="shared" si="78"/>
        <v>417.35986475381287</v>
      </c>
      <c r="BC68" s="35">
        <f t="shared" si="78"/>
        <v>417.69345579180208</v>
      </c>
      <c r="BD68" s="35">
        <f t="shared" si="78"/>
        <v>417.60180191516565</v>
      </c>
      <c r="BE68" s="35">
        <f t="shared" si="78"/>
        <v>417.37190300590555</v>
      </c>
    </row>
    <row r="69" spans="1:57" ht="15.75" thickBot="1" x14ac:dyDescent="0.3">
      <c r="A69" s="15" t="s">
        <v>90</v>
      </c>
      <c r="B69" s="15"/>
      <c r="C69" s="15"/>
      <c r="D69" s="15"/>
      <c r="E69" s="15"/>
      <c r="F69" s="15"/>
      <c r="G69" s="15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52">
        <f>SUM(Z57:Z68)</f>
        <v>670.26703787819997</v>
      </c>
      <c r="AA69" s="52">
        <f>SUM(AA57:AA68)</f>
        <v>2079.2195732447994</v>
      </c>
      <c r="AB69" s="52">
        <f t="shared" ref="AB69:AJ69" si="79">SUM(AB57:AB68)</f>
        <v>2095.7115420654</v>
      </c>
      <c r="AC69" s="52">
        <f t="shared" si="79"/>
        <v>2265.1741478519998</v>
      </c>
      <c r="AD69" s="52">
        <f t="shared" si="79"/>
        <v>2306.0238828396</v>
      </c>
      <c r="AE69" s="52">
        <f t="shared" si="79"/>
        <v>2386.0119414998999</v>
      </c>
      <c r="AF69" s="52">
        <f t="shared" si="79"/>
        <v>2359.5900244979998</v>
      </c>
      <c r="AG69" s="52">
        <f t="shared" si="79"/>
        <v>2429.3525319105006</v>
      </c>
      <c r="AH69" s="52">
        <f t="shared" si="79"/>
        <v>2438.2434049994999</v>
      </c>
      <c r="AI69" s="52">
        <f t="shared" si="79"/>
        <v>2519.1148189514997</v>
      </c>
      <c r="AJ69" s="52">
        <f t="shared" si="79"/>
        <v>2476.5470220392999</v>
      </c>
      <c r="AK69" s="44">
        <f>AK12</f>
        <v>2500</v>
      </c>
      <c r="AL69" s="44">
        <f>AL12</f>
        <v>2500</v>
      </c>
      <c r="AM69" s="44">
        <f t="shared" ref="AM69:BE69" si="80">AM12</f>
        <v>2500</v>
      </c>
      <c r="AN69" s="44">
        <f t="shared" si="80"/>
        <v>2500</v>
      </c>
      <c r="AO69" s="44">
        <f t="shared" si="80"/>
        <v>2500</v>
      </c>
      <c r="AP69" s="44">
        <f t="shared" si="80"/>
        <v>2500</v>
      </c>
      <c r="AQ69" s="44">
        <f t="shared" si="80"/>
        <v>2500</v>
      </c>
      <c r="AR69" s="44">
        <f t="shared" si="80"/>
        <v>2500</v>
      </c>
      <c r="AS69" s="44">
        <f t="shared" si="80"/>
        <v>2500</v>
      </c>
      <c r="AT69" s="44">
        <f t="shared" si="80"/>
        <v>2500</v>
      </c>
      <c r="AU69" s="44">
        <f t="shared" si="80"/>
        <v>2500</v>
      </c>
      <c r="AV69" s="44">
        <f t="shared" si="80"/>
        <v>2500</v>
      </c>
      <c r="AW69" s="44">
        <f t="shared" si="80"/>
        <v>2500</v>
      </c>
      <c r="AX69" s="44">
        <f t="shared" si="80"/>
        <v>2500</v>
      </c>
      <c r="AY69" s="44">
        <f t="shared" si="80"/>
        <v>2500</v>
      </c>
      <c r="AZ69" s="44">
        <f t="shared" si="80"/>
        <v>2500</v>
      </c>
      <c r="BA69" s="44">
        <f t="shared" si="80"/>
        <v>2500</v>
      </c>
      <c r="BB69" s="44">
        <f t="shared" si="80"/>
        <v>2500</v>
      </c>
      <c r="BC69" s="44">
        <f t="shared" si="80"/>
        <v>2500</v>
      </c>
      <c r="BD69" s="44">
        <f t="shared" si="80"/>
        <v>2500</v>
      </c>
      <c r="BE69" s="44">
        <f t="shared" si="80"/>
        <v>2500</v>
      </c>
    </row>
    <row r="70" spans="1:57" x14ac:dyDescent="0.25">
      <c r="A70" s="17"/>
      <c r="B70" s="17"/>
      <c r="C70" s="17"/>
      <c r="D70" s="17"/>
      <c r="E70" s="17"/>
      <c r="F70" s="17"/>
      <c r="G70" s="17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</row>
    <row r="71" spans="1:57" ht="15.75" thickBot="1" x14ac:dyDescent="0.3">
      <c r="A71" s="11" t="s">
        <v>93</v>
      </c>
    </row>
    <row r="72" spans="1:57" ht="15.75" thickBot="1" x14ac:dyDescent="0.3">
      <c r="A72" s="12" t="s">
        <v>77</v>
      </c>
      <c r="B72" s="13">
        <f>B51</f>
        <v>0</v>
      </c>
      <c r="C72" s="13"/>
      <c r="D72" s="13"/>
      <c r="E72" s="13"/>
      <c r="F72" s="14">
        <f t="shared" ref="F72:G72" si="81">F35</f>
        <v>0</v>
      </c>
      <c r="G72" s="14">
        <f t="shared" si="81"/>
        <v>0</v>
      </c>
      <c r="H72" s="14" t="str">
        <f>H3</f>
        <v>1996/97</v>
      </c>
      <c r="I72" s="14" t="str">
        <f t="shared" ref="I72:BE72" si="82">I3</f>
        <v>1997/98</v>
      </c>
      <c r="J72" s="14" t="str">
        <f t="shared" si="82"/>
        <v>1998/99</v>
      </c>
      <c r="K72" s="14" t="str">
        <f t="shared" si="82"/>
        <v>1999/00</v>
      </c>
      <c r="L72" s="14" t="str">
        <f t="shared" si="82"/>
        <v>2000/01</v>
      </c>
      <c r="M72" s="14" t="str">
        <f t="shared" si="82"/>
        <v>2001/02</v>
      </c>
      <c r="N72" s="14" t="str">
        <f t="shared" si="82"/>
        <v>2002/03</v>
      </c>
      <c r="O72" s="14" t="str">
        <f t="shared" si="82"/>
        <v>2003/04</v>
      </c>
      <c r="P72" s="14" t="str">
        <f t="shared" si="82"/>
        <v>2004/05</v>
      </c>
      <c r="Q72" s="14" t="str">
        <f t="shared" si="82"/>
        <v>2005/06</v>
      </c>
      <c r="R72" s="14" t="str">
        <f t="shared" si="82"/>
        <v>2006/07</v>
      </c>
      <c r="S72" s="14" t="str">
        <f t="shared" si="82"/>
        <v>2007/08</v>
      </c>
      <c r="T72" s="14" t="str">
        <f t="shared" si="82"/>
        <v>2008/09</v>
      </c>
      <c r="U72" s="14" t="str">
        <f t="shared" si="82"/>
        <v>2009/10</v>
      </c>
      <c r="V72" s="14" t="str">
        <f t="shared" si="82"/>
        <v>2010/11</v>
      </c>
      <c r="W72" s="14" t="str">
        <f t="shared" si="82"/>
        <v>2011/12</v>
      </c>
      <c r="X72" s="14" t="str">
        <f t="shared" si="82"/>
        <v>2012/13</v>
      </c>
      <c r="Y72" s="14" t="str">
        <f t="shared" si="82"/>
        <v>2013/14</v>
      </c>
      <c r="Z72" s="14" t="str">
        <f t="shared" si="82"/>
        <v>2014/15</v>
      </c>
      <c r="AA72" s="14" t="str">
        <f t="shared" si="82"/>
        <v>2015/16</v>
      </c>
      <c r="AB72" s="14" t="str">
        <f t="shared" si="82"/>
        <v>2016/17</v>
      </c>
      <c r="AC72" s="14" t="str">
        <f t="shared" si="82"/>
        <v>2017/18</v>
      </c>
      <c r="AD72" s="14" t="str">
        <f t="shared" si="82"/>
        <v>2018/19</v>
      </c>
      <c r="AE72" s="14" t="str">
        <f t="shared" si="82"/>
        <v>2019/20</v>
      </c>
      <c r="AF72" s="14" t="str">
        <f t="shared" si="82"/>
        <v>2020/21</v>
      </c>
      <c r="AG72" s="14" t="str">
        <f t="shared" si="82"/>
        <v>2021/22</v>
      </c>
      <c r="AH72" s="14" t="str">
        <f t="shared" si="82"/>
        <v>2022/23</v>
      </c>
      <c r="AI72" s="14" t="str">
        <f t="shared" si="82"/>
        <v>2023/24</v>
      </c>
      <c r="AJ72" s="14" t="str">
        <f t="shared" si="82"/>
        <v>2024/25</v>
      </c>
      <c r="AK72" s="14" t="str">
        <f t="shared" si="82"/>
        <v>2025/26</v>
      </c>
      <c r="AL72" s="14" t="str">
        <f t="shared" si="82"/>
        <v>2026/27</v>
      </c>
      <c r="AM72" s="14" t="str">
        <f t="shared" si="82"/>
        <v>2027/28</v>
      </c>
      <c r="AN72" s="14" t="str">
        <f t="shared" si="82"/>
        <v>2028/29</v>
      </c>
      <c r="AO72" s="14" t="str">
        <f t="shared" si="82"/>
        <v>2029/30</v>
      </c>
      <c r="AP72" s="14" t="str">
        <f t="shared" si="82"/>
        <v>2030/31</v>
      </c>
      <c r="AQ72" s="14" t="str">
        <f t="shared" si="82"/>
        <v>2031/32</v>
      </c>
      <c r="AR72" s="14" t="str">
        <f t="shared" si="82"/>
        <v>2032/33</v>
      </c>
      <c r="AS72" s="14" t="str">
        <f t="shared" si="82"/>
        <v>2033/34</v>
      </c>
      <c r="AT72" s="14" t="str">
        <f t="shared" si="82"/>
        <v>2034/35</v>
      </c>
      <c r="AU72" s="14" t="str">
        <f t="shared" si="82"/>
        <v>2035/36</v>
      </c>
      <c r="AV72" s="14" t="str">
        <f t="shared" si="82"/>
        <v>2036/37</v>
      </c>
      <c r="AW72" s="14" t="str">
        <f t="shared" si="82"/>
        <v>2037/38</v>
      </c>
      <c r="AX72" s="14" t="str">
        <f t="shared" si="82"/>
        <v>2038/39</v>
      </c>
      <c r="AY72" s="14" t="str">
        <f t="shared" si="82"/>
        <v>2039/40</v>
      </c>
      <c r="AZ72" s="14" t="str">
        <f t="shared" si="82"/>
        <v>2040/41</v>
      </c>
      <c r="BA72" s="14" t="str">
        <f t="shared" si="82"/>
        <v>2041/42</v>
      </c>
      <c r="BB72" s="14" t="str">
        <f t="shared" si="82"/>
        <v>2042/43</v>
      </c>
      <c r="BC72" s="14" t="str">
        <f t="shared" si="82"/>
        <v>2043/44</v>
      </c>
      <c r="BD72" s="14" t="str">
        <f t="shared" si="82"/>
        <v>2044/45</v>
      </c>
      <c r="BE72" s="14" t="str">
        <f t="shared" si="82"/>
        <v>2045/46</v>
      </c>
    </row>
    <row r="73" spans="1:57" x14ac:dyDescent="0.25">
      <c r="A73" s="2" t="s">
        <v>78</v>
      </c>
    </row>
    <row r="74" spans="1:57" x14ac:dyDescent="0.25">
      <c r="A74" s="2" t="s">
        <v>79</v>
      </c>
    </row>
    <row r="75" spans="1:57" x14ac:dyDescent="0.25">
      <c r="A75" s="2" t="s">
        <v>80</v>
      </c>
    </row>
    <row r="76" spans="1:57" x14ac:dyDescent="0.25">
      <c r="A76" s="2" t="s">
        <v>81</v>
      </c>
    </row>
    <row r="77" spans="1:57" x14ac:dyDescent="0.25">
      <c r="A77" s="2" t="s">
        <v>82</v>
      </c>
    </row>
    <row r="78" spans="1:57" x14ac:dyDescent="0.25">
      <c r="A78" s="2" t="s">
        <v>83</v>
      </c>
    </row>
    <row r="79" spans="1:57" x14ac:dyDescent="0.25">
      <c r="A79" s="2" t="s">
        <v>84</v>
      </c>
    </row>
    <row r="80" spans="1:57" x14ac:dyDescent="0.25">
      <c r="A80" s="2" t="s">
        <v>85</v>
      </c>
    </row>
    <row r="81" spans="1:57" x14ac:dyDescent="0.25">
      <c r="A81" s="2" t="s">
        <v>86</v>
      </c>
    </row>
    <row r="82" spans="1:57" x14ac:dyDescent="0.25">
      <c r="A82" s="2" t="s">
        <v>87</v>
      </c>
    </row>
    <row r="83" spans="1:57" x14ac:dyDescent="0.25">
      <c r="A83" s="2" t="s">
        <v>88</v>
      </c>
    </row>
    <row r="84" spans="1:57" x14ac:dyDescent="0.25">
      <c r="A84" s="2" t="s">
        <v>89</v>
      </c>
    </row>
    <row r="85" spans="1:57" ht="15.75" thickBot="1" x14ac:dyDescent="0.3">
      <c r="A85" s="15" t="s">
        <v>90</v>
      </c>
      <c r="B85" s="15"/>
      <c r="C85" s="15"/>
      <c r="D85" s="15"/>
      <c r="E85" s="15"/>
      <c r="F85" s="15"/>
      <c r="G85" s="15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</row>
    <row r="86" spans="1:57" x14ac:dyDescent="0.25">
      <c r="A86" s="17"/>
      <c r="B86" s="17"/>
      <c r="C86" s="17"/>
      <c r="D86" s="17"/>
      <c r="E86" s="17"/>
      <c r="F86" s="17"/>
      <c r="G86" s="1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</row>
    <row r="87" spans="1:57" ht="15.75" thickBot="1" x14ac:dyDescent="0.3">
      <c r="A87" s="11" t="s">
        <v>94</v>
      </c>
    </row>
    <row r="88" spans="1:57" ht="15.75" thickBot="1" x14ac:dyDescent="0.3">
      <c r="A88" s="12" t="s">
        <v>77</v>
      </c>
      <c r="B88" s="13">
        <f>B67</f>
        <v>0</v>
      </c>
      <c r="C88" s="13"/>
      <c r="D88" s="13"/>
      <c r="E88" s="13"/>
      <c r="F88" s="14">
        <f t="shared" ref="F88:G88" si="83">F51</f>
        <v>0</v>
      </c>
      <c r="G88" s="14">
        <f t="shared" si="83"/>
        <v>0</v>
      </c>
      <c r="H88" s="14" t="str">
        <f>H3</f>
        <v>1996/97</v>
      </c>
      <c r="I88" s="14" t="str">
        <f t="shared" ref="I88:BE88" si="84">I3</f>
        <v>1997/98</v>
      </c>
      <c r="J88" s="14" t="str">
        <f t="shared" si="84"/>
        <v>1998/99</v>
      </c>
      <c r="K88" s="14" t="str">
        <f t="shared" si="84"/>
        <v>1999/00</v>
      </c>
      <c r="L88" s="14" t="str">
        <f t="shared" si="84"/>
        <v>2000/01</v>
      </c>
      <c r="M88" s="14" t="str">
        <f t="shared" si="84"/>
        <v>2001/02</v>
      </c>
      <c r="N88" s="14" t="str">
        <f t="shared" si="84"/>
        <v>2002/03</v>
      </c>
      <c r="O88" s="14" t="str">
        <f t="shared" si="84"/>
        <v>2003/04</v>
      </c>
      <c r="P88" s="14" t="str">
        <f t="shared" si="84"/>
        <v>2004/05</v>
      </c>
      <c r="Q88" s="14" t="str">
        <f t="shared" si="84"/>
        <v>2005/06</v>
      </c>
      <c r="R88" s="14" t="str">
        <f t="shared" si="84"/>
        <v>2006/07</v>
      </c>
      <c r="S88" s="14" t="str">
        <f t="shared" si="84"/>
        <v>2007/08</v>
      </c>
      <c r="T88" s="14" t="str">
        <f t="shared" si="84"/>
        <v>2008/09</v>
      </c>
      <c r="U88" s="14" t="str">
        <f t="shared" si="84"/>
        <v>2009/10</v>
      </c>
      <c r="V88" s="14" t="str">
        <f t="shared" si="84"/>
        <v>2010/11</v>
      </c>
      <c r="W88" s="14" t="str">
        <f t="shared" si="84"/>
        <v>2011/12</v>
      </c>
      <c r="X88" s="14" t="str">
        <f t="shared" si="84"/>
        <v>2012/13</v>
      </c>
      <c r="Y88" s="14" t="str">
        <f t="shared" si="84"/>
        <v>2013/14</v>
      </c>
      <c r="Z88" s="14" t="str">
        <f t="shared" si="84"/>
        <v>2014/15</v>
      </c>
      <c r="AA88" s="14" t="str">
        <f t="shared" si="84"/>
        <v>2015/16</v>
      </c>
      <c r="AB88" s="14" t="str">
        <f t="shared" si="84"/>
        <v>2016/17</v>
      </c>
      <c r="AC88" s="14" t="str">
        <f t="shared" si="84"/>
        <v>2017/18</v>
      </c>
      <c r="AD88" s="14" t="str">
        <f t="shared" si="84"/>
        <v>2018/19</v>
      </c>
      <c r="AE88" s="14" t="str">
        <f t="shared" si="84"/>
        <v>2019/20</v>
      </c>
      <c r="AF88" s="14" t="str">
        <f t="shared" si="84"/>
        <v>2020/21</v>
      </c>
      <c r="AG88" s="14" t="str">
        <f t="shared" si="84"/>
        <v>2021/22</v>
      </c>
      <c r="AH88" s="14" t="str">
        <f t="shared" si="84"/>
        <v>2022/23</v>
      </c>
      <c r="AI88" s="14" t="str">
        <f t="shared" si="84"/>
        <v>2023/24</v>
      </c>
      <c r="AJ88" s="14" t="str">
        <f t="shared" si="84"/>
        <v>2024/25</v>
      </c>
      <c r="AK88" s="14" t="str">
        <f t="shared" si="84"/>
        <v>2025/26</v>
      </c>
      <c r="AL88" s="14" t="str">
        <f t="shared" si="84"/>
        <v>2026/27</v>
      </c>
      <c r="AM88" s="14" t="str">
        <f t="shared" si="84"/>
        <v>2027/28</v>
      </c>
      <c r="AN88" s="14" t="str">
        <f t="shared" si="84"/>
        <v>2028/29</v>
      </c>
      <c r="AO88" s="14" t="str">
        <f t="shared" si="84"/>
        <v>2029/30</v>
      </c>
      <c r="AP88" s="14" t="str">
        <f t="shared" si="84"/>
        <v>2030/31</v>
      </c>
      <c r="AQ88" s="14" t="str">
        <f t="shared" si="84"/>
        <v>2031/32</v>
      </c>
      <c r="AR88" s="14" t="str">
        <f t="shared" si="84"/>
        <v>2032/33</v>
      </c>
      <c r="AS88" s="14" t="str">
        <f t="shared" si="84"/>
        <v>2033/34</v>
      </c>
      <c r="AT88" s="14" t="str">
        <f t="shared" si="84"/>
        <v>2034/35</v>
      </c>
      <c r="AU88" s="14" t="str">
        <f t="shared" si="84"/>
        <v>2035/36</v>
      </c>
      <c r="AV88" s="14" t="str">
        <f t="shared" si="84"/>
        <v>2036/37</v>
      </c>
      <c r="AW88" s="14" t="str">
        <f t="shared" si="84"/>
        <v>2037/38</v>
      </c>
      <c r="AX88" s="14" t="str">
        <f t="shared" si="84"/>
        <v>2038/39</v>
      </c>
      <c r="AY88" s="14" t="str">
        <f t="shared" si="84"/>
        <v>2039/40</v>
      </c>
      <c r="AZ88" s="14" t="str">
        <f t="shared" si="84"/>
        <v>2040/41</v>
      </c>
      <c r="BA88" s="14" t="str">
        <f t="shared" si="84"/>
        <v>2041/42</v>
      </c>
      <c r="BB88" s="14" t="str">
        <f t="shared" si="84"/>
        <v>2042/43</v>
      </c>
      <c r="BC88" s="14" t="str">
        <f t="shared" si="84"/>
        <v>2043/44</v>
      </c>
      <c r="BD88" s="14" t="str">
        <f t="shared" si="84"/>
        <v>2044/45</v>
      </c>
      <c r="BE88" s="14" t="str">
        <f t="shared" si="84"/>
        <v>2045/46</v>
      </c>
    </row>
    <row r="89" spans="1:57" x14ac:dyDescent="0.25">
      <c r="A89" s="2" t="s">
        <v>78</v>
      </c>
    </row>
    <row r="90" spans="1:57" x14ac:dyDescent="0.25">
      <c r="A90" s="2" t="s">
        <v>79</v>
      </c>
    </row>
    <row r="91" spans="1:57" x14ac:dyDescent="0.25">
      <c r="A91" s="2" t="s">
        <v>80</v>
      </c>
    </row>
    <row r="92" spans="1:57" x14ac:dyDescent="0.25">
      <c r="A92" s="2" t="s">
        <v>81</v>
      </c>
    </row>
    <row r="93" spans="1:57" x14ac:dyDescent="0.25">
      <c r="A93" s="2" t="s">
        <v>82</v>
      </c>
    </row>
    <row r="94" spans="1:57" x14ac:dyDescent="0.25">
      <c r="A94" s="2" t="s">
        <v>83</v>
      </c>
    </row>
    <row r="95" spans="1:57" x14ac:dyDescent="0.25">
      <c r="A95" s="2" t="s">
        <v>84</v>
      </c>
    </row>
    <row r="96" spans="1:57" x14ac:dyDescent="0.25">
      <c r="A96" s="2" t="s">
        <v>85</v>
      </c>
    </row>
    <row r="97" spans="1:57" x14ac:dyDescent="0.25">
      <c r="A97" s="2" t="s">
        <v>86</v>
      </c>
    </row>
    <row r="98" spans="1:57" x14ac:dyDescent="0.25">
      <c r="A98" s="2" t="s">
        <v>87</v>
      </c>
    </row>
    <row r="99" spans="1:57" x14ac:dyDescent="0.25">
      <c r="A99" s="2" t="s">
        <v>88</v>
      </c>
    </row>
    <row r="100" spans="1:57" x14ac:dyDescent="0.25">
      <c r="A100" s="2" t="s">
        <v>89</v>
      </c>
    </row>
    <row r="101" spans="1:57" ht="15.75" thickBot="1" x14ac:dyDescent="0.3">
      <c r="A101" s="15" t="s">
        <v>90</v>
      </c>
      <c r="B101" s="15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</row>
    <row r="102" spans="1:57" x14ac:dyDescent="0.25">
      <c r="A102" s="17"/>
      <c r="B102" s="17"/>
      <c r="C102" s="17"/>
      <c r="D102" s="17"/>
      <c r="E102" s="17"/>
      <c r="F102" s="17"/>
      <c r="G102" s="1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</row>
    <row r="103" spans="1:57" ht="15.75" thickBot="1" x14ac:dyDescent="0.3">
      <c r="A103" s="11" t="s">
        <v>95</v>
      </c>
    </row>
    <row r="104" spans="1:57" ht="15.75" thickBot="1" x14ac:dyDescent="0.3">
      <c r="A104" s="12" t="s">
        <v>77</v>
      </c>
      <c r="B104" s="13">
        <f>B83</f>
        <v>0</v>
      </c>
      <c r="C104" s="13"/>
      <c r="D104" s="13"/>
      <c r="E104" s="13"/>
      <c r="F104" s="14">
        <f t="shared" ref="F104:G104" si="85">F67</f>
        <v>0</v>
      </c>
      <c r="G104" s="14">
        <f t="shared" si="85"/>
        <v>0</v>
      </c>
      <c r="H104" s="14" t="str">
        <f>H3</f>
        <v>1996/97</v>
      </c>
      <c r="I104" s="14" t="str">
        <f t="shared" ref="I104:BE104" si="86">I3</f>
        <v>1997/98</v>
      </c>
      <c r="J104" s="14" t="str">
        <f t="shared" si="86"/>
        <v>1998/99</v>
      </c>
      <c r="K104" s="14" t="str">
        <f t="shared" si="86"/>
        <v>1999/00</v>
      </c>
      <c r="L104" s="14" t="str">
        <f t="shared" si="86"/>
        <v>2000/01</v>
      </c>
      <c r="M104" s="14" t="str">
        <f t="shared" si="86"/>
        <v>2001/02</v>
      </c>
      <c r="N104" s="14" t="str">
        <f t="shared" si="86"/>
        <v>2002/03</v>
      </c>
      <c r="O104" s="14" t="str">
        <f t="shared" si="86"/>
        <v>2003/04</v>
      </c>
      <c r="P104" s="14" t="str">
        <f t="shared" si="86"/>
        <v>2004/05</v>
      </c>
      <c r="Q104" s="14" t="str">
        <f t="shared" si="86"/>
        <v>2005/06</v>
      </c>
      <c r="R104" s="14" t="str">
        <f t="shared" si="86"/>
        <v>2006/07</v>
      </c>
      <c r="S104" s="14" t="str">
        <f t="shared" si="86"/>
        <v>2007/08</v>
      </c>
      <c r="T104" s="14" t="str">
        <f t="shared" si="86"/>
        <v>2008/09</v>
      </c>
      <c r="U104" s="14" t="str">
        <f t="shared" si="86"/>
        <v>2009/10</v>
      </c>
      <c r="V104" s="14" t="str">
        <f t="shared" si="86"/>
        <v>2010/11</v>
      </c>
      <c r="W104" s="14" t="str">
        <f t="shared" si="86"/>
        <v>2011/12</v>
      </c>
      <c r="X104" s="14" t="str">
        <f t="shared" si="86"/>
        <v>2012/13</v>
      </c>
      <c r="Y104" s="14" t="str">
        <f t="shared" si="86"/>
        <v>2013/14</v>
      </c>
      <c r="Z104" s="14" t="str">
        <f t="shared" si="86"/>
        <v>2014/15</v>
      </c>
      <c r="AA104" s="14" t="str">
        <f t="shared" si="86"/>
        <v>2015/16</v>
      </c>
      <c r="AB104" s="14" t="str">
        <f t="shared" si="86"/>
        <v>2016/17</v>
      </c>
      <c r="AC104" s="14" t="str">
        <f t="shared" si="86"/>
        <v>2017/18</v>
      </c>
      <c r="AD104" s="14" t="str">
        <f t="shared" si="86"/>
        <v>2018/19</v>
      </c>
      <c r="AE104" s="14" t="str">
        <f t="shared" si="86"/>
        <v>2019/20</v>
      </c>
      <c r="AF104" s="14" t="str">
        <f t="shared" si="86"/>
        <v>2020/21</v>
      </c>
      <c r="AG104" s="14" t="str">
        <f t="shared" si="86"/>
        <v>2021/22</v>
      </c>
      <c r="AH104" s="14" t="str">
        <f t="shared" si="86"/>
        <v>2022/23</v>
      </c>
      <c r="AI104" s="14" t="str">
        <f t="shared" si="86"/>
        <v>2023/24</v>
      </c>
      <c r="AJ104" s="14" t="str">
        <f t="shared" si="86"/>
        <v>2024/25</v>
      </c>
      <c r="AK104" s="14" t="str">
        <f t="shared" si="86"/>
        <v>2025/26</v>
      </c>
      <c r="AL104" s="14" t="str">
        <f t="shared" si="86"/>
        <v>2026/27</v>
      </c>
      <c r="AM104" s="14" t="str">
        <f t="shared" si="86"/>
        <v>2027/28</v>
      </c>
      <c r="AN104" s="14" t="str">
        <f t="shared" si="86"/>
        <v>2028/29</v>
      </c>
      <c r="AO104" s="14" t="str">
        <f t="shared" si="86"/>
        <v>2029/30</v>
      </c>
      <c r="AP104" s="14" t="str">
        <f t="shared" si="86"/>
        <v>2030/31</v>
      </c>
      <c r="AQ104" s="14" t="str">
        <f t="shared" si="86"/>
        <v>2031/32</v>
      </c>
      <c r="AR104" s="14" t="str">
        <f t="shared" si="86"/>
        <v>2032/33</v>
      </c>
      <c r="AS104" s="14" t="str">
        <f t="shared" si="86"/>
        <v>2033/34</v>
      </c>
      <c r="AT104" s="14" t="str">
        <f t="shared" si="86"/>
        <v>2034/35</v>
      </c>
      <c r="AU104" s="14" t="str">
        <f t="shared" si="86"/>
        <v>2035/36</v>
      </c>
      <c r="AV104" s="14" t="str">
        <f t="shared" si="86"/>
        <v>2036/37</v>
      </c>
      <c r="AW104" s="14" t="str">
        <f t="shared" si="86"/>
        <v>2037/38</v>
      </c>
      <c r="AX104" s="14" t="str">
        <f t="shared" si="86"/>
        <v>2038/39</v>
      </c>
      <c r="AY104" s="14" t="str">
        <f t="shared" si="86"/>
        <v>2039/40</v>
      </c>
      <c r="AZ104" s="14" t="str">
        <f t="shared" si="86"/>
        <v>2040/41</v>
      </c>
      <c r="BA104" s="14" t="str">
        <f t="shared" si="86"/>
        <v>2041/42</v>
      </c>
      <c r="BB104" s="14" t="str">
        <f t="shared" si="86"/>
        <v>2042/43</v>
      </c>
      <c r="BC104" s="14" t="str">
        <f t="shared" si="86"/>
        <v>2043/44</v>
      </c>
      <c r="BD104" s="14" t="str">
        <f t="shared" si="86"/>
        <v>2044/45</v>
      </c>
      <c r="BE104" s="14" t="str">
        <f t="shared" si="86"/>
        <v>2045/46</v>
      </c>
    </row>
    <row r="105" spans="1:57" x14ac:dyDescent="0.25">
      <c r="A105" s="2" t="s">
        <v>78</v>
      </c>
    </row>
    <row r="106" spans="1:57" x14ac:dyDescent="0.25">
      <c r="A106" s="2" t="s">
        <v>79</v>
      </c>
    </row>
    <row r="107" spans="1:57" x14ac:dyDescent="0.25">
      <c r="A107" s="2" t="s">
        <v>80</v>
      </c>
    </row>
    <row r="108" spans="1:57" x14ac:dyDescent="0.25">
      <c r="A108" s="2" t="s">
        <v>81</v>
      </c>
    </row>
    <row r="109" spans="1:57" x14ac:dyDescent="0.25">
      <c r="A109" s="2" t="s">
        <v>82</v>
      </c>
    </row>
    <row r="110" spans="1:57" x14ac:dyDescent="0.25">
      <c r="A110" s="2" t="s">
        <v>83</v>
      </c>
    </row>
    <row r="111" spans="1:57" x14ac:dyDescent="0.25">
      <c r="A111" s="2" t="s">
        <v>84</v>
      </c>
    </row>
    <row r="112" spans="1:57" x14ac:dyDescent="0.25">
      <c r="A112" s="2" t="s">
        <v>85</v>
      </c>
    </row>
    <row r="113" spans="1:57" x14ac:dyDescent="0.25">
      <c r="A113" s="2" t="s">
        <v>86</v>
      </c>
    </row>
    <row r="114" spans="1:57" x14ac:dyDescent="0.25">
      <c r="A114" s="2" t="s">
        <v>87</v>
      </c>
    </row>
    <row r="115" spans="1:57" x14ac:dyDescent="0.25">
      <c r="A115" s="2" t="s">
        <v>88</v>
      </c>
    </row>
    <row r="116" spans="1:57" ht="15.75" thickBot="1" x14ac:dyDescent="0.3">
      <c r="A116" s="2" t="s">
        <v>89</v>
      </c>
    </row>
    <row r="117" spans="1:57" x14ac:dyDescent="0.25">
      <c r="A117" s="17"/>
      <c r="B117" s="17"/>
      <c r="C117" s="17"/>
      <c r="D117" s="17"/>
      <c r="E117" s="17"/>
      <c r="F117" s="17"/>
      <c r="G117" s="1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B00A-5ACC-4291-8822-EE5032010EFC}">
  <dimension ref="A1:BE115"/>
  <sheetViews>
    <sheetView zoomScale="85" zoomScaleNormal="85" workbookViewId="0">
      <pane xSplit="7" ySplit="3" topLeftCell="AS4" activePane="bottomRight" state="frozen"/>
      <selection activeCell="Y28" sqref="Y28"/>
      <selection pane="topRight" activeCell="Y28" sqref="Y28"/>
      <selection pane="bottomLeft" activeCell="Y28" sqref="Y28"/>
      <selection pane="bottomRight" activeCell="Y28" sqref="Y28"/>
    </sheetView>
  </sheetViews>
  <sheetFormatPr defaultRowHeight="15" x14ac:dyDescent="0.25"/>
  <cols>
    <col min="1" max="1" width="42.85546875" style="2" customWidth="1"/>
    <col min="2" max="7" width="0" style="2" hidden="1" customWidth="1"/>
    <col min="8" max="57" width="10.85546875" style="3" customWidth="1"/>
    <col min="58" max="16384" width="9.140625" style="2"/>
  </cols>
  <sheetData>
    <row r="1" spans="1:57" ht="21" x14ac:dyDescent="0.35">
      <c r="A1" s="1" t="s">
        <v>0</v>
      </c>
    </row>
    <row r="2" spans="1:57" ht="15.75" x14ac:dyDescent="0.25">
      <c r="A2" s="4" t="s">
        <v>96</v>
      </c>
    </row>
    <row r="3" spans="1:57" x14ac:dyDescent="0.25">
      <c r="A3" s="5" t="s">
        <v>97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  <c r="AS3" s="6" t="s">
        <v>45</v>
      </c>
      <c r="AT3" s="6" t="s">
        <v>46</v>
      </c>
      <c r="AU3" s="6" t="s">
        <v>47</v>
      </c>
      <c r="AV3" s="6" t="s">
        <v>48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56</v>
      </c>
      <c r="BE3" s="6" t="s">
        <v>57</v>
      </c>
    </row>
    <row r="4" spans="1:57" x14ac:dyDescent="0.25">
      <c r="A4" s="2" t="s">
        <v>98</v>
      </c>
    </row>
    <row r="5" spans="1:57" x14ac:dyDescent="0.25">
      <c r="A5" s="2" t="s">
        <v>99</v>
      </c>
    </row>
    <row r="6" spans="1:57" x14ac:dyDescent="0.25">
      <c r="A6" s="2" t="s">
        <v>100</v>
      </c>
    </row>
    <row r="7" spans="1:57" ht="15.75" thickBot="1" x14ac:dyDescent="0.3">
      <c r="A7" s="19" t="s">
        <v>101</v>
      </c>
      <c r="B7" s="19"/>
      <c r="C7" s="19"/>
      <c r="D7" s="19"/>
      <c r="E7" s="19"/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</row>
    <row r="8" spans="1:57" x14ac:dyDescent="0.25">
      <c r="A8" s="2" t="s">
        <v>102</v>
      </c>
    </row>
    <row r="9" spans="1:57" x14ac:dyDescent="0.25">
      <c r="A9" s="2" t="s">
        <v>63</v>
      </c>
    </row>
    <row r="10" spans="1:57" x14ac:dyDescent="0.25">
      <c r="A10" s="2" t="s">
        <v>64</v>
      </c>
    </row>
    <row r="11" spans="1:57" x14ac:dyDescent="0.25">
      <c r="A11" s="2" t="s">
        <v>65</v>
      </c>
    </row>
    <row r="12" spans="1:57" x14ac:dyDescent="0.25">
      <c r="A12" s="7" t="s">
        <v>103</v>
      </c>
      <c r="B12" s="7"/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 spans="1:57" x14ac:dyDescent="0.25">
      <c r="A13" s="2" t="s">
        <v>69</v>
      </c>
    </row>
    <row r="14" spans="1:57" x14ac:dyDescent="0.25">
      <c r="A14" s="2" t="s">
        <v>70</v>
      </c>
    </row>
    <row r="15" spans="1:57" x14ac:dyDescent="0.25">
      <c r="A15" s="7" t="s">
        <v>104</v>
      </c>
      <c r="B15" s="7"/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 spans="1:57" x14ac:dyDescent="0.25">
      <c r="A16" s="2" t="s">
        <v>72</v>
      </c>
    </row>
    <row r="17" spans="1:57" x14ac:dyDescent="0.25">
      <c r="A17" s="7" t="s">
        <v>105</v>
      </c>
      <c r="B17" s="7"/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1:57" ht="15.75" thickBot="1" x14ac:dyDescent="0.3">
      <c r="A18" s="2" t="s">
        <v>74</v>
      </c>
    </row>
    <row r="19" spans="1:57" ht="15.75" thickTop="1" x14ac:dyDescent="0.25">
      <c r="A19" s="9"/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1" spans="1:57" ht="15.75" thickBot="1" x14ac:dyDescent="0.3">
      <c r="A21" s="11" t="s">
        <v>106</v>
      </c>
    </row>
    <row r="22" spans="1:57" ht="15.75" thickBot="1" x14ac:dyDescent="0.3">
      <c r="A22" s="12" t="s">
        <v>107</v>
      </c>
      <c r="B22" s="13" t="str">
        <f>B3</f>
        <v>1990/91</v>
      </c>
      <c r="C22" s="13"/>
      <c r="D22" s="13"/>
      <c r="E22" s="13"/>
      <c r="F22" s="13"/>
      <c r="G22" s="13"/>
      <c r="H22" s="14" t="str">
        <f t="shared" ref="H22:AM22" si="0">H3</f>
        <v>1996/97</v>
      </c>
      <c r="I22" s="14" t="str">
        <f t="shared" si="0"/>
        <v>1997/98</v>
      </c>
      <c r="J22" s="14" t="str">
        <f t="shared" si="0"/>
        <v>1998/99</v>
      </c>
      <c r="K22" s="14" t="str">
        <f t="shared" si="0"/>
        <v>1999/00</v>
      </c>
      <c r="L22" s="14" t="str">
        <f t="shared" si="0"/>
        <v>2000/01</v>
      </c>
      <c r="M22" s="14" t="str">
        <f t="shared" si="0"/>
        <v>2001/02</v>
      </c>
      <c r="N22" s="14" t="str">
        <f t="shared" si="0"/>
        <v>2002/03</v>
      </c>
      <c r="O22" s="14" t="str">
        <f t="shared" si="0"/>
        <v>2003/04</v>
      </c>
      <c r="P22" s="14" t="str">
        <f t="shared" si="0"/>
        <v>2004/05</v>
      </c>
      <c r="Q22" s="14" t="str">
        <f t="shared" si="0"/>
        <v>2005/06</v>
      </c>
      <c r="R22" s="14" t="str">
        <f t="shared" si="0"/>
        <v>2006/07</v>
      </c>
      <c r="S22" s="14" t="str">
        <f t="shared" si="0"/>
        <v>2007/08</v>
      </c>
      <c r="T22" s="14" t="str">
        <f t="shared" si="0"/>
        <v>2008/09</v>
      </c>
      <c r="U22" s="14" t="str">
        <f t="shared" si="0"/>
        <v>2009/10</v>
      </c>
      <c r="V22" s="14" t="str">
        <f t="shared" si="0"/>
        <v>2010/11</v>
      </c>
      <c r="W22" s="14" t="str">
        <f t="shared" si="0"/>
        <v>2011/12</v>
      </c>
      <c r="X22" s="14" t="str">
        <f t="shared" si="0"/>
        <v>2012/13</v>
      </c>
      <c r="Y22" s="14" t="str">
        <f t="shared" si="0"/>
        <v>2013/14</v>
      </c>
      <c r="Z22" s="14" t="str">
        <f t="shared" si="0"/>
        <v>2014/15</v>
      </c>
      <c r="AA22" s="14" t="str">
        <f t="shared" si="0"/>
        <v>2015/16</v>
      </c>
      <c r="AB22" s="14" t="str">
        <f t="shared" si="0"/>
        <v>2016/17</v>
      </c>
      <c r="AC22" s="14" t="str">
        <f t="shared" si="0"/>
        <v>2017/18</v>
      </c>
      <c r="AD22" s="14" t="str">
        <f t="shared" si="0"/>
        <v>2018/19</v>
      </c>
      <c r="AE22" s="14" t="str">
        <f t="shared" si="0"/>
        <v>2019/20</v>
      </c>
      <c r="AF22" s="14" t="str">
        <f t="shared" si="0"/>
        <v>2020/21</v>
      </c>
      <c r="AG22" s="14" t="str">
        <f t="shared" si="0"/>
        <v>2021/22</v>
      </c>
      <c r="AH22" s="14" t="str">
        <f t="shared" si="0"/>
        <v>2022/23</v>
      </c>
      <c r="AI22" s="14" t="str">
        <f t="shared" si="0"/>
        <v>2023/24</v>
      </c>
      <c r="AJ22" s="14" t="str">
        <f t="shared" si="0"/>
        <v>2024/25</v>
      </c>
      <c r="AK22" s="14" t="str">
        <f t="shared" si="0"/>
        <v>2025/26</v>
      </c>
      <c r="AL22" s="14" t="str">
        <f t="shared" si="0"/>
        <v>2026/27</v>
      </c>
      <c r="AM22" s="14" t="str">
        <f t="shared" si="0"/>
        <v>2027/28</v>
      </c>
      <c r="AN22" s="14" t="str">
        <f t="shared" ref="AN22:BE22" si="1">AN3</f>
        <v>2028/29</v>
      </c>
      <c r="AO22" s="14" t="str">
        <f t="shared" si="1"/>
        <v>2029/30</v>
      </c>
      <c r="AP22" s="14" t="str">
        <f t="shared" si="1"/>
        <v>2030/31</v>
      </c>
      <c r="AQ22" s="14" t="str">
        <f t="shared" si="1"/>
        <v>2031/32</v>
      </c>
      <c r="AR22" s="14" t="str">
        <f t="shared" si="1"/>
        <v>2032/33</v>
      </c>
      <c r="AS22" s="14" t="str">
        <f t="shared" si="1"/>
        <v>2033/34</v>
      </c>
      <c r="AT22" s="14" t="str">
        <f t="shared" si="1"/>
        <v>2034/35</v>
      </c>
      <c r="AU22" s="14" t="str">
        <f t="shared" si="1"/>
        <v>2035/36</v>
      </c>
      <c r="AV22" s="14" t="str">
        <f t="shared" si="1"/>
        <v>2036/37</v>
      </c>
      <c r="AW22" s="14" t="str">
        <f t="shared" si="1"/>
        <v>2037/38</v>
      </c>
      <c r="AX22" s="14" t="str">
        <f t="shared" si="1"/>
        <v>2038/39</v>
      </c>
      <c r="AY22" s="14" t="str">
        <f t="shared" si="1"/>
        <v>2039/40</v>
      </c>
      <c r="AZ22" s="14" t="str">
        <f t="shared" si="1"/>
        <v>2040/41</v>
      </c>
      <c r="BA22" s="14" t="str">
        <f t="shared" si="1"/>
        <v>2041/42</v>
      </c>
      <c r="BB22" s="14" t="str">
        <f t="shared" si="1"/>
        <v>2042/43</v>
      </c>
      <c r="BC22" s="14" t="str">
        <f t="shared" si="1"/>
        <v>2043/44</v>
      </c>
      <c r="BD22" s="14" t="str">
        <f t="shared" si="1"/>
        <v>2044/45</v>
      </c>
      <c r="BE22" s="14" t="str">
        <f t="shared" si="1"/>
        <v>2045/46</v>
      </c>
    </row>
    <row r="23" spans="1:57" x14ac:dyDescent="0.25">
      <c r="A23" s="2" t="s">
        <v>79</v>
      </c>
    </row>
    <row r="24" spans="1:57" x14ac:dyDescent="0.25">
      <c r="A24" s="2" t="s">
        <v>80</v>
      </c>
    </row>
    <row r="25" spans="1:57" x14ac:dyDescent="0.25">
      <c r="A25" s="2" t="s">
        <v>81</v>
      </c>
    </row>
    <row r="26" spans="1:57" x14ac:dyDescent="0.25">
      <c r="A26" s="2" t="s">
        <v>82</v>
      </c>
    </row>
    <row r="27" spans="1:57" x14ac:dyDescent="0.25">
      <c r="A27" s="2" t="s">
        <v>83</v>
      </c>
    </row>
    <row r="28" spans="1:57" x14ac:dyDescent="0.25">
      <c r="A28" s="2" t="s">
        <v>84</v>
      </c>
    </row>
    <row r="29" spans="1:57" x14ac:dyDescent="0.25">
      <c r="A29" s="2" t="s">
        <v>85</v>
      </c>
    </row>
    <row r="30" spans="1:57" x14ac:dyDescent="0.25">
      <c r="A30" s="2" t="s">
        <v>86</v>
      </c>
    </row>
    <row r="31" spans="1:57" x14ac:dyDescent="0.25">
      <c r="A31" s="2" t="s">
        <v>87</v>
      </c>
    </row>
    <row r="32" spans="1:57" x14ac:dyDescent="0.25">
      <c r="A32" s="2" t="s">
        <v>88</v>
      </c>
    </row>
    <row r="33" spans="1:57" x14ac:dyDescent="0.25">
      <c r="A33" s="2" t="s">
        <v>89</v>
      </c>
    </row>
    <row r="34" spans="1:57" x14ac:dyDescent="0.25">
      <c r="A34" s="2" t="s">
        <v>78</v>
      </c>
    </row>
    <row r="35" spans="1:57" ht="15.75" thickBot="1" x14ac:dyDescent="0.3">
      <c r="A35" s="15" t="s">
        <v>90</v>
      </c>
      <c r="B35" s="15"/>
      <c r="C35" s="15"/>
      <c r="D35" s="15"/>
      <c r="E35" s="15"/>
      <c r="F35" s="15"/>
      <c r="G35" s="1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</row>
    <row r="36" spans="1:57" x14ac:dyDescent="0.25">
      <c r="A36" s="17"/>
      <c r="B36" s="17"/>
      <c r="C36" s="17"/>
      <c r="D36" s="17"/>
      <c r="E36" s="17"/>
      <c r="F36" s="17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</row>
    <row r="37" spans="1:57" ht="15.75" thickBot="1" x14ac:dyDescent="0.3">
      <c r="A37" s="11" t="s">
        <v>108</v>
      </c>
    </row>
    <row r="38" spans="1:57" ht="15.75" thickBot="1" x14ac:dyDescent="0.3">
      <c r="A38" s="12" t="s">
        <v>107</v>
      </c>
      <c r="B38" s="13">
        <f>B19</f>
        <v>0</v>
      </c>
      <c r="C38" s="13"/>
      <c r="D38" s="13"/>
      <c r="E38" s="13"/>
      <c r="F38" s="13"/>
      <c r="G38" s="13"/>
      <c r="H38" s="14" t="str">
        <f>H3</f>
        <v>1996/97</v>
      </c>
      <c r="I38" s="14" t="str">
        <f t="shared" ref="I38:BE38" si="2">I3</f>
        <v>1997/98</v>
      </c>
      <c r="J38" s="14" t="str">
        <f t="shared" si="2"/>
        <v>1998/99</v>
      </c>
      <c r="K38" s="14" t="str">
        <f t="shared" si="2"/>
        <v>1999/00</v>
      </c>
      <c r="L38" s="14" t="str">
        <f t="shared" si="2"/>
        <v>2000/01</v>
      </c>
      <c r="M38" s="14" t="str">
        <f t="shared" si="2"/>
        <v>2001/02</v>
      </c>
      <c r="N38" s="14" t="str">
        <f t="shared" si="2"/>
        <v>2002/03</v>
      </c>
      <c r="O38" s="14" t="str">
        <f t="shared" si="2"/>
        <v>2003/04</v>
      </c>
      <c r="P38" s="14" t="str">
        <f t="shared" si="2"/>
        <v>2004/05</v>
      </c>
      <c r="Q38" s="14" t="str">
        <f t="shared" si="2"/>
        <v>2005/06</v>
      </c>
      <c r="R38" s="14" t="str">
        <f t="shared" si="2"/>
        <v>2006/07</v>
      </c>
      <c r="S38" s="14" t="str">
        <f t="shared" si="2"/>
        <v>2007/08</v>
      </c>
      <c r="T38" s="14" t="str">
        <f t="shared" si="2"/>
        <v>2008/09</v>
      </c>
      <c r="U38" s="14" t="str">
        <f t="shared" si="2"/>
        <v>2009/10</v>
      </c>
      <c r="V38" s="14" t="str">
        <f t="shared" si="2"/>
        <v>2010/11</v>
      </c>
      <c r="W38" s="14" t="str">
        <f t="shared" si="2"/>
        <v>2011/12</v>
      </c>
      <c r="X38" s="14" t="str">
        <f t="shared" si="2"/>
        <v>2012/13</v>
      </c>
      <c r="Y38" s="14" t="str">
        <f t="shared" si="2"/>
        <v>2013/14</v>
      </c>
      <c r="Z38" s="14" t="str">
        <f t="shared" si="2"/>
        <v>2014/15</v>
      </c>
      <c r="AA38" s="14" t="str">
        <f t="shared" si="2"/>
        <v>2015/16</v>
      </c>
      <c r="AB38" s="14" t="str">
        <f t="shared" si="2"/>
        <v>2016/17</v>
      </c>
      <c r="AC38" s="14" t="str">
        <f t="shared" si="2"/>
        <v>2017/18</v>
      </c>
      <c r="AD38" s="14" t="str">
        <f t="shared" si="2"/>
        <v>2018/19</v>
      </c>
      <c r="AE38" s="14" t="str">
        <f t="shared" si="2"/>
        <v>2019/20</v>
      </c>
      <c r="AF38" s="14" t="str">
        <f t="shared" si="2"/>
        <v>2020/21</v>
      </c>
      <c r="AG38" s="14" t="str">
        <f t="shared" si="2"/>
        <v>2021/22</v>
      </c>
      <c r="AH38" s="14" t="str">
        <f t="shared" si="2"/>
        <v>2022/23</v>
      </c>
      <c r="AI38" s="14" t="str">
        <f t="shared" si="2"/>
        <v>2023/24</v>
      </c>
      <c r="AJ38" s="14" t="str">
        <f t="shared" si="2"/>
        <v>2024/25</v>
      </c>
      <c r="AK38" s="14" t="str">
        <f t="shared" si="2"/>
        <v>2025/26</v>
      </c>
      <c r="AL38" s="14" t="str">
        <f t="shared" si="2"/>
        <v>2026/27</v>
      </c>
      <c r="AM38" s="14" t="str">
        <f t="shared" si="2"/>
        <v>2027/28</v>
      </c>
      <c r="AN38" s="14" t="str">
        <f t="shared" si="2"/>
        <v>2028/29</v>
      </c>
      <c r="AO38" s="14" t="str">
        <f t="shared" si="2"/>
        <v>2029/30</v>
      </c>
      <c r="AP38" s="14" t="str">
        <f t="shared" si="2"/>
        <v>2030/31</v>
      </c>
      <c r="AQ38" s="14" t="str">
        <f t="shared" si="2"/>
        <v>2031/32</v>
      </c>
      <c r="AR38" s="14" t="str">
        <f t="shared" si="2"/>
        <v>2032/33</v>
      </c>
      <c r="AS38" s="14" t="str">
        <f t="shared" si="2"/>
        <v>2033/34</v>
      </c>
      <c r="AT38" s="14" t="str">
        <f t="shared" si="2"/>
        <v>2034/35</v>
      </c>
      <c r="AU38" s="14" t="str">
        <f t="shared" si="2"/>
        <v>2035/36</v>
      </c>
      <c r="AV38" s="14" t="str">
        <f t="shared" si="2"/>
        <v>2036/37</v>
      </c>
      <c r="AW38" s="14" t="str">
        <f t="shared" si="2"/>
        <v>2037/38</v>
      </c>
      <c r="AX38" s="14" t="str">
        <f t="shared" si="2"/>
        <v>2038/39</v>
      </c>
      <c r="AY38" s="14" t="str">
        <f t="shared" si="2"/>
        <v>2039/40</v>
      </c>
      <c r="AZ38" s="14" t="str">
        <f t="shared" si="2"/>
        <v>2040/41</v>
      </c>
      <c r="BA38" s="14" t="str">
        <f t="shared" si="2"/>
        <v>2041/42</v>
      </c>
      <c r="BB38" s="14" t="str">
        <f t="shared" si="2"/>
        <v>2042/43</v>
      </c>
      <c r="BC38" s="14" t="str">
        <f t="shared" si="2"/>
        <v>2043/44</v>
      </c>
      <c r="BD38" s="14" t="str">
        <f t="shared" si="2"/>
        <v>2044/45</v>
      </c>
      <c r="BE38" s="14" t="str">
        <f t="shared" si="2"/>
        <v>2045/46</v>
      </c>
    </row>
    <row r="39" spans="1:57" x14ac:dyDescent="0.25">
      <c r="A39" s="2" t="s">
        <v>79</v>
      </c>
    </row>
    <row r="40" spans="1:57" x14ac:dyDescent="0.25">
      <c r="A40" s="2" t="s">
        <v>80</v>
      </c>
    </row>
    <row r="41" spans="1:57" x14ac:dyDescent="0.25">
      <c r="A41" s="2" t="s">
        <v>81</v>
      </c>
    </row>
    <row r="42" spans="1:57" x14ac:dyDescent="0.25">
      <c r="A42" s="2" t="s">
        <v>82</v>
      </c>
    </row>
    <row r="43" spans="1:57" x14ac:dyDescent="0.25">
      <c r="A43" s="2" t="s">
        <v>83</v>
      </c>
    </row>
    <row r="44" spans="1:57" x14ac:dyDescent="0.25">
      <c r="A44" s="2" t="s">
        <v>84</v>
      </c>
    </row>
    <row r="45" spans="1:57" x14ac:dyDescent="0.25">
      <c r="A45" s="2" t="s">
        <v>85</v>
      </c>
    </row>
    <row r="46" spans="1:57" x14ac:dyDescent="0.25">
      <c r="A46" s="2" t="s">
        <v>86</v>
      </c>
    </row>
    <row r="47" spans="1:57" x14ac:dyDescent="0.25">
      <c r="A47" s="2" t="s">
        <v>87</v>
      </c>
    </row>
    <row r="48" spans="1:57" x14ac:dyDescent="0.25">
      <c r="A48" s="2" t="s">
        <v>88</v>
      </c>
    </row>
    <row r="49" spans="1:57" x14ac:dyDescent="0.25">
      <c r="A49" s="2" t="s">
        <v>89</v>
      </c>
    </row>
    <row r="50" spans="1:57" x14ac:dyDescent="0.25">
      <c r="A50" s="2" t="s">
        <v>78</v>
      </c>
    </row>
    <row r="51" spans="1:57" ht="15.75" thickBot="1" x14ac:dyDescent="0.3">
      <c r="A51" s="15" t="s">
        <v>109</v>
      </c>
      <c r="B51" s="15"/>
      <c r="C51" s="15"/>
      <c r="D51" s="15"/>
      <c r="E51" s="15"/>
      <c r="F51" s="15"/>
      <c r="G51" s="15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</row>
    <row r="52" spans="1:57" x14ac:dyDescent="0.25">
      <c r="A52" s="17"/>
      <c r="B52" s="17"/>
      <c r="C52" s="17"/>
      <c r="D52" s="17"/>
      <c r="E52" s="17"/>
      <c r="F52" s="17"/>
      <c r="G52" s="17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</row>
    <row r="53" spans="1:57" ht="15.75" thickBot="1" x14ac:dyDescent="0.3">
      <c r="A53" s="11" t="s">
        <v>110</v>
      </c>
    </row>
    <row r="54" spans="1:57" ht="15.75" thickBot="1" x14ac:dyDescent="0.3">
      <c r="A54" s="12" t="s">
        <v>107</v>
      </c>
      <c r="B54" s="13">
        <f>B17</f>
        <v>0</v>
      </c>
      <c r="C54" s="13"/>
      <c r="D54" s="13"/>
      <c r="E54" s="13"/>
      <c r="F54" s="14" t="str">
        <f t="shared" ref="F54:AK54" si="3">F3</f>
        <v>1994/95</v>
      </c>
      <c r="G54" s="14" t="str">
        <f t="shared" si="3"/>
        <v>1995/96</v>
      </c>
      <c r="H54" s="14" t="str">
        <f t="shared" si="3"/>
        <v>1996/97</v>
      </c>
      <c r="I54" s="14" t="str">
        <f t="shared" si="3"/>
        <v>1997/98</v>
      </c>
      <c r="J54" s="14" t="str">
        <f t="shared" si="3"/>
        <v>1998/99</v>
      </c>
      <c r="K54" s="14" t="str">
        <f t="shared" si="3"/>
        <v>1999/00</v>
      </c>
      <c r="L54" s="14" t="str">
        <f t="shared" si="3"/>
        <v>2000/01</v>
      </c>
      <c r="M54" s="14" t="str">
        <f t="shared" si="3"/>
        <v>2001/02</v>
      </c>
      <c r="N54" s="14" t="str">
        <f t="shared" si="3"/>
        <v>2002/03</v>
      </c>
      <c r="O54" s="14" t="str">
        <f t="shared" si="3"/>
        <v>2003/04</v>
      </c>
      <c r="P54" s="14" t="str">
        <f t="shared" si="3"/>
        <v>2004/05</v>
      </c>
      <c r="Q54" s="14" t="str">
        <f t="shared" si="3"/>
        <v>2005/06</v>
      </c>
      <c r="R54" s="14" t="str">
        <f t="shared" si="3"/>
        <v>2006/07</v>
      </c>
      <c r="S54" s="14" t="str">
        <f t="shared" si="3"/>
        <v>2007/08</v>
      </c>
      <c r="T54" s="14" t="str">
        <f t="shared" si="3"/>
        <v>2008/09</v>
      </c>
      <c r="U54" s="14" t="str">
        <f t="shared" si="3"/>
        <v>2009/10</v>
      </c>
      <c r="V54" s="14" t="str">
        <f t="shared" si="3"/>
        <v>2010/11</v>
      </c>
      <c r="W54" s="14" t="str">
        <f t="shared" si="3"/>
        <v>2011/12</v>
      </c>
      <c r="X54" s="14" t="str">
        <f t="shared" si="3"/>
        <v>2012/13</v>
      </c>
      <c r="Y54" s="14" t="str">
        <f t="shared" si="3"/>
        <v>2013/14</v>
      </c>
      <c r="Z54" s="14" t="str">
        <f t="shared" si="3"/>
        <v>2014/15</v>
      </c>
      <c r="AA54" s="14" t="str">
        <f t="shared" si="3"/>
        <v>2015/16</v>
      </c>
      <c r="AB54" s="14" t="str">
        <f t="shared" si="3"/>
        <v>2016/17</v>
      </c>
      <c r="AC54" s="14" t="str">
        <f t="shared" si="3"/>
        <v>2017/18</v>
      </c>
      <c r="AD54" s="14" t="str">
        <f t="shared" si="3"/>
        <v>2018/19</v>
      </c>
      <c r="AE54" s="14" t="str">
        <f t="shared" si="3"/>
        <v>2019/20</v>
      </c>
      <c r="AF54" s="14" t="str">
        <f t="shared" si="3"/>
        <v>2020/21</v>
      </c>
      <c r="AG54" s="14" t="str">
        <f t="shared" si="3"/>
        <v>2021/22</v>
      </c>
      <c r="AH54" s="14" t="str">
        <f t="shared" si="3"/>
        <v>2022/23</v>
      </c>
      <c r="AI54" s="14" t="str">
        <f t="shared" si="3"/>
        <v>2023/24</v>
      </c>
      <c r="AJ54" s="14" t="str">
        <f t="shared" si="3"/>
        <v>2024/25</v>
      </c>
      <c r="AK54" s="14" t="str">
        <f t="shared" si="3"/>
        <v>2025/26</v>
      </c>
      <c r="AL54" s="14" t="str">
        <f t="shared" ref="AL54:BE54" si="4">AL3</f>
        <v>2026/27</v>
      </c>
      <c r="AM54" s="14" t="str">
        <f t="shared" si="4"/>
        <v>2027/28</v>
      </c>
      <c r="AN54" s="14" t="str">
        <f t="shared" si="4"/>
        <v>2028/29</v>
      </c>
      <c r="AO54" s="14" t="str">
        <f t="shared" si="4"/>
        <v>2029/30</v>
      </c>
      <c r="AP54" s="14" t="str">
        <f t="shared" si="4"/>
        <v>2030/31</v>
      </c>
      <c r="AQ54" s="14" t="str">
        <f t="shared" si="4"/>
        <v>2031/32</v>
      </c>
      <c r="AR54" s="14" t="str">
        <f t="shared" si="4"/>
        <v>2032/33</v>
      </c>
      <c r="AS54" s="14" t="str">
        <f t="shared" si="4"/>
        <v>2033/34</v>
      </c>
      <c r="AT54" s="14" t="str">
        <f t="shared" si="4"/>
        <v>2034/35</v>
      </c>
      <c r="AU54" s="14" t="str">
        <f t="shared" si="4"/>
        <v>2035/36</v>
      </c>
      <c r="AV54" s="14" t="str">
        <f t="shared" si="4"/>
        <v>2036/37</v>
      </c>
      <c r="AW54" s="14" t="str">
        <f t="shared" si="4"/>
        <v>2037/38</v>
      </c>
      <c r="AX54" s="14" t="str">
        <f t="shared" si="4"/>
        <v>2038/39</v>
      </c>
      <c r="AY54" s="14" t="str">
        <f t="shared" si="4"/>
        <v>2039/40</v>
      </c>
      <c r="AZ54" s="14" t="str">
        <f t="shared" si="4"/>
        <v>2040/41</v>
      </c>
      <c r="BA54" s="14" t="str">
        <f t="shared" si="4"/>
        <v>2041/42</v>
      </c>
      <c r="BB54" s="14" t="str">
        <f t="shared" si="4"/>
        <v>2042/43</v>
      </c>
      <c r="BC54" s="14" t="str">
        <f t="shared" si="4"/>
        <v>2043/44</v>
      </c>
      <c r="BD54" s="14" t="str">
        <f t="shared" si="4"/>
        <v>2044/45</v>
      </c>
      <c r="BE54" s="14" t="str">
        <f t="shared" si="4"/>
        <v>2045/46</v>
      </c>
    </row>
    <row r="55" spans="1:57" x14ac:dyDescent="0.25">
      <c r="A55" s="2" t="s">
        <v>79</v>
      </c>
    </row>
    <row r="56" spans="1:57" x14ac:dyDescent="0.25">
      <c r="A56" s="2" t="s">
        <v>80</v>
      </c>
    </row>
    <row r="57" spans="1:57" x14ac:dyDescent="0.25">
      <c r="A57" s="2" t="s">
        <v>81</v>
      </c>
    </row>
    <row r="58" spans="1:57" x14ac:dyDescent="0.25">
      <c r="A58" s="2" t="s">
        <v>82</v>
      </c>
    </row>
    <row r="59" spans="1:57" x14ac:dyDescent="0.25">
      <c r="A59" s="2" t="s">
        <v>83</v>
      </c>
    </row>
    <row r="60" spans="1:57" x14ac:dyDescent="0.25">
      <c r="A60" s="2" t="s">
        <v>84</v>
      </c>
    </row>
    <row r="61" spans="1:57" x14ac:dyDescent="0.25">
      <c r="A61" s="2" t="s">
        <v>85</v>
      </c>
    </row>
    <row r="62" spans="1:57" x14ac:dyDescent="0.25">
      <c r="A62" s="2" t="s">
        <v>86</v>
      </c>
    </row>
    <row r="63" spans="1:57" x14ac:dyDescent="0.25">
      <c r="A63" s="2" t="s">
        <v>87</v>
      </c>
    </row>
    <row r="64" spans="1:57" x14ac:dyDescent="0.25">
      <c r="A64" s="2" t="s">
        <v>88</v>
      </c>
    </row>
    <row r="65" spans="1:57" x14ac:dyDescent="0.25">
      <c r="A65" s="2" t="s">
        <v>89</v>
      </c>
    </row>
    <row r="66" spans="1:57" x14ac:dyDescent="0.25">
      <c r="A66" s="2" t="s">
        <v>78</v>
      </c>
    </row>
    <row r="67" spans="1:57" ht="15.75" thickBot="1" x14ac:dyDescent="0.3">
      <c r="A67" s="15" t="s">
        <v>90</v>
      </c>
      <c r="B67" s="15"/>
      <c r="C67" s="15"/>
      <c r="D67" s="15"/>
      <c r="E67" s="15"/>
      <c r="F67" s="15"/>
      <c r="G67" s="1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</row>
    <row r="68" spans="1:57" x14ac:dyDescent="0.25">
      <c r="A68" s="17"/>
      <c r="B68" s="17"/>
      <c r="C68" s="17"/>
      <c r="D68" s="17"/>
      <c r="E68" s="17"/>
      <c r="F68" s="17"/>
      <c r="G68" s="17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</row>
    <row r="69" spans="1:57" ht="15.75" thickBot="1" x14ac:dyDescent="0.3">
      <c r="A69" s="11" t="s">
        <v>111</v>
      </c>
    </row>
    <row r="70" spans="1:57" ht="15.75" thickBot="1" x14ac:dyDescent="0.3">
      <c r="A70" s="12" t="s">
        <v>107</v>
      </c>
      <c r="B70" s="13">
        <f>B33</f>
        <v>0</v>
      </c>
      <c r="C70" s="13"/>
      <c r="D70" s="13"/>
      <c r="E70" s="13"/>
      <c r="F70" s="14">
        <f t="shared" ref="F70:G70" si="5">F17</f>
        <v>0</v>
      </c>
      <c r="G70" s="14">
        <f t="shared" si="5"/>
        <v>0</v>
      </c>
      <c r="H70" s="14" t="str">
        <f t="shared" ref="H70:AM70" si="6">H3</f>
        <v>1996/97</v>
      </c>
      <c r="I70" s="14" t="str">
        <f t="shared" si="6"/>
        <v>1997/98</v>
      </c>
      <c r="J70" s="14" t="str">
        <f t="shared" si="6"/>
        <v>1998/99</v>
      </c>
      <c r="K70" s="14" t="str">
        <f t="shared" si="6"/>
        <v>1999/00</v>
      </c>
      <c r="L70" s="14" t="str">
        <f t="shared" si="6"/>
        <v>2000/01</v>
      </c>
      <c r="M70" s="14" t="str">
        <f t="shared" si="6"/>
        <v>2001/02</v>
      </c>
      <c r="N70" s="14" t="str">
        <f t="shared" si="6"/>
        <v>2002/03</v>
      </c>
      <c r="O70" s="14" t="str">
        <f t="shared" si="6"/>
        <v>2003/04</v>
      </c>
      <c r="P70" s="14" t="str">
        <f t="shared" si="6"/>
        <v>2004/05</v>
      </c>
      <c r="Q70" s="14" t="str">
        <f t="shared" si="6"/>
        <v>2005/06</v>
      </c>
      <c r="R70" s="14" t="str">
        <f t="shared" si="6"/>
        <v>2006/07</v>
      </c>
      <c r="S70" s="14" t="str">
        <f t="shared" si="6"/>
        <v>2007/08</v>
      </c>
      <c r="T70" s="14" t="str">
        <f t="shared" si="6"/>
        <v>2008/09</v>
      </c>
      <c r="U70" s="14" t="str">
        <f t="shared" si="6"/>
        <v>2009/10</v>
      </c>
      <c r="V70" s="14" t="str">
        <f t="shared" si="6"/>
        <v>2010/11</v>
      </c>
      <c r="W70" s="14" t="str">
        <f t="shared" si="6"/>
        <v>2011/12</v>
      </c>
      <c r="X70" s="14" t="str">
        <f t="shared" si="6"/>
        <v>2012/13</v>
      </c>
      <c r="Y70" s="14" t="str">
        <f t="shared" si="6"/>
        <v>2013/14</v>
      </c>
      <c r="Z70" s="14" t="str">
        <f t="shared" si="6"/>
        <v>2014/15</v>
      </c>
      <c r="AA70" s="14" t="str">
        <f t="shared" si="6"/>
        <v>2015/16</v>
      </c>
      <c r="AB70" s="14" t="str">
        <f t="shared" si="6"/>
        <v>2016/17</v>
      </c>
      <c r="AC70" s="14" t="str">
        <f t="shared" si="6"/>
        <v>2017/18</v>
      </c>
      <c r="AD70" s="14" t="str">
        <f t="shared" si="6"/>
        <v>2018/19</v>
      </c>
      <c r="AE70" s="14" t="str">
        <f t="shared" si="6"/>
        <v>2019/20</v>
      </c>
      <c r="AF70" s="14" t="str">
        <f t="shared" si="6"/>
        <v>2020/21</v>
      </c>
      <c r="AG70" s="14" t="str">
        <f t="shared" si="6"/>
        <v>2021/22</v>
      </c>
      <c r="AH70" s="14" t="str">
        <f t="shared" si="6"/>
        <v>2022/23</v>
      </c>
      <c r="AI70" s="14" t="str">
        <f t="shared" si="6"/>
        <v>2023/24</v>
      </c>
      <c r="AJ70" s="14" t="str">
        <f t="shared" si="6"/>
        <v>2024/25</v>
      </c>
      <c r="AK70" s="14" t="str">
        <f t="shared" si="6"/>
        <v>2025/26</v>
      </c>
      <c r="AL70" s="14" t="str">
        <f t="shared" si="6"/>
        <v>2026/27</v>
      </c>
      <c r="AM70" s="14" t="str">
        <f t="shared" si="6"/>
        <v>2027/28</v>
      </c>
      <c r="AN70" s="14" t="str">
        <f t="shared" ref="AN70:BE70" si="7">AN3</f>
        <v>2028/29</v>
      </c>
      <c r="AO70" s="14" t="str">
        <f t="shared" si="7"/>
        <v>2029/30</v>
      </c>
      <c r="AP70" s="14" t="str">
        <f t="shared" si="7"/>
        <v>2030/31</v>
      </c>
      <c r="AQ70" s="14" t="str">
        <f t="shared" si="7"/>
        <v>2031/32</v>
      </c>
      <c r="AR70" s="14" t="str">
        <f t="shared" si="7"/>
        <v>2032/33</v>
      </c>
      <c r="AS70" s="14" t="str">
        <f t="shared" si="7"/>
        <v>2033/34</v>
      </c>
      <c r="AT70" s="14" t="str">
        <f t="shared" si="7"/>
        <v>2034/35</v>
      </c>
      <c r="AU70" s="14" t="str">
        <f t="shared" si="7"/>
        <v>2035/36</v>
      </c>
      <c r="AV70" s="14" t="str">
        <f t="shared" si="7"/>
        <v>2036/37</v>
      </c>
      <c r="AW70" s="14" t="str">
        <f t="shared" si="7"/>
        <v>2037/38</v>
      </c>
      <c r="AX70" s="14" t="str">
        <f t="shared" si="7"/>
        <v>2038/39</v>
      </c>
      <c r="AY70" s="14" t="str">
        <f t="shared" si="7"/>
        <v>2039/40</v>
      </c>
      <c r="AZ70" s="14" t="str">
        <f t="shared" si="7"/>
        <v>2040/41</v>
      </c>
      <c r="BA70" s="14" t="str">
        <f t="shared" si="7"/>
        <v>2041/42</v>
      </c>
      <c r="BB70" s="14" t="str">
        <f t="shared" si="7"/>
        <v>2042/43</v>
      </c>
      <c r="BC70" s="14" t="str">
        <f t="shared" si="7"/>
        <v>2043/44</v>
      </c>
      <c r="BD70" s="14" t="str">
        <f t="shared" si="7"/>
        <v>2044/45</v>
      </c>
      <c r="BE70" s="14" t="str">
        <f t="shared" si="7"/>
        <v>2045/46</v>
      </c>
    </row>
    <row r="71" spans="1:57" x14ac:dyDescent="0.25">
      <c r="A71" s="2" t="s">
        <v>79</v>
      </c>
    </row>
    <row r="72" spans="1:57" x14ac:dyDescent="0.25">
      <c r="A72" s="2" t="s">
        <v>80</v>
      </c>
    </row>
    <row r="73" spans="1:57" x14ac:dyDescent="0.25">
      <c r="A73" s="2" t="s">
        <v>81</v>
      </c>
    </row>
    <row r="74" spans="1:57" x14ac:dyDescent="0.25">
      <c r="A74" s="2" t="s">
        <v>82</v>
      </c>
    </row>
    <row r="75" spans="1:57" x14ac:dyDescent="0.25">
      <c r="A75" s="2" t="s">
        <v>83</v>
      </c>
    </row>
    <row r="76" spans="1:57" x14ac:dyDescent="0.25">
      <c r="A76" s="2" t="s">
        <v>84</v>
      </c>
    </row>
    <row r="77" spans="1:57" x14ac:dyDescent="0.25">
      <c r="A77" s="2" t="s">
        <v>85</v>
      </c>
    </row>
    <row r="78" spans="1:57" x14ac:dyDescent="0.25">
      <c r="A78" s="2" t="s">
        <v>86</v>
      </c>
    </row>
    <row r="79" spans="1:57" x14ac:dyDescent="0.25">
      <c r="A79" s="2" t="s">
        <v>87</v>
      </c>
    </row>
    <row r="80" spans="1:57" x14ac:dyDescent="0.25">
      <c r="A80" s="2" t="s">
        <v>88</v>
      </c>
    </row>
    <row r="81" spans="1:57" x14ac:dyDescent="0.25">
      <c r="A81" s="2" t="s">
        <v>89</v>
      </c>
    </row>
    <row r="82" spans="1:57" x14ac:dyDescent="0.25">
      <c r="A82" s="2" t="s">
        <v>78</v>
      </c>
    </row>
    <row r="83" spans="1:57" ht="15.75" thickBot="1" x14ac:dyDescent="0.3">
      <c r="A83" s="15" t="s">
        <v>90</v>
      </c>
      <c r="B83" s="15"/>
      <c r="C83" s="15"/>
      <c r="D83" s="15"/>
      <c r="E83" s="15"/>
      <c r="F83" s="15"/>
      <c r="G83" s="15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</row>
    <row r="84" spans="1:57" x14ac:dyDescent="0.25">
      <c r="A84" s="17"/>
      <c r="B84" s="17"/>
      <c r="C84" s="17"/>
      <c r="D84" s="17"/>
      <c r="E84" s="17"/>
      <c r="F84" s="17"/>
      <c r="G84" s="17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</row>
    <row r="85" spans="1:57" ht="15.75" thickBot="1" x14ac:dyDescent="0.3">
      <c r="A85" s="11" t="s">
        <v>112</v>
      </c>
    </row>
    <row r="86" spans="1:57" ht="15.75" thickBot="1" x14ac:dyDescent="0.3">
      <c r="A86" s="12" t="s">
        <v>107</v>
      </c>
      <c r="B86" s="13">
        <f>B65</f>
        <v>0</v>
      </c>
      <c r="C86" s="13"/>
      <c r="D86" s="13"/>
      <c r="E86" s="13"/>
      <c r="F86" s="14">
        <f t="shared" ref="F86:G86" si="8">F33</f>
        <v>0</v>
      </c>
      <c r="G86" s="14">
        <f t="shared" si="8"/>
        <v>0</v>
      </c>
      <c r="H86" s="14" t="str">
        <f t="shared" ref="H86:AM86" si="9">H3</f>
        <v>1996/97</v>
      </c>
      <c r="I86" s="14" t="str">
        <f t="shared" si="9"/>
        <v>1997/98</v>
      </c>
      <c r="J86" s="14" t="str">
        <f t="shared" si="9"/>
        <v>1998/99</v>
      </c>
      <c r="K86" s="14" t="str">
        <f t="shared" si="9"/>
        <v>1999/00</v>
      </c>
      <c r="L86" s="14" t="str">
        <f t="shared" si="9"/>
        <v>2000/01</v>
      </c>
      <c r="M86" s="14" t="str">
        <f t="shared" si="9"/>
        <v>2001/02</v>
      </c>
      <c r="N86" s="14" t="str">
        <f t="shared" si="9"/>
        <v>2002/03</v>
      </c>
      <c r="O86" s="14" t="str">
        <f t="shared" si="9"/>
        <v>2003/04</v>
      </c>
      <c r="P86" s="14" t="str">
        <f t="shared" si="9"/>
        <v>2004/05</v>
      </c>
      <c r="Q86" s="14" t="str">
        <f t="shared" si="9"/>
        <v>2005/06</v>
      </c>
      <c r="R86" s="14" t="str">
        <f t="shared" si="9"/>
        <v>2006/07</v>
      </c>
      <c r="S86" s="14" t="str">
        <f t="shared" si="9"/>
        <v>2007/08</v>
      </c>
      <c r="T86" s="14" t="str">
        <f t="shared" si="9"/>
        <v>2008/09</v>
      </c>
      <c r="U86" s="14" t="str">
        <f t="shared" si="9"/>
        <v>2009/10</v>
      </c>
      <c r="V86" s="14" t="str">
        <f t="shared" si="9"/>
        <v>2010/11</v>
      </c>
      <c r="W86" s="14" t="str">
        <f t="shared" si="9"/>
        <v>2011/12</v>
      </c>
      <c r="X86" s="14" t="str">
        <f t="shared" si="9"/>
        <v>2012/13</v>
      </c>
      <c r="Y86" s="14" t="str">
        <f t="shared" si="9"/>
        <v>2013/14</v>
      </c>
      <c r="Z86" s="14" t="str">
        <f t="shared" si="9"/>
        <v>2014/15</v>
      </c>
      <c r="AA86" s="14" t="str">
        <f t="shared" si="9"/>
        <v>2015/16</v>
      </c>
      <c r="AB86" s="14" t="str">
        <f t="shared" si="9"/>
        <v>2016/17</v>
      </c>
      <c r="AC86" s="14" t="str">
        <f t="shared" si="9"/>
        <v>2017/18</v>
      </c>
      <c r="AD86" s="14" t="str">
        <f t="shared" si="9"/>
        <v>2018/19</v>
      </c>
      <c r="AE86" s="14" t="str">
        <f t="shared" si="9"/>
        <v>2019/20</v>
      </c>
      <c r="AF86" s="14" t="str">
        <f t="shared" si="9"/>
        <v>2020/21</v>
      </c>
      <c r="AG86" s="14" t="str">
        <f t="shared" si="9"/>
        <v>2021/22</v>
      </c>
      <c r="AH86" s="14" t="str">
        <f t="shared" si="9"/>
        <v>2022/23</v>
      </c>
      <c r="AI86" s="14" t="str">
        <f t="shared" si="9"/>
        <v>2023/24</v>
      </c>
      <c r="AJ86" s="14" t="str">
        <f t="shared" si="9"/>
        <v>2024/25</v>
      </c>
      <c r="AK86" s="14" t="str">
        <f t="shared" si="9"/>
        <v>2025/26</v>
      </c>
      <c r="AL86" s="14" t="str">
        <f t="shared" si="9"/>
        <v>2026/27</v>
      </c>
      <c r="AM86" s="14" t="str">
        <f t="shared" si="9"/>
        <v>2027/28</v>
      </c>
      <c r="AN86" s="14" t="str">
        <f t="shared" ref="AN86:BE86" si="10">AN3</f>
        <v>2028/29</v>
      </c>
      <c r="AO86" s="14" t="str">
        <f t="shared" si="10"/>
        <v>2029/30</v>
      </c>
      <c r="AP86" s="14" t="str">
        <f t="shared" si="10"/>
        <v>2030/31</v>
      </c>
      <c r="AQ86" s="14" t="str">
        <f t="shared" si="10"/>
        <v>2031/32</v>
      </c>
      <c r="AR86" s="14" t="str">
        <f t="shared" si="10"/>
        <v>2032/33</v>
      </c>
      <c r="AS86" s="14" t="str">
        <f t="shared" si="10"/>
        <v>2033/34</v>
      </c>
      <c r="AT86" s="14" t="str">
        <f t="shared" si="10"/>
        <v>2034/35</v>
      </c>
      <c r="AU86" s="14" t="str">
        <f t="shared" si="10"/>
        <v>2035/36</v>
      </c>
      <c r="AV86" s="14" t="str">
        <f t="shared" si="10"/>
        <v>2036/37</v>
      </c>
      <c r="AW86" s="14" t="str">
        <f t="shared" si="10"/>
        <v>2037/38</v>
      </c>
      <c r="AX86" s="14" t="str">
        <f t="shared" si="10"/>
        <v>2038/39</v>
      </c>
      <c r="AY86" s="14" t="str">
        <f t="shared" si="10"/>
        <v>2039/40</v>
      </c>
      <c r="AZ86" s="14" t="str">
        <f t="shared" si="10"/>
        <v>2040/41</v>
      </c>
      <c r="BA86" s="14" t="str">
        <f t="shared" si="10"/>
        <v>2041/42</v>
      </c>
      <c r="BB86" s="14" t="str">
        <f t="shared" si="10"/>
        <v>2042/43</v>
      </c>
      <c r="BC86" s="14" t="str">
        <f t="shared" si="10"/>
        <v>2043/44</v>
      </c>
      <c r="BD86" s="14" t="str">
        <f t="shared" si="10"/>
        <v>2044/45</v>
      </c>
      <c r="BE86" s="14" t="str">
        <f t="shared" si="10"/>
        <v>2045/46</v>
      </c>
    </row>
    <row r="87" spans="1:57" x14ac:dyDescent="0.25">
      <c r="A87" s="2" t="s">
        <v>78</v>
      </c>
    </row>
    <row r="88" spans="1:57" x14ac:dyDescent="0.25">
      <c r="A88" s="2" t="s">
        <v>79</v>
      </c>
    </row>
    <row r="89" spans="1:57" x14ac:dyDescent="0.25">
      <c r="A89" s="2" t="s">
        <v>80</v>
      </c>
    </row>
    <row r="90" spans="1:57" x14ac:dyDescent="0.25">
      <c r="A90" s="2" t="s">
        <v>81</v>
      </c>
    </row>
    <row r="91" spans="1:57" x14ac:dyDescent="0.25">
      <c r="A91" s="2" t="s">
        <v>82</v>
      </c>
    </row>
    <row r="92" spans="1:57" x14ac:dyDescent="0.25">
      <c r="A92" s="2" t="s">
        <v>83</v>
      </c>
    </row>
    <row r="93" spans="1:57" x14ac:dyDescent="0.25">
      <c r="A93" s="2" t="s">
        <v>84</v>
      </c>
    </row>
    <row r="94" spans="1:57" x14ac:dyDescent="0.25">
      <c r="A94" s="2" t="s">
        <v>85</v>
      </c>
    </row>
    <row r="95" spans="1:57" x14ac:dyDescent="0.25">
      <c r="A95" s="2" t="s">
        <v>86</v>
      </c>
    </row>
    <row r="96" spans="1:57" x14ac:dyDescent="0.25">
      <c r="A96" s="2" t="s">
        <v>87</v>
      </c>
    </row>
    <row r="97" spans="1:57" x14ac:dyDescent="0.25">
      <c r="A97" s="2" t="s">
        <v>88</v>
      </c>
    </row>
    <row r="98" spans="1:57" x14ac:dyDescent="0.25">
      <c r="A98" s="2" t="s">
        <v>89</v>
      </c>
    </row>
    <row r="99" spans="1:57" ht="15.75" thickBot="1" x14ac:dyDescent="0.3">
      <c r="A99" s="15" t="s">
        <v>90</v>
      </c>
      <c r="B99" s="15"/>
      <c r="C99" s="15"/>
      <c r="D99" s="15"/>
      <c r="E99" s="15"/>
      <c r="F99" s="15"/>
      <c r="G99" s="15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</row>
    <row r="100" spans="1:57" x14ac:dyDescent="0.25">
      <c r="A100" s="17"/>
      <c r="B100" s="17"/>
      <c r="C100" s="17"/>
      <c r="D100" s="17"/>
      <c r="E100" s="17"/>
      <c r="F100" s="17"/>
      <c r="G100" s="1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</row>
    <row r="101" spans="1:57" ht="15.75" thickBot="1" x14ac:dyDescent="0.3">
      <c r="A101" s="11" t="s">
        <v>113</v>
      </c>
    </row>
    <row r="102" spans="1:57" ht="15.75" thickBot="1" x14ac:dyDescent="0.3">
      <c r="A102" s="12" t="s">
        <v>107</v>
      </c>
      <c r="B102" s="13">
        <f>B97</f>
        <v>0</v>
      </c>
      <c r="C102" s="13"/>
      <c r="D102" s="13"/>
      <c r="E102" s="13"/>
      <c r="F102" s="14">
        <f t="shared" ref="F102:G102" si="11">F81</f>
        <v>0</v>
      </c>
      <c r="G102" s="14">
        <f t="shared" si="11"/>
        <v>0</v>
      </c>
      <c r="H102" s="14" t="str">
        <f>H3</f>
        <v>1996/97</v>
      </c>
      <c r="I102" s="14" t="str">
        <f t="shared" ref="I102:BE102" si="12">I3</f>
        <v>1997/98</v>
      </c>
      <c r="J102" s="14" t="str">
        <f t="shared" si="12"/>
        <v>1998/99</v>
      </c>
      <c r="K102" s="14" t="str">
        <f t="shared" si="12"/>
        <v>1999/00</v>
      </c>
      <c r="L102" s="14" t="str">
        <f t="shared" si="12"/>
        <v>2000/01</v>
      </c>
      <c r="M102" s="14" t="str">
        <f t="shared" si="12"/>
        <v>2001/02</v>
      </c>
      <c r="N102" s="14" t="str">
        <f t="shared" si="12"/>
        <v>2002/03</v>
      </c>
      <c r="O102" s="14" t="str">
        <f t="shared" si="12"/>
        <v>2003/04</v>
      </c>
      <c r="P102" s="14" t="str">
        <f t="shared" si="12"/>
        <v>2004/05</v>
      </c>
      <c r="Q102" s="14" t="str">
        <f t="shared" si="12"/>
        <v>2005/06</v>
      </c>
      <c r="R102" s="14" t="str">
        <f t="shared" si="12"/>
        <v>2006/07</v>
      </c>
      <c r="S102" s="14" t="str">
        <f t="shared" si="12"/>
        <v>2007/08</v>
      </c>
      <c r="T102" s="14" t="str">
        <f t="shared" si="12"/>
        <v>2008/09</v>
      </c>
      <c r="U102" s="14" t="str">
        <f t="shared" si="12"/>
        <v>2009/10</v>
      </c>
      <c r="V102" s="14" t="str">
        <f t="shared" si="12"/>
        <v>2010/11</v>
      </c>
      <c r="W102" s="14" t="str">
        <f t="shared" si="12"/>
        <v>2011/12</v>
      </c>
      <c r="X102" s="14" t="str">
        <f t="shared" si="12"/>
        <v>2012/13</v>
      </c>
      <c r="Y102" s="14" t="str">
        <f t="shared" si="12"/>
        <v>2013/14</v>
      </c>
      <c r="Z102" s="14" t="str">
        <f t="shared" si="12"/>
        <v>2014/15</v>
      </c>
      <c r="AA102" s="14" t="str">
        <f t="shared" si="12"/>
        <v>2015/16</v>
      </c>
      <c r="AB102" s="14" t="str">
        <f t="shared" si="12"/>
        <v>2016/17</v>
      </c>
      <c r="AC102" s="14" t="str">
        <f t="shared" si="12"/>
        <v>2017/18</v>
      </c>
      <c r="AD102" s="14" t="str">
        <f t="shared" si="12"/>
        <v>2018/19</v>
      </c>
      <c r="AE102" s="14" t="str">
        <f t="shared" si="12"/>
        <v>2019/20</v>
      </c>
      <c r="AF102" s="14" t="str">
        <f t="shared" si="12"/>
        <v>2020/21</v>
      </c>
      <c r="AG102" s="14" t="str">
        <f t="shared" si="12"/>
        <v>2021/22</v>
      </c>
      <c r="AH102" s="14" t="str">
        <f t="shared" si="12"/>
        <v>2022/23</v>
      </c>
      <c r="AI102" s="14" t="str">
        <f t="shared" si="12"/>
        <v>2023/24</v>
      </c>
      <c r="AJ102" s="14" t="str">
        <f t="shared" si="12"/>
        <v>2024/25</v>
      </c>
      <c r="AK102" s="14" t="str">
        <f t="shared" si="12"/>
        <v>2025/26</v>
      </c>
      <c r="AL102" s="14" t="str">
        <f t="shared" si="12"/>
        <v>2026/27</v>
      </c>
      <c r="AM102" s="14" t="str">
        <f t="shared" si="12"/>
        <v>2027/28</v>
      </c>
      <c r="AN102" s="14" t="str">
        <f t="shared" si="12"/>
        <v>2028/29</v>
      </c>
      <c r="AO102" s="14" t="str">
        <f t="shared" si="12"/>
        <v>2029/30</v>
      </c>
      <c r="AP102" s="14" t="str">
        <f t="shared" si="12"/>
        <v>2030/31</v>
      </c>
      <c r="AQ102" s="14" t="str">
        <f t="shared" si="12"/>
        <v>2031/32</v>
      </c>
      <c r="AR102" s="14" t="str">
        <f t="shared" si="12"/>
        <v>2032/33</v>
      </c>
      <c r="AS102" s="14" t="str">
        <f t="shared" si="12"/>
        <v>2033/34</v>
      </c>
      <c r="AT102" s="14" t="str">
        <f t="shared" si="12"/>
        <v>2034/35</v>
      </c>
      <c r="AU102" s="14" t="str">
        <f t="shared" si="12"/>
        <v>2035/36</v>
      </c>
      <c r="AV102" s="14" t="str">
        <f t="shared" si="12"/>
        <v>2036/37</v>
      </c>
      <c r="AW102" s="14" t="str">
        <f t="shared" si="12"/>
        <v>2037/38</v>
      </c>
      <c r="AX102" s="14" t="str">
        <f t="shared" si="12"/>
        <v>2038/39</v>
      </c>
      <c r="AY102" s="14" t="str">
        <f t="shared" si="12"/>
        <v>2039/40</v>
      </c>
      <c r="AZ102" s="14" t="str">
        <f t="shared" si="12"/>
        <v>2040/41</v>
      </c>
      <c r="BA102" s="14" t="str">
        <f t="shared" si="12"/>
        <v>2041/42</v>
      </c>
      <c r="BB102" s="14" t="str">
        <f t="shared" si="12"/>
        <v>2042/43</v>
      </c>
      <c r="BC102" s="14" t="str">
        <f t="shared" si="12"/>
        <v>2043/44</v>
      </c>
      <c r="BD102" s="14" t="str">
        <f t="shared" si="12"/>
        <v>2044/45</v>
      </c>
      <c r="BE102" s="14" t="str">
        <f t="shared" si="12"/>
        <v>2045/46</v>
      </c>
    </row>
    <row r="103" spans="1:57" x14ac:dyDescent="0.25">
      <c r="A103" s="2" t="s">
        <v>78</v>
      </c>
    </row>
    <row r="104" spans="1:57" x14ac:dyDescent="0.25">
      <c r="A104" s="2" t="s">
        <v>79</v>
      </c>
    </row>
    <row r="105" spans="1:57" x14ac:dyDescent="0.25">
      <c r="A105" s="2" t="s">
        <v>80</v>
      </c>
    </row>
    <row r="106" spans="1:57" x14ac:dyDescent="0.25">
      <c r="A106" s="2" t="s">
        <v>81</v>
      </c>
    </row>
    <row r="107" spans="1:57" x14ac:dyDescent="0.25">
      <c r="A107" s="2" t="s">
        <v>82</v>
      </c>
    </row>
    <row r="108" spans="1:57" x14ac:dyDescent="0.25">
      <c r="A108" s="2" t="s">
        <v>83</v>
      </c>
    </row>
    <row r="109" spans="1:57" x14ac:dyDescent="0.25">
      <c r="A109" s="2" t="s">
        <v>84</v>
      </c>
    </row>
    <row r="110" spans="1:57" x14ac:dyDescent="0.25">
      <c r="A110" s="2" t="s">
        <v>85</v>
      </c>
    </row>
    <row r="111" spans="1:57" x14ac:dyDescent="0.25">
      <c r="A111" s="2" t="s">
        <v>86</v>
      </c>
    </row>
    <row r="112" spans="1:57" x14ac:dyDescent="0.25">
      <c r="A112" s="2" t="s">
        <v>87</v>
      </c>
    </row>
    <row r="113" spans="1:57" x14ac:dyDescent="0.25">
      <c r="A113" s="2" t="s">
        <v>88</v>
      </c>
    </row>
    <row r="114" spans="1:57" ht="15.75" thickBot="1" x14ac:dyDescent="0.3">
      <c r="A114" s="2" t="s">
        <v>89</v>
      </c>
    </row>
    <row r="115" spans="1:57" x14ac:dyDescent="0.25">
      <c r="A115" s="17"/>
      <c r="B115" s="17"/>
      <c r="C115" s="17"/>
      <c r="D115" s="17"/>
      <c r="E115" s="17"/>
      <c r="F115" s="17"/>
      <c r="G115" s="1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8AB0-4B19-42BF-8CBE-B0796F266152}">
  <dimension ref="A1:BE218"/>
  <sheetViews>
    <sheetView zoomScale="85" zoomScaleNormal="85" workbookViewId="0">
      <pane xSplit="7" ySplit="3" topLeftCell="H4" activePane="bottomRight" state="frozen"/>
      <selection activeCell="Y28" sqref="Y28"/>
      <selection pane="topRight" activeCell="Y28" sqref="Y28"/>
      <selection pane="bottomLeft" activeCell="Y28" sqref="Y28"/>
      <selection pane="bottomRight" activeCell="Y28" sqref="Y28"/>
    </sheetView>
  </sheetViews>
  <sheetFormatPr defaultRowHeight="15" x14ac:dyDescent="0.25"/>
  <cols>
    <col min="1" max="1" width="42.85546875" style="2" customWidth="1"/>
    <col min="2" max="7" width="0" style="2" hidden="1" customWidth="1"/>
    <col min="8" max="57" width="10.85546875" style="3" customWidth="1"/>
    <col min="58" max="16384" width="9.140625" style="2"/>
  </cols>
  <sheetData>
    <row r="1" spans="1:57" ht="21" x14ac:dyDescent="0.35">
      <c r="A1" s="1" t="s">
        <v>0</v>
      </c>
    </row>
    <row r="2" spans="1:57" ht="15.75" x14ac:dyDescent="0.25">
      <c r="A2" s="4" t="s">
        <v>114</v>
      </c>
    </row>
    <row r="3" spans="1:57" x14ac:dyDescent="0.25">
      <c r="A3" s="5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  <c r="AG3" s="6" t="s">
        <v>33</v>
      </c>
      <c r="AH3" s="6" t="s">
        <v>34</v>
      </c>
      <c r="AI3" s="6" t="s">
        <v>35</v>
      </c>
      <c r="AJ3" s="6" t="s">
        <v>36</v>
      </c>
      <c r="AK3" s="6" t="s">
        <v>37</v>
      </c>
      <c r="AL3" s="6" t="s">
        <v>38</v>
      </c>
      <c r="AM3" s="6" t="s">
        <v>39</v>
      </c>
      <c r="AN3" s="6" t="s">
        <v>40</v>
      </c>
      <c r="AO3" s="6" t="s">
        <v>41</v>
      </c>
      <c r="AP3" s="6" t="s">
        <v>42</v>
      </c>
      <c r="AQ3" s="6" t="s">
        <v>43</v>
      </c>
      <c r="AR3" s="6" t="s">
        <v>44</v>
      </c>
      <c r="AS3" s="6" t="s">
        <v>45</v>
      </c>
      <c r="AT3" s="6" t="s">
        <v>46</v>
      </c>
      <c r="AU3" s="6" t="s">
        <v>47</v>
      </c>
      <c r="AV3" s="6" t="s">
        <v>48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56</v>
      </c>
      <c r="BE3" s="6" t="s">
        <v>57</v>
      </c>
    </row>
    <row r="4" spans="1:57" x14ac:dyDescent="0.25">
      <c r="A4" s="2" t="s">
        <v>98</v>
      </c>
    </row>
    <row r="5" spans="1:57" x14ac:dyDescent="0.25">
      <c r="A5" s="2" t="s">
        <v>115</v>
      </c>
    </row>
    <row r="6" spans="1:57" x14ac:dyDescent="0.25">
      <c r="A6" s="2" t="s">
        <v>116</v>
      </c>
    </row>
    <row r="7" spans="1:57" x14ac:dyDescent="0.25">
      <c r="A7" s="2" t="s">
        <v>117</v>
      </c>
    </row>
    <row r="8" spans="1:57" x14ac:dyDescent="0.25">
      <c r="A8" s="2" t="s">
        <v>118</v>
      </c>
    </row>
    <row r="9" spans="1:57" ht="15.75" thickBot="1" x14ac:dyDescent="0.3">
      <c r="A9" s="19" t="s">
        <v>119</v>
      </c>
      <c r="B9" s="19"/>
      <c r="C9" s="19"/>
      <c r="D9" s="19"/>
      <c r="E9" s="19"/>
      <c r="F9" s="19"/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</row>
    <row r="10" spans="1:57" x14ac:dyDescent="0.25">
      <c r="A10" s="2" t="s">
        <v>120</v>
      </c>
    </row>
    <row r="11" spans="1:57" x14ac:dyDescent="0.25">
      <c r="A11" s="2" t="s">
        <v>63</v>
      </c>
    </row>
    <row r="12" spans="1:57" x14ac:dyDescent="0.25">
      <c r="A12" s="2" t="s">
        <v>64</v>
      </c>
    </row>
    <row r="13" spans="1:57" x14ac:dyDescent="0.25">
      <c r="A13" s="2" t="s">
        <v>65</v>
      </c>
    </row>
    <row r="14" spans="1:57" x14ac:dyDescent="0.25">
      <c r="A14" s="7" t="s">
        <v>121</v>
      </c>
      <c r="B14" s="7"/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 x14ac:dyDescent="0.25">
      <c r="A15" s="2" t="s">
        <v>122</v>
      </c>
    </row>
    <row r="16" spans="1:57" x14ac:dyDescent="0.25">
      <c r="A16" s="2" t="s">
        <v>123</v>
      </c>
    </row>
    <row r="17" spans="1:57" x14ac:dyDescent="0.25">
      <c r="A17" s="2" t="s">
        <v>124</v>
      </c>
    </row>
    <row r="18" spans="1:57" x14ac:dyDescent="0.25">
      <c r="A18" s="21" t="s">
        <v>125</v>
      </c>
      <c r="B18" s="21"/>
      <c r="C18" s="21"/>
      <c r="D18" s="21"/>
      <c r="E18" s="21"/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</row>
    <row r="19" spans="1:57" x14ac:dyDescent="0.25">
      <c r="A19" s="2" t="s">
        <v>126</v>
      </c>
    </row>
    <row r="20" spans="1:57" x14ac:dyDescent="0.25">
      <c r="A20" s="2" t="s">
        <v>69</v>
      </c>
    </row>
    <row r="21" spans="1:57" x14ac:dyDescent="0.25">
      <c r="A21" s="2" t="s">
        <v>70</v>
      </c>
    </row>
    <row r="22" spans="1:57" x14ac:dyDescent="0.25">
      <c r="A22" s="7" t="s">
        <v>104</v>
      </c>
      <c r="B22" s="7"/>
      <c r="C22" s="7"/>
      <c r="D22" s="7"/>
      <c r="E22" s="7"/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1:57" x14ac:dyDescent="0.25">
      <c r="A23" s="2" t="s">
        <v>127</v>
      </c>
    </row>
    <row r="24" spans="1:57" x14ac:dyDescent="0.25">
      <c r="A24" s="7" t="s">
        <v>128</v>
      </c>
      <c r="B24" s="7"/>
      <c r="C24" s="7"/>
      <c r="D24" s="7"/>
      <c r="E24" s="7"/>
      <c r="F24" s="7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 ht="15.75" thickBot="1" x14ac:dyDescent="0.3">
      <c r="A25" s="2" t="s">
        <v>74</v>
      </c>
    </row>
    <row r="26" spans="1:57" ht="15.75" thickTop="1" x14ac:dyDescent="0.25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8" spans="1:57" ht="15.75" thickBot="1" x14ac:dyDescent="0.3">
      <c r="A28" s="11" t="s">
        <v>129</v>
      </c>
    </row>
    <row r="29" spans="1:57" ht="15.75" thickBot="1" x14ac:dyDescent="0.3">
      <c r="A29" s="12" t="s">
        <v>130</v>
      </c>
      <c r="B29" s="13" t="str">
        <f>B3</f>
        <v>1990/91</v>
      </c>
      <c r="C29" s="13"/>
      <c r="D29" s="13"/>
      <c r="E29" s="13"/>
      <c r="F29" s="13"/>
      <c r="G29" s="13"/>
      <c r="H29" s="14" t="str">
        <f>H3</f>
        <v>1996/97</v>
      </c>
      <c r="I29" s="14" t="str">
        <f t="shared" ref="I29:BE29" si="0">I3</f>
        <v>1997/98</v>
      </c>
      <c r="J29" s="14" t="str">
        <f t="shared" si="0"/>
        <v>1998/99</v>
      </c>
      <c r="K29" s="14" t="str">
        <f t="shared" si="0"/>
        <v>1999/00</v>
      </c>
      <c r="L29" s="14" t="str">
        <f t="shared" si="0"/>
        <v>2000/01</v>
      </c>
      <c r="M29" s="14" t="str">
        <f t="shared" si="0"/>
        <v>2001/02</v>
      </c>
      <c r="N29" s="14" t="str">
        <f t="shared" si="0"/>
        <v>2002/03</v>
      </c>
      <c r="O29" s="14" t="str">
        <f t="shared" si="0"/>
        <v>2003/04</v>
      </c>
      <c r="P29" s="14" t="str">
        <f t="shared" si="0"/>
        <v>2004/05</v>
      </c>
      <c r="Q29" s="14" t="str">
        <f t="shared" si="0"/>
        <v>2005/06</v>
      </c>
      <c r="R29" s="14" t="str">
        <f t="shared" si="0"/>
        <v>2006/07</v>
      </c>
      <c r="S29" s="14" t="str">
        <f t="shared" si="0"/>
        <v>2007/08</v>
      </c>
      <c r="T29" s="14" t="str">
        <f t="shared" si="0"/>
        <v>2008/09</v>
      </c>
      <c r="U29" s="14" t="str">
        <f t="shared" si="0"/>
        <v>2009/10</v>
      </c>
      <c r="V29" s="14" t="str">
        <f t="shared" si="0"/>
        <v>2010/11</v>
      </c>
      <c r="W29" s="14" t="str">
        <f t="shared" si="0"/>
        <v>2011/12</v>
      </c>
      <c r="X29" s="14" t="str">
        <f t="shared" si="0"/>
        <v>2012/13</v>
      </c>
      <c r="Y29" s="14" t="str">
        <f t="shared" si="0"/>
        <v>2013/14</v>
      </c>
      <c r="Z29" s="14" t="str">
        <f t="shared" si="0"/>
        <v>2014/15</v>
      </c>
      <c r="AA29" s="14" t="str">
        <f t="shared" si="0"/>
        <v>2015/16</v>
      </c>
      <c r="AB29" s="14" t="str">
        <f t="shared" si="0"/>
        <v>2016/17</v>
      </c>
      <c r="AC29" s="14" t="str">
        <f t="shared" si="0"/>
        <v>2017/18</v>
      </c>
      <c r="AD29" s="14" t="str">
        <f t="shared" si="0"/>
        <v>2018/19</v>
      </c>
      <c r="AE29" s="14" t="str">
        <f t="shared" si="0"/>
        <v>2019/20</v>
      </c>
      <c r="AF29" s="14" t="str">
        <f t="shared" si="0"/>
        <v>2020/21</v>
      </c>
      <c r="AG29" s="14" t="str">
        <f t="shared" si="0"/>
        <v>2021/22</v>
      </c>
      <c r="AH29" s="14" t="str">
        <f t="shared" si="0"/>
        <v>2022/23</v>
      </c>
      <c r="AI29" s="14" t="str">
        <f t="shared" si="0"/>
        <v>2023/24</v>
      </c>
      <c r="AJ29" s="14" t="str">
        <f t="shared" si="0"/>
        <v>2024/25</v>
      </c>
      <c r="AK29" s="14" t="str">
        <f t="shared" si="0"/>
        <v>2025/26</v>
      </c>
      <c r="AL29" s="14" t="str">
        <f t="shared" si="0"/>
        <v>2026/27</v>
      </c>
      <c r="AM29" s="14" t="str">
        <f t="shared" si="0"/>
        <v>2027/28</v>
      </c>
      <c r="AN29" s="14" t="str">
        <f t="shared" si="0"/>
        <v>2028/29</v>
      </c>
      <c r="AO29" s="14" t="str">
        <f t="shared" si="0"/>
        <v>2029/30</v>
      </c>
      <c r="AP29" s="14" t="str">
        <f t="shared" si="0"/>
        <v>2030/31</v>
      </c>
      <c r="AQ29" s="14" t="str">
        <f t="shared" si="0"/>
        <v>2031/32</v>
      </c>
      <c r="AR29" s="14" t="str">
        <f t="shared" si="0"/>
        <v>2032/33</v>
      </c>
      <c r="AS29" s="14" t="str">
        <f t="shared" si="0"/>
        <v>2033/34</v>
      </c>
      <c r="AT29" s="14" t="str">
        <f t="shared" si="0"/>
        <v>2034/35</v>
      </c>
      <c r="AU29" s="14" t="str">
        <f t="shared" si="0"/>
        <v>2035/36</v>
      </c>
      <c r="AV29" s="14" t="str">
        <f t="shared" si="0"/>
        <v>2036/37</v>
      </c>
      <c r="AW29" s="14" t="str">
        <f t="shared" si="0"/>
        <v>2037/38</v>
      </c>
      <c r="AX29" s="14" t="str">
        <f t="shared" si="0"/>
        <v>2038/39</v>
      </c>
      <c r="AY29" s="14" t="str">
        <f t="shared" si="0"/>
        <v>2039/40</v>
      </c>
      <c r="AZ29" s="14" t="str">
        <f t="shared" si="0"/>
        <v>2040/41</v>
      </c>
      <c r="BA29" s="14" t="str">
        <f t="shared" si="0"/>
        <v>2041/42</v>
      </c>
      <c r="BB29" s="14" t="str">
        <f t="shared" si="0"/>
        <v>2042/43</v>
      </c>
      <c r="BC29" s="14" t="str">
        <f t="shared" si="0"/>
        <v>2043/44</v>
      </c>
      <c r="BD29" s="14" t="str">
        <f t="shared" si="0"/>
        <v>2044/45</v>
      </c>
      <c r="BE29" s="14" t="str">
        <f t="shared" si="0"/>
        <v>2045/46</v>
      </c>
    </row>
    <row r="30" spans="1:57" x14ac:dyDescent="0.25">
      <c r="A30" s="2" t="s">
        <v>79</v>
      </c>
    </row>
    <row r="31" spans="1:57" x14ac:dyDescent="0.25">
      <c r="A31" s="2" t="s">
        <v>80</v>
      </c>
    </row>
    <row r="32" spans="1:57" x14ac:dyDescent="0.25">
      <c r="A32" s="2" t="s">
        <v>81</v>
      </c>
    </row>
    <row r="33" spans="1:57" x14ac:dyDescent="0.25">
      <c r="A33" s="2" t="s">
        <v>82</v>
      </c>
    </row>
    <row r="34" spans="1:57" x14ac:dyDescent="0.25">
      <c r="A34" s="2" t="s">
        <v>83</v>
      </c>
    </row>
    <row r="35" spans="1:57" x14ac:dyDescent="0.25">
      <c r="A35" s="2" t="s">
        <v>84</v>
      </c>
    </row>
    <row r="36" spans="1:57" x14ac:dyDescent="0.25">
      <c r="A36" s="2" t="s">
        <v>85</v>
      </c>
    </row>
    <row r="37" spans="1:57" x14ac:dyDescent="0.25">
      <c r="A37" s="2" t="s">
        <v>86</v>
      </c>
    </row>
    <row r="38" spans="1:57" x14ac:dyDescent="0.25">
      <c r="A38" s="2" t="s">
        <v>87</v>
      </c>
    </row>
    <row r="39" spans="1:57" x14ac:dyDescent="0.25">
      <c r="A39" s="2" t="s">
        <v>88</v>
      </c>
    </row>
    <row r="40" spans="1:57" x14ac:dyDescent="0.25">
      <c r="A40" s="2" t="s">
        <v>89</v>
      </c>
    </row>
    <row r="41" spans="1:57" x14ac:dyDescent="0.25">
      <c r="A41" s="2" t="s">
        <v>78</v>
      </c>
    </row>
    <row r="42" spans="1:57" ht="15.75" thickBot="1" x14ac:dyDescent="0.3">
      <c r="A42" s="15" t="s">
        <v>90</v>
      </c>
      <c r="B42" s="15"/>
      <c r="C42" s="15"/>
      <c r="D42" s="15"/>
      <c r="E42" s="15"/>
      <c r="F42" s="15"/>
      <c r="G42" s="15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</row>
    <row r="43" spans="1:57" x14ac:dyDescent="0.25">
      <c r="A43" s="17"/>
      <c r="B43" s="17"/>
      <c r="C43" s="17"/>
      <c r="D43" s="17"/>
      <c r="E43" s="17"/>
      <c r="F43" s="17"/>
      <c r="G43" s="17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</row>
    <row r="44" spans="1:57" ht="15.75" thickBot="1" x14ac:dyDescent="0.3">
      <c r="A44" s="11" t="s">
        <v>131</v>
      </c>
    </row>
    <row r="45" spans="1:57" ht="15.75" thickBot="1" x14ac:dyDescent="0.3">
      <c r="A45" s="12" t="s">
        <v>130</v>
      </c>
      <c r="B45" s="13">
        <f>B8</f>
        <v>0</v>
      </c>
      <c r="C45" s="13"/>
      <c r="D45" s="13"/>
      <c r="E45" s="13"/>
      <c r="F45" s="14" t="e">
        <f>#REF!</f>
        <v>#REF!</v>
      </c>
      <c r="G45" s="14" t="e">
        <f>#REF!</f>
        <v>#REF!</v>
      </c>
      <c r="H45" s="14" t="e">
        <f>#REF!</f>
        <v>#REF!</v>
      </c>
      <c r="I45" s="14" t="e">
        <f t="shared" ref="I45:BE45" si="1">#REF!</f>
        <v>#REF!</v>
      </c>
      <c r="J45" s="14" t="e">
        <f t="shared" si="1"/>
        <v>#REF!</v>
      </c>
      <c r="K45" s="14" t="e">
        <f t="shared" si="1"/>
        <v>#REF!</v>
      </c>
      <c r="L45" s="14" t="e">
        <f t="shared" si="1"/>
        <v>#REF!</v>
      </c>
      <c r="M45" s="14" t="e">
        <f t="shared" si="1"/>
        <v>#REF!</v>
      </c>
      <c r="N45" s="14" t="e">
        <f t="shared" si="1"/>
        <v>#REF!</v>
      </c>
      <c r="O45" s="14" t="e">
        <f t="shared" si="1"/>
        <v>#REF!</v>
      </c>
      <c r="P45" s="14" t="e">
        <f t="shared" si="1"/>
        <v>#REF!</v>
      </c>
      <c r="Q45" s="14" t="e">
        <f t="shared" si="1"/>
        <v>#REF!</v>
      </c>
      <c r="R45" s="14" t="e">
        <f t="shared" si="1"/>
        <v>#REF!</v>
      </c>
      <c r="S45" s="14" t="e">
        <f t="shared" si="1"/>
        <v>#REF!</v>
      </c>
      <c r="T45" s="14" t="e">
        <f t="shared" si="1"/>
        <v>#REF!</v>
      </c>
      <c r="U45" s="14" t="e">
        <f t="shared" si="1"/>
        <v>#REF!</v>
      </c>
      <c r="V45" s="14" t="e">
        <f t="shared" si="1"/>
        <v>#REF!</v>
      </c>
      <c r="W45" s="14" t="e">
        <f t="shared" si="1"/>
        <v>#REF!</v>
      </c>
      <c r="X45" s="14" t="e">
        <f t="shared" si="1"/>
        <v>#REF!</v>
      </c>
      <c r="Y45" s="14" t="e">
        <f t="shared" si="1"/>
        <v>#REF!</v>
      </c>
      <c r="Z45" s="14" t="e">
        <f t="shared" si="1"/>
        <v>#REF!</v>
      </c>
      <c r="AA45" s="14" t="e">
        <f t="shared" si="1"/>
        <v>#REF!</v>
      </c>
      <c r="AB45" s="14" t="e">
        <f t="shared" si="1"/>
        <v>#REF!</v>
      </c>
      <c r="AC45" s="14" t="e">
        <f t="shared" si="1"/>
        <v>#REF!</v>
      </c>
      <c r="AD45" s="14" t="e">
        <f t="shared" si="1"/>
        <v>#REF!</v>
      </c>
      <c r="AE45" s="14" t="e">
        <f t="shared" si="1"/>
        <v>#REF!</v>
      </c>
      <c r="AF45" s="14" t="e">
        <f t="shared" si="1"/>
        <v>#REF!</v>
      </c>
      <c r="AG45" s="14" t="e">
        <f t="shared" si="1"/>
        <v>#REF!</v>
      </c>
      <c r="AH45" s="14" t="e">
        <f t="shared" si="1"/>
        <v>#REF!</v>
      </c>
      <c r="AI45" s="14" t="e">
        <f t="shared" si="1"/>
        <v>#REF!</v>
      </c>
      <c r="AJ45" s="14" t="e">
        <f t="shared" si="1"/>
        <v>#REF!</v>
      </c>
      <c r="AK45" s="14" t="e">
        <f t="shared" si="1"/>
        <v>#REF!</v>
      </c>
      <c r="AL45" s="14" t="e">
        <f t="shared" si="1"/>
        <v>#REF!</v>
      </c>
      <c r="AM45" s="14" t="e">
        <f t="shared" si="1"/>
        <v>#REF!</v>
      </c>
      <c r="AN45" s="14" t="e">
        <f t="shared" si="1"/>
        <v>#REF!</v>
      </c>
      <c r="AO45" s="14" t="e">
        <f t="shared" si="1"/>
        <v>#REF!</v>
      </c>
      <c r="AP45" s="14" t="e">
        <f t="shared" si="1"/>
        <v>#REF!</v>
      </c>
      <c r="AQ45" s="14" t="e">
        <f t="shared" si="1"/>
        <v>#REF!</v>
      </c>
      <c r="AR45" s="14" t="e">
        <f t="shared" si="1"/>
        <v>#REF!</v>
      </c>
      <c r="AS45" s="14" t="e">
        <f t="shared" si="1"/>
        <v>#REF!</v>
      </c>
      <c r="AT45" s="14" t="e">
        <f t="shared" si="1"/>
        <v>#REF!</v>
      </c>
      <c r="AU45" s="14" t="e">
        <f t="shared" si="1"/>
        <v>#REF!</v>
      </c>
      <c r="AV45" s="14" t="e">
        <f t="shared" si="1"/>
        <v>#REF!</v>
      </c>
      <c r="AW45" s="14" t="e">
        <f t="shared" si="1"/>
        <v>#REF!</v>
      </c>
      <c r="AX45" s="14" t="e">
        <f t="shared" si="1"/>
        <v>#REF!</v>
      </c>
      <c r="AY45" s="14" t="e">
        <f t="shared" si="1"/>
        <v>#REF!</v>
      </c>
      <c r="AZ45" s="14" t="e">
        <f t="shared" si="1"/>
        <v>#REF!</v>
      </c>
      <c r="BA45" s="14" t="e">
        <f t="shared" si="1"/>
        <v>#REF!</v>
      </c>
      <c r="BB45" s="14" t="e">
        <f t="shared" si="1"/>
        <v>#REF!</v>
      </c>
      <c r="BC45" s="14" t="e">
        <f t="shared" si="1"/>
        <v>#REF!</v>
      </c>
      <c r="BD45" s="14" t="e">
        <f t="shared" si="1"/>
        <v>#REF!</v>
      </c>
      <c r="BE45" s="14" t="e">
        <f t="shared" si="1"/>
        <v>#REF!</v>
      </c>
    </row>
    <row r="46" spans="1:57" x14ac:dyDescent="0.25">
      <c r="A46" s="2" t="s">
        <v>79</v>
      </c>
    </row>
    <row r="47" spans="1:57" x14ac:dyDescent="0.25">
      <c r="A47" s="2" t="s">
        <v>80</v>
      </c>
    </row>
    <row r="48" spans="1:57" x14ac:dyDescent="0.25">
      <c r="A48" s="2" t="s">
        <v>81</v>
      </c>
    </row>
    <row r="49" spans="1:57" x14ac:dyDescent="0.25">
      <c r="A49" s="2" t="s">
        <v>82</v>
      </c>
    </row>
    <row r="50" spans="1:57" x14ac:dyDescent="0.25">
      <c r="A50" s="2" t="s">
        <v>83</v>
      </c>
    </row>
    <row r="51" spans="1:57" x14ac:dyDescent="0.25">
      <c r="A51" s="2" t="s">
        <v>84</v>
      </c>
    </row>
    <row r="52" spans="1:57" x14ac:dyDescent="0.25">
      <c r="A52" s="2" t="s">
        <v>85</v>
      </c>
    </row>
    <row r="53" spans="1:57" x14ac:dyDescent="0.25">
      <c r="A53" s="2" t="s">
        <v>86</v>
      </c>
    </row>
    <row r="54" spans="1:57" x14ac:dyDescent="0.25">
      <c r="A54" s="2" t="s">
        <v>87</v>
      </c>
    </row>
    <row r="55" spans="1:57" x14ac:dyDescent="0.25">
      <c r="A55" s="2" t="s">
        <v>88</v>
      </c>
    </row>
    <row r="56" spans="1:57" x14ac:dyDescent="0.25">
      <c r="A56" s="2" t="s">
        <v>89</v>
      </c>
    </row>
    <row r="57" spans="1:57" x14ac:dyDescent="0.25">
      <c r="A57" s="2" t="s">
        <v>78</v>
      </c>
    </row>
    <row r="58" spans="1:57" ht="15.75" thickBot="1" x14ac:dyDescent="0.3">
      <c r="A58" s="15" t="s">
        <v>109</v>
      </c>
      <c r="B58" s="15"/>
      <c r="C58" s="15"/>
      <c r="D58" s="15"/>
      <c r="E58" s="15"/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</row>
    <row r="59" spans="1:57" x14ac:dyDescent="0.25">
      <c r="A59" s="17"/>
      <c r="B59" s="17"/>
      <c r="C59" s="17"/>
      <c r="D59" s="17"/>
      <c r="E59" s="17"/>
      <c r="F59" s="17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</row>
    <row r="60" spans="1:57" ht="15.75" thickBot="1" x14ac:dyDescent="0.3">
      <c r="A60" s="11" t="s">
        <v>132</v>
      </c>
    </row>
    <row r="61" spans="1:57" ht="15.75" thickBot="1" x14ac:dyDescent="0.3">
      <c r="A61" s="12" t="s">
        <v>130</v>
      </c>
      <c r="B61" s="13">
        <f>B24</f>
        <v>0</v>
      </c>
      <c r="C61" s="13"/>
      <c r="D61" s="13"/>
      <c r="E61" s="13"/>
      <c r="F61" s="14" t="str">
        <f>F3</f>
        <v>1994/95</v>
      </c>
      <c r="G61" s="14" t="str">
        <f>G3</f>
        <v>1995/96</v>
      </c>
      <c r="H61" s="14" t="str">
        <f>H3</f>
        <v>1996/97</v>
      </c>
      <c r="I61" s="14" t="str">
        <f t="shared" ref="I61:BE61" si="2">I3</f>
        <v>1997/98</v>
      </c>
      <c r="J61" s="14" t="str">
        <f t="shared" si="2"/>
        <v>1998/99</v>
      </c>
      <c r="K61" s="14" t="str">
        <f t="shared" si="2"/>
        <v>1999/00</v>
      </c>
      <c r="L61" s="14" t="str">
        <f t="shared" si="2"/>
        <v>2000/01</v>
      </c>
      <c r="M61" s="14" t="str">
        <f t="shared" si="2"/>
        <v>2001/02</v>
      </c>
      <c r="N61" s="14" t="str">
        <f t="shared" si="2"/>
        <v>2002/03</v>
      </c>
      <c r="O61" s="14" t="str">
        <f t="shared" si="2"/>
        <v>2003/04</v>
      </c>
      <c r="P61" s="14" t="str">
        <f t="shared" si="2"/>
        <v>2004/05</v>
      </c>
      <c r="Q61" s="14" t="str">
        <f t="shared" si="2"/>
        <v>2005/06</v>
      </c>
      <c r="R61" s="14" t="str">
        <f t="shared" si="2"/>
        <v>2006/07</v>
      </c>
      <c r="S61" s="14" t="str">
        <f t="shared" si="2"/>
        <v>2007/08</v>
      </c>
      <c r="T61" s="14" t="str">
        <f t="shared" si="2"/>
        <v>2008/09</v>
      </c>
      <c r="U61" s="14" t="str">
        <f t="shared" si="2"/>
        <v>2009/10</v>
      </c>
      <c r="V61" s="14" t="str">
        <f t="shared" si="2"/>
        <v>2010/11</v>
      </c>
      <c r="W61" s="14" t="str">
        <f t="shared" si="2"/>
        <v>2011/12</v>
      </c>
      <c r="X61" s="14" t="str">
        <f t="shared" si="2"/>
        <v>2012/13</v>
      </c>
      <c r="Y61" s="14" t="str">
        <f t="shared" si="2"/>
        <v>2013/14</v>
      </c>
      <c r="Z61" s="14" t="str">
        <f t="shared" si="2"/>
        <v>2014/15</v>
      </c>
      <c r="AA61" s="14" t="str">
        <f t="shared" si="2"/>
        <v>2015/16</v>
      </c>
      <c r="AB61" s="14" t="str">
        <f t="shared" si="2"/>
        <v>2016/17</v>
      </c>
      <c r="AC61" s="14" t="str">
        <f t="shared" si="2"/>
        <v>2017/18</v>
      </c>
      <c r="AD61" s="14" t="str">
        <f t="shared" si="2"/>
        <v>2018/19</v>
      </c>
      <c r="AE61" s="14" t="str">
        <f t="shared" si="2"/>
        <v>2019/20</v>
      </c>
      <c r="AF61" s="14" t="str">
        <f t="shared" si="2"/>
        <v>2020/21</v>
      </c>
      <c r="AG61" s="14" t="str">
        <f t="shared" si="2"/>
        <v>2021/22</v>
      </c>
      <c r="AH61" s="14" t="str">
        <f t="shared" si="2"/>
        <v>2022/23</v>
      </c>
      <c r="AI61" s="14" t="str">
        <f t="shared" si="2"/>
        <v>2023/24</v>
      </c>
      <c r="AJ61" s="14" t="str">
        <f t="shared" si="2"/>
        <v>2024/25</v>
      </c>
      <c r="AK61" s="14" t="str">
        <f t="shared" si="2"/>
        <v>2025/26</v>
      </c>
      <c r="AL61" s="14" t="str">
        <f t="shared" si="2"/>
        <v>2026/27</v>
      </c>
      <c r="AM61" s="14" t="str">
        <f t="shared" si="2"/>
        <v>2027/28</v>
      </c>
      <c r="AN61" s="14" t="str">
        <f t="shared" si="2"/>
        <v>2028/29</v>
      </c>
      <c r="AO61" s="14" t="str">
        <f t="shared" si="2"/>
        <v>2029/30</v>
      </c>
      <c r="AP61" s="14" t="str">
        <f t="shared" si="2"/>
        <v>2030/31</v>
      </c>
      <c r="AQ61" s="14" t="str">
        <f t="shared" si="2"/>
        <v>2031/32</v>
      </c>
      <c r="AR61" s="14" t="str">
        <f t="shared" si="2"/>
        <v>2032/33</v>
      </c>
      <c r="AS61" s="14" t="str">
        <f t="shared" si="2"/>
        <v>2033/34</v>
      </c>
      <c r="AT61" s="14" t="str">
        <f t="shared" si="2"/>
        <v>2034/35</v>
      </c>
      <c r="AU61" s="14" t="str">
        <f t="shared" si="2"/>
        <v>2035/36</v>
      </c>
      <c r="AV61" s="14" t="str">
        <f t="shared" si="2"/>
        <v>2036/37</v>
      </c>
      <c r="AW61" s="14" t="str">
        <f t="shared" si="2"/>
        <v>2037/38</v>
      </c>
      <c r="AX61" s="14" t="str">
        <f t="shared" si="2"/>
        <v>2038/39</v>
      </c>
      <c r="AY61" s="14" t="str">
        <f t="shared" si="2"/>
        <v>2039/40</v>
      </c>
      <c r="AZ61" s="14" t="str">
        <f t="shared" si="2"/>
        <v>2040/41</v>
      </c>
      <c r="BA61" s="14" t="str">
        <f t="shared" si="2"/>
        <v>2041/42</v>
      </c>
      <c r="BB61" s="14" t="str">
        <f t="shared" si="2"/>
        <v>2042/43</v>
      </c>
      <c r="BC61" s="14" t="str">
        <f t="shared" si="2"/>
        <v>2043/44</v>
      </c>
      <c r="BD61" s="14" t="str">
        <f t="shared" si="2"/>
        <v>2044/45</v>
      </c>
      <c r="BE61" s="14" t="str">
        <f t="shared" si="2"/>
        <v>2045/46</v>
      </c>
    </row>
    <row r="62" spans="1:57" x14ac:dyDescent="0.25">
      <c r="A62" s="2" t="s">
        <v>79</v>
      </c>
    </row>
    <row r="63" spans="1:57" x14ac:dyDescent="0.25">
      <c r="A63" s="2" t="s">
        <v>80</v>
      </c>
    </row>
    <row r="64" spans="1:57" x14ac:dyDescent="0.25">
      <c r="A64" s="2" t="s">
        <v>81</v>
      </c>
    </row>
    <row r="65" spans="1:57" x14ac:dyDescent="0.25">
      <c r="A65" s="2" t="s">
        <v>82</v>
      </c>
    </row>
    <row r="66" spans="1:57" x14ac:dyDescent="0.25">
      <c r="A66" s="2" t="s">
        <v>83</v>
      </c>
    </row>
    <row r="67" spans="1:57" x14ac:dyDescent="0.25">
      <c r="A67" s="2" t="s">
        <v>84</v>
      </c>
    </row>
    <row r="68" spans="1:57" x14ac:dyDescent="0.25">
      <c r="A68" s="2" t="s">
        <v>85</v>
      </c>
    </row>
    <row r="69" spans="1:57" x14ac:dyDescent="0.25">
      <c r="A69" s="2" t="s">
        <v>86</v>
      </c>
    </row>
    <row r="70" spans="1:57" x14ac:dyDescent="0.25">
      <c r="A70" s="2" t="s">
        <v>87</v>
      </c>
    </row>
    <row r="71" spans="1:57" x14ac:dyDescent="0.25">
      <c r="A71" s="2" t="s">
        <v>88</v>
      </c>
    </row>
    <row r="72" spans="1:57" x14ac:dyDescent="0.25">
      <c r="A72" s="2" t="s">
        <v>89</v>
      </c>
    </row>
    <row r="73" spans="1:57" x14ac:dyDescent="0.25">
      <c r="A73" s="2" t="s">
        <v>78</v>
      </c>
    </row>
    <row r="74" spans="1:57" ht="15.75" thickBot="1" x14ac:dyDescent="0.3">
      <c r="A74" s="15" t="s">
        <v>90</v>
      </c>
      <c r="B74" s="15"/>
      <c r="C74" s="15"/>
      <c r="D74" s="15"/>
      <c r="E74" s="15"/>
      <c r="F74" s="15"/>
      <c r="G74" s="1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</row>
    <row r="75" spans="1:57" x14ac:dyDescent="0.25">
      <c r="A75" s="17"/>
      <c r="B75" s="17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</row>
    <row r="76" spans="1:57" ht="15.75" thickBot="1" x14ac:dyDescent="0.3">
      <c r="A76" s="11" t="s">
        <v>133</v>
      </c>
    </row>
    <row r="77" spans="1:57" ht="15.75" thickBot="1" x14ac:dyDescent="0.3">
      <c r="A77" s="12" t="s">
        <v>130</v>
      </c>
      <c r="B77" s="13">
        <f>B40</f>
        <v>0</v>
      </c>
      <c r="C77" s="13"/>
      <c r="D77" s="13"/>
      <c r="E77" s="13"/>
      <c r="F77" s="14">
        <f t="shared" ref="F77:G77" si="3">F24</f>
        <v>0</v>
      </c>
      <c r="G77" s="14">
        <f t="shared" si="3"/>
        <v>0</v>
      </c>
      <c r="H77" s="14" t="str">
        <f>H3</f>
        <v>1996/97</v>
      </c>
      <c r="I77" s="14" t="str">
        <f t="shared" ref="I77:BE77" si="4">I3</f>
        <v>1997/98</v>
      </c>
      <c r="J77" s="14" t="str">
        <f t="shared" si="4"/>
        <v>1998/99</v>
      </c>
      <c r="K77" s="14" t="str">
        <f t="shared" si="4"/>
        <v>1999/00</v>
      </c>
      <c r="L77" s="14" t="str">
        <f t="shared" si="4"/>
        <v>2000/01</v>
      </c>
      <c r="M77" s="14" t="str">
        <f t="shared" si="4"/>
        <v>2001/02</v>
      </c>
      <c r="N77" s="14" t="str">
        <f t="shared" si="4"/>
        <v>2002/03</v>
      </c>
      <c r="O77" s="14" t="str">
        <f t="shared" si="4"/>
        <v>2003/04</v>
      </c>
      <c r="P77" s="14" t="str">
        <f t="shared" si="4"/>
        <v>2004/05</v>
      </c>
      <c r="Q77" s="14" t="str">
        <f t="shared" si="4"/>
        <v>2005/06</v>
      </c>
      <c r="R77" s="14" t="str">
        <f t="shared" si="4"/>
        <v>2006/07</v>
      </c>
      <c r="S77" s="14" t="str">
        <f t="shared" si="4"/>
        <v>2007/08</v>
      </c>
      <c r="T77" s="14" t="str">
        <f t="shared" si="4"/>
        <v>2008/09</v>
      </c>
      <c r="U77" s="14" t="str">
        <f t="shared" si="4"/>
        <v>2009/10</v>
      </c>
      <c r="V77" s="14" t="str">
        <f t="shared" si="4"/>
        <v>2010/11</v>
      </c>
      <c r="W77" s="14" t="str">
        <f t="shared" si="4"/>
        <v>2011/12</v>
      </c>
      <c r="X77" s="14" t="str">
        <f t="shared" si="4"/>
        <v>2012/13</v>
      </c>
      <c r="Y77" s="14" t="str">
        <f t="shared" si="4"/>
        <v>2013/14</v>
      </c>
      <c r="Z77" s="14" t="str">
        <f t="shared" si="4"/>
        <v>2014/15</v>
      </c>
      <c r="AA77" s="14" t="str">
        <f t="shared" si="4"/>
        <v>2015/16</v>
      </c>
      <c r="AB77" s="14" t="str">
        <f t="shared" si="4"/>
        <v>2016/17</v>
      </c>
      <c r="AC77" s="14" t="str">
        <f t="shared" si="4"/>
        <v>2017/18</v>
      </c>
      <c r="AD77" s="14" t="str">
        <f t="shared" si="4"/>
        <v>2018/19</v>
      </c>
      <c r="AE77" s="14" t="str">
        <f t="shared" si="4"/>
        <v>2019/20</v>
      </c>
      <c r="AF77" s="14" t="str">
        <f t="shared" si="4"/>
        <v>2020/21</v>
      </c>
      <c r="AG77" s="14" t="str">
        <f t="shared" si="4"/>
        <v>2021/22</v>
      </c>
      <c r="AH77" s="14" t="str">
        <f t="shared" si="4"/>
        <v>2022/23</v>
      </c>
      <c r="AI77" s="14" t="str">
        <f t="shared" si="4"/>
        <v>2023/24</v>
      </c>
      <c r="AJ77" s="14" t="str">
        <f t="shared" si="4"/>
        <v>2024/25</v>
      </c>
      <c r="AK77" s="14" t="str">
        <f t="shared" si="4"/>
        <v>2025/26</v>
      </c>
      <c r="AL77" s="14" t="str">
        <f t="shared" si="4"/>
        <v>2026/27</v>
      </c>
      <c r="AM77" s="14" t="str">
        <f t="shared" si="4"/>
        <v>2027/28</v>
      </c>
      <c r="AN77" s="14" t="str">
        <f t="shared" si="4"/>
        <v>2028/29</v>
      </c>
      <c r="AO77" s="14" t="str">
        <f t="shared" si="4"/>
        <v>2029/30</v>
      </c>
      <c r="AP77" s="14" t="str">
        <f t="shared" si="4"/>
        <v>2030/31</v>
      </c>
      <c r="AQ77" s="14" t="str">
        <f t="shared" si="4"/>
        <v>2031/32</v>
      </c>
      <c r="AR77" s="14" t="str">
        <f t="shared" si="4"/>
        <v>2032/33</v>
      </c>
      <c r="AS77" s="14" t="str">
        <f t="shared" si="4"/>
        <v>2033/34</v>
      </c>
      <c r="AT77" s="14" t="str">
        <f t="shared" si="4"/>
        <v>2034/35</v>
      </c>
      <c r="AU77" s="14" t="str">
        <f t="shared" si="4"/>
        <v>2035/36</v>
      </c>
      <c r="AV77" s="14" t="str">
        <f t="shared" si="4"/>
        <v>2036/37</v>
      </c>
      <c r="AW77" s="14" t="str">
        <f t="shared" si="4"/>
        <v>2037/38</v>
      </c>
      <c r="AX77" s="14" t="str">
        <f t="shared" si="4"/>
        <v>2038/39</v>
      </c>
      <c r="AY77" s="14" t="str">
        <f t="shared" si="4"/>
        <v>2039/40</v>
      </c>
      <c r="AZ77" s="14" t="str">
        <f t="shared" si="4"/>
        <v>2040/41</v>
      </c>
      <c r="BA77" s="14" t="str">
        <f t="shared" si="4"/>
        <v>2041/42</v>
      </c>
      <c r="BB77" s="14" t="str">
        <f t="shared" si="4"/>
        <v>2042/43</v>
      </c>
      <c r="BC77" s="14" t="str">
        <f t="shared" si="4"/>
        <v>2043/44</v>
      </c>
      <c r="BD77" s="14" t="str">
        <f t="shared" si="4"/>
        <v>2044/45</v>
      </c>
      <c r="BE77" s="14" t="str">
        <f t="shared" si="4"/>
        <v>2045/46</v>
      </c>
    </row>
    <row r="78" spans="1:57" x14ac:dyDescent="0.25">
      <c r="A78" s="2" t="s">
        <v>79</v>
      </c>
    </row>
    <row r="79" spans="1:57" x14ac:dyDescent="0.25">
      <c r="A79" s="2" t="s">
        <v>80</v>
      </c>
    </row>
    <row r="80" spans="1:57" x14ac:dyDescent="0.25">
      <c r="A80" s="2" t="s">
        <v>81</v>
      </c>
    </row>
    <row r="81" spans="1:57" x14ac:dyDescent="0.25">
      <c r="A81" s="2" t="s">
        <v>82</v>
      </c>
    </row>
    <row r="82" spans="1:57" x14ac:dyDescent="0.25">
      <c r="A82" s="2" t="s">
        <v>83</v>
      </c>
    </row>
    <row r="83" spans="1:57" x14ac:dyDescent="0.25">
      <c r="A83" s="2" t="s">
        <v>84</v>
      </c>
    </row>
    <row r="84" spans="1:57" x14ac:dyDescent="0.25">
      <c r="A84" s="2" t="s">
        <v>85</v>
      </c>
    </row>
    <row r="85" spans="1:57" x14ac:dyDescent="0.25">
      <c r="A85" s="2" t="s">
        <v>86</v>
      </c>
    </row>
    <row r="86" spans="1:57" x14ac:dyDescent="0.25">
      <c r="A86" s="2" t="s">
        <v>87</v>
      </c>
    </row>
    <row r="87" spans="1:57" x14ac:dyDescent="0.25">
      <c r="A87" s="2" t="s">
        <v>88</v>
      </c>
    </row>
    <row r="88" spans="1:57" x14ac:dyDescent="0.25">
      <c r="A88" s="2" t="s">
        <v>89</v>
      </c>
    </row>
    <row r="89" spans="1:57" x14ac:dyDescent="0.25">
      <c r="A89" s="2" t="s">
        <v>78</v>
      </c>
    </row>
    <row r="90" spans="1:57" ht="15.75" thickBot="1" x14ac:dyDescent="0.3">
      <c r="A90" s="15" t="s">
        <v>90</v>
      </c>
      <c r="B90" s="15"/>
      <c r="C90" s="15"/>
      <c r="D90" s="15"/>
      <c r="E90" s="15"/>
      <c r="F90" s="15"/>
      <c r="G90" s="15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</row>
    <row r="91" spans="1:57" x14ac:dyDescent="0.25">
      <c r="A91" s="17"/>
      <c r="B91" s="17"/>
      <c r="C91" s="17"/>
      <c r="D91" s="17"/>
      <c r="E91" s="17"/>
      <c r="F91" s="17"/>
      <c r="G91" s="1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</row>
    <row r="92" spans="1:57" ht="15.75" thickBot="1" x14ac:dyDescent="0.3">
      <c r="A92" s="11" t="s">
        <v>134</v>
      </c>
    </row>
    <row r="93" spans="1:57" ht="15.75" thickBot="1" x14ac:dyDescent="0.3">
      <c r="A93" s="12" t="s">
        <v>130</v>
      </c>
      <c r="B93" s="13">
        <f>B72</f>
        <v>0</v>
      </c>
      <c r="C93" s="13"/>
      <c r="D93" s="13"/>
      <c r="E93" s="13"/>
      <c r="F93" s="14">
        <f t="shared" ref="F93:G93" si="5">F40</f>
        <v>0</v>
      </c>
      <c r="G93" s="14">
        <f t="shared" si="5"/>
        <v>0</v>
      </c>
      <c r="H93" s="14" t="str">
        <f>H3</f>
        <v>1996/97</v>
      </c>
      <c r="I93" s="14" t="str">
        <f t="shared" ref="I93:BE93" si="6">I3</f>
        <v>1997/98</v>
      </c>
      <c r="J93" s="14" t="str">
        <f t="shared" si="6"/>
        <v>1998/99</v>
      </c>
      <c r="K93" s="14" t="str">
        <f t="shared" si="6"/>
        <v>1999/00</v>
      </c>
      <c r="L93" s="14" t="str">
        <f t="shared" si="6"/>
        <v>2000/01</v>
      </c>
      <c r="M93" s="14" t="str">
        <f t="shared" si="6"/>
        <v>2001/02</v>
      </c>
      <c r="N93" s="14" t="str">
        <f t="shared" si="6"/>
        <v>2002/03</v>
      </c>
      <c r="O93" s="14" t="str">
        <f t="shared" si="6"/>
        <v>2003/04</v>
      </c>
      <c r="P93" s="14" t="str">
        <f t="shared" si="6"/>
        <v>2004/05</v>
      </c>
      <c r="Q93" s="14" t="str">
        <f t="shared" si="6"/>
        <v>2005/06</v>
      </c>
      <c r="R93" s="14" t="str">
        <f t="shared" si="6"/>
        <v>2006/07</v>
      </c>
      <c r="S93" s="14" t="str">
        <f t="shared" si="6"/>
        <v>2007/08</v>
      </c>
      <c r="T93" s="14" t="str">
        <f t="shared" si="6"/>
        <v>2008/09</v>
      </c>
      <c r="U93" s="14" t="str">
        <f t="shared" si="6"/>
        <v>2009/10</v>
      </c>
      <c r="V93" s="14" t="str">
        <f t="shared" si="6"/>
        <v>2010/11</v>
      </c>
      <c r="W93" s="14" t="str">
        <f t="shared" si="6"/>
        <v>2011/12</v>
      </c>
      <c r="X93" s="14" t="str">
        <f t="shared" si="6"/>
        <v>2012/13</v>
      </c>
      <c r="Y93" s="14" t="str">
        <f t="shared" si="6"/>
        <v>2013/14</v>
      </c>
      <c r="Z93" s="14" t="str">
        <f t="shared" si="6"/>
        <v>2014/15</v>
      </c>
      <c r="AA93" s="14" t="str">
        <f t="shared" si="6"/>
        <v>2015/16</v>
      </c>
      <c r="AB93" s="14" t="str">
        <f t="shared" si="6"/>
        <v>2016/17</v>
      </c>
      <c r="AC93" s="14" t="str">
        <f t="shared" si="6"/>
        <v>2017/18</v>
      </c>
      <c r="AD93" s="14" t="str">
        <f t="shared" si="6"/>
        <v>2018/19</v>
      </c>
      <c r="AE93" s="14" t="str">
        <f t="shared" si="6"/>
        <v>2019/20</v>
      </c>
      <c r="AF93" s="14" t="str">
        <f t="shared" si="6"/>
        <v>2020/21</v>
      </c>
      <c r="AG93" s="14" t="str">
        <f t="shared" si="6"/>
        <v>2021/22</v>
      </c>
      <c r="AH93" s="14" t="str">
        <f t="shared" si="6"/>
        <v>2022/23</v>
      </c>
      <c r="AI93" s="14" t="str">
        <f t="shared" si="6"/>
        <v>2023/24</v>
      </c>
      <c r="AJ93" s="14" t="str">
        <f t="shared" si="6"/>
        <v>2024/25</v>
      </c>
      <c r="AK93" s="14" t="str">
        <f t="shared" si="6"/>
        <v>2025/26</v>
      </c>
      <c r="AL93" s="14" t="str">
        <f t="shared" si="6"/>
        <v>2026/27</v>
      </c>
      <c r="AM93" s="14" t="str">
        <f t="shared" si="6"/>
        <v>2027/28</v>
      </c>
      <c r="AN93" s="14" t="str">
        <f t="shared" si="6"/>
        <v>2028/29</v>
      </c>
      <c r="AO93" s="14" t="str">
        <f t="shared" si="6"/>
        <v>2029/30</v>
      </c>
      <c r="AP93" s="14" t="str">
        <f t="shared" si="6"/>
        <v>2030/31</v>
      </c>
      <c r="AQ93" s="14" t="str">
        <f t="shared" si="6"/>
        <v>2031/32</v>
      </c>
      <c r="AR93" s="14" t="str">
        <f t="shared" si="6"/>
        <v>2032/33</v>
      </c>
      <c r="AS93" s="14" t="str">
        <f t="shared" si="6"/>
        <v>2033/34</v>
      </c>
      <c r="AT93" s="14" t="str">
        <f t="shared" si="6"/>
        <v>2034/35</v>
      </c>
      <c r="AU93" s="14" t="str">
        <f t="shared" si="6"/>
        <v>2035/36</v>
      </c>
      <c r="AV93" s="14" t="str">
        <f t="shared" si="6"/>
        <v>2036/37</v>
      </c>
      <c r="AW93" s="14" t="str">
        <f t="shared" si="6"/>
        <v>2037/38</v>
      </c>
      <c r="AX93" s="14" t="str">
        <f t="shared" si="6"/>
        <v>2038/39</v>
      </c>
      <c r="AY93" s="14" t="str">
        <f t="shared" si="6"/>
        <v>2039/40</v>
      </c>
      <c r="AZ93" s="14" t="str">
        <f t="shared" si="6"/>
        <v>2040/41</v>
      </c>
      <c r="BA93" s="14" t="str">
        <f t="shared" si="6"/>
        <v>2041/42</v>
      </c>
      <c r="BB93" s="14" t="str">
        <f t="shared" si="6"/>
        <v>2042/43</v>
      </c>
      <c r="BC93" s="14" t="str">
        <f t="shared" si="6"/>
        <v>2043/44</v>
      </c>
      <c r="BD93" s="14" t="str">
        <f t="shared" si="6"/>
        <v>2044/45</v>
      </c>
      <c r="BE93" s="14" t="str">
        <f t="shared" si="6"/>
        <v>2045/46</v>
      </c>
    </row>
    <row r="94" spans="1:57" x14ac:dyDescent="0.25">
      <c r="A94" s="2" t="s">
        <v>79</v>
      </c>
    </row>
    <row r="95" spans="1:57" x14ac:dyDescent="0.25">
      <c r="A95" s="2" t="s">
        <v>80</v>
      </c>
    </row>
    <row r="96" spans="1:57" x14ac:dyDescent="0.25">
      <c r="A96" s="2" t="s">
        <v>81</v>
      </c>
    </row>
    <row r="97" spans="1:57" x14ac:dyDescent="0.25">
      <c r="A97" s="2" t="s">
        <v>82</v>
      </c>
    </row>
    <row r="98" spans="1:57" x14ac:dyDescent="0.25">
      <c r="A98" s="2" t="s">
        <v>83</v>
      </c>
    </row>
    <row r="99" spans="1:57" x14ac:dyDescent="0.25">
      <c r="A99" s="2" t="s">
        <v>84</v>
      </c>
    </row>
    <row r="100" spans="1:57" x14ac:dyDescent="0.25">
      <c r="A100" s="2" t="s">
        <v>85</v>
      </c>
    </row>
    <row r="101" spans="1:57" x14ac:dyDescent="0.25">
      <c r="A101" s="2" t="s">
        <v>86</v>
      </c>
    </row>
    <row r="102" spans="1:57" x14ac:dyDescent="0.25">
      <c r="A102" s="2" t="s">
        <v>87</v>
      </c>
    </row>
    <row r="103" spans="1:57" x14ac:dyDescent="0.25">
      <c r="A103" s="2" t="s">
        <v>88</v>
      </c>
    </row>
    <row r="104" spans="1:57" x14ac:dyDescent="0.25">
      <c r="A104" s="2" t="s">
        <v>89</v>
      </c>
    </row>
    <row r="105" spans="1:57" x14ac:dyDescent="0.25">
      <c r="A105" s="2" t="s">
        <v>78</v>
      </c>
    </row>
    <row r="106" spans="1:57" ht="15.75" thickBot="1" x14ac:dyDescent="0.3">
      <c r="A106" s="15" t="s">
        <v>90</v>
      </c>
      <c r="B106" s="15"/>
      <c r="C106" s="15"/>
      <c r="D106" s="15"/>
      <c r="E106" s="15"/>
      <c r="F106" s="15"/>
      <c r="G106" s="15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</row>
    <row r="107" spans="1:57" x14ac:dyDescent="0.25">
      <c r="A107" s="17"/>
      <c r="B107" s="17"/>
      <c r="C107" s="17"/>
      <c r="D107" s="17"/>
      <c r="E107" s="17"/>
      <c r="F107" s="17"/>
      <c r="G107" s="1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</row>
    <row r="108" spans="1:57" ht="15.75" thickBot="1" x14ac:dyDescent="0.3">
      <c r="A108" s="11" t="s">
        <v>135</v>
      </c>
    </row>
    <row r="109" spans="1:57" ht="15.75" thickBot="1" x14ac:dyDescent="0.3">
      <c r="A109" s="12" t="s">
        <v>130</v>
      </c>
      <c r="B109" s="13">
        <f>B88</f>
        <v>0</v>
      </c>
      <c r="C109" s="13"/>
      <c r="D109" s="13"/>
      <c r="E109" s="13"/>
      <c r="F109" s="14">
        <f t="shared" ref="F109:G109" si="7">F72</f>
        <v>0</v>
      </c>
      <c r="G109" s="14">
        <f t="shared" si="7"/>
        <v>0</v>
      </c>
      <c r="H109" s="14" t="str">
        <f>H3</f>
        <v>1996/97</v>
      </c>
      <c r="I109" s="14" t="str">
        <f t="shared" ref="I109:BE109" si="8">I3</f>
        <v>1997/98</v>
      </c>
      <c r="J109" s="14" t="str">
        <f t="shared" si="8"/>
        <v>1998/99</v>
      </c>
      <c r="K109" s="14" t="str">
        <f t="shared" si="8"/>
        <v>1999/00</v>
      </c>
      <c r="L109" s="14" t="str">
        <f t="shared" si="8"/>
        <v>2000/01</v>
      </c>
      <c r="M109" s="14" t="str">
        <f t="shared" si="8"/>
        <v>2001/02</v>
      </c>
      <c r="N109" s="14" t="str">
        <f t="shared" si="8"/>
        <v>2002/03</v>
      </c>
      <c r="O109" s="14" t="str">
        <f t="shared" si="8"/>
        <v>2003/04</v>
      </c>
      <c r="P109" s="14" t="str">
        <f t="shared" si="8"/>
        <v>2004/05</v>
      </c>
      <c r="Q109" s="14" t="str">
        <f t="shared" si="8"/>
        <v>2005/06</v>
      </c>
      <c r="R109" s="14" t="str">
        <f t="shared" si="8"/>
        <v>2006/07</v>
      </c>
      <c r="S109" s="14" t="str">
        <f t="shared" si="8"/>
        <v>2007/08</v>
      </c>
      <c r="T109" s="14" t="str">
        <f t="shared" si="8"/>
        <v>2008/09</v>
      </c>
      <c r="U109" s="14" t="str">
        <f t="shared" si="8"/>
        <v>2009/10</v>
      </c>
      <c r="V109" s="14" t="str">
        <f t="shared" si="8"/>
        <v>2010/11</v>
      </c>
      <c r="W109" s="14" t="str">
        <f t="shared" si="8"/>
        <v>2011/12</v>
      </c>
      <c r="X109" s="14" t="str">
        <f t="shared" si="8"/>
        <v>2012/13</v>
      </c>
      <c r="Y109" s="14" t="str">
        <f t="shared" si="8"/>
        <v>2013/14</v>
      </c>
      <c r="Z109" s="14" t="str">
        <f t="shared" si="8"/>
        <v>2014/15</v>
      </c>
      <c r="AA109" s="14" t="str">
        <f t="shared" si="8"/>
        <v>2015/16</v>
      </c>
      <c r="AB109" s="14" t="str">
        <f t="shared" si="8"/>
        <v>2016/17</v>
      </c>
      <c r="AC109" s="14" t="str">
        <f t="shared" si="8"/>
        <v>2017/18</v>
      </c>
      <c r="AD109" s="14" t="str">
        <f t="shared" si="8"/>
        <v>2018/19</v>
      </c>
      <c r="AE109" s="14" t="str">
        <f t="shared" si="8"/>
        <v>2019/20</v>
      </c>
      <c r="AF109" s="14" t="str">
        <f t="shared" si="8"/>
        <v>2020/21</v>
      </c>
      <c r="AG109" s="14" t="str">
        <f t="shared" si="8"/>
        <v>2021/22</v>
      </c>
      <c r="AH109" s="14" t="str">
        <f t="shared" si="8"/>
        <v>2022/23</v>
      </c>
      <c r="AI109" s="14" t="str">
        <f t="shared" si="8"/>
        <v>2023/24</v>
      </c>
      <c r="AJ109" s="14" t="str">
        <f t="shared" si="8"/>
        <v>2024/25</v>
      </c>
      <c r="AK109" s="14" t="str">
        <f t="shared" si="8"/>
        <v>2025/26</v>
      </c>
      <c r="AL109" s="14" t="str">
        <f t="shared" si="8"/>
        <v>2026/27</v>
      </c>
      <c r="AM109" s="14" t="str">
        <f t="shared" si="8"/>
        <v>2027/28</v>
      </c>
      <c r="AN109" s="14" t="str">
        <f t="shared" si="8"/>
        <v>2028/29</v>
      </c>
      <c r="AO109" s="14" t="str">
        <f t="shared" si="8"/>
        <v>2029/30</v>
      </c>
      <c r="AP109" s="14" t="str">
        <f t="shared" si="8"/>
        <v>2030/31</v>
      </c>
      <c r="AQ109" s="14" t="str">
        <f t="shared" si="8"/>
        <v>2031/32</v>
      </c>
      <c r="AR109" s="14" t="str">
        <f t="shared" si="8"/>
        <v>2032/33</v>
      </c>
      <c r="AS109" s="14" t="str">
        <f t="shared" si="8"/>
        <v>2033/34</v>
      </c>
      <c r="AT109" s="14" t="str">
        <f t="shared" si="8"/>
        <v>2034/35</v>
      </c>
      <c r="AU109" s="14" t="str">
        <f t="shared" si="8"/>
        <v>2035/36</v>
      </c>
      <c r="AV109" s="14" t="str">
        <f t="shared" si="8"/>
        <v>2036/37</v>
      </c>
      <c r="AW109" s="14" t="str">
        <f t="shared" si="8"/>
        <v>2037/38</v>
      </c>
      <c r="AX109" s="14" t="str">
        <f t="shared" si="8"/>
        <v>2038/39</v>
      </c>
      <c r="AY109" s="14" t="str">
        <f t="shared" si="8"/>
        <v>2039/40</v>
      </c>
      <c r="AZ109" s="14" t="str">
        <f t="shared" si="8"/>
        <v>2040/41</v>
      </c>
      <c r="BA109" s="14" t="str">
        <f t="shared" si="8"/>
        <v>2041/42</v>
      </c>
      <c r="BB109" s="14" t="str">
        <f t="shared" si="8"/>
        <v>2042/43</v>
      </c>
      <c r="BC109" s="14" t="str">
        <f t="shared" si="8"/>
        <v>2043/44</v>
      </c>
      <c r="BD109" s="14" t="str">
        <f t="shared" si="8"/>
        <v>2044/45</v>
      </c>
      <c r="BE109" s="14" t="str">
        <f t="shared" si="8"/>
        <v>2045/46</v>
      </c>
    </row>
    <row r="110" spans="1:57" x14ac:dyDescent="0.25">
      <c r="A110" s="2" t="s">
        <v>79</v>
      </c>
    </row>
    <row r="111" spans="1:57" x14ac:dyDescent="0.25">
      <c r="A111" s="2" t="s">
        <v>80</v>
      </c>
    </row>
    <row r="112" spans="1:57" x14ac:dyDescent="0.25">
      <c r="A112" s="2" t="s">
        <v>81</v>
      </c>
    </row>
    <row r="113" spans="1:57" x14ac:dyDescent="0.25">
      <c r="A113" s="2" t="s">
        <v>82</v>
      </c>
    </row>
    <row r="114" spans="1:57" x14ac:dyDescent="0.25">
      <c r="A114" s="2" t="s">
        <v>83</v>
      </c>
    </row>
    <row r="115" spans="1:57" x14ac:dyDescent="0.25">
      <c r="A115" s="2" t="s">
        <v>84</v>
      </c>
    </row>
    <row r="116" spans="1:57" x14ac:dyDescent="0.25">
      <c r="A116" s="2" t="s">
        <v>85</v>
      </c>
    </row>
    <row r="117" spans="1:57" x14ac:dyDescent="0.25">
      <c r="A117" s="2" t="s">
        <v>86</v>
      </c>
    </row>
    <row r="118" spans="1:57" x14ac:dyDescent="0.25">
      <c r="A118" s="2" t="s">
        <v>87</v>
      </c>
    </row>
    <row r="119" spans="1:57" x14ac:dyDescent="0.25">
      <c r="A119" s="2" t="s">
        <v>88</v>
      </c>
    </row>
    <row r="120" spans="1:57" x14ac:dyDescent="0.25">
      <c r="A120" s="2" t="s">
        <v>89</v>
      </c>
    </row>
    <row r="121" spans="1:57" x14ac:dyDescent="0.25">
      <c r="A121" s="2" t="s">
        <v>78</v>
      </c>
    </row>
    <row r="122" spans="1:57" ht="15.75" thickBot="1" x14ac:dyDescent="0.3">
      <c r="A122" s="15" t="s">
        <v>90</v>
      </c>
      <c r="B122" s="15"/>
      <c r="C122" s="15"/>
      <c r="D122" s="15"/>
      <c r="E122" s="15"/>
      <c r="F122" s="15"/>
      <c r="G122" s="15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</row>
    <row r="123" spans="1:57" x14ac:dyDescent="0.25">
      <c r="A123" s="17"/>
      <c r="B123" s="17"/>
      <c r="C123" s="17"/>
      <c r="D123" s="17"/>
      <c r="E123" s="17"/>
      <c r="F123" s="17"/>
      <c r="G123" s="1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</row>
    <row r="124" spans="1:57" ht="15.75" thickBot="1" x14ac:dyDescent="0.3">
      <c r="A124" s="11" t="s">
        <v>136</v>
      </c>
    </row>
    <row r="125" spans="1:57" ht="15.75" thickBot="1" x14ac:dyDescent="0.3">
      <c r="A125" s="12" t="s">
        <v>130</v>
      </c>
      <c r="B125" s="13">
        <f>B104</f>
        <v>0</v>
      </c>
      <c r="C125" s="13"/>
      <c r="D125" s="13"/>
      <c r="E125" s="13"/>
      <c r="F125" s="14">
        <f t="shared" ref="F125:G125" si="9">F88</f>
        <v>0</v>
      </c>
      <c r="G125" s="14">
        <f t="shared" si="9"/>
        <v>0</v>
      </c>
      <c r="H125" s="14" t="str">
        <f>H3</f>
        <v>1996/97</v>
      </c>
      <c r="I125" s="14" t="str">
        <f t="shared" ref="I125:BE125" si="10">I3</f>
        <v>1997/98</v>
      </c>
      <c r="J125" s="14" t="str">
        <f t="shared" si="10"/>
        <v>1998/99</v>
      </c>
      <c r="K125" s="14" t="str">
        <f t="shared" si="10"/>
        <v>1999/00</v>
      </c>
      <c r="L125" s="14" t="str">
        <f t="shared" si="10"/>
        <v>2000/01</v>
      </c>
      <c r="M125" s="14" t="str">
        <f t="shared" si="10"/>
        <v>2001/02</v>
      </c>
      <c r="N125" s="14" t="str">
        <f t="shared" si="10"/>
        <v>2002/03</v>
      </c>
      <c r="O125" s="14" t="str">
        <f t="shared" si="10"/>
        <v>2003/04</v>
      </c>
      <c r="P125" s="14" t="str">
        <f t="shared" si="10"/>
        <v>2004/05</v>
      </c>
      <c r="Q125" s="14" t="str">
        <f t="shared" si="10"/>
        <v>2005/06</v>
      </c>
      <c r="R125" s="14" t="str">
        <f t="shared" si="10"/>
        <v>2006/07</v>
      </c>
      <c r="S125" s="14" t="str">
        <f t="shared" si="10"/>
        <v>2007/08</v>
      </c>
      <c r="T125" s="14" t="str">
        <f t="shared" si="10"/>
        <v>2008/09</v>
      </c>
      <c r="U125" s="14" t="str">
        <f t="shared" si="10"/>
        <v>2009/10</v>
      </c>
      <c r="V125" s="14" t="str">
        <f t="shared" si="10"/>
        <v>2010/11</v>
      </c>
      <c r="W125" s="14" t="str">
        <f t="shared" si="10"/>
        <v>2011/12</v>
      </c>
      <c r="X125" s="14" t="str">
        <f t="shared" si="10"/>
        <v>2012/13</v>
      </c>
      <c r="Y125" s="14" t="str">
        <f t="shared" si="10"/>
        <v>2013/14</v>
      </c>
      <c r="Z125" s="14" t="str">
        <f t="shared" si="10"/>
        <v>2014/15</v>
      </c>
      <c r="AA125" s="14" t="str">
        <f t="shared" si="10"/>
        <v>2015/16</v>
      </c>
      <c r="AB125" s="14" t="str">
        <f t="shared" si="10"/>
        <v>2016/17</v>
      </c>
      <c r="AC125" s="14" t="str">
        <f t="shared" si="10"/>
        <v>2017/18</v>
      </c>
      <c r="AD125" s="14" t="str">
        <f t="shared" si="10"/>
        <v>2018/19</v>
      </c>
      <c r="AE125" s="14" t="str">
        <f t="shared" si="10"/>
        <v>2019/20</v>
      </c>
      <c r="AF125" s="14" t="str">
        <f t="shared" si="10"/>
        <v>2020/21</v>
      </c>
      <c r="AG125" s="14" t="str">
        <f t="shared" si="10"/>
        <v>2021/22</v>
      </c>
      <c r="AH125" s="14" t="str">
        <f t="shared" si="10"/>
        <v>2022/23</v>
      </c>
      <c r="AI125" s="14" t="str">
        <f t="shared" si="10"/>
        <v>2023/24</v>
      </c>
      <c r="AJ125" s="14" t="str">
        <f t="shared" si="10"/>
        <v>2024/25</v>
      </c>
      <c r="AK125" s="14" t="str">
        <f t="shared" si="10"/>
        <v>2025/26</v>
      </c>
      <c r="AL125" s="14" t="str">
        <f t="shared" si="10"/>
        <v>2026/27</v>
      </c>
      <c r="AM125" s="14" t="str">
        <f t="shared" si="10"/>
        <v>2027/28</v>
      </c>
      <c r="AN125" s="14" t="str">
        <f t="shared" si="10"/>
        <v>2028/29</v>
      </c>
      <c r="AO125" s="14" t="str">
        <f t="shared" si="10"/>
        <v>2029/30</v>
      </c>
      <c r="AP125" s="14" t="str">
        <f t="shared" si="10"/>
        <v>2030/31</v>
      </c>
      <c r="AQ125" s="14" t="str">
        <f t="shared" si="10"/>
        <v>2031/32</v>
      </c>
      <c r="AR125" s="14" t="str">
        <f t="shared" si="10"/>
        <v>2032/33</v>
      </c>
      <c r="AS125" s="14" t="str">
        <f t="shared" si="10"/>
        <v>2033/34</v>
      </c>
      <c r="AT125" s="14" t="str">
        <f t="shared" si="10"/>
        <v>2034/35</v>
      </c>
      <c r="AU125" s="14" t="str">
        <f t="shared" si="10"/>
        <v>2035/36</v>
      </c>
      <c r="AV125" s="14" t="str">
        <f t="shared" si="10"/>
        <v>2036/37</v>
      </c>
      <c r="AW125" s="14" t="str">
        <f t="shared" si="10"/>
        <v>2037/38</v>
      </c>
      <c r="AX125" s="14" t="str">
        <f t="shared" si="10"/>
        <v>2038/39</v>
      </c>
      <c r="AY125" s="14" t="str">
        <f t="shared" si="10"/>
        <v>2039/40</v>
      </c>
      <c r="AZ125" s="14" t="str">
        <f t="shared" si="10"/>
        <v>2040/41</v>
      </c>
      <c r="BA125" s="14" t="str">
        <f t="shared" si="10"/>
        <v>2041/42</v>
      </c>
      <c r="BB125" s="14" t="str">
        <f t="shared" si="10"/>
        <v>2042/43</v>
      </c>
      <c r="BC125" s="14" t="str">
        <f t="shared" si="10"/>
        <v>2043/44</v>
      </c>
      <c r="BD125" s="14" t="str">
        <f t="shared" si="10"/>
        <v>2044/45</v>
      </c>
      <c r="BE125" s="14" t="str">
        <f t="shared" si="10"/>
        <v>2045/46</v>
      </c>
    </row>
    <row r="126" spans="1:57" x14ac:dyDescent="0.25">
      <c r="A126" s="2" t="s">
        <v>79</v>
      </c>
    </row>
    <row r="127" spans="1:57" x14ac:dyDescent="0.25">
      <c r="A127" s="2" t="s">
        <v>80</v>
      </c>
    </row>
    <row r="128" spans="1:57" x14ac:dyDescent="0.25">
      <c r="A128" s="2" t="s">
        <v>81</v>
      </c>
    </row>
    <row r="129" spans="1:57" x14ac:dyDescent="0.25">
      <c r="A129" s="2" t="s">
        <v>82</v>
      </c>
    </row>
    <row r="130" spans="1:57" x14ac:dyDescent="0.25">
      <c r="A130" s="2" t="s">
        <v>83</v>
      </c>
    </row>
    <row r="131" spans="1:57" x14ac:dyDescent="0.25">
      <c r="A131" s="2" t="s">
        <v>84</v>
      </c>
    </row>
    <row r="132" spans="1:57" x14ac:dyDescent="0.25">
      <c r="A132" s="2" t="s">
        <v>85</v>
      </c>
    </row>
    <row r="133" spans="1:57" x14ac:dyDescent="0.25">
      <c r="A133" s="2" t="s">
        <v>86</v>
      </c>
    </row>
    <row r="134" spans="1:57" x14ac:dyDescent="0.25">
      <c r="A134" s="2" t="s">
        <v>87</v>
      </c>
    </row>
    <row r="135" spans="1:57" x14ac:dyDescent="0.25">
      <c r="A135" s="2" t="s">
        <v>88</v>
      </c>
    </row>
    <row r="136" spans="1:57" x14ac:dyDescent="0.25">
      <c r="A136" s="2" t="s">
        <v>89</v>
      </c>
    </row>
    <row r="137" spans="1:57" x14ac:dyDescent="0.25">
      <c r="A137" s="2" t="s">
        <v>78</v>
      </c>
    </row>
    <row r="138" spans="1:57" ht="15.75" thickBot="1" x14ac:dyDescent="0.3">
      <c r="A138" s="15" t="s">
        <v>90</v>
      </c>
      <c r="B138" s="15"/>
      <c r="C138" s="15"/>
      <c r="D138" s="15"/>
      <c r="E138" s="15"/>
      <c r="F138" s="15"/>
      <c r="G138" s="15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</row>
    <row r="139" spans="1:57" x14ac:dyDescent="0.25">
      <c r="A139" s="17"/>
      <c r="B139" s="17"/>
      <c r="C139" s="17"/>
      <c r="D139" s="17"/>
      <c r="E139" s="17"/>
      <c r="F139" s="17"/>
      <c r="G139" s="1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</row>
    <row r="140" spans="1:57" ht="15.75" thickBot="1" x14ac:dyDescent="0.3">
      <c r="A140" s="11" t="s">
        <v>137</v>
      </c>
    </row>
    <row r="141" spans="1:57" ht="15.75" thickBot="1" x14ac:dyDescent="0.3">
      <c r="A141" s="12" t="s">
        <v>130</v>
      </c>
      <c r="B141" s="13">
        <f>B120</f>
        <v>0</v>
      </c>
      <c r="C141" s="13"/>
      <c r="D141" s="13"/>
      <c r="E141" s="13"/>
      <c r="F141" s="14">
        <f t="shared" ref="F141:G141" si="11">F104</f>
        <v>0</v>
      </c>
      <c r="G141" s="14">
        <f t="shared" si="11"/>
        <v>0</v>
      </c>
      <c r="H141" s="14" t="str">
        <f>H3</f>
        <v>1996/97</v>
      </c>
      <c r="I141" s="14" t="str">
        <f t="shared" ref="I141:BE141" si="12">I3</f>
        <v>1997/98</v>
      </c>
      <c r="J141" s="14" t="str">
        <f t="shared" si="12"/>
        <v>1998/99</v>
      </c>
      <c r="K141" s="14" t="str">
        <f t="shared" si="12"/>
        <v>1999/00</v>
      </c>
      <c r="L141" s="14" t="str">
        <f t="shared" si="12"/>
        <v>2000/01</v>
      </c>
      <c r="M141" s="14" t="str">
        <f t="shared" si="12"/>
        <v>2001/02</v>
      </c>
      <c r="N141" s="14" t="str">
        <f t="shared" si="12"/>
        <v>2002/03</v>
      </c>
      <c r="O141" s="14" t="str">
        <f t="shared" si="12"/>
        <v>2003/04</v>
      </c>
      <c r="P141" s="14" t="str">
        <f t="shared" si="12"/>
        <v>2004/05</v>
      </c>
      <c r="Q141" s="14" t="str">
        <f t="shared" si="12"/>
        <v>2005/06</v>
      </c>
      <c r="R141" s="14" t="str">
        <f t="shared" si="12"/>
        <v>2006/07</v>
      </c>
      <c r="S141" s="14" t="str">
        <f t="shared" si="12"/>
        <v>2007/08</v>
      </c>
      <c r="T141" s="14" t="str">
        <f t="shared" si="12"/>
        <v>2008/09</v>
      </c>
      <c r="U141" s="14" t="str">
        <f t="shared" si="12"/>
        <v>2009/10</v>
      </c>
      <c r="V141" s="14" t="str">
        <f t="shared" si="12"/>
        <v>2010/11</v>
      </c>
      <c r="W141" s="14" t="str">
        <f t="shared" si="12"/>
        <v>2011/12</v>
      </c>
      <c r="X141" s="14" t="str">
        <f t="shared" si="12"/>
        <v>2012/13</v>
      </c>
      <c r="Y141" s="14" t="str">
        <f t="shared" si="12"/>
        <v>2013/14</v>
      </c>
      <c r="Z141" s="14" t="str">
        <f t="shared" si="12"/>
        <v>2014/15</v>
      </c>
      <c r="AA141" s="14" t="str">
        <f t="shared" si="12"/>
        <v>2015/16</v>
      </c>
      <c r="AB141" s="14" t="str">
        <f t="shared" si="12"/>
        <v>2016/17</v>
      </c>
      <c r="AC141" s="14" t="str">
        <f t="shared" si="12"/>
        <v>2017/18</v>
      </c>
      <c r="AD141" s="14" t="str">
        <f t="shared" si="12"/>
        <v>2018/19</v>
      </c>
      <c r="AE141" s="14" t="str">
        <f t="shared" si="12"/>
        <v>2019/20</v>
      </c>
      <c r="AF141" s="14" t="str">
        <f t="shared" si="12"/>
        <v>2020/21</v>
      </c>
      <c r="AG141" s="14" t="str">
        <f t="shared" si="12"/>
        <v>2021/22</v>
      </c>
      <c r="AH141" s="14" t="str">
        <f t="shared" si="12"/>
        <v>2022/23</v>
      </c>
      <c r="AI141" s="14" t="str">
        <f t="shared" si="12"/>
        <v>2023/24</v>
      </c>
      <c r="AJ141" s="14" t="str">
        <f t="shared" si="12"/>
        <v>2024/25</v>
      </c>
      <c r="AK141" s="14" t="str">
        <f t="shared" si="12"/>
        <v>2025/26</v>
      </c>
      <c r="AL141" s="14" t="str">
        <f t="shared" si="12"/>
        <v>2026/27</v>
      </c>
      <c r="AM141" s="14" t="str">
        <f t="shared" si="12"/>
        <v>2027/28</v>
      </c>
      <c r="AN141" s="14" t="str">
        <f t="shared" si="12"/>
        <v>2028/29</v>
      </c>
      <c r="AO141" s="14" t="str">
        <f t="shared" si="12"/>
        <v>2029/30</v>
      </c>
      <c r="AP141" s="14" t="str">
        <f t="shared" si="12"/>
        <v>2030/31</v>
      </c>
      <c r="AQ141" s="14" t="str">
        <f t="shared" si="12"/>
        <v>2031/32</v>
      </c>
      <c r="AR141" s="14" t="str">
        <f t="shared" si="12"/>
        <v>2032/33</v>
      </c>
      <c r="AS141" s="14" t="str">
        <f t="shared" si="12"/>
        <v>2033/34</v>
      </c>
      <c r="AT141" s="14" t="str">
        <f t="shared" si="12"/>
        <v>2034/35</v>
      </c>
      <c r="AU141" s="14" t="str">
        <f t="shared" si="12"/>
        <v>2035/36</v>
      </c>
      <c r="AV141" s="14" t="str">
        <f t="shared" si="12"/>
        <v>2036/37</v>
      </c>
      <c r="AW141" s="14" t="str">
        <f t="shared" si="12"/>
        <v>2037/38</v>
      </c>
      <c r="AX141" s="14" t="str">
        <f t="shared" si="12"/>
        <v>2038/39</v>
      </c>
      <c r="AY141" s="14" t="str">
        <f t="shared" si="12"/>
        <v>2039/40</v>
      </c>
      <c r="AZ141" s="14" t="str">
        <f t="shared" si="12"/>
        <v>2040/41</v>
      </c>
      <c r="BA141" s="14" t="str">
        <f t="shared" si="12"/>
        <v>2041/42</v>
      </c>
      <c r="BB141" s="14" t="str">
        <f t="shared" si="12"/>
        <v>2042/43</v>
      </c>
      <c r="BC141" s="14" t="str">
        <f t="shared" si="12"/>
        <v>2043/44</v>
      </c>
      <c r="BD141" s="14" t="str">
        <f t="shared" si="12"/>
        <v>2044/45</v>
      </c>
      <c r="BE141" s="14" t="str">
        <f t="shared" si="12"/>
        <v>2045/46</v>
      </c>
    </row>
    <row r="142" spans="1:57" x14ac:dyDescent="0.25">
      <c r="A142" s="2" t="s">
        <v>79</v>
      </c>
    </row>
    <row r="143" spans="1:57" x14ac:dyDescent="0.25">
      <c r="A143" s="2" t="s">
        <v>80</v>
      </c>
    </row>
    <row r="144" spans="1:57" x14ac:dyDescent="0.25">
      <c r="A144" s="2" t="s">
        <v>81</v>
      </c>
    </row>
    <row r="145" spans="1:57" x14ac:dyDescent="0.25">
      <c r="A145" s="2" t="s">
        <v>82</v>
      </c>
    </row>
    <row r="146" spans="1:57" x14ac:dyDescent="0.25">
      <c r="A146" s="2" t="s">
        <v>83</v>
      </c>
    </row>
    <row r="147" spans="1:57" x14ac:dyDescent="0.25">
      <c r="A147" s="2" t="s">
        <v>84</v>
      </c>
    </row>
    <row r="148" spans="1:57" x14ac:dyDescent="0.25">
      <c r="A148" s="2" t="s">
        <v>85</v>
      </c>
    </row>
    <row r="149" spans="1:57" x14ac:dyDescent="0.25">
      <c r="A149" s="2" t="s">
        <v>86</v>
      </c>
    </row>
    <row r="150" spans="1:57" x14ac:dyDescent="0.25">
      <c r="A150" s="2" t="s">
        <v>87</v>
      </c>
    </row>
    <row r="151" spans="1:57" x14ac:dyDescent="0.25">
      <c r="A151" s="2" t="s">
        <v>88</v>
      </c>
    </row>
    <row r="152" spans="1:57" x14ac:dyDescent="0.25">
      <c r="A152" s="2" t="s">
        <v>89</v>
      </c>
    </row>
    <row r="153" spans="1:57" x14ac:dyDescent="0.25">
      <c r="A153" s="2" t="s">
        <v>78</v>
      </c>
    </row>
    <row r="154" spans="1:57" ht="15.75" thickBot="1" x14ac:dyDescent="0.3">
      <c r="A154" s="15" t="s">
        <v>90</v>
      </c>
      <c r="B154" s="15"/>
      <c r="C154" s="15"/>
      <c r="D154" s="15"/>
      <c r="E154" s="15"/>
      <c r="F154" s="15"/>
      <c r="G154" s="15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</row>
    <row r="155" spans="1:57" x14ac:dyDescent="0.25">
      <c r="A155" s="17"/>
      <c r="B155" s="17"/>
      <c r="C155" s="17"/>
      <c r="D155" s="17"/>
      <c r="E155" s="17"/>
      <c r="F155" s="17"/>
      <c r="G155" s="1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</row>
    <row r="156" spans="1:57" ht="15.75" thickBot="1" x14ac:dyDescent="0.3">
      <c r="A156" s="11" t="s">
        <v>138</v>
      </c>
    </row>
    <row r="157" spans="1:57" ht="15.75" thickBot="1" x14ac:dyDescent="0.3">
      <c r="A157" s="12" t="s">
        <v>130</v>
      </c>
      <c r="B157" s="13">
        <f>B136</f>
        <v>0</v>
      </c>
      <c r="C157" s="13"/>
      <c r="D157" s="13"/>
      <c r="E157" s="13"/>
      <c r="F157" s="14">
        <f t="shared" ref="F157:G157" si="13">F120</f>
        <v>0</v>
      </c>
      <c r="G157" s="14">
        <f t="shared" si="13"/>
        <v>0</v>
      </c>
      <c r="H157" s="14" t="str">
        <f>H3</f>
        <v>1996/97</v>
      </c>
      <c r="I157" s="14" t="str">
        <f t="shared" ref="I157:BE157" si="14">I3</f>
        <v>1997/98</v>
      </c>
      <c r="J157" s="14" t="str">
        <f t="shared" si="14"/>
        <v>1998/99</v>
      </c>
      <c r="K157" s="14" t="str">
        <f t="shared" si="14"/>
        <v>1999/00</v>
      </c>
      <c r="L157" s="14" t="str">
        <f t="shared" si="14"/>
        <v>2000/01</v>
      </c>
      <c r="M157" s="14" t="str">
        <f t="shared" si="14"/>
        <v>2001/02</v>
      </c>
      <c r="N157" s="14" t="str">
        <f t="shared" si="14"/>
        <v>2002/03</v>
      </c>
      <c r="O157" s="14" t="str">
        <f t="shared" si="14"/>
        <v>2003/04</v>
      </c>
      <c r="P157" s="14" t="str">
        <f t="shared" si="14"/>
        <v>2004/05</v>
      </c>
      <c r="Q157" s="14" t="str">
        <f t="shared" si="14"/>
        <v>2005/06</v>
      </c>
      <c r="R157" s="14" t="str">
        <f t="shared" si="14"/>
        <v>2006/07</v>
      </c>
      <c r="S157" s="14" t="str">
        <f t="shared" si="14"/>
        <v>2007/08</v>
      </c>
      <c r="T157" s="14" t="str">
        <f t="shared" si="14"/>
        <v>2008/09</v>
      </c>
      <c r="U157" s="14" t="str">
        <f t="shared" si="14"/>
        <v>2009/10</v>
      </c>
      <c r="V157" s="14" t="str">
        <f t="shared" si="14"/>
        <v>2010/11</v>
      </c>
      <c r="W157" s="14" t="str">
        <f t="shared" si="14"/>
        <v>2011/12</v>
      </c>
      <c r="X157" s="14" t="str">
        <f t="shared" si="14"/>
        <v>2012/13</v>
      </c>
      <c r="Y157" s="14" t="str">
        <f t="shared" si="14"/>
        <v>2013/14</v>
      </c>
      <c r="Z157" s="14" t="str">
        <f t="shared" si="14"/>
        <v>2014/15</v>
      </c>
      <c r="AA157" s="14" t="str">
        <f t="shared" si="14"/>
        <v>2015/16</v>
      </c>
      <c r="AB157" s="14" t="str">
        <f t="shared" si="14"/>
        <v>2016/17</v>
      </c>
      <c r="AC157" s="14" t="str">
        <f t="shared" si="14"/>
        <v>2017/18</v>
      </c>
      <c r="AD157" s="14" t="str">
        <f t="shared" si="14"/>
        <v>2018/19</v>
      </c>
      <c r="AE157" s="14" t="str">
        <f t="shared" si="14"/>
        <v>2019/20</v>
      </c>
      <c r="AF157" s="14" t="str">
        <f t="shared" si="14"/>
        <v>2020/21</v>
      </c>
      <c r="AG157" s="14" t="str">
        <f t="shared" si="14"/>
        <v>2021/22</v>
      </c>
      <c r="AH157" s="14" t="str">
        <f t="shared" si="14"/>
        <v>2022/23</v>
      </c>
      <c r="AI157" s="14" t="str">
        <f t="shared" si="14"/>
        <v>2023/24</v>
      </c>
      <c r="AJ157" s="14" t="str">
        <f t="shared" si="14"/>
        <v>2024/25</v>
      </c>
      <c r="AK157" s="14" t="str">
        <f t="shared" si="14"/>
        <v>2025/26</v>
      </c>
      <c r="AL157" s="14" t="str">
        <f t="shared" si="14"/>
        <v>2026/27</v>
      </c>
      <c r="AM157" s="14" t="str">
        <f t="shared" si="14"/>
        <v>2027/28</v>
      </c>
      <c r="AN157" s="14" t="str">
        <f t="shared" si="14"/>
        <v>2028/29</v>
      </c>
      <c r="AO157" s="14" t="str">
        <f t="shared" si="14"/>
        <v>2029/30</v>
      </c>
      <c r="AP157" s="14" t="str">
        <f t="shared" si="14"/>
        <v>2030/31</v>
      </c>
      <c r="AQ157" s="14" t="str">
        <f t="shared" si="14"/>
        <v>2031/32</v>
      </c>
      <c r="AR157" s="14" t="str">
        <f t="shared" si="14"/>
        <v>2032/33</v>
      </c>
      <c r="AS157" s="14" t="str">
        <f t="shared" si="14"/>
        <v>2033/34</v>
      </c>
      <c r="AT157" s="14" t="str">
        <f t="shared" si="14"/>
        <v>2034/35</v>
      </c>
      <c r="AU157" s="14" t="str">
        <f t="shared" si="14"/>
        <v>2035/36</v>
      </c>
      <c r="AV157" s="14" t="str">
        <f t="shared" si="14"/>
        <v>2036/37</v>
      </c>
      <c r="AW157" s="14" t="str">
        <f t="shared" si="14"/>
        <v>2037/38</v>
      </c>
      <c r="AX157" s="14" t="str">
        <f t="shared" si="14"/>
        <v>2038/39</v>
      </c>
      <c r="AY157" s="14" t="str">
        <f t="shared" si="14"/>
        <v>2039/40</v>
      </c>
      <c r="AZ157" s="14" t="str">
        <f t="shared" si="14"/>
        <v>2040/41</v>
      </c>
      <c r="BA157" s="14" t="str">
        <f t="shared" si="14"/>
        <v>2041/42</v>
      </c>
      <c r="BB157" s="14" t="str">
        <f t="shared" si="14"/>
        <v>2042/43</v>
      </c>
      <c r="BC157" s="14" t="str">
        <f t="shared" si="14"/>
        <v>2043/44</v>
      </c>
      <c r="BD157" s="14" t="str">
        <f t="shared" si="14"/>
        <v>2044/45</v>
      </c>
      <c r="BE157" s="14" t="str">
        <f t="shared" si="14"/>
        <v>2045/46</v>
      </c>
    </row>
    <row r="158" spans="1:57" x14ac:dyDescent="0.25">
      <c r="A158" s="2" t="s">
        <v>79</v>
      </c>
    </row>
    <row r="159" spans="1:57" x14ac:dyDescent="0.25">
      <c r="A159" s="2" t="s">
        <v>80</v>
      </c>
    </row>
    <row r="160" spans="1:57" x14ac:dyDescent="0.25">
      <c r="A160" s="2" t="s">
        <v>81</v>
      </c>
    </row>
    <row r="161" spans="1:57" x14ac:dyDescent="0.25">
      <c r="A161" s="2" t="s">
        <v>82</v>
      </c>
    </row>
    <row r="162" spans="1:57" x14ac:dyDescent="0.25">
      <c r="A162" s="2" t="s">
        <v>83</v>
      </c>
    </row>
    <row r="163" spans="1:57" x14ac:dyDescent="0.25">
      <c r="A163" s="2" t="s">
        <v>84</v>
      </c>
    </row>
    <row r="164" spans="1:57" x14ac:dyDescent="0.25">
      <c r="A164" s="2" t="s">
        <v>85</v>
      </c>
    </row>
    <row r="165" spans="1:57" x14ac:dyDescent="0.25">
      <c r="A165" s="2" t="s">
        <v>86</v>
      </c>
    </row>
    <row r="166" spans="1:57" x14ac:dyDescent="0.25">
      <c r="A166" s="2" t="s">
        <v>87</v>
      </c>
    </row>
    <row r="167" spans="1:57" x14ac:dyDescent="0.25">
      <c r="A167" s="2" t="s">
        <v>88</v>
      </c>
    </row>
    <row r="168" spans="1:57" x14ac:dyDescent="0.25">
      <c r="A168" s="2" t="s">
        <v>89</v>
      </c>
    </row>
    <row r="169" spans="1:57" x14ac:dyDescent="0.25">
      <c r="A169" s="2" t="s">
        <v>78</v>
      </c>
    </row>
    <row r="170" spans="1:57" ht="15.75" thickBot="1" x14ac:dyDescent="0.3">
      <c r="A170" s="15" t="s">
        <v>90</v>
      </c>
      <c r="B170" s="15"/>
      <c r="C170" s="15"/>
      <c r="D170" s="15"/>
      <c r="E170" s="15"/>
      <c r="F170" s="15"/>
      <c r="G170" s="15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</row>
    <row r="171" spans="1:57" x14ac:dyDescent="0.25">
      <c r="A171" s="17"/>
      <c r="B171" s="17"/>
      <c r="C171" s="17"/>
      <c r="D171" s="17"/>
      <c r="E171" s="17"/>
      <c r="F171" s="17"/>
      <c r="G171" s="1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</row>
    <row r="172" spans="1:57" ht="15.75" thickBot="1" x14ac:dyDescent="0.3">
      <c r="A172" s="11" t="s">
        <v>139</v>
      </c>
    </row>
    <row r="173" spans="1:57" ht="15.75" thickBot="1" x14ac:dyDescent="0.3">
      <c r="A173" s="12" t="s">
        <v>130</v>
      </c>
      <c r="B173" s="13">
        <f>B40</f>
        <v>0</v>
      </c>
      <c r="C173" s="13"/>
      <c r="D173" s="13"/>
      <c r="E173" s="13"/>
      <c r="F173" s="14">
        <f t="shared" ref="F173:G173" si="15">F24</f>
        <v>0</v>
      </c>
      <c r="G173" s="14">
        <f t="shared" si="15"/>
        <v>0</v>
      </c>
      <c r="H173" s="14" t="str">
        <f>H3</f>
        <v>1996/97</v>
      </c>
      <c r="I173" s="14" t="str">
        <f t="shared" ref="I173:BE173" si="16">I3</f>
        <v>1997/98</v>
      </c>
      <c r="J173" s="14" t="str">
        <f t="shared" si="16"/>
        <v>1998/99</v>
      </c>
      <c r="K173" s="14" t="str">
        <f t="shared" si="16"/>
        <v>1999/00</v>
      </c>
      <c r="L173" s="14" t="str">
        <f t="shared" si="16"/>
        <v>2000/01</v>
      </c>
      <c r="M173" s="14" t="str">
        <f t="shared" si="16"/>
        <v>2001/02</v>
      </c>
      <c r="N173" s="14" t="str">
        <f t="shared" si="16"/>
        <v>2002/03</v>
      </c>
      <c r="O173" s="14" t="str">
        <f t="shared" si="16"/>
        <v>2003/04</v>
      </c>
      <c r="P173" s="14" t="str">
        <f t="shared" si="16"/>
        <v>2004/05</v>
      </c>
      <c r="Q173" s="14" t="str">
        <f t="shared" si="16"/>
        <v>2005/06</v>
      </c>
      <c r="R173" s="14" t="str">
        <f t="shared" si="16"/>
        <v>2006/07</v>
      </c>
      <c r="S173" s="14" t="str">
        <f t="shared" si="16"/>
        <v>2007/08</v>
      </c>
      <c r="T173" s="14" t="str">
        <f t="shared" si="16"/>
        <v>2008/09</v>
      </c>
      <c r="U173" s="14" t="str">
        <f t="shared" si="16"/>
        <v>2009/10</v>
      </c>
      <c r="V173" s="14" t="str">
        <f t="shared" si="16"/>
        <v>2010/11</v>
      </c>
      <c r="W173" s="14" t="str">
        <f t="shared" si="16"/>
        <v>2011/12</v>
      </c>
      <c r="X173" s="14" t="str">
        <f t="shared" si="16"/>
        <v>2012/13</v>
      </c>
      <c r="Y173" s="14" t="str">
        <f t="shared" si="16"/>
        <v>2013/14</v>
      </c>
      <c r="Z173" s="14" t="str">
        <f t="shared" si="16"/>
        <v>2014/15</v>
      </c>
      <c r="AA173" s="14" t="str">
        <f t="shared" si="16"/>
        <v>2015/16</v>
      </c>
      <c r="AB173" s="14" t="str">
        <f t="shared" si="16"/>
        <v>2016/17</v>
      </c>
      <c r="AC173" s="14" t="str">
        <f t="shared" si="16"/>
        <v>2017/18</v>
      </c>
      <c r="AD173" s="14" t="str">
        <f t="shared" si="16"/>
        <v>2018/19</v>
      </c>
      <c r="AE173" s="14" t="str">
        <f t="shared" si="16"/>
        <v>2019/20</v>
      </c>
      <c r="AF173" s="14" t="str">
        <f t="shared" si="16"/>
        <v>2020/21</v>
      </c>
      <c r="AG173" s="14" t="str">
        <f t="shared" si="16"/>
        <v>2021/22</v>
      </c>
      <c r="AH173" s="14" t="str">
        <f t="shared" si="16"/>
        <v>2022/23</v>
      </c>
      <c r="AI173" s="14" t="str">
        <f t="shared" si="16"/>
        <v>2023/24</v>
      </c>
      <c r="AJ173" s="14" t="str">
        <f t="shared" si="16"/>
        <v>2024/25</v>
      </c>
      <c r="AK173" s="14" t="str">
        <f t="shared" si="16"/>
        <v>2025/26</v>
      </c>
      <c r="AL173" s="14" t="str">
        <f t="shared" si="16"/>
        <v>2026/27</v>
      </c>
      <c r="AM173" s="14" t="str">
        <f t="shared" si="16"/>
        <v>2027/28</v>
      </c>
      <c r="AN173" s="14" t="str">
        <f t="shared" si="16"/>
        <v>2028/29</v>
      </c>
      <c r="AO173" s="14" t="str">
        <f t="shared" si="16"/>
        <v>2029/30</v>
      </c>
      <c r="AP173" s="14" t="str">
        <f t="shared" si="16"/>
        <v>2030/31</v>
      </c>
      <c r="AQ173" s="14" t="str">
        <f t="shared" si="16"/>
        <v>2031/32</v>
      </c>
      <c r="AR173" s="14" t="str">
        <f t="shared" si="16"/>
        <v>2032/33</v>
      </c>
      <c r="AS173" s="14" t="str">
        <f t="shared" si="16"/>
        <v>2033/34</v>
      </c>
      <c r="AT173" s="14" t="str">
        <f t="shared" si="16"/>
        <v>2034/35</v>
      </c>
      <c r="AU173" s="14" t="str">
        <f t="shared" si="16"/>
        <v>2035/36</v>
      </c>
      <c r="AV173" s="14" t="str">
        <f t="shared" si="16"/>
        <v>2036/37</v>
      </c>
      <c r="AW173" s="14" t="str">
        <f t="shared" si="16"/>
        <v>2037/38</v>
      </c>
      <c r="AX173" s="14" t="str">
        <f t="shared" si="16"/>
        <v>2038/39</v>
      </c>
      <c r="AY173" s="14" t="str">
        <f t="shared" si="16"/>
        <v>2039/40</v>
      </c>
      <c r="AZ173" s="14" t="str">
        <f t="shared" si="16"/>
        <v>2040/41</v>
      </c>
      <c r="BA173" s="14" t="str">
        <f t="shared" si="16"/>
        <v>2041/42</v>
      </c>
      <c r="BB173" s="14" t="str">
        <f t="shared" si="16"/>
        <v>2042/43</v>
      </c>
      <c r="BC173" s="14" t="str">
        <f t="shared" si="16"/>
        <v>2043/44</v>
      </c>
      <c r="BD173" s="14" t="str">
        <f t="shared" si="16"/>
        <v>2044/45</v>
      </c>
      <c r="BE173" s="14" t="str">
        <f t="shared" si="16"/>
        <v>2045/46</v>
      </c>
    </row>
    <row r="174" spans="1:57" x14ac:dyDescent="0.25">
      <c r="A174" s="2" t="s">
        <v>78</v>
      </c>
    </row>
    <row r="175" spans="1:57" x14ac:dyDescent="0.25">
      <c r="A175" s="2" t="s">
        <v>79</v>
      </c>
    </row>
    <row r="176" spans="1:57" x14ac:dyDescent="0.25">
      <c r="A176" s="2" t="s">
        <v>80</v>
      </c>
    </row>
    <row r="177" spans="1:57" x14ac:dyDescent="0.25">
      <c r="A177" s="2" t="s">
        <v>81</v>
      </c>
    </row>
    <row r="178" spans="1:57" x14ac:dyDescent="0.25">
      <c r="A178" s="2" t="s">
        <v>82</v>
      </c>
    </row>
    <row r="179" spans="1:57" x14ac:dyDescent="0.25">
      <c r="A179" s="2" t="s">
        <v>83</v>
      </c>
    </row>
    <row r="180" spans="1:57" x14ac:dyDescent="0.25">
      <c r="A180" s="2" t="s">
        <v>84</v>
      </c>
    </row>
    <row r="181" spans="1:57" x14ac:dyDescent="0.25">
      <c r="A181" s="2" t="s">
        <v>85</v>
      </c>
    </row>
    <row r="182" spans="1:57" x14ac:dyDescent="0.25">
      <c r="A182" s="2" t="s">
        <v>86</v>
      </c>
    </row>
    <row r="183" spans="1:57" x14ac:dyDescent="0.25">
      <c r="A183" s="2" t="s">
        <v>87</v>
      </c>
    </row>
    <row r="184" spans="1:57" x14ac:dyDescent="0.25">
      <c r="A184" s="2" t="s">
        <v>88</v>
      </c>
    </row>
    <row r="185" spans="1:57" x14ac:dyDescent="0.25">
      <c r="A185" s="2" t="s">
        <v>89</v>
      </c>
    </row>
    <row r="186" spans="1:57" ht="15.75" thickBot="1" x14ac:dyDescent="0.3">
      <c r="A186" s="15" t="s">
        <v>90</v>
      </c>
      <c r="B186" s="15"/>
      <c r="C186" s="15"/>
      <c r="D186" s="15"/>
      <c r="E186" s="15"/>
      <c r="F186" s="15"/>
      <c r="G186" s="15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</row>
    <row r="187" spans="1:57" x14ac:dyDescent="0.25">
      <c r="A187" s="17"/>
      <c r="B187" s="17"/>
      <c r="C187" s="17"/>
      <c r="D187" s="17"/>
      <c r="E187" s="17"/>
      <c r="F187" s="17"/>
      <c r="G187" s="1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</row>
    <row r="188" spans="1:57" ht="15.75" thickBot="1" x14ac:dyDescent="0.3">
      <c r="A188" s="11" t="s">
        <v>140</v>
      </c>
    </row>
    <row r="189" spans="1:57" ht="15.75" thickBot="1" x14ac:dyDescent="0.3">
      <c r="A189" s="12" t="s">
        <v>130</v>
      </c>
      <c r="B189" s="13">
        <f>B72</f>
        <v>0</v>
      </c>
      <c r="C189" s="13"/>
      <c r="D189" s="13"/>
      <c r="E189" s="13"/>
      <c r="F189" s="14">
        <f t="shared" ref="F189:G189" si="17">F40</f>
        <v>0</v>
      </c>
      <c r="G189" s="14">
        <f t="shared" si="17"/>
        <v>0</v>
      </c>
      <c r="H189" s="14" t="str">
        <f>H3</f>
        <v>1996/97</v>
      </c>
      <c r="I189" s="14" t="str">
        <f t="shared" ref="I189:BE189" si="18">I3</f>
        <v>1997/98</v>
      </c>
      <c r="J189" s="14" t="str">
        <f t="shared" si="18"/>
        <v>1998/99</v>
      </c>
      <c r="K189" s="14" t="str">
        <f t="shared" si="18"/>
        <v>1999/00</v>
      </c>
      <c r="L189" s="14" t="str">
        <f t="shared" si="18"/>
        <v>2000/01</v>
      </c>
      <c r="M189" s="14" t="str">
        <f t="shared" si="18"/>
        <v>2001/02</v>
      </c>
      <c r="N189" s="14" t="str">
        <f t="shared" si="18"/>
        <v>2002/03</v>
      </c>
      <c r="O189" s="14" t="str">
        <f t="shared" si="18"/>
        <v>2003/04</v>
      </c>
      <c r="P189" s="14" t="str">
        <f t="shared" si="18"/>
        <v>2004/05</v>
      </c>
      <c r="Q189" s="14" t="str">
        <f t="shared" si="18"/>
        <v>2005/06</v>
      </c>
      <c r="R189" s="14" t="str">
        <f t="shared" si="18"/>
        <v>2006/07</v>
      </c>
      <c r="S189" s="14" t="str">
        <f t="shared" si="18"/>
        <v>2007/08</v>
      </c>
      <c r="T189" s="14" t="str">
        <f t="shared" si="18"/>
        <v>2008/09</v>
      </c>
      <c r="U189" s="14" t="str">
        <f t="shared" si="18"/>
        <v>2009/10</v>
      </c>
      <c r="V189" s="14" t="str">
        <f t="shared" si="18"/>
        <v>2010/11</v>
      </c>
      <c r="W189" s="14" t="str">
        <f t="shared" si="18"/>
        <v>2011/12</v>
      </c>
      <c r="X189" s="14" t="str">
        <f t="shared" si="18"/>
        <v>2012/13</v>
      </c>
      <c r="Y189" s="14" t="str">
        <f t="shared" si="18"/>
        <v>2013/14</v>
      </c>
      <c r="Z189" s="14" t="str">
        <f t="shared" si="18"/>
        <v>2014/15</v>
      </c>
      <c r="AA189" s="14" t="str">
        <f t="shared" si="18"/>
        <v>2015/16</v>
      </c>
      <c r="AB189" s="14" t="str">
        <f t="shared" si="18"/>
        <v>2016/17</v>
      </c>
      <c r="AC189" s="14" t="str">
        <f t="shared" si="18"/>
        <v>2017/18</v>
      </c>
      <c r="AD189" s="14" t="str">
        <f t="shared" si="18"/>
        <v>2018/19</v>
      </c>
      <c r="AE189" s="14" t="str">
        <f t="shared" si="18"/>
        <v>2019/20</v>
      </c>
      <c r="AF189" s="14" t="str">
        <f t="shared" si="18"/>
        <v>2020/21</v>
      </c>
      <c r="AG189" s="14" t="str">
        <f t="shared" si="18"/>
        <v>2021/22</v>
      </c>
      <c r="AH189" s="14" t="str">
        <f t="shared" si="18"/>
        <v>2022/23</v>
      </c>
      <c r="AI189" s="14" t="str">
        <f t="shared" si="18"/>
        <v>2023/24</v>
      </c>
      <c r="AJ189" s="14" t="str">
        <f t="shared" si="18"/>
        <v>2024/25</v>
      </c>
      <c r="AK189" s="14" t="str">
        <f t="shared" si="18"/>
        <v>2025/26</v>
      </c>
      <c r="AL189" s="14" t="str">
        <f t="shared" si="18"/>
        <v>2026/27</v>
      </c>
      <c r="AM189" s="14" t="str">
        <f t="shared" si="18"/>
        <v>2027/28</v>
      </c>
      <c r="AN189" s="14" t="str">
        <f t="shared" si="18"/>
        <v>2028/29</v>
      </c>
      <c r="AO189" s="14" t="str">
        <f t="shared" si="18"/>
        <v>2029/30</v>
      </c>
      <c r="AP189" s="14" t="str">
        <f t="shared" si="18"/>
        <v>2030/31</v>
      </c>
      <c r="AQ189" s="14" t="str">
        <f t="shared" si="18"/>
        <v>2031/32</v>
      </c>
      <c r="AR189" s="14" t="str">
        <f t="shared" si="18"/>
        <v>2032/33</v>
      </c>
      <c r="AS189" s="14" t="str">
        <f t="shared" si="18"/>
        <v>2033/34</v>
      </c>
      <c r="AT189" s="14" t="str">
        <f t="shared" si="18"/>
        <v>2034/35</v>
      </c>
      <c r="AU189" s="14" t="str">
        <f t="shared" si="18"/>
        <v>2035/36</v>
      </c>
      <c r="AV189" s="14" t="str">
        <f t="shared" si="18"/>
        <v>2036/37</v>
      </c>
      <c r="AW189" s="14" t="str">
        <f t="shared" si="18"/>
        <v>2037/38</v>
      </c>
      <c r="AX189" s="14" t="str">
        <f t="shared" si="18"/>
        <v>2038/39</v>
      </c>
      <c r="AY189" s="14" t="str">
        <f t="shared" si="18"/>
        <v>2039/40</v>
      </c>
      <c r="AZ189" s="14" t="str">
        <f t="shared" si="18"/>
        <v>2040/41</v>
      </c>
      <c r="BA189" s="14" t="str">
        <f t="shared" si="18"/>
        <v>2041/42</v>
      </c>
      <c r="BB189" s="14" t="str">
        <f t="shared" si="18"/>
        <v>2042/43</v>
      </c>
      <c r="BC189" s="14" t="str">
        <f t="shared" si="18"/>
        <v>2043/44</v>
      </c>
      <c r="BD189" s="14" t="str">
        <f t="shared" si="18"/>
        <v>2044/45</v>
      </c>
      <c r="BE189" s="14" t="str">
        <f t="shared" si="18"/>
        <v>2045/46</v>
      </c>
    </row>
    <row r="190" spans="1:57" x14ac:dyDescent="0.25">
      <c r="A190" s="2" t="s">
        <v>78</v>
      </c>
    </row>
    <row r="191" spans="1:57" x14ac:dyDescent="0.25">
      <c r="A191" s="2" t="s">
        <v>79</v>
      </c>
    </row>
    <row r="192" spans="1:57" x14ac:dyDescent="0.25">
      <c r="A192" s="2" t="s">
        <v>80</v>
      </c>
    </row>
    <row r="193" spans="1:57" x14ac:dyDescent="0.25">
      <c r="A193" s="2" t="s">
        <v>81</v>
      </c>
    </row>
    <row r="194" spans="1:57" x14ac:dyDescent="0.25">
      <c r="A194" s="2" t="s">
        <v>82</v>
      </c>
    </row>
    <row r="195" spans="1:57" x14ac:dyDescent="0.25">
      <c r="A195" s="2" t="s">
        <v>83</v>
      </c>
    </row>
    <row r="196" spans="1:57" x14ac:dyDescent="0.25">
      <c r="A196" s="2" t="s">
        <v>84</v>
      </c>
    </row>
    <row r="197" spans="1:57" x14ac:dyDescent="0.25">
      <c r="A197" s="2" t="s">
        <v>85</v>
      </c>
    </row>
    <row r="198" spans="1:57" x14ac:dyDescent="0.25">
      <c r="A198" s="2" t="s">
        <v>86</v>
      </c>
    </row>
    <row r="199" spans="1:57" x14ac:dyDescent="0.25">
      <c r="A199" s="2" t="s">
        <v>87</v>
      </c>
    </row>
    <row r="200" spans="1:57" x14ac:dyDescent="0.25">
      <c r="A200" s="2" t="s">
        <v>88</v>
      </c>
    </row>
    <row r="201" spans="1:57" x14ac:dyDescent="0.25">
      <c r="A201" s="2" t="s">
        <v>89</v>
      </c>
    </row>
    <row r="202" spans="1:57" ht="15.75" thickBot="1" x14ac:dyDescent="0.3">
      <c r="A202" s="15" t="s">
        <v>90</v>
      </c>
      <c r="B202" s="15"/>
      <c r="C202" s="15"/>
      <c r="D202" s="15"/>
      <c r="E202" s="15"/>
      <c r="F202" s="15"/>
      <c r="G202" s="15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</row>
    <row r="203" spans="1:57" x14ac:dyDescent="0.25">
      <c r="A203" s="17"/>
      <c r="B203" s="17"/>
      <c r="C203" s="17"/>
      <c r="D203" s="17"/>
      <c r="E203" s="17"/>
      <c r="F203" s="17"/>
      <c r="G203" s="1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</row>
    <row r="204" spans="1:57" ht="15.75" thickBot="1" x14ac:dyDescent="0.3">
      <c r="A204" s="11" t="s">
        <v>141</v>
      </c>
    </row>
    <row r="205" spans="1:57" ht="15.75" thickBot="1" x14ac:dyDescent="0.3">
      <c r="A205" s="12" t="s">
        <v>130</v>
      </c>
      <c r="B205" s="13">
        <f>B200</f>
        <v>0</v>
      </c>
      <c r="C205" s="13"/>
      <c r="D205" s="13"/>
      <c r="E205" s="13"/>
      <c r="F205" s="14">
        <f t="shared" ref="F205:G205" si="19">F88</f>
        <v>0</v>
      </c>
      <c r="G205" s="14">
        <f t="shared" si="19"/>
        <v>0</v>
      </c>
      <c r="H205" s="14" t="str">
        <f>H3</f>
        <v>1996/97</v>
      </c>
      <c r="I205" s="14" t="str">
        <f t="shared" ref="I205:BE205" si="20">I3</f>
        <v>1997/98</v>
      </c>
      <c r="J205" s="14" t="str">
        <f t="shared" si="20"/>
        <v>1998/99</v>
      </c>
      <c r="K205" s="14" t="str">
        <f t="shared" si="20"/>
        <v>1999/00</v>
      </c>
      <c r="L205" s="14" t="str">
        <f t="shared" si="20"/>
        <v>2000/01</v>
      </c>
      <c r="M205" s="14" t="str">
        <f t="shared" si="20"/>
        <v>2001/02</v>
      </c>
      <c r="N205" s="14" t="str">
        <f t="shared" si="20"/>
        <v>2002/03</v>
      </c>
      <c r="O205" s="14" t="str">
        <f t="shared" si="20"/>
        <v>2003/04</v>
      </c>
      <c r="P205" s="14" t="str">
        <f t="shared" si="20"/>
        <v>2004/05</v>
      </c>
      <c r="Q205" s="14" t="str">
        <f t="shared" si="20"/>
        <v>2005/06</v>
      </c>
      <c r="R205" s="14" t="str">
        <f t="shared" si="20"/>
        <v>2006/07</v>
      </c>
      <c r="S205" s="14" t="str">
        <f t="shared" si="20"/>
        <v>2007/08</v>
      </c>
      <c r="T205" s="14" t="str">
        <f t="shared" si="20"/>
        <v>2008/09</v>
      </c>
      <c r="U205" s="14" t="str">
        <f t="shared" si="20"/>
        <v>2009/10</v>
      </c>
      <c r="V205" s="14" t="str">
        <f t="shared" si="20"/>
        <v>2010/11</v>
      </c>
      <c r="W205" s="14" t="str">
        <f t="shared" si="20"/>
        <v>2011/12</v>
      </c>
      <c r="X205" s="14" t="str">
        <f t="shared" si="20"/>
        <v>2012/13</v>
      </c>
      <c r="Y205" s="14" t="str">
        <f t="shared" si="20"/>
        <v>2013/14</v>
      </c>
      <c r="Z205" s="14" t="str">
        <f t="shared" si="20"/>
        <v>2014/15</v>
      </c>
      <c r="AA205" s="14" t="str">
        <f t="shared" si="20"/>
        <v>2015/16</v>
      </c>
      <c r="AB205" s="14" t="str">
        <f t="shared" si="20"/>
        <v>2016/17</v>
      </c>
      <c r="AC205" s="14" t="str">
        <f t="shared" si="20"/>
        <v>2017/18</v>
      </c>
      <c r="AD205" s="14" t="str">
        <f t="shared" si="20"/>
        <v>2018/19</v>
      </c>
      <c r="AE205" s="14" t="str">
        <f t="shared" si="20"/>
        <v>2019/20</v>
      </c>
      <c r="AF205" s="14" t="str">
        <f t="shared" si="20"/>
        <v>2020/21</v>
      </c>
      <c r="AG205" s="14" t="str">
        <f t="shared" si="20"/>
        <v>2021/22</v>
      </c>
      <c r="AH205" s="14" t="str">
        <f t="shared" si="20"/>
        <v>2022/23</v>
      </c>
      <c r="AI205" s="14" t="str">
        <f t="shared" si="20"/>
        <v>2023/24</v>
      </c>
      <c r="AJ205" s="14" t="str">
        <f t="shared" si="20"/>
        <v>2024/25</v>
      </c>
      <c r="AK205" s="14" t="str">
        <f t="shared" si="20"/>
        <v>2025/26</v>
      </c>
      <c r="AL205" s="14" t="str">
        <f t="shared" si="20"/>
        <v>2026/27</v>
      </c>
      <c r="AM205" s="14" t="str">
        <f t="shared" si="20"/>
        <v>2027/28</v>
      </c>
      <c r="AN205" s="14" t="str">
        <f t="shared" si="20"/>
        <v>2028/29</v>
      </c>
      <c r="AO205" s="14" t="str">
        <f t="shared" si="20"/>
        <v>2029/30</v>
      </c>
      <c r="AP205" s="14" t="str">
        <f t="shared" si="20"/>
        <v>2030/31</v>
      </c>
      <c r="AQ205" s="14" t="str">
        <f t="shared" si="20"/>
        <v>2031/32</v>
      </c>
      <c r="AR205" s="14" t="str">
        <f t="shared" si="20"/>
        <v>2032/33</v>
      </c>
      <c r="AS205" s="14" t="str">
        <f t="shared" si="20"/>
        <v>2033/34</v>
      </c>
      <c r="AT205" s="14" t="str">
        <f t="shared" si="20"/>
        <v>2034/35</v>
      </c>
      <c r="AU205" s="14" t="str">
        <f t="shared" si="20"/>
        <v>2035/36</v>
      </c>
      <c r="AV205" s="14" t="str">
        <f t="shared" si="20"/>
        <v>2036/37</v>
      </c>
      <c r="AW205" s="14" t="str">
        <f t="shared" si="20"/>
        <v>2037/38</v>
      </c>
      <c r="AX205" s="14" t="str">
        <f t="shared" si="20"/>
        <v>2038/39</v>
      </c>
      <c r="AY205" s="14" t="str">
        <f t="shared" si="20"/>
        <v>2039/40</v>
      </c>
      <c r="AZ205" s="14" t="str">
        <f t="shared" si="20"/>
        <v>2040/41</v>
      </c>
      <c r="BA205" s="14" t="str">
        <f t="shared" si="20"/>
        <v>2041/42</v>
      </c>
      <c r="BB205" s="14" t="str">
        <f t="shared" si="20"/>
        <v>2042/43</v>
      </c>
      <c r="BC205" s="14" t="str">
        <f t="shared" si="20"/>
        <v>2043/44</v>
      </c>
      <c r="BD205" s="14" t="str">
        <f t="shared" si="20"/>
        <v>2044/45</v>
      </c>
      <c r="BE205" s="14" t="str">
        <f t="shared" si="20"/>
        <v>2045/46</v>
      </c>
    </row>
    <row r="206" spans="1:57" x14ac:dyDescent="0.25">
      <c r="A206" s="2" t="s">
        <v>78</v>
      </c>
    </row>
    <row r="207" spans="1:57" x14ac:dyDescent="0.25">
      <c r="A207" s="2" t="s">
        <v>79</v>
      </c>
    </row>
    <row r="208" spans="1:57" x14ac:dyDescent="0.25">
      <c r="A208" s="2" t="s">
        <v>80</v>
      </c>
    </row>
    <row r="209" spans="1:57" x14ac:dyDescent="0.25">
      <c r="A209" s="2" t="s">
        <v>81</v>
      </c>
    </row>
    <row r="210" spans="1:57" x14ac:dyDescent="0.25">
      <c r="A210" s="2" t="s">
        <v>82</v>
      </c>
    </row>
    <row r="211" spans="1:57" x14ac:dyDescent="0.25">
      <c r="A211" s="2" t="s">
        <v>83</v>
      </c>
    </row>
    <row r="212" spans="1:57" x14ac:dyDescent="0.25">
      <c r="A212" s="2" t="s">
        <v>84</v>
      </c>
    </row>
    <row r="213" spans="1:57" x14ac:dyDescent="0.25">
      <c r="A213" s="2" t="s">
        <v>85</v>
      </c>
    </row>
    <row r="214" spans="1:57" x14ac:dyDescent="0.25">
      <c r="A214" s="2" t="s">
        <v>86</v>
      </c>
    </row>
    <row r="215" spans="1:57" x14ac:dyDescent="0.25">
      <c r="A215" s="2" t="s">
        <v>87</v>
      </c>
    </row>
    <row r="216" spans="1:57" x14ac:dyDescent="0.25">
      <c r="A216" s="2" t="s">
        <v>88</v>
      </c>
    </row>
    <row r="217" spans="1:57" ht="15.75" thickBot="1" x14ac:dyDescent="0.3">
      <c r="A217" s="2" t="s">
        <v>89</v>
      </c>
    </row>
    <row r="218" spans="1:57" x14ac:dyDescent="0.25">
      <c r="A218" s="17"/>
      <c r="B218" s="17"/>
      <c r="C218" s="17"/>
      <c r="D218" s="17"/>
      <c r="E218" s="17"/>
      <c r="F218" s="17"/>
      <c r="G218" s="1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946B-CB31-44B3-B7AF-129474F0E8A6}">
  <dimension ref="A1:BE73"/>
  <sheetViews>
    <sheetView workbookViewId="0">
      <pane xSplit="7" ySplit="3" topLeftCell="W57" activePane="bottomRight" state="frozen"/>
      <selection pane="topRight" activeCell="H1" sqref="H1"/>
      <selection pane="bottomLeft" activeCell="A4" sqref="A4"/>
      <selection pane="bottomRight" activeCell="Y68" sqref="Y68"/>
    </sheetView>
  </sheetViews>
  <sheetFormatPr defaultRowHeight="12" x14ac:dyDescent="0.2"/>
  <cols>
    <col min="1" max="1" width="25" style="45" customWidth="1"/>
    <col min="2" max="7" width="0" style="45" hidden="1" customWidth="1"/>
    <col min="8" max="16384" width="9.140625" style="45"/>
  </cols>
  <sheetData>
    <row r="1" spans="1:57" x14ac:dyDescent="0.2">
      <c r="A1" s="45" t="s">
        <v>0</v>
      </c>
    </row>
    <row r="2" spans="1:57" x14ac:dyDescent="0.2">
      <c r="A2" s="45" t="s">
        <v>156</v>
      </c>
    </row>
    <row r="3" spans="1:57" x14ac:dyDescent="0.2">
      <c r="A3" s="47" t="s">
        <v>77</v>
      </c>
      <c r="B3" s="46" t="str">
        <f>'[2]Oilseed Template'!B3</f>
        <v>1990/91</v>
      </c>
      <c r="C3" s="46" t="str">
        <f>'[2]Oilseed Template'!C3</f>
        <v>1991/92</v>
      </c>
      <c r="D3" s="46" t="str">
        <f>'[2]Oilseed Template'!D3</f>
        <v>1992/93</v>
      </c>
      <c r="E3" s="46" t="str">
        <f>'[2]Oilseed Template'!E3</f>
        <v>1993/94</v>
      </c>
      <c r="F3" s="46" t="str">
        <f>'[2]Oilseed Template'!F3</f>
        <v>1994/95</v>
      </c>
      <c r="G3" s="46" t="str">
        <f>'[2]Oilseed Template'!G3</f>
        <v>1995/96</v>
      </c>
      <c r="H3" s="46" t="str">
        <f>'[2]Oilseed Template'!H3</f>
        <v>1996/97</v>
      </c>
      <c r="I3" s="46" t="str">
        <f>'[2]Oilseed Template'!I3</f>
        <v>1997/98</v>
      </c>
      <c r="J3" s="46" t="str">
        <f>'[2]Oilseed Template'!J3</f>
        <v>1998/99</v>
      </c>
      <c r="K3" s="46" t="str">
        <f>'[2]Oilseed Template'!K3</f>
        <v>1999/00</v>
      </c>
      <c r="L3" s="46" t="str">
        <f>'[2]Oilseed Template'!L3</f>
        <v>2000/01</v>
      </c>
      <c r="M3" s="46" t="str">
        <f>'[2]Oilseed Template'!M3</f>
        <v>2001/02</v>
      </c>
      <c r="N3" s="46" t="str">
        <f>'[2]Oilseed Template'!N3</f>
        <v>2002/03</v>
      </c>
      <c r="O3" s="46" t="str">
        <f>'[2]Oilseed Template'!O3</f>
        <v>2003/04</v>
      </c>
      <c r="P3" s="46" t="str">
        <f>'[2]Oilseed Template'!P3</f>
        <v>2004/05</v>
      </c>
      <c r="Q3" s="46" t="str">
        <f>'[2]Oilseed Template'!Q3</f>
        <v>2005/06</v>
      </c>
      <c r="R3" s="46" t="str">
        <f>'[2]Oilseed Template'!R3</f>
        <v>2006/07</v>
      </c>
      <c r="S3" s="46" t="str">
        <f>'[2]Oilseed Template'!S3</f>
        <v>2007/08</v>
      </c>
      <c r="T3" s="46" t="str">
        <f>'[2]Oilseed Template'!T3</f>
        <v>2008/09</v>
      </c>
      <c r="U3" s="46" t="str">
        <f>'[2]Oilseed Template'!U3</f>
        <v>2009/10</v>
      </c>
      <c r="V3" s="46" t="str">
        <f>'[2]Oilseed Template'!V3</f>
        <v>2010/11</v>
      </c>
      <c r="W3" s="46" t="str">
        <f>'[2]Oilseed Template'!W3</f>
        <v>2011/12</v>
      </c>
      <c r="X3" s="46" t="str">
        <f>'[2]Oilseed Template'!X3</f>
        <v>2012/13</v>
      </c>
      <c r="Y3" s="46" t="str">
        <f>'[2]Oilseed Template'!Y3</f>
        <v>2013/14</v>
      </c>
      <c r="Z3" s="46" t="str">
        <f>'[2]Oilseed Template'!Z3</f>
        <v>2014/15</v>
      </c>
      <c r="AA3" s="46" t="str">
        <f>'[2]Oilseed Template'!AA3</f>
        <v>2015/16</v>
      </c>
      <c r="AB3" s="46" t="str">
        <f>'[2]Oilseed Template'!AB3</f>
        <v>2016/17</v>
      </c>
      <c r="AC3" s="46" t="str">
        <f>'[2]Oilseed Template'!AC3</f>
        <v>2017/18</v>
      </c>
      <c r="AD3" s="46" t="str">
        <f>'[2]Oilseed Template'!AD3</f>
        <v>2018/19</v>
      </c>
      <c r="AE3" s="46" t="str">
        <f>'[2]Oilseed Template'!AE3</f>
        <v>2019/20</v>
      </c>
      <c r="AF3" s="46" t="str">
        <f>'[2]Oilseed Template'!AF3</f>
        <v>2020/21</v>
      </c>
      <c r="AG3" s="46" t="str">
        <f>'[2]Oilseed Template'!AG3</f>
        <v>2021/22</v>
      </c>
      <c r="AH3" s="46" t="str">
        <f>'[2]Oilseed Template'!AH3</f>
        <v>2022/23</v>
      </c>
      <c r="AI3" s="46" t="str">
        <f>'[2]Oilseed Template'!AI3</f>
        <v>2023/24</v>
      </c>
      <c r="AJ3" s="46" t="str">
        <f>'[2]Oilseed Template'!AJ3</f>
        <v>2024/25</v>
      </c>
      <c r="AK3" s="46" t="str">
        <f>'[2]Oilseed Template'!AK3</f>
        <v>2025/26</v>
      </c>
      <c r="AL3" s="46" t="str">
        <f>'[2]Oilseed Template'!AL3</f>
        <v>2026/27</v>
      </c>
      <c r="AM3" s="46" t="str">
        <f>'[2]Oilseed Template'!AM3</f>
        <v>2027/28</v>
      </c>
      <c r="AN3" s="46" t="str">
        <f>'[2]Oilseed Template'!AN3</f>
        <v>2028/29</v>
      </c>
      <c r="AO3" s="46" t="str">
        <f>'[2]Oilseed Template'!AO3</f>
        <v>2029/30</v>
      </c>
      <c r="AP3" s="46" t="str">
        <f>'[2]Oilseed Template'!AP3</f>
        <v>2030/31</v>
      </c>
      <c r="AQ3" s="46" t="str">
        <f>'[2]Oilseed Template'!AQ3</f>
        <v>2031/32</v>
      </c>
      <c r="AR3" s="46" t="str">
        <f>'[2]Oilseed Template'!AR3</f>
        <v>2032/33</v>
      </c>
      <c r="AS3" s="46" t="str">
        <f>'[2]Oilseed Template'!AS3</f>
        <v>2033/34</v>
      </c>
      <c r="AT3" s="46" t="str">
        <f>'[2]Oilseed Template'!AT3</f>
        <v>2034/35</v>
      </c>
      <c r="AU3" s="46" t="str">
        <f>'[2]Oilseed Template'!AU3</f>
        <v>2035/36</v>
      </c>
      <c r="AV3" s="46" t="str">
        <f>'[2]Oilseed Template'!AV3</f>
        <v>2036/37</v>
      </c>
      <c r="AW3" s="46" t="str">
        <f>'[2]Oilseed Template'!AW3</f>
        <v>2037/38</v>
      </c>
      <c r="AX3" s="46" t="str">
        <f>'[2]Oilseed Template'!AX3</f>
        <v>2038/39</v>
      </c>
      <c r="AY3" s="46" t="str">
        <f>'[2]Oilseed Template'!AY3</f>
        <v>2039/40</v>
      </c>
      <c r="AZ3" s="46" t="str">
        <f>'[2]Oilseed Template'!AZ3</f>
        <v>2040/41</v>
      </c>
      <c r="BA3" s="46" t="str">
        <f>'[2]Oilseed Template'!BA3</f>
        <v>2041/42</v>
      </c>
      <c r="BB3" s="46" t="str">
        <f>'[2]Oilseed Template'!BB3</f>
        <v>2042/43</v>
      </c>
      <c r="BC3" s="46" t="str">
        <f>'[2]Oilseed Template'!BC3</f>
        <v>2043/44</v>
      </c>
      <c r="BD3" s="46" t="str">
        <f>'[2]Oilseed Template'!BD3</f>
        <v>2044/45</v>
      </c>
      <c r="BE3" s="46" t="str">
        <f>'[2]Oilseed Template'!BE3</f>
        <v>2045/46</v>
      </c>
    </row>
    <row r="4" spans="1:57" x14ac:dyDescent="0.2">
      <c r="A4" s="48" t="s">
        <v>142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</row>
    <row r="5" spans="1:57" x14ac:dyDescent="0.2">
      <c r="A5" s="49" t="s">
        <v>143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>
        <f>X56</f>
        <v>0</v>
      </c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</row>
    <row r="6" spans="1:57" x14ac:dyDescent="0.2">
      <c r="A6" s="49" t="s">
        <v>63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>
        <f>'US Soybean Bal Sheet'!Y9</f>
        <v>0</v>
      </c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</row>
    <row r="7" spans="1:57" x14ac:dyDescent="0.2">
      <c r="A7" s="49" t="s">
        <v>64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>
        <f>SUM('US Soybean Bal Sheet'!Y25:Y27)</f>
        <v>0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</row>
    <row r="8" spans="1:57" x14ac:dyDescent="0.2">
      <c r="A8" s="49" t="s">
        <v>65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>
        <f>SUM(Y5:Y7)</f>
        <v>0</v>
      </c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</row>
    <row r="9" spans="1:57" x14ac:dyDescent="0.2">
      <c r="A9" s="49" t="s">
        <v>66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</row>
    <row r="10" spans="1:57" x14ac:dyDescent="0.2">
      <c r="A10" s="49" t="s">
        <v>67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</row>
    <row r="11" spans="1:57" x14ac:dyDescent="0.2">
      <c r="A11" s="49" t="s">
        <v>68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>
        <f>Y13-Y12-Y10-Y9</f>
        <v>0</v>
      </c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 x14ac:dyDescent="0.2">
      <c r="A12" s="49" t="s">
        <v>69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>
        <f>SUM('US Soybean Bal Sheet'!Y41:Y43)</f>
        <v>0</v>
      </c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</row>
    <row r="13" spans="1:57" x14ac:dyDescent="0.2">
      <c r="A13" s="49" t="s">
        <v>70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>
        <f>Y8-Y14</f>
        <v>0</v>
      </c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</row>
    <row r="14" spans="1:57" x14ac:dyDescent="0.2">
      <c r="A14" s="49" t="s">
        <v>144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</row>
    <row r="15" spans="1:57" x14ac:dyDescent="0.2">
      <c r="A15" s="49" t="s">
        <v>145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</row>
    <row r="16" spans="1:57" ht="12.75" thickBot="1" x14ac:dyDescent="0.25">
      <c r="A16" s="49" t="s">
        <v>146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</row>
    <row r="17" spans="1:57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</row>
    <row r="18" spans="1:57" x14ac:dyDescent="0.2">
      <c r="A18" s="48" t="s">
        <v>147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</row>
    <row r="19" spans="1:57" x14ac:dyDescent="0.2">
      <c r="A19" s="49" t="s">
        <v>148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>
        <f>Y14</f>
        <v>0</v>
      </c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</row>
    <row r="20" spans="1:57" x14ac:dyDescent="0.2">
      <c r="A20" s="49" t="s">
        <v>63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>
        <v>0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</row>
    <row r="21" spans="1:57" x14ac:dyDescent="0.2">
      <c r="A21" s="49" t="s">
        <v>64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>
        <f>SUM('US Soybean Bal Sheet'!Y28:Y30)</f>
        <v>8.4569906256240017</v>
      </c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</row>
    <row r="22" spans="1:57" x14ac:dyDescent="0.2">
      <c r="A22" s="49" t="s">
        <v>65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>
        <f>SUM(Y19:Y21)</f>
        <v>8.4569906256240017</v>
      </c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</row>
    <row r="23" spans="1:57" x14ac:dyDescent="0.2">
      <c r="A23" s="49" t="s">
        <v>66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</row>
    <row r="24" spans="1:57" x14ac:dyDescent="0.2">
      <c r="A24" s="49" t="s">
        <v>67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</row>
    <row r="25" spans="1:57" x14ac:dyDescent="0.2">
      <c r="A25" s="49" t="s">
        <v>68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>
        <f>Y27-Y26-Y24-Y23</f>
        <v>-701.33731610727693</v>
      </c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</row>
    <row r="26" spans="1:57" x14ac:dyDescent="0.2">
      <c r="A26" s="49" t="s">
        <v>69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>
        <f>SUM('US Soybean Bal Sheet'!Y44:Y46)</f>
        <v>709.79430673290096</v>
      </c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</row>
    <row r="27" spans="1:57" x14ac:dyDescent="0.2">
      <c r="A27" s="49" t="s">
        <v>70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>
        <f>Y22-Y28</f>
        <v>8.4569906256240017</v>
      </c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</row>
    <row r="28" spans="1:57" x14ac:dyDescent="0.2">
      <c r="A28" s="49" t="s">
        <v>149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</row>
    <row r="29" spans="1:57" x14ac:dyDescent="0.2">
      <c r="A29" s="49" t="s">
        <v>145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</row>
    <row r="30" spans="1:57" ht="12.75" thickBot="1" x14ac:dyDescent="0.25">
      <c r="A30" s="49" t="s">
        <v>146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</row>
    <row r="31" spans="1:57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</row>
    <row r="32" spans="1:57" x14ac:dyDescent="0.2">
      <c r="A32" s="48" t="s">
        <v>150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</row>
    <row r="33" spans="1:57" x14ac:dyDescent="0.2">
      <c r="A33" s="49" t="s">
        <v>151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>
        <f>Y28</f>
        <v>0</v>
      </c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</row>
    <row r="34" spans="1:57" x14ac:dyDescent="0.2">
      <c r="A34" s="49" t="s">
        <v>63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>
        <v>0</v>
      </c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</row>
    <row r="35" spans="1:57" x14ac:dyDescent="0.2">
      <c r="A35" s="49" t="s">
        <v>64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>
        <f>SUM('US Soybean Bal Sheet'!Y31:Y33)</f>
        <v>26.334416312136003</v>
      </c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</row>
    <row r="36" spans="1:57" x14ac:dyDescent="0.2">
      <c r="A36" s="49" t="s">
        <v>65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>
        <f>SUM(Y33:Y35)</f>
        <v>26.334416312136003</v>
      </c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</row>
    <row r="37" spans="1:57" x14ac:dyDescent="0.2">
      <c r="A37" s="49" t="s">
        <v>66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</row>
    <row r="38" spans="1:57" x14ac:dyDescent="0.2">
      <c r="A38" s="49" t="s">
        <v>67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</row>
    <row r="39" spans="1:57" x14ac:dyDescent="0.2">
      <c r="A39" s="49" t="s">
        <v>68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>
        <f>Y41-Y40-Y38-Y37</f>
        <v>-166.26083540133629</v>
      </c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</row>
    <row r="40" spans="1:57" x14ac:dyDescent="0.2">
      <c r="A40" s="49" t="s">
        <v>69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>
        <f>SUM('US Soybean Bal Sheet'!Y47:Y49)</f>
        <v>192.59525171347229</v>
      </c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</row>
    <row r="41" spans="1:57" x14ac:dyDescent="0.2">
      <c r="A41" s="49" t="s">
        <v>70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>
        <f>Y36-Y42</f>
        <v>26.334416312136003</v>
      </c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</row>
    <row r="42" spans="1:57" x14ac:dyDescent="0.2">
      <c r="A42" s="49" t="s">
        <v>152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</row>
    <row r="43" spans="1:57" x14ac:dyDescent="0.2">
      <c r="A43" s="49" t="s">
        <v>145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</row>
    <row r="44" spans="1:57" ht="12.75" thickBot="1" x14ac:dyDescent="0.25">
      <c r="A44" s="49" t="s">
        <v>146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</row>
    <row r="45" spans="1:57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</row>
    <row r="46" spans="1:57" x14ac:dyDescent="0.2">
      <c r="A46" s="48" t="s">
        <v>153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</row>
    <row r="47" spans="1:57" x14ac:dyDescent="0.2">
      <c r="A47" s="49" t="s">
        <v>154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>
        <f>Y42</f>
        <v>0</v>
      </c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</row>
    <row r="48" spans="1:57" x14ac:dyDescent="0.2">
      <c r="A48" s="49" t="s">
        <v>63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>
        <v>0</v>
      </c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</row>
    <row r="49" spans="1:57" x14ac:dyDescent="0.2">
      <c r="A49" s="49" t="s">
        <v>64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>
        <f>SUM('US Soybean Bal Sheet'!Y34:Y36)</f>
        <v>30.361601959824004</v>
      </c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</row>
    <row r="50" spans="1:57" x14ac:dyDescent="0.2">
      <c r="A50" s="49" t="s">
        <v>65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>
        <f>SUM(Y47:Y49)</f>
        <v>30.361601959824004</v>
      </c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</row>
    <row r="51" spans="1:57" x14ac:dyDescent="0.2">
      <c r="A51" s="49" t="s">
        <v>66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</row>
    <row r="52" spans="1:57" x14ac:dyDescent="0.2">
      <c r="A52" s="49" t="s">
        <v>67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</row>
    <row r="53" spans="1:57" x14ac:dyDescent="0.2">
      <c r="A53" s="49" t="s">
        <v>68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>
        <f>Y55-Y54-Y52-Y51</f>
        <v>-28.383252994437004</v>
      </c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</row>
    <row r="54" spans="1:57" x14ac:dyDescent="0.2">
      <c r="A54" s="49" t="s">
        <v>69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>
        <f>SUM('US Soybean Bal Sheet'!Y50:Y52)</f>
        <v>58.744854954261008</v>
      </c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</row>
    <row r="55" spans="1:57" x14ac:dyDescent="0.2">
      <c r="A55" s="49" t="s">
        <v>70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>
        <f>Y50-Y56</f>
        <v>30.361601959824004</v>
      </c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</row>
    <row r="56" spans="1:57" x14ac:dyDescent="0.2">
      <c r="A56" s="49" t="s">
        <v>155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</row>
    <row r="57" spans="1:57" x14ac:dyDescent="0.2">
      <c r="A57" s="49" t="s">
        <v>145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</row>
    <row r="58" spans="1:57" ht="12.75" thickBot="1" x14ac:dyDescent="0.25">
      <c r="A58" s="49" t="s">
        <v>146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</row>
    <row r="59" spans="1:57" x14ac:dyDescent="0.2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</row>
    <row r="60" spans="1:57" x14ac:dyDescent="0.2">
      <c r="A60" s="48" t="s">
        <v>157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</row>
    <row r="61" spans="1:57" x14ac:dyDescent="0.2">
      <c r="A61" s="49" t="s">
        <v>143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>
        <f>Y5</f>
        <v>0</v>
      </c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</row>
    <row r="62" spans="1:57" x14ac:dyDescent="0.2">
      <c r="A62" s="49" t="s">
        <v>63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>
        <f>SUM(Y6,Y20,Y34,Y48)</f>
        <v>0</v>
      </c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</row>
    <row r="63" spans="1:57" x14ac:dyDescent="0.2">
      <c r="A63" s="49" t="s">
        <v>64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>
        <f>SUM(Y7,Y21,Y35,Y49)</f>
        <v>65.153008897584002</v>
      </c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</row>
    <row r="64" spans="1:57" x14ac:dyDescent="0.2">
      <c r="A64" s="49" t="s">
        <v>65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>
        <f>SUM(Y61:Y63)</f>
        <v>65.153008897584002</v>
      </c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</row>
    <row r="65" spans="1:57" x14ac:dyDescent="0.2">
      <c r="A65" s="49" t="s">
        <v>66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>
        <f t="shared" ref="Y65:Y68" si="0">SUM(Y9,Y23,Y37,Y51)</f>
        <v>0</v>
      </c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</row>
    <row r="66" spans="1:57" x14ac:dyDescent="0.2">
      <c r="A66" s="49" t="s">
        <v>67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>
        <f t="shared" si="0"/>
        <v>0</v>
      </c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</row>
    <row r="67" spans="1:57" x14ac:dyDescent="0.2">
      <c r="A67" s="49" t="s">
        <v>68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>
        <f>Y69-Y68-Y66-Y65</f>
        <v>-895.98140450305027</v>
      </c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</row>
    <row r="68" spans="1:57" x14ac:dyDescent="0.2">
      <c r="A68" s="49" t="s">
        <v>69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>
        <f t="shared" si="0"/>
        <v>961.13441340063423</v>
      </c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</row>
    <row r="69" spans="1:57" x14ac:dyDescent="0.2">
      <c r="A69" s="49" t="s">
        <v>70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>
        <f>Y64-Y70</f>
        <v>65.153008897584002</v>
      </c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</row>
    <row r="70" spans="1:57" x14ac:dyDescent="0.2">
      <c r="A70" s="49" t="s">
        <v>155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</row>
    <row r="71" spans="1:57" x14ac:dyDescent="0.2">
      <c r="A71" s="49" t="s">
        <v>145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</row>
    <row r="72" spans="1:57" ht="12.75" thickBot="1" x14ac:dyDescent="0.25">
      <c r="A72" s="49" t="s">
        <v>146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</row>
    <row r="73" spans="1:57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Soybean Bal Sheet</vt:lpstr>
      <vt:lpstr>US Soymeal Bal Sheet</vt:lpstr>
      <vt:lpstr>US Soyoil Bal Sheet</vt:lpstr>
      <vt:lpstr>Soybean Quarterly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2026-02-10T09:47:36Z</dcterms:created>
  <dcterms:modified xsi:type="dcterms:W3CDTF">2026-02-10T13:24:00Z</dcterms:modified>
</cp:coreProperties>
</file>